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d.docs.live.net/82bd60cac0045911/CV/Dummy Project/Excel_Predictive Attrition Analysis/"/>
    </mc:Choice>
  </mc:AlternateContent>
  <xr:revisionPtr revIDLastSave="5153" documentId="11_F25DC773A252ABDACC1048BC81D86EA65ADE58E7" xr6:coauthVersionLast="47" xr6:coauthVersionMax="47" xr10:uidLastSave="{79F457CE-B271-4C96-BBED-E7621FC00C54}"/>
  <bookViews>
    <workbookView xWindow="-110" yWindow="-110" windowWidth="19420" windowHeight="10300" xr2:uid="{00000000-000D-0000-FFFF-FFFF00000000}"/>
  </bookViews>
  <sheets>
    <sheet name="Dashboard" sheetId="5" r:id="rId1"/>
    <sheet name="HR" sheetId="2" r:id="rId2"/>
    <sheet name="Logic_Parameters" sheetId="3" r:id="rId3"/>
    <sheet name="Pivot_Engine" sheetId="4" r:id="rId4"/>
    <sheet name="Documentation" sheetId="6" r:id="rId5"/>
  </sheets>
  <definedNames>
    <definedName name="_xlnm.Print_Area" localSheetId="0">Dashboard!$A$1:$BQ$33</definedName>
    <definedName name="Slicer_Department">#N/A</definedName>
    <definedName name="Slicer_EducationField">#N/A</definedName>
    <definedName name="Slicer_Gender">#N/A</definedName>
    <definedName name="Slicer_OverTime">#N/A</definedName>
    <definedName name="Slicer_Risk_Category">#N/A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1471" i="2" l="1" a="1"/>
  <c r="AR1471" i="2"/>
  <c r="AR1470" i="2" a="1"/>
  <c r="AR1470" i="2"/>
  <c r="AR1469" i="2" a="1"/>
  <c r="AR1469" i="2" s="1"/>
  <c r="AR1468" i="2" a="1"/>
  <c r="AR1468" i="2" s="1"/>
  <c r="AR1467" i="2" a="1"/>
  <c r="AR1467" i="2" s="1"/>
  <c r="AR1466" i="2" a="1"/>
  <c r="AR1466" i="2"/>
  <c r="AR1465" i="2" a="1"/>
  <c r="AR1465" i="2" s="1"/>
  <c r="AR1464" i="2" a="1"/>
  <c r="AR1464" i="2" s="1"/>
  <c r="AR1463" i="2" a="1"/>
  <c r="AR1463" i="2"/>
  <c r="AR1462" i="2" a="1"/>
  <c r="AR1462" i="2"/>
  <c r="AR1461" i="2" a="1"/>
  <c r="AR1461" i="2" s="1"/>
  <c r="AR1460" i="2" a="1"/>
  <c r="AR1460" i="2" s="1"/>
  <c r="AR1459" i="2" a="1"/>
  <c r="AR1459" i="2"/>
  <c r="AR1458" i="2" a="1"/>
  <c r="AR1458" i="2"/>
  <c r="AR1457" i="2" a="1"/>
  <c r="AR1457" i="2" s="1"/>
  <c r="AR1456" i="2" a="1"/>
  <c r="AR1456" i="2" s="1"/>
  <c r="AR1455" i="2" a="1"/>
  <c r="AR1455" i="2"/>
  <c r="AR1454" i="2" a="1"/>
  <c r="AR1454" i="2" s="1"/>
  <c r="AR1453" i="2" a="1"/>
  <c r="AR1453" i="2" s="1"/>
  <c r="AR1452" i="2" a="1"/>
  <c r="AR1452" i="2" s="1"/>
  <c r="AR1451" i="2" a="1"/>
  <c r="AR1451" i="2" s="1"/>
  <c r="AR1450" i="2" a="1"/>
  <c r="AR1450" i="2"/>
  <c r="AR1449" i="2" a="1"/>
  <c r="AR1449" i="2" s="1"/>
  <c r="AR1448" i="2" a="1"/>
  <c r="AR1448" i="2" s="1"/>
  <c r="AR1447" i="2" a="1"/>
  <c r="AR1447" i="2"/>
  <c r="AR1446" i="2" a="1"/>
  <c r="AR1446" i="2" s="1"/>
  <c r="AR1445" i="2" a="1"/>
  <c r="AR1445" i="2" s="1"/>
  <c r="AR1444" i="2" a="1"/>
  <c r="AR1444" i="2" s="1"/>
  <c r="AR1443" i="2" a="1"/>
  <c r="AR1443" i="2" s="1"/>
  <c r="AR1442" i="2" a="1"/>
  <c r="AR1442" i="2"/>
  <c r="AR1441" i="2" a="1"/>
  <c r="AR1441" i="2" s="1"/>
  <c r="AR1440" i="2" a="1"/>
  <c r="AR1440" i="2" s="1"/>
  <c r="AR1439" i="2" a="1"/>
  <c r="AR1439" i="2"/>
  <c r="AR1438" i="2" a="1"/>
  <c r="AR1438" i="2" s="1"/>
  <c r="AR1437" i="2" a="1"/>
  <c r="AR1437" i="2" s="1"/>
  <c r="AR1436" i="2" a="1"/>
  <c r="AR1436" i="2" s="1"/>
  <c r="AR1435" i="2" a="1"/>
  <c r="AR1435" i="2" s="1"/>
  <c r="AR1434" i="2" a="1"/>
  <c r="AR1434" i="2"/>
  <c r="AR1433" i="2" a="1"/>
  <c r="AR1433" i="2" s="1"/>
  <c r="AR1432" i="2" a="1"/>
  <c r="AR1432" i="2" s="1"/>
  <c r="AR1431" i="2" a="1"/>
  <c r="AR1431" i="2"/>
  <c r="AR1430" i="2" a="1"/>
  <c r="AR1430" i="2" s="1"/>
  <c r="AR1429" i="2" a="1"/>
  <c r="AR1429" i="2" s="1"/>
  <c r="AR1428" i="2" a="1"/>
  <c r="AR1428" i="2" s="1"/>
  <c r="AR1427" i="2" a="1"/>
  <c r="AR1427" i="2" s="1"/>
  <c r="AR1426" i="2" a="1"/>
  <c r="AR1426" i="2"/>
  <c r="AR1425" i="2" a="1"/>
  <c r="AR1425" i="2" s="1"/>
  <c r="AR1424" i="2" a="1"/>
  <c r="AR1424" i="2" s="1"/>
  <c r="AR1423" i="2" a="1"/>
  <c r="AR1423" i="2"/>
  <c r="AR1422" i="2" a="1"/>
  <c r="AR1422" i="2" s="1"/>
  <c r="AR1421" i="2" a="1"/>
  <c r="AR1421" i="2" s="1"/>
  <c r="AR1420" i="2" a="1"/>
  <c r="AR1420" i="2" s="1"/>
  <c r="AR1419" i="2" a="1"/>
  <c r="AR1419" i="2" s="1"/>
  <c r="AR1418" i="2" a="1"/>
  <c r="AR1418" i="2" s="1"/>
  <c r="AR1417" i="2" a="1"/>
  <c r="AR1417" i="2" s="1"/>
  <c r="AR1416" i="2" a="1"/>
  <c r="AR1416" i="2" s="1"/>
  <c r="AR1415" i="2" a="1"/>
  <c r="AR1415" i="2"/>
  <c r="AR1414" i="2" a="1"/>
  <c r="AR1414" i="2" s="1"/>
  <c r="AR1413" i="2" a="1"/>
  <c r="AR1413" i="2" s="1"/>
  <c r="AR1412" i="2" a="1"/>
  <c r="AR1412" i="2" s="1"/>
  <c r="AR1411" i="2" a="1"/>
  <c r="AR1411" i="2" s="1"/>
  <c r="AR1410" i="2" a="1"/>
  <c r="AR1410" i="2"/>
  <c r="AR1409" i="2" a="1"/>
  <c r="AR1409" i="2" s="1"/>
  <c r="AR1408" i="2" a="1"/>
  <c r="AR1408" i="2" s="1"/>
  <c r="AR1407" i="2" a="1"/>
  <c r="AR1407" i="2" s="1"/>
  <c r="AR1406" i="2" a="1"/>
  <c r="AR1406" i="2" s="1"/>
  <c r="AR1405" i="2" a="1"/>
  <c r="AR1405" i="2" s="1"/>
  <c r="AR1404" i="2" a="1"/>
  <c r="AR1404" i="2" s="1"/>
  <c r="AR1403" i="2" a="1"/>
  <c r="AR1403" i="2" s="1"/>
  <c r="AR1402" i="2" a="1"/>
  <c r="AR1402" i="2" s="1"/>
  <c r="AR1401" i="2" a="1"/>
  <c r="AR1401" i="2" s="1"/>
  <c r="AR1400" i="2" a="1"/>
  <c r="AR1400" i="2" s="1"/>
  <c r="AR1399" i="2" a="1"/>
  <c r="AR1399" i="2"/>
  <c r="AR1398" i="2" a="1"/>
  <c r="AR1398" i="2" s="1"/>
  <c r="AR1397" i="2" a="1"/>
  <c r="AR1397" i="2" s="1"/>
  <c r="AR1396" i="2" a="1"/>
  <c r="AR1396" i="2" s="1"/>
  <c r="AR1395" i="2" a="1"/>
  <c r="AR1395" i="2" s="1"/>
  <c r="AR1394" i="2" a="1"/>
  <c r="AR1394" i="2"/>
  <c r="AR1393" i="2" a="1"/>
  <c r="AR1393" i="2" s="1"/>
  <c r="AR1392" i="2" a="1"/>
  <c r="AR1392" i="2" s="1"/>
  <c r="AR1391" i="2" a="1"/>
  <c r="AR1391" i="2" s="1"/>
  <c r="AR1390" i="2" a="1"/>
  <c r="AR1390" i="2" s="1"/>
  <c r="AR1389" i="2" a="1"/>
  <c r="AR1389" i="2" s="1"/>
  <c r="AR1388" i="2" a="1"/>
  <c r="AR1388" i="2" s="1"/>
  <c r="AR1387" i="2" a="1"/>
  <c r="AR1387" i="2" s="1"/>
  <c r="AR1386" i="2" a="1"/>
  <c r="AR1386" i="2" s="1"/>
  <c r="AR1385" i="2" a="1"/>
  <c r="AR1385" i="2" s="1"/>
  <c r="AR1384" i="2" a="1"/>
  <c r="AR1384" i="2" s="1"/>
  <c r="AR1383" i="2" a="1"/>
  <c r="AR1383" i="2"/>
  <c r="AR1382" i="2" a="1"/>
  <c r="AR1382" i="2" s="1"/>
  <c r="AR1381" i="2" a="1"/>
  <c r="AR1381" i="2" s="1"/>
  <c r="AR1380" i="2" a="1"/>
  <c r="AR1380" i="2" s="1"/>
  <c r="AR1379" i="2" a="1"/>
  <c r="AR1379" i="2" s="1"/>
  <c r="AR1378" i="2" a="1"/>
  <c r="AR1378" i="2"/>
  <c r="AR1377" i="2" a="1"/>
  <c r="AR1377" i="2" s="1"/>
  <c r="AR1376" i="2" a="1"/>
  <c r="AR1376" i="2" s="1"/>
  <c r="AR1375" i="2" a="1"/>
  <c r="AR1375" i="2" s="1"/>
  <c r="AR1374" i="2" a="1"/>
  <c r="AR1374" i="2" s="1"/>
  <c r="AR1373" i="2" a="1"/>
  <c r="AR1373" i="2" s="1"/>
  <c r="AR1372" i="2" a="1"/>
  <c r="AR1372" i="2" s="1"/>
  <c r="AR1371" i="2" a="1"/>
  <c r="AR1371" i="2" s="1"/>
  <c r="AR1370" i="2" a="1"/>
  <c r="AR1370" i="2" s="1"/>
  <c r="AR1369" i="2" a="1"/>
  <c r="AR1369" i="2" s="1"/>
  <c r="AR1368" i="2" a="1"/>
  <c r="AR1368" i="2" s="1"/>
  <c r="AR1367" i="2" a="1"/>
  <c r="AR1367" i="2" s="1"/>
  <c r="AR1366" i="2" a="1"/>
  <c r="AR1366" i="2" s="1"/>
  <c r="AR1365" i="2" a="1"/>
  <c r="AR1365" i="2" s="1"/>
  <c r="AR1364" i="2" a="1"/>
  <c r="AR1364" i="2" s="1"/>
  <c r="AR1363" i="2" a="1"/>
  <c r="AR1363" i="2" s="1"/>
  <c r="AR1362" i="2" a="1"/>
  <c r="AR1362" i="2" s="1"/>
  <c r="AR1361" i="2" a="1"/>
  <c r="AR1361" i="2" s="1"/>
  <c r="AR1360" i="2" a="1"/>
  <c r="AR1360" i="2" s="1"/>
  <c r="AR1359" i="2" a="1"/>
  <c r="AR1359" i="2" s="1"/>
  <c r="AR1358" i="2" a="1"/>
  <c r="AR1358" i="2" s="1"/>
  <c r="AR1357" i="2" a="1"/>
  <c r="AR1357" i="2" s="1"/>
  <c r="AR1356" i="2" a="1"/>
  <c r="AR1356" i="2" s="1"/>
  <c r="AR1355" i="2" a="1"/>
  <c r="AR1355" i="2" s="1"/>
  <c r="AR1354" i="2" a="1"/>
  <c r="AR1354" i="2" s="1"/>
  <c r="AR1353" i="2" a="1"/>
  <c r="AR1353" i="2" s="1"/>
  <c r="AR1352" i="2" a="1"/>
  <c r="AR1352" i="2" s="1"/>
  <c r="AR1351" i="2" a="1"/>
  <c r="AR1351" i="2" s="1"/>
  <c r="AR1350" i="2" a="1"/>
  <c r="AR1350" i="2" s="1"/>
  <c r="AR1349" i="2" a="1"/>
  <c r="AR1349" i="2" s="1"/>
  <c r="AR1348" i="2" a="1"/>
  <c r="AR1348" i="2" s="1"/>
  <c r="AR1347" i="2" a="1"/>
  <c r="AR1347" i="2" s="1"/>
  <c r="AR1346" i="2" a="1"/>
  <c r="AR1346" i="2" s="1"/>
  <c r="AR1345" i="2" a="1"/>
  <c r="AR1345" i="2" s="1"/>
  <c r="AR1344" i="2" a="1"/>
  <c r="AR1344" i="2" s="1"/>
  <c r="AR1343" i="2" a="1"/>
  <c r="AR1343" i="2" s="1"/>
  <c r="AR1342" i="2" a="1"/>
  <c r="AR1342" i="2" s="1"/>
  <c r="AR1341" i="2" a="1"/>
  <c r="AR1341" i="2" s="1"/>
  <c r="AR1340" i="2" a="1"/>
  <c r="AR1340" i="2" s="1"/>
  <c r="AR1339" i="2" a="1"/>
  <c r="AR1339" i="2" s="1"/>
  <c r="AR1338" i="2" a="1"/>
  <c r="AR1338" i="2" s="1"/>
  <c r="AR1337" i="2" a="1"/>
  <c r="AR1337" i="2" s="1"/>
  <c r="AR1336" i="2" a="1"/>
  <c r="AR1336" i="2" s="1"/>
  <c r="AR1335" i="2" a="1"/>
  <c r="AR1335" i="2" s="1"/>
  <c r="AR1334" i="2" a="1"/>
  <c r="AR1334" i="2" s="1"/>
  <c r="AR1333" i="2" a="1"/>
  <c r="AR1333" i="2" s="1"/>
  <c r="AR1332" i="2" a="1"/>
  <c r="AR1332" i="2" s="1"/>
  <c r="AR1331" i="2" a="1"/>
  <c r="AR1331" i="2" s="1"/>
  <c r="AR1330" i="2" a="1"/>
  <c r="AR1330" i="2" s="1"/>
  <c r="AR1329" i="2" a="1"/>
  <c r="AR1329" i="2" s="1"/>
  <c r="AR1328" i="2" a="1"/>
  <c r="AR1328" i="2" s="1"/>
  <c r="AR1327" i="2" a="1"/>
  <c r="AR1327" i="2" s="1"/>
  <c r="AR1326" i="2" a="1"/>
  <c r="AR1326" i="2" s="1"/>
  <c r="AR1325" i="2" a="1"/>
  <c r="AR1325" i="2" s="1"/>
  <c r="AR1324" i="2" a="1"/>
  <c r="AR1324" i="2" s="1"/>
  <c r="AR1323" i="2" a="1"/>
  <c r="AR1323" i="2" s="1"/>
  <c r="AR1322" i="2" a="1"/>
  <c r="AR1322" i="2" s="1"/>
  <c r="AR1321" i="2" a="1"/>
  <c r="AR1321" i="2" s="1"/>
  <c r="AR1320" i="2" a="1"/>
  <c r="AR1320" i="2" s="1"/>
  <c r="AR1319" i="2" a="1"/>
  <c r="AR1319" i="2" s="1"/>
  <c r="AR1318" i="2" a="1"/>
  <c r="AR1318" i="2" s="1"/>
  <c r="AR1317" i="2" a="1"/>
  <c r="AR1317" i="2" s="1"/>
  <c r="AR1316" i="2" a="1"/>
  <c r="AR1316" i="2" s="1"/>
  <c r="AR1315" i="2" a="1"/>
  <c r="AR1315" i="2" s="1"/>
  <c r="AR1314" i="2" a="1"/>
  <c r="AR1314" i="2" s="1"/>
  <c r="AR1313" i="2" a="1"/>
  <c r="AR1313" i="2" s="1"/>
  <c r="AR1312" i="2" a="1"/>
  <c r="AR1312" i="2" s="1"/>
  <c r="AR1311" i="2" a="1"/>
  <c r="AR1311" i="2" s="1"/>
  <c r="AR1310" i="2" a="1"/>
  <c r="AR1310" i="2" s="1"/>
  <c r="AR1309" i="2" a="1"/>
  <c r="AR1309" i="2" s="1"/>
  <c r="AR1308" i="2" a="1"/>
  <c r="AR1308" i="2" s="1"/>
  <c r="AR1307" i="2" a="1"/>
  <c r="AR1307" i="2" s="1"/>
  <c r="AR1306" i="2" a="1"/>
  <c r="AR1306" i="2" s="1"/>
  <c r="AR1305" i="2" a="1"/>
  <c r="AR1305" i="2" s="1"/>
  <c r="AR1304" i="2" a="1"/>
  <c r="AR1304" i="2" s="1"/>
  <c r="AR1303" i="2" a="1"/>
  <c r="AR1303" i="2" s="1"/>
  <c r="AR1302" i="2" a="1"/>
  <c r="AR1302" i="2" s="1"/>
  <c r="AR1301" i="2" a="1"/>
  <c r="AR1301" i="2" s="1"/>
  <c r="AR1300" i="2" a="1"/>
  <c r="AR1300" i="2" s="1"/>
  <c r="AR1299" i="2" a="1"/>
  <c r="AR1299" i="2" s="1"/>
  <c r="AR1298" i="2" a="1"/>
  <c r="AR1298" i="2" s="1"/>
  <c r="AR1297" i="2" a="1"/>
  <c r="AR1297" i="2" s="1"/>
  <c r="AR1296" i="2" a="1"/>
  <c r="AR1296" i="2" s="1"/>
  <c r="AR1295" i="2" a="1"/>
  <c r="AR1295" i="2" s="1"/>
  <c r="AR1294" i="2" a="1"/>
  <c r="AR1294" i="2" s="1"/>
  <c r="AR1293" i="2" a="1"/>
  <c r="AR1293" i="2" s="1"/>
  <c r="AR1292" i="2" a="1"/>
  <c r="AR1292" i="2" s="1"/>
  <c r="AR1291" i="2" a="1"/>
  <c r="AR1291" i="2" s="1"/>
  <c r="AR1290" i="2" a="1"/>
  <c r="AR1290" i="2" s="1"/>
  <c r="AR1289" i="2" a="1"/>
  <c r="AR1289" i="2" s="1"/>
  <c r="AR1288" i="2" a="1"/>
  <c r="AR1288" i="2" s="1"/>
  <c r="AR1287" i="2" a="1"/>
  <c r="AR1287" i="2" s="1"/>
  <c r="AR1286" i="2" a="1"/>
  <c r="AR1286" i="2" s="1"/>
  <c r="AR1285" i="2" a="1"/>
  <c r="AR1285" i="2" s="1"/>
  <c r="AR1284" i="2" a="1"/>
  <c r="AR1284" i="2" s="1"/>
  <c r="AR1283" i="2" a="1"/>
  <c r="AR1283" i="2" s="1"/>
  <c r="AR1282" i="2" a="1"/>
  <c r="AR1282" i="2" s="1"/>
  <c r="AR1281" i="2" a="1"/>
  <c r="AR1281" i="2" s="1"/>
  <c r="AR1280" i="2" a="1"/>
  <c r="AR1280" i="2" s="1"/>
  <c r="AR1279" i="2" a="1"/>
  <c r="AR1279" i="2" s="1"/>
  <c r="AR1278" i="2" a="1"/>
  <c r="AR1278" i="2" s="1"/>
  <c r="AR1277" i="2" a="1"/>
  <c r="AR1277" i="2" s="1"/>
  <c r="AR1276" i="2" a="1"/>
  <c r="AR1276" i="2" s="1"/>
  <c r="AR1275" i="2" a="1"/>
  <c r="AR1275" i="2" s="1"/>
  <c r="AR1274" i="2" a="1"/>
  <c r="AR1274" i="2" s="1"/>
  <c r="AR1273" i="2" a="1"/>
  <c r="AR1273" i="2" s="1"/>
  <c r="AR1272" i="2" a="1"/>
  <c r="AR1272" i="2" s="1"/>
  <c r="AR1271" i="2" a="1"/>
  <c r="AR1271" i="2" s="1"/>
  <c r="AR1270" i="2" a="1"/>
  <c r="AR1270" i="2" s="1"/>
  <c r="AR1269" i="2" a="1"/>
  <c r="AR1269" i="2" s="1"/>
  <c r="AR1268" i="2" a="1"/>
  <c r="AR1268" i="2" s="1"/>
  <c r="AR1267" i="2" a="1"/>
  <c r="AR1267" i="2" s="1"/>
  <c r="AR1266" i="2" a="1"/>
  <c r="AR1266" i="2" s="1"/>
  <c r="AR1265" i="2" a="1"/>
  <c r="AR1265" i="2" s="1"/>
  <c r="AR1264" i="2" a="1"/>
  <c r="AR1264" i="2" s="1"/>
  <c r="AR1263" i="2" a="1"/>
  <c r="AR1263" i="2" s="1"/>
  <c r="AR1262" i="2" a="1"/>
  <c r="AR1262" i="2" s="1"/>
  <c r="AR1261" i="2" a="1"/>
  <c r="AR1261" i="2" s="1"/>
  <c r="AR1260" i="2" a="1"/>
  <c r="AR1260" i="2" s="1"/>
  <c r="AR1259" i="2" a="1"/>
  <c r="AR1259" i="2" s="1"/>
  <c r="AR1258" i="2" a="1"/>
  <c r="AR1258" i="2" s="1"/>
  <c r="AR1257" i="2" a="1"/>
  <c r="AR1257" i="2" s="1"/>
  <c r="AR1256" i="2" a="1"/>
  <c r="AR1256" i="2" s="1"/>
  <c r="AR1255" i="2" a="1"/>
  <c r="AR1255" i="2" s="1"/>
  <c r="AR1254" i="2" a="1"/>
  <c r="AR1254" i="2" s="1"/>
  <c r="AR1253" i="2" a="1"/>
  <c r="AR1253" i="2" s="1"/>
  <c r="AR1252" i="2" a="1"/>
  <c r="AR1252" i="2" s="1"/>
  <c r="AR1251" i="2" a="1"/>
  <c r="AR1251" i="2" s="1"/>
  <c r="AR1250" i="2" a="1"/>
  <c r="AR1250" i="2" s="1"/>
  <c r="AR1249" i="2" a="1"/>
  <c r="AR1249" i="2" s="1"/>
  <c r="AR1248" i="2" a="1"/>
  <c r="AR1248" i="2" s="1"/>
  <c r="AR1247" i="2" a="1"/>
  <c r="AR1247" i="2" s="1"/>
  <c r="AR1246" i="2" a="1"/>
  <c r="AR1246" i="2" s="1"/>
  <c r="AR1245" i="2" a="1"/>
  <c r="AR1245" i="2" s="1"/>
  <c r="AR1244" i="2" a="1"/>
  <c r="AR1244" i="2" s="1"/>
  <c r="AR1243" i="2" a="1"/>
  <c r="AR1243" i="2" s="1"/>
  <c r="AR1242" i="2" a="1"/>
  <c r="AR1242" i="2" s="1"/>
  <c r="AR1241" i="2" a="1"/>
  <c r="AR1241" i="2" s="1"/>
  <c r="AR1240" i="2" a="1"/>
  <c r="AR1240" i="2" s="1"/>
  <c r="AR1239" i="2" a="1"/>
  <c r="AR1239" i="2" s="1"/>
  <c r="AR1238" i="2" a="1"/>
  <c r="AR1238" i="2" s="1"/>
  <c r="AR1237" i="2" a="1"/>
  <c r="AR1237" i="2" s="1"/>
  <c r="AR1236" i="2" a="1"/>
  <c r="AR1236" i="2" s="1"/>
  <c r="AR1235" i="2" a="1"/>
  <c r="AR1235" i="2" s="1"/>
  <c r="AR1234" i="2" a="1"/>
  <c r="AR1234" i="2" s="1"/>
  <c r="AR1233" i="2" a="1"/>
  <c r="AR1233" i="2" s="1"/>
  <c r="AR1232" i="2" a="1"/>
  <c r="AR1232" i="2" s="1"/>
  <c r="AR1231" i="2" a="1"/>
  <c r="AR1231" i="2" s="1"/>
  <c r="AR1230" i="2" a="1"/>
  <c r="AR1230" i="2" s="1"/>
  <c r="AR1229" i="2" a="1"/>
  <c r="AR1229" i="2" s="1"/>
  <c r="AR1228" i="2" a="1"/>
  <c r="AR1228" i="2" s="1"/>
  <c r="AR1227" i="2" a="1"/>
  <c r="AR1227" i="2" s="1"/>
  <c r="AR1226" i="2" a="1"/>
  <c r="AR1226" i="2" s="1"/>
  <c r="AR1225" i="2" a="1"/>
  <c r="AR1225" i="2" s="1"/>
  <c r="AR1224" i="2" a="1"/>
  <c r="AR1224" i="2" s="1"/>
  <c r="AR1223" i="2" a="1"/>
  <c r="AR1223" i="2" s="1"/>
  <c r="AR1222" i="2" a="1"/>
  <c r="AR1222" i="2" s="1"/>
  <c r="AR1221" i="2" a="1"/>
  <c r="AR1221" i="2" s="1"/>
  <c r="AR1220" i="2" a="1"/>
  <c r="AR1220" i="2" s="1"/>
  <c r="AR1219" i="2" a="1"/>
  <c r="AR1219" i="2" s="1"/>
  <c r="AR1218" i="2" a="1"/>
  <c r="AR1218" i="2" s="1"/>
  <c r="AR1217" i="2" a="1"/>
  <c r="AR1217" i="2" s="1"/>
  <c r="AR1216" i="2" a="1"/>
  <c r="AR1216" i="2" s="1"/>
  <c r="AR1215" i="2" a="1"/>
  <c r="AR1215" i="2" s="1"/>
  <c r="AR1214" i="2" a="1"/>
  <c r="AR1214" i="2" s="1"/>
  <c r="AR1213" i="2" a="1"/>
  <c r="AR1213" i="2" s="1"/>
  <c r="AR1212" i="2" a="1"/>
  <c r="AR1212" i="2" s="1"/>
  <c r="AR1211" i="2" a="1"/>
  <c r="AR1211" i="2" s="1"/>
  <c r="AR1210" i="2" a="1"/>
  <c r="AR1210" i="2" s="1"/>
  <c r="AR1209" i="2" a="1"/>
  <c r="AR1209" i="2" s="1"/>
  <c r="AR1208" i="2" a="1"/>
  <c r="AR1208" i="2" s="1"/>
  <c r="AR1207" i="2" a="1"/>
  <c r="AR1207" i="2" s="1"/>
  <c r="AR1206" i="2" a="1"/>
  <c r="AR1206" i="2" s="1"/>
  <c r="AR1205" i="2" a="1"/>
  <c r="AR1205" i="2" s="1"/>
  <c r="AR1204" i="2" a="1"/>
  <c r="AR1204" i="2" s="1"/>
  <c r="AR1203" i="2" a="1"/>
  <c r="AR1203" i="2" s="1"/>
  <c r="AR1202" i="2" a="1"/>
  <c r="AR1202" i="2" s="1"/>
  <c r="AR1201" i="2" a="1"/>
  <c r="AR1201" i="2" s="1"/>
  <c r="AR1200" i="2" a="1"/>
  <c r="AR1200" i="2" s="1"/>
  <c r="AR1199" i="2" a="1"/>
  <c r="AR1199" i="2" s="1"/>
  <c r="AR1198" i="2" a="1"/>
  <c r="AR1198" i="2" s="1"/>
  <c r="AR1197" i="2" a="1"/>
  <c r="AR1197" i="2" s="1"/>
  <c r="AR1196" i="2" a="1"/>
  <c r="AR1196" i="2" s="1"/>
  <c r="AR1195" i="2" a="1"/>
  <c r="AR1195" i="2" s="1"/>
  <c r="AR1194" i="2" a="1"/>
  <c r="AR1194" i="2" s="1"/>
  <c r="AR1193" i="2" a="1"/>
  <c r="AR1193" i="2" s="1"/>
  <c r="AR1192" i="2" a="1"/>
  <c r="AR1192" i="2" s="1"/>
  <c r="AR1191" i="2" a="1"/>
  <c r="AR1191" i="2" s="1"/>
  <c r="AR1190" i="2" a="1"/>
  <c r="AR1190" i="2" s="1"/>
  <c r="AR1189" i="2" a="1"/>
  <c r="AR1189" i="2" s="1"/>
  <c r="AR1188" i="2" a="1"/>
  <c r="AR1188" i="2" s="1"/>
  <c r="AR1187" i="2" a="1"/>
  <c r="AR1187" i="2" s="1"/>
  <c r="AR1186" i="2" a="1"/>
  <c r="AR1186" i="2" s="1"/>
  <c r="AR1185" i="2" a="1"/>
  <c r="AR1185" i="2" s="1"/>
  <c r="AR1184" i="2" a="1"/>
  <c r="AR1184" i="2" s="1"/>
  <c r="AR1183" i="2" a="1"/>
  <c r="AR1183" i="2" s="1"/>
  <c r="AR1182" i="2" a="1"/>
  <c r="AR1182" i="2" s="1"/>
  <c r="AR1181" i="2" a="1"/>
  <c r="AR1181" i="2" s="1"/>
  <c r="AR1180" i="2" a="1"/>
  <c r="AR1180" i="2" s="1"/>
  <c r="AR1179" i="2" a="1"/>
  <c r="AR1179" i="2" s="1"/>
  <c r="AR1178" i="2" a="1"/>
  <c r="AR1178" i="2" s="1"/>
  <c r="AR1177" i="2" a="1"/>
  <c r="AR1177" i="2" s="1"/>
  <c r="AR1176" i="2" a="1"/>
  <c r="AR1176" i="2" s="1"/>
  <c r="AR1175" i="2" a="1"/>
  <c r="AR1175" i="2" s="1"/>
  <c r="AR1174" i="2" a="1"/>
  <c r="AR1174" i="2" s="1"/>
  <c r="AR1173" i="2" a="1"/>
  <c r="AR1173" i="2" s="1"/>
  <c r="AR1172" i="2" a="1"/>
  <c r="AR1172" i="2" s="1"/>
  <c r="AR1171" i="2" a="1"/>
  <c r="AR1171" i="2" s="1"/>
  <c r="AR1170" i="2" a="1"/>
  <c r="AR1170" i="2" s="1"/>
  <c r="AR1169" i="2" a="1"/>
  <c r="AR1169" i="2" s="1"/>
  <c r="AR1168" i="2" a="1"/>
  <c r="AR1168" i="2" s="1"/>
  <c r="AR1167" i="2" a="1"/>
  <c r="AR1167" i="2" s="1"/>
  <c r="AR1166" i="2" a="1"/>
  <c r="AR1166" i="2" s="1"/>
  <c r="AR1165" i="2" a="1"/>
  <c r="AR1165" i="2" s="1"/>
  <c r="AR1164" i="2" a="1"/>
  <c r="AR1164" i="2" s="1"/>
  <c r="AR1163" i="2" a="1"/>
  <c r="AR1163" i="2" s="1"/>
  <c r="AR1162" i="2" a="1"/>
  <c r="AR1162" i="2" s="1"/>
  <c r="AR1161" i="2" a="1"/>
  <c r="AR1161" i="2" s="1"/>
  <c r="AR1160" i="2" a="1"/>
  <c r="AR1160" i="2" s="1"/>
  <c r="AR1159" i="2" a="1"/>
  <c r="AR1159" i="2" s="1"/>
  <c r="AR1158" i="2" a="1"/>
  <c r="AR1158" i="2" s="1"/>
  <c r="AR1157" i="2" a="1"/>
  <c r="AR1157" i="2" s="1"/>
  <c r="AR1156" i="2" a="1"/>
  <c r="AR1156" i="2" s="1"/>
  <c r="AR1155" i="2" a="1"/>
  <c r="AR1155" i="2" s="1"/>
  <c r="AR1154" i="2" a="1"/>
  <c r="AR1154" i="2" s="1"/>
  <c r="AR1153" i="2" a="1"/>
  <c r="AR1153" i="2" s="1"/>
  <c r="AR1152" i="2" a="1"/>
  <c r="AR1152" i="2" s="1"/>
  <c r="AR1151" i="2" a="1"/>
  <c r="AR1151" i="2" s="1"/>
  <c r="AR1150" i="2" a="1"/>
  <c r="AR1150" i="2" s="1"/>
  <c r="AR1149" i="2" a="1"/>
  <c r="AR1149" i="2" s="1"/>
  <c r="AR1148" i="2" a="1"/>
  <c r="AR1148" i="2" s="1"/>
  <c r="AR1147" i="2" a="1"/>
  <c r="AR1147" i="2" s="1"/>
  <c r="AR1146" i="2" a="1"/>
  <c r="AR1146" i="2" s="1"/>
  <c r="AR1145" i="2" a="1"/>
  <c r="AR1145" i="2" s="1"/>
  <c r="AR1144" i="2" a="1"/>
  <c r="AR1144" i="2" s="1"/>
  <c r="AR1143" i="2" a="1"/>
  <c r="AR1143" i="2" s="1"/>
  <c r="AR1142" i="2" a="1"/>
  <c r="AR1142" i="2" s="1"/>
  <c r="AR1141" i="2" a="1"/>
  <c r="AR1141" i="2" s="1"/>
  <c r="AR1140" i="2" a="1"/>
  <c r="AR1140" i="2" s="1"/>
  <c r="AR1139" i="2" a="1"/>
  <c r="AR1139" i="2" s="1"/>
  <c r="AR1138" i="2" a="1"/>
  <c r="AR1138" i="2" s="1"/>
  <c r="AR1137" i="2" a="1"/>
  <c r="AR1137" i="2" s="1"/>
  <c r="AR1136" i="2" a="1"/>
  <c r="AR1136" i="2" s="1"/>
  <c r="AR1135" i="2" a="1"/>
  <c r="AR1135" i="2" s="1"/>
  <c r="AR1134" i="2" a="1"/>
  <c r="AR1134" i="2" s="1"/>
  <c r="AR1133" i="2" a="1"/>
  <c r="AR1133" i="2" s="1"/>
  <c r="AR1132" i="2" a="1"/>
  <c r="AR1132" i="2" s="1"/>
  <c r="AR1131" i="2" a="1"/>
  <c r="AR1131" i="2" s="1"/>
  <c r="AR1130" i="2" a="1"/>
  <c r="AR1130" i="2" s="1"/>
  <c r="AR1129" i="2" a="1"/>
  <c r="AR1129" i="2" s="1"/>
  <c r="AR1128" i="2" a="1"/>
  <c r="AR1128" i="2" s="1"/>
  <c r="AR1127" i="2" a="1"/>
  <c r="AR1127" i="2" s="1"/>
  <c r="AR1126" i="2" a="1"/>
  <c r="AR1126" i="2" s="1"/>
  <c r="AR1125" i="2" a="1"/>
  <c r="AR1125" i="2" s="1"/>
  <c r="AR1124" i="2" a="1"/>
  <c r="AR1124" i="2" s="1"/>
  <c r="AR1123" i="2" a="1"/>
  <c r="AR1123" i="2" s="1"/>
  <c r="AR1122" i="2" a="1"/>
  <c r="AR1122" i="2" s="1"/>
  <c r="AR1121" i="2" a="1"/>
  <c r="AR1121" i="2" s="1"/>
  <c r="AR1120" i="2" a="1"/>
  <c r="AR1120" i="2" s="1"/>
  <c r="AR1119" i="2" a="1"/>
  <c r="AR1119" i="2" s="1"/>
  <c r="AR1118" i="2" a="1"/>
  <c r="AR1118" i="2" s="1"/>
  <c r="AR1117" i="2" a="1"/>
  <c r="AR1117" i="2" s="1"/>
  <c r="AR1116" i="2" a="1"/>
  <c r="AR1116" i="2" s="1"/>
  <c r="AR1115" i="2" a="1"/>
  <c r="AR1115" i="2" s="1"/>
  <c r="AR1114" i="2" a="1"/>
  <c r="AR1114" i="2" s="1"/>
  <c r="AR1113" i="2" a="1"/>
  <c r="AR1113" i="2" s="1"/>
  <c r="AR1112" i="2" a="1"/>
  <c r="AR1112" i="2" s="1"/>
  <c r="AR1111" i="2" a="1"/>
  <c r="AR1111" i="2" s="1"/>
  <c r="AR1110" i="2" a="1"/>
  <c r="AR1110" i="2"/>
  <c r="AR1109" i="2" a="1"/>
  <c r="AR1109" i="2" s="1"/>
  <c r="AR1108" i="2" a="1"/>
  <c r="AR1108" i="2" s="1"/>
  <c r="AR1107" i="2" a="1"/>
  <c r="AR1107" i="2" s="1"/>
  <c r="AR1106" i="2" a="1"/>
  <c r="AR1106" i="2"/>
  <c r="AR1105" i="2" a="1"/>
  <c r="AR1105" i="2" s="1"/>
  <c r="AR1104" i="2" a="1"/>
  <c r="AR1104" i="2" s="1"/>
  <c r="AR1103" i="2" a="1"/>
  <c r="AR1103" i="2" s="1"/>
  <c r="AR1102" i="2" a="1"/>
  <c r="AR1102" i="2" s="1"/>
  <c r="AR1101" i="2" a="1"/>
  <c r="AR1101" i="2" s="1"/>
  <c r="AR1100" i="2" a="1"/>
  <c r="AR1100" i="2" s="1"/>
  <c r="AR1099" i="2" a="1"/>
  <c r="AR1099" i="2" s="1"/>
  <c r="AR1098" i="2" a="1"/>
  <c r="AR1098" i="2" s="1"/>
  <c r="AR1097" i="2" a="1"/>
  <c r="AR1097" i="2" s="1"/>
  <c r="AR1096" i="2" a="1"/>
  <c r="AR1096" i="2" s="1"/>
  <c r="AR1095" i="2" a="1"/>
  <c r="AR1095" i="2" s="1"/>
  <c r="AR1094" i="2" a="1"/>
  <c r="AR1094" i="2" s="1"/>
  <c r="AR1093" i="2" a="1"/>
  <c r="AR1093" i="2" s="1"/>
  <c r="AR1092" i="2" a="1"/>
  <c r="AR1092" i="2" s="1"/>
  <c r="AR1091" i="2" a="1"/>
  <c r="AR1091" i="2" s="1"/>
  <c r="AR1090" i="2" a="1"/>
  <c r="AR1090" i="2" s="1"/>
  <c r="AR1089" i="2" a="1"/>
  <c r="AR1089" i="2" s="1"/>
  <c r="AR1088" i="2" a="1"/>
  <c r="AR1088" i="2" s="1"/>
  <c r="AR1087" i="2" a="1"/>
  <c r="AR1087" i="2" s="1"/>
  <c r="AR1086" i="2" a="1"/>
  <c r="AR1086" i="2" s="1"/>
  <c r="AR1085" i="2" a="1"/>
  <c r="AR1085" i="2" s="1"/>
  <c r="AR1084" i="2" a="1"/>
  <c r="AR1084" i="2" s="1"/>
  <c r="AR1083" i="2" a="1"/>
  <c r="AR1083" i="2" s="1"/>
  <c r="AR1082" i="2" a="1"/>
  <c r="AR1082" i="2" s="1"/>
  <c r="AR1081" i="2" a="1"/>
  <c r="AR1081" i="2" s="1"/>
  <c r="AR1080" i="2" a="1"/>
  <c r="AR1080" i="2" s="1"/>
  <c r="AR1079" i="2" a="1"/>
  <c r="AR1079" i="2" s="1"/>
  <c r="AR1078" i="2" a="1"/>
  <c r="AR1078" i="2" s="1"/>
  <c r="AR1077" i="2" a="1"/>
  <c r="AR1077" i="2" s="1"/>
  <c r="AR1076" i="2" a="1"/>
  <c r="AR1076" i="2" s="1"/>
  <c r="AR1075" i="2" a="1"/>
  <c r="AR1075" i="2" s="1"/>
  <c r="AR1074" i="2" a="1"/>
  <c r="AR1074" i="2" s="1"/>
  <c r="AR1073" i="2" a="1"/>
  <c r="AR1073" i="2" s="1"/>
  <c r="AR1072" i="2" a="1"/>
  <c r="AR1072" i="2" s="1"/>
  <c r="AR1071" i="2" a="1"/>
  <c r="AR1071" i="2" s="1"/>
  <c r="AR1070" i="2" a="1"/>
  <c r="AR1070" i="2" s="1"/>
  <c r="AR1069" i="2" a="1"/>
  <c r="AR1069" i="2" s="1"/>
  <c r="AR1068" i="2" a="1"/>
  <c r="AR1068" i="2" s="1"/>
  <c r="AR1067" i="2" a="1"/>
  <c r="AR1067" i="2" s="1"/>
  <c r="AR1066" i="2" a="1"/>
  <c r="AR1066" i="2" s="1"/>
  <c r="AR1065" i="2" a="1"/>
  <c r="AR1065" i="2" s="1"/>
  <c r="AR1064" i="2" a="1"/>
  <c r="AR1064" i="2" s="1"/>
  <c r="AR1063" i="2" a="1"/>
  <c r="AR1063" i="2" s="1"/>
  <c r="AR1062" i="2" a="1"/>
  <c r="AR1062" i="2" s="1"/>
  <c r="AR1061" i="2" a="1"/>
  <c r="AR1061" i="2" s="1"/>
  <c r="AR1060" i="2" a="1"/>
  <c r="AR1060" i="2" s="1"/>
  <c r="AR1059" i="2" a="1"/>
  <c r="AR1059" i="2" s="1"/>
  <c r="AR1058" i="2" a="1"/>
  <c r="AR1058" i="2" s="1"/>
  <c r="AR1057" i="2" a="1"/>
  <c r="AR1057" i="2" s="1"/>
  <c r="AR1056" i="2" a="1"/>
  <c r="AR1056" i="2" s="1"/>
  <c r="AR1055" i="2" a="1"/>
  <c r="AR1055" i="2" s="1"/>
  <c r="AR1054" i="2" a="1"/>
  <c r="AR1054" i="2" s="1"/>
  <c r="AR1053" i="2" a="1"/>
  <c r="AR1053" i="2" s="1"/>
  <c r="AR1052" i="2" a="1"/>
  <c r="AR1052" i="2" s="1"/>
  <c r="AR1051" i="2" a="1"/>
  <c r="AR1051" i="2" s="1"/>
  <c r="AR1050" i="2" a="1"/>
  <c r="AR1050" i="2" s="1"/>
  <c r="AR1049" i="2" a="1"/>
  <c r="AR1049" i="2" s="1"/>
  <c r="AR1048" i="2" a="1"/>
  <c r="AR1048" i="2" s="1"/>
  <c r="AR1047" i="2" a="1"/>
  <c r="AR1047" i="2" s="1"/>
  <c r="AR1046" i="2" a="1"/>
  <c r="AR1046" i="2" s="1"/>
  <c r="AR1045" i="2" a="1"/>
  <c r="AR1045" i="2" s="1"/>
  <c r="AR1044" i="2" a="1"/>
  <c r="AR1044" i="2" s="1"/>
  <c r="AR1043" i="2" a="1"/>
  <c r="AR1043" i="2" s="1"/>
  <c r="AR1042" i="2" a="1"/>
  <c r="AR1042" i="2" s="1"/>
  <c r="AR1041" i="2" a="1"/>
  <c r="AR1041" i="2" s="1"/>
  <c r="AR1040" i="2" a="1"/>
  <c r="AR1040" i="2" s="1"/>
  <c r="AR1039" i="2" a="1"/>
  <c r="AR1039" i="2" s="1"/>
  <c r="AR1038" i="2" a="1"/>
  <c r="AR1038" i="2" s="1"/>
  <c r="AR1037" i="2" a="1"/>
  <c r="AR1037" i="2" s="1"/>
  <c r="AR1036" i="2" a="1"/>
  <c r="AR1036" i="2" s="1"/>
  <c r="AR1035" i="2" a="1"/>
  <c r="AR1035" i="2" s="1"/>
  <c r="AR1034" i="2" a="1"/>
  <c r="AR1034" i="2" s="1"/>
  <c r="AR1033" i="2" a="1"/>
  <c r="AR1033" i="2" s="1"/>
  <c r="AR1032" i="2" a="1"/>
  <c r="AR1032" i="2" s="1"/>
  <c r="AR1031" i="2" a="1"/>
  <c r="AR1031" i="2" s="1"/>
  <c r="AR1030" i="2" a="1"/>
  <c r="AR1030" i="2" s="1"/>
  <c r="AR1029" i="2" a="1"/>
  <c r="AR1029" i="2" s="1"/>
  <c r="AR1028" i="2" a="1"/>
  <c r="AR1028" i="2" s="1"/>
  <c r="AR1027" i="2" a="1"/>
  <c r="AR1027" i="2" s="1"/>
  <c r="AR1026" i="2" a="1"/>
  <c r="AR1026" i="2" s="1"/>
  <c r="AR1025" i="2" a="1"/>
  <c r="AR1025" i="2" s="1"/>
  <c r="AR1024" i="2" a="1"/>
  <c r="AR1024" i="2" s="1"/>
  <c r="AR1023" i="2" a="1"/>
  <c r="AR1023" i="2" s="1"/>
  <c r="AR1022" i="2" a="1"/>
  <c r="AR1022" i="2" s="1"/>
  <c r="AR1021" i="2" a="1"/>
  <c r="AR1021" i="2" s="1"/>
  <c r="AR1020" i="2" a="1"/>
  <c r="AR1020" i="2" s="1"/>
  <c r="AR1019" i="2" a="1"/>
  <c r="AR1019" i="2" s="1"/>
  <c r="AR1018" i="2" a="1"/>
  <c r="AR1018" i="2" s="1"/>
  <c r="AR1017" i="2" a="1"/>
  <c r="AR1017" i="2" s="1"/>
  <c r="AR1016" i="2" a="1"/>
  <c r="AR1016" i="2" s="1"/>
  <c r="AR1015" i="2" a="1"/>
  <c r="AR1015" i="2" s="1"/>
  <c r="AR1014" i="2" a="1"/>
  <c r="AR1014" i="2" s="1"/>
  <c r="AR1013" i="2" a="1"/>
  <c r="AR1013" i="2" s="1"/>
  <c r="AR1012" i="2" a="1"/>
  <c r="AR1012" i="2" s="1"/>
  <c r="AR1011" i="2" a="1"/>
  <c r="AR1011" i="2" s="1"/>
  <c r="AR1010" i="2" a="1"/>
  <c r="AR1010" i="2" s="1"/>
  <c r="AR1009" i="2" a="1"/>
  <c r="AR1009" i="2" s="1"/>
  <c r="AR1008" i="2" a="1"/>
  <c r="AR1008" i="2" s="1"/>
  <c r="AR1007" i="2" a="1"/>
  <c r="AR1007" i="2" s="1"/>
  <c r="AR1006" i="2" a="1"/>
  <c r="AR1006" i="2" s="1"/>
  <c r="AR1005" i="2" a="1"/>
  <c r="AR1005" i="2" s="1"/>
  <c r="AR1004" i="2" a="1"/>
  <c r="AR1004" i="2" s="1"/>
  <c r="AR1003" i="2" a="1"/>
  <c r="AR1003" i="2" s="1"/>
  <c r="AR1002" i="2" a="1"/>
  <c r="AR1002" i="2" s="1"/>
  <c r="AR1001" i="2" a="1"/>
  <c r="AR1001" i="2" s="1"/>
  <c r="AR1000" i="2" a="1"/>
  <c r="AR1000" i="2" s="1"/>
  <c r="AR999" i="2" a="1"/>
  <c r="AR999" i="2" s="1"/>
  <c r="AR998" i="2" a="1"/>
  <c r="AR998" i="2" s="1"/>
  <c r="AR997" i="2" a="1"/>
  <c r="AR997" i="2" s="1"/>
  <c r="AR996" i="2" a="1"/>
  <c r="AR996" i="2" s="1"/>
  <c r="AR995" i="2" a="1"/>
  <c r="AR995" i="2" s="1"/>
  <c r="AR994" i="2" a="1"/>
  <c r="AR994" i="2" s="1"/>
  <c r="AR993" i="2" a="1"/>
  <c r="AR993" i="2" s="1"/>
  <c r="AR992" i="2" a="1"/>
  <c r="AR992" i="2" s="1"/>
  <c r="AR991" i="2" a="1"/>
  <c r="AR991" i="2" s="1"/>
  <c r="AR990" i="2" a="1"/>
  <c r="AR990" i="2" s="1"/>
  <c r="AR989" i="2" a="1"/>
  <c r="AR989" i="2" s="1"/>
  <c r="AR988" i="2" a="1"/>
  <c r="AR988" i="2" s="1"/>
  <c r="AR987" i="2" a="1"/>
  <c r="AR987" i="2" s="1"/>
  <c r="AR986" i="2" a="1"/>
  <c r="AR986" i="2" s="1"/>
  <c r="AR985" i="2" a="1"/>
  <c r="AR985" i="2" s="1"/>
  <c r="AR984" i="2" a="1"/>
  <c r="AR984" i="2" s="1"/>
  <c r="AR983" i="2" a="1"/>
  <c r="AR983" i="2" s="1"/>
  <c r="AR982" i="2" a="1"/>
  <c r="AR982" i="2" s="1"/>
  <c r="AR981" i="2" a="1"/>
  <c r="AR981" i="2" s="1"/>
  <c r="AR980" i="2" a="1"/>
  <c r="AR980" i="2" s="1"/>
  <c r="AR979" i="2" a="1"/>
  <c r="AR979" i="2" s="1"/>
  <c r="AR978" i="2" a="1"/>
  <c r="AR978" i="2" s="1"/>
  <c r="AR977" i="2" a="1"/>
  <c r="AR977" i="2" s="1"/>
  <c r="AR976" i="2" a="1"/>
  <c r="AR976" i="2" s="1"/>
  <c r="AR975" i="2" a="1"/>
  <c r="AR975" i="2" s="1"/>
  <c r="AR974" i="2" a="1"/>
  <c r="AR974" i="2" s="1"/>
  <c r="AR973" i="2" a="1"/>
  <c r="AR973" i="2" s="1"/>
  <c r="AR972" i="2" a="1"/>
  <c r="AR972" i="2" s="1"/>
  <c r="AR971" i="2" a="1"/>
  <c r="AR971" i="2" s="1"/>
  <c r="AR970" i="2" a="1"/>
  <c r="AR970" i="2" s="1"/>
  <c r="AR969" i="2" a="1"/>
  <c r="AR969" i="2" s="1"/>
  <c r="AR968" i="2" a="1"/>
  <c r="AR968" i="2" s="1"/>
  <c r="AR967" i="2" a="1"/>
  <c r="AR967" i="2" s="1"/>
  <c r="AR966" i="2" a="1"/>
  <c r="AR966" i="2" s="1"/>
  <c r="AR965" i="2" a="1"/>
  <c r="AR965" i="2" s="1"/>
  <c r="AR964" i="2" a="1"/>
  <c r="AR964" i="2" s="1"/>
  <c r="AR963" i="2" a="1"/>
  <c r="AR963" i="2" s="1"/>
  <c r="AR962" i="2" a="1"/>
  <c r="AR962" i="2" s="1"/>
  <c r="AR961" i="2" a="1"/>
  <c r="AR961" i="2" s="1"/>
  <c r="AR960" i="2" a="1"/>
  <c r="AR960" i="2" s="1"/>
  <c r="AR959" i="2" a="1"/>
  <c r="AR959" i="2" s="1"/>
  <c r="AR958" i="2" a="1"/>
  <c r="AR958" i="2" s="1"/>
  <c r="AR957" i="2" a="1"/>
  <c r="AR957" i="2" s="1"/>
  <c r="AR956" i="2" a="1"/>
  <c r="AR956" i="2" s="1"/>
  <c r="AR955" i="2" a="1"/>
  <c r="AR955" i="2" s="1"/>
  <c r="AR954" i="2" a="1"/>
  <c r="AR954" i="2" s="1"/>
  <c r="AR953" i="2" a="1"/>
  <c r="AR953" i="2" s="1"/>
  <c r="AR952" i="2" a="1"/>
  <c r="AR952" i="2" s="1"/>
  <c r="AR951" i="2" a="1"/>
  <c r="AR951" i="2" s="1"/>
  <c r="AR950" i="2" a="1"/>
  <c r="AR950" i="2" s="1"/>
  <c r="AR949" i="2" a="1"/>
  <c r="AR949" i="2" s="1"/>
  <c r="AR948" i="2" a="1"/>
  <c r="AR948" i="2" s="1"/>
  <c r="AR947" i="2" a="1"/>
  <c r="AR947" i="2" s="1"/>
  <c r="AR946" i="2" a="1"/>
  <c r="AR946" i="2" s="1"/>
  <c r="AR945" i="2" a="1"/>
  <c r="AR945" i="2" s="1"/>
  <c r="AR944" i="2" a="1"/>
  <c r="AR944" i="2" s="1"/>
  <c r="AR943" i="2" a="1"/>
  <c r="AR943" i="2" s="1"/>
  <c r="AR942" i="2" a="1"/>
  <c r="AR942" i="2" s="1"/>
  <c r="AR941" i="2" a="1"/>
  <c r="AR941" i="2" s="1"/>
  <c r="AR940" i="2" a="1"/>
  <c r="AR940" i="2" s="1"/>
  <c r="AR939" i="2" a="1"/>
  <c r="AR939" i="2" s="1"/>
  <c r="AR938" i="2" a="1"/>
  <c r="AR938" i="2" s="1"/>
  <c r="AR937" i="2" a="1"/>
  <c r="AR937" i="2" s="1"/>
  <c r="AR936" i="2" a="1"/>
  <c r="AR936" i="2" s="1"/>
  <c r="AR935" i="2" a="1"/>
  <c r="AR935" i="2" s="1"/>
  <c r="AR934" i="2" a="1"/>
  <c r="AR934" i="2" s="1"/>
  <c r="AR933" i="2" a="1"/>
  <c r="AR933" i="2" s="1"/>
  <c r="AR932" i="2" a="1"/>
  <c r="AR932" i="2" s="1"/>
  <c r="AR931" i="2" a="1"/>
  <c r="AR931" i="2" s="1"/>
  <c r="AR930" i="2" a="1"/>
  <c r="AR930" i="2" s="1"/>
  <c r="AR929" i="2" a="1"/>
  <c r="AR929" i="2" s="1"/>
  <c r="AR928" i="2" a="1"/>
  <c r="AR928" i="2" s="1"/>
  <c r="AR927" i="2" a="1"/>
  <c r="AR927" i="2" s="1"/>
  <c r="AR926" i="2" a="1"/>
  <c r="AR926" i="2" s="1"/>
  <c r="AR925" i="2" a="1"/>
  <c r="AR925" i="2" s="1"/>
  <c r="AR924" i="2" a="1"/>
  <c r="AR924" i="2" s="1"/>
  <c r="AR923" i="2" a="1"/>
  <c r="AR923" i="2" s="1"/>
  <c r="AR922" i="2" a="1"/>
  <c r="AR922" i="2" s="1"/>
  <c r="AR921" i="2" a="1"/>
  <c r="AR921" i="2" s="1"/>
  <c r="AR920" i="2" a="1"/>
  <c r="AR920" i="2" s="1"/>
  <c r="AR919" i="2" a="1"/>
  <c r="AR919" i="2" s="1"/>
  <c r="AR918" i="2" a="1"/>
  <c r="AR918" i="2" s="1"/>
  <c r="AR917" i="2" a="1"/>
  <c r="AR917" i="2" s="1"/>
  <c r="AR916" i="2" a="1"/>
  <c r="AR916" i="2" s="1"/>
  <c r="AR915" i="2" a="1"/>
  <c r="AR915" i="2" s="1"/>
  <c r="AR914" i="2" a="1"/>
  <c r="AR914" i="2" s="1"/>
  <c r="AR913" i="2" a="1"/>
  <c r="AR913" i="2" s="1"/>
  <c r="AR912" i="2" a="1"/>
  <c r="AR912" i="2" s="1"/>
  <c r="AR911" i="2" a="1"/>
  <c r="AR911" i="2" s="1"/>
  <c r="AR910" i="2" a="1"/>
  <c r="AR910" i="2" s="1"/>
  <c r="AR909" i="2" a="1"/>
  <c r="AR909" i="2" s="1"/>
  <c r="AR908" i="2" a="1"/>
  <c r="AR908" i="2" s="1"/>
  <c r="AR907" i="2" a="1"/>
  <c r="AR907" i="2" s="1"/>
  <c r="AR906" i="2" a="1"/>
  <c r="AR906" i="2" s="1"/>
  <c r="AR905" i="2" a="1"/>
  <c r="AR905" i="2" s="1"/>
  <c r="AR904" i="2" a="1"/>
  <c r="AR904" i="2" s="1"/>
  <c r="AR903" i="2" a="1"/>
  <c r="AR903" i="2" s="1"/>
  <c r="AR902" i="2" a="1"/>
  <c r="AR902" i="2" s="1"/>
  <c r="AR901" i="2" a="1"/>
  <c r="AR901" i="2" s="1"/>
  <c r="AR900" i="2" a="1"/>
  <c r="AR900" i="2" s="1"/>
  <c r="AR899" i="2" a="1"/>
  <c r="AR899" i="2" s="1"/>
  <c r="AR898" i="2" a="1"/>
  <c r="AR898" i="2"/>
  <c r="AR897" i="2" a="1"/>
  <c r="AR897" i="2"/>
  <c r="AR896" i="2" a="1"/>
  <c r="AR896" i="2"/>
  <c r="AR895" i="2" a="1"/>
  <c r="AR895" i="2" s="1"/>
  <c r="AR894" i="2" a="1"/>
  <c r="AR894" i="2" s="1"/>
  <c r="AR893" i="2" a="1"/>
  <c r="AR893" i="2" s="1"/>
  <c r="AR892" i="2" a="1"/>
  <c r="AR892" i="2" s="1"/>
  <c r="AR891" i="2" a="1"/>
  <c r="AR891" i="2" s="1"/>
  <c r="AR890" i="2" a="1"/>
  <c r="AR890" i="2"/>
  <c r="AR889" i="2" a="1"/>
  <c r="AR889" i="2"/>
  <c r="AR888" i="2" a="1"/>
  <c r="AR888" i="2"/>
  <c r="AR887" i="2" a="1"/>
  <c r="AR887" i="2" s="1"/>
  <c r="AR886" i="2" a="1"/>
  <c r="AR886" i="2" s="1"/>
  <c r="AR885" i="2" a="1"/>
  <c r="AR885" i="2" s="1"/>
  <c r="AR884" i="2" a="1"/>
  <c r="AR884" i="2" s="1"/>
  <c r="AR883" i="2" a="1"/>
  <c r="AR883" i="2" s="1"/>
  <c r="AR882" i="2" a="1"/>
  <c r="AR882" i="2"/>
  <c r="AR881" i="2" a="1"/>
  <c r="AR881" i="2"/>
  <c r="AR880" i="2" a="1"/>
  <c r="AR880" i="2"/>
  <c r="AR879" i="2" a="1"/>
  <c r="AR879" i="2" s="1"/>
  <c r="AR878" i="2" a="1"/>
  <c r="AR878" i="2" s="1"/>
  <c r="AR877" i="2" a="1"/>
  <c r="AR877" i="2" s="1"/>
  <c r="AR876" i="2" a="1"/>
  <c r="AR876" i="2" s="1"/>
  <c r="AR875" i="2" a="1"/>
  <c r="AR875" i="2" s="1"/>
  <c r="AR874" i="2" a="1"/>
  <c r="AR874" i="2"/>
  <c r="AR873" i="2" a="1"/>
  <c r="AR873" i="2"/>
  <c r="AR872" i="2" a="1"/>
  <c r="AR872" i="2"/>
  <c r="AR871" i="2" a="1"/>
  <c r="AR871" i="2" s="1"/>
  <c r="AR870" i="2" a="1"/>
  <c r="AR870" i="2" s="1"/>
  <c r="AR869" i="2" a="1"/>
  <c r="AR869" i="2" s="1"/>
  <c r="AR868" i="2" a="1"/>
  <c r="AR868" i="2" s="1"/>
  <c r="AR867" i="2" a="1"/>
  <c r="AR867" i="2" s="1"/>
  <c r="AR866" i="2" a="1"/>
  <c r="AR866" i="2"/>
  <c r="AR865" i="2" a="1"/>
  <c r="AR865" i="2"/>
  <c r="AR864" i="2" a="1"/>
  <c r="AR864" i="2"/>
  <c r="AR863" i="2" a="1"/>
  <c r="AR863" i="2" s="1"/>
  <c r="AR862" i="2" a="1"/>
  <c r="AR862" i="2" s="1"/>
  <c r="AR861" i="2" a="1"/>
  <c r="AR861" i="2" s="1"/>
  <c r="AR860" i="2" a="1"/>
  <c r="AR860" i="2" s="1"/>
  <c r="AR859" i="2" a="1"/>
  <c r="AR859" i="2" s="1"/>
  <c r="AR858" i="2" a="1"/>
  <c r="AR858" i="2"/>
  <c r="AR857" i="2" a="1"/>
  <c r="AR857" i="2"/>
  <c r="AR856" i="2" a="1"/>
  <c r="AR856" i="2"/>
  <c r="AR855" i="2" a="1"/>
  <c r="AR855" i="2" s="1"/>
  <c r="AR854" i="2" a="1"/>
  <c r="AR854" i="2" s="1"/>
  <c r="AR853" i="2" a="1"/>
  <c r="AR853" i="2" s="1"/>
  <c r="AR852" i="2" a="1"/>
  <c r="AR852" i="2" s="1"/>
  <c r="AR851" i="2" a="1"/>
  <c r="AR851" i="2" s="1"/>
  <c r="AR850" i="2" a="1"/>
  <c r="AR850" i="2"/>
  <c r="AR849" i="2" a="1"/>
  <c r="AR849" i="2"/>
  <c r="AR848" i="2" a="1"/>
  <c r="AR848" i="2"/>
  <c r="AR847" i="2" a="1"/>
  <c r="AR847" i="2" s="1"/>
  <c r="AR846" i="2" a="1"/>
  <c r="AR846" i="2" s="1"/>
  <c r="AR845" i="2" a="1"/>
  <c r="AR845" i="2" s="1"/>
  <c r="AR844" i="2" a="1"/>
  <c r="AR844" i="2" s="1"/>
  <c r="AR843" i="2" a="1"/>
  <c r="AR843" i="2" s="1"/>
  <c r="AR842" i="2" a="1"/>
  <c r="AR842" i="2"/>
  <c r="AR841" i="2" a="1"/>
  <c r="AR841" i="2"/>
  <c r="AR840" i="2" a="1"/>
  <c r="AR840" i="2"/>
  <c r="AR839" i="2" a="1"/>
  <c r="AR839" i="2" s="1"/>
  <c r="AR838" i="2" a="1"/>
  <c r="AR838" i="2" s="1"/>
  <c r="AR837" i="2" a="1"/>
  <c r="AR837" i="2" s="1"/>
  <c r="AR836" i="2" a="1"/>
  <c r="AR836" i="2" s="1"/>
  <c r="AR835" i="2" a="1"/>
  <c r="AR835" i="2" s="1"/>
  <c r="AR834" i="2" a="1"/>
  <c r="AR834" i="2"/>
  <c r="AR833" i="2" a="1"/>
  <c r="AR833" i="2"/>
  <c r="AR832" i="2" a="1"/>
  <c r="AR832" i="2"/>
  <c r="AR831" i="2" a="1"/>
  <c r="AR831" i="2" s="1"/>
  <c r="AR830" i="2" a="1"/>
  <c r="AR830" i="2" s="1"/>
  <c r="AR829" i="2" a="1"/>
  <c r="AR829" i="2" s="1"/>
  <c r="AR828" i="2" a="1"/>
  <c r="AR828" i="2" s="1"/>
  <c r="AR827" i="2" a="1"/>
  <c r="AR827" i="2" s="1"/>
  <c r="AR826" i="2" a="1"/>
  <c r="AR826" i="2"/>
  <c r="AR825" i="2" a="1"/>
  <c r="AR825" i="2"/>
  <c r="AR824" i="2" a="1"/>
  <c r="AR824" i="2"/>
  <c r="AR823" i="2" a="1"/>
  <c r="AR823" i="2" s="1"/>
  <c r="AR822" i="2" a="1"/>
  <c r="AR822" i="2" s="1"/>
  <c r="AR821" i="2" a="1"/>
  <c r="AR821" i="2" s="1"/>
  <c r="AR820" i="2" a="1"/>
  <c r="AR820" i="2" s="1"/>
  <c r="AR819" i="2" a="1"/>
  <c r="AR819" i="2" s="1"/>
  <c r="AR818" i="2" a="1"/>
  <c r="AR818" i="2"/>
  <c r="AR817" i="2" a="1"/>
  <c r="AR817" i="2"/>
  <c r="AR816" i="2" a="1"/>
  <c r="AR816" i="2"/>
  <c r="AR815" i="2" a="1"/>
  <c r="AR815" i="2" s="1"/>
  <c r="AR814" i="2" a="1"/>
  <c r="AR814" i="2" s="1"/>
  <c r="AR813" i="2" a="1"/>
  <c r="AR813" i="2" s="1"/>
  <c r="AR812" i="2" a="1"/>
  <c r="AR812" i="2" s="1"/>
  <c r="AR811" i="2" a="1"/>
  <c r="AR811" i="2" s="1"/>
  <c r="AR810" i="2" a="1"/>
  <c r="AR810" i="2"/>
  <c r="AR809" i="2" a="1"/>
  <c r="AR809" i="2"/>
  <c r="AR808" i="2" a="1"/>
  <c r="AR808" i="2" s="1"/>
  <c r="AR807" i="2" a="1"/>
  <c r="AR807" i="2" s="1"/>
  <c r="AR806" i="2" a="1"/>
  <c r="AR806" i="2" s="1"/>
  <c r="AR805" i="2" a="1"/>
  <c r="AR805" i="2" s="1"/>
  <c r="AR804" i="2" a="1"/>
  <c r="AR804" i="2" s="1"/>
  <c r="AR803" i="2" a="1"/>
  <c r="AR803" i="2" s="1"/>
  <c r="AR802" i="2" a="1"/>
  <c r="AR802" i="2"/>
  <c r="AR801" i="2" a="1"/>
  <c r="AR801" i="2"/>
  <c r="AR800" i="2" a="1"/>
  <c r="AR800" i="2"/>
  <c r="AR799" i="2" a="1"/>
  <c r="AR799" i="2" s="1"/>
  <c r="AR798" i="2" a="1"/>
  <c r="AR798" i="2" s="1"/>
  <c r="AR797" i="2" a="1"/>
  <c r="AR797" i="2" s="1"/>
  <c r="AR796" i="2" a="1"/>
  <c r="AR796" i="2" s="1"/>
  <c r="AR795" i="2" a="1"/>
  <c r="AR795" i="2" s="1"/>
  <c r="AR794" i="2" a="1"/>
  <c r="AR794" i="2" s="1"/>
  <c r="AR793" i="2" a="1"/>
  <c r="AR793" i="2"/>
  <c r="AR792" i="2" a="1"/>
  <c r="AR792" i="2"/>
  <c r="AR791" i="2" a="1"/>
  <c r="AR791" i="2" s="1"/>
  <c r="AR790" i="2" a="1"/>
  <c r="AR790" i="2" s="1"/>
  <c r="AR789" i="2" a="1"/>
  <c r="AR789" i="2" s="1"/>
  <c r="AR788" i="2" a="1"/>
  <c r="AR788" i="2" s="1"/>
  <c r="AR787" i="2" a="1"/>
  <c r="AR787" i="2" s="1"/>
  <c r="AR786" i="2" a="1"/>
  <c r="AR786" i="2"/>
  <c r="AR785" i="2" a="1"/>
  <c r="AR785" i="2" s="1"/>
  <c r="AR784" i="2" a="1"/>
  <c r="AR784" i="2"/>
  <c r="AR783" i="2" a="1"/>
  <c r="AR783" i="2" s="1"/>
  <c r="AR782" i="2" a="1"/>
  <c r="AR782" i="2" s="1"/>
  <c r="AR781" i="2" a="1"/>
  <c r="AR781" i="2" s="1"/>
  <c r="AR780" i="2" a="1"/>
  <c r="AR780" i="2" s="1"/>
  <c r="AR779" i="2" a="1"/>
  <c r="AR779" i="2" s="1"/>
  <c r="AR778" i="2" a="1"/>
  <c r="AR778" i="2"/>
  <c r="AR777" i="2" a="1"/>
  <c r="AR777" i="2"/>
  <c r="AR776" i="2" a="1"/>
  <c r="AR776" i="2"/>
  <c r="AR775" i="2" a="1"/>
  <c r="AR775" i="2" s="1"/>
  <c r="AR774" i="2" a="1"/>
  <c r="AR774" i="2" s="1"/>
  <c r="AR773" i="2" a="1"/>
  <c r="AR773" i="2" s="1"/>
  <c r="AR772" i="2" a="1"/>
  <c r="AR772" i="2" s="1"/>
  <c r="AR771" i="2" a="1"/>
  <c r="AR771" i="2" s="1"/>
  <c r="AR770" i="2" a="1"/>
  <c r="AR770" i="2"/>
  <c r="AR769" i="2" a="1"/>
  <c r="AR769" i="2"/>
  <c r="AR768" i="2" a="1"/>
  <c r="AR768" i="2"/>
  <c r="AR767" i="2" a="1"/>
  <c r="AR767" i="2" s="1"/>
  <c r="AR766" i="2" a="1"/>
  <c r="AR766" i="2" s="1"/>
  <c r="AR765" i="2" a="1"/>
  <c r="AR765" i="2" s="1"/>
  <c r="AR764" i="2" a="1"/>
  <c r="AR764" i="2" s="1"/>
  <c r="AR763" i="2" a="1"/>
  <c r="AR763" i="2" s="1"/>
  <c r="AR762" i="2" a="1"/>
  <c r="AR762" i="2"/>
  <c r="AR761" i="2" a="1"/>
  <c r="AR761" i="2"/>
  <c r="AR760" i="2" a="1"/>
  <c r="AR760" i="2"/>
  <c r="AR759" i="2" a="1"/>
  <c r="AR759" i="2" s="1"/>
  <c r="AR758" i="2" a="1"/>
  <c r="AR758" i="2" s="1"/>
  <c r="AR757" i="2" a="1"/>
  <c r="AR757" i="2" s="1"/>
  <c r="AR756" i="2" a="1"/>
  <c r="AR756" i="2" s="1"/>
  <c r="AR755" i="2" a="1"/>
  <c r="AR755" i="2" s="1"/>
  <c r="AR754" i="2" a="1"/>
  <c r="AR754" i="2"/>
  <c r="AR753" i="2" a="1"/>
  <c r="AR753" i="2" s="1"/>
  <c r="AR752" i="2" a="1"/>
  <c r="AR752" i="2"/>
  <c r="AR751" i="2" a="1"/>
  <c r="AR751" i="2" s="1"/>
  <c r="AR750" i="2" a="1"/>
  <c r="AR750" i="2" s="1"/>
  <c r="AR749" i="2" a="1"/>
  <c r="AR749" i="2" s="1"/>
  <c r="AR748" i="2" a="1"/>
  <c r="AR748" i="2" s="1"/>
  <c r="AR747" i="2" a="1"/>
  <c r="AR747" i="2" s="1"/>
  <c r="AR746" i="2" a="1"/>
  <c r="AR746" i="2"/>
  <c r="AR745" i="2" a="1"/>
  <c r="AR745" i="2"/>
  <c r="AR744" i="2" a="1"/>
  <c r="AR744" i="2" s="1"/>
  <c r="AR743" i="2" a="1"/>
  <c r="AR743" i="2" s="1"/>
  <c r="AR742" i="2" a="1"/>
  <c r="AR742" i="2" s="1"/>
  <c r="AR741" i="2" a="1"/>
  <c r="AR741" i="2" s="1"/>
  <c r="AR740" i="2" a="1"/>
  <c r="AR740" i="2" s="1"/>
  <c r="AR739" i="2" a="1"/>
  <c r="AR739" i="2" s="1"/>
  <c r="AR738" i="2" a="1"/>
  <c r="AR738" i="2"/>
  <c r="AR737" i="2" a="1"/>
  <c r="AR737" i="2"/>
  <c r="AR736" i="2" a="1"/>
  <c r="AR736" i="2"/>
  <c r="AR735" i="2" a="1"/>
  <c r="AR735" i="2" s="1"/>
  <c r="AR734" i="2" a="1"/>
  <c r="AR734" i="2" s="1"/>
  <c r="AR733" i="2" a="1"/>
  <c r="AR733" i="2" s="1"/>
  <c r="AR732" i="2" a="1"/>
  <c r="AR732" i="2" s="1"/>
  <c r="AR731" i="2" a="1"/>
  <c r="AR731" i="2" s="1"/>
  <c r="AR730" i="2" a="1"/>
  <c r="AR730" i="2" s="1"/>
  <c r="AR729" i="2" a="1"/>
  <c r="AR729" i="2"/>
  <c r="AR728" i="2" a="1"/>
  <c r="AR728" i="2"/>
  <c r="AR727" i="2" a="1"/>
  <c r="AR727" i="2" s="1"/>
  <c r="AR726" i="2" a="1"/>
  <c r="AR726" i="2" s="1"/>
  <c r="AR725" i="2" a="1"/>
  <c r="AR725" i="2" s="1"/>
  <c r="AR724" i="2" a="1"/>
  <c r="AR724" i="2" s="1"/>
  <c r="AR723" i="2" a="1"/>
  <c r="AR723" i="2" s="1"/>
  <c r="AR722" i="2" a="1"/>
  <c r="AR722" i="2"/>
  <c r="AR721" i="2" a="1"/>
  <c r="AR721" i="2" s="1"/>
  <c r="AR720" i="2" a="1"/>
  <c r="AR720" i="2"/>
  <c r="AR719" i="2" a="1"/>
  <c r="AR719" i="2" s="1"/>
  <c r="AR718" i="2" a="1"/>
  <c r="AR718" i="2" s="1"/>
  <c r="AR717" i="2" a="1"/>
  <c r="AR717" i="2" s="1"/>
  <c r="AR716" i="2" a="1"/>
  <c r="AR716" i="2" s="1"/>
  <c r="AR715" i="2" a="1"/>
  <c r="AR715" i="2" s="1"/>
  <c r="AR714" i="2" a="1"/>
  <c r="AR714" i="2"/>
  <c r="AR713" i="2" a="1"/>
  <c r="AR713" i="2"/>
  <c r="AR712" i="2" a="1"/>
  <c r="AR712" i="2" s="1"/>
  <c r="AR711" i="2" a="1"/>
  <c r="AR711" i="2" s="1"/>
  <c r="AR710" i="2" a="1"/>
  <c r="AR710" i="2" s="1"/>
  <c r="AR709" i="2" a="1"/>
  <c r="AR709" i="2" s="1"/>
  <c r="AR708" i="2" a="1"/>
  <c r="AR708" i="2" s="1"/>
  <c r="AR707" i="2" a="1"/>
  <c r="AR707" i="2" s="1"/>
  <c r="AR706" i="2" a="1"/>
  <c r="AR706" i="2"/>
  <c r="AR705" i="2" a="1"/>
  <c r="AR705" i="2"/>
  <c r="AR704" i="2" a="1"/>
  <c r="AR704" i="2"/>
  <c r="AR703" i="2" a="1"/>
  <c r="AR703" i="2" s="1"/>
  <c r="AR702" i="2" a="1"/>
  <c r="AR702" i="2" s="1"/>
  <c r="AR701" i="2" a="1"/>
  <c r="AR701" i="2" s="1"/>
  <c r="AR700" i="2" a="1"/>
  <c r="AR700" i="2" s="1"/>
  <c r="AR699" i="2" a="1"/>
  <c r="AR699" i="2" s="1"/>
  <c r="AR698" i="2" a="1"/>
  <c r="AR698" i="2" s="1"/>
  <c r="AR697" i="2" a="1"/>
  <c r="AR697" i="2"/>
  <c r="AR696" i="2" a="1"/>
  <c r="AR696" i="2"/>
  <c r="AR695" i="2" a="1"/>
  <c r="AR695" i="2" s="1"/>
  <c r="AR694" i="2" a="1"/>
  <c r="AR694" i="2" s="1"/>
  <c r="AR693" i="2" a="1"/>
  <c r="AR693" i="2" s="1"/>
  <c r="AR692" i="2" a="1"/>
  <c r="AR692" i="2" s="1"/>
  <c r="AR691" i="2" a="1"/>
  <c r="AR691" i="2" s="1"/>
  <c r="AR690" i="2" a="1"/>
  <c r="AR690" i="2"/>
  <c r="AR689" i="2" a="1"/>
  <c r="AR689" i="2" s="1"/>
  <c r="AR688" i="2" a="1"/>
  <c r="AR688" i="2"/>
  <c r="AR687" i="2" a="1"/>
  <c r="AR687" i="2" s="1"/>
  <c r="AR686" i="2" a="1"/>
  <c r="AR686" i="2" s="1"/>
  <c r="AR685" i="2" a="1"/>
  <c r="AR685" i="2" s="1"/>
  <c r="AR684" i="2" a="1"/>
  <c r="AR684" i="2" s="1"/>
  <c r="AR683" i="2" a="1"/>
  <c r="AR683" i="2" s="1"/>
  <c r="AR682" i="2" a="1"/>
  <c r="AR682" i="2"/>
  <c r="AR681" i="2" a="1"/>
  <c r="AR681" i="2"/>
  <c r="AR680" i="2" a="1"/>
  <c r="AR680" i="2" s="1"/>
  <c r="AR679" i="2" a="1"/>
  <c r="AR679" i="2" s="1"/>
  <c r="AR678" i="2" a="1"/>
  <c r="AR678" i="2" s="1"/>
  <c r="AR677" i="2" a="1"/>
  <c r="AR677" i="2" s="1"/>
  <c r="AR676" i="2" a="1"/>
  <c r="AR676" i="2" s="1"/>
  <c r="AR675" i="2" a="1"/>
  <c r="AR675" i="2" s="1"/>
  <c r="AR674" i="2" a="1"/>
  <c r="AR674" i="2"/>
  <c r="AR673" i="2" a="1"/>
  <c r="AR673" i="2"/>
  <c r="AR672" i="2" a="1"/>
  <c r="AR672" i="2"/>
  <c r="AR671" i="2" a="1"/>
  <c r="AR671" i="2" s="1"/>
  <c r="AR670" i="2" a="1"/>
  <c r="AR670" i="2" s="1"/>
  <c r="AR669" i="2" a="1"/>
  <c r="AR669" i="2" s="1"/>
  <c r="AR668" i="2" a="1"/>
  <c r="AR668" i="2" s="1"/>
  <c r="AR667" i="2" a="1"/>
  <c r="AR667" i="2" s="1"/>
  <c r="AR666" i="2" a="1"/>
  <c r="AR666" i="2" s="1"/>
  <c r="AR665" i="2" a="1"/>
  <c r="AR665" i="2"/>
  <c r="AR664" i="2" a="1"/>
  <c r="AR664" i="2"/>
  <c r="AR663" i="2" a="1"/>
  <c r="AR663" i="2" s="1"/>
  <c r="AR662" i="2" a="1"/>
  <c r="AR662" i="2" s="1"/>
  <c r="AR661" i="2" a="1"/>
  <c r="AR661" i="2" s="1"/>
  <c r="AR660" i="2" a="1"/>
  <c r="AR660" i="2" s="1"/>
  <c r="AR659" i="2" a="1"/>
  <c r="AR659" i="2" s="1"/>
  <c r="AR658" i="2" a="1"/>
  <c r="AR658" i="2"/>
  <c r="AR657" i="2" a="1"/>
  <c r="AR657" i="2" s="1"/>
  <c r="AR656" i="2" a="1"/>
  <c r="AR656" i="2"/>
  <c r="AR655" i="2" a="1"/>
  <c r="AR655" i="2" s="1"/>
  <c r="AR654" i="2" a="1"/>
  <c r="AR654" i="2" s="1"/>
  <c r="AR653" i="2" a="1"/>
  <c r="AR653" i="2" s="1"/>
  <c r="AR652" i="2" a="1"/>
  <c r="AR652" i="2" s="1"/>
  <c r="AR651" i="2" a="1"/>
  <c r="AR651" i="2" s="1"/>
  <c r="AR650" i="2" a="1"/>
  <c r="AR650" i="2"/>
  <c r="AR649" i="2" a="1"/>
  <c r="AR649" i="2"/>
  <c r="AR648" i="2" a="1"/>
  <c r="AR648" i="2" s="1"/>
  <c r="AR647" i="2" a="1"/>
  <c r="AR647" i="2" s="1"/>
  <c r="AR646" i="2" a="1"/>
  <c r="AR646" i="2" s="1"/>
  <c r="AR645" i="2" a="1"/>
  <c r="AR645" i="2" s="1"/>
  <c r="AR644" i="2" a="1"/>
  <c r="AR644" i="2" s="1"/>
  <c r="AR643" i="2" a="1"/>
  <c r="AR643" i="2" s="1"/>
  <c r="AR642" i="2" a="1"/>
  <c r="AR642" i="2"/>
  <c r="AR641" i="2" a="1"/>
  <c r="AR641" i="2"/>
  <c r="AR640" i="2" a="1"/>
  <c r="AR640" i="2"/>
  <c r="AR639" i="2" a="1"/>
  <c r="AR639" i="2" s="1"/>
  <c r="AR638" i="2" a="1"/>
  <c r="AR638" i="2" s="1"/>
  <c r="AR637" i="2" a="1"/>
  <c r="AR637" i="2" s="1"/>
  <c r="AR636" i="2" a="1"/>
  <c r="AR636" i="2" s="1"/>
  <c r="AR635" i="2" a="1"/>
  <c r="AR635" i="2" s="1"/>
  <c r="AR634" i="2" a="1"/>
  <c r="AR634" i="2" s="1"/>
  <c r="AR633" i="2" a="1"/>
  <c r="AR633" i="2"/>
  <c r="AR632" i="2" a="1"/>
  <c r="AR632" i="2"/>
  <c r="AR631" i="2" a="1"/>
  <c r="AR631" i="2" s="1"/>
  <c r="AR630" i="2" a="1"/>
  <c r="AR630" i="2" s="1"/>
  <c r="AR629" i="2" a="1"/>
  <c r="AR629" i="2" s="1"/>
  <c r="AR628" i="2" a="1"/>
  <c r="AR628" i="2" s="1"/>
  <c r="AR627" i="2" a="1"/>
  <c r="AR627" i="2" s="1"/>
  <c r="AR626" i="2" a="1"/>
  <c r="AR626" i="2"/>
  <c r="AR625" i="2" a="1"/>
  <c r="AR625" i="2" s="1"/>
  <c r="AR624" i="2" a="1"/>
  <c r="AR624" i="2"/>
  <c r="AR623" i="2" a="1"/>
  <c r="AR623" i="2" s="1"/>
  <c r="AR622" i="2" a="1"/>
  <c r="AR622" i="2" s="1"/>
  <c r="AR621" i="2" a="1"/>
  <c r="AR621" i="2" s="1"/>
  <c r="AR620" i="2" a="1"/>
  <c r="AR620" i="2" s="1"/>
  <c r="AR619" i="2" a="1"/>
  <c r="AR619" i="2" s="1"/>
  <c r="AR618" i="2" a="1"/>
  <c r="AR618" i="2"/>
  <c r="AR617" i="2" a="1"/>
  <c r="AR617" i="2"/>
  <c r="AR616" i="2" a="1"/>
  <c r="AR616" i="2" s="1"/>
  <c r="AR615" i="2" a="1"/>
  <c r="AR615" i="2"/>
  <c r="AR614" i="2" a="1"/>
  <c r="AR614" i="2"/>
  <c r="AR613" i="2" a="1"/>
  <c r="AR613" i="2"/>
  <c r="AR612" i="2" a="1"/>
  <c r="AR612" i="2" s="1"/>
  <c r="AR611" i="2" a="1"/>
  <c r="AR611" i="2"/>
  <c r="AR610" i="2" a="1"/>
  <c r="AR610" i="2"/>
  <c r="AR609" i="2" a="1"/>
  <c r="AR609" i="2"/>
  <c r="AR608" i="2" a="1"/>
  <c r="AR608" i="2" s="1"/>
  <c r="AR607" i="2" a="1"/>
  <c r="AR607" i="2"/>
  <c r="AR606" i="2" a="1"/>
  <c r="AR606" i="2"/>
  <c r="AR605" i="2" a="1"/>
  <c r="AR605" i="2"/>
  <c r="AR604" i="2" a="1"/>
  <c r="AR604" i="2" s="1"/>
  <c r="AR603" i="2" a="1"/>
  <c r="AR603" i="2"/>
  <c r="AR602" i="2" a="1"/>
  <c r="AR602" i="2"/>
  <c r="AR601" i="2" a="1"/>
  <c r="AR601" i="2"/>
  <c r="AR600" i="2" a="1"/>
  <c r="AR600" i="2" s="1"/>
  <c r="AR599" i="2" a="1"/>
  <c r="AR599" i="2"/>
  <c r="AR598" i="2" a="1"/>
  <c r="AR598" i="2"/>
  <c r="AR597" i="2" a="1"/>
  <c r="AR597" i="2"/>
  <c r="AR596" i="2" a="1"/>
  <c r="AR596" i="2" s="1"/>
  <c r="AR595" i="2" a="1"/>
  <c r="AR595" i="2"/>
  <c r="AR594" i="2" a="1"/>
  <c r="AR594" i="2"/>
  <c r="AR593" i="2" a="1"/>
  <c r="AR593" i="2"/>
  <c r="AR592" i="2" a="1"/>
  <c r="AR592" i="2" s="1"/>
  <c r="AR591" i="2" a="1"/>
  <c r="AR591" i="2"/>
  <c r="AR590" i="2" a="1"/>
  <c r="AR590" i="2"/>
  <c r="AR589" i="2" a="1"/>
  <c r="AR589" i="2"/>
  <c r="AR588" i="2" a="1"/>
  <c r="AR588" i="2" s="1"/>
  <c r="AR587" i="2" a="1"/>
  <c r="AR587" i="2"/>
  <c r="AR586" i="2" a="1"/>
  <c r="AR586" i="2"/>
  <c r="AR585" i="2" a="1"/>
  <c r="AR585" i="2"/>
  <c r="AR584" i="2" a="1"/>
  <c r="AR584" i="2" s="1"/>
  <c r="AR583" i="2" a="1"/>
  <c r="AR583" i="2"/>
  <c r="AR582" i="2" a="1"/>
  <c r="AR582" i="2"/>
  <c r="AR581" i="2" a="1"/>
  <c r="AR581" i="2"/>
  <c r="AR580" i="2" a="1"/>
  <c r="AR580" i="2" s="1"/>
  <c r="AR579" i="2" a="1"/>
  <c r="AR579" i="2"/>
  <c r="AR578" i="2" a="1"/>
  <c r="AR578" i="2"/>
  <c r="AR577" i="2" a="1"/>
  <c r="AR577" i="2"/>
  <c r="AR576" i="2" a="1"/>
  <c r="AR576" i="2" s="1"/>
  <c r="AR575" i="2" a="1"/>
  <c r="AR575" i="2"/>
  <c r="AR574" i="2" a="1"/>
  <c r="AR574" i="2"/>
  <c r="AR573" i="2" a="1"/>
  <c r="AR573" i="2"/>
  <c r="AR572" i="2" a="1"/>
  <c r="AR572" i="2" s="1"/>
  <c r="AR571" i="2" a="1"/>
  <c r="AR571" i="2"/>
  <c r="AR570" i="2" a="1"/>
  <c r="AR570" i="2"/>
  <c r="AR569" i="2" a="1"/>
  <c r="AR569" i="2"/>
  <c r="AR568" i="2" a="1"/>
  <c r="AR568" i="2" s="1"/>
  <c r="AR567" i="2" a="1"/>
  <c r="AR567" i="2"/>
  <c r="AR566" i="2" a="1"/>
  <c r="AR566" i="2"/>
  <c r="AR565" i="2" a="1"/>
  <c r="AR565" i="2"/>
  <c r="AR564" i="2" a="1"/>
  <c r="AR564" i="2" s="1"/>
  <c r="AR563" i="2" a="1"/>
  <c r="AR563" i="2"/>
  <c r="AR562" i="2" a="1"/>
  <c r="AR562" i="2"/>
  <c r="AR561" i="2" a="1"/>
  <c r="AR561" i="2"/>
  <c r="AR560" i="2" a="1"/>
  <c r="AR560" i="2" s="1"/>
  <c r="AR559" i="2" a="1"/>
  <c r="AR559" i="2"/>
  <c r="AR558" i="2" a="1"/>
  <c r="AR558" i="2"/>
  <c r="AR557" i="2" a="1"/>
  <c r="AR557" i="2"/>
  <c r="AR556" i="2" a="1"/>
  <c r="AR556" i="2" s="1"/>
  <c r="AR555" i="2" a="1"/>
  <c r="AR555" i="2"/>
  <c r="AR554" i="2" a="1"/>
  <c r="AR554" i="2"/>
  <c r="AR553" i="2" a="1"/>
  <c r="AR553" i="2"/>
  <c r="AR552" i="2" a="1"/>
  <c r="AR552" i="2" s="1"/>
  <c r="AR551" i="2" a="1"/>
  <c r="AR551" i="2"/>
  <c r="AR550" i="2" a="1"/>
  <c r="AR550" i="2"/>
  <c r="AR549" i="2" a="1"/>
  <c r="AR549" i="2"/>
  <c r="AR548" i="2" a="1"/>
  <c r="AR548" i="2" s="1"/>
  <c r="AR547" i="2" a="1"/>
  <c r="AR547" i="2"/>
  <c r="AR546" i="2" a="1"/>
  <c r="AR546" i="2"/>
  <c r="AR545" i="2" a="1"/>
  <c r="AR545" i="2"/>
  <c r="AR544" i="2" a="1"/>
  <c r="AR544" i="2" s="1"/>
  <c r="AR543" i="2" a="1"/>
  <c r="AR543" i="2"/>
  <c r="AR542" i="2" a="1"/>
  <c r="AR542" i="2"/>
  <c r="AR541" i="2" a="1"/>
  <c r="AR541" i="2"/>
  <c r="AR540" i="2" a="1"/>
  <c r="AR540" i="2" s="1"/>
  <c r="AR539" i="2" a="1"/>
  <c r="AR539" i="2"/>
  <c r="AR538" i="2" a="1"/>
  <c r="AR538" i="2" s="1"/>
  <c r="AR537" i="2" a="1"/>
  <c r="AR537" i="2"/>
  <c r="AR536" i="2" a="1"/>
  <c r="AR536" i="2" s="1"/>
  <c r="AR535" i="2" a="1"/>
  <c r="AR535" i="2"/>
  <c r="AR534" i="2" a="1"/>
  <c r="AR534" i="2"/>
  <c r="AR533" i="2" a="1"/>
  <c r="AR533" i="2" s="1"/>
  <c r="AR532" i="2" a="1"/>
  <c r="AR532" i="2" s="1"/>
  <c r="AR531" i="2" a="1"/>
  <c r="AR531" i="2" s="1"/>
  <c r="AR530" i="2" a="1"/>
  <c r="AR530" i="2"/>
  <c r="AR529" i="2" a="1"/>
  <c r="AR529" i="2" s="1"/>
  <c r="AR528" i="2" a="1"/>
  <c r="AR528" i="2" s="1"/>
  <c r="AR527" i="2" a="1"/>
  <c r="AR527" i="2" s="1"/>
  <c r="AR526" i="2" a="1"/>
  <c r="AR526" i="2"/>
  <c r="AR525" i="2" a="1"/>
  <c r="AR525" i="2"/>
  <c r="AR524" i="2" a="1"/>
  <c r="AR524" i="2" s="1"/>
  <c r="AR523" i="2" a="1"/>
  <c r="AR523" i="2"/>
  <c r="AR522" i="2" a="1"/>
  <c r="AR522" i="2" s="1"/>
  <c r="AR521" i="2" a="1"/>
  <c r="AR521" i="2"/>
  <c r="AR520" i="2" a="1"/>
  <c r="AR520" i="2" s="1"/>
  <c r="AR519" i="2" a="1"/>
  <c r="AR519" i="2" s="1"/>
  <c r="AR518" i="2" a="1"/>
  <c r="AR518" i="2" s="1"/>
  <c r="AR517" i="2" a="1"/>
  <c r="AR517" i="2"/>
  <c r="AR516" i="2" a="1"/>
  <c r="AR516" i="2" s="1"/>
  <c r="AR515" i="2" a="1"/>
  <c r="AR515" i="2" s="1"/>
  <c r="AR514" i="2" a="1"/>
  <c r="AR514" i="2"/>
  <c r="AR513" i="2" a="1"/>
  <c r="AR513" i="2" s="1"/>
  <c r="AR512" i="2" a="1"/>
  <c r="AR512" i="2" s="1"/>
  <c r="AR511" i="2" a="1"/>
  <c r="AR511" i="2"/>
  <c r="AR510" i="2" a="1"/>
  <c r="AR510" i="2" s="1"/>
  <c r="AR509" i="2" a="1"/>
  <c r="AR509" i="2"/>
  <c r="AR508" i="2" a="1"/>
  <c r="AR508" i="2" s="1"/>
  <c r="AR507" i="2" a="1"/>
  <c r="AR507" i="2"/>
  <c r="AR506" i="2" a="1"/>
  <c r="AR506" i="2" s="1"/>
  <c r="AR505" i="2" a="1"/>
  <c r="AR505" i="2"/>
  <c r="AR504" i="2" a="1"/>
  <c r="AR504" i="2" s="1"/>
  <c r="AR503" i="2" a="1"/>
  <c r="AR503" i="2"/>
  <c r="AR502" i="2" a="1"/>
  <c r="AR502" i="2"/>
  <c r="AR501" i="2" a="1"/>
  <c r="AR501" i="2" s="1"/>
  <c r="AR500" i="2" a="1"/>
  <c r="AR500" i="2" s="1"/>
  <c r="AR499" i="2" a="1"/>
  <c r="AR499" i="2" s="1"/>
  <c r="AR498" i="2" a="1"/>
  <c r="AR498" i="2"/>
  <c r="AR497" i="2" a="1"/>
  <c r="AR497" i="2" s="1"/>
  <c r="AR496" i="2" a="1"/>
  <c r="AR496" i="2" s="1"/>
  <c r="AR495" i="2" a="1"/>
  <c r="AR495" i="2"/>
  <c r="AR494" i="2" a="1"/>
  <c r="AR494" i="2"/>
  <c r="AR493" i="2" a="1"/>
  <c r="AR493" i="2"/>
  <c r="AR492" i="2" a="1"/>
  <c r="AR492" i="2" s="1"/>
  <c r="AR491" i="2" a="1"/>
  <c r="AR491" i="2"/>
  <c r="AR490" i="2" a="1"/>
  <c r="AR490" i="2" s="1"/>
  <c r="AR489" i="2" a="1"/>
  <c r="AR489" i="2"/>
  <c r="AR488" i="2" a="1"/>
  <c r="AR488" i="2" s="1"/>
  <c r="AR487" i="2" a="1"/>
  <c r="AR487" i="2" s="1"/>
  <c r="AR486" i="2" a="1"/>
  <c r="AR486" i="2"/>
  <c r="AR485" i="2" a="1"/>
  <c r="AR485" i="2"/>
  <c r="AR484" i="2" a="1"/>
  <c r="AR484" i="2" s="1"/>
  <c r="AR483" i="2" a="1"/>
  <c r="AR483" i="2" s="1"/>
  <c r="AR482" i="2" a="1"/>
  <c r="AR482" i="2"/>
  <c r="AR481" i="2" a="1"/>
  <c r="AR481" i="2" s="1"/>
  <c r="AR480" i="2" a="1"/>
  <c r="AR480" i="2" s="1"/>
  <c r="AR479" i="2" a="1"/>
  <c r="AR479" i="2"/>
  <c r="AR478" i="2" a="1"/>
  <c r="AR478" i="2" s="1"/>
  <c r="AR477" i="2" a="1"/>
  <c r="AR477" i="2"/>
  <c r="AR476" i="2" a="1"/>
  <c r="AR476" i="2" s="1"/>
  <c r="AR475" i="2" a="1"/>
  <c r="AR475" i="2"/>
  <c r="AR474" i="2" a="1"/>
  <c r="AR474" i="2" s="1"/>
  <c r="AR473" i="2" a="1"/>
  <c r="AR473" i="2"/>
  <c r="AR472" i="2" a="1"/>
  <c r="AR472" i="2" s="1"/>
  <c r="AR471" i="2" a="1"/>
  <c r="AR471" i="2"/>
  <c r="AR470" i="2" a="1"/>
  <c r="AR470" i="2"/>
  <c r="AR469" i="2" a="1"/>
  <c r="AR469" i="2" s="1"/>
  <c r="AR468" i="2" a="1"/>
  <c r="AR468" i="2" s="1"/>
  <c r="AR467" i="2" a="1"/>
  <c r="AR467" i="2" s="1"/>
  <c r="AR466" i="2" a="1"/>
  <c r="AR466" i="2"/>
  <c r="AR465" i="2" a="1"/>
  <c r="AR465" i="2" s="1"/>
  <c r="AR464" i="2" a="1"/>
  <c r="AR464" i="2" s="1"/>
  <c r="AR463" i="2" a="1"/>
  <c r="AR463" i="2"/>
  <c r="AR462" i="2" a="1"/>
  <c r="AR462" i="2"/>
  <c r="AR461" i="2" a="1"/>
  <c r="AR461" i="2"/>
  <c r="AR460" i="2" a="1"/>
  <c r="AR460" i="2" s="1"/>
  <c r="AR459" i="2" a="1"/>
  <c r="AR459" i="2"/>
  <c r="AR458" i="2" a="1"/>
  <c r="AR458" i="2" s="1"/>
  <c r="AR457" i="2" a="1"/>
  <c r="AR457" i="2"/>
  <c r="AR456" i="2" a="1"/>
  <c r="AR456" i="2" s="1"/>
  <c r="AR455" i="2" a="1"/>
  <c r="AR455" i="2" s="1"/>
  <c r="AR454" i="2" a="1"/>
  <c r="AR454" i="2"/>
  <c r="AR453" i="2" a="1"/>
  <c r="AR453" i="2"/>
  <c r="AR452" i="2" a="1"/>
  <c r="AR452" i="2" s="1"/>
  <c r="AR451" i="2" a="1"/>
  <c r="AR451" i="2" s="1"/>
  <c r="AR450" i="2" a="1"/>
  <c r="AR450" i="2"/>
  <c r="AR449" i="2" a="1"/>
  <c r="AR449" i="2" s="1"/>
  <c r="AR448" i="2" a="1"/>
  <c r="AR448" i="2" s="1"/>
  <c r="AR447" i="2" a="1"/>
  <c r="AR447" i="2"/>
  <c r="AR446" i="2" a="1"/>
  <c r="AR446" i="2" s="1"/>
  <c r="AR445" i="2" a="1"/>
  <c r="AR445" i="2"/>
  <c r="AR444" i="2" a="1"/>
  <c r="AR444" i="2" s="1"/>
  <c r="AR443" i="2" a="1"/>
  <c r="AR443" i="2"/>
  <c r="AR442" i="2" a="1"/>
  <c r="AR442" i="2" s="1"/>
  <c r="AR441" i="2" a="1"/>
  <c r="AR441" i="2"/>
  <c r="AR440" i="2" a="1"/>
  <c r="AR440" i="2" s="1"/>
  <c r="AR439" i="2" a="1"/>
  <c r="AR439" i="2"/>
  <c r="AR438" i="2" a="1"/>
  <c r="AR438" i="2"/>
  <c r="AR437" i="2" a="1"/>
  <c r="AR437" i="2" s="1"/>
  <c r="AR436" i="2" a="1"/>
  <c r="AR436" i="2" s="1"/>
  <c r="AR435" i="2" a="1"/>
  <c r="AR435" i="2" s="1"/>
  <c r="AR434" i="2" a="1"/>
  <c r="AR434" i="2"/>
  <c r="AR433" i="2" a="1"/>
  <c r="AR433" i="2" s="1"/>
  <c r="AR432" i="2" a="1"/>
  <c r="AR432" i="2" s="1"/>
  <c r="AR431" i="2" a="1"/>
  <c r="AR431" i="2"/>
  <c r="AR430" i="2" a="1"/>
  <c r="AR430" i="2"/>
  <c r="AR429" i="2" a="1"/>
  <c r="AR429" i="2"/>
  <c r="AR428" i="2" a="1"/>
  <c r="AR428" i="2" s="1"/>
  <c r="AR427" i="2" a="1"/>
  <c r="AR427" i="2"/>
  <c r="AR426" i="2" a="1"/>
  <c r="AR426" i="2" s="1"/>
  <c r="AR425" i="2" a="1"/>
  <c r="AR425" i="2" s="1"/>
  <c r="AR424" i="2" a="1"/>
  <c r="AR424" i="2" s="1"/>
  <c r="AR423" i="2" a="1"/>
  <c r="AR423" i="2" s="1"/>
  <c r="AR422" i="2" a="1"/>
  <c r="AR422" i="2"/>
  <c r="AR421" i="2" a="1"/>
  <c r="AR421" i="2"/>
  <c r="AR420" i="2" a="1"/>
  <c r="AR420" i="2" s="1"/>
  <c r="AR419" i="2" a="1"/>
  <c r="AR419" i="2" s="1"/>
  <c r="AR418" i="2" a="1"/>
  <c r="AR418" i="2"/>
  <c r="AR417" i="2" a="1"/>
  <c r="AR417" i="2" s="1"/>
  <c r="AR416" i="2" a="1"/>
  <c r="AR416" i="2" s="1"/>
  <c r="AR415" i="2" a="1"/>
  <c r="AR415" i="2"/>
  <c r="AR414" i="2" a="1"/>
  <c r="AR414" i="2" s="1"/>
  <c r="AR413" i="2" a="1"/>
  <c r="AR413" i="2"/>
  <c r="AR412" i="2" a="1"/>
  <c r="AR412" i="2" s="1"/>
  <c r="AR411" i="2" a="1"/>
  <c r="AR411" i="2"/>
  <c r="AR410" i="2" a="1"/>
  <c r="AR410" i="2" s="1"/>
  <c r="AR409" i="2" a="1"/>
  <c r="AR409" i="2"/>
  <c r="AR408" i="2" a="1"/>
  <c r="AR408" i="2" s="1"/>
  <c r="AR407" i="2" a="1"/>
  <c r="AR407" i="2"/>
  <c r="AR406" i="2" a="1"/>
  <c r="AR406" i="2"/>
  <c r="AR405" i="2" a="1"/>
  <c r="AR405" i="2" s="1"/>
  <c r="AR404" i="2" a="1"/>
  <c r="AR404" i="2" s="1"/>
  <c r="AR403" i="2" a="1"/>
  <c r="AR403" i="2" s="1"/>
  <c r="AR402" i="2" a="1"/>
  <c r="AR402" i="2" s="1"/>
  <c r="AR401" i="2" a="1"/>
  <c r="AR401" i="2" s="1"/>
  <c r="AR400" i="2" a="1"/>
  <c r="AR400" i="2" s="1"/>
  <c r="AR399" i="2" a="1"/>
  <c r="AR399" i="2"/>
  <c r="AR398" i="2" a="1"/>
  <c r="AR398" i="2"/>
  <c r="AR397" i="2" a="1"/>
  <c r="AR397" i="2"/>
  <c r="AR396" i="2" a="1"/>
  <c r="AR396" i="2" s="1"/>
  <c r="AR395" i="2" a="1"/>
  <c r="AR395" i="2"/>
  <c r="AR394" i="2" a="1"/>
  <c r="AR394" i="2" s="1"/>
  <c r="AR393" i="2" a="1"/>
  <c r="AR393" i="2" s="1"/>
  <c r="AR392" i="2" a="1"/>
  <c r="AR392" i="2" s="1"/>
  <c r="AR391" i="2" a="1"/>
  <c r="AR391" i="2" s="1"/>
  <c r="AR390" i="2" a="1"/>
  <c r="AR390" i="2"/>
  <c r="AR389" i="2" a="1"/>
  <c r="AR389" i="2"/>
  <c r="AR388" i="2" a="1"/>
  <c r="AR388" i="2" s="1"/>
  <c r="AR387" i="2" a="1"/>
  <c r="AR387" i="2" s="1"/>
  <c r="AR386" i="2" a="1"/>
  <c r="AR386" i="2"/>
  <c r="AR385" i="2" a="1"/>
  <c r="AR385" i="2" s="1"/>
  <c r="AR384" i="2" a="1"/>
  <c r="AR384" i="2" s="1"/>
  <c r="AR383" i="2" a="1"/>
  <c r="AR383" i="2"/>
  <c r="AR382" i="2" a="1"/>
  <c r="AR382" i="2" s="1"/>
  <c r="AR381" i="2" a="1"/>
  <c r="AR381" i="2"/>
  <c r="AR380" i="2" a="1"/>
  <c r="AR380" i="2" s="1"/>
  <c r="AR379" i="2" a="1"/>
  <c r="AR379" i="2" s="1"/>
  <c r="AR378" i="2" a="1"/>
  <c r="AR378" i="2" s="1"/>
  <c r="AR377" i="2" a="1"/>
  <c r="AR377" i="2"/>
  <c r="AR376" i="2" a="1"/>
  <c r="AR376" i="2" s="1"/>
  <c r="AR375" i="2" a="1"/>
  <c r="AR375" i="2"/>
  <c r="AR374" i="2" a="1"/>
  <c r="AR374" i="2"/>
  <c r="AR373" i="2" a="1"/>
  <c r="AR373" i="2" s="1"/>
  <c r="AR372" i="2" a="1"/>
  <c r="AR372" i="2" s="1"/>
  <c r="AR371" i="2" a="1"/>
  <c r="AR371" i="2" s="1"/>
  <c r="AR370" i="2" a="1"/>
  <c r="AR370" i="2" s="1"/>
  <c r="AR369" i="2" a="1"/>
  <c r="AR369" i="2" s="1"/>
  <c r="AR368" i="2" a="1"/>
  <c r="AR368" i="2" s="1"/>
  <c r="AR367" i="2" a="1"/>
  <c r="AR367" i="2"/>
  <c r="AR366" i="2" a="1"/>
  <c r="AR366" i="2"/>
  <c r="AR365" i="2" a="1"/>
  <c r="AR365" i="2"/>
  <c r="AR364" i="2" a="1"/>
  <c r="AR364" i="2" s="1"/>
  <c r="AR363" i="2" a="1"/>
  <c r="AR363" i="2"/>
  <c r="AR362" i="2" a="1"/>
  <c r="AR362" i="2" s="1"/>
  <c r="AR361" i="2" a="1"/>
  <c r="AR361" i="2" s="1"/>
  <c r="AR360" i="2" a="1"/>
  <c r="AR360" i="2" s="1"/>
  <c r="AR359" i="2" a="1"/>
  <c r="AR359" i="2" s="1"/>
  <c r="AR358" i="2" a="1"/>
  <c r="AR358" i="2"/>
  <c r="AR357" i="2" a="1"/>
  <c r="AR357" i="2"/>
  <c r="AR356" i="2" a="1"/>
  <c r="AR356" i="2" s="1"/>
  <c r="AR355" i="2" a="1"/>
  <c r="AR355" i="2" s="1"/>
  <c r="AR354" i="2" a="1"/>
  <c r="AR354" i="2"/>
  <c r="AR353" i="2" a="1"/>
  <c r="AR353" i="2" s="1"/>
  <c r="AR352" i="2" a="1"/>
  <c r="AR352" i="2" s="1"/>
  <c r="AR351" i="2" a="1"/>
  <c r="AR351" i="2"/>
  <c r="AR350" i="2" a="1"/>
  <c r="AR350" i="2" s="1"/>
  <c r="AR349" i="2" a="1"/>
  <c r="AR349" i="2"/>
  <c r="AR348" i="2" a="1"/>
  <c r="AR348" i="2" s="1"/>
  <c r="AR347" i="2" a="1"/>
  <c r="AR347" i="2" s="1"/>
  <c r="AR346" i="2" a="1"/>
  <c r="AR346" i="2" s="1"/>
  <c r="AR345" i="2" a="1"/>
  <c r="AR345" i="2"/>
  <c r="AR344" i="2" a="1"/>
  <c r="AR344" i="2" s="1"/>
  <c r="AR343" i="2" a="1"/>
  <c r="AR343" i="2"/>
  <c r="AR342" i="2" a="1"/>
  <c r="AR342" i="2"/>
  <c r="AR341" i="2" a="1"/>
  <c r="AR341" i="2" s="1"/>
  <c r="AR340" i="2" a="1"/>
  <c r="AR340" i="2"/>
  <c r="AR339" i="2" a="1"/>
  <c r="AR339" i="2"/>
  <c r="AR338" i="2" a="1"/>
  <c r="AR338" i="2" s="1"/>
  <c r="AR337" i="2" a="1"/>
  <c r="AR337" i="2" s="1"/>
  <c r="AR336" i="2" a="1"/>
  <c r="AR336" i="2"/>
  <c r="AR335" i="2" a="1"/>
  <c r="AR335" i="2"/>
  <c r="AR334" i="2" a="1"/>
  <c r="AR334" i="2" s="1"/>
  <c r="AR333" i="2" a="1"/>
  <c r="AR333" i="2" s="1"/>
  <c r="AR332" i="2" a="1"/>
  <c r="AR332" i="2"/>
  <c r="AR331" i="2" a="1"/>
  <c r="AR331" i="2"/>
  <c r="AR330" i="2" a="1"/>
  <c r="AR330" i="2" s="1"/>
  <c r="AR329" i="2" a="1"/>
  <c r="AR329" i="2" s="1"/>
  <c r="AR328" i="2" a="1"/>
  <c r="AR328" i="2"/>
  <c r="AR327" i="2" a="1"/>
  <c r="AR327" i="2"/>
  <c r="AR326" i="2" a="1"/>
  <c r="AR326" i="2" s="1"/>
  <c r="AR325" i="2" a="1"/>
  <c r="AR325" i="2" s="1"/>
  <c r="AR324" i="2" a="1"/>
  <c r="AR324" i="2"/>
  <c r="AR323" i="2" a="1"/>
  <c r="AR323" i="2"/>
  <c r="AR322" i="2" a="1"/>
  <c r="AR322" i="2" s="1"/>
  <c r="AR321" i="2" a="1"/>
  <c r="AR321" i="2" s="1"/>
  <c r="AR320" i="2" a="1"/>
  <c r="AR320" i="2"/>
  <c r="AR319" i="2" a="1"/>
  <c r="AR319" i="2"/>
  <c r="AR318" i="2" a="1"/>
  <c r="AR318" i="2" s="1"/>
  <c r="AR317" i="2" a="1"/>
  <c r="AR317" i="2" s="1"/>
  <c r="AR316" i="2" a="1"/>
  <c r="AR316" i="2"/>
  <c r="AR315" i="2" a="1"/>
  <c r="AR315" i="2"/>
  <c r="AR314" i="2" a="1"/>
  <c r="AR314" i="2" s="1"/>
  <c r="AR313" i="2" a="1"/>
  <c r="AR313" i="2" s="1"/>
  <c r="AR312" i="2" a="1"/>
  <c r="AR312" i="2"/>
  <c r="AR311" i="2" a="1"/>
  <c r="AR311" i="2"/>
  <c r="AR310" i="2" a="1"/>
  <c r="AR310" i="2" s="1"/>
  <c r="AR309" i="2" a="1"/>
  <c r="AR309" i="2" s="1"/>
  <c r="AR308" i="2" a="1"/>
  <c r="AR308" i="2"/>
  <c r="AR307" i="2" a="1"/>
  <c r="AR307" i="2"/>
  <c r="AR306" i="2" a="1"/>
  <c r="AR306" i="2" s="1"/>
  <c r="AR305" i="2" a="1"/>
  <c r="AR305" i="2" s="1"/>
  <c r="AR304" i="2" a="1"/>
  <c r="AR304" i="2"/>
  <c r="AR303" i="2" a="1"/>
  <c r="AR303" i="2"/>
  <c r="AR302" i="2" a="1"/>
  <c r="AR302" i="2" s="1"/>
  <c r="AR301" i="2" a="1"/>
  <c r="AR301" i="2" s="1"/>
  <c r="AR300" i="2" a="1"/>
  <c r="AR300" i="2"/>
  <c r="AR299" i="2" a="1"/>
  <c r="AR299" i="2"/>
  <c r="AR298" i="2" a="1"/>
  <c r="AR298" i="2" s="1"/>
  <c r="AR297" i="2" a="1"/>
  <c r="AR297" i="2" s="1"/>
  <c r="AR296" i="2" a="1"/>
  <c r="AR296" i="2"/>
  <c r="AR295" i="2" a="1"/>
  <c r="AR295" i="2"/>
  <c r="AR294" i="2" a="1"/>
  <c r="AR294" i="2" s="1"/>
  <c r="AR293" i="2" a="1"/>
  <c r="AR293" i="2" s="1"/>
  <c r="AR292" i="2" a="1"/>
  <c r="AR292" i="2"/>
  <c r="AR291" i="2" a="1"/>
  <c r="AR291" i="2"/>
  <c r="AR290" i="2" a="1"/>
  <c r="AR290" i="2" s="1"/>
  <c r="AR289" i="2" a="1"/>
  <c r="AR289" i="2" s="1"/>
  <c r="AR288" i="2" a="1"/>
  <c r="AR288" i="2"/>
  <c r="AR287" i="2" a="1"/>
  <c r="AR287" i="2"/>
  <c r="AR286" i="2" a="1"/>
  <c r="AR286" i="2" s="1"/>
  <c r="AR285" i="2" a="1"/>
  <c r="AR285" i="2" s="1"/>
  <c r="AR284" i="2" a="1"/>
  <c r="AR284" i="2"/>
  <c r="AR283" i="2" a="1"/>
  <c r="AR283" i="2"/>
  <c r="AR282" i="2" a="1"/>
  <c r="AR282" i="2" s="1"/>
  <c r="AR281" i="2" a="1"/>
  <c r="AR281" i="2" s="1"/>
  <c r="AR280" i="2" a="1"/>
  <c r="AR280" i="2"/>
  <c r="AR279" i="2" a="1"/>
  <c r="AR279" i="2"/>
  <c r="AR278" i="2" a="1"/>
  <c r="AR278" i="2" s="1"/>
  <c r="AR277" i="2" a="1"/>
  <c r="AR277" i="2" s="1"/>
  <c r="AR276" i="2" a="1"/>
  <c r="AR276" i="2" s="1"/>
  <c r="AR275" i="2" a="1"/>
  <c r="AR275" i="2"/>
  <c r="AR274" i="2" a="1"/>
  <c r="AR274" i="2" s="1"/>
  <c r="AR273" i="2" a="1"/>
  <c r="AR273" i="2" s="1"/>
  <c r="AR272" i="2" a="1"/>
  <c r="AR272" i="2" s="1"/>
  <c r="AR271" i="2" a="1"/>
  <c r="AR271" i="2"/>
  <c r="AR270" i="2" a="1"/>
  <c r="AR270" i="2" s="1"/>
  <c r="AR269" i="2" a="1"/>
  <c r="AR269" i="2" s="1"/>
  <c r="AR268" i="2" a="1"/>
  <c r="AR268" i="2" s="1"/>
  <c r="AR267" i="2" a="1"/>
  <c r="AR267" i="2"/>
  <c r="AR266" i="2" a="1"/>
  <c r="AR266" i="2" s="1"/>
  <c r="AR265" i="2" a="1"/>
  <c r="AR265" i="2" s="1"/>
  <c r="AR264" i="2" a="1"/>
  <c r="AR264" i="2" s="1"/>
  <c r="AR263" i="2" a="1"/>
  <c r="AR263" i="2"/>
  <c r="AR262" i="2" a="1"/>
  <c r="AR262" i="2" s="1"/>
  <c r="AR261" i="2" a="1"/>
  <c r="AR261" i="2" s="1"/>
  <c r="AR260" i="2" a="1"/>
  <c r="AR260" i="2" s="1"/>
  <c r="AR259" i="2" a="1"/>
  <c r="AR259" i="2"/>
  <c r="AR258" i="2" a="1"/>
  <c r="AR258" i="2" s="1"/>
  <c r="AR257" i="2" a="1"/>
  <c r="AR257" i="2" s="1"/>
  <c r="AR256" i="2" a="1"/>
  <c r="AR256" i="2" s="1"/>
  <c r="AR255" i="2" a="1"/>
  <c r="AR255" i="2"/>
  <c r="AR254" i="2" a="1"/>
  <c r="AR254" i="2" s="1"/>
  <c r="AR253" i="2" a="1"/>
  <c r="AR253" i="2" s="1"/>
  <c r="AR252" i="2" a="1"/>
  <c r="AR252" i="2" s="1"/>
  <c r="AR251" i="2" a="1"/>
  <c r="AR251" i="2"/>
  <c r="AR250" i="2" a="1"/>
  <c r="AR250" i="2" s="1"/>
  <c r="AR249" i="2" a="1"/>
  <c r="AR249" i="2" s="1"/>
  <c r="AR248" i="2" a="1"/>
  <c r="AR248" i="2" s="1"/>
  <c r="AR247" i="2" a="1"/>
  <c r="AR247" i="2"/>
  <c r="AR246" i="2" a="1"/>
  <c r="AR246" i="2" s="1"/>
  <c r="AR245" i="2" a="1"/>
  <c r="AR245" i="2" s="1"/>
  <c r="AR244" i="2" a="1"/>
  <c r="AR244" i="2" s="1"/>
  <c r="AR243" i="2" a="1"/>
  <c r="AR243" i="2"/>
  <c r="AR242" i="2" a="1"/>
  <c r="AR242" i="2" s="1"/>
  <c r="AR241" i="2" a="1"/>
  <c r="AR241" i="2" s="1"/>
  <c r="AR240" i="2" a="1"/>
  <c r="AR240" i="2" s="1"/>
  <c r="AR239" i="2" a="1"/>
  <c r="AR239" i="2"/>
  <c r="AR238" i="2" a="1"/>
  <c r="AR238" i="2" s="1"/>
  <c r="AR237" i="2" a="1"/>
  <c r="AR237" i="2" s="1"/>
  <c r="AR236" i="2" a="1"/>
  <c r="AR236" i="2" s="1"/>
  <c r="AR235" i="2" a="1"/>
  <c r="AR235" i="2"/>
  <c r="AR234" i="2" a="1"/>
  <c r="AR234" i="2" s="1"/>
  <c r="AR233" i="2" a="1"/>
  <c r="AR233" i="2" s="1"/>
  <c r="AR232" i="2" a="1"/>
  <c r="AR232" i="2" s="1"/>
  <c r="AR231" i="2" a="1"/>
  <c r="AR231" i="2" s="1"/>
  <c r="AR230" i="2" a="1"/>
  <c r="AR230" i="2" s="1"/>
  <c r="AR229" i="2" a="1"/>
  <c r="AR229" i="2" s="1"/>
  <c r="AR228" i="2" a="1"/>
  <c r="AR228" i="2" s="1"/>
  <c r="AR227" i="2" a="1"/>
  <c r="AR227" i="2" s="1"/>
  <c r="AR226" i="2" a="1"/>
  <c r="AR226" i="2" s="1"/>
  <c r="AR225" i="2" a="1"/>
  <c r="AR225" i="2" s="1"/>
  <c r="AR224" i="2" a="1"/>
  <c r="AR224" i="2" s="1"/>
  <c r="AR223" i="2" a="1"/>
  <c r="AR223" i="2" s="1"/>
  <c r="AR222" i="2" a="1"/>
  <c r="AR222" i="2" s="1"/>
  <c r="AR221" i="2" a="1"/>
  <c r="AR221" i="2" s="1"/>
  <c r="AR220" i="2" a="1"/>
  <c r="AR220" i="2" s="1"/>
  <c r="AR219" i="2" a="1"/>
  <c r="AR219" i="2" s="1"/>
  <c r="AR218" i="2" a="1"/>
  <c r="AR218" i="2" s="1"/>
  <c r="AR217" i="2" a="1"/>
  <c r="AR217" i="2" s="1"/>
  <c r="AR216" i="2" a="1"/>
  <c r="AR216" i="2" s="1"/>
  <c r="AR215" i="2" a="1"/>
  <c r="AR215" i="2" s="1"/>
  <c r="AR214" i="2" a="1"/>
  <c r="AR214" i="2" s="1"/>
  <c r="AR213" i="2" a="1"/>
  <c r="AR213" i="2" s="1"/>
  <c r="AR212" i="2" a="1"/>
  <c r="AR212" i="2" s="1"/>
  <c r="AR211" i="2" a="1"/>
  <c r="AR211" i="2" s="1"/>
  <c r="AR210" i="2" a="1"/>
  <c r="AR210" i="2" s="1"/>
  <c r="AR209" i="2" a="1"/>
  <c r="AR209" i="2" s="1"/>
  <c r="AR208" i="2" a="1"/>
  <c r="AR208" i="2" s="1"/>
  <c r="AR207" i="2" a="1"/>
  <c r="AR207" i="2" s="1"/>
  <c r="AR206" i="2" a="1"/>
  <c r="AR206" i="2" s="1"/>
  <c r="AR205" i="2" a="1"/>
  <c r="AR205" i="2" s="1"/>
  <c r="AR204" i="2" a="1"/>
  <c r="AR204" i="2" s="1"/>
  <c r="AR203" i="2" a="1"/>
  <c r="AR203" i="2" s="1"/>
  <c r="AR202" i="2" a="1"/>
  <c r="AR202" i="2" s="1"/>
  <c r="AR201" i="2" a="1"/>
  <c r="AR201" i="2" s="1"/>
  <c r="AR200" i="2" a="1"/>
  <c r="AR200" i="2" s="1"/>
  <c r="AR199" i="2" a="1"/>
  <c r="AR199" i="2" s="1"/>
  <c r="AR198" i="2" a="1"/>
  <c r="AR198" i="2" s="1"/>
  <c r="AR197" i="2" a="1"/>
  <c r="AR197" i="2" s="1"/>
  <c r="AR196" i="2" a="1"/>
  <c r="AR196" i="2" s="1"/>
  <c r="AR195" i="2" a="1"/>
  <c r="AR195" i="2" s="1"/>
  <c r="AR194" i="2" a="1"/>
  <c r="AR194" i="2" s="1"/>
  <c r="AR193" i="2" a="1"/>
  <c r="AR193" i="2" s="1"/>
  <c r="AR192" i="2" a="1"/>
  <c r="AR192" i="2" s="1"/>
  <c r="AR191" i="2" a="1"/>
  <c r="AR191" i="2" s="1"/>
  <c r="AR190" i="2" a="1"/>
  <c r="AR190" i="2" s="1"/>
  <c r="AR189" i="2" a="1"/>
  <c r="AR189" i="2" s="1"/>
  <c r="AR188" i="2" a="1"/>
  <c r="AR188" i="2" s="1"/>
  <c r="AR187" i="2" a="1"/>
  <c r="AR187" i="2" s="1"/>
  <c r="AR186" i="2" a="1"/>
  <c r="AR186" i="2" s="1"/>
  <c r="AR185" i="2" a="1"/>
  <c r="AR185" i="2" s="1"/>
  <c r="AR184" i="2" a="1"/>
  <c r="AR184" i="2" s="1"/>
  <c r="AR183" i="2" a="1"/>
  <c r="AR183" i="2" s="1"/>
  <c r="AR182" i="2" a="1"/>
  <c r="AR182" i="2" s="1"/>
  <c r="AR181" i="2" a="1"/>
  <c r="AR181" i="2" s="1"/>
  <c r="AR180" i="2" a="1"/>
  <c r="AR180" i="2" s="1"/>
  <c r="AR179" i="2" a="1"/>
  <c r="AR179" i="2" s="1"/>
  <c r="AR178" i="2" a="1"/>
  <c r="AR178" i="2" s="1"/>
  <c r="AR177" i="2" a="1"/>
  <c r="AR177" i="2" s="1"/>
  <c r="AR176" i="2" a="1"/>
  <c r="AR176" i="2" s="1"/>
  <c r="AR175" i="2" a="1"/>
  <c r="AR175" i="2" s="1"/>
  <c r="AR174" i="2" a="1"/>
  <c r="AR174" i="2" s="1"/>
  <c r="AR173" i="2" a="1"/>
  <c r="AR173" i="2" s="1"/>
  <c r="AR172" i="2" a="1"/>
  <c r="AR172" i="2" s="1"/>
  <c r="AR171" i="2" a="1"/>
  <c r="AR171" i="2" s="1"/>
  <c r="AR170" i="2" a="1"/>
  <c r="AR170" i="2" s="1"/>
  <c r="AR169" i="2" a="1"/>
  <c r="AR169" i="2" s="1"/>
  <c r="AR168" i="2" a="1"/>
  <c r="AR168" i="2" s="1"/>
  <c r="AR167" i="2" a="1"/>
  <c r="AR167" i="2" s="1"/>
  <c r="AR166" i="2" a="1"/>
  <c r="AR166" i="2" s="1"/>
  <c r="AR165" i="2" a="1"/>
  <c r="AR165" i="2" s="1"/>
  <c r="AR164" i="2" a="1"/>
  <c r="AR164" i="2" s="1"/>
  <c r="AR163" i="2" a="1"/>
  <c r="AR163" i="2" s="1"/>
  <c r="AR162" i="2" a="1"/>
  <c r="AR162" i="2" s="1"/>
  <c r="AR161" i="2" a="1"/>
  <c r="AR161" i="2" s="1"/>
  <c r="AR160" i="2" a="1"/>
  <c r="AR160" i="2" s="1"/>
  <c r="AR159" i="2" a="1"/>
  <c r="AR159" i="2" s="1"/>
  <c r="AR158" i="2" a="1"/>
  <c r="AR158" i="2" s="1"/>
  <c r="AR157" i="2" a="1"/>
  <c r="AR157" i="2" s="1"/>
  <c r="AR156" i="2" a="1"/>
  <c r="AR156" i="2" s="1"/>
  <c r="AR155" i="2" a="1"/>
  <c r="AR155" i="2" s="1"/>
  <c r="AR154" i="2" a="1"/>
  <c r="AR154" i="2" s="1"/>
  <c r="AR153" i="2" a="1"/>
  <c r="AR153" i="2" s="1"/>
  <c r="AR152" i="2" a="1"/>
  <c r="AR152" i="2" s="1"/>
  <c r="AR151" i="2" a="1"/>
  <c r="AR151" i="2" s="1"/>
  <c r="AR150" i="2" a="1"/>
  <c r="AR150" i="2" s="1"/>
  <c r="AR149" i="2" a="1"/>
  <c r="AR149" i="2" s="1"/>
  <c r="AR148" i="2" a="1"/>
  <c r="AR148" i="2" s="1"/>
  <c r="AR147" i="2" a="1"/>
  <c r="AR147" i="2" s="1"/>
  <c r="AR146" i="2" a="1"/>
  <c r="AR146" i="2" s="1"/>
  <c r="AR145" i="2" a="1"/>
  <c r="AR145" i="2" s="1"/>
  <c r="AR144" i="2" a="1"/>
  <c r="AR144" i="2" s="1"/>
  <c r="AR143" i="2" a="1"/>
  <c r="AR143" i="2" s="1"/>
  <c r="AR142" i="2" a="1"/>
  <c r="AR142" i="2" s="1"/>
  <c r="AR141" i="2" a="1"/>
  <c r="AR141" i="2" s="1"/>
  <c r="AR140" i="2" a="1"/>
  <c r="AR140" i="2" s="1"/>
  <c r="AR139" i="2" a="1"/>
  <c r="AR139" i="2" s="1"/>
  <c r="AR138" i="2" a="1"/>
  <c r="AR138" i="2" s="1"/>
  <c r="AR137" i="2" a="1"/>
  <c r="AR137" i="2" s="1"/>
  <c r="AR136" i="2" a="1"/>
  <c r="AR136" i="2" s="1"/>
  <c r="AR135" i="2" a="1"/>
  <c r="AR135" i="2" s="1"/>
  <c r="AR134" i="2" a="1"/>
  <c r="AR134" i="2" s="1"/>
  <c r="AR133" i="2" a="1"/>
  <c r="AR133" i="2" s="1"/>
  <c r="AR132" i="2" a="1"/>
  <c r="AR132" i="2" s="1"/>
  <c r="AR131" i="2" a="1"/>
  <c r="AR131" i="2" s="1"/>
  <c r="AR130" i="2" a="1"/>
  <c r="AR130" i="2" s="1"/>
  <c r="AR129" i="2" a="1"/>
  <c r="AR129" i="2" s="1"/>
  <c r="AR128" i="2" a="1"/>
  <c r="AR128" i="2" s="1"/>
  <c r="AR127" i="2" a="1"/>
  <c r="AR127" i="2" s="1"/>
  <c r="AR126" i="2" a="1"/>
  <c r="AR126" i="2" s="1"/>
  <c r="AR125" i="2" a="1"/>
  <c r="AR125" i="2" s="1"/>
  <c r="AR124" i="2" a="1"/>
  <c r="AR124" i="2" s="1"/>
  <c r="AR123" i="2" a="1"/>
  <c r="AR123" i="2" s="1"/>
  <c r="AR122" i="2" a="1"/>
  <c r="AR122" i="2" s="1"/>
  <c r="AR121" i="2" a="1"/>
  <c r="AR121" i="2" s="1"/>
  <c r="AR120" i="2" a="1"/>
  <c r="AR120" i="2" s="1"/>
  <c r="AR119" i="2" a="1"/>
  <c r="AR119" i="2" s="1"/>
  <c r="AR118" i="2" a="1"/>
  <c r="AR118" i="2" s="1"/>
  <c r="AR117" i="2" a="1"/>
  <c r="AR117" i="2" s="1"/>
  <c r="AR116" i="2" a="1"/>
  <c r="AR116" i="2" s="1"/>
  <c r="AR115" i="2" a="1"/>
  <c r="AR115" i="2" s="1"/>
  <c r="AR114" i="2" a="1"/>
  <c r="AR114" i="2" s="1"/>
  <c r="AR113" i="2" a="1"/>
  <c r="AR113" i="2" s="1"/>
  <c r="AR112" i="2" a="1"/>
  <c r="AR112" i="2" s="1"/>
  <c r="AR111" i="2" a="1"/>
  <c r="AR111" i="2" s="1"/>
  <c r="AR110" i="2" a="1"/>
  <c r="AR110" i="2" s="1"/>
  <c r="AR109" i="2" a="1"/>
  <c r="AR109" i="2" s="1"/>
  <c r="AR108" i="2" a="1"/>
  <c r="AR108" i="2" s="1"/>
  <c r="AR107" i="2" a="1"/>
  <c r="AR107" i="2" s="1"/>
  <c r="AR106" i="2" a="1"/>
  <c r="AR106" i="2" s="1"/>
  <c r="AR105" i="2" a="1"/>
  <c r="AR105" i="2" s="1"/>
  <c r="AR104" i="2" a="1"/>
  <c r="AR104" i="2" s="1"/>
  <c r="AR103" i="2" a="1"/>
  <c r="AR103" i="2" s="1"/>
  <c r="AR102" i="2" a="1"/>
  <c r="AR102" i="2" s="1"/>
  <c r="AR101" i="2" a="1"/>
  <c r="AR101" i="2" s="1"/>
  <c r="AR100" i="2" a="1"/>
  <c r="AR100" i="2" s="1"/>
  <c r="AR99" i="2" a="1"/>
  <c r="AR99" i="2" s="1"/>
  <c r="AR98" i="2" a="1"/>
  <c r="AR98" i="2" s="1"/>
  <c r="AR97" i="2" a="1"/>
  <c r="AR97" i="2" s="1"/>
  <c r="AR96" i="2" a="1"/>
  <c r="AR96" i="2" s="1"/>
  <c r="AR95" i="2" a="1"/>
  <c r="AR95" i="2" s="1"/>
  <c r="AR94" i="2" a="1"/>
  <c r="AR94" i="2" s="1"/>
  <c r="AR93" i="2" a="1"/>
  <c r="AR93" i="2" s="1"/>
  <c r="AR92" i="2" a="1"/>
  <c r="AR92" i="2" s="1"/>
  <c r="AR91" i="2" a="1"/>
  <c r="AR91" i="2" s="1"/>
  <c r="AR90" i="2" a="1"/>
  <c r="AR90" i="2" s="1"/>
  <c r="AR89" i="2" a="1"/>
  <c r="AR89" i="2" s="1"/>
  <c r="AR88" i="2" a="1"/>
  <c r="AR88" i="2" s="1"/>
  <c r="AR87" i="2" a="1"/>
  <c r="AR87" i="2" s="1"/>
  <c r="AR86" i="2" a="1"/>
  <c r="AR86" i="2" s="1"/>
  <c r="AR85" i="2" a="1"/>
  <c r="AR85" i="2" s="1"/>
  <c r="AR84" i="2" a="1"/>
  <c r="AR84" i="2" s="1"/>
  <c r="AR83" i="2" a="1"/>
  <c r="AR83" i="2" s="1"/>
  <c r="AR82" i="2" a="1"/>
  <c r="AR82" i="2" s="1"/>
  <c r="AR81" i="2" a="1"/>
  <c r="AR81" i="2" s="1"/>
  <c r="AR80" i="2" a="1"/>
  <c r="AR80" i="2" s="1"/>
  <c r="AR79" i="2" a="1"/>
  <c r="AR79" i="2" s="1"/>
  <c r="AR78" i="2" a="1"/>
  <c r="AR78" i="2" s="1"/>
  <c r="AR77" i="2" a="1"/>
  <c r="AR77" i="2" s="1"/>
  <c r="AR76" i="2" a="1"/>
  <c r="AR76" i="2" s="1"/>
  <c r="AR75" i="2" a="1"/>
  <c r="AR75" i="2" s="1"/>
  <c r="AR74" i="2" a="1"/>
  <c r="AR74" i="2" s="1"/>
  <c r="AR73" i="2" a="1"/>
  <c r="AR73" i="2" s="1"/>
  <c r="AR72" i="2" a="1"/>
  <c r="AR72" i="2" s="1"/>
  <c r="AR71" i="2" a="1"/>
  <c r="AR71" i="2" s="1"/>
  <c r="AR70" i="2" a="1"/>
  <c r="AR70" i="2" s="1"/>
  <c r="AR69" i="2" a="1"/>
  <c r="AR69" i="2" s="1"/>
  <c r="AR68" i="2" a="1"/>
  <c r="AR68" i="2" s="1"/>
  <c r="AR67" i="2" a="1"/>
  <c r="AR67" i="2" s="1"/>
  <c r="AR66" i="2" a="1"/>
  <c r="AR66" i="2" s="1"/>
  <c r="AR65" i="2" a="1"/>
  <c r="AR65" i="2" s="1"/>
  <c r="AR64" i="2" a="1"/>
  <c r="AR64" i="2" s="1"/>
  <c r="AR63" i="2" a="1"/>
  <c r="AR63" i="2" s="1"/>
  <c r="AR62" i="2" a="1"/>
  <c r="AR62" i="2" s="1"/>
  <c r="AR61" i="2" a="1"/>
  <c r="AR61" i="2" s="1"/>
  <c r="AR60" i="2" a="1"/>
  <c r="AR60" i="2" s="1"/>
  <c r="AR59" i="2" a="1"/>
  <c r="AR59" i="2" s="1"/>
  <c r="AR58" i="2" a="1"/>
  <c r="AR58" i="2" s="1"/>
  <c r="AR57" i="2" a="1"/>
  <c r="AR57" i="2" s="1"/>
  <c r="AR56" i="2" a="1"/>
  <c r="AR56" i="2" s="1"/>
  <c r="AR55" i="2" a="1"/>
  <c r="AR55" i="2" s="1"/>
  <c r="AR54" i="2" a="1"/>
  <c r="AR54" i="2" s="1"/>
  <c r="AR53" i="2" a="1"/>
  <c r="AR53" i="2" s="1"/>
  <c r="AR52" i="2" a="1"/>
  <c r="AR52" i="2" s="1"/>
  <c r="AR51" i="2" a="1"/>
  <c r="AR51" i="2" s="1"/>
  <c r="AR50" i="2" a="1"/>
  <c r="AR50" i="2" s="1"/>
  <c r="AR49" i="2" a="1"/>
  <c r="AR49" i="2" s="1"/>
  <c r="AR48" i="2" a="1"/>
  <c r="AR48" i="2" s="1"/>
  <c r="AR47" i="2" a="1"/>
  <c r="AR47" i="2" s="1"/>
  <c r="AR46" i="2" a="1"/>
  <c r="AR46" i="2" s="1"/>
  <c r="AR45" i="2" a="1"/>
  <c r="AR45" i="2" s="1"/>
  <c r="AR44" i="2" a="1"/>
  <c r="AR44" i="2" s="1"/>
  <c r="AR43" i="2" a="1"/>
  <c r="AR43" i="2" s="1"/>
  <c r="AR42" i="2" a="1"/>
  <c r="AR42" i="2" s="1"/>
  <c r="AR41" i="2" a="1"/>
  <c r="AR41" i="2" s="1"/>
  <c r="AR40" i="2" a="1"/>
  <c r="AR40" i="2" s="1"/>
  <c r="AR39" i="2" a="1"/>
  <c r="AR39" i="2" s="1"/>
  <c r="AR38" i="2" a="1"/>
  <c r="AR38" i="2" s="1"/>
  <c r="AR37" i="2" a="1"/>
  <c r="AR37" i="2" s="1"/>
  <c r="AR36" i="2" a="1"/>
  <c r="AR36" i="2" s="1"/>
  <c r="AR35" i="2" a="1"/>
  <c r="AR35" i="2" s="1"/>
  <c r="AR34" i="2" a="1"/>
  <c r="AR34" i="2" s="1"/>
  <c r="AR33" i="2" a="1"/>
  <c r="AR33" i="2" s="1"/>
  <c r="AR32" i="2" a="1"/>
  <c r="AR32" i="2" s="1"/>
  <c r="AR31" i="2" a="1"/>
  <c r="AR31" i="2" s="1"/>
  <c r="AR30" i="2" a="1"/>
  <c r="AR30" i="2" s="1"/>
  <c r="AR29" i="2" a="1"/>
  <c r="AR29" i="2" s="1"/>
  <c r="AR28" i="2" a="1"/>
  <c r="AR28" i="2" s="1"/>
  <c r="AR27" i="2" a="1"/>
  <c r="AR27" i="2" s="1"/>
  <c r="AR26" i="2" a="1"/>
  <c r="AR26" i="2" s="1"/>
  <c r="AR25" i="2" a="1"/>
  <c r="AR25" i="2" s="1"/>
  <c r="AR24" i="2" a="1"/>
  <c r="AR24" i="2" s="1"/>
  <c r="AR23" i="2" a="1"/>
  <c r="AR23" i="2" s="1"/>
  <c r="AR22" i="2" a="1"/>
  <c r="AR22" i="2" s="1"/>
  <c r="AR21" i="2" a="1"/>
  <c r="AR21" i="2" s="1"/>
  <c r="AR20" i="2" a="1"/>
  <c r="AR20" i="2" s="1"/>
  <c r="AR19" i="2" a="1"/>
  <c r="AR19" i="2" s="1"/>
  <c r="AR18" i="2" a="1"/>
  <c r="AR18" i="2" s="1"/>
  <c r="AR17" i="2" a="1"/>
  <c r="AR17" i="2" s="1"/>
  <c r="AR16" i="2" a="1"/>
  <c r="AR16" i="2" s="1"/>
  <c r="AR15" i="2" a="1"/>
  <c r="AR15" i="2" s="1"/>
  <c r="AR14" i="2" a="1"/>
  <c r="AR14" i="2" s="1"/>
  <c r="AR13" i="2" a="1"/>
  <c r="AR13" i="2" s="1"/>
  <c r="AR12" i="2" a="1"/>
  <c r="AR12" i="2" s="1"/>
  <c r="AR11" i="2" a="1"/>
  <c r="AR11" i="2" s="1"/>
  <c r="AR10" i="2" a="1"/>
  <c r="AR10" i="2" s="1"/>
  <c r="AR9" i="2" a="1"/>
  <c r="AR9" i="2" s="1"/>
  <c r="AR8" i="2" a="1"/>
  <c r="AR8" i="2" s="1"/>
  <c r="AR7" i="2" a="1"/>
  <c r="AR7" i="2" s="1"/>
  <c r="AR6" i="2" a="1"/>
  <c r="AR6" i="2" s="1"/>
  <c r="AR5" i="2" a="1"/>
  <c r="AR5" i="2" s="1"/>
  <c r="AR4" i="2" a="1"/>
  <c r="AR4" i="2" s="1"/>
  <c r="AR3" i="2" a="1"/>
  <c r="AR3" i="2" s="1"/>
  <c r="AR2" i="2" a="1"/>
  <c r="AR2" i="2" s="1"/>
  <c r="R4" i="5"/>
  <c r="V4" i="5"/>
  <c r="AF3" i="5"/>
  <c r="BM3" i="5"/>
  <c r="BO3" i="5"/>
  <c r="Q3" i="5"/>
  <c r="AQ3" i="5"/>
  <c r="BM13" i="5" l="1"/>
  <c r="BN13" i="5"/>
  <c r="BO13" i="5"/>
  <c r="BP13" i="5"/>
  <c r="BM14" i="5"/>
  <c r="BN14" i="5"/>
  <c r="BO14" i="5"/>
  <c r="BP14" i="5"/>
  <c r="BO9" i="5"/>
  <c r="BO10" i="5"/>
  <c r="BO11" i="5"/>
  <c r="BO12" i="5"/>
  <c r="BO8" i="5"/>
  <c r="BN9" i="5"/>
  <c r="BN10" i="5"/>
  <c r="BN11" i="5"/>
  <c r="BN12" i="5"/>
  <c r="BM9" i="5"/>
  <c r="BM10" i="5"/>
  <c r="BM11" i="5"/>
  <c r="BM12" i="5"/>
  <c r="BM8" i="5"/>
  <c r="BN8" i="5"/>
  <c r="BP9" i="5"/>
  <c r="BP10" i="5"/>
  <c r="BP11" i="5"/>
  <c r="BP12" i="5"/>
  <c r="BP8" i="5"/>
  <c r="J11" i="4"/>
  <c r="J8" i="4"/>
  <c r="J9" i="4"/>
  <c r="J10" i="4"/>
  <c r="BD3" i="5" l="1"/>
  <c r="J13" i="4"/>
  <c r="AL2" i="2"/>
  <c r="AL3" i="2"/>
  <c r="AL4" i="2"/>
  <c r="AL5" i="2"/>
  <c r="AL6" i="2"/>
  <c r="AL7" i="2"/>
  <c r="AL8" i="2"/>
  <c r="AL9" i="2"/>
  <c r="AL10" i="2"/>
  <c r="AL11" i="2"/>
  <c r="AL12" i="2"/>
  <c r="AL13" i="2"/>
  <c r="AL14" i="2"/>
  <c r="AL15" i="2"/>
  <c r="AL16" i="2"/>
  <c r="AL17" i="2"/>
  <c r="AL18" i="2"/>
  <c r="AL19" i="2"/>
  <c r="AL20" i="2"/>
  <c r="AL21" i="2"/>
  <c r="AL22" i="2"/>
  <c r="AL23" i="2"/>
  <c r="AL24" i="2"/>
  <c r="AL25" i="2"/>
  <c r="AL26" i="2"/>
  <c r="AL27" i="2"/>
  <c r="AL28" i="2"/>
  <c r="AL29" i="2"/>
  <c r="AL30" i="2"/>
  <c r="AL31" i="2"/>
  <c r="AL32" i="2"/>
  <c r="AL33" i="2"/>
  <c r="AL34" i="2"/>
  <c r="AL35" i="2"/>
  <c r="AL36" i="2"/>
  <c r="AL37" i="2"/>
  <c r="AL38" i="2"/>
  <c r="AL39" i="2"/>
  <c r="AL40" i="2"/>
  <c r="AL41" i="2"/>
  <c r="AL42" i="2"/>
  <c r="AL43" i="2"/>
  <c r="AL44" i="2"/>
  <c r="AL45" i="2"/>
  <c r="AL46" i="2"/>
  <c r="AL47" i="2"/>
  <c r="AL48" i="2"/>
  <c r="AL49" i="2"/>
  <c r="AL50" i="2"/>
  <c r="AL51" i="2"/>
  <c r="AL52" i="2"/>
  <c r="AL53" i="2"/>
  <c r="AL54" i="2"/>
  <c r="AL55" i="2"/>
  <c r="AL56" i="2"/>
  <c r="AL57" i="2"/>
  <c r="AL58" i="2"/>
  <c r="AL59" i="2"/>
  <c r="AL60" i="2"/>
  <c r="AL61" i="2"/>
  <c r="AL62" i="2"/>
  <c r="AL63" i="2"/>
  <c r="AL64" i="2"/>
  <c r="AL65" i="2"/>
  <c r="AL66" i="2"/>
  <c r="AL67" i="2"/>
  <c r="AL68" i="2"/>
  <c r="AL69" i="2"/>
  <c r="AL70" i="2"/>
  <c r="AL71" i="2"/>
  <c r="AL72" i="2"/>
  <c r="AL73" i="2"/>
  <c r="AL74" i="2"/>
  <c r="AL75" i="2"/>
  <c r="AL76" i="2"/>
  <c r="AL77" i="2"/>
  <c r="AL78" i="2"/>
  <c r="AL79" i="2"/>
  <c r="AL80" i="2"/>
  <c r="AL81" i="2"/>
  <c r="AL82" i="2"/>
  <c r="AL83" i="2"/>
  <c r="AL84" i="2"/>
  <c r="AL85" i="2"/>
  <c r="AL86" i="2"/>
  <c r="AL87" i="2"/>
  <c r="AL88" i="2"/>
  <c r="AL89" i="2"/>
  <c r="AL90" i="2"/>
  <c r="AL91" i="2"/>
  <c r="AL92" i="2"/>
  <c r="AL93" i="2"/>
  <c r="AL94" i="2"/>
  <c r="AL95" i="2"/>
  <c r="AL96" i="2"/>
  <c r="AL97" i="2"/>
  <c r="AL98" i="2"/>
  <c r="AL99" i="2"/>
  <c r="AL100" i="2"/>
  <c r="AL101" i="2"/>
  <c r="AL102" i="2"/>
  <c r="AL103" i="2"/>
  <c r="AL104" i="2"/>
  <c r="AL105" i="2"/>
  <c r="AL106" i="2"/>
  <c r="AL107" i="2"/>
  <c r="AL108" i="2"/>
  <c r="AL109" i="2"/>
  <c r="AL110" i="2"/>
  <c r="AL111" i="2"/>
  <c r="AL112" i="2"/>
  <c r="AL113" i="2"/>
  <c r="AL114" i="2"/>
  <c r="AL115" i="2"/>
  <c r="AL116" i="2"/>
  <c r="AL117" i="2"/>
  <c r="AL118" i="2"/>
  <c r="AL119" i="2"/>
  <c r="AL120" i="2"/>
  <c r="AL121" i="2"/>
  <c r="AL122" i="2"/>
  <c r="AL123" i="2"/>
  <c r="AL124" i="2"/>
  <c r="AL125" i="2"/>
  <c r="AL126" i="2"/>
  <c r="AL127" i="2"/>
  <c r="AL128" i="2"/>
  <c r="AL129" i="2"/>
  <c r="AL130" i="2"/>
  <c r="AL131" i="2"/>
  <c r="AL132" i="2"/>
  <c r="AL133" i="2"/>
  <c r="AL134" i="2"/>
  <c r="AL135" i="2"/>
  <c r="AL136" i="2"/>
  <c r="AL137" i="2"/>
  <c r="AL138" i="2"/>
  <c r="AL139" i="2"/>
  <c r="AL140" i="2"/>
  <c r="AL141" i="2"/>
  <c r="AL142" i="2"/>
  <c r="AL143" i="2"/>
  <c r="AL144" i="2"/>
  <c r="AL145" i="2"/>
  <c r="AL146" i="2"/>
  <c r="AL147" i="2"/>
  <c r="AL148" i="2"/>
  <c r="AL149" i="2"/>
  <c r="AL150" i="2"/>
  <c r="AL151" i="2"/>
  <c r="AL152" i="2"/>
  <c r="AL153" i="2"/>
  <c r="AL154" i="2"/>
  <c r="AL155" i="2"/>
  <c r="AL156" i="2"/>
  <c r="AL157" i="2"/>
  <c r="AL158" i="2"/>
  <c r="AL159" i="2"/>
  <c r="AL160" i="2"/>
  <c r="AL161" i="2"/>
  <c r="AL162" i="2"/>
  <c r="AL163" i="2"/>
  <c r="AL164" i="2"/>
  <c r="AL165" i="2"/>
  <c r="AL166" i="2"/>
  <c r="AL167" i="2"/>
  <c r="AL168" i="2"/>
  <c r="AL169" i="2"/>
  <c r="AL170" i="2"/>
  <c r="AL171" i="2"/>
  <c r="AL172" i="2"/>
  <c r="AL173" i="2"/>
  <c r="AL174" i="2"/>
  <c r="AL175" i="2"/>
  <c r="AL176" i="2"/>
  <c r="AL177" i="2"/>
  <c r="AL178" i="2"/>
  <c r="AL179" i="2"/>
  <c r="AL180" i="2"/>
  <c r="AL181" i="2"/>
  <c r="AL182" i="2"/>
  <c r="AL183" i="2"/>
  <c r="AL184" i="2"/>
  <c r="AL185" i="2"/>
  <c r="AL186" i="2"/>
  <c r="AL187" i="2"/>
  <c r="AL188" i="2"/>
  <c r="AL189" i="2"/>
  <c r="AL190" i="2"/>
  <c r="AL191" i="2"/>
  <c r="AL192" i="2"/>
  <c r="AL193" i="2"/>
  <c r="AL194" i="2"/>
  <c r="AL195" i="2"/>
  <c r="AL196" i="2"/>
  <c r="AL197" i="2"/>
  <c r="AL198" i="2"/>
  <c r="AL199" i="2"/>
  <c r="AL200" i="2"/>
  <c r="AL201" i="2"/>
  <c r="AL202" i="2"/>
  <c r="AL203" i="2"/>
  <c r="AL204" i="2"/>
  <c r="AL205" i="2"/>
  <c r="AL206" i="2"/>
  <c r="AL207" i="2"/>
  <c r="AL208" i="2"/>
  <c r="AL209" i="2"/>
  <c r="AL210" i="2"/>
  <c r="AL211" i="2"/>
  <c r="AL212" i="2"/>
  <c r="AL213" i="2"/>
  <c r="AL214" i="2"/>
  <c r="AL215" i="2"/>
  <c r="AL216" i="2"/>
  <c r="AL217" i="2"/>
  <c r="AL218" i="2"/>
  <c r="AL219" i="2"/>
  <c r="AL220" i="2"/>
  <c r="AL221" i="2"/>
  <c r="AL222" i="2"/>
  <c r="AL223" i="2"/>
  <c r="AL224" i="2"/>
  <c r="AL225" i="2"/>
  <c r="AL226" i="2"/>
  <c r="AL227" i="2"/>
  <c r="AL228" i="2"/>
  <c r="AL229" i="2"/>
  <c r="AL230" i="2"/>
  <c r="AL231" i="2"/>
  <c r="AL232" i="2"/>
  <c r="AL233" i="2"/>
  <c r="AL234" i="2"/>
  <c r="AL235" i="2"/>
  <c r="AL236" i="2"/>
  <c r="AL237" i="2"/>
  <c r="AL238" i="2"/>
  <c r="AL239" i="2"/>
  <c r="AL240" i="2"/>
  <c r="AL241" i="2"/>
  <c r="AL242" i="2"/>
  <c r="AL243" i="2"/>
  <c r="AL244" i="2"/>
  <c r="AL245" i="2"/>
  <c r="AL246" i="2"/>
  <c r="AL247" i="2"/>
  <c r="AL248" i="2"/>
  <c r="AL249" i="2"/>
  <c r="AL250" i="2"/>
  <c r="AL251" i="2"/>
  <c r="AL252" i="2"/>
  <c r="AL253" i="2"/>
  <c r="AL254" i="2"/>
  <c r="AL255" i="2"/>
  <c r="AL256" i="2"/>
  <c r="AL257" i="2"/>
  <c r="AL258" i="2"/>
  <c r="AL259" i="2"/>
  <c r="AL260" i="2"/>
  <c r="AL261" i="2"/>
  <c r="AL262" i="2"/>
  <c r="AL263" i="2"/>
  <c r="AL264" i="2"/>
  <c r="AL265" i="2"/>
  <c r="AL266" i="2"/>
  <c r="AL267" i="2"/>
  <c r="AL268" i="2"/>
  <c r="AL269" i="2"/>
  <c r="AL270" i="2"/>
  <c r="AL271" i="2"/>
  <c r="AL272" i="2"/>
  <c r="AL273" i="2"/>
  <c r="AL274" i="2"/>
  <c r="AL275" i="2"/>
  <c r="AL276" i="2"/>
  <c r="AL277" i="2"/>
  <c r="AL278" i="2"/>
  <c r="AL279" i="2"/>
  <c r="AL280" i="2"/>
  <c r="AL281" i="2"/>
  <c r="AL282" i="2"/>
  <c r="AL283" i="2"/>
  <c r="AL284" i="2"/>
  <c r="AL285" i="2"/>
  <c r="AL286" i="2"/>
  <c r="AL287" i="2"/>
  <c r="AL288" i="2"/>
  <c r="AL289" i="2"/>
  <c r="AL290" i="2"/>
  <c r="AL291" i="2"/>
  <c r="AL292" i="2"/>
  <c r="AL293" i="2"/>
  <c r="AL294" i="2"/>
  <c r="AL295" i="2"/>
  <c r="AL296" i="2"/>
  <c r="AL297" i="2"/>
  <c r="AL298" i="2"/>
  <c r="AL299" i="2"/>
  <c r="AL300" i="2"/>
  <c r="AL301" i="2"/>
  <c r="AL302" i="2"/>
  <c r="AL303" i="2"/>
  <c r="AL304" i="2"/>
  <c r="AL305" i="2"/>
  <c r="AL306" i="2"/>
  <c r="AL307" i="2"/>
  <c r="AL308" i="2"/>
  <c r="AL309" i="2"/>
  <c r="AL310" i="2"/>
  <c r="AL311" i="2"/>
  <c r="AL312" i="2"/>
  <c r="AL313" i="2"/>
  <c r="AL314" i="2"/>
  <c r="AL315" i="2"/>
  <c r="AL316" i="2"/>
  <c r="AL317" i="2"/>
  <c r="AL318" i="2"/>
  <c r="AL319" i="2"/>
  <c r="AL320" i="2"/>
  <c r="AL321" i="2"/>
  <c r="AL322" i="2"/>
  <c r="AL323" i="2"/>
  <c r="AL324" i="2"/>
  <c r="AL325" i="2"/>
  <c r="AL326" i="2"/>
  <c r="AL327" i="2"/>
  <c r="AL328" i="2"/>
  <c r="AL329" i="2"/>
  <c r="AL330" i="2"/>
  <c r="AL331" i="2"/>
  <c r="AL332" i="2"/>
  <c r="AL333" i="2"/>
  <c r="AL334" i="2"/>
  <c r="AL335" i="2"/>
  <c r="AL336" i="2"/>
  <c r="AL337" i="2"/>
  <c r="AL338" i="2"/>
  <c r="AL339" i="2"/>
  <c r="AL340" i="2"/>
  <c r="AL341" i="2"/>
  <c r="AL342" i="2"/>
  <c r="AL343" i="2"/>
  <c r="AL344" i="2"/>
  <c r="AL345" i="2"/>
  <c r="AL346" i="2"/>
  <c r="AL347" i="2"/>
  <c r="AL348" i="2"/>
  <c r="AL349" i="2"/>
  <c r="AL350" i="2"/>
  <c r="AL351" i="2"/>
  <c r="AL352" i="2"/>
  <c r="AL353" i="2"/>
  <c r="AL354" i="2"/>
  <c r="AL355" i="2"/>
  <c r="AL356" i="2"/>
  <c r="AL357" i="2"/>
  <c r="AL358" i="2"/>
  <c r="AL359" i="2"/>
  <c r="AL360" i="2"/>
  <c r="AL361" i="2"/>
  <c r="AL362" i="2"/>
  <c r="AL363" i="2"/>
  <c r="AL364" i="2"/>
  <c r="AL365" i="2"/>
  <c r="AL366" i="2"/>
  <c r="AL367" i="2"/>
  <c r="AL368" i="2"/>
  <c r="AL369" i="2"/>
  <c r="AL370" i="2"/>
  <c r="AL371" i="2"/>
  <c r="AL372" i="2"/>
  <c r="AL373" i="2"/>
  <c r="AL374" i="2"/>
  <c r="AL375" i="2"/>
  <c r="AL376" i="2"/>
  <c r="AL377" i="2"/>
  <c r="AL378" i="2"/>
  <c r="AL379" i="2"/>
  <c r="AL380" i="2"/>
  <c r="AL381" i="2"/>
  <c r="AL382" i="2"/>
  <c r="AL383" i="2"/>
  <c r="AL384" i="2"/>
  <c r="AL385" i="2"/>
  <c r="AL386" i="2"/>
  <c r="AL387" i="2"/>
  <c r="AL388" i="2"/>
  <c r="AL389" i="2"/>
  <c r="AL390" i="2"/>
  <c r="AL391" i="2"/>
  <c r="AL392" i="2"/>
  <c r="AL393" i="2"/>
  <c r="AL394" i="2"/>
  <c r="AL395" i="2"/>
  <c r="AL396" i="2"/>
  <c r="AL397" i="2"/>
  <c r="AL398" i="2"/>
  <c r="AL399" i="2"/>
  <c r="AL400" i="2"/>
  <c r="AL401" i="2"/>
  <c r="AL402" i="2"/>
  <c r="AL403" i="2"/>
  <c r="AL404" i="2"/>
  <c r="AL405" i="2"/>
  <c r="AL406" i="2"/>
  <c r="AL407" i="2"/>
  <c r="AL408" i="2"/>
  <c r="AL409" i="2"/>
  <c r="AL410" i="2"/>
  <c r="AL411" i="2"/>
  <c r="AL412" i="2"/>
  <c r="AL413" i="2"/>
  <c r="AL414" i="2"/>
  <c r="AL415" i="2"/>
  <c r="AL416" i="2"/>
  <c r="AL417" i="2"/>
  <c r="AL418" i="2"/>
  <c r="AL419" i="2"/>
  <c r="AL420" i="2"/>
  <c r="AL421" i="2"/>
  <c r="AL422" i="2"/>
  <c r="AL423" i="2"/>
  <c r="AL424" i="2"/>
  <c r="AL425" i="2"/>
  <c r="AL426" i="2"/>
  <c r="AL427" i="2"/>
  <c r="AL428" i="2"/>
  <c r="AL429" i="2"/>
  <c r="AL430" i="2"/>
  <c r="AL431" i="2"/>
  <c r="AL432" i="2"/>
  <c r="AL433" i="2"/>
  <c r="AL434" i="2"/>
  <c r="AL435" i="2"/>
  <c r="AL436" i="2"/>
  <c r="AL437" i="2"/>
  <c r="AL438" i="2"/>
  <c r="AL439" i="2"/>
  <c r="AL440" i="2"/>
  <c r="AL441" i="2"/>
  <c r="AL442" i="2"/>
  <c r="AL443" i="2"/>
  <c r="AL444" i="2"/>
  <c r="AL445" i="2"/>
  <c r="AL446" i="2"/>
  <c r="AL447" i="2"/>
  <c r="AL448" i="2"/>
  <c r="AL449" i="2"/>
  <c r="AL450" i="2"/>
  <c r="AL451" i="2"/>
  <c r="AL452" i="2"/>
  <c r="AL453" i="2"/>
  <c r="AL454" i="2"/>
  <c r="AL455" i="2"/>
  <c r="AL456" i="2"/>
  <c r="AL457" i="2"/>
  <c r="AL458" i="2"/>
  <c r="AL459" i="2"/>
  <c r="AL460" i="2"/>
  <c r="AL461" i="2"/>
  <c r="AL462" i="2"/>
  <c r="AL463" i="2"/>
  <c r="AL464" i="2"/>
  <c r="AL465" i="2"/>
  <c r="AL466" i="2"/>
  <c r="AL467" i="2"/>
  <c r="AL468" i="2"/>
  <c r="AL469" i="2"/>
  <c r="AL470" i="2"/>
  <c r="AL471" i="2"/>
  <c r="AL472" i="2"/>
  <c r="AL473" i="2"/>
  <c r="AL474" i="2"/>
  <c r="AL475" i="2"/>
  <c r="AL476" i="2"/>
  <c r="AL477" i="2"/>
  <c r="AL478" i="2"/>
  <c r="AL479" i="2"/>
  <c r="AL480" i="2"/>
  <c r="AL481" i="2"/>
  <c r="AL482" i="2"/>
  <c r="AL483" i="2"/>
  <c r="AL484" i="2"/>
  <c r="AL485" i="2"/>
  <c r="AL486" i="2"/>
  <c r="AL487" i="2"/>
  <c r="AL488" i="2"/>
  <c r="AL489" i="2"/>
  <c r="AL490" i="2"/>
  <c r="AL491" i="2"/>
  <c r="AL492" i="2"/>
  <c r="AL493" i="2"/>
  <c r="AL494" i="2"/>
  <c r="AL495" i="2"/>
  <c r="AL496" i="2"/>
  <c r="AL497" i="2"/>
  <c r="AL498" i="2"/>
  <c r="AL499" i="2"/>
  <c r="AL500" i="2"/>
  <c r="AL501" i="2"/>
  <c r="AL502" i="2"/>
  <c r="AL503" i="2"/>
  <c r="AL504" i="2"/>
  <c r="AL505" i="2"/>
  <c r="AL506" i="2"/>
  <c r="AL507" i="2"/>
  <c r="AL508" i="2"/>
  <c r="AL509" i="2"/>
  <c r="AL510" i="2"/>
  <c r="AL511" i="2"/>
  <c r="AL512" i="2"/>
  <c r="AL513" i="2"/>
  <c r="AL514" i="2"/>
  <c r="AL515" i="2"/>
  <c r="AL516" i="2"/>
  <c r="AL517" i="2"/>
  <c r="AL518" i="2"/>
  <c r="AL519" i="2"/>
  <c r="AL520" i="2"/>
  <c r="AL521" i="2"/>
  <c r="AL522" i="2"/>
  <c r="AL523" i="2"/>
  <c r="AL524" i="2"/>
  <c r="AL525" i="2"/>
  <c r="AL526" i="2"/>
  <c r="AL527" i="2"/>
  <c r="AL528" i="2"/>
  <c r="AL529" i="2"/>
  <c r="AL530" i="2"/>
  <c r="AL531" i="2"/>
  <c r="AL532" i="2"/>
  <c r="AL533" i="2"/>
  <c r="AL534" i="2"/>
  <c r="AL535" i="2"/>
  <c r="AL536" i="2"/>
  <c r="AL537" i="2"/>
  <c r="AL538" i="2"/>
  <c r="AL539" i="2"/>
  <c r="AL540" i="2"/>
  <c r="AL541" i="2"/>
  <c r="AL542" i="2"/>
  <c r="AL543" i="2"/>
  <c r="AL544" i="2"/>
  <c r="AL545" i="2"/>
  <c r="AL546" i="2"/>
  <c r="AL547" i="2"/>
  <c r="AL548" i="2"/>
  <c r="AL549" i="2"/>
  <c r="AL550" i="2"/>
  <c r="AL551" i="2"/>
  <c r="AL552" i="2"/>
  <c r="AL553" i="2"/>
  <c r="AL554" i="2"/>
  <c r="AL555" i="2"/>
  <c r="AL556" i="2"/>
  <c r="AL557" i="2"/>
  <c r="AL558" i="2"/>
  <c r="AL559" i="2"/>
  <c r="AL560" i="2"/>
  <c r="AL561" i="2"/>
  <c r="AL562" i="2"/>
  <c r="AL563" i="2"/>
  <c r="AL564" i="2"/>
  <c r="AL565" i="2"/>
  <c r="AL566" i="2"/>
  <c r="AL567" i="2"/>
  <c r="AL568" i="2"/>
  <c r="AL569" i="2"/>
  <c r="AL570" i="2"/>
  <c r="AL571" i="2"/>
  <c r="AL572" i="2"/>
  <c r="AL573" i="2"/>
  <c r="AL574" i="2"/>
  <c r="AL575" i="2"/>
  <c r="AL576" i="2"/>
  <c r="AL577" i="2"/>
  <c r="AL578" i="2"/>
  <c r="AL579" i="2"/>
  <c r="AL580" i="2"/>
  <c r="AL581" i="2"/>
  <c r="AL582" i="2"/>
  <c r="AL583" i="2"/>
  <c r="AL584" i="2"/>
  <c r="AL585" i="2"/>
  <c r="AL586" i="2"/>
  <c r="AL587" i="2"/>
  <c r="AL588" i="2"/>
  <c r="AL589" i="2"/>
  <c r="AL590" i="2"/>
  <c r="AL591" i="2"/>
  <c r="AL592" i="2"/>
  <c r="AL593" i="2"/>
  <c r="AL594" i="2"/>
  <c r="AL595" i="2"/>
  <c r="AL596" i="2"/>
  <c r="AL597" i="2"/>
  <c r="AL598" i="2"/>
  <c r="AL599" i="2"/>
  <c r="AL600" i="2"/>
  <c r="AL601" i="2"/>
  <c r="AL602" i="2"/>
  <c r="AL603" i="2"/>
  <c r="AL604" i="2"/>
  <c r="AL605" i="2"/>
  <c r="AL606" i="2"/>
  <c r="AL607" i="2"/>
  <c r="AL608" i="2"/>
  <c r="AL609" i="2"/>
  <c r="AL610" i="2"/>
  <c r="AL611" i="2"/>
  <c r="AL612" i="2"/>
  <c r="AL613" i="2"/>
  <c r="AL614" i="2"/>
  <c r="AL615" i="2"/>
  <c r="AL616" i="2"/>
  <c r="AL617" i="2"/>
  <c r="AL618" i="2"/>
  <c r="AL619" i="2"/>
  <c r="AL620" i="2"/>
  <c r="AL621" i="2"/>
  <c r="AL622" i="2"/>
  <c r="AL623" i="2"/>
  <c r="AL624" i="2"/>
  <c r="AL625" i="2"/>
  <c r="AL626" i="2"/>
  <c r="AL627" i="2"/>
  <c r="AL628" i="2"/>
  <c r="AL629" i="2"/>
  <c r="AL630" i="2"/>
  <c r="AL631" i="2"/>
  <c r="AL632" i="2"/>
  <c r="AL633" i="2"/>
  <c r="AL634" i="2"/>
  <c r="AL635" i="2"/>
  <c r="AL636" i="2"/>
  <c r="AL637" i="2"/>
  <c r="AL638" i="2"/>
  <c r="AL639" i="2"/>
  <c r="AL640" i="2"/>
  <c r="AL641" i="2"/>
  <c r="AL642" i="2"/>
  <c r="AL643" i="2"/>
  <c r="AL644" i="2"/>
  <c r="AL645" i="2"/>
  <c r="AL646" i="2"/>
  <c r="AL647" i="2"/>
  <c r="AL648" i="2"/>
  <c r="AL649" i="2"/>
  <c r="AL650" i="2"/>
  <c r="AL651" i="2"/>
  <c r="AL652" i="2"/>
  <c r="AL653" i="2"/>
  <c r="AL654" i="2"/>
  <c r="AL655" i="2"/>
  <c r="AL656" i="2"/>
  <c r="AL657" i="2"/>
  <c r="AL658" i="2"/>
  <c r="AL659" i="2"/>
  <c r="AL660" i="2"/>
  <c r="AL661" i="2"/>
  <c r="AL662" i="2"/>
  <c r="AL663" i="2"/>
  <c r="AL664" i="2"/>
  <c r="AL665" i="2"/>
  <c r="AL666" i="2"/>
  <c r="AL667" i="2"/>
  <c r="AL668" i="2"/>
  <c r="AL669" i="2"/>
  <c r="AL670" i="2"/>
  <c r="AL671" i="2"/>
  <c r="AL672" i="2"/>
  <c r="AL673" i="2"/>
  <c r="AL674" i="2"/>
  <c r="AL675" i="2"/>
  <c r="AL676" i="2"/>
  <c r="AL677" i="2"/>
  <c r="AL678" i="2"/>
  <c r="AL679" i="2"/>
  <c r="AL680" i="2"/>
  <c r="AL681" i="2"/>
  <c r="AL682" i="2"/>
  <c r="AL683" i="2"/>
  <c r="AL684" i="2"/>
  <c r="AL685" i="2"/>
  <c r="AL686" i="2"/>
  <c r="AL687" i="2"/>
  <c r="AL688" i="2"/>
  <c r="AL689" i="2"/>
  <c r="AL690" i="2"/>
  <c r="AL691" i="2"/>
  <c r="AL692" i="2"/>
  <c r="AL693" i="2"/>
  <c r="AL694" i="2"/>
  <c r="AL695" i="2"/>
  <c r="AL696" i="2"/>
  <c r="AL697" i="2"/>
  <c r="AL698" i="2"/>
  <c r="AL699" i="2"/>
  <c r="AL700" i="2"/>
  <c r="AL701" i="2"/>
  <c r="AL702" i="2"/>
  <c r="AL703" i="2"/>
  <c r="AL704" i="2"/>
  <c r="AL705" i="2"/>
  <c r="AL706" i="2"/>
  <c r="AL707" i="2"/>
  <c r="AL708" i="2"/>
  <c r="AL709" i="2"/>
  <c r="AL710" i="2"/>
  <c r="AL711" i="2"/>
  <c r="AL712" i="2"/>
  <c r="AL713" i="2"/>
  <c r="AL714" i="2"/>
  <c r="AL715" i="2"/>
  <c r="AL716" i="2"/>
  <c r="AL717" i="2"/>
  <c r="AL718" i="2"/>
  <c r="AL719" i="2"/>
  <c r="AL720" i="2"/>
  <c r="AL721" i="2"/>
  <c r="AL722" i="2"/>
  <c r="AL723" i="2"/>
  <c r="AL724" i="2"/>
  <c r="AL725" i="2"/>
  <c r="AL726" i="2"/>
  <c r="AL727" i="2"/>
  <c r="AL728" i="2"/>
  <c r="AL729" i="2"/>
  <c r="AL730" i="2"/>
  <c r="AL731" i="2"/>
  <c r="AL732" i="2"/>
  <c r="AL733" i="2"/>
  <c r="AL734" i="2"/>
  <c r="AL735" i="2"/>
  <c r="AL736" i="2"/>
  <c r="AL737" i="2"/>
  <c r="AL738" i="2"/>
  <c r="AL739" i="2"/>
  <c r="AL740" i="2"/>
  <c r="AL741" i="2"/>
  <c r="AL742" i="2"/>
  <c r="AL743" i="2"/>
  <c r="AL744" i="2"/>
  <c r="AL745" i="2"/>
  <c r="AL746" i="2"/>
  <c r="AL747" i="2"/>
  <c r="AL748" i="2"/>
  <c r="AL749" i="2"/>
  <c r="AL750" i="2"/>
  <c r="AL751" i="2"/>
  <c r="AL752" i="2"/>
  <c r="AL753" i="2"/>
  <c r="AL754" i="2"/>
  <c r="AL755" i="2"/>
  <c r="AL756" i="2"/>
  <c r="AL757" i="2"/>
  <c r="AL758" i="2"/>
  <c r="AL759" i="2"/>
  <c r="AL760" i="2"/>
  <c r="AL761" i="2"/>
  <c r="AL762" i="2"/>
  <c r="AL763" i="2"/>
  <c r="AL764" i="2"/>
  <c r="AL765" i="2"/>
  <c r="AL766" i="2"/>
  <c r="AL767" i="2"/>
  <c r="AL768" i="2"/>
  <c r="AL769" i="2"/>
  <c r="AL770" i="2"/>
  <c r="AL771" i="2"/>
  <c r="AL772" i="2"/>
  <c r="AL773" i="2"/>
  <c r="AL774" i="2"/>
  <c r="AL775" i="2"/>
  <c r="AL776" i="2"/>
  <c r="AL777" i="2"/>
  <c r="AL778" i="2"/>
  <c r="AL779" i="2"/>
  <c r="AL780" i="2"/>
  <c r="AL781" i="2"/>
  <c r="AL782" i="2"/>
  <c r="AL783" i="2"/>
  <c r="AL784" i="2"/>
  <c r="AL785" i="2"/>
  <c r="AL786" i="2"/>
  <c r="AL787" i="2"/>
  <c r="AL788" i="2"/>
  <c r="AL789" i="2"/>
  <c r="AL790" i="2"/>
  <c r="AL791" i="2"/>
  <c r="AL792" i="2"/>
  <c r="AL793" i="2"/>
  <c r="AL794" i="2"/>
  <c r="AL795" i="2"/>
  <c r="AL796" i="2"/>
  <c r="AL797" i="2"/>
  <c r="AL798" i="2"/>
  <c r="AL799" i="2"/>
  <c r="AL800" i="2"/>
  <c r="AL801" i="2"/>
  <c r="AL802" i="2"/>
  <c r="AL803" i="2"/>
  <c r="AL804" i="2"/>
  <c r="AL805" i="2"/>
  <c r="AL806" i="2"/>
  <c r="AL807" i="2"/>
  <c r="AL808" i="2"/>
  <c r="AL809" i="2"/>
  <c r="AL810" i="2"/>
  <c r="AL811" i="2"/>
  <c r="AL812" i="2"/>
  <c r="AL813" i="2"/>
  <c r="AL814" i="2"/>
  <c r="AL815" i="2"/>
  <c r="AL816" i="2"/>
  <c r="AL817" i="2"/>
  <c r="AL818" i="2"/>
  <c r="AL819" i="2"/>
  <c r="AL820" i="2"/>
  <c r="AL821" i="2"/>
  <c r="AL822" i="2"/>
  <c r="AL823" i="2"/>
  <c r="AL824" i="2"/>
  <c r="AL825" i="2"/>
  <c r="AL826" i="2"/>
  <c r="AL827" i="2"/>
  <c r="AL828" i="2"/>
  <c r="AL829" i="2"/>
  <c r="AL830" i="2"/>
  <c r="AL831" i="2"/>
  <c r="AL832" i="2"/>
  <c r="AL833" i="2"/>
  <c r="AL834" i="2"/>
  <c r="AL835" i="2"/>
  <c r="AL836" i="2"/>
  <c r="AL837" i="2"/>
  <c r="AL838" i="2"/>
  <c r="AL839" i="2"/>
  <c r="AL840" i="2"/>
  <c r="AL841" i="2"/>
  <c r="AL842" i="2"/>
  <c r="AL843" i="2"/>
  <c r="AL844" i="2"/>
  <c r="AL845" i="2"/>
  <c r="AL846" i="2"/>
  <c r="AL847" i="2"/>
  <c r="AL848" i="2"/>
  <c r="AL849" i="2"/>
  <c r="AL850" i="2"/>
  <c r="AL851" i="2"/>
  <c r="AL852" i="2"/>
  <c r="AL853" i="2"/>
  <c r="AL854" i="2"/>
  <c r="AL855" i="2"/>
  <c r="AL856" i="2"/>
  <c r="AL857" i="2"/>
  <c r="AL858" i="2"/>
  <c r="AL859" i="2"/>
  <c r="AL860" i="2"/>
  <c r="AL861" i="2"/>
  <c r="AL862" i="2"/>
  <c r="AL863" i="2"/>
  <c r="AL864" i="2"/>
  <c r="AL865" i="2"/>
  <c r="AL866" i="2"/>
  <c r="AL867" i="2"/>
  <c r="AL868" i="2"/>
  <c r="AL869" i="2"/>
  <c r="AL870" i="2"/>
  <c r="AL871" i="2"/>
  <c r="AL872" i="2"/>
  <c r="AL873" i="2"/>
  <c r="AL874" i="2"/>
  <c r="AL875" i="2"/>
  <c r="AL876" i="2"/>
  <c r="AL877" i="2"/>
  <c r="AL878" i="2"/>
  <c r="AL879" i="2"/>
  <c r="AL880" i="2"/>
  <c r="AL881" i="2"/>
  <c r="AL882" i="2"/>
  <c r="AL883" i="2"/>
  <c r="AL884" i="2"/>
  <c r="AL885" i="2"/>
  <c r="AL886" i="2"/>
  <c r="AL887" i="2"/>
  <c r="AL888" i="2"/>
  <c r="AL889" i="2"/>
  <c r="AL890" i="2"/>
  <c r="AL891" i="2"/>
  <c r="AL892" i="2"/>
  <c r="AL893" i="2"/>
  <c r="AL894" i="2"/>
  <c r="AL895" i="2"/>
  <c r="AL896" i="2"/>
  <c r="AL897" i="2"/>
  <c r="AL898" i="2"/>
  <c r="AL899" i="2"/>
  <c r="AL900" i="2"/>
  <c r="AL901" i="2"/>
  <c r="AL902" i="2"/>
  <c r="AL903" i="2"/>
  <c r="AL904" i="2"/>
  <c r="AL905" i="2"/>
  <c r="AL906" i="2"/>
  <c r="AL907" i="2"/>
  <c r="AL908" i="2"/>
  <c r="AL909" i="2"/>
  <c r="AL910" i="2"/>
  <c r="AL911" i="2"/>
  <c r="AL912" i="2"/>
  <c r="AL913" i="2"/>
  <c r="AL914" i="2"/>
  <c r="AL915" i="2"/>
  <c r="AL916" i="2"/>
  <c r="AL917" i="2"/>
  <c r="AL918" i="2"/>
  <c r="AL919" i="2"/>
  <c r="AL920" i="2"/>
  <c r="AL921" i="2"/>
  <c r="AL922" i="2"/>
  <c r="AL923" i="2"/>
  <c r="AL924" i="2"/>
  <c r="AL925" i="2"/>
  <c r="AL926" i="2"/>
  <c r="AL927" i="2"/>
  <c r="AL928" i="2"/>
  <c r="AL929" i="2"/>
  <c r="AL930" i="2"/>
  <c r="AL931" i="2"/>
  <c r="AL932" i="2"/>
  <c r="AL933" i="2"/>
  <c r="AL934" i="2"/>
  <c r="AL935" i="2"/>
  <c r="AL936" i="2"/>
  <c r="AL937" i="2"/>
  <c r="AL938" i="2"/>
  <c r="AL939" i="2"/>
  <c r="AL940" i="2"/>
  <c r="AL941" i="2"/>
  <c r="AL942" i="2"/>
  <c r="AL943" i="2"/>
  <c r="AL944" i="2"/>
  <c r="AL945" i="2"/>
  <c r="AL946" i="2"/>
  <c r="AL947" i="2"/>
  <c r="AL948" i="2"/>
  <c r="AL949" i="2"/>
  <c r="AL950" i="2"/>
  <c r="AL951" i="2"/>
  <c r="AL952" i="2"/>
  <c r="AL953" i="2"/>
  <c r="AL954" i="2"/>
  <c r="AL955" i="2"/>
  <c r="AL956" i="2"/>
  <c r="AL957" i="2"/>
  <c r="AL958" i="2"/>
  <c r="AL959" i="2"/>
  <c r="AL960" i="2"/>
  <c r="AL961" i="2"/>
  <c r="AL962" i="2"/>
  <c r="AL963" i="2"/>
  <c r="AL964" i="2"/>
  <c r="AL965" i="2"/>
  <c r="AL966" i="2"/>
  <c r="AL967" i="2"/>
  <c r="AL968" i="2"/>
  <c r="AL969" i="2"/>
  <c r="AL970" i="2"/>
  <c r="AL971" i="2"/>
  <c r="AL972" i="2"/>
  <c r="AL973" i="2"/>
  <c r="AL974" i="2"/>
  <c r="AL975" i="2"/>
  <c r="AL976" i="2"/>
  <c r="AL977" i="2"/>
  <c r="AL978" i="2"/>
  <c r="AL979" i="2"/>
  <c r="AL980" i="2"/>
  <c r="AL981" i="2"/>
  <c r="AL982" i="2"/>
  <c r="AL983" i="2"/>
  <c r="AL984" i="2"/>
  <c r="AL985" i="2"/>
  <c r="AL986" i="2"/>
  <c r="AL987" i="2"/>
  <c r="AL988" i="2"/>
  <c r="AL989" i="2"/>
  <c r="AL990" i="2"/>
  <c r="AL991" i="2"/>
  <c r="AL992" i="2"/>
  <c r="AL993" i="2"/>
  <c r="AL994" i="2"/>
  <c r="AL995" i="2"/>
  <c r="AL996" i="2"/>
  <c r="AL997" i="2"/>
  <c r="AL998" i="2"/>
  <c r="AL999" i="2"/>
  <c r="AL1000" i="2"/>
  <c r="AL1001" i="2"/>
  <c r="AL1002" i="2"/>
  <c r="AL1003" i="2"/>
  <c r="AL1004" i="2"/>
  <c r="AL1005" i="2"/>
  <c r="AL1006" i="2"/>
  <c r="AL1007" i="2"/>
  <c r="AL1008" i="2"/>
  <c r="AL1009" i="2"/>
  <c r="AL1010" i="2"/>
  <c r="AL1011" i="2"/>
  <c r="AL1012" i="2"/>
  <c r="AL1013" i="2"/>
  <c r="AL1014" i="2"/>
  <c r="AL1015" i="2"/>
  <c r="AL1016" i="2"/>
  <c r="AL1017" i="2"/>
  <c r="AL1018" i="2"/>
  <c r="AL1019" i="2"/>
  <c r="AL1020" i="2"/>
  <c r="AL1021" i="2"/>
  <c r="AL1022" i="2"/>
  <c r="AL1023" i="2"/>
  <c r="AL1024" i="2"/>
  <c r="AL1025" i="2"/>
  <c r="AL1026" i="2"/>
  <c r="AL1027" i="2"/>
  <c r="AL1028" i="2"/>
  <c r="AL1029" i="2"/>
  <c r="AL1030" i="2"/>
  <c r="AL1031" i="2"/>
  <c r="AL1032" i="2"/>
  <c r="AL1033" i="2"/>
  <c r="AL1034" i="2"/>
  <c r="AL1035" i="2"/>
  <c r="AL1036" i="2"/>
  <c r="AL1037" i="2"/>
  <c r="AL1038" i="2"/>
  <c r="AL1039" i="2"/>
  <c r="AL1040" i="2"/>
  <c r="AL1041" i="2"/>
  <c r="AL1042" i="2"/>
  <c r="AL1043" i="2"/>
  <c r="AL1044" i="2"/>
  <c r="AL1045" i="2"/>
  <c r="AL1046" i="2"/>
  <c r="AL1047" i="2"/>
  <c r="AL1048" i="2"/>
  <c r="AL1049" i="2"/>
  <c r="AL1050" i="2"/>
  <c r="AL1051" i="2"/>
  <c r="AL1052" i="2"/>
  <c r="AL1053" i="2"/>
  <c r="AL1054" i="2"/>
  <c r="AL1055" i="2"/>
  <c r="AL1056" i="2"/>
  <c r="AL1057" i="2"/>
  <c r="AL1058" i="2"/>
  <c r="AL1059" i="2"/>
  <c r="AL1060" i="2"/>
  <c r="AL1061" i="2"/>
  <c r="AL1062" i="2"/>
  <c r="AL1063" i="2"/>
  <c r="AL1064" i="2"/>
  <c r="AL1065" i="2"/>
  <c r="AL1066" i="2"/>
  <c r="AL1067" i="2"/>
  <c r="AL1068" i="2"/>
  <c r="AL1069" i="2"/>
  <c r="AL1070" i="2"/>
  <c r="AL1071" i="2"/>
  <c r="AL1072" i="2"/>
  <c r="AL1073" i="2"/>
  <c r="AL1074" i="2"/>
  <c r="AL1075" i="2"/>
  <c r="AL1076" i="2"/>
  <c r="AL1077" i="2"/>
  <c r="AL1078" i="2"/>
  <c r="AL1079" i="2"/>
  <c r="AL1080" i="2"/>
  <c r="AL1081" i="2"/>
  <c r="AL1082" i="2"/>
  <c r="AL1083" i="2"/>
  <c r="AL1084" i="2"/>
  <c r="AL1085" i="2"/>
  <c r="AL1086" i="2"/>
  <c r="AL1087" i="2"/>
  <c r="AL1088" i="2"/>
  <c r="AL1089" i="2"/>
  <c r="AL1090" i="2"/>
  <c r="AL1091" i="2"/>
  <c r="AL1092" i="2"/>
  <c r="AL1093" i="2"/>
  <c r="AL1094" i="2"/>
  <c r="AL1095" i="2"/>
  <c r="AL1096" i="2"/>
  <c r="AL1097" i="2"/>
  <c r="AL1098" i="2"/>
  <c r="AL1099" i="2"/>
  <c r="AL1100" i="2"/>
  <c r="AL1101" i="2"/>
  <c r="AL1102" i="2"/>
  <c r="AL1103" i="2"/>
  <c r="AL1104" i="2"/>
  <c r="AL1105" i="2"/>
  <c r="AL1106" i="2"/>
  <c r="AL1107" i="2"/>
  <c r="AL1108" i="2"/>
  <c r="AL1109" i="2"/>
  <c r="AL1110" i="2"/>
  <c r="AL1111" i="2"/>
  <c r="AL1112" i="2"/>
  <c r="AL1113" i="2"/>
  <c r="AL1114" i="2"/>
  <c r="AL1115" i="2"/>
  <c r="AL1116" i="2"/>
  <c r="AL1117" i="2"/>
  <c r="AL1118" i="2"/>
  <c r="AL1119" i="2"/>
  <c r="AL1120" i="2"/>
  <c r="AL1121" i="2"/>
  <c r="AL1122" i="2"/>
  <c r="AL1123" i="2"/>
  <c r="AL1124" i="2"/>
  <c r="AL1125" i="2"/>
  <c r="AL1126" i="2"/>
  <c r="AL1127" i="2"/>
  <c r="AL1128" i="2"/>
  <c r="AL1129" i="2"/>
  <c r="AL1130" i="2"/>
  <c r="AL1131" i="2"/>
  <c r="AL1132" i="2"/>
  <c r="AL1133" i="2"/>
  <c r="AL1134" i="2"/>
  <c r="AL1135" i="2"/>
  <c r="AL1136" i="2"/>
  <c r="AL1137" i="2"/>
  <c r="AL1138" i="2"/>
  <c r="AL1139" i="2"/>
  <c r="AL1140" i="2"/>
  <c r="AL1141" i="2"/>
  <c r="AL1142" i="2"/>
  <c r="AL1143" i="2"/>
  <c r="AL1144" i="2"/>
  <c r="AL1145" i="2"/>
  <c r="AL1146" i="2"/>
  <c r="AL1147" i="2"/>
  <c r="AL1148" i="2"/>
  <c r="AL1149" i="2"/>
  <c r="AL1150" i="2"/>
  <c r="AL1151" i="2"/>
  <c r="AL1152" i="2"/>
  <c r="AL1153" i="2"/>
  <c r="AL1154" i="2"/>
  <c r="AL1155" i="2"/>
  <c r="AL1156" i="2"/>
  <c r="AL1157" i="2"/>
  <c r="AL1158" i="2"/>
  <c r="AL1159" i="2"/>
  <c r="AL1160" i="2"/>
  <c r="AL1161" i="2"/>
  <c r="AL1162" i="2"/>
  <c r="AL1163" i="2"/>
  <c r="AL1164" i="2"/>
  <c r="AL1165" i="2"/>
  <c r="AL1166" i="2"/>
  <c r="AL1167" i="2"/>
  <c r="AL1168" i="2"/>
  <c r="AL1169" i="2"/>
  <c r="AL1170" i="2"/>
  <c r="AL1171" i="2"/>
  <c r="AL1172" i="2"/>
  <c r="AL1173" i="2"/>
  <c r="AL1174" i="2"/>
  <c r="AL1175" i="2"/>
  <c r="AL1176" i="2"/>
  <c r="AL1177" i="2"/>
  <c r="AL1178" i="2"/>
  <c r="AL1179" i="2"/>
  <c r="AL1180" i="2"/>
  <c r="AL1181" i="2"/>
  <c r="AL1182" i="2"/>
  <c r="AL1183" i="2"/>
  <c r="AL1184" i="2"/>
  <c r="AL1185" i="2"/>
  <c r="AL1186" i="2"/>
  <c r="AL1187" i="2"/>
  <c r="AL1188" i="2"/>
  <c r="AL1189" i="2"/>
  <c r="AL1190" i="2"/>
  <c r="AL1191" i="2"/>
  <c r="AL1192" i="2"/>
  <c r="AL1193" i="2"/>
  <c r="AL1194" i="2"/>
  <c r="AL1195" i="2"/>
  <c r="AL1196" i="2"/>
  <c r="AL1197" i="2"/>
  <c r="AL1198" i="2"/>
  <c r="AL1199" i="2"/>
  <c r="AL1200" i="2"/>
  <c r="AL1201" i="2"/>
  <c r="AL1202" i="2"/>
  <c r="AL1203" i="2"/>
  <c r="AL1204" i="2"/>
  <c r="AL1205" i="2"/>
  <c r="AL1206" i="2"/>
  <c r="AL1207" i="2"/>
  <c r="AL1208" i="2"/>
  <c r="AL1209" i="2"/>
  <c r="AL1210" i="2"/>
  <c r="AL1211" i="2"/>
  <c r="AL1212" i="2"/>
  <c r="AL1213" i="2"/>
  <c r="AL1214" i="2"/>
  <c r="AL1215" i="2"/>
  <c r="AL1216" i="2"/>
  <c r="AL1217" i="2"/>
  <c r="AL1218" i="2"/>
  <c r="AL1219" i="2"/>
  <c r="AL1220" i="2"/>
  <c r="AL1221" i="2"/>
  <c r="AL1222" i="2"/>
  <c r="AL1223" i="2"/>
  <c r="AL1224" i="2"/>
  <c r="AL1225" i="2"/>
  <c r="AL1226" i="2"/>
  <c r="AL1227" i="2"/>
  <c r="AL1228" i="2"/>
  <c r="AL1229" i="2"/>
  <c r="AL1230" i="2"/>
  <c r="AL1231" i="2"/>
  <c r="AL1232" i="2"/>
  <c r="AL1233" i="2"/>
  <c r="AL1234" i="2"/>
  <c r="AL1235" i="2"/>
  <c r="AL1236" i="2"/>
  <c r="AL1237" i="2"/>
  <c r="AL1238" i="2"/>
  <c r="AL1239" i="2"/>
  <c r="AL1240" i="2"/>
  <c r="AL1241" i="2"/>
  <c r="AL1242" i="2"/>
  <c r="AL1243" i="2"/>
  <c r="AL1244" i="2"/>
  <c r="AL1245" i="2"/>
  <c r="AL1246" i="2"/>
  <c r="AL1247" i="2"/>
  <c r="AL1248" i="2"/>
  <c r="AL1249" i="2"/>
  <c r="AL1250" i="2"/>
  <c r="AL1251" i="2"/>
  <c r="AL1252" i="2"/>
  <c r="AL1253" i="2"/>
  <c r="AL1254" i="2"/>
  <c r="AL1255" i="2"/>
  <c r="AL1256" i="2"/>
  <c r="AL1257" i="2"/>
  <c r="AL1258" i="2"/>
  <c r="AL1259" i="2"/>
  <c r="AL1260" i="2"/>
  <c r="AL1261" i="2"/>
  <c r="AL1262" i="2"/>
  <c r="AL1263" i="2"/>
  <c r="AL1264" i="2"/>
  <c r="AL1265" i="2"/>
  <c r="AL1266" i="2"/>
  <c r="AL1267" i="2"/>
  <c r="AL1268" i="2"/>
  <c r="AL1269" i="2"/>
  <c r="AL1270" i="2"/>
  <c r="AL1271" i="2"/>
  <c r="AL1272" i="2"/>
  <c r="AL1273" i="2"/>
  <c r="AL1274" i="2"/>
  <c r="AL1275" i="2"/>
  <c r="AL1276" i="2"/>
  <c r="AL1277" i="2"/>
  <c r="AL1278" i="2"/>
  <c r="AL1279" i="2"/>
  <c r="AL1280" i="2"/>
  <c r="AL1281" i="2"/>
  <c r="AL1282" i="2"/>
  <c r="AL1283" i="2"/>
  <c r="AL1284" i="2"/>
  <c r="AL1285" i="2"/>
  <c r="AL1286" i="2"/>
  <c r="AL1287" i="2"/>
  <c r="AL1288" i="2"/>
  <c r="AL1289" i="2"/>
  <c r="AL1290" i="2"/>
  <c r="AL1291" i="2"/>
  <c r="AL1292" i="2"/>
  <c r="AL1293" i="2"/>
  <c r="AL1294" i="2"/>
  <c r="AL1295" i="2"/>
  <c r="AL1296" i="2"/>
  <c r="AL1297" i="2"/>
  <c r="AL1298" i="2"/>
  <c r="AL1299" i="2"/>
  <c r="AL1300" i="2"/>
  <c r="AL1301" i="2"/>
  <c r="AL1302" i="2"/>
  <c r="AL1303" i="2"/>
  <c r="AL1304" i="2"/>
  <c r="AL1305" i="2"/>
  <c r="AL1306" i="2"/>
  <c r="AL1307" i="2"/>
  <c r="AL1308" i="2"/>
  <c r="AL1309" i="2"/>
  <c r="AL1310" i="2"/>
  <c r="AL1311" i="2"/>
  <c r="AL1312" i="2"/>
  <c r="AL1313" i="2"/>
  <c r="AL1314" i="2"/>
  <c r="AL1315" i="2"/>
  <c r="AL1316" i="2"/>
  <c r="AL1317" i="2"/>
  <c r="AL1318" i="2"/>
  <c r="AL1319" i="2"/>
  <c r="AL1320" i="2"/>
  <c r="AL1321" i="2"/>
  <c r="AL1322" i="2"/>
  <c r="AL1323" i="2"/>
  <c r="AL1324" i="2"/>
  <c r="AL1325" i="2"/>
  <c r="AL1326" i="2"/>
  <c r="AL1327" i="2"/>
  <c r="AL1328" i="2"/>
  <c r="AL1329" i="2"/>
  <c r="AL1330" i="2"/>
  <c r="AL1331" i="2"/>
  <c r="AL1332" i="2"/>
  <c r="AL1333" i="2"/>
  <c r="AL1334" i="2"/>
  <c r="AL1335" i="2"/>
  <c r="AL1336" i="2"/>
  <c r="AL1337" i="2"/>
  <c r="AL1338" i="2"/>
  <c r="AL1339" i="2"/>
  <c r="AL1340" i="2"/>
  <c r="AL1341" i="2"/>
  <c r="AL1342" i="2"/>
  <c r="AL1343" i="2"/>
  <c r="AL1344" i="2"/>
  <c r="AL1345" i="2"/>
  <c r="AL1346" i="2"/>
  <c r="AL1347" i="2"/>
  <c r="AL1348" i="2"/>
  <c r="AL1349" i="2"/>
  <c r="AL1350" i="2"/>
  <c r="AL1351" i="2"/>
  <c r="AL1352" i="2"/>
  <c r="AL1353" i="2"/>
  <c r="AL1354" i="2"/>
  <c r="AL1355" i="2"/>
  <c r="AL1356" i="2"/>
  <c r="AL1357" i="2"/>
  <c r="AL1358" i="2"/>
  <c r="AL1359" i="2"/>
  <c r="AL1360" i="2"/>
  <c r="AL1361" i="2"/>
  <c r="AL1362" i="2"/>
  <c r="AL1363" i="2"/>
  <c r="AL1364" i="2"/>
  <c r="AL1365" i="2"/>
  <c r="AL1366" i="2"/>
  <c r="AL1367" i="2"/>
  <c r="AL1368" i="2"/>
  <c r="AL1369" i="2"/>
  <c r="AL1370" i="2"/>
  <c r="AL1371" i="2"/>
  <c r="AL1372" i="2"/>
  <c r="AL1373" i="2"/>
  <c r="AL1374" i="2"/>
  <c r="AL1375" i="2"/>
  <c r="AL1376" i="2"/>
  <c r="AL1377" i="2"/>
  <c r="AL1378" i="2"/>
  <c r="AL1379" i="2"/>
  <c r="AL1380" i="2"/>
  <c r="AL1381" i="2"/>
  <c r="AL1382" i="2"/>
  <c r="AL1383" i="2"/>
  <c r="AL1384" i="2"/>
  <c r="AL1385" i="2"/>
  <c r="AL1386" i="2"/>
  <c r="AL1387" i="2"/>
  <c r="AL1388" i="2"/>
  <c r="AL1389" i="2"/>
  <c r="AL1390" i="2"/>
  <c r="AL1391" i="2"/>
  <c r="AL1392" i="2"/>
  <c r="AL1393" i="2"/>
  <c r="AL1394" i="2"/>
  <c r="AL1395" i="2"/>
  <c r="AL1396" i="2"/>
  <c r="AL1397" i="2"/>
  <c r="AL1398" i="2"/>
  <c r="AL1399" i="2"/>
  <c r="AL1400" i="2"/>
  <c r="AL1401" i="2"/>
  <c r="AL1402" i="2"/>
  <c r="AL1403" i="2"/>
  <c r="AL1404" i="2"/>
  <c r="AL1405" i="2"/>
  <c r="AL1406" i="2"/>
  <c r="AL1407" i="2"/>
  <c r="AL1408" i="2"/>
  <c r="AL1409" i="2"/>
  <c r="AL1410" i="2"/>
  <c r="AL1411" i="2"/>
  <c r="AL1412" i="2"/>
  <c r="AL1413" i="2"/>
  <c r="AL1414" i="2"/>
  <c r="AL1415" i="2"/>
  <c r="AL1416" i="2"/>
  <c r="AL1417" i="2"/>
  <c r="AL1418" i="2"/>
  <c r="AL1419" i="2"/>
  <c r="AL1420" i="2"/>
  <c r="AL1421" i="2"/>
  <c r="AL1422" i="2"/>
  <c r="AL1423" i="2"/>
  <c r="AL1424" i="2"/>
  <c r="AL1425" i="2"/>
  <c r="AL1426" i="2"/>
  <c r="AL1427" i="2"/>
  <c r="AL1428" i="2"/>
  <c r="AL1429" i="2"/>
  <c r="AL1430" i="2"/>
  <c r="AL1431" i="2"/>
  <c r="AL1432" i="2"/>
  <c r="AL1433" i="2"/>
  <c r="AL1434" i="2"/>
  <c r="AL1435" i="2"/>
  <c r="AL1436" i="2"/>
  <c r="AL1437" i="2"/>
  <c r="AL1438" i="2"/>
  <c r="AL1439" i="2"/>
  <c r="AL1440" i="2"/>
  <c r="AL1441" i="2"/>
  <c r="AL1442" i="2"/>
  <c r="AL1443" i="2"/>
  <c r="AL1444" i="2"/>
  <c r="AL1445" i="2"/>
  <c r="AL1446" i="2"/>
  <c r="AL1447" i="2"/>
  <c r="AL1448" i="2"/>
  <c r="AL1449" i="2"/>
  <c r="AL1450" i="2"/>
  <c r="AL1451" i="2"/>
  <c r="AL1452" i="2"/>
  <c r="AL1453" i="2"/>
  <c r="AL1454" i="2"/>
  <c r="AL1455" i="2"/>
  <c r="AL1456" i="2"/>
  <c r="AL1457" i="2"/>
  <c r="AL1458" i="2"/>
  <c r="AL1459" i="2"/>
  <c r="AL1460" i="2"/>
  <c r="AL1461" i="2"/>
  <c r="AL1462" i="2"/>
  <c r="AL1463" i="2"/>
  <c r="AL1464" i="2"/>
  <c r="AL1465" i="2"/>
  <c r="AL1466" i="2"/>
  <c r="AL1467" i="2"/>
  <c r="AL1468" i="2"/>
  <c r="AL1469" i="2"/>
  <c r="AL1470" i="2"/>
  <c r="AL1471" i="2"/>
  <c r="AK2" i="2"/>
  <c r="AK3" i="2"/>
  <c r="AK4" i="2"/>
  <c r="AK5" i="2"/>
  <c r="AK6" i="2"/>
  <c r="AK7" i="2"/>
  <c r="AK8" i="2"/>
  <c r="AK9" i="2"/>
  <c r="AK10" i="2"/>
  <c r="AK11" i="2"/>
  <c r="AK12" i="2"/>
  <c r="AK13" i="2"/>
  <c r="AK14" i="2"/>
  <c r="AK15" i="2"/>
  <c r="AK16" i="2"/>
  <c r="AK17" i="2"/>
  <c r="AK18" i="2"/>
  <c r="AK19" i="2"/>
  <c r="AK20" i="2"/>
  <c r="AK21" i="2"/>
  <c r="AK22" i="2"/>
  <c r="AK23" i="2"/>
  <c r="AK24" i="2"/>
  <c r="AK25" i="2"/>
  <c r="AK26" i="2"/>
  <c r="AK27" i="2"/>
  <c r="AK28" i="2"/>
  <c r="AK29" i="2"/>
  <c r="AK30" i="2"/>
  <c r="AK31" i="2"/>
  <c r="AK32" i="2"/>
  <c r="AK33" i="2"/>
  <c r="AK34" i="2"/>
  <c r="AK35" i="2"/>
  <c r="AK36" i="2"/>
  <c r="AK37" i="2"/>
  <c r="AK38" i="2"/>
  <c r="AK39" i="2"/>
  <c r="AK40" i="2"/>
  <c r="AK41" i="2"/>
  <c r="AK42" i="2"/>
  <c r="AK43" i="2"/>
  <c r="AK44" i="2"/>
  <c r="AK45" i="2"/>
  <c r="AK46" i="2"/>
  <c r="AK47" i="2"/>
  <c r="AK48" i="2"/>
  <c r="AK49" i="2"/>
  <c r="AK50" i="2"/>
  <c r="AK51" i="2"/>
  <c r="AK52" i="2"/>
  <c r="AK53" i="2"/>
  <c r="AK54" i="2"/>
  <c r="AK55" i="2"/>
  <c r="AK56" i="2"/>
  <c r="AK57" i="2"/>
  <c r="AK58" i="2"/>
  <c r="AK59" i="2"/>
  <c r="AK60" i="2"/>
  <c r="AK61" i="2"/>
  <c r="AK62" i="2"/>
  <c r="AK63" i="2"/>
  <c r="AK64" i="2"/>
  <c r="AK65" i="2"/>
  <c r="AK66" i="2"/>
  <c r="AK67" i="2"/>
  <c r="AK68" i="2"/>
  <c r="AK69" i="2"/>
  <c r="AK70" i="2"/>
  <c r="AK71" i="2"/>
  <c r="AK72" i="2"/>
  <c r="AK73" i="2"/>
  <c r="AK74" i="2"/>
  <c r="AK75" i="2"/>
  <c r="AK76" i="2"/>
  <c r="AK77" i="2"/>
  <c r="AK78" i="2"/>
  <c r="AK79" i="2"/>
  <c r="AK80" i="2"/>
  <c r="AK81" i="2"/>
  <c r="AK82" i="2"/>
  <c r="AK83" i="2"/>
  <c r="AK84" i="2"/>
  <c r="AK85" i="2"/>
  <c r="AK86" i="2"/>
  <c r="AK87" i="2"/>
  <c r="AK88" i="2"/>
  <c r="AK89" i="2"/>
  <c r="AK90" i="2"/>
  <c r="AK91" i="2"/>
  <c r="AK92" i="2"/>
  <c r="AK93" i="2"/>
  <c r="AK94" i="2"/>
  <c r="AK95" i="2"/>
  <c r="AK96" i="2"/>
  <c r="AK97" i="2"/>
  <c r="AK98" i="2"/>
  <c r="AK99" i="2"/>
  <c r="AK100" i="2"/>
  <c r="AK101" i="2"/>
  <c r="AK102" i="2"/>
  <c r="AK103" i="2"/>
  <c r="AK104" i="2"/>
  <c r="AK105" i="2"/>
  <c r="AK106" i="2"/>
  <c r="AK107" i="2"/>
  <c r="AK108" i="2"/>
  <c r="AK109" i="2"/>
  <c r="AK110" i="2"/>
  <c r="AK111" i="2"/>
  <c r="AK112" i="2"/>
  <c r="AK113" i="2"/>
  <c r="AK114" i="2"/>
  <c r="AK115" i="2"/>
  <c r="AK116" i="2"/>
  <c r="AK117" i="2"/>
  <c r="AK118" i="2"/>
  <c r="AK119" i="2"/>
  <c r="AK120" i="2"/>
  <c r="AK121" i="2"/>
  <c r="AK122" i="2"/>
  <c r="AK123" i="2"/>
  <c r="AK124" i="2"/>
  <c r="AK125" i="2"/>
  <c r="AK126" i="2"/>
  <c r="AK127" i="2"/>
  <c r="AK128" i="2"/>
  <c r="AK129" i="2"/>
  <c r="AK130" i="2"/>
  <c r="AK131" i="2"/>
  <c r="AK132" i="2"/>
  <c r="AK133" i="2"/>
  <c r="AK134" i="2"/>
  <c r="AK135" i="2"/>
  <c r="AK136" i="2"/>
  <c r="AK137" i="2"/>
  <c r="AK138" i="2"/>
  <c r="AK139" i="2"/>
  <c r="AK140" i="2"/>
  <c r="AK141" i="2"/>
  <c r="AK142" i="2"/>
  <c r="AK143" i="2"/>
  <c r="AK144" i="2"/>
  <c r="AK145" i="2"/>
  <c r="AK146" i="2"/>
  <c r="AK147" i="2"/>
  <c r="AK148" i="2"/>
  <c r="AK149" i="2"/>
  <c r="AK150" i="2"/>
  <c r="AK151" i="2"/>
  <c r="AK152" i="2"/>
  <c r="AK153" i="2"/>
  <c r="AK154" i="2"/>
  <c r="AK155" i="2"/>
  <c r="AK156" i="2"/>
  <c r="AK157" i="2"/>
  <c r="AK158" i="2"/>
  <c r="AK159" i="2"/>
  <c r="AK160" i="2"/>
  <c r="AK161" i="2"/>
  <c r="AK162" i="2"/>
  <c r="AK163" i="2"/>
  <c r="AK164" i="2"/>
  <c r="AK165" i="2"/>
  <c r="AK166" i="2"/>
  <c r="AK167" i="2"/>
  <c r="AK168" i="2"/>
  <c r="AK169" i="2"/>
  <c r="AK170" i="2"/>
  <c r="AK171" i="2"/>
  <c r="AK172" i="2"/>
  <c r="AK173" i="2"/>
  <c r="AK174" i="2"/>
  <c r="AK175" i="2"/>
  <c r="AK176" i="2"/>
  <c r="AK177" i="2"/>
  <c r="AK178" i="2"/>
  <c r="AK179" i="2"/>
  <c r="AK180" i="2"/>
  <c r="AK181" i="2"/>
  <c r="AK182" i="2"/>
  <c r="AK183" i="2"/>
  <c r="AK184" i="2"/>
  <c r="AK185" i="2"/>
  <c r="AK186" i="2"/>
  <c r="AK187" i="2"/>
  <c r="AK188" i="2"/>
  <c r="AK189" i="2"/>
  <c r="AK190" i="2"/>
  <c r="AK191" i="2"/>
  <c r="AK192" i="2"/>
  <c r="AK193" i="2"/>
  <c r="AK194" i="2"/>
  <c r="AK195" i="2"/>
  <c r="AK196" i="2"/>
  <c r="AK197" i="2"/>
  <c r="AK198" i="2"/>
  <c r="AK199" i="2"/>
  <c r="AK200" i="2"/>
  <c r="AK201" i="2"/>
  <c r="AK202" i="2"/>
  <c r="AK203" i="2"/>
  <c r="AK204" i="2"/>
  <c r="AK205" i="2"/>
  <c r="AK206" i="2"/>
  <c r="AK207" i="2"/>
  <c r="AK208" i="2"/>
  <c r="AK209" i="2"/>
  <c r="AK210" i="2"/>
  <c r="AK211"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K351" i="2"/>
  <c r="AK352" i="2"/>
  <c r="AK353" i="2"/>
  <c r="AK354" i="2"/>
  <c r="AK355" i="2"/>
  <c r="AK356" i="2"/>
  <c r="AK357" i="2"/>
  <c r="AK358" i="2"/>
  <c r="AK359" i="2"/>
  <c r="AK360" i="2"/>
  <c r="AK361" i="2"/>
  <c r="AK362" i="2"/>
  <c r="AK363" i="2"/>
  <c r="AK364" i="2"/>
  <c r="AK365" i="2"/>
  <c r="AK366" i="2"/>
  <c r="AK367" i="2"/>
  <c r="AK368" i="2"/>
  <c r="AK369" i="2"/>
  <c r="AK370" i="2"/>
  <c r="AK371" i="2"/>
  <c r="AK372" i="2"/>
  <c r="AK373" i="2"/>
  <c r="AK374" i="2"/>
  <c r="AK375" i="2"/>
  <c r="AK376" i="2"/>
  <c r="AK377" i="2"/>
  <c r="AK378" i="2"/>
  <c r="AK379" i="2"/>
  <c r="AK380" i="2"/>
  <c r="AK381" i="2"/>
  <c r="AK382" i="2"/>
  <c r="AK383" i="2"/>
  <c r="AK384" i="2"/>
  <c r="AK385" i="2"/>
  <c r="AK386" i="2"/>
  <c r="AK387" i="2"/>
  <c r="AK388" i="2"/>
  <c r="AK389" i="2"/>
  <c r="AK390" i="2"/>
  <c r="AK391" i="2"/>
  <c r="AK392" i="2"/>
  <c r="AK393" i="2"/>
  <c r="AK394" i="2"/>
  <c r="AK395" i="2"/>
  <c r="AK396" i="2"/>
  <c r="AK397" i="2"/>
  <c r="AK398" i="2"/>
  <c r="AK399" i="2"/>
  <c r="AK400" i="2"/>
  <c r="AK401" i="2"/>
  <c r="AK402" i="2"/>
  <c r="AK403" i="2"/>
  <c r="AK404" i="2"/>
  <c r="AK405" i="2"/>
  <c r="AK406" i="2"/>
  <c r="AK407" i="2"/>
  <c r="AK408" i="2"/>
  <c r="AK409" i="2"/>
  <c r="AK410" i="2"/>
  <c r="AK411" i="2"/>
  <c r="AK412" i="2"/>
  <c r="AK413" i="2"/>
  <c r="AK414" i="2"/>
  <c r="AK415" i="2"/>
  <c r="AK416" i="2"/>
  <c r="AK417" i="2"/>
  <c r="AK418" i="2"/>
  <c r="AK419" i="2"/>
  <c r="AK420" i="2"/>
  <c r="AK421" i="2"/>
  <c r="AK422" i="2"/>
  <c r="AK423" i="2"/>
  <c r="AK424" i="2"/>
  <c r="AK425" i="2"/>
  <c r="AK426" i="2"/>
  <c r="AK427" i="2"/>
  <c r="AK428" i="2"/>
  <c r="AK429" i="2"/>
  <c r="AK430" i="2"/>
  <c r="AK431" i="2"/>
  <c r="AK432" i="2"/>
  <c r="AK433" i="2"/>
  <c r="AK434" i="2"/>
  <c r="AK435" i="2"/>
  <c r="AK436" i="2"/>
  <c r="AK437" i="2"/>
  <c r="AK438" i="2"/>
  <c r="AK439" i="2"/>
  <c r="AK440" i="2"/>
  <c r="AK441" i="2"/>
  <c r="AK442" i="2"/>
  <c r="AK443" i="2"/>
  <c r="AK444" i="2"/>
  <c r="AK445" i="2"/>
  <c r="AK446" i="2"/>
  <c r="AK447" i="2"/>
  <c r="AK448" i="2"/>
  <c r="AK449" i="2"/>
  <c r="AK450" i="2"/>
  <c r="AK451" i="2"/>
  <c r="AK452" i="2"/>
  <c r="AK453" i="2"/>
  <c r="AK454" i="2"/>
  <c r="AK455" i="2"/>
  <c r="AK456" i="2"/>
  <c r="AK457" i="2"/>
  <c r="AK458" i="2"/>
  <c r="AK459" i="2"/>
  <c r="AK460" i="2"/>
  <c r="AK461" i="2"/>
  <c r="AK462" i="2"/>
  <c r="AK463" i="2"/>
  <c r="AK464" i="2"/>
  <c r="AK465" i="2"/>
  <c r="AK466" i="2"/>
  <c r="AK467" i="2"/>
  <c r="AK468" i="2"/>
  <c r="AK469" i="2"/>
  <c r="AK470" i="2"/>
  <c r="AK471" i="2"/>
  <c r="AK472" i="2"/>
  <c r="AK473" i="2"/>
  <c r="AK474" i="2"/>
  <c r="AK475" i="2"/>
  <c r="AK476" i="2"/>
  <c r="AK477" i="2"/>
  <c r="AK478" i="2"/>
  <c r="AK479" i="2"/>
  <c r="AK480" i="2"/>
  <c r="AK481" i="2"/>
  <c r="AK482" i="2"/>
  <c r="AK483" i="2"/>
  <c r="AK484" i="2"/>
  <c r="AK485" i="2"/>
  <c r="AK486" i="2"/>
  <c r="AK487" i="2"/>
  <c r="AK488" i="2"/>
  <c r="AK489" i="2"/>
  <c r="AK490" i="2"/>
  <c r="AK491" i="2"/>
  <c r="AK492" i="2"/>
  <c r="AK493" i="2"/>
  <c r="AK494" i="2"/>
  <c r="AK495" i="2"/>
  <c r="AK496" i="2"/>
  <c r="AK497" i="2"/>
  <c r="AK498" i="2"/>
  <c r="AK499" i="2"/>
  <c r="AK500" i="2"/>
  <c r="AK501" i="2"/>
  <c r="AK502" i="2"/>
  <c r="AK503" i="2"/>
  <c r="AK504" i="2"/>
  <c r="AK505" i="2"/>
  <c r="AK506" i="2"/>
  <c r="AK507" i="2"/>
  <c r="AK508" i="2"/>
  <c r="AK509" i="2"/>
  <c r="AK510" i="2"/>
  <c r="AK511" i="2"/>
  <c r="AK512" i="2"/>
  <c r="AK513" i="2"/>
  <c r="AK514" i="2"/>
  <c r="AK515" i="2"/>
  <c r="AK516" i="2"/>
  <c r="AK517" i="2"/>
  <c r="AK518" i="2"/>
  <c r="AK519" i="2"/>
  <c r="AK520" i="2"/>
  <c r="AK521" i="2"/>
  <c r="AK522" i="2"/>
  <c r="AK523" i="2"/>
  <c r="AK524" i="2"/>
  <c r="AK525" i="2"/>
  <c r="AK526" i="2"/>
  <c r="AK527" i="2"/>
  <c r="AK528" i="2"/>
  <c r="AK529" i="2"/>
  <c r="AK530" i="2"/>
  <c r="AK531" i="2"/>
  <c r="AK532" i="2"/>
  <c r="AK533" i="2"/>
  <c r="AK534" i="2"/>
  <c r="AK535" i="2"/>
  <c r="AK536" i="2"/>
  <c r="AK537" i="2"/>
  <c r="AK538" i="2"/>
  <c r="AK539" i="2"/>
  <c r="AK540" i="2"/>
  <c r="AK541" i="2"/>
  <c r="AK542" i="2"/>
  <c r="AK543" i="2"/>
  <c r="AK544" i="2"/>
  <c r="AK545" i="2"/>
  <c r="AK546" i="2"/>
  <c r="AK547" i="2"/>
  <c r="AK548" i="2"/>
  <c r="AK549" i="2"/>
  <c r="AK550" i="2"/>
  <c r="AK551" i="2"/>
  <c r="AK552" i="2"/>
  <c r="AK553" i="2"/>
  <c r="AK554" i="2"/>
  <c r="AK555" i="2"/>
  <c r="AK556" i="2"/>
  <c r="AK557" i="2"/>
  <c r="AK558" i="2"/>
  <c r="AK559" i="2"/>
  <c r="AK560" i="2"/>
  <c r="AK561" i="2"/>
  <c r="AK562" i="2"/>
  <c r="AK563" i="2"/>
  <c r="AK564" i="2"/>
  <c r="AK565" i="2"/>
  <c r="AK566" i="2"/>
  <c r="AK567" i="2"/>
  <c r="AK568" i="2"/>
  <c r="AK569" i="2"/>
  <c r="AK570" i="2"/>
  <c r="AK571" i="2"/>
  <c r="AK572" i="2"/>
  <c r="AK573" i="2"/>
  <c r="AK574" i="2"/>
  <c r="AK575" i="2"/>
  <c r="AK576" i="2"/>
  <c r="AK577" i="2"/>
  <c r="AK578" i="2"/>
  <c r="AK579" i="2"/>
  <c r="AK580" i="2"/>
  <c r="AK581" i="2"/>
  <c r="AK582" i="2"/>
  <c r="AK583" i="2"/>
  <c r="AK584" i="2"/>
  <c r="AK585" i="2"/>
  <c r="AK586" i="2"/>
  <c r="AK587" i="2"/>
  <c r="AK588" i="2"/>
  <c r="AK589" i="2"/>
  <c r="AK590" i="2"/>
  <c r="AK591" i="2"/>
  <c r="AK592" i="2"/>
  <c r="AK593" i="2"/>
  <c r="AK594" i="2"/>
  <c r="AK595" i="2"/>
  <c r="AK596" i="2"/>
  <c r="AK597" i="2"/>
  <c r="AK598" i="2"/>
  <c r="AK599" i="2"/>
  <c r="AK600" i="2"/>
  <c r="AK601" i="2"/>
  <c r="AK602" i="2"/>
  <c r="AK603" i="2"/>
  <c r="AK604" i="2"/>
  <c r="AK605" i="2"/>
  <c r="AK606" i="2"/>
  <c r="AK607" i="2"/>
  <c r="AK608" i="2"/>
  <c r="AK609" i="2"/>
  <c r="AK610" i="2"/>
  <c r="AK611" i="2"/>
  <c r="AK612" i="2"/>
  <c r="AK613" i="2"/>
  <c r="AK614" i="2"/>
  <c r="AK615" i="2"/>
  <c r="AK616" i="2"/>
  <c r="AK617" i="2"/>
  <c r="AK618" i="2"/>
  <c r="AK619" i="2"/>
  <c r="AK620" i="2"/>
  <c r="AK621" i="2"/>
  <c r="AK622" i="2"/>
  <c r="AK623" i="2"/>
  <c r="AK624" i="2"/>
  <c r="AK625" i="2"/>
  <c r="AK626" i="2"/>
  <c r="AK627" i="2"/>
  <c r="AK628" i="2"/>
  <c r="AK629" i="2"/>
  <c r="AK630" i="2"/>
  <c r="AK631" i="2"/>
  <c r="AK632" i="2"/>
  <c r="AK633" i="2"/>
  <c r="AK634" i="2"/>
  <c r="AK635" i="2"/>
  <c r="AK636" i="2"/>
  <c r="AK637" i="2"/>
  <c r="AK638" i="2"/>
  <c r="AK639" i="2"/>
  <c r="AK640" i="2"/>
  <c r="AK641" i="2"/>
  <c r="AK642" i="2"/>
  <c r="AK643" i="2"/>
  <c r="AK644" i="2"/>
  <c r="AK645" i="2"/>
  <c r="AK646" i="2"/>
  <c r="AK647" i="2"/>
  <c r="AK648" i="2"/>
  <c r="AK649" i="2"/>
  <c r="AK650" i="2"/>
  <c r="AK651" i="2"/>
  <c r="AK652" i="2"/>
  <c r="AK653" i="2"/>
  <c r="AK654" i="2"/>
  <c r="AK655" i="2"/>
  <c r="AK656" i="2"/>
  <c r="AK657" i="2"/>
  <c r="AK658" i="2"/>
  <c r="AK659" i="2"/>
  <c r="AK660" i="2"/>
  <c r="AK661" i="2"/>
  <c r="AK662" i="2"/>
  <c r="AK663" i="2"/>
  <c r="AK664" i="2"/>
  <c r="AK665" i="2"/>
  <c r="AK666" i="2"/>
  <c r="AK667" i="2"/>
  <c r="AK668" i="2"/>
  <c r="AK669" i="2"/>
  <c r="AK670" i="2"/>
  <c r="AK671" i="2"/>
  <c r="AK672" i="2"/>
  <c r="AK673" i="2"/>
  <c r="AK674" i="2"/>
  <c r="AK675" i="2"/>
  <c r="AK676" i="2"/>
  <c r="AK677" i="2"/>
  <c r="AK678" i="2"/>
  <c r="AK679" i="2"/>
  <c r="AK680" i="2"/>
  <c r="AK681" i="2"/>
  <c r="AK682" i="2"/>
  <c r="AK683" i="2"/>
  <c r="AK684" i="2"/>
  <c r="AK685" i="2"/>
  <c r="AK686" i="2"/>
  <c r="AK687" i="2"/>
  <c r="AK688" i="2"/>
  <c r="AK689" i="2"/>
  <c r="AK690" i="2"/>
  <c r="AK691" i="2"/>
  <c r="AK692" i="2"/>
  <c r="AK693" i="2"/>
  <c r="AK694" i="2"/>
  <c r="AK695" i="2"/>
  <c r="AK696" i="2"/>
  <c r="AK697" i="2"/>
  <c r="AK698" i="2"/>
  <c r="AK699" i="2"/>
  <c r="AK700" i="2"/>
  <c r="AK701" i="2"/>
  <c r="AK702" i="2"/>
  <c r="AK703" i="2"/>
  <c r="AK704" i="2"/>
  <c r="AK705" i="2"/>
  <c r="AK706" i="2"/>
  <c r="AK707" i="2"/>
  <c r="AK708" i="2"/>
  <c r="AK709" i="2"/>
  <c r="AK710" i="2"/>
  <c r="AK711" i="2"/>
  <c r="AK712" i="2"/>
  <c r="AK713" i="2"/>
  <c r="AK714" i="2"/>
  <c r="AK715" i="2"/>
  <c r="AK716" i="2"/>
  <c r="AK717" i="2"/>
  <c r="AK718" i="2"/>
  <c r="AK719" i="2"/>
  <c r="AK720" i="2"/>
  <c r="AK721" i="2"/>
  <c r="AK722" i="2"/>
  <c r="AK723" i="2"/>
  <c r="AK724" i="2"/>
  <c r="AK725" i="2"/>
  <c r="AK726" i="2"/>
  <c r="AK727" i="2"/>
  <c r="AK728" i="2"/>
  <c r="AK729" i="2"/>
  <c r="AK730" i="2"/>
  <c r="AK731" i="2"/>
  <c r="AK732" i="2"/>
  <c r="AK733" i="2"/>
  <c r="AK734" i="2"/>
  <c r="AK735" i="2"/>
  <c r="AK736" i="2"/>
  <c r="AK737" i="2"/>
  <c r="AK738" i="2"/>
  <c r="AK739" i="2"/>
  <c r="AK740" i="2"/>
  <c r="AK741" i="2"/>
  <c r="AK742" i="2"/>
  <c r="AK743" i="2"/>
  <c r="AK744" i="2"/>
  <c r="AK745" i="2"/>
  <c r="AK746" i="2"/>
  <c r="AK747" i="2"/>
  <c r="AK748" i="2"/>
  <c r="AK749" i="2"/>
  <c r="AK750" i="2"/>
  <c r="AK751" i="2"/>
  <c r="AK752" i="2"/>
  <c r="AK753" i="2"/>
  <c r="AK754" i="2"/>
  <c r="AK755" i="2"/>
  <c r="AK756" i="2"/>
  <c r="AK757" i="2"/>
  <c r="AK758" i="2"/>
  <c r="AK759" i="2"/>
  <c r="AK760" i="2"/>
  <c r="AK761" i="2"/>
  <c r="AK762" i="2"/>
  <c r="AK763" i="2"/>
  <c r="AK764" i="2"/>
  <c r="AK765" i="2"/>
  <c r="AK766" i="2"/>
  <c r="AK767" i="2"/>
  <c r="AK768" i="2"/>
  <c r="AK769" i="2"/>
  <c r="AK770" i="2"/>
  <c r="AK771" i="2"/>
  <c r="AK772" i="2"/>
  <c r="AK773" i="2"/>
  <c r="AK774" i="2"/>
  <c r="AK775" i="2"/>
  <c r="AK776" i="2"/>
  <c r="AK777" i="2"/>
  <c r="AK778" i="2"/>
  <c r="AK779" i="2"/>
  <c r="AK780" i="2"/>
  <c r="AK781" i="2"/>
  <c r="AK782" i="2"/>
  <c r="AK783" i="2"/>
  <c r="AK784" i="2"/>
  <c r="AK785" i="2"/>
  <c r="AK786" i="2"/>
  <c r="AK787" i="2"/>
  <c r="AK788" i="2"/>
  <c r="AK789" i="2"/>
  <c r="AK790" i="2"/>
  <c r="AK791" i="2"/>
  <c r="AK792" i="2"/>
  <c r="AK793" i="2"/>
  <c r="AK794" i="2"/>
  <c r="AK795" i="2"/>
  <c r="AK796" i="2"/>
  <c r="AK797" i="2"/>
  <c r="AK798" i="2"/>
  <c r="AK799" i="2"/>
  <c r="AK800" i="2"/>
  <c r="AK801" i="2"/>
  <c r="AK802" i="2"/>
  <c r="AK803" i="2"/>
  <c r="AK804" i="2"/>
  <c r="AK805" i="2"/>
  <c r="AK806" i="2"/>
  <c r="AK807" i="2"/>
  <c r="AK808" i="2"/>
  <c r="AK809" i="2"/>
  <c r="AK810" i="2"/>
  <c r="AK811" i="2"/>
  <c r="AK812" i="2"/>
  <c r="AK813" i="2"/>
  <c r="AK814" i="2"/>
  <c r="AK815" i="2"/>
  <c r="AK816" i="2"/>
  <c r="AK817" i="2"/>
  <c r="AK818" i="2"/>
  <c r="AK819" i="2"/>
  <c r="AK820" i="2"/>
  <c r="AK821" i="2"/>
  <c r="AK822" i="2"/>
  <c r="AK823" i="2"/>
  <c r="AK824" i="2"/>
  <c r="AK825" i="2"/>
  <c r="AK826" i="2"/>
  <c r="AK827" i="2"/>
  <c r="AK828" i="2"/>
  <c r="AK829" i="2"/>
  <c r="AK830" i="2"/>
  <c r="AK831" i="2"/>
  <c r="AK832" i="2"/>
  <c r="AK833" i="2"/>
  <c r="AK834" i="2"/>
  <c r="AK835" i="2"/>
  <c r="AK836" i="2"/>
  <c r="AK837" i="2"/>
  <c r="AK838" i="2"/>
  <c r="AK839" i="2"/>
  <c r="AK840" i="2"/>
  <c r="AK841" i="2"/>
  <c r="AK842" i="2"/>
  <c r="AK843" i="2"/>
  <c r="AK844" i="2"/>
  <c r="AK845" i="2"/>
  <c r="AK846" i="2"/>
  <c r="AK847" i="2"/>
  <c r="AK848" i="2"/>
  <c r="AK849" i="2"/>
  <c r="AK850" i="2"/>
  <c r="AK851" i="2"/>
  <c r="AK852" i="2"/>
  <c r="AK853" i="2"/>
  <c r="AK854" i="2"/>
  <c r="AK855" i="2"/>
  <c r="AK856" i="2"/>
  <c r="AK857" i="2"/>
  <c r="AK858" i="2"/>
  <c r="AK859" i="2"/>
  <c r="AK860" i="2"/>
  <c r="AK861" i="2"/>
  <c r="AK862" i="2"/>
  <c r="AK863" i="2"/>
  <c r="AK864" i="2"/>
  <c r="AK865" i="2"/>
  <c r="AK866" i="2"/>
  <c r="AK867" i="2"/>
  <c r="AK868" i="2"/>
  <c r="AK869" i="2"/>
  <c r="AK870" i="2"/>
  <c r="AK871" i="2"/>
  <c r="AK872" i="2"/>
  <c r="AK873" i="2"/>
  <c r="AK874" i="2"/>
  <c r="AK875" i="2"/>
  <c r="AK876" i="2"/>
  <c r="AK877" i="2"/>
  <c r="AK878" i="2"/>
  <c r="AK879" i="2"/>
  <c r="AK880" i="2"/>
  <c r="AK881" i="2"/>
  <c r="AK882" i="2"/>
  <c r="AK883" i="2"/>
  <c r="AK884" i="2"/>
  <c r="AK885" i="2"/>
  <c r="AK886" i="2"/>
  <c r="AK887" i="2"/>
  <c r="AK888" i="2"/>
  <c r="AK889" i="2"/>
  <c r="AK890" i="2"/>
  <c r="AK891" i="2"/>
  <c r="AK892" i="2"/>
  <c r="AK893" i="2"/>
  <c r="AK894" i="2"/>
  <c r="AK895" i="2"/>
  <c r="AK896" i="2"/>
  <c r="AK897" i="2"/>
  <c r="AK898" i="2"/>
  <c r="AK899" i="2"/>
  <c r="AK900" i="2"/>
  <c r="AK901" i="2"/>
  <c r="AK902" i="2"/>
  <c r="AK903" i="2"/>
  <c r="AK904" i="2"/>
  <c r="AK905" i="2"/>
  <c r="AK906" i="2"/>
  <c r="AK907" i="2"/>
  <c r="AK908" i="2"/>
  <c r="AK909" i="2"/>
  <c r="AK910" i="2"/>
  <c r="AK911" i="2"/>
  <c r="AK912" i="2"/>
  <c r="AK913" i="2"/>
  <c r="AK914" i="2"/>
  <c r="AK915" i="2"/>
  <c r="AK916" i="2"/>
  <c r="AK917" i="2"/>
  <c r="AK918" i="2"/>
  <c r="AK919" i="2"/>
  <c r="AK920" i="2"/>
  <c r="AK921" i="2"/>
  <c r="AK922" i="2"/>
  <c r="AK923" i="2"/>
  <c r="AK924" i="2"/>
  <c r="AK925" i="2"/>
  <c r="AK926" i="2"/>
  <c r="AK927" i="2"/>
  <c r="AK928" i="2"/>
  <c r="AK929" i="2"/>
  <c r="AK930" i="2"/>
  <c r="AK931" i="2"/>
  <c r="AK932" i="2"/>
  <c r="AK933" i="2"/>
  <c r="AK934" i="2"/>
  <c r="AK935" i="2"/>
  <c r="AK936" i="2"/>
  <c r="AK937" i="2"/>
  <c r="AK938" i="2"/>
  <c r="AK939" i="2"/>
  <c r="AK940" i="2"/>
  <c r="AK941" i="2"/>
  <c r="AK942" i="2"/>
  <c r="AK943" i="2"/>
  <c r="AK944" i="2"/>
  <c r="AK945" i="2"/>
  <c r="AK946" i="2"/>
  <c r="AK947" i="2"/>
  <c r="AK948" i="2"/>
  <c r="AK949" i="2"/>
  <c r="AK950" i="2"/>
  <c r="AK951" i="2"/>
  <c r="AK952" i="2"/>
  <c r="AK953" i="2"/>
  <c r="AK954" i="2"/>
  <c r="AK955" i="2"/>
  <c r="AK956" i="2"/>
  <c r="AK957" i="2"/>
  <c r="AK958" i="2"/>
  <c r="AK959" i="2"/>
  <c r="AK960" i="2"/>
  <c r="AK961" i="2"/>
  <c r="AK962" i="2"/>
  <c r="AK963" i="2"/>
  <c r="AK964" i="2"/>
  <c r="AK965" i="2"/>
  <c r="AK966" i="2"/>
  <c r="AK967" i="2"/>
  <c r="AK968" i="2"/>
  <c r="AK969" i="2"/>
  <c r="AK970" i="2"/>
  <c r="AK971" i="2"/>
  <c r="AK972" i="2"/>
  <c r="AK973" i="2"/>
  <c r="AK974" i="2"/>
  <c r="AK975" i="2"/>
  <c r="AK976" i="2"/>
  <c r="AK977" i="2"/>
  <c r="AK978" i="2"/>
  <c r="AK979" i="2"/>
  <c r="AK980" i="2"/>
  <c r="AK981" i="2"/>
  <c r="AK982" i="2"/>
  <c r="AK983" i="2"/>
  <c r="AK984" i="2"/>
  <c r="AK985" i="2"/>
  <c r="AK986" i="2"/>
  <c r="AK987" i="2"/>
  <c r="AK988" i="2"/>
  <c r="AK989" i="2"/>
  <c r="AK990" i="2"/>
  <c r="AK991" i="2"/>
  <c r="AK992" i="2"/>
  <c r="AK993" i="2"/>
  <c r="AK994" i="2"/>
  <c r="AK995" i="2"/>
  <c r="AK996" i="2"/>
  <c r="AK997" i="2"/>
  <c r="AK998" i="2"/>
  <c r="AK999" i="2"/>
  <c r="AK1000" i="2"/>
  <c r="AK1001" i="2"/>
  <c r="AK1002" i="2"/>
  <c r="AK1003" i="2"/>
  <c r="AK1004" i="2"/>
  <c r="AK1005" i="2"/>
  <c r="AK1006" i="2"/>
  <c r="AK1007" i="2"/>
  <c r="AK1008" i="2"/>
  <c r="AK1009" i="2"/>
  <c r="AK1010" i="2"/>
  <c r="AK1011" i="2"/>
  <c r="AK1012" i="2"/>
  <c r="AK1013" i="2"/>
  <c r="AK1014" i="2"/>
  <c r="AK1015" i="2"/>
  <c r="AK1016" i="2"/>
  <c r="AK1017" i="2"/>
  <c r="AK1018" i="2"/>
  <c r="AK1019" i="2"/>
  <c r="AK1020" i="2"/>
  <c r="AK1021" i="2"/>
  <c r="AK1022" i="2"/>
  <c r="AK1023" i="2"/>
  <c r="AK1024" i="2"/>
  <c r="AK1025" i="2"/>
  <c r="AK1026" i="2"/>
  <c r="AK1027" i="2"/>
  <c r="AK1028" i="2"/>
  <c r="AK1029" i="2"/>
  <c r="AK1030" i="2"/>
  <c r="AK1031" i="2"/>
  <c r="AK1032" i="2"/>
  <c r="AK1033" i="2"/>
  <c r="AK1034" i="2"/>
  <c r="AK1035" i="2"/>
  <c r="AK1036" i="2"/>
  <c r="AK1037" i="2"/>
  <c r="AK1038" i="2"/>
  <c r="AK1039" i="2"/>
  <c r="AK1040" i="2"/>
  <c r="AK1041" i="2"/>
  <c r="AK1042" i="2"/>
  <c r="AK1043" i="2"/>
  <c r="AK1044" i="2"/>
  <c r="AK1045" i="2"/>
  <c r="AK1046" i="2"/>
  <c r="AK1047" i="2"/>
  <c r="AK1048" i="2"/>
  <c r="AK1049" i="2"/>
  <c r="AK1050" i="2"/>
  <c r="AK1051" i="2"/>
  <c r="AK1052" i="2"/>
  <c r="AK1053" i="2"/>
  <c r="AK1054" i="2"/>
  <c r="AK1055" i="2"/>
  <c r="AK1056" i="2"/>
  <c r="AK1057" i="2"/>
  <c r="AK1058" i="2"/>
  <c r="AK1059" i="2"/>
  <c r="AK1060" i="2"/>
  <c r="AK1061" i="2"/>
  <c r="AK1062" i="2"/>
  <c r="AK1063" i="2"/>
  <c r="AK1064" i="2"/>
  <c r="AK1065" i="2"/>
  <c r="AK1066" i="2"/>
  <c r="AK1067" i="2"/>
  <c r="AK1068" i="2"/>
  <c r="AK1069" i="2"/>
  <c r="AK1070" i="2"/>
  <c r="AK1071" i="2"/>
  <c r="AK1072" i="2"/>
  <c r="AK1073" i="2"/>
  <c r="AK1074" i="2"/>
  <c r="AK1075" i="2"/>
  <c r="AK1076" i="2"/>
  <c r="AK1077" i="2"/>
  <c r="AK1078" i="2"/>
  <c r="AK1079" i="2"/>
  <c r="AK1080" i="2"/>
  <c r="AK1081" i="2"/>
  <c r="AK1082" i="2"/>
  <c r="AK1083" i="2"/>
  <c r="AK1084" i="2"/>
  <c r="AK1085" i="2"/>
  <c r="AK1086" i="2"/>
  <c r="AK1087" i="2"/>
  <c r="AK1088" i="2"/>
  <c r="AK1089" i="2"/>
  <c r="AK1090" i="2"/>
  <c r="AK1091" i="2"/>
  <c r="AK1092" i="2"/>
  <c r="AK1093" i="2"/>
  <c r="AK1094" i="2"/>
  <c r="AK1095" i="2"/>
  <c r="AK1096" i="2"/>
  <c r="AK1097" i="2"/>
  <c r="AK1098" i="2"/>
  <c r="AK1099" i="2"/>
  <c r="AK1100" i="2"/>
  <c r="AK1101" i="2"/>
  <c r="AK1102" i="2"/>
  <c r="AK1103" i="2"/>
  <c r="AK1104" i="2"/>
  <c r="AK1105" i="2"/>
  <c r="AK1106" i="2"/>
  <c r="AK1107" i="2"/>
  <c r="AK1108" i="2"/>
  <c r="AK1109" i="2"/>
  <c r="AK1110" i="2"/>
  <c r="AK1111" i="2"/>
  <c r="AK1112" i="2"/>
  <c r="AK1113" i="2"/>
  <c r="AK1114" i="2"/>
  <c r="AK1115" i="2"/>
  <c r="AK1116" i="2"/>
  <c r="AK1117" i="2"/>
  <c r="AK1118" i="2"/>
  <c r="AK1119" i="2"/>
  <c r="AK1120" i="2"/>
  <c r="AK1121" i="2"/>
  <c r="AK1122" i="2"/>
  <c r="AK1123" i="2"/>
  <c r="AK1124" i="2"/>
  <c r="AK1125" i="2"/>
  <c r="AK1126" i="2"/>
  <c r="AK1127" i="2"/>
  <c r="AK1128" i="2"/>
  <c r="AK1129" i="2"/>
  <c r="AK1130" i="2"/>
  <c r="AK1131" i="2"/>
  <c r="AK1132" i="2"/>
  <c r="AK1133" i="2"/>
  <c r="AK1134" i="2"/>
  <c r="AK1135" i="2"/>
  <c r="AK1136" i="2"/>
  <c r="AK1137" i="2"/>
  <c r="AK1138" i="2"/>
  <c r="AK1139" i="2"/>
  <c r="AK1140" i="2"/>
  <c r="AK1141" i="2"/>
  <c r="AK1142" i="2"/>
  <c r="AK1143" i="2"/>
  <c r="AK1144" i="2"/>
  <c r="AK1145" i="2"/>
  <c r="AK1146" i="2"/>
  <c r="AK1147" i="2"/>
  <c r="AK1148" i="2"/>
  <c r="AK1149" i="2"/>
  <c r="AK1150" i="2"/>
  <c r="AK1151" i="2"/>
  <c r="AK1152" i="2"/>
  <c r="AK1153" i="2"/>
  <c r="AK1154" i="2"/>
  <c r="AK1155" i="2"/>
  <c r="AK1156" i="2"/>
  <c r="AK1157" i="2"/>
  <c r="AK1158" i="2"/>
  <c r="AK1159" i="2"/>
  <c r="AK1160" i="2"/>
  <c r="AK1161" i="2"/>
  <c r="AK1162" i="2"/>
  <c r="AK1163" i="2"/>
  <c r="AK1164" i="2"/>
  <c r="AK1165" i="2"/>
  <c r="AK1166" i="2"/>
  <c r="AK1167" i="2"/>
  <c r="AK1168" i="2"/>
  <c r="AK1169" i="2"/>
  <c r="AK1170" i="2"/>
  <c r="AK1171" i="2"/>
  <c r="AK1172" i="2"/>
  <c r="AK1173" i="2"/>
  <c r="AK1174" i="2"/>
  <c r="AK1175" i="2"/>
  <c r="AK1176" i="2"/>
  <c r="AK1177" i="2"/>
  <c r="AK1178" i="2"/>
  <c r="AK1179" i="2"/>
  <c r="AK1180" i="2"/>
  <c r="AK1181" i="2"/>
  <c r="AK1182" i="2"/>
  <c r="AK1183" i="2"/>
  <c r="AK1184" i="2"/>
  <c r="AK1185" i="2"/>
  <c r="AK1186" i="2"/>
  <c r="AK1187" i="2"/>
  <c r="AK1188" i="2"/>
  <c r="AK1189" i="2"/>
  <c r="AK1190" i="2"/>
  <c r="AK1191" i="2"/>
  <c r="AK1192" i="2"/>
  <c r="AK1193" i="2"/>
  <c r="AK1194" i="2"/>
  <c r="AK1195" i="2"/>
  <c r="AK1196" i="2"/>
  <c r="AK1197" i="2"/>
  <c r="AK1198" i="2"/>
  <c r="AK1199" i="2"/>
  <c r="AK1200" i="2"/>
  <c r="AK1201" i="2"/>
  <c r="AK1202" i="2"/>
  <c r="AK1203" i="2"/>
  <c r="AK1204" i="2"/>
  <c r="AK1205" i="2"/>
  <c r="AK1206" i="2"/>
  <c r="AK1207" i="2"/>
  <c r="AK1208" i="2"/>
  <c r="AK1209" i="2"/>
  <c r="AK1210" i="2"/>
  <c r="AK1211" i="2"/>
  <c r="AK1212" i="2"/>
  <c r="AK1213" i="2"/>
  <c r="AK1214" i="2"/>
  <c r="AK1215" i="2"/>
  <c r="AK1216" i="2"/>
  <c r="AK1217" i="2"/>
  <c r="AK1218" i="2"/>
  <c r="AK1219" i="2"/>
  <c r="AK1220" i="2"/>
  <c r="AK1221" i="2"/>
  <c r="AK1222" i="2"/>
  <c r="AK1223" i="2"/>
  <c r="AK1224" i="2"/>
  <c r="AK1225" i="2"/>
  <c r="AK1226" i="2"/>
  <c r="AK1227" i="2"/>
  <c r="AK1228" i="2"/>
  <c r="AK1229" i="2"/>
  <c r="AK1230" i="2"/>
  <c r="AK1231" i="2"/>
  <c r="AK1232" i="2"/>
  <c r="AK1233" i="2"/>
  <c r="AK1234" i="2"/>
  <c r="AK1235" i="2"/>
  <c r="AK1236" i="2"/>
  <c r="AK1237" i="2"/>
  <c r="AK1238" i="2"/>
  <c r="AK1239" i="2"/>
  <c r="AK1240" i="2"/>
  <c r="AK1241" i="2"/>
  <c r="AK1242" i="2"/>
  <c r="AK1243" i="2"/>
  <c r="AK1244" i="2"/>
  <c r="AK1245" i="2"/>
  <c r="AK1246" i="2"/>
  <c r="AK1247" i="2"/>
  <c r="AK1248" i="2"/>
  <c r="AK1249" i="2"/>
  <c r="AK1250" i="2"/>
  <c r="AK1251" i="2"/>
  <c r="AK1252" i="2"/>
  <c r="AK1253" i="2"/>
  <c r="AK1254" i="2"/>
  <c r="AK1255" i="2"/>
  <c r="AK1256" i="2"/>
  <c r="AK1257" i="2"/>
  <c r="AK1258" i="2"/>
  <c r="AK1259" i="2"/>
  <c r="AK1260" i="2"/>
  <c r="AK1261" i="2"/>
  <c r="AK1262" i="2"/>
  <c r="AK1263" i="2"/>
  <c r="AK1264" i="2"/>
  <c r="AK1265" i="2"/>
  <c r="AK1266" i="2"/>
  <c r="AK1267" i="2"/>
  <c r="AK1268" i="2"/>
  <c r="AK1269" i="2"/>
  <c r="AK1270" i="2"/>
  <c r="AK1271" i="2"/>
  <c r="AK1272" i="2"/>
  <c r="AK1273" i="2"/>
  <c r="AK1274" i="2"/>
  <c r="AK1275" i="2"/>
  <c r="AK1276" i="2"/>
  <c r="AK1277" i="2"/>
  <c r="AK1278" i="2"/>
  <c r="AK1279" i="2"/>
  <c r="AK1280" i="2"/>
  <c r="AK1281" i="2"/>
  <c r="AK1282" i="2"/>
  <c r="AK1283" i="2"/>
  <c r="AK1284" i="2"/>
  <c r="AK1285" i="2"/>
  <c r="AK1286" i="2"/>
  <c r="AK1287" i="2"/>
  <c r="AK1288" i="2"/>
  <c r="AK1289" i="2"/>
  <c r="AK1290" i="2"/>
  <c r="AK1291" i="2"/>
  <c r="AK1292" i="2"/>
  <c r="AK1293" i="2"/>
  <c r="AK1294" i="2"/>
  <c r="AK1295" i="2"/>
  <c r="AK1296" i="2"/>
  <c r="AK1297" i="2"/>
  <c r="AK1298" i="2"/>
  <c r="AK1299" i="2"/>
  <c r="AK1300" i="2"/>
  <c r="AK1301" i="2"/>
  <c r="AK1302" i="2"/>
  <c r="AK1303" i="2"/>
  <c r="AK1304" i="2"/>
  <c r="AK1305" i="2"/>
  <c r="AK1306" i="2"/>
  <c r="AK1307" i="2"/>
  <c r="AK1308" i="2"/>
  <c r="AK1309" i="2"/>
  <c r="AK1310" i="2"/>
  <c r="AK1311" i="2"/>
  <c r="AK1312" i="2"/>
  <c r="AK1313" i="2"/>
  <c r="AK1314" i="2"/>
  <c r="AK1315" i="2"/>
  <c r="AK1316" i="2"/>
  <c r="AK1317" i="2"/>
  <c r="AK1318" i="2"/>
  <c r="AK1319" i="2"/>
  <c r="AK1320" i="2"/>
  <c r="AK1321" i="2"/>
  <c r="AK1322" i="2"/>
  <c r="AK1323" i="2"/>
  <c r="AK1324" i="2"/>
  <c r="AK1325" i="2"/>
  <c r="AK1326" i="2"/>
  <c r="AK1327" i="2"/>
  <c r="AK1328" i="2"/>
  <c r="AK1329" i="2"/>
  <c r="AK1330" i="2"/>
  <c r="AK1331" i="2"/>
  <c r="AK1332" i="2"/>
  <c r="AK1333" i="2"/>
  <c r="AK1334" i="2"/>
  <c r="AK1335" i="2"/>
  <c r="AK1336" i="2"/>
  <c r="AK1337" i="2"/>
  <c r="AK1338" i="2"/>
  <c r="AK1339" i="2"/>
  <c r="AK1340" i="2"/>
  <c r="AK1341" i="2"/>
  <c r="AK1342" i="2"/>
  <c r="AK1343" i="2"/>
  <c r="AK1344" i="2"/>
  <c r="AK1345" i="2"/>
  <c r="AK1346" i="2"/>
  <c r="AK1347" i="2"/>
  <c r="AK1348" i="2"/>
  <c r="AK1349" i="2"/>
  <c r="AK1350" i="2"/>
  <c r="AK1351" i="2"/>
  <c r="AK1352" i="2"/>
  <c r="AK1353" i="2"/>
  <c r="AK1354" i="2"/>
  <c r="AK1355" i="2"/>
  <c r="AK1356" i="2"/>
  <c r="AK1357" i="2"/>
  <c r="AK1358" i="2"/>
  <c r="AK1359" i="2"/>
  <c r="AK1360" i="2"/>
  <c r="AK1361" i="2"/>
  <c r="AK1362" i="2"/>
  <c r="AK1363" i="2"/>
  <c r="AK1364" i="2"/>
  <c r="AK1365" i="2"/>
  <c r="AK1366" i="2"/>
  <c r="AK1367" i="2"/>
  <c r="AK1368" i="2"/>
  <c r="AK1369" i="2"/>
  <c r="AK1370" i="2"/>
  <c r="AK1371" i="2"/>
  <c r="AK1372" i="2"/>
  <c r="AK1373" i="2"/>
  <c r="AK1374" i="2"/>
  <c r="AK1375" i="2"/>
  <c r="AK1376" i="2"/>
  <c r="AK1377" i="2"/>
  <c r="AK1378" i="2"/>
  <c r="AK1379" i="2"/>
  <c r="AK1380" i="2"/>
  <c r="AK1381" i="2"/>
  <c r="AK1382" i="2"/>
  <c r="AK1383" i="2"/>
  <c r="AK1384" i="2"/>
  <c r="AK1385" i="2"/>
  <c r="AK1386" i="2"/>
  <c r="AK1387" i="2"/>
  <c r="AK1388" i="2"/>
  <c r="AK1389" i="2"/>
  <c r="AK1390" i="2"/>
  <c r="AK1391" i="2"/>
  <c r="AK1392" i="2"/>
  <c r="AK1393" i="2"/>
  <c r="AK1394" i="2"/>
  <c r="AK1395" i="2"/>
  <c r="AK1396" i="2"/>
  <c r="AK1397" i="2"/>
  <c r="AK1398" i="2"/>
  <c r="AK1399" i="2"/>
  <c r="AK1400" i="2"/>
  <c r="AK1401" i="2"/>
  <c r="AK1402" i="2"/>
  <c r="AK1403" i="2"/>
  <c r="AK1404" i="2"/>
  <c r="AK1405" i="2"/>
  <c r="AK1406" i="2"/>
  <c r="AK1407" i="2"/>
  <c r="AK1408" i="2"/>
  <c r="AK1409" i="2"/>
  <c r="AK1410" i="2"/>
  <c r="AK1411" i="2"/>
  <c r="AK1412" i="2"/>
  <c r="AK1413" i="2"/>
  <c r="AK1414" i="2"/>
  <c r="AK1415" i="2"/>
  <c r="AK1416" i="2"/>
  <c r="AK1417" i="2"/>
  <c r="AK1418" i="2"/>
  <c r="AK1419" i="2"/>
  <c r="AK1420" i="2"/>
  <c r="AK1421" i="2"/>
  <c r="AK1422" i="2"/>
  <c r="AK1423" i="2"/>
  <c r="AK1424" i="2"/>
  <c r="AK1425" i="2"/>
  <c r="AK1426" i="2"/>
  <c r="AK1427" i="2"/>
  <c r="AK1428" i="2"/>
  <c r="AK1429" i="2"/>
  <c r="AK1430" i="2"/>
  <c r="AK1431" i="2"/>
  <c r="AK1432" i="2"/>
  <c r="AK1433" i="2"/>
  <c r="AK1434" i="2"/>
  <c r="AK1435" i="2"/>
  <c r="AK1436" i="2"/>
  <c r="AK1437" i="2"/>
  <c r="AK1438" i="2"/>
  <c r="AK1439" i="2"/>
  <c r="AK1440" i="2"/>
  <c r="AK1441" i="2"/>
  <c r="AK1442" i="2"/>
  <c r="AK1443" i="2"/>
  <c r="AK1444" i="2"/>
  <c r="AK1445" i="2"/>
  <c r="AK1446" i="2"/>
  <c r="AK1447" i="2"/>
  <c r="AK1448" i="2"/>
  <c r="AK1449" i="2"/>
  <c r="AK1450" i="2"/>
  <c r="AK1451" i="2"/>
  <c r="AK1452" i="2"/>
  <c r="AK1453" i="2"/>
  <c r="AK1454" i="2"/>
  <c r="AK1455" i="2"/>
  <c r="AK1456" i="2"/>
  <c r="AK1457" i="2"/>
  <c r="AK1458" i="2"/>
  <c r="AK1459" i="2"/>
  <c r="AK1460" i="2"/>
  <c r="AK1461" i="2"/>
  <c r="AK1462" i="2"/>
  <c r="AK1463" i="2"/>
  <c r="AK1464" i="2"/>
  <c r="AK1465" i="2"/>
  <c r="AK1466" i="2"/>
  <c r="AK1467" i="2"/>
  <c r="AK1468" i="2"/>
  <c r="AK1469" i="2"/>
  <c r="AK1470" i="2"/>
  <c r="AK1471" i="2"/>
  <c r="AJ2" i="2"/>
  <c r="AJ3" i="2"/>
  <c r="AJ4" i="2"/>
  <c r="AJ5" i="2"/>
  <c r="AJ6" i="2"/>
  <c r="AJ7" i="2"/>
  <c r="AJ8" i="2"/>
  <c r="AJ9" i="2"/>
  <c r="AJ10" i="2"/>
  <c r="AJ11" i="2"/>
  <c r="AJ12" i="2"/>
  <c r="AJ13" i="2"/>
  <c r="AJ14" i="2"/>
  <c r="AJ15" i="2"/>
  <c r="AJ16" i="2"/>
  <c r="AJ17" i="2"/>
  <c r="AJ18" i="2"/>
  <c r="AJ19" i="2"/>
  <c r="AJ20" i="2"/>
  <c r="AJ21" i="2"/>
  <c r="AJ22" i="2"/>
  <c r="AJ23" i="2"/>
  <c r="AJ24" i="2"/>
  <c r="AJ25" i="2"/>
  <c r="AJ26" i="2"/>
  <c r="AJ27" i="2"/>
  <c r="AJ28" i="2"/>
  <c r="AJ29" i="2"/>
  <c r="AJ30" i="2"/>
  <c r="AJ31" i="2"/>
  <c r="AJ32" i="2"/>
  <c r="AJ33" i="2"/>
  <c r="AJ34" i="2"/>
  <c r="AJ35" i="2"/>
  <c r="AJ36" i="2"/>
  <c r="AJ37" i="2"/>
  <c r="AJ38" i="2"/>
  <c r="AJ39" i="2"/>
  <c r="AJ40" i="2"/>
  <c r="AJ41" i="2"/>
  <c r="AJ42" i="2"/>
  <c r="AJ43" i="2"/>
  <c r="AJ44" i="2"/>
  <c r="AJ45" i="2"/>
  <c r="AJ46" i="2"/>
  <c r="AJ47" i="2"/>
  <c r="AJ48" i="2"/>
  <c r="AJ49" i="2"/>
  <c r="AJ50" i="2"/>
  <c r="AJ51" i="2"/>
  <c r="AJ52" i="2"/>
  <c r="AJ53" i="2"/>
  <c r="AJ54" i="2"/>
  <c r="AJ55" i="2"/>
  <c r="AJ56" i="2"/>
  <c r="AJ57" i="2"/>
  <c r="AJ58" i="2"/>
  <c r="AJ59" i="2"/>
  <c r="AJ60" i="2"/>
  <c r="AJ61" i="2"/>
  <c r="AJ62" i="2"/>
  <c r="AJ63" i="2"/>
  <c r="AJ64" i="2"/>
  <c r="AJ65" i="2"/>
  <c r="AJ66" i="2"/>
  <c r="AJ67" i="2"/>
  <c r="AJ68" i="2"/>
  <c r="AJ69" i="2"/>
  <c r="AJ70" i="2"/>
  <c r="AJ71" i="2"/>
  <c r="AJ72" i="2"/>
  <c r="AJ73" i="2"/>
  <c r="AJ74" i="2"/>
  <c r="AJ75" i="2"/>
  <c r="AJ76" i="2"/>
  <c r="AJ77" i="2"/>
  <c r="AJ78" i="2"/>
  <c r="AJ79" i="2"/>
  <c r="AJ80" i="2"/>
  <c r="AJ81" i="2"/>
  <c r="AJ82" i="2"/>
  <c r="AJ83" i="2"/>
  <c r="AJ84" i="2"/>
  <c r="AJ85" i="2"/>
  <c r="AJ86" i="2"/>
  <c r="AJ87" i="2"/>
  <c r="AJ88" i="2"/>
  <c r="AJ89" i="2"/>
  <c r="AJ90" i="2"/>
  <c r="AJ91" i="2"/>
  <c r="AJ92" i="2"/>
  <c r="AJ93" i="2"/>
  <c r="AJ94" i="2"/>
  <c r="AJ95" i="2"/>
  <c r="AJ96" i="2"/>
  <c r="AJ97" i="2"/>
  <c r="AJ98" i="2"/>
  <c r="AJ99" i="2"/>
  <c r="AJ100" i="2"/>
  <c r="AJ101" i="2"/>
  <c r="AJ102" i="2"/>
  <c r="AJ103" i="2"/>
  <c r="AJ104" i="2"/>
  <c r="AJ105" i="2"/>
  <c r="AJ106" i="2"/>
  <c r="AJ107" i="2"/>
  <c r="AJ108" i="2"/>
  <c r="AJ109" i="2"/>
  <c r="AJ110" i="2"/>
  <c r="AJ111" i="2"/>
  <c r="AJ112" i="2"/>
  <c r="AJ113" i="2"/>
  <c r="AJ114" i="2"/>
  <c r="AJ115" i="2"/>
  <c r="AJ116" i="2"/>
  <c r="AJ117" i="2"/>
  <c r="AJ118" i="2"/>
  <c r="AJ119" i="2"/>
  <c r="AJ120" i="2"/>
  <c r="AJ121" i="2"/>
  <c r="AJ122" i="2"/>
  <c r="AJ123" i="2"/>
  <c r="AJ124" i="2"/>
  <c r="AJ125" i="2"/>
  <c r="AJ126" i="2"/>
  <c r="AJ127" i="2"/>
  <c r="AJ128" i="2"/>
  <c r="AJ129" i="2"/>
  <c r="AJ130" i="2"/>
  <c r="AJ131" i="2"/>
  <c r="AJ132" i="2"/>
  <c r="AJ133" i="2"/>
  <c r="AJ134" i="2"/>
  <c r="AJ135" i="2"/>
  <c r="AJ136" i="2"/>
  <c r="AJ137" i="2"/>
  <c r="AJ138" i="2"/>
  <c r="AJ139" i="2"/>
  <c r="AJ140" i="2"/>
  <c r="AJ141" i="2"/>
  <c r="AJ142" i="2"/>
  <c r="AJ143" i="2"/>
  <c r="AJ144" i="2"/>
  <c r="AJ145" i="2"/>
  <c r="AJ146" i="2"/>
  <c r="AJ147" i="2"/>
  <c r="AJ148" i="2"/>
  <c r="AJ149" i="2"/>
  <c r="AJ150" i="2"/>
  <c r="AJ151" i="2"/>
  <c r="AJ152" i="2"/>
  <c r="AJ153" i="2"/>
  <c r="AJ154" i="2"/>
  <c r="AJ155" i="2"/>
  <c r="AJ156" i="2"/>
  <c r="AJ157" i="2"/>
  <c r="AJ158" i="2"/>
  <c r="AJ159" i="2"/>
  <c r="AJ160" i="2"/>
  <c r="AJ161" i="2"/>
  <c r="AJ162" i="2"/>
  <c r="AJ163" i="2"/>
  <c r="AJ164" i="2"/>
  <c r="AJ165" i="2"/>
  <c r="AJ166" i="2"/>
  <c r="AJ167" i="2"/>
  <c r="AJ168" i="2"/>
  <c r="AJ169" i="2"/>
  <c r="AJ170" i="2"/>
  <c r="AJ171" i="2"/>
  <c r="AJ172" i="2"/>
  <c r="AJ173" i="2"/>
  <c r="AJ174" i="2"/>
  <c r="AJ175" i="2"/>
  <c r="AJ176" i="2"/>
  <c r="AJ177" i="2"/>
  <c r="AJ178" i="2"/>
  <c r="AJ179" i="2"/>
  <c r="AJ180" i="2"/>
  <c r="AJ181" i="2"/>
  <c r="AJ182" i="2"/>
  <c r="AJ183" i="2"/>
  <c r="AJ184" i="2"/>
  <c r="AJ185" i="2"/>
  <c r="AJ186" i="2"/>
  <c r="AJ187" i="2"/>
  <c r="AJ188" i="2"/>
  <c r="AJ189" i="2"/>
  <c r="AJ190" i="2"/>
  <c r="AJ191" i="2"/>
  <c r="AJ192" i="2"/>
  <c r="AJ193" i="2"/>
  <c r="AJ194" i="2"/>
  <c r="AJ195" i="2"/>
  <c r="AJ196" i="2"/>
  <c r="AJ197" i="2"/>
  <c r="AJ198" i="2"/>
  <c r="AJ199" i="2"/>
  <c r="AJ200" i="2"/>
  <c r="AJ201" i="2"/>
  <c r="AJ202" i="2"/>
  <c r="AJ203" i="2"/>
  <c r="AJ204" i="2"/>
  <c r="AJ205" i="2"/>
  <c r="AJ206" i="2"/>
  <c r="AJ207" i="2"/>
  <c r="AJ208" i="2"/>
  <c r="AJ209" i="2"/>
  <c r="AJ210" i="2"/>
  <c r="AJ211" i="2"/>
  <c r="AJ212" i="2"/>
  <c r="AJ213" i="2"/>
  <c r="AJ214" i="2"/>
  <c r="AJ215" i="2"/>
  <c r="AJ216" i="2"/>
  <c r="AJ217" i="2"/>
  <c r="AJ218" i="2"/>
  <c r="AJ219" i="2"/>
  <c r="AJ220" i="2"/>
  <c r="AJ221" i="2"/>
  <c r="AJ222" i="2"/>
  <c r="AJ223" i="2"/>
  <c r="AJ224" i="2"/>
  <c r="AJ225" i="2"/>
  <c r="AJ226" i="2"/>
  <c r="AJ227" i="2"/>
  <c r="AJ228" i="2"/>
  <c r="AJ229" i="2"/>
  <c r="AJ230" i="2"/>
  <c r="AJ231" i="2"/>
  <c r="AJ232" i="2"/>
  <c r="AJ233" i="2"/>
  <c r="AJ234" i="2"/>
  <c r="AJ235" i="2"/>
  <c r="AJ236" i="2"/>
  <c r="AJ237" i="2"/>
  <c r="AJ238" i="2"/>
  <c r="AJ239" i="2"/>
  <c r="AJ240" i="2"/>
  <c r="AJ241" i="2"/>
  <c r="AJ242" i="2"/>
  <c r="AJ243" i="2"/>
  <c r="AJ244" i="2"/>
  <c r="AJ245" i="2"/>
  <c r="AJ246" i="2"/>
  <c r="AJ247" i="2"/>
  <c r="AJ248" i="2"/>
  <c r="AJ249" i="2"/>
  <c r="AJ250" i="2"/>
  <c r="AJ251" i="2"/>
  <c r="AJ252" i="2"/>
  <c r="AJ253" i="2"/>
  <c r="AJ254" i="2"/>
  <c r="AJ255" i="2"/>
  <c r="AJ256" i="2"/>
  <c r="AJ257" i="2"/>
  <c r="AJ258" i="2"/>
  <c r="AJ259" i="2"/>
  <c r="AJ260" i="2"/>
  <c r="AJ261" i="2"/>
  <c r="AJ262" i="2"/>
  <c r="AJ263" i="2"/>
  <c r="AJ264" i="2"/>
  <c r="AJ265" i="2"/>
  <c r="AJ266" i="2"/>
  <c r="AJ267" i="2"/>
  <c r="AJ268" i="2"/>
  <c r="AJ269" i="2"/>
  <c r="AJ270" i="2"/>
  <c r="AJ271" i="2"/>
  <c r="AJ272" i="2"/>
  <c r="AJ273" i="2"/>
  <c r="AJ274" i="2"/>
  <c r="AJ275" i="2"/>
  <c r="AJ276" i="2"/>
  <c r="AJ277" i="2"/>
  <c r="AJ278" i="2"/>
  <c r="AJ279" i="2"/>
  <c r="AJ280" i="2"/>
  <c r="AJ281" i="2"/>
  <c r="AJ282" i="2"/>
  <c r="AJ283" i="2"/>
  <c r="AJ284" i="2"/>
  <c r="AJ285" i="2"/>
  <c r="AJ286" i="2"/>
  <c r="AJ287" i="2"/>
  <c r="AJ288" i="2"/>
  <c r="AJ289" i="2"/>
  <c r="AJ290" i="2"/>
  <c r="AJ291" i="2"/>
  <c r="AJ292" i="2"/>
  <c r="AJ293" i="2"/>
  <c r="AJ294" i="2"/>
  <c r="AJ295" i="2"/>
  <c r="AJ296" i="2"/>
  <c r="AJ297" i="2"/>
  <c r="AJ298" i="2"/>
  <c r="AJ299" i="2"/>
  <c r="AJ300" i="2"/>
  <c r="AJ301" i="2"/>
  <c r="AJ302" i="2"/>
  <c r="AJ303" i="2"/>
  <c r="AJ304" i="2"/>
  <c r="AJ305" i="2"/>
  <c r="AJ306" i="2"/>
  <c r="AJ307" i="2"/>
  <c r="AJ308" i="2"/>
  <c r="AJ309" i="2"/>
  <c r="AJ310" i="2"/>
  <c r="AJ311" i="2"/>
  <c r="AJ312" i="2"/>
  <c r="AJ313" i="2"/>
  <c r="AJ314" i="2"/>
  <c r="AJ315" i="2"/>
  <c r="AJ316" i="2"/>
  <c r="AJ317" i="2"/>
  <c r="AJ318" i="2"/>
  <c r="AJ319" i="2"/>
  <c r="AJ320" i="2"/>
  <c r="AJ321"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351" i="2"/>
  <c r="AJ352" i="2"/>
  <c r="AJ353" i="2"/>
  <c r="AJ354" i="2"/>
  <c r="AJ355" i="2"/>
  <c r="AJ356" i="2"/>
  <c r="AJ357" i="2"/>
  <c r="AJ358" i="2"/>
  <c r="AJ359" i="2"/>
  <c r="AJ360" i="2"/>
  <c r="AJ361" i="2"/>
  <c r="AJ362" i="2"/>
  <c r="AJ363" i="2"/>
  <c r="AJ364" i="2"/>
  <c r="AJ365" i="2"/>
  <c r="AJ366" i="2"/>
  <c r="AJ367" i="2"/>
  <c r="AJ368" i="2"/>
  <c r="AJ369" i="2"/>
  <c r="AJ370" i="2"/>
  <c r="AJ371" i="2"/>
  <c r="AJ372" i="2"/>
  <c r="AJ373" i="2"/>
  <c r="AJ374" i="2"/>
  <c r="AJ375" i="2"/>
  <c r="AJ376" i="2"/>
  <c r="AJ377" i="2"/>
  <c r="AJ378" i="2"/>
  <c r="AJ379" i="2"/>
  <c r="AJ380" i="2"/>
  <c r="AJ381" i="2"/>
  <c r="AJ382" i="2"/>
  <c r="AJ383" i="2"/>
  <c r="AJ384" i="2"/>
  <c r="AJ385" i="2"/>
  <c r="AJ386" i="2"/>
  <c r="AJ387" i="2"/>
  <c r="AJ388" i="2"/>
  <c r="AJ389" i="2"/>
  <c r="AJ390" i="2"/>
  <c r="AJ391" i="2"/>
  <c r="AJ392" i="2"/>
  <c r="AJ393" i="2"/>
  <c r="AJ394" i="2"/>
  <c r="AJ395" i="2"/>
  <c r="AJ396" i="2"/>
  <c r="AJ397" i="2"/>
  <c r="AJ398" i="2"/>
  <c r="AJ399" i="2"/>
  <c r="AJ400" i="2"/>
  <c r="AJ401" i="2"/>
  <c r="AJ402" i="2"/>
  <c r="AJ403" i="2"/>
  <c r="AJ404" i="2"/>
  <c r="AJ405" i="2"/>
  <c r="AJ406" i="2"/>
  <c r="AJ407" i="2"/>
  <c r="AJ408" i="2"/>
  <c r="AJ409" i="2"/>
  <c r="AJ410" i="2"/>
  <c r="AJ411" i="2"/>
  <c r="AJ412" i="2"/>
  <c r="AJ413" i="2"/>
  <c r="AJ414" i="2"/>
  <c r="AJ415" i="2"/>
  <c r="AJ416" i="2"/>
  <c r="AJ417" i="2"/>
  <c r="AJ418" i="2"/>
  <c r="AJ419" i="2"/>
  <c r="AJ420" i="2"/>
  <c r="AJ421" i="2"/>
  <c r="AJ422" i="2"/>
  <c r="AJ423" i="2"/>
  <c r="AJ424" i="2"/>
  <c r="AJ425" i="2"/>
  <c r="AJ426" i="2"/>
  <c r="AJ427" i="2"/>
  <c r="AJ428" i="2"/>
  <c r="AJ429" i="2"/>
  <c r="AJ430" i="2"/>
  <c r="AJ431" i="2"/>
  <c r="AJ432" i="2"/>
  <c r="AJ433" i="2"/>
  <c r="AJ434" i="2"/>
  <c r="AJ435" i="2"/>
  <c r="AJ436" i="2"/>
  <c r="AJ437" i="2"/>
  <c r="AJ438" i="2"/>
  <c r="AJ439" i="2"/>
  <c r="AJ440" i="2"/>
  <c r="AJ441" i="2"/>
  <c r="AJ442" i="2"/>
  <c r="AJ443" i="2"/>
  <c r="AJ444" i="2"/>
  <c r="AJ445" i="2"/>
  <c r="AJ446" i="2"/>
  <c r="AJ447" i="2"/>
  <c r="AJ448" i="2"/>
  <c r="AJ449" i="2"/>
  <c r="AJ450" i="2"/>
  <c r="AJ451" i="2"/>
  <c r="AJ452" i="2"/>
  <c r="AJ453" i="2"/>
  <c r="AJ454" i="2"/>
  <c r="AJ455" i="2"/>
  <c r="AJ456" i="2"/>
  <c r="AJ457" i="2"/>
  <c r="AJ458" i="2"/>
  <c r="AJ459" i="2"/>
  <c r="AJ460" i="2"/>
  <c r="AJ461" i="2"/>
  <c r="AJ462" i="2"/>
  <c r="AJ463" i="2"/>
  <c r="AJ464" i="2"/>
  <c r="AJ465" i="2"/>
  <c r="AJ466" i="2"/>
  <c r="AJ467" i="2"/>
  <c r="AJ468" i="2"/>
  <c r="AJ469" i="2"/>
  <c r="AJ470" i="2"/>
  <c r="AJ471" i="2"/>
  <c r="AJ472" i="2"/>
  <c r="AJ473" i="2"/>
  <c r="AJ474" i="2"/>
  <c r="AJ475" i="2"/>
  <c r="AJ476" i="2"/>
  <c r="AJ477" i="2"/>
  <c r="AJ478" i="2"/>
  <c r="AJ479" i="2"/>
  <c r="AJ480" i="2"/>
  <c r="AJ481" i="2"/>
  <c r="AJ482" i="2"/>
  <c r="AJ483" i="2"/>
  <c r="AJ484" i="2"/>
  <c r="AJ485" i="2"/>
  <c r="AJ486" i="2"/>
  <c r="AJ487" i="2"/>
  <c r="AJ488" i="2"/>
  <c r="AJ489" i="2"/>
  <c r="AJ490" i="2"/>
  <c r="AJ491" i="2"/>
  <c r="AJ492" i="2"/>
  <c r="AJ493" i="2"/>
  <c r="AJ494" i="2"/>
  <c r="AJ495" i="2"/>
  <c r="AJ496" i="2"/>
  <c r="AJ497" i="2"/>
  <c r="AJ498" i="2"/>
  <c r="AJ499" i="2"/>
  <c r="AJ500" i="2"/>
  <c r="AJ501" i="2"/>
  <c r="AJ502" i="2"/>
  <c r="AJ503" i="2"/>
  <c r="AJ504" i="2"/>
  <c r="AJ505" i="2"/>
  <c r="AJ506" i="2"/>
  <c r="AJ507" i="2"/>
  <c r="AJ508" i="2"/>
  <c r="AJ509" i="2"/>
  <c r="AJ510" i="2"/>
  <c r="AJ511" i="2"/>
  <c r="AJ512" i="2"/>
  <c r="AJ513" i="2"/>
  <c r="AJ514" i="2"/>
  <c r="AJ515" i="2"/>
  <c r="AJ516" i="2"/>
  <c r="AJ517" i="2"/>
  <c r="AJ518" i="2"/>
  <c r="AJ519" i="2"/>
  <c r="AJ520" i="2"/>
  <c r="AJ521" i="2"/>
  <c r="AJ522" i="2"/>
  <c r="AJ523" i="2"/>
  <c r="AJ524" i="2"/>
  <c r="AJ525" i="2"/>
  <c r="AJ526" i="2"/>
  <c r="AJ527" i="2"/>
  <c r="AJ528" i="2"/>
  <c r="AJ529" i="2"/>
  <c r="AJ530" i="2"/>
  <c r="AJ531" i="2"/>
  <c r="AJ532" i="2"/>
  <c r="AJ533" i="2"/>
  <c r="AJ534" i="2"/>
  <c r="AJ535" i="2"/>
  <c r="AJ536" i="2"/>
  <c r="AJ537" i="2"/>
  <c r="AJ538" i="2"/>
  <c r="AJ539" i="2"/>
  <c r="AJ540" i="2"/>
  <c r="AJ541" i="2"/>
  <c r="AJ542" i="2"/>
  <c r="AJ543" i="2"/>
  <c r="AJ544" i="2"/>
  <c r="AJ545" i="2"/>
  <c r="AJ546" i="2"/>
  <c r="AJ547" i="2"/>
  <c r="AJ548" i="2"/>
  <c r="AJ549" i="2"/>
  <c r="AJ550" i="2"/>
  <c r="AJ551" i="2"/>
  <c r="AJ552" i="2"/>
  <c r="AJ553" i="2"/>
  <c r="AJ554" i="2"/>
  <c r="AJ555" i="2"/>
  <c r="AJ556" i="2"/>
  <c r="AJ557" i="2"/>
  <c r="AJ558" i="2"/>
  <c r="AJ559" i="2"/>
  <c r="AJ560" i="2"/>
  <c r="AJ561" i="2"/>
  <c r="AJ562" i="2"/>
  <c r="AJ563" i="2"/>
  <c r="AJ564" i="2"/>
  <c r="AJ565" i="2"/>
  <c r="AJ566" i="2"/>
  <c r="AJ567" i="2"/>
  <c r="AJ568" i="2"/>
  <c r="AJ569" i="2"/>
  <c r="AJ570" i="2"/>
  <c r="AJ571" i="2"/>
  <c r="AJ572" i="2"/>
  <c r="AJ573" i="2"/>
  <c r="AJ574" i="2"/>
  <c r="AJ575" i="2"/>
  <c r="AJ576" i="2"/>
  <c r="AJ577" i="2"/>
  <c r="AJ578" i="2"/>
  <c r="AJ579" i="2"/>
  <c r="AJ580" i="2"/>
  <c r="AJ581" i="2"/>
  <c r="AJ582" i="2"/>
  <c r="AJ583" i="2"/>
  <c r="AJ584" i="2"/>
  <c r="AJ585" i="2"/>
  <c r="AJ586" i="2"/>
  <c r="AJ587" i="2"/>
  <c r="AJ588" i="2"/>
  <c r="AJ589" i="2"/>
  <c r="AJ590" i="2"/>
  <c r="AJ591" i="2"/>
  <c r="AJ592" i="2"/>
  <c r="AJ593" i="2"/>
  <c r="AJ594" i="2"/>
  <c r="AJ595" i="2"/>
  <c r="AJ596" i="2"/>
  <c r="AJ597" i="2"/>
  <c r="AJ598" i="2"/>
  <c r="AJ599" i="2"/>
  <c r="AJ600" i="2"/>
  <c r="AJ601" i="2"/>
  <c r="AJ602" i="2"/>
  <c r="AJ603" i="2"/>
  <c r="AJ604" i="2"/>
  <c r="AJ605" i="2"/>
  <c r="AJ606" i="2"/>
  <c r="AJ607" i="2"/>
  <c r="AJ608" i="2"/>
  <c r="AJ609" i="2"/>
  <c r="AJ610" i="2"/>
  <c r="AJ611" i="2"/>
  <c r="AJ612" i="2"/>
  <c r="AJ613" i="2"/>
  <c r="AJ614" i="2"/>
  <c r="AJ615" i="2"/>
  <c r="AJ616" i="2"/>
  <c r="AJ617" i="2"/>
  <c r="AJ618" i="2"/>
  <c r="AJ619" i="2"/>
  <c r="AJ620" i="2"/>
  <c r="AJ621" i="2"/>
  <c r="AJ622" i="2"/>
  <c r="AJ623" i="2"/>
  <c r="AJ624" i="2"/>
  <c r="AJ625" i="2"/>
  <c r="AJ626" i="2"/>
  <c r="AJ627" i="2"/>
  <c r="AJ628" i="2"/>
  <c r="AJ629" i="2"/>
  <c r="AJ630" i="2"/>
  <c r="AJ631" i="2"/>
  <c r="AJ632" i="2"/>
  <c r="AJ633" i="2"/>
  <c r="AJ634" i="2"/>
  <c r="AJ635" i="2"/>
  <c r="AJ636" i="2"/>
  <c r="AJ637" i="2"/>
  <c r="AJ638" i="2"/>
  <c r="AJ639" i="2"/>
  <c r="AJ640" i="2"/>
  <c r="AJ641" i="2"/>
  <c r="AJ642" i="2"/>
  <c r="AJ643" i="2"/>
  <c r="AJ644" i="2"/>
  <c r="AJ645" i="2"/>
  <c r="AJ646" i="2"/>
  <c r="AJ647" i="2"/>
  <c r="AJ648" i="2"/>
  <c r="AJ649" i="2"/>
  <c r="AJ650" i="2"/>
  <c r="AJ651" i="2"/>
  <c r="AJ652" i="2"/>
  <c r="AJ653" i="2"/>
  <c r="AJ654" i="2"/>
  <c r="AJ655" i="2"/>
  <c r="AJ656" i="2"/>
  <c r="AJ657" i="2"/>
  <c r="AJ658" i="2"/>
  <c r="AJ659" i="2"/>
  <c r="AJ660" i="2"/>
  <c r="AJ661" i="2"/>
  <c r="AJ662" i="2"/>
  <c r="AJ663" i="2"/>
  <c r="AJ664" i="2"/>
  <c r="AJ665" i="2"/>
  <c r="AJ666" i="2"/>
  <c r="AJ667" i="2"/>
  <c r="AJ668" i="2"/>
  <c r="AJ669" i="2"/>
  <c r="AJ670" i="2"/>
  <c r="AJ671" i="2"/>
  <c r="AJ672" i="2"/>
  <c r="AJ673" i="2"/>
  <c r="AJ674" i="2"/>
  <c r="AJ675" i="2"/>
  <c r="AJ676" i="2"/>
  <c r="AJ677" i="2"/>
  <c r="AJ678" i="2"/>
  <c r="AJ679" i="2"/>
  <c r="AJ680" i="2"/>
  <c r="AJ681" i="2"/>
  <c r="AJ682" i="2"/>
  <c r="AJ683" i="2"/>
  <c r="AJ684" i="2"/>
  <c r="AJ685" i="2"/>
  <c r="AJ686" i="2"/>
  <c r="AJ687" i="2"/>
  <c r="AJ688" i="2"/>
  <c r="AJ689" i="2"/>
  <c r="AJ690" i="2"/>
  <c r="AJ691" i="2"/>
  <c r="AJ692" i="2"/>
  <c r="AJ693" i="2"/>
  <c r="AJ694" i="2"/>
  <c r="AJ695" i="2"/>
  <c r="AJ696" i="2"/>
  <c r="AJ697" i="2"/>
  <c r="AJ698" i="2"/>
  <c r="AJ699" i="2"/>
  <c r="AJ700" i="2"/>
  <c r="AJ701" i="2"/>
  <c r="AJ702" i="2"/>
  <c r="AJ703" i="2"/>
  <c r="AJ704" i="2"/>
  <c r="AJ705" i="2"/>
  <c r="AJ706" i="2"/>
  <c r="AJ707" i="2"/>
  <c r="AJ708" i="2"/>
  <c r="AJ709" i="2"/>
  <c r="AJ710" i="2"/>
  <c r="AJ711" i="2"/>
  <c r="AJ712" i="2"/>
  <c r="AJ713" i="2"/>
  <c r="AJ714" i="2"/>
  <c r="AJ715" i="2"/>
  <c r="AJ716" i="2"/>
  <c r="AJ717" i="2"/>
  <c r="AJ718" i="2"/>
  <c r="AJ719" i="2"/>
  <c r="AJ720" i="2"/>
  <c r="AJ721" i="2"/>
  <c r="AJ722" i="2"/>
  <c r="AJ723" i="2"/>
  <c r="AJ724" i="2"/>
  <c r="AJ725" i="2"/>
  <c r="AJ726" i="2"/>
  <c r="AJ727" i="2"/>
  <c r="AJ728" i="2"/>
  <c r="AJ729" i="2"/>
  <c r="AJ730" i="2"/>
  <c r="AJ731" i="2"/>
  <c r="AJ732" i="2"/>
  <c r="AJ733" i="2"/>
  <c r="AJ734" i="2"/>
  <c r="AJ735" i="2"/>
  <c r="AJ736" i="2"/>
  <c r="AJ737" i="2"/>
  <c r="AJ738" i="2"/>
  <c r="AJ739" i="2"/>
  <c r="AJ740" i="2"/>
  <c r="AJ741" i="2"/>
  <c r="AJ742" i="2"/>
  <c r="AJ743" i="2"/>
  <c r="AJ744" i="2"/>
  <c r="AJ745" i="2"/>
  <c r="AJ746" i="2"/>
  <c r="AJ747" i="2"/>
  <c r="AJ748" i="2"/>
  <c r="AJ749" i="2"/>
  <c r="AJ750" i="2"/>
  <c r="AJ751" i="2"/>
  <c r="AJ752" i="2"/>
  <c r="AJ753" i="2"/>
  <c r="AJ754" i="2"/>
  <c r="AJ755" i="2"/>
  <c r="AJ756" i="2"/>
  <c r="AJ757" i="2"/>
  <c r="AJ758" i="2"/>
  <c r="AJ759" i="2"/>
  <c r="AJ760" i="2"/>
  <c r="AJ761" i="2"/>
  <c r="AJ762" i="2"/>
  <c r="AJ763" i="2"/>
  <c r="AJ764" i="2"/>
  <c r="AJ765" i="2"/>
  <c r="AJ766" i="2"/>
  <c r="AJ767" i="2"/>
  <c r="AJ768" i="2"/>
  <c r="AJ769" i="2"/>
  <c r="AJ770" i="2"/>
  <c r="AJ771" i="2"/>
  <c r="AJ772" i="2"/>
  <c r="AJ773" i="2"/>
  <c r="AJ774" i="2"/>
  <c r="AJ775" i="2"/>
  <c r="AJ776" i="2"/>
  <c r="AJ777" i="2"/>
  <c r="AJ778" i="2"/>
  <c r="AJ779" i="2"/>
  <c r="AJ780" i="2"/>
  <c r="AJ781" i="2"/>
  <c r="AJ782" i="2"/>
  <c r="AJ783" i="2"/>
  <c r="AJ784" i="2"/>
  <c r="AJ785" i="2"/>
  <c r="AJ786" i="2"/>
  <c r="AJ787" i="2"/>
  <c r="AJ788" i="2"/>
  <c r="AJ789" i="2"/>
  <c r="AJ790" i="2"/>
  <c r="AJ791" i="2"/>
  <c r="AJ792" i="2"/>
  <c r="AJ793" i="2"/>
  <c r="AJ794" i="2"/>
  <c r="AJ795" i="2"/>
  <c r="AJ796" i="2"/>
  <c r="AJ797" i="2"/>
  <c r="AJ798" i="2"/>
  <c r="AJ799" i="2"/>
  <c r="AJ800" i="2"/>
  <c r="AJ801" i="2"/>
  <c r="AJ802" i="2"/>
  <c r="AJ803" i="2"/>
  <c r="AJ804" i="2"/>
  <c r="AJ805" i="2"/>
  <c r="AJ806" i="2"/>
  <c r="AJ807" i="2"/>
  <c r="AJ808" i="2"/>
  <c r="AJ809" i="2"/>
  <c r="AJ810" i="2"/>
  <c r="AJ811" i="2"/>
  <c r="AJ812" i="2"/>
  <c r="AJ813" i="2"/>
  <c r="AJ814" i="2"/>
  <c r="AJ815" i="2"/>
  <c r="AJ816" i="2"/>
  <c r="AJ817" i="2"/>
  <c r="AJ818" i="2"/>
  <c r="AJ819" i="2"/>
  <c r="AJ820" i="2"/>
  <c r="AJ821" i="2"/>
  <c r="AJ822" i="2"/>
  <c r="AJ823" i="2"/>
  <c r="AJ824" i="2"/>
  <c r="AJ825" i="2"/>
  <c r="AJ826" i="2"/>
  <c r="AJ827" i="2"/>
  <c r="AJ828" i="2"/>
  <c r="AJ829" i="2"/>
  <c r="AJ830" i="2"/>
  <c r="AJ831" i="2"/>
  <c r="AJ832" i="2"/>
  <c r="AJ833" i="2"/>
  <c r="AJ834" i="2"/>
  <c r="AJ835" i="2"/>
  <c r="AJ836" i="2"/>
  <c r="AJ837" i="2"/>
  <c r="AJ838" i="2"/>
  <c r="AJ839" i="2"/>
  <c r="AJ840" i="2"/>
  <c r="AJ841" i="2"/>
  <c r="AJ842" i="2"/>
  <c r="AJ843" i="2"/>
  <c r="AJ844" i="2"/>
  <c r="AJ845" i="2"/>
  <c r="AJ846" i="2"/>
  <c r="AJ847" i="2"/>
  <c r="AJ848" i="2"/>
  <c r="AJ849" i="2"/>
  <c r="AJ850" i="2"/>
  <c r="AJ851" i="2"/>
  <c r="AJ852" i="2"/>
  <c r="AJ853" i="2"/>
  <c r="AJ854" i="2"/>
  <c r="AJ855" i="2"/>
  <c r="AJ856" i="2"/>
  <c r="AJ857" i="2"/>
  <c r="AJ858" i="2"/>
  <c r="AJ859" i="2"/>
  <c r="AJ860" i="2"/>
  <c r="AJ861" i="2"/>
  <c r="AJ862" i="2"/>
  <c r="AJ863" i="2"/>
  <c r="AJ864" i="2"/>
  <c r="AJ865" i="2"/>
  <c r="AJ866" i="2"/>
  <c r="AJ867" i="2"/>
  <c r="AJ868" i="2"/>
  <c r="AJ869" i="2"/>
  <c r="AJ870" i="2"/>
  <c r="AJ871" i="2"/>
  <c r="AJ872" i="2"/>
  <c r="AJ873" i="2"/>
  <c r="AJ874" i="2"/>
  <c r="AJ875" i="2"/>
  <c r="AJ876" i="2"/>
  <c r="AJ877" i="2"/>
  <c r="AJ878" i="2"/>
  <c r="AJ879" i="2"/>
  <c r="AJ880" i="2"/>
  <c r="AJ881" i="2"/>
  <c r="AJ882" i="2"/>
  <c r="AJ883" i="2"/>
  <c r="AJ884" i="2"/>
  <c r="AJ885" i="2"/>
  <c r="AJ886" i="2"/>
  <c r="AJ887" i="2"/>
  <c r="AJ888" i="2"/>
  <c r="AJ889" i="2"/>
  <c r="AJ890" i="2"/>
  <c r="AJ891" i="2"/>
  <c r="AJ892" i="2"/>
  <c r="AJ893" i="2"/>
  <c r="AJ894" i="2"/>
  <c r="AJ895" i="2"/>
  <c r="AJ896" i="2"/>
  <c r="AJ897" i="2"/>
  <c r="AJ898" i="2"/>
  <c r="AJ899" i="2"/>
  <c r="AJ900" i="2"/>
  <c r="AJ901" i="2"/>
  <c r="AJ902" i="2"/>
  <c r="AJ903" i="2"/>
  <c r="AJ904" i="2"/>
  <c r="AJ905" i="2"/>
  <c r="AJ906" i="2"/>
  <c r="AJ907" i="2"/>
  <c r="AJ908" i="2"/>
  <c r="AJ909" i="2"/>
  <c r="AJ910" i="2"/>
  <c r="AJ911" i="2"/>
  <c r="AJ912" i="2"/>
  <c r="AJ913" i="2"/>
  <c r="AJ914" i="2"/>
  <c r="AJ915" i="2"/>
  <c r="AJ916" i="2"/>
  <c r="AJ917" i="2"/>
  <c r="AJ918" i="2"/>
  <c r="AJ919" i="2"/>
  <c r="AJ920" i="2"/>
  <c r="AJ921" i="2"/>
  <c r="AJ922" i="2"/>
  <c r="AJ923" i="2"/>
  <c r="AJ924" i="2"/>
  <c r="AJ925" i="2"/>
  <c r="AJ926" i="2"/>
  <c r="AJ927" i="2"/>
  <c r="AJ928" i="2"/>
  <c r="AJ929" i="2"/>
  <c r="AJ930" i="2"/>
  <c r="AJ931" i="2"/>
  <c r="AJ932" i="2"/>
  <c r="AJ933" i="2"/>
  <c r="AJ934" i="2"/>
  <c r="AJ935" i="2"/>
  <c r="AJ936" i="2"/>
  <c r="AJ937" i="2"/>
  <c r="AJ938" i="2"/>
  <c r="AJ939" i="2"/>
  <c r="AJ940" i="2"/>
  <c r="AJ941" i="2"/>
  <c r="AJ942" i="2"/>
  <c r="AJ943" i="2"/>
  <c r="AJ944" i="2"/>
  <c r="AJ945" i="2"/>
  <c r="AJ946" i="2"/>
  <c r="AJ947" i="2"/>
  <c r="AJ948" i="2"/>
  <c r="AJ949" i="2"/>
  <c r="AJ950" i="2"/>
  <c r="AJ951" i="2"/>
  <c r="AJ952" i="2"/>
  <c r="AJ953" i="2"/>
  <c r="AJ954" i="2"/>
  <c r="AJ955" i="2"/>
  <c r="AJ956" i="2"/>
  <c r="AJ957" i="2"/>
  <c r="AJ958" i="2"/>
  <c r="AJ959" i="2"/>
  <c r="AJ960" i="2"/>
  <c r="AJ961" i="2"/>
  <c r="AJ962" i="2"/>
  <c r="AJ963" i="2"/>
  <c r="AJ964" i="2"/>
  <c r="AJ965" i="2"/>
  <c r="AJ966" i="2"/>
  <c r="AJ967" i="2"/>
  <c r="AJ968" i="2"/>
  <c r="AJ969" i="2"/>
  <c r="AJ970" i="2"/>
  <c r="AJ971" i="2"/>
  <c r="AJ972" i="2"/>
  <c r="AJ973" i="2"/>
  <c r="AJ974" i="2"/>
  <c r="AJ975" i="2"/>
  <c r="AJ976" i="2"/>
  <c r="AJ977" i="2"/>
  <c r="AJ978" i="2"/>
  <c r="AJ979" i="2"/>
  <c r="AJ980" i="2"/>
  <c r="AJ981" i="2"/>
  <c r="AJ982" i="2"/>
  <c r="AJ983" i="2"/>
  <c r="AJ984" i="2"/>
  <c r="AJ985" i="2"/>
  <c r="AJ986" i="2"/>
  <c r="AJ987" i="2"/>
  <c r="AJ988" i="2"/>
  <c r="AJ989" i="2"/>
  <c r="AJ990" i="2"/>
  <c r="AJ991" i="2"/>
  <c r="AJ992" i="2"/>
  <c r="AJ993" i="2"/>
  <c r="AJ994" i="2"/>
  <c r="AJ995" i="2"/>
  <c r="AJ996" i="2"/>
  <c r="AJ997" i="2"/>
  <c r="AJ998" i="2"/>
  <c r="AJ999" i="2"/>
  <c r="AJ1000" i="2"/>
  <c r="AJ1001" i="2"/>
  <c r="AJ1002" i="2"/>
  <c r="AJ1003" i="2"/>
  <c r="AJ1004" i="2"/>
  <c r="AJ1005" i="2"/>
  <c r="AJ1006" i="2"/>
  <c r="AJ1007" i="2"/>
  <c r="AJ1008" i="2"/>
  <c r="AJ1009" i="2"/>
  <c r="AJ1010" i="2"/>
  <c r="AJ1011" i="2"/>
  <c r="AJ1012" i="2"/>
  <c r="AJ1013" i="2"/>
  <c r="AJ1014" i="2"/>
  <c r="AJ1015" i="2"/>
  <c r="AJ1016" i="2"/>
  <c r="AJ1017" i="2"/>
  <c r="AJ1018" i="2"/>
  <c r="AJ1019" i="2"/>
  <c r="AJ1020" i="2"/>
  <c r="AJ1021" i="2"/>
  <c r="AJ1022" i="2"/>
  <c r="AJ1023" i="2"/>
  <c r="AJ1024" i="2"/>
  <c r="AJ1025" i="2"/>
  <c r="AJ1026" i="2"/>
  <c r="AJ1027" i="2"/>
  <c r="AJ1028" i="2"/>
  <c r="AJ1029" i="2"/>
  <c r="AJ1030" i="2"/>
  <c r="AJ1031" i="2"/>
  <c r="AJ1032" i="2"/>
  <c r="AJ1033" i="2"/>
  <c r="AJ1034" i="2"/>
  <c r="AJ1035" i="2"/>
  <c r="AJ1036" i="2"/>
  <c r="AJ1037" i="2"/>
  <c r="AJ1038" i="2"/>
  <c r="AJ1039" i="2"/>
  <c r="AJ1040" i="2"/>
  <c r="AJ1041" i="2"/>
  <c r="AJ1042" i="2"/>
  <c r="AJ1043" i="2"/>
  <c r="AJ1044" i="2"/>
  <c r="AJ1045" i="2"/>
  <c r="AJ1046" i="2"/>
  <c r="AJ1047" i="2"/>
  <c r="AJ1048" i="2"/>
  <c r="AJ1049" i="2"/>
  <c r="AJ1050" i="2"/>
  <c r="AJ1051" i="2"/>
  <c r="AJ1052" i="2"/>
  <c r="AJ1053" i="2"/>
  <c r="AJ1054" i="2"/>
  <c r="AJ1055" i="2"/>
  <c r="AJ1056" i="2"/>
  <c r="AJ1057" i="2"/>
  <c r="AJ1058" i="2"/>
  <c r="AJ1059" i="2"/>
  <c r="AJ1060" i="2"/>
  <c r="AJ1061" i="2"/>
  <c r="AJ1062" i="2"/>
  <c r="AJ1063" i="2"/>
  <c r="AJ1064" i="2"/>
  <c r="AJ1065" i="2"/>
  <c r="AJ1066" i="2"/>
  <c r="AJ1067" i="2"/>
  <c r="AJ1068" i="2"/>
  <c r="AJ1069" i="2"/>
  <c r="AJ1070" i="2"/>
  <c r="AJ1071" i="2"/>
  <c r="AJ1072" i="2"/>
  <c r="AJ1073" i="2"/>
  <c r="AJ1074" i="2"/>
  <c r="AJ1075" i="2"/>
  <c r="AJ1076" i="2"/>
  <c r="AJ1077" i="2"/>
  <c r="AJ1078" i="2"/>
  <c r="AJ1079" i="2"/>
  <c r="AJ1080" i="2"/>
  <c r="AJ1081" i="2"/>
  <c r="AJ1082" i="2"/>
  <c r="AJ1083" i="2"/>
  <c r="AJ1084" i="2"/>
  <c r="AJ1085" i="2"/>
  <c r="AJ1086" i="2"/>
  <c r="AJ1087" i="2"/>
  <c r="AJ1088" i="2"/>
  <c r="AJ1089" i="2"/>
  <c r="AJ1090" i="2"/>
  <c r="AJ1091" i="2"/>
  <c r="AJ1092" i="2"/>
  <c r="AJ1093" i="2"/>
  <c r="AJ1094" i="2"/>
  <c r="AJ1095" i="2"/>
  <c r="AJ1096" i="2"/>
  <c r="AJ1097" i="2"/>
  <c r="AJ1098" i="2"/>
  <c r="AJ1099" i="2"/>
  <c r="AJ1100" i="2"/>
  <c r="AJ1101" i="2"/>
  <c r="AJ1102" i="2"/>
  <c r="AJ1103" i="2"/>
  <c r="AJ1104" i="2"/>
  <c r="AJ1105" i="2"/>
  <c r="AJ1106" i="2"/>
  <c r="AJ1107" i="2"/>
  <c r="AJ1108" i="2"/>
  <c r="AJ1109" i="2"/>
  <c r="AJ1110" i="2"/>
  <c r="AJ1111" i="2"/>
  <c r="AJ1112" i="2"/>
  <c r="AJ1113" i="2"/>
  <c r="AJ1114" i="2"/>
  <c r="AJ1115" i="2"/>
  <c r="AJ1116" i="2"/>
  <c r="AJ1117" i="2"/>
  <c r="AJ1118" i="2"/>
  <c r="AJ1119" i="2"/>
  <c r="AJ1120" i="2"/>
  <c r="AJ1121" i="2"/>
  <c r="AJ1122" i="2"/>
  <c r="AJ1123" i="2"/>
  <c r="AJ1124" i="2"/>
  <c r="AJ1125" i="2"/>
  <c r="AJ1126" i="2"/>
  <c r="AJ1127" i="2"/>
  <c r="AJ1128" i="2"/>
  <c r="AJ1129" i="2"/>
  <c r="AJ1130" i="2"/>
  <c r="AJ1131" i="2"/>
  <c r="AJ1132" i="2"/>
  <c r="AJ1133" i="2"/>
  <c r="AJ1134" i="2"/>
  <c r="AJ1135" i="2"/>
  <c r="AJ1136" i="2"/>
  <c r="AJ1137" i="2"/>
  <c r="AJ1138" i="2"/>
  <c r="AJ1139" i="2"/>
  <c r="AJ1140" i="2"/>
  <c r="AJ1141" i="2"/>
  <c r="AJ1142" i="2"/>
  <c r="AJ1143" i="2"/>
  <c r="AJ1144" i="2"/>
  <c r="AJ1145" i="2"/>
  <c r="AJ1146" i="2"/>
  <c r="AJ1147" i="2"/>
  <c r="AJ1148" i="2"/>
  <c r="AJ1149" i="2"/>
  <c r="AJ1150" i="2"/>
  <c r="AJ1151" i="2"/>
  <c r="AJ1152" i="2"/>
  <c r="AJ1153" i="2"/>
  <c r="AJ1154" i="2"/>
  <c r="AJ1155" i="2"/>
  <c r="AJ1156" i="2"/>
  <c r="AJ1157" i="2"/>
  <c r="AJ1158" i="2"/>
  <c r="AJ1159" i="2"/>
  <c r="AJ1160" i="2"/>
  <c r="AJ1161" i="2"/>
  <c r="AJ1162" i="2"/>
  <c r="AJ1163" i="2"/>
  <c r="AJ1164" i="2"/>
  <c r="AJ1165" i="2"/>
  <c r="AJ1166" i="2"/>
  <c r="AJ1167" i="2"/>
  <c r="AJ1168" i="2"/>
  <c r="AJ1169" i="2"/>
  <c r="AJ1170" i="2"/>
  <c r="AJ1171" i="2"/>
  <c r="AJ1172" i="2"/>
  <c r="AJ1173" i="2"/>
  <c r="AJ1174" i="2"/>
  <c r="AJ1175" i="2"/>
  <c r="AJ1176" i="2"/>
  <c r="AJ1177" i="2"/>
  <c r="AJ1178" i="2"/>
  <c r="AJ1179" i="2"/>
  <c r="AJ1180" i="2"/>
  <c r="AJ1181" i="2"/>
  <c r="AJ1182" i="2"/>
  <c r="AJ1183" i="2"/>
  <c r="AJ1184" i="2"/>
  <c r="AJ1185" i="2"/>
  <c r="AJ1186" i="2"/>
  <c r="AJ1187" i="2"/>
  <c r="AJ1188" i="2"/>
  <c r="AJ1189" i="2"/>
  <c r="AJ1190" i="2"/>
  <c r="AJ1191" i="2"/>
  <c r="AJ1192" i="2"/>
  <c r="AJ1193" i="2"/>
  <c r="AJ1194" i="2"/>
  <c r="AJ1195" i="2"/>
  <c r="AJ1196" i="2"/>
  <c r="AJ1197" i="2"/>
  <c r="AJ1198" i="2"/>
  <c r="AJ1199" i="2"/>
  <c r="AJ1200" i="2"/>
  <c r="AJ1201" i="2"/>
  <c r="AJ1202" i="2"/>
  <c r="AJ1203" i="2"/>
  <c r="AJ1204" i="2"/>
  <c r="AJ1205" i="2"/>
  <c r="AJ1206" i="2"/>
  <c r="AJ1207" i="2"/>
  <c r="AJ1208" i="2"/>
  <c r="AJ1209" i="2"/>
  <c r="AJ1210" i="2"/>
  <c r="AJ1211" i="2"/>
  <c r="AJ1212" i="2"/>
  <c r="AJ1213" i="2"/>
  <c r="AJ1214" i="2"/>
  <c r="AJ1215" i="2"/>
  <c r="AJ1216" i="2"/>
  <c r="AJ1217" i="2"/>
  <c r="AJ1218" i="2"/>
  <c r="AJ1219" i="2"/>
  <c r="AJ1220" i="2"/>
  <c r="AJ1221" i="2"/>
  <c r="AJ1222" i="2"/>
  <c r="AJ1223" i="2"/>
  <c r="AJ1224" i="2"/>
  <c r="AJ1225" i="2"/>
  <c r="AJ1226" i="2"/>
  <c r="AJ1227" i="2"/>
  <c r="AJ1228" i="2"/>
  <c r="AJ1229" i="2"/>
  <c r="AJ1230" i="2"/>
  <c r="AJ1231" i="2"/>
  <c r="AJ1232" i="2"/>
  <c r="AJ1233" i="2"/>
  <c r="AJ1234" i="2"/>
  <c r="AJ1235" i="2"/>
  <c r="AJ1236" i="2"/>
  <c r="AJ1237" i="2"/>
  <c r="AJ1238" i="2"/>
  <c r="AJ1239" i="2"/>
  <c r="AJ1240" i="2"/>
  <c r="AJ1241" i="2"/>
  <c r="AJ1242" i="2"/>
  <c r="AJ1243" i="2"/>
  <c r="AJ1244" i="2"/>
  <c r="AJ1245" i="2"/>
  <c r="AJ1246" i="2"/>
  <c r="AJ1247" i="2"/>
  <c r="AJ1248" i="2"/>
  <c r="AJ1249" i="2"/>
  <c r="AJ1250" i="2"/>
  <c r="AJ1251" i="2"/>
  <c r="AJ1252" i="2"/>
  <c r="AJ1253" i="2"/>
  <c r="AJ1254" i="2"/>
  <c r="AJ1255" i="2"/>
  <c r="AJ1256" i="2"/>
  <c r="AJ1257" i="2"/>
  <c r="AJ1258" i="2"/>
  <c r="AJ1259" i="2"/>
  <c r="AJ1260" i="2"/>
  <c r="AJ1261" i="2"/>
  <c r="AJ1262" i="2"/>
  <c r="AJ1263" i="2"/>
  <c r="AJ1264" i="2"/>
  <c r="AJ1265" i="2"/>
  <c r="AJ1266" i="2"/>
  <c r="AJ1267" i="2"/>
  <c r="AJ1268" i="2"/>
  <c r="AJ1269" i="2"/>
  <c r="AJ1270" i="2"/>
  <c r="AJ1271" i="2"/>
  <c r="AJ1272" i="2"/>
  <c r="AJ1273" i="2"/>
  <c r="AJ1274" i="2"/>
  <c r="AJ1275" i="2"/>
  <c r="AJ1276" i="2"/>
  <c r="AJ1277" i="2"/>
  <c r="AJ1278" i="2"/>
  <c r="AJ1279" i="2"/>
  <c r="AJ1280" i="2"/>
  <c r="AJ1281" i="2"/>
  <c r="AJ1282" i="2"/>
  <c r="AJ1283" i="2"/>
  <c r="AJ1284" i="2"/>
  <c r="AJ1285" i="2"/>
  <c r="AJ1286" i="2"/>
  <c r="AJ1287" i="2"/>
  <c r="AJ1288" i="2"/>
  <c r="AJ1289" i="2"/>
  <c r="AJ1290" i="2"/>
  <c r="AJ1291" i="2"/>
  <c r="AJ1292" i="2"/>
  <c r="AJ1293" i="2"/>
  <c r="AJ1294" i="2"/>
  <c r="AJ1295" i="2"/>
  <c r="AJ1296" i="2"/>
  <c r="AJ1297" i="2"/>
  <c r="AJ1298" i="2"/>
  <c r="AJ1299" i="2"/>
  <c r="AJ1300" i="2"/>
  <c r="AJ1301" i="2"/>
  <c r="AJ1302" i="2"/>
  <c r="AJ1303" i="2"/>
  <c r="AJ1304" i="2"/>
  <c r="AJ1305" i="2"/>
  <c r="AJ1306" i="2"/>
  <c r="AJ1307" i="2"/>
  <c r="AJ1308" i="2"/>
  <c r="AJ1309" i="2"/>
  <c r="AJ1310" i="2"/>
  <c r="AJ1311" i="2"/>
  <c r="AJ1312" i="2"/>
  <c r="AJ1313" i="2"/>
  <c r="AJ1314" i="2"/>
  <c r="AJ1315" i="2"/>
  <c r="AJ1316" i="2"/>
  <c r="AJ1317" i="2"/>
  <c r="AJ1318" i="2"/>
  <c r="AJ1319" i="2"/>
  <c r="AJ1320" i="2"/>
  <c r="AJ1321" i="2"/>
  <c r="AJ1322" i="2"/>
  <c r="AJ1323" i="2"/>
  <c r="AJ1324" i="2"/>
  <c r="AJ1325" i="2"/>
  <c r="AJ1326" i="2"/>
  <c r="AJ1327" i="2"/>
  <c r="AJ1328" i="2"/>
  <c r="AJ1329" i="2"/>
  <c r="AJ1330" i="2"/>
  <c r="AJ1331" i="2"/>
  <c r="AJ1332" i="2"/>
  <c r="AJ1333" i="2"/>
  <c r="AJ1334" i="2"/>
  <c r="AJ1335" i="2"/>
  <c r="AJ1336" i="2"/>
  <c r="AJ1337" i="2"/>
  <c r="AJ1338" i="2"/>
  <c r="AJ1339" i="2"/>
  <c r="AJ1340" i="2"/>
  <c r="AJ1341" i="2"/>
  <c r="AJ1342" i="2"/>
  <c r="AJ1343" i="2"/>
  <c r="AJ1344" i="2"/>
  <c r="AJ1345" i="2"/>
  <c r="AJ1346" i="2"/>
  <c r="AJ1347" i="2"/>
  <c r="AJ1348" i="2"/>
  <c r="AJ1349" i="2"/>
  <c r="AJ1350" i="2"/>
  <c r="AJ1351" i="2"/>
  <c r="AJ1352" i="2"/>
  <c r="AJ1353" i="2"/>
  <c r="AJ1354" i="2"/>
  <c r="AJ1355" i="2"/>
  <c r="AJ1356" i="2"/>
  <c r="AJ1357" i="2"/>
  <c r="AJ1358" i="2"/>
  <c r="AJ1359" i="2"/>
  <c r="AJ1360" i="2"/>
  <c r="AJ1361" i="2"/>
  <c r="AJ1362" i="2"/>
  <c r="AJ1363" i="2"/>
  <c r="AJ1364" i="2"/>
  <c r="AJ1365" i="2"/>
  <c r="AJ1366" i="2"/>
  <c r="AJ1367" i="2"/>
  <c r="AJ1368" i="2"/>
  <c r="AJ1369" i="2"/>
  <c r="AJ1370" i="2"/>
  <c r="AJ1371" i="2"/>
  <c r="AJ1372" i="2"/>
  <c r="AJ1373" i="2"/>
  <c r="AJ1374" i="2"/>
  <c r="AJ1375" i="2"/>
  <c r="AJ1376" i="2"/>
  <c r="AJ1377" i="2"/>
  <c r="AJ1378" i="2"/>
  <c r="AJ1379" i="2"/>
  <c r="AJ1380" i="2"/>
  <c r="AJ1381" i="2"/>
  <c r="AJ1382" i="2"/>
  <c r="AJ1383" i="2"/>
  <c r="AJ1384" i="2"/>
  <c r="AJ1385" i="2"/>
  <c r="AJ1386" i="2"/>
  <c r="AJ1387" i="2"/>
  <c r="AJ1388" i="2"/>
  <c r="AJ1389" i="2"/>
  <c r="AJ1390" i="2"/>
  <c r="AJ1391" i="2"/>
  <c r="AJ1392" i="2"/>
  <c r="AJ1393" i="2"/>
  <c r="AJ1394" i="2"/>
  <c r="AJ1395" i="2"/>
  <c r="AJ1396" i="2"/>
  <c r="AJ1397" i="2"/>
  <c r="AJ1398" i="2"/>
  <c r="AJ1399" i="2"/>
  <c r="AJ1400" i="2"/>
  <c r="AJ1401" i="2"/>
  <c r="AJ1402" i="2"/>
  <c r="AJ1403" i="2"/>
  <c r="AJ1404" i="2"/>
  <c r="AJ1405" i="2"/>
  <c r="AJ1406" i="2"/>
  <c r="AJ1407" i="2"/>
  <c r="AJ1408" i="2"/>
  <c r="AJ1409" i="2"/>
  <c r="AJ1410" i="2"/>
  <c r="AJ1411" i="2"/>
  <c r="AJ1412" i="2"/>
  <c r="AJ1413" i="2"/>
  <c r="AJ1414" i="2"/>
  <c r="AJ1415" i="2"/>
  <c r="AJ1416" i="2"/>
  <c r="AJ1417" i="2"/>
  <c r="AJ1418" i="2"/>
  <c r="AJ1419" i="2"/>
  <c r="AJ1420" i="2"/>
  <c r="AJ1421" i="2"/>
  <c r="AJ1422" i="2"/>
  <c r="AJ1423" i="2"/>
  <c r="AJ1424" i="2"/>
  <c r="AJ1425" i="2"/>
  <c r="AJ1426" i="2"/>
  <c r="AJ1427" i="2"/>
  <c r="AJ1428" i="2"/>
  <c r="AJ1429" i="2"/>
  <c r="AJ1430" i="2"/>
  <c r="AJ1431" i="2"/>
  <c r="AJ1432" i="2"/>
  <c r="AJ1433" i="2"/>
  <c r="AJ1434" i="2"/>
  <c r="AJ1435" i="2"/>
  <c r="AJ1436" i="2"/>
  <c r="AJ1437" i="2"/>
  <c r="AJ1438" i="2"/>
  <c r="AJ1439" i="2"/>
  <c r="AJ1440" i="2"/>
  <c r="AJ1441" i="2"/>
  <c r="AJ1442" i="2"/>
  <c r="AJ1443" i="2"/>
  <c r="AJ1444" i="2"/>
  <c r="AJ1445" i="2"/>
  <c r="AJ1446" i="2"/>
  <c r="AJ1447" i="2"/>
  <c r="AJ1448" i="2"/>
  <c r="AJ1449" i="2"/>
  <c r="AJ1450" i="2"/>
  <c r="AJ1451" i="2"/>
  <c r="AJ1452" i="2"/>
  <c r="AJ1453" i="2"/>
  <c r="AJ1454" i="2"/>
  <c r="AJ1455" i="2"/>
  <c r="AJ1456" i="2"/>
  <c r="AJ1457" i="2"/>
  <c r="AJ1458" i="2"/>
  <c r="AJ1459" i="2"/>
  <c r="AJ1460" i="2"/>
  <c r="AJ1461" i="2"/>
  <c r="AJ1462" i="2"/>
  <c r="AJ1463" i="2"/>
  <c r="AJ1464" i="2"/>
  <c r="AJ1465" i="2"/>
  <c r="AJ1466" i="2"/>
  <c r="AJ1467" i="2"/>
  <c r="AJ1468" i="2"/>
  <c r="AJ1469" i="2"/>
  <c r="AJ1470" i="2"/>
  <c r="AJ1471" i="2"/>
  <c r="AT2" i="2"/>
  <c r="AM233" i="2" s="1"/>
  <c r="F6" i="3"/>
  <c r="G6" i="3" s="1"/>
  <c r="F2" i="3"/>
  <c r="G2" i="3" s="1"/>
  <c r="F5" i="3"/>
  <c r="G5" i="3" s="1"/>
  <c r="F4" i="3"/>
  <c r="G4" i="3" s="1"/>
  <c r="AI2" i="2" a="1"/>
  <c r="AI2" i="2" s="1"/>
  <c r="AI3" i="2" a="1"/>
  <c r="AI3" i="2" s="1"/>
  <c r="AI4" i="2" a="1"/>
  <c r="AI4" i="2" s="1"/>
  <c r="AI5" i="2" a="1"/>
  <c r="AI5" i="2" s="1"/>
  <c r="AI6" i="2" a="1"/>
  <c r="AI6" i="2" s="1"/>
  <c r="AI7" i="2" a="1"/>
  <c r="AI7" i="2" s="1"/>
  <c r="AI8" i="2" a="1"/>
  <c r="AI8" i="2" s="1"/>
  <c r="AI9" i="2" a="1"/>
  <c r="AI9" i="2" s="1"/>
  <c r="AI10" i="2" a="1"/>
  <c r="AI10" i="2" s="1"/>
  <c r="AI11" i="2" a="1"/>
  <c r="AI11" i="2" s="1"/>
  <c r="AI12" i="2" a="1"/>
  <c r="AI12" i="2" s="1"/>
  <c r="AI13" i="2" a="1"/>
  <c r="AI13" i="2" s="1"/>
  <c r="AI14" i="2" a="1"/>
  <c r="AI14" i="2" s="1"/>
  <c r="AI15" i="2" a="1"/>
  <c r="AI15" i="2" s="1"/>
  <c r="AI16" i="2" a="1"/>
  <c r="AI16" i="2" s="1"/>
  <c r="AI17" i="2" a="1"/>
  <c r="AI17" i="2" s="1"/>
  <c r="AI18" i="2" a="1"/>
  <c r="AI18" i="2" s="1"/>
  <c r="AI19" i="2" a="1"/>
  <c r="AI19" i="2" s="1"/>
  <c r="AI20" i="2" a="1"/>
  <c r="AI20" i="2" s="1"/>
  <c r="AI21" i="2" a="1"/>
  <c r="AI21" i="2" s="1"/>
  <c r="AI22" i="2" a="1"/>
  <c r="AI22" i="2" s="1"/>
  <c r="AI23" i="2" a="1"/>
  <c r="AI23" i="2" s="1"/>
  <c r="AI24" i="2" a="1"/>
  <c r="AI24" i="2" s="1"/>
  <c r="AI25" i="2" a="1"/>
  <c r="AI25" i="2" s="1"/>
  <c r="AI26" i="2" a="1"/>
  <c r="AI26" i="2" s="1"/>
  <c r="AI27" i="2" a="1"/>
  <c r="AI27" i="2" s="1"/>
  <c r="AI28" i="2" a="1"/>
  <c r="AI28" i="2" s="1"/>
  <c r="AI29" i="2" a="1"/>
  <c r="AI29" i="2" s="1"/>
  <c r="AI30" i="2" a="1"/>
  <c r="AI30" i="2" s="1"/>
  <c r="AI31" i="2" a="1"/>
  <c r="AI31" i="2" s="1"/>
  <c r="AI32" i="2" a="1"/>
  <c r="AI32" i="2" s="1"/>
  <c r="AI33" i="2" a="1"/>
  <c r="AI33" i="2" s="1"/>
  <c r="AI34" i="2" a="1"/>
  <c r="AI34" i="2" s="1"/>
  <c r="AI35" i="2" a="1"/>
  <c r="AI35" i="2" s="1"/>
  <c r="AI36" i="2" a="1"/>
  <c r="AI36" i="2" s="1"/>
  <c r="AI37" i="2" a="1"/>
  <c r="AI37" i="2" s="1"/>
  <c r="AI38" i="2" a="1"/>
  <c r="AI38" i="2" s="1"/>
  <c r="AI39" i="2" a="1"/>
  <c r="AI39" i="2" s="1"/>
  <c r="AI40" i="2" a="1"/>
  <c r="AI40" i="2" s="1"/>
  <c r="AI41" i="2" a="1"/>
  <c r="AI41" i="2" s="1"/>
  <c r="AI42" i="2" a="1"/>
  <c r="AI42" i="2" s="1"/>
  <c r="AI43" i="2" a="1"/>
  <c r="AI43" i="2" s="1"/>
  <c r="AI44" i="2" a="1"/>
  <c r="AI44" i="2" s="1"/>
  <c r="AI45" i="2" a="1"/>
  <c r="AI45" i="2" s="1"/>
  <c r="AI46" i="2" a="1"/>
  <c r="AI46" i="2" s="1"/>
  <c r="AI47" i="2" a="1"/>
  <c r="AI47" i="2" s="1"/>
  <c r="AI48" i="2" a="1"/>
  <c r="AI48" i="2" s="1"/>
  <c r="AI49" i="2" a="1"/>
  <c r="AI49" i="2" s="1"/>
  <c r="AI50" i="2" a="1"/>
  <c r="AI50" i="2" s="1"/>
  <c r="AI51" i="2" a="1"/>
  <c r="AI51" i="2" s="1"/>
  <c r="AI52" i="2" a="1"/>
  <c r="AI52" i="2" s="1"/>
  <c r="AI53" i="2" a="1"/>
  <c r="AI53" i="2" s="1"/>
  <c r="AI54" i="2" a="1"/>
  <c r="AI54" i="2" s="1"/>
  <c r="AI55" i="2" a="1"/>
  <c r="AI55" i="2" s="1"/>
  <c r="AI56" i="2" a="1"/>
  <c r="AI56" i="2" s="1"/>
  <c r="AI57" i="2" a="1"/>
  <c r="AI57" i="2" s="1"/>
  <c r="AI58" i="2" a="1"/>
  <c r="AI58" i="2" s="1"/>
  <c r="AI59" i="2" a="1"/>
  <c r="AI59" i="2" s="1"/>
  <c r="AI60" i="2" a="1"/>
  <c r="AI60" i="2" s="1"/>
  <c r="AI61" i="2" a="1"/>
  <c r="AI61" i="2" s="1"/>
  <c r="AI62" i="2" a="1"/>
  <c r="AI62" i="2" s="1"/>
  <c r="AI63" i="2" a="1"/>
  <c r="AI63" i="2" s="1"/>
  <c r="AI64" i="2" a="1"/>
  <c r="AI64" i="2" s="1"/>
  <c r="AI65" i="2" a="1"/>
  <c r="AI65" i="2" s="1"/>
  <c r="AI66" i="2" a="1"/>
  <c r="AI66" i="2" s="1"/>
  <c r="AI67" i="2" a="1"/>
  <c r="AI67" i="2" s="1"/>
  <c r="AI68" i="2" a="1"/>
  <c r="AI68" i="2" s="1"/>
  <c r="AI69" i="2" a="1"/>
  <c r="AI69" i="2" s="1"/>
  <c r="AI70" i="2" a="1"/>
  <c r="AI70" i="2" s="1"/>
  <c r="AI71" i="2" a="1"/>
  <c r="AI71" i="2" s="1"/>
  <c r="AI72" i="2" a="1"/>
  <c r="AI72" i="2" s="1"/>
  <c r="AI73" i="2" a="1"/>
  <c r="AI73" i="2" s="1"/>
  <c r="AI74" i="2" a="1"/>
  <c r="AI74" i="2" s="1"/>
  <c r="AI75" i="2" a="1"/>
  <c r="AI75" i="2" s="1"/>
  <c r="AI76" i="2" a="1"/>
  <c r="AI76" i="2" s="1"/>
  <c r="AI77" i="2" a="1"/>
  <c r="AI77" i="2" s="1"/>
  <c r="AI78" i="2" a="1"/>
  <c r="AI78" i="2" s="1"/>
  <c r="AI79" i="2" a="1"/>
  <c r="AI79" i="2" s="1"/>
  <c r="AI80" i="2" a="1"/>
  <c r="AI80" i="2" s="1"/>
  <c r="AI81" i="2" a="1"/>
  <c r="AI81" i="2" s="1"/>
  <c r="AI82" i="2" a="1"/>
  <c r="AI82" i="2" s="1"/>
  <c r="AI83" i="2" a="1"/>
  <c r="AI83" i="2" s="1"/>
  <c r="AI84" i="2" a="1"/>
  <c r="AI84" i="2" s="1"/>
  <c r="AI85" i="2" a="1"/>
  <c r="AI85" i="2" s="1"/>
  <c r="AI86" i="2" a="1"/>
  <c r="AI86" i="2" s="1"/>
  <c r="AI87" i="2" a="1"/>
  <c r="AI87" i="2" s="1"/>
  <c r="AI88" i="2" a="1"/>
  <c r="AI88" i="2" s="1"/>
  <c r="AI89" i="2" a="1"/>
  <c r="AI89" i="2" s="1"/>
  <c r="AI90" i="2" a="1"/>
  <c r="AI90" i="2" s="1"/>
  <c r="AI91" i="2" a="1"/>
  <c r="AI91" i="2" s="1"/>
  <c r="AI92" i="2" a="1"/>
  <c r="AI92" i="2" s="1"/>
  <c r="AI93" i="2" a="1"/>
  <c r="AI93" i="2" s="1"/>
  <c r="AI94" i="2" a="1"/>
  <c r="AI94" i="2" s="1"/>
  <c r="AI95" i="2" a="1"/>
  <c r="AI95" i="2" s="1"/>
  <c r="AI96" i="2" a="1"/>
  <c r="AI96" i="2" s="1"/>
  <c r="AI97" i="2" a="1"/>
  <c r="AI97" i="2" s="1"/>
  <c r="AI98" i="2" a="1"/>
  <c r="AI98" i="2" s="1"/>
  <c r="AI99" i="2" a="1"/>
  <c r="AI99" i="2" s="1"/>
  <c r="AI100" i="2" a="1"/>
  <c r="AI100" i="2" s="1"/>
  <c r="AI101" i="2" a="1"/>
  <c r="AI101" i="2" s="1"/>
  <c r="AI102" i="2" a="1"/>
  <c r="AI102" i="2" s="1"/>
  <c r="AI103" i="2" a="1"/>
  <c r="AI103" i="2" s="1"/>
  <c r="AI104" i="2" a="1"/>
  <c r="AI104" i="2" s="1"/>
  <c r="AI105" i="2" a="1"/>
  <c r="AI105" i="2" s="1"/>
  <c r="AI106" i="2" a="1"/>
  <c r="AI106" i="2" s="1"/>
  <c r="AI107" i="2" a="1"/>
  <c r="AI107" i="2" s="1"/>
  <c r="AI108" i="2" a="1"/>
  <c r="AI108" i="2" s="1"/>
  <c r="AI109" i="2" a="1"/>
  <c r="AI109" i="2" s="1"/>
  <c r="AI110" i="2" a="1"/>
  <c r="AI110" i="2" s="1"/>
  <c r="AI111" i="2" a="1"/>
  <c r="AI111" i="2" s="1"/>
  <c r="AI112" i="2" a="1"/>
  <c r="AI112" i="2" s="1"/>
  <c r="AI113" i="2" a="1"/>
  <c r="AI113" i="2" s="1"/>
  <c r="AI114" i="2" a="1"/>
  <c r="AI114" i="2" s="1"/>
  <c r="AI115" i="2" a="1"/>
  <c r="AI115" i="2" s="1"/>
  <c r="AI116" i="2" a="1"/>
  <c r="AI116" i="2" s="1"/>
  <c r="AI117" i="2" a="1"/>
  <c r="AI117" i="2" s="1"/>
  <c r="AI118" i="2" a="1"/>
  <c r="AI118" i="2" s="1"/>
  <c r="AI119" i="2" a="1"/>
  <c r="AI119" i="2" s="1"/>
  <c r="AI120" i="2" a="1"/>
  <c r="AI120" i="2" s="1"/>
  <c r="AI121" i="2" a="1"/>
  <c r="AI121" i="2" s="1"/>
  <c r="AI122" i="2" a="1"/>
  <c r="AI122" i="2" s="1"/>
  <c r="AI123" i="2" a="1"/>
  <c r="AI123" i="2" s="1"/>
  <c r="AI124" i="2" a="1"/>
  <c r="AI124" i="2" s="1"/>
  <c r="AI125" i="2" a="1"/>
  <c r="AI125" i="2" s="1"/>
  <c r="AI126" i="2" a="1"/>
  <c r="AI126" i="2" s="1"/>
  <c r="AI127" i="2" a="1"/>
  <c r="AI127" i="2" s="1"/>
  <c r="AI128" i="2" a="1"/>
  <c r="AI128" i="2" s="1"/>
  <c r="AI129" i="2" a="1"/>
  <c r="AI129" i="2" s="1"/>
  <c r="AI130" i="2" a="1"/>
  <c r="AI130" i="2" s="1"/>
  <c r="AI131" i="2" a="1"/>
  <c r="AI131" i="2" s="1"/>
  <c r="AI132" i="2" a="1"/>
  <c r="AI132" i="2" s="1"/>
  <c r="AI133" i="2" a="1"/>
  <c r="AI133" i="2" s="1"/>
  <c r="AI134" i="2" a="1"/>
  <c r="AI134" i="2" s="1"/>
  <c r="AI135" i="2" a="1"/>
  <c r="AI135" i="2" s="1"/>
  <c r="AI136" i="2" a="1"/>
  <c r="AI136" i="2" s="1"/>
  <c r="AI137" i="2" a="1"/>
  <c r="AI137" i="2" s="1"/>
  <c r="AI138" i="2" a="1"/>
  <c r="AI138" i="2" s="1"/>
  <c r="AI139" i="2" a="1"/>
  <c r="AI139" i="2" s="1"/>
  <c r="AI140" i="2" a="1"/>
  <c r="AI140" i="2" s="1"/>
  <c r="AI141" i="2" a="1"/>
  <c r="AI141" i="2" s="1"/>
  <c r="AI142" i="2" a="1"/>
  <c r="AI142" i="2" s="1"/>
  <c r="AI143" i="2" a="1"/>
  <c r="AI143" i="2" s="1"/>
  <c r="AI144" i="2" a="1"/>
  <c r="AI144" i="2" s="1"/>
  <c r="AI145" i="2" a="1"/>
  <c r="AI145" i="2" s="1"/>
  <c r="AI146" i="2" a="1"/>
  <c r="AI146" i="2" s="1"/>
  <c r="AI147" i="2" a="1"/>
  <c r="AI147" i="2" s="1"/>
  <c r="AI148" i="2" a="1"/>
  <c r="AI148" i="2" s="1"/>
  <c r="AI149" i="2" a="1"/>
  <c r="AI149" i="2" s="1"/>
  <c r="AI150" i="2" a="1"/>
  <c r="AI150" i="2" s="1"/>
  <c r="AI151" i="2" a="1"/>
  <c r="AI151" i="2" s="1"/>
  <c r="AI152" i="2" a="1"/>
  <c r="AI152" i="2" s="1"/>
  <c r="AI153" i="2" a="1"/>
  <c r="AI153" i="2" s="1"/>
  <c r="AI154" i="2" a="1"/>
  <c r="AI154" i="2" s="1"/>
  <c r="AI155" i="2" a="1"/>
  <c r="AI155" i="2" s="1"/>
  <c r="AI156" i="2" a="1"/>
  <c r="AI156" i="2" s="1"/>
  <c r="AI157" i="2" a="1"/>
  <c r="AI157" i="2" s="1"/>
  <c r="AI158" i="2" a="1"/>
  <c r="AI158" i="2" s="1"/>
  <c r="AI159" i="2" a="1"/>
  <c r="AI159" i="2" s="1"/>
  <c r="AI160" i="2" a="1"/>
  <c r="AI160" i="2" s="1"/>
  <c r="AI161" i="2" a="1"/>
  <c r="AI161" i="2" s="1"/>
  <c r="AI162" i="2" a="1"/>
  <c r="AI162" i="2" s="1"/>
  <c r="AI163" i="2" a="1"/>
  <c r="AI163" i="2" s="1"/>
  <c r="AI164" i="2" a="1"/>
  <c r="AI164" i="2" s="1"/>
  <c r="AI165" i="2" a="1"/>
  <c r="AI165" i="2" s="1"/>
  <c r="AI166" i="2" a="1"/>
  <c r="AI166" i="2" s="1"/>
  <c r="AI167" i="2" a="1"/>
  <c r="AI167" i="2" s="1"/>
  <c r="AI168" i="2" a="1"/>
  <c r="AI168" i="2" s="1"/>
  <c r="AI169" i="2" a="1"/>
  <c r="AI169" i="2" s="1"/>
  <c r="AI170" i="2" a="1"/>
  <c r="AI170" i="2" s="1"/>
  <c r="AI171" i="2" a="1"/>
  <c r="AI171" i="2" s="1"/>
  <c r="AI172" i="2" a="1"/>
  <c r="AI172" i="2" s="1"/>
  <c r="AI173" i="2" a="1"/>
  <c r="AI173" i="2" s="1"/>
  <c r="AI174" i="2" a="1"/>
  <c r="AI174" i="2" s="1"/>
  <c r="AI175" i="2" a="1"/>
  <c r="AI175" i="2" s="1"/>
  <c r="AI176" i="2" a="1"/>
  <c r="AI176" i="2" s="1"/>
  <c r="AI177" i="2" a="1"/>
  <c r="AI177" i="2" s="1"/>
  <c r="AI178" i="2" a="1"/>
  <c r="AI178" i="2" s="1"/>
  <c r="AI179" i="2" a="1"/>
  <c r="AI179" i="2" s="1"/>
  <c r="AI180" i="2" a="1"/>
  <c r="AI180" i="2" s="1"/>
  <c r="AI181" i="2" a="1"/>
  <c r="AI181" i="2" s="1"/>
  <c r="AI182" i="2" a="1"/>
  <c r="AI182" i="2" s="1"/>
  <c r="AI183" i="2" a="1"/>
  <c r="AI183" i="2" s="1"/>
  <c r="AI184" i="2" a="1"/>
  <c r="AI184" i="2" s="1"/>
  <c r="AI185" i="2" a="1"/>
  <c r="AI185" i="2" s="1"/>
  <c r="AI186" i="2" a="1"/>
  <c r="AI186" i="2" s="1"/>
  <c r="AI187" i="2" a="1"/>
  <c r="AI187" i="2" s="1"/>
  <c r="AI188" i="2" a="1"/>
  <c r="AI188" i="2" s="1"/>
  <c r="AI189" i="2" a="1"/>
  <c r="AI189" i="2" s="1"/>
  <c r="AI190" i="2" a="1"/>
  <c r="AI190" i="2" s="1"/>
  <c r="AI191" i="2" a="1"/>
  <c r="AI191" i="2" s="1"/>
  <c r="AI192" i="2" a="1"/>
  <c r="AI192" i="2" s="1"/>
  <c r="AI193" i="2" a="1"/>
  <c r="AI193" i="2" s="1"/>
  <c r="AI194" i="2" a="1"/>
  <c r="AI194" i="2" s="1"/>
  <c r="AI195" i="2" a="1"/>
  <c r="AI195" i="2" s="1"/>
  <c r="AI196" i="2" a="1"/>
  <c r="AI196" i="2" s="1"/>
  <c r="AI197" i="2" a="1"/>
  <c r="AI197" i="2" s="1"/>
  <c r="AI198" i="2" a="1"/>
  <c r="AI198" i="2" s="1"/>
  <c r="AI199" i="2" a="1"/>
  <c r="AI199" i="2" s="1"/>
  <c r="AI200" i="2" a="1"/>
  <c r="AI200" i="2" s="1"/>
  <c r="AI201" i="2" a="1"/>
  <c r="AI201" i="2" s="1"/>
  <c r="AI202" i="2" a="1"/>
  <c r="AI202" i="2" s="1"/>
  <c r="AI203" i="2" a="1"/>
  <c r="AI203" i="2" s="1"/>
  <c r="AI204" i="2" a="1"/>
  <c r="AI204" i="2" s="1"/>
  <c r="AI205" i="2" a="1"/>
  <c r="AI205" i="2" s="1"/>
  <c r="AI206" i="2" a="1"/>
  <c r="AI206" i="2" s="1"/>
  <c r="AI207" i="2" a="1"/>
  <c r="AI207" i="2" s="1"/>
  <c r="AI208" i="2" a="1"/>
  <c r="AI208" i="2" s="1"/>
  <c r="AI209" i="2" a="1"/>
  <c r="AI209" i="2" s="1"/>
  <c r="AI210" i="2" a="1"/>
  <c r="AI210" i="2" s="1"/>
  <c r="AI211" i="2" a="1"/>
  <c r="AI211" i="2" s="1"/>
  <c r="AI212" i="2" a="1"/>
  <c r="AI212" i="2" s="1"/>
  <c r="AI213" i="2" a="1"/>
  <c r="AI213" i="2" s="1"/>
  <c r="AI214" i="2" a="1"/>
  <c r="AI214" i="2" s="1"/>
  <c r="AI215" i="2" a="1"/>
  <c r="AI215" i="2" s="1"/>
  <c r="AI216" i="2" a="1"/>
  <c r="AI216" i="2" s="1"/>
  <c r="AI217" i="2" a="1"/>
  <c r="AI217" i="2" s="1"/>
  <c r="AI218" i="2" a="1"/>
  <c r="AI218" i="2" s="1"/>
  <c r="AI219" i="2" a="1"/>
  <c r="AI219" i="2" s="1"/>
  <c r="AI220" i="2" a="1"/>
  <c r="AI220" i="2" s="1"/>
  <c r="AI221" i="2" a="1"/>
  <c r="AI221" i="2" s="1"/>
  <c r="AI222" i="2" a="1"/>
  <c r="AI222" i="2" s="1"/>
  <c r="AI223" i="2" a="1"/>
  <c r="AI223" i="2" s="1"/>
  <c r="AI224" i="2" a="1"/>
  <c r="AI224" i="2" s="1"/>
  <c r="AI225" i="2" a="1"/>
  <c r="AI225" i="2" s="1"/>
  <c r="AI226" i="2" a="1"/>
  <c r="AI226" i="2" s="1"/>
  <c r="AI227" i="2" a="1"/>
  <c r="AI227" i="2" s="1"/>
  <c r="AI228" i="2" a="1"/>
  <c r="AI228" i="2" s="1"/>
  <c r="AI229" i="2" a="1"/>
  <c r="AI229" i="2" s="1"/>
  <c r="AI230" i="2" a="1"/>
  <c r="AI230" i="2" s="1"/>
  <c r="AI231" i="2" a="1"/>
  <c r="AI231" i="2" s="1"/>
  <c r="AI232" i="2" a="1"/>
  <c r="AI232" i="2" s="1"/>
  <c r="AI233" i="2" a="1"/>
  <c r="AI233" i="2" s="1"/>
  <c r="AI234" i="2" a="1"/>
  <c r="AI234" i="2" s="1"/>
  <c r="AI235" i="2" a="1"/>
  <c r="AI235" i="2" s="1"/>
  <c r="AI236" i="2" a="1"/>
  <c r="AI236" i="2" s="1"/>
  <c r="AI237" i="2" a="1"/>
  <c r="AI237" i="2" s="1"/>
  <c r="AI238" i="2" a="1"/>
  <c r="AI238" i="2" s="1"/>
  <c r="AI239" i="2" a="1"/>
  <c r="AI239" i="2" s="1"/>
  <c r="AI240" i="2" a="1"/>
  <c r="AI240" i="2" s="1"/>
  <c r="AI241" i="2" a="1"/>
  <c r="AI241" i="2" s="1"/>
  <c r="AI242" i="2" a="1"/>
  <c r="AI242" i="2" s="1"/>
  <c r="AI243" i="2" a="1"/>
  <c r="AI243" i="2" s="1"/>
  <c r="AI244" i="2" a="1"/>
  <c r="AI244" i="2" s="1"/>
  <c r="AI245" i="2" a="1"/>
  <c r="AI245" i="2" s="1"/>
  <c r="AI246" i="2" a="1"/>
  <c r="AI246" i="2" s="1"/>
  <c r="AI247" i="2" a="1"/>
  <c r="AI247" i="2" s="1"/>
  <c r="AI248" i="2" a="1"/>
  <c r="AI248" i="2" s="1"/>
  <c r="AI249" i="2" a="1"/>
  <c r="AI249" i="2" s="1"/>
  <c r="AI250" i="2" a="1"/>
  <c r="AI250" i="2" s="1"/>
  <c r="AI251" i="2" a="1"/>
  <c r="AI251" i="2" s="1"/>
  <c r="AI252" i="2" a="1"/>
  <c r="AI252" i="2" s="1"/>
  <c r="AI253" i="2" a="1"/>
  <c r="AI253" i="2" s="1"/>
  <c r="AI254" i="2" a="1"/>
  <c r="AI254" i="2" s="1"/>
  <c r="AI255" i="2" a="1"/>
  <c r="AI255" i="2" s="1"/>
  <c r="AI256" i="2" a="1"/>
  <c r="AI256" i="2" s="1"/>
  <c r="AI257" i="2" a="1"/>
  <c r="AI257" i="2" s="1"/>
  <c r="AI258" i="2" a="1"/>
  <c r="AI258" i="2" s="1"/>
  <c r="AI259" i="2" a="1"/>
  <c r="AI259" i="2" s="1"/>
  <c r="AI260" i="2" a="1"/>
  <c r="AI260" i="2" s="1"/>
  <c r="AI261" i="2" a="1"/>
  <c r="AI261" i="2" s="1"/>
  <c r="AI262" i="2" a="1"/>
  <c r="AI262" i="2" s="1"/>
  <c r="AI263" i="2" a="1"/>
  <c r="AI263" i="2" s="1"/>
  <c r="AI264" i="2" a="1"/>
  <c r="AI264" i="2" s="1"/>
  <c r="AI265" i="2" a="1"/>
  <c r="AI265" i="2" s="1"/>
  <c r="AI266" i="2" a="1"/>
  <c r="AI266" i="2" s="1"/>
  <c r="AI267" i="2" a="1"/>
  <c r="AI267" i="2" s="1"/>
  <c r="AI268" i="2" a="1"/>
  <c r="AI268" i="2" s="1"/>
  <c r="AI269" i="2" a="1"/>
  <c r="AI269" i="2" s="1"/>
  <c r="AI270" i="2" a="1"/>
  <c r="AI270" i="2" s="1"/>
  <c r="AI271" i="2" a="1"/>
  <c r="AI271" i="2" s="1"/>
  <c r="AI272" i="2" a="1"/>
  <c r="AI272" i="2" s="1"/>
  <c r="AI273" i="2" a="1"/>
  <c r="AI273" i="2" s="1"/>
  <c r="AI274" i="2" a="1"/>
  <c r="AI274" i="2" s="1"/>
  <c r="AI275" i="2" a="1"/>
  <c r="AI275" i="2" s="1"/>
  <c r="AI276" i="2" a="1"/>
  <c r="AI276" i="2" s="1"/>
  <c r="AI277" i="2" a="1"/>
  <c r="AI277" i="2" s="1"/>
  <c r="AI278" i="2" a="1"/>
  <c r="AI278" i="2" s="1"/>
  <c r="AI279" i="2" a="1"/>
  <c r="AI279" i="2" s="1"/>
  <c r="AI280" i="2" a="1"/>
  <c r="AI280" i="2" s="1"/>
  <c r="AI281" i="2" a="1"/>
  <c r="AI281" i="2" s="1"/>
  <c r="AI282" i="2" a="1"/>
  <c r="AI282" i="2" s="1"/>
  <c r="AI283" i="2" a="1"/>
  <c r="AI283" i="2" s="1"/>
  <c r="AI284" i="2" a="1"/>
  <c r="AI284" i="2" s="1"/>
  <c r="AI285" i="2" a="1"/>
  <c r="AI285" i="2" s="1"/>
  <c r="AI286" i="2" a="1"/>
  <c r="AI286" i="2" s="1"/>
  <c r="AI287" i="2" a="1"/>
  <c r="AI287" i="2" s="1"/>
  <c r="AI288" i="2" a="1"/>
  <c r="AI288" i="2" s="1"/>
  <c r="AI289" i="2" a="1"/>
  <c r="AI289" i="2" s="1"/>
  <c r="AI290" i="2" a="1"/>
  <c r="AI290" i="2" s="1"/>
  <c r="AI291" i="2" a="1"/>
  <c r="AI291" i="2" s="1"/>
  <c r="AI292" i="2" a="1"/>
  <c r="AI292" i="2" s="1"/>
  <c r="AI293" i="2" a="1"/>
  <c r="AI293" i="2" s="1"/>
  <c r="AI294" i="2" a="1"/>
  <c r="AI294" i="2" s="1"/>
  <c r="AI295" i="2" a="1"/>
  <c r="AI295" i="2" s="1"/>
  <c r="AI296" i="2" a="1"/>
  <c r="AI296" i="2" s="1"/>
  <c r="AI297" i="2" a="1"/>
  <c r="AI297" i="2" s="1"/>
  <c r="AI298" i="2" a="1"/>
  <c r="AI298" i="2" s="1"/>
  <c r="AI299" i="2" a="1"/>
  <c r="AI299" i="2" s="1"/>
  <c r="AI300" i="2" a="1"/>
  <c r="AI300" i="2" s="1"/>
  <c r="AI301" i="2" a="1"/>
  <c r="AI301" i="2" s="1"/>
  <c r="AI302" i="2" a="1"/>
  <c r="AI302" i="2" s="1"/>
  <c r="AI303" i="2" a="1"/>
  <c r="AI303" i="2" s="1"/>
  <c r="AI304" i="2" a="1"/>
  <c r="AI304" i="2" s="1"/>
  <c r="AI305" i="2" a="1"/>
  <c r="AI305" i="2" s="1"/>
  <c r="AI306" i="2" a="1"/>
  <c r="AI306" i="2" s="1"/>
  <c r="AI307" i="2" a="1"/>
  <c r="AI307" i="2" s="1"/>
  <c r="AI308" i="2" a="1"/>
  <c r="AI308" i="2" s="1"/>
  <c r="AI309" i="2" a="1"/>
  <c r="AI309" i="2" s="1"/>
  <c r="AI310" i="2" a="1"/>
  <c r="AI310" i="2" s="1"/>
  <c r="AI311" i="2" a="1"/>
  <c r="AI311" i="2" s="1"/>
  <c r="AI312" i="2" a="1"/>
  <c r="AI312" i="2" s="1"/>
  <c r="AI313" i="2" a="1"/>
  <c r="AI313" i="2" s="1"/>
  <c r="AI314" i="2" a="1"/>
  <c r="AI314" i="2" s="1"/>
  <c r="AI315" i="2" a="1"/>
  <c r="AI315" i="2" s="1"/>
  <c r="AI316" i="2" a="1"/>
  <c r="AI316" i="2" s="1"/>
  <c r="AI317" i="2" a="1"/>
  <c r="AI317" i="2" s="1"/>
  <c r="AI318" i="2" a="1"/>
  <c r="AI318" i="2" s="1"/>
  <c r="AI319" i="2" a="1"/>
  <c r="AI319" i="2" s="1"/>
  <c r="AI320" i="2" a="1"/>
  <c r="AI320" i="2" s="1"/>
  <c r="AI321" i="2" a="1"/>
  <c r="AI321" i="2" s="1"/>
  <c r="AI322" i="2" a="1"/>
  <c r="AI322" i="2" s="1"/>
  <c r="AI323" i="2" a="1"/>
  <c r="AI323" i="2" s="1"/>
  <c r="AI324" i="2" a="1"/>
  <c r="AI324" i="2" s="1"/>
  <c r="AI325" i="2" a="1"/>
  <c r="AI325" i="2" s="1"/>
  <c r="AI326" i="2" a="1"/>
  <c r="AI326" i="2" s="1"/>
  <c r="AI327" i="2" a="1"/>
  <c r="AI327" i="2" s="1"/>
  <c r="AI328" i="2" a="1"/>
  <c r="AI328" i="2" s="1"/>
  <c r="AI329" i="2" a="1"/>
  <c r="AI329" i="2" s="1"/>
  <c r="AI330" i="2" a="1"/>
  <c r="AI330" i="2" s="1"/>
  <c r="AI331" i="2" a="1"/>
  <c r="AI331" i="2" s="1"/>
  <c r="AI332" i="2" a="1"/>
  <c r="AI332" i="2" s="1"/>
  <c r="AI333" i="2" a="1"/>
  <c r="AI333" i="2" s="1"/>
  <c r="AI334" i="2" a="1"/>
  <c r="AI334" i="2" s="1"/>
  <c r="AI335" i="2" a="1"/>
  <c r="AI335" i="2" s="1"/>
  <c r="AI336" i="2" a="1"/>
  <c r="AI336" i="2" s="1"/>
  <c r="AI337" i="2" a="1"/>
  <c r="AI337" i="2" s="1"/>
  <c r="AI338" i="2" a="1"/>
  <c r="AI338" i="2" s="1"/>
  <c r="AI339" i="2" a="1"/>
  <c r="AI339" i="2" s="1"/>
  <c r="AI340" i="2" a="1"/>
  <c r="AI340" i="2" s="1"/>
  <c r="AI341" i="2" a="1"/>
  <c r="AI341" i="2" s="1"/>
  <c r="AI342" i="2" a="1"/>
  <c r="AI342" i="2" s="1"/>
  <c r="AI343" i="2" a="1"/>
  <c r="AI343" i="2" s="1"/>
  <c r="AI344" i="2" a="1"/>
  <c r="AI344" i="2" s="1"/>
  <c r="AI345" i="2" a="1"/>
  <c r="AI345" i="2" s="1"/>
  <c r="AI346" i="2" a="1"/>
  <c r="AI346" i="2" s="1"/>
  <c r="AI347" i="2" a="1"/>
  <c r="AI347" i="2" s="1"/>
  <c r="AI348" i="2" a="1"/>
  <c r="AI348" i="2" s="1"/>
  <c r="AI349" i="2" a="1"/>
  <c r="AI349" i="2" s="1"/>
  <c r="AI350" i="2" a="1"/>
  <c r="AI350" i="2" s="1"/>
  <c r="AI351" i="2" a="1"/>
  <c r="AI351" i="2" s="1"/>
  <c r="AI352" i="2" a="1"/>
  <c r="AI352" i="2" s="1"/>
  <c r="AI353" i="2" a="1"/>
  <c r="AI353" i="2" s="1"/>
  <c r="AI354" i="2" a="1"/>
  <c r="AI354" i="2" s="1"/>
  <c r="AI355" i="2" a="1"/>
  <c r="AI355" i="2" s="1"/>
  <c r="AI356" i="2" a="1"/>
  <c r="AI356" i="2" s="1"/>
  <c r="AI357" i="2" a="1"/>
  <c r="AI357" i="2" s="1"/>
  <c r="AI358" i="2" a="1"/>
  <c r="AI358" i="2" s="1"/>
  <c r="AI359" i="2" a="1"/>
  <c r="AI359" i="2" s="1"/>
  <c r="AI360" i="2" a="1"/>
  <c r="AI360" i="2" s="1"/>
  <c r="AI361" i="2" a="1"/>
  <c r="AI361" i="2" s="1"/>
  <c r="AI362" i="2" a="1"/>
  <c r="AI362" i="2" s="1"/>
  <c r="AI363" i="2" a="1"/>
  <c r="AI363" i="2" s="1"/>
  <c r="AI364" i="2" a="1"/>
  <c r="AI364" i="2" s="1"/>
  <c r="AI365" i="2" a="1"/>
  <c r="AI365" i="2" s="1"/>
  <c r="AI366" i="2" a="1"/>
  <c r="AI366" i="2" s="1"/>
  <c r="AI367" i="2" a="1"/>
  <c r="AI367" i="2" s="1"/>
  <c r="AI368" i="2" a="1"/>
  <c r="AI368" i="2" s="1"/>
  <c r="AI369" i="2" a="1"/>
  <c r="AI369" i="2" s="1"/>
  <c r="AI370" i="2" a="1"/>
  <c r="AI370" i="2" s="1"/>
  <c r="AI371" i="2" a="1"/>
  <c r="AI371" i="2" s="1"/>
  <c r="AI372" i="2" a="1"/>
  <c r="AI372" i="2" s="1"/>
  <c r="AI373" i="2" a="1"/>
  <c r="AI373" i="2" s="1"/>
  <c r="AI374" i="2" a="1"/>
  <c r="AI374" i="2" s="1"/>
  <c r="AI375" i="2" a="1"/>
  <c r="AI375" i="2" s="1"/>
  <c r="AI376" i="2" a="1"/>
  <c r="AI376" i="2" s="1"/>
  <c r="AI377" i="2" a="1"/>
  <c r="AI377" i="2" s="1"/>
  <c r="AI378" i="2" a="1"/>
  <c r="AI378" i="2" s="1"/>
  <c r="AI379" i="2" a="1"/>
  <c r="AI379" i="2" s="1"/>
  <c r="AI380" i="2" a="1"/>
  <c r="AI380" i="2" s="1"/>
  <c r="AI381" i="2" a="1"/>
  <c r="AI381" i="2" s="1"/>
  <c r="AI382" i="2" a="1"/>
  <c r="AI382" i="2" s="1"/>
  <c r="AI383" i="2" a="1"/>
  <c r="AI383" i="2" s="1"/>
  <c r="AI384" i="2" a="1"/>
  <c r="AI384" i="2" s="1"/>
  <c r="AI385" i="2" a="1"/>
  <c r="AI385" i="2" s="1"/>
  <c r="AI386" i="2" a="1"/>
  <c r="AI386" i="2" s="1"/>
  <c r="AI387" i="2" a="1"/>
  <c r="AI387" i="2" s="1"/>
  <c r="AI388" i="2" a="1"/>
  <c r="AI388" i="2" s="1"/>
  <c r="AI389" i="2" a="1"/>
  <c r="AI389" i="2" s="1"/>
  <c r="AI390" i="2" a="1"/>
  <c r="AI390" i="2" s="1"/>
  <c r="AI391" i="2" a="1"/>
  <c r="AI391" i="2" s="1"/>
  <c r="AI392" i="2" a="1"/>
  <c r="AI392" i="2" s="1"/>
  <c r="AI393" i="2" a="1"/>
  <c r="AI393" i="2" s="1"/>
  <c r="AI394" i="2" a="1"/>
  <c r="AI394" i="2" s="1"/>
  <c r="AI395" i="2" a="1"/>
  <c r="AI395" i="2" s="1"/>
  <c r="AI396" i="2" a="1"/>
  <c r="AI396" i="2" s="1"/>
  <c r="AI397" i="2" a="1"/>
  <c r="AI397" i="2" s="1"/>
  <c r="AI398" i="2" a="1"/>
  <c r="AI398" i="2" s="1"/>
  <c r="AI399" i="2" a="1"/>
  <c r="AI399" i="2" s="1"/>
  <c r="AI400" i="2" a="1"/>
  <c r="AI400" i="2" s="1"/>
  <c r="AI401" i="2" a="1"/>
  <c r="AI401" i="2" s="1"/>
  <c r="AI402" i="2" a="1"/>
  <c r="AI402" i="2" s="1"/>
  <c r="AI403" i="2" a="1"/>
  <c r="AI403" i="2" s="1"/>
  <c r="AI404" i="2" a="1"/>
  <c r="AI404" i="2" s="1"/>
  <c r="AI405" i="2" a="1"/>
  <c r="AI405" i="2" s="1"/>
  <c r="AI406" i="2" a="1"/>
  <c r="AI406" i="2" s="1"/>
  <c r="AI407" i="2" a="1"/>
  <c r="AI407" i="2" s="1"/>
  <c r="AI408" i="2" a="1"/>
  <c r="AI408" i="2" s="1"/>
  <c r="AI409" i="2" a="1"/>
  <c r="AI409" i="2" s="1"/>
  <c r="AI410" i="2" a="1"/>
  <c r="AI410" i="2" s="1"/>
  <c r="AI411" i="2" a="1"/>
  <c r="AI411" i="2" s="1"/>
  <c r="AI412" i="2" a="1"/>
  <c r="AI412" i="2" s="1"/>
  <c r="AI413" i="2" a="1"/>
  <c r="AI413" i="2" s="1"/>
  <c r="AI414" i="2" a="1"/>
  <c r="AI414" i="2" s="1"/>
  <c r="AI415" i="2" a="1"/>
  <c r="AI415" i="2" s="1"/>
  <c r="AI416" i="2" a="1"/>
  <c r="AI416" i="2" s="1"/>
  <c r="AI417" i="2" a="1"/>
  <c r="AI417" i="2" s="1"/>
  <c r="AI418" i="2" a="1"/>
  <c r="AI418" i="2" s="1"/>
  <c r="AI419" i="2" a="1"/>
  <c r="AI419" i="2" s="1"/>
  <c r="AI420" i="2" a="1"/>
  <c r="AI420" i="2" s="1"/>
  <c r="AI421" i="2" a="1"/>
  <c r="AI421" i="2" s="1"/>
  <c r="AI422" i="2" a="1"/>
  <c r="AI422" i="2" s="1"/>
  <c r="AI423" i="2" a="1"/>
  <c r="AI423" i="2" s="1"/>
  <c r="AI424" i="2" a="1"/>
  <c r="AI424" i="2" s="1"/>
  <c r="AI425" i="2" a="1"/>
  <c r="AI425" i="2" s="1"/>
  <c r="AI426" i="2" a="1"/>
  <c r="AI426" i="2" s="1"/>
  <c r="AI427" i="2" a="1"/>
  <c r="AI427" i="2" s="1"/>
  <c r="AI428" i="2" a="1"/>
  <c r="AI428" i="2" s="1"/>
  <c r="AI429" i="2" a="1"/>
  <c r="AI429" i="2" s="1"/>
  <c r="AI430" i="2" a="1"/>
  <c r="AI430" i="2" s="1"/>
  <c r="AI431" i="2" a="1"/>
  <c r="AI431" i="2" s="1"/>
  <c r="AI432" i="2" a="1"/>
  <c r="AI432" i="2" s="1"/>
  <c r="AI433" i="2" a="1"/>
  <c r="AI433" i="2" s="1"/>
  <c r="AI434" i="2" a="1"/>
  <c r="AI434" i="2" s="1"/>
  <c r="AI435" i="2" a="1"/>
  <c r="AI435" i="2" s="1"/>
  <c r="AI436" i="2" a="1"/>
  <c r="AI436" i="2" s="1"/>
  <c r="AI437" i="2" a="1"/>
  <c r="AI437" i="2" s="1"/>
  <c r="AI438" i="2" a="1"/>
  <c r="AI438" i="2" s="1"/>
  <c r="AI439" i="2" a="1"/>
  <c r="AI439" i="2" s="1"/>
  <c r="AI440" i="2" a="1"/>
  <c r="AI440" i="2" s="1"/>
  <c r="AI441" i="2" a="1"/>
  <c r="AI441" i="2" s="1"/>
  <c r="AI442" i="2" a="1"/>
  <c r="AI442" i="2" s="1"/>
  <c r="AI443" i="2" a="1"/>
  <c r="AI443" i="2" s="1"/>
  <c r="AI444" i="2" a="1"/>
  <c r="AI444" i="2" s="1"/>
  <c r="AI445" i="2" a="1"/>
  <c r="AI445" i="2" s="1"/>
  <c r="AI446" i="2" a="1"/>
  <c r="AI446" i="2" s="1"/>
  <c r="AI447" i="2" a="1"/>
  <c r="AI447" i="2" s="1"/>
  <c r="AI448" i="2" a="1"/>
  <c r="AI448" i="2" s="1"/>
  <c r="AI449" i="2" a="1"/>
  <c r="AI449" i="2" s="1"/>
  <c r="AI450" i="2" a="1"/>
  <c r="AI450" i="2" s="1"/>
  <c r="AI451" i="2" a="1"/>
  <c r="AI451" i="2" s="1"/>
  <c r="AI452" i="2" a="1"/>
  <c r="AI452" i="2" s="1"/>
  <c r="AI453" i="2" a="1"/>
  <c r="AI453" i="2" s="1"/>
  <c r="AI454" i="2" a="1"/>
  <c r="AI454" i="2" s="1"/>
  <c r="AI455" i="2" a="1"/>
  <c r="AI455" i="2" s="1"/>
  <c r="AI456" i="2" a="1"/>
  <c r="AI456" i="2" s="1"/>
  <c r="AI457" i="2" a="1"/>
  <c r="AI457" i="2" s="1"/>
  <c r="AI458" i="2" a="1"/>
  <c r="AI458" i="2" s="1"/>
  <c r="AI459" i="2" a="1"/>
  <c r="AI459" i="2" s="1"/>
  <c r="AI460" i="2" a="1"/>
  <c r="AI460" i="2" s="1"/>
  <c r="AI461" i="2" a="1"/>
  <c r="AI461" i="2" s="1"/>
  <c r="AI462" i="2" a="1"/>
  <c r="AI462" i="2" s="1"/>
  <c r="AI463" i="2" a="1"/>
  <c r="AI463" i="2" s="1"/>
  <c r="AI464" i="2" a="1"/>
  <c r="AI464" i="2" s="1"/>
  <c r="AI465" i="2" a="1"/>
  <c r="AI465" i="2" s="1"/>
  <c r="AI466" i="2" a="1"/>
  <c r="AI466" i="2" s="1"/>
  <c r="AI467" i="2" a="1"/>
  <c r="AI467" i="2" s="1"/>
  <c r="AI468" i="2" a="1"/>
  <c r="AI468" i="2" s="1"/>
  <c r="AI469" i="2" a="1"/>
  <c r="AI469" i="2" s="1"/>
  <c r="AI470" i="2" a="1"/>
  <c r="AI470" i="2" s="1"/>
  <c r="AI471" i="2" a="1"/>
  <c r="AI471" i="2" s="1"/>
  <c r="AI472" i="2" a="1"/>
  <c r="AI472" i="2" s="1"/>
  <c r="AI473" i="2" a="1"/>
  <c r="AI473" i="2" s="1"/>
  <c r="AI474" i="2" a="1"/>
  <c r="AI474" i="2" s="1"/>
  <c r="AI475" i="2" a="1"/>
  <c r="AI475" i="2" s="1"/>
  <c r="AI476" i="2" a="1"/>
  <c r="AI476" i="2" s="1"/>
  <c r="AI477" i="2" a="1"/>
  <c r="AI477" i="2" s="1"/>
  <c r="AI478" i="2" a="1"/>
  <c r="AI478" i="2" s="1"/>
  <c r="AI479" i="2" a="1"/>
  <c r="AI479" i="2" s="1"/>
  <c r="AI480" i="2" a="1"/>
  <c r="AI480" i="2" s="1"/>
  <c r="AI481" i="2" a="1"/>
  <c r="AI481" i="2" s="1"/>
  <c r="AI482" i="2" a="1"/>
  <c r="AI482" i="2" s="1"/>
  <c r="AI483" i="2" a="1"/>
  <c r="AI483" i="2" s="1"/>
  <c r="AI484" i="2" a="1"/>
  <c r="AI484" i="2" s="1"/>
  <c r="AI485" i="2" a="1"/>
  <c r="AI485" i="2" s="1"/>
  <c r="AI486" i="2" a="1"/>
  <c r="AI486" i="2" s="1"/>
  <c r="AI487" i="2" a="1"/>
  <c r="AI487" i="2" s="1"/>
  <c r="AI488" i="2" a="1"/>
  <c r="AI488" i="2" s="1"/>
  <c r="AI489" i="2" a="1"/>
  <c r="AI489" i="2" s="1"/>
  <c r="AI490" i="2" a="1"/>
  <c r="AI490" i="2" s="1"/>
  <c r="AI491" i="2" a="1"/>
  <c r="AI491" i="2" s="1"/>
  <c r="AI492" i="2" a="1"/>
  <c r="AI492" i="2" s="1"/>
  <c r="AI493" i="2" a="1"/>
  <c r="AI493" i="2" s="1"/>
  <c r="AI494" i="2" a="1"/>
  <c r="AI494" i="2" s="1"/>
  <c r="AI495" i="2" a="1"/>
  <c r="AI495" i="2" s="1"/>
  <c r="AI496" i="2" a="1"/>
  <c r="AI496" i="2" s="1"/>
  <c r="AI497" i="2" a="1"/>
  <c r="AI497" i="2" s="1"/>
  <c r="AI498" i="2" a="1"/>
  <c r="AI498" i="2" s="1"/>
  <c r="AI499" i="2" a="1"/>
  <c r="AI499" i="2" s="1"/>
  <c r="AI500" i="2" a="1"/>
  <c r="AI500" i="2" s="1"/>
  <c r="AI501" i="2" a="1"/>
  <c r="AI501" i="2" s="1"/>
  <c r="AI502" i="2" a="1"/>
  <c r="AI502" i="2" s="1"/>
  <c r="AI503" i="2" a="1"/>
  <c r="AI503" i="2" s="1"/>
  <c r="AI504" i="2" a="1"/>
  <c r="AI504" i="2" s="1"/>
  <c r="AI505" i="2" a="1"/>
  <c r="AI505" i="2" s="1"/>
  <c r="AI506" i="2" a="1"/>
  <c r="AI506" i="2" s="1"/>
  <c r="AI507" i="2" a="1"/>
  <c r="AI507" i="2" s="1"/>
  <c r="AI508" i="2" a="1"/>
  <c r="AI508" i="2" s="1"/>
  <c r="AI509" i="2" a="1"/>
  <c r="AI509" i="2" s="1"/>
  <c r="AI510" i="2" a="1"/>
  <c r="AI510" i="2" s="1"/>
  <c r="AI511" i="2" a="1"/>
  <c r="AI511" i="2" s="1"/>
  <c r="AI512" i="2" a="1"/>
  <c r="AI512" i="2" s="1"/>
  <c r="AI513" i="2" a="1"/>
  <c r="AI513" i="2" s="1"/>
  <c r="AI514" i="2" a="1"/>
  <c r="AI514" i="2" s="1"/>
  <c r="AI515" i="2" a="1"/>
  <c r="AI515" i="2" s="1"/>
  <c r="AI516" i="2" a="1"/>
  <c r="AI516" i="2" s="1"/>
  <c r="AI517" i="2" a="1"/>
  <c r="AI517" i="2" s="1"/>
  <c r="AI518" i="2" a="1"/>
  <c r="AI518" i="2" s="1"/>
  <c r="AI519" i="2" a="1"/>
  <c r="AI519" i="2" s="1"/>
  <c r="AI520" i="2" a="1"/>
  <c r="AI520" i="2" s="1"/>
  <c r="AI521" i="2" a="1"/>
  <c r="AI521" i="2" s="1"/>
  <c r="AI522" i="2" a="1"/>
  <c r="AI522" i="2" s="1"/>
  <c r="AI523" i="2" a="1"/>
  <c r="AI523" i="2" s="1"/>
  <c r="AI524" i="2" a="1"/>
  <c r="AI524" i="2" s="1"/>
  <c r="AI525" i="2" a="1"/>
  <c r="AI525" i="2" s="1"/>
  <c r="AI526" i="2" a="1"/>
  <c r="AI526" i="2" s="1"/>
  <c r="AI527" i="2" a="1"/>
  <c r="AI527" i="2" s="1"/>
  <c r="AI528" i="2" a="1"/>
  <c r="AI528" i="2" s="1"/>
  <c r="AI529" i="2" a="1"/>
  <c r="AI529" i="2" s="1"/>
  <c r="AI530" i="2" a="1"/>
  <c r="AI530" i="2" s="1"/>
  <c r="AI531" i="2" a="1"/>
  <c r="AI531" i="2" s="1"/>
  <c r="AI532" i="2" a="1"/>
  <c r="AI532" i="2" s="1"/>
  <c r="AI533" i="2" a="1"/>
  <c r="AI533" i="2" s="1"/>
  <c r="AI534" i="2" a="1"/>
  <c r="AI534" i="2" s="1"/>
  <c r="AI535" i="2" a="1"/>
  <c r="AI535" i="2" s="1"/>
  <c r="AI536" i="2" a="1"/>
  <c r="AI536" i="2" s="1"/>
  <c r="AI537" i="2" a="1"/>
  <c r="AI537" i="2" s="1"/>
  <c r="AI538" i="2" a="1"/>
  <c r="AI538" i="2" s="1"/>
  <c r="AI539" i="2" a="1"/>
  <c r="AI539" i="2" s="1"/>
  <c r="AI540" i="2" a="1"/>
  <c r="AI540" i="2" s="1"/>
  <c r="AI541" i="2" a="1"/>
  <c r="AI541" i="2" s="1"/>
  <c r="AI542" i="2" a="1"/>
  <c r="AI542" i="2" s="1"/>
  <c r="AI543" i="2" a="1"/>
  <c r="AI543" i="2" s="1"/>
  <c r="AI544" i="2" a="1"/>
  <c r="AI544" i="2" s="1"/>
  <c r="AI545" i="2" a="1"/>
  <c r="AI545" i="2" s="1"/>
  <c r="AI546" i="2" a="1"/>
  <c r="AI546" i="2" s="1"/>
  <c r="AI547" i="2" a="1"/>
  <c r="AI547" i="2" s="1"/>
  <c r="AI548" i="2" a="1"/>
  <c r="AI548" i="2" s="1"/>
  <c r="AI549" i="2" a="1"/>
  <c r="AI549" i="2" s="1"/>
  <c r="AI550" i="2" a="1"/>
  <c r="AI550" i="2" s="1"/>
  <c r="AI551" i="2" a="1"/>
  <c r="AI551" i="2" s="1"/>
  <c r="AI552" i="2" a="1"/>
  <c r="AI552" i="2" s="1"/>
  <c r="AI553" i="2" a="1"/>
  <c r="AI553" i="2" s="1"/>
  <c r="AI554" i="2" a="1"/>
  <c r="AI554" i="2" s="1"/>
  <c r="AI555" i="2" a="1"/>
  <c r="AI555" i="2" s="1"/>
  <c r="AI556" i="2" a="1"/>
  <c r="AI556" i="2" s="1"/>
  <c r="AI557" i="2" a="1"/>
  <c r="AI557" i="2" s="1"/>
  <c r="AI558" i="2" a="1"/>
  <c r="AI558" i="2" s="1"/>
  <c r="AI559" i="2" a="1"/>
  <c r="AI559" i="2" s="1"/>
  <c r="AI560" i="2" a="1"/>
  <c r="AI560" i="2" s="1"/>
  <c r="AI561" i="2" a="1"/>
  <c r="AI561" i="2" s="1"/>
  <c r="AI562" i="2" a="1"/>
  <c r="AI562" i="2" s="1"/>
  <c r="AI563" i="2" a="1"/>
  <c r="AI563" i="2" s="1"/>
  <c r="AI564" i="2" a="1"/>
  <c r="AI564" i="2" s="1"/>
  <c r="AI565" i="2" a="1"/>
  <c r="AI565" i="2" s="1"/>
  <c r="AI566" i="2" a="1"/>
  <c r="AI566" i="2" s="1"/>
  <c r="AI567" i="2" a="1"/>
  <c r="AI567" i="2" s="1"/>
  <c r="AI568" i="2" a="1"/>
  <c r="AI568" i="2" s="1"/>
  <c r="AI569" i="2" a="1"/>
  <c r="AI569" i="2" s="1"/>
  <c r="AI570" i="2" a="1"/>
  <c r="AI570" i="2" s="1"/>
  <c r="AI571" i="2" a="1"/>
  <c r="AI571" i="2" s="1"/>
  <c r="AI572" i="2" a="1"/>
  <c r="AI572" i="2" s="1"/>
  <c r="AI573" i="2" a="1"/>
  <c r="AI573" i="2" s="1"/>
  <c r="AI574" i="2" a="1"/>
  <c r="AI574" i="2" s="1"/>
  <c r="AI575" i="2" a="1"/>
  <c r="AI575" i="2" s="1"/>
  <c r="AI576" i="2" a="1"/>
  <c r="AI576" i="2" s="1"/>
  <c r="AI577" i="2" a="1"/>
  <c r="AI577" i="2" s="1"/>
  <c r="AI578" i="2" a="1"/>
  <c r="AI578" i="2" s="1"/>
  <c r="AI579" i="2" a="1"/>
  <c r="AI579" i="2" s="1"/>
  <c r="AI580" i="2" a="1"/>
  <c r="AI580" i="2" s="1"/>
  <c r="AI581" i="2" a="1"/>
  <c r="AI581" i="2" s="1"/>
  <c r="AI582" i="2" a="1"/>
  <c r="AI582" i="2" s="1"/>
  <c r="AI583" i="2" a="1"/>
  <c r="AI583" i="2" s="1"/>
  <c r="AI584" i="2" a="1"/>
  <c r="AI584" i="2" s="1"/>
  <c r="AI585" i="2" a="1"/>
  <c r="AI585" i="2" s="1"/>
  <c r="AI586" i="2" a="1"/>
  <c r="AI586" i="2" s="1"/>
  <c r="AI587" i="2" a="1"/>
  <c r="AI587" i="2" s="1"/>
  <c r="AI588" i="2" a="1"/>
  <c r="AI588" i="2" s="1"/>
  <c r="AI589" i="2" a="1"/>
  <c r="AI589" i="2" s="1"/>
  <c r="AI590" i="2" a="1"/>
  <c r="AI590" i="2" s="1"/>
  <c r="AI591" i="2" a="1"/>
  <c r="AI591" i="2" s="1"/>
  <c r="AI592" i="2" a="1"/>
  <c r="AI592" i="2" s="1"/>
  <c r="AI593" i="2" a="1"/>
  <c r="AI593" i="2" s="1"/>
  <c r="AI594" i="2" a="1"/>
  <c r="AI594" i="2" s="1"/>
  <c r="AI595" i="2" a="1"/>
  <c r="AI595" i="2" s="1"/>
  <c r="AI596" i="2" a="1"/>
  <c r="AI596" i="2" s="1"/>
  <c r="AI597" i="2" a="1"/>
  <c r="AI597" i="2" s="1"/>
  <c r="AI598" i="2" a="1"/>
  <c r="AI598" i="2" s="1"/>
  <c r="AI599" i="2" a="1"/>
  <c r="AI599" i="2" s="1"/>
  <c r="AI600" i="2" a="1"/>
  <c r="AI600" i="2" s="1"/>
  <c r="AI601" i="2" a="1"/>
  <c r="AI601" i="2" s="1"/>
  <c r="AI602" i="2" a="1"/>
  <c r="AI602" i="2" s="1"/>
  <c r="AI603" i="2" a="1"/>
  <c r="AI603" i="2" s="1"/>
  <c r="AI604" i="2" a="1"/>
  <c r="AI604" i="2" s="1"/>
  <c r="AI605" i="2" a="1"/>
  <c r="AI605" i="2" s="1"/>
  <c r="AI606" i="2" a="1"/>
  <c r="AI606" i="2" s="1"/>
  <c r="AI607" i="2" a="1"/>
  <c r="AI607" i="2" s="1"/>
  <c r="AI608" i="2" a="1"/>
  <c r="AI608" i="2" s="1"/>
  <c r="AI609" i="2" a="1"/>
  <c r="AI609" i="2" s="1"/>
  <c r="AI610" i="2" a="1"/>
  <c r="AI610" i="2" s="1"/>
  <c r="AI611" i="2" a="1"/>
  <c r="AI611" i="2" s="1"/>
  <c r="AI612" i="2" a="1"/>
  <c r="AI612" i="2" s="1"/>
  <c r="AI613" i="2" a="1"/>
  <c r="AI613" i="2" s="1"/>
  <c r="AI614" i="2" a="1"/>
  <c r="AI614" i="2" s="1"/>
  <c r="AI615" i="2" a="1"/>
  <c r="AI615" i="2" s="1"/>
  <c r="AI616" i="2" a="1"/>
  <c r="AI616" i="2" s="1"/>
  <c r="AI617" i="2" a="1"/>
  <c r="AI617" i="2" s="1"/>
  <c r="AI618" i="2" a="1"/>
  <c r="AI618" i="2" s="1"/>
  <c r="AI619" i="2" a="1"/>
  <c r="AI619" i="2" s="1"/>
  <c r="AI620" i="2" a="1"/>
  <c r="AI620" i="2" s="1"/>
  <c r="AI621" i="2" a="1"/>
  <c r="AI621" i="2" s="1"/>
  <c r="AI622" i="2" a="1"/>
  <c r="AI622" i="2" s="1"/>
  <c r="AI623" i="2" a="1"/>
  <c r="AI623" i="2" s="1"/>
  <c r="AI624" i="2" a="1"/>
  <c r="AI624" i="2" s="1"/>
  <c r="AI625" i="2" a="1"/>
  <c r="AI625" i="2" s="1"/>
  <c r="AI626" i="2" a="1"/>
  <c r="AI626" i="2" s="1"/>
  <c r="AI627" i="2" a="1"/>
  <c r="AI627" i="2" s="1"/>
  <c r="AI628" i="2" a="1"/>
  <c r="AI628" i="2" s="1"/>
  <c r="AI629" i="2" a="1"/>
  <c r="AI629" i="2" s="1"/>
  <c r="AI630" i="2" a="1"/>
  <c r="AI630" i="2" s="1"/>
  <c r="AI631" i="2" a="1"/>
  <c r="AI631" i="2" s="1"/>
  <c r="AI632" i="2" a="1"/>
  <c r="AI632" i="2" s="1"/>
  <c r="AI633" i="2" a="1"/>
  <c r="AI633" i="2" s="1"/>
  <c r="AI634" i="2" a="1"/>
  <c r="AI634" i="2" s="1"/>
  <c r="AI635" i="2" a="1"/>
  <c r="AI635" i="2" s="1"/>
  <c r="AI636" i="2" a="1"/>
  <c r="AI636" i="2" s="1"/>
  <c r="AI637" i="2" a="1"/>
  <c r="AI637" i="2" s="1"/>
  <c r="AI638" i="2" a="1"/>
  <c r="AI638" i="2" s="1"/>
  <c r="AI639" i="2" a="1"/>
  <c r="AI639" i="2" s="1"/>
  <c r="AI640" i="2" a="1"/>
  <c r="AI640" i="2" s="1"/>
  <c r="AI641" i="2" a="1"/>
  <c r="AI641" i="2" s="1"/>
  <c r="AI642" i="2" a="1"/>
  <c r="AI642" i="2" s="1"/>
  <c r="AI643" i="2" a="1"/>
  <c r="AI643" i="2" s="1"/>
  <c r="AI644" i="2" a="1"/>
  <c r="AI644" i="2" s="1"/>
  <c r="AI645" i="2" a="1"/>
  <c r="AI645" i="2" s="1"/>
  <c r="AI646" i="2" a="1"/>
  <c r="AI646" i="2" s="1"/>
  <c r="AI647" i="2" a="1"/>
  <c r="AI647" i="2" s="1"/>
  <c r="AI648" i="2" a="1"/>
  <c r="AI648" i="2" s="1"/>
  <c r="AI649" i="2" a="1"/>
  <c r="AI649" i="2" s="1"/>
  <c r="AI650" i="2" a="1"/>
  <c r="AI650" i="2" s="1"/>
  <c r="AI651" i="2" a="1"/>
  <c r="AI651" i="2" s="1"/>
  <c r="AI652" i="2" a="1"/>
  <c r="AI652" i="2" s="1"/>
  <c r="AI653" i="2" a="1"/>
  <c r="AI653" i="2" s="1"/>
  <c r="AI654" i="2" a="1"/>
  <c r="AI654" i="2" s="1"/>
  <c r="AI655" i="2" a="1"/>
  <c r="AI655" i="2" s="1"/>
  <c r="AI656" i="2" a="1"/>
  <c r="AI656" i="2" s="1"/>
  <c r="AI657" i="2" a="1"/>
  <c r="AI657" i="2" s="1"/>
  <c r="AI658" i="2" a="1"/>
  <c r="AI658" i="2" s="1"/>
  <c r="AI659" i="2" a="1"/>
  <c r="AI659" i="2" s="1"/>
  <c r="AI660" i="2" a="1"/>
  <c r="AI660" i="2" s="1"/>
  <c r="AI661" i="2" a="1"/>
  <c r="AI661" i="2" s="1"/>
  <c r="AI662" i="2" a="1"/>
  <c r="AI662" i="2" s="1"/>
  <c r="AI663" i="2" a="1"/>
  <c r="AI663" i="2" s="1"/>
  <c r="AI664" i="2" a="1"/>
  <c r="AI664" i="2" s="1"/>
  <c r="AI665" i="2" a="1"/>
  <c r="AI665" i="2" s="1"/>
  <c r="AI666" i="2" a="1"/>
  <c r="AI666" i="2" s="1"/>
  <c r="AI667" i="2" a="1"/>
  <c r="AI667" i="2" s="1"/>
  <c r="AI668" i="2" a="1"/>
  <c r="AI668" i="2" s="1"/>
  <c r="AI669" i="2" a="1"/>
  <c r="AI669" i="2" s="1"/>
  <c r="AI670" i="2" a="1"/>
  <c r="AI670" i="2" s="1"/>
  <c r="AI671" i="2" a="1"/>
  <c r="AI671" i="2" s="1"/>
  <c r="AI672" i="2" a="1"/>
  <c r="AI672" i="2" s="1"/>
  <c r="AI673" i="2" a="1"/>
  <c r="AI673" i="2" s="1"/>
  <c r="AI674" i="2" a="1"/>
  <c r="AI674" i="2" s="1"/>
  <c r="AI675" i="2" a="1"/>
  <c r="AI675" i="2" s="1"/>
  <c r="AI676" i="2" a="1"/>
  <c r="AI676" i="2" s="1"/>
  <c r="AI677" i="2" a="1"/>
  <c r="AI677" i="2" s="1"/>
  <c r="AI678" i="2" a="1"/>
  <c r="AI678" i="2" s="1"/>
  <c r="AI679" i="2" a="1"/>
  <c r="AI679" i="2" s="1"/>
  <c r="AI680" i="2" a="1"/>
  <c r="AI680" i="2" s="1"/>
  <c r="AI681" i="2" a="1"/>
  <c r="AI681" i="2" s="1"/>
  <c r="AI682" i="2" a="1"/>
  <c r="AI682" i="2" s="1"/>
  <c r="AI683" i="2" a="1"/>
  <c r="AI683" i="2" s="1"/>
  <c r="AI684" i="2" a="1"/>
  <c r="AI684" i="2" s="1"/>
  <c r="AI685" i="2" a="1"/>
  <c r="AI685" i="2" s="1"/>
  <c r="AI686" i="2" a="1"/>
  <c r="AI686" i="2" s="1"/>
  <c r="AI687" i="2" a="1"/>
  <c r="AI687" i="2" s="1"/>
  <c r="AI688" i="2" a="1"/>
  <c r="AI688" i="2" s="1"/>
  <c r="AI689" i="2" a="1"/>
  <c r="AI689" i="2" s="1"/>
  <c r="AI690" i="2" a="1"/>
  <c r="AI690" i="2" s="1"/>
  <c r="AI691" i="2" a="1"/>
  <c r="AI691" i="2" s="1"/>
  <c r="AI692" i="2" a="1"/>
  <c r="AI692" i="2" s="1"/>
  <c r="AI693" i="2" a="1"/>
  <c r="AI693" i="2" s="1"/>
  <c r="AI694" i="2" a="1"/>
  <c r="AI694" i="2" s="1"/>
  <c r="AI695" i="2" a="1"/>
  <c r="AI695" i="2" s="1"/>
  <c r="AI696" i="2" a="1"/>
  <c r="AI696" i="2" s="1"/>
  <c r="AI697" i="2" a="1"/>
  <c r="AI697" i="2" s="1"/>
  <c r="AI698" i="2" a="1"/>
  <c r="AI698" i="2" s="1"/>
  <c r="AI699" i="2" a="1"/>
  <c r="AI699" i="2" s="1"/>
  <c r="AI700" i="2" a="1"/>
  <c r="AI700" i="2" s="1"/>
  <c r="AI701" i="2" a="1"/>
  <c r="AI701" i="2" s="1"/>
  <c r="AI702" i="2" a="1"/>
  <c r="AI702" i="2" s="1"/>
  <c r="AI703" i="2" a="1"/>
  <c r="AI703" i="2" s="1"/>
  <c r="AI704" i="2" a="1"/>
  <c r="AI704" i="2" s="1"/>
  <c r="AI705" i="2" a="1"/>
  <c r="AI705" i="2" s="1"/>
  <c r="AI706" i="2" a="1"/>
  <c r="AI706" i="2" s="1"/>
  <c r="AI707" i="2" a="1"/>
  <c r="AI707" i="2" s="1"/>
  <c r="AI708" i="2" a="1"/>
  <c r="AI708" i="2" s="1"/>
  <c r="AI709" i="2" a="1"/>
  <c r="AI709" i="2" s="1"/>
  <c r="AI710" i="2" a="1"/>
  <c r="AI710" i="2" s="1"/>
  <c r="AI711" i="2" a="1"/>
  <c r="AI711" i="2" s="1"/>
  <c r="AI712" i="2" a="1"/>
  <c r="AI712" i="2" s="1"/>
  <c r="AI713" i="2" a="1"/>
  <c r="AI713" i="2" s="1"/>
  <c r="AI714" i="2" a="1"/>
  <c r="AI714" i="2" s="1"/>
  <c r="AI715" i="2" a="1"/>
  <c r="AI715" i="2" s="1"/>
  <c r="AI716" i="2" a="1"/>
  <c r="AI716" i="2" s="1"/>
  <c r="AI717" i="2" a="1"/>
  <c r="AI717" i="2" s="1"/>
  <c r="AI718" i="2" a="1"/>
  <c r="AI718" i="2" s="1"/>
  <c r="AI719" i="2" a="1"/>
  <c r="AI719" i="2" s="1"/>
  <c r="AI720" i="2" a="1"/>
  <c r="AI720" i="2" s="1"/>
  <c r="AI721" i="2" a="1"/>
  <c r="AI721" i="2" s="1"/>
  <c r="AI722" i="2" a="1"/>
  <c r="AI722" i="2" s="1"/>
  <c r="AI723" i="2" a="1"/>
  <c r="AI723" i="2" s="1"/>
  <c r="AI724" i="2" a="1"/>
  <c r="AI724" i="2" s="1"/>
  <c r="AI725" i="2" a="1"/>
  <c r="AI725" i="2" s="1"/>
  <c r="AI726" i="2" a="1"/>
  <c r="AI726" i="2" s="1"/>
  <c r="AI727" i="2" a="1"/>
  <c r="AI727" i="2" s="1"/>
  <c r="AI728" i="2" a="1"/>
  <c r="AI728" i="2" s="1"/>
  <c r="AI729" i="2" a="1"/>
  <c r="AI729" i="2" s="1"/>
  <c r="AI730" i="2" a="1"/>
  <c r="AI730" i="2" s="1"/>
  <c r="AI731" i="2" a="1"/>
  <c r="AI731" i="2" s="1"/>
  <c r="AI732" i="2" a="1"/>
  <c r="AI732" i="2" s="1"/>
  <c r="AI733" i="2" a="1"/>
  <c r="AI733" i="2" s="1"/>
  <c r="AI734" i="2" a="1"/>
  <c r="AI734" i="2" s="1"/>
  <c r="AI735" i="2" a="1"/>
  <c r="AI735" i="2" s="1"/>
  <c r="AI736" i="2" a="1"/>
  <c r="AI736" i="2" s="1"/>
  <c r="AI737" i="2" a="1"/>
  <c r="AI737" i="2" s="1"/>
  <c r="AI738" i="2" a="1"/>
  <c r="AI738" i="2" s="1"/>
  <c r="AI739" i="2" a="1"/>
  <c r="AI739" i="2" s="1"/>
  <c r="AI740" i="2" a="1"/>
  <c r="AI740" i="2" s="1"/>
  <c r="AI741" i="2" a="1"/>
  <c r="AI741" i="2" s="1"/>
  <c r="AI742" i="2" a="1"/>
  <c r="AI742" i="2" s="1"/>
  <c r="AI743" i="2" a="1"/>
  <c r="AI743" i="2" s="1"/>
  <c r="AI744" i="2" a="1"/>
  <c r="AI744" i="2" s="1"/>
  <c r="AI745" i="2" a="1"/>
  <c r="AI745" i="2" s="1"/>
  <c r="AI746" i="2" a="1"/>
  <c r="AI746" i="2" s="1"/>
  <c r="AI747" i="2" a="1"/>
  <c r="AI747" i="2" s="1"/>
  <c r="AI748" i="2" a="1"/>
  <c r="AI748" i="2" s="1"/>
  <c r="AI749" i="2" a="1"/>
  <c r="AI749" i="2" s="1"/>
  <c r="AI750" i="2" a="1"/>
  <c r="AI750" i="2" s="1"/>
  <c r="AI751" i="2" a="1"/>
  <c r="AI751" i="2" s="1"/>
  <c r="AI752" i="2" a="1"/>
  <c r="AI752" i="2" s="1"/>
  <c r="AI753" i="2" a="1"/>
  <c r="AI753" i="2" s="1"/>
  <c r="AI754" i="2" a="1"/>
  <c r="AI754" i="2" s="1"/>
  <c r="AI755" i="2" a="1"/>
  <c r="AI755" i="2" s="1"/>
  <c r="AI756" i="2" a="1"/>
  <c r="AI756" i="2" s="1"/>
  <c r="AI757" i="2" a="1"/>
  <c r="AI757" i="2" s="1"/>
  <c r="AI758" i="2" a="1"/>
  <c r="AI758" i="2" s="1"/>
  <c r="AI759" i="2" a="1"/>
  <c r="AI759" i="2" s="1"/>
  <c r="AI760" i="2" a="1"/>
  <c r="AI760" i="2" s="1"/>
  <c r="AI761" i="2" a="1"/>
  <c r="AI761" i="2" s="1"/>
  <c r="AI762" i="2" a="1"/>
  <c r="AI762" i="2" s="1"/>
  <c r="AI763" i="2" a="1"/>
  <c r="AI763" i="2" s="1"/>
  <c r="AI764" i="2" a="1"/>
  <c r="AI764" i="2" s="1"/>
  <c r="AI765" i="2" a="1"/>
  <c r="AI765" i="2" s="1"/>
  <c r="AI766" i="2" a="1"/>
  <c r="AI766" i="2" s="1"/>
  <c r="AI767" i="2" a="1"/>
  <c r="AI767" i="2" s="1"/>
  <c r="AI768" i="2" a="1"/>
  <c r="AI768" i="2" s="1"/>
  <c r="AI769" i="2" a="1"/>
  <c r="AI769" i="2" s="1"/>
  <c r="AI770" i="2" a="1"/>
  <c r="AI770" i="2" s="1"/>
  <c r="AI771" i="2" a="1"/>
  <c r="AI771" i="2" s="1"/>
  <c r="AI772" i="2" a="1"/>
  <c r="AI772" i="2" s="1"/>
  <c r="AI773" i="2" a="1"/>
  <c r="AI773" i="2" s="1"/>
  <c r="AI774" i="2" a="1"/>
  <c r="AI774" i="2" s="1"/>
  <c r="AI775" i="2" a="1"/>
  <c r="AI775" i="2" s="1"/>
  <c r="AI776" i="2" a="1"/>
  <c r="AI776" i="2" s="1"/>
  <c r="AI777" i="2" a="1"/>
  <c r="AI777" i="2" s="1"/>
  <c r="AI778" i="2" a="1"/>
  <c r="AI778" i="2" s="1"/>
  <c r="AI779" i="2" a="1"/>
  <c r="AI779" i="2" s="1"/>
  <c r="AI780" i="2" a="1"/>
  <c r="AI780" i="2" s="1"/>
  <c r="AI781" i="2" a="1"/>
  <c r="AI781" i="2" s="1"/>
  <c r="AI782" i="2" a="1"/>
  <c r="AI782" i="2" s="1"/>
  <c r="AI783" i="2" a="1"/>
  <c r="AI783" i="2" s="1"/>
  <c r="AI784" i="2" a="1"/>
  <c r="AI784" i="2" s="1"/>
  <c r="AI785" i="2" a="1"/>
  <c r="AI785" i="2" s="1"/>
  <c r="AI786" i="2" a="1"/>
  <c r="AI786" i="2" s="1"/>
  <c r="AI787" i="2" a="1"/>
  <c r="AI787" i="2" s="1"/>
  <c r="AI788" i="2" a="1"/>
  <c r="AI788" i="2" s="1"/>
  <c r="AI789" i="2" a="1"/>
  <c r="AI789" i="2" s="1"/>
  <c r="AI790" i="2" a="1"/>
  <c r="AI790" i="2" s="1"/>
  <c r="AI791" i="2" a="1"/>
  <c r="AI791" i="2" s="1"/>
  <c r="AI792" i="2" a="1"/>
  <c r="AI792" i="2" s="1"/>
  <c r="AI793" i="2" a="1"/>
  <c r="AI793" i="2" s="1"/>
  <c r="AI794" i="2" a="1"/>
  <c r="AI794" i="2" s="1"/>
  <c r="AI795" i="2" a="1"/>
  <c r="AI795" i="2" s="1"/>
  <c r="AI796" i="2" a="1"/>
  <c r="AI796" i="2" s="1"/>
  <c r="AI797" i="2" a="1"/>
  <c r="AI797" i="2" s="1"/>
  <c r="AI798" i="2" a="1"/>
  <c r="AI798" i="2" s="1"/>
  <c r="AI799" i="2" a="1"/>
  <c r="AI799" i="2" s="1"/>
  <c r="AI800" i="2" a="1"/>
  <c r="AI800" i="2" s="1"/>
  <c r="AI801" i="2" a="1"/>
  <c r="AI801" i="2" s="1"/>
  <c r="AI802" i="2" a="1"/>
  <c r="AI802" i="2" s="1"/>
  <c r="AI803" i="2" a="1"/>
  <c r="AI803" i="2" s="1"/>
  <c r="AI804" i="2" a="1"/>
  <c r="AI804" i="2" s="1"/>
  <c r="AI805" i="2" a="1"/>
  <c r="AI805" i="2" s="1"/>
  <c r="AI806" i="2" a="1"/>
  <c r="AI806" i="2" s="1"/>
  <c r="AI807" i="2" a="1"/>
  <c r="AI807" i="2" s="1"/>
  <c r="AI808" i="2" a="1"/>
  <c r="AI808" i="2" s="1"/>
  <c r="AI809" i="2" a="1"/>
  <c r="AI809" i="2" s="1"/>
  <c r="AI810" i="2" a="1"/>
  <c r="AI810" i="2" s="1"/>
  <c r="AI811" i="2" a="1"/>
  <c r="AI811" i="2" s="1"/>
  <c r="AI812" i="2" a="1"/>
  <c r="AI812" i="2" s="1"/>
  <c r="AI813" i="2" a="1"/>
  <c r="AI813" i="2" s="1"/>
  <c r="AI814" i="2" a="1"/>
  <c r="AI814" i="2" s="1"/>
  <c r="AI815" i="2" a="1"/>
  <c r="AI815" i="2" s="1"/>
  <c r="AI816" i="2" a="1"/>
  <c r="AI816" i="2" s="1"/>
  <c r="AI817" i="2" a="1"/>
  <c r="AI817" i="2" s="1"/>
  <c r="AI818" i="2" a="1"/>
  <c r="AI818" i="2" s="1"/>
  <c r="AI819" i="2" a="1"/>
  <c r="AI819" i="2" s="1"/>
  <c r="AI820" i="2" a="1"/>
  <c r="AI820" i="2" s="1"/>
  <c r="AI821" i="2" a="1"/>
  <c r="AI821" i="2" s="1"/>
  <c r="AI822" i="2" a="1"/>
  <c r="AI822" i="2" s="1"/>
  <c r="AI823" i="2" a="1"/>
  <c r="AI823" i="2" s="1"/>
  <c r="AI824" i="2" a="1"/>
  <c r="AI824" i="2" s="1"/>
  <c r="AI825" i="2" a="1"/>
  <c r="AI825" i="2" s="1"/>
  <c r="AI826" i="2" a="1"/>
  <c r="AI826" i="2" s="1"/>
  <c r="AI827" i="2" a="1"/>
  <c r="AI827" i="2" s="1"/>
  <c r="AI828" i="2" a="1"/>
  <c r="AI828" i="2" s="1"/>
  <c r="AI829" i="2" a="1"/>
  <c r="AI829" i="2" s="1"/>
  <c r="AI830" i="2" a="1"/>
  <c r="AI830" i="2" s="1"/>
  <c r="AI831" i="2" a="1"/>
  <c r="AI831" i="2" s="1"/>
  <c r="AI832" i="2" a="1"/>
  <c r="AI832" i="2" s="1"/>
  <c r="AI833" i="2" a="1"/>
  <c r="AI833" i="2" s="1"/>
  <c r="AI834" i="2" a="1"/>
  <c r="AI834" i="2" s="1"/>
  <c r="AI835" i="2" a="1"/>
  <c r="AI835" i="2" s="1"/>
  <c r="AI836" i="2" a="1"/>
  <c r="AI836" i="2" s="1"/>
  <c r="AI837" i="2" a="1"/>
  <c r="AI837" i="2" s="1"/>
  <c r="AI838" i="2" a="1"/>
  <c r="AI838" i="2" s="1"/>
  <c r="AI839" i="2" a="1"/>
  <c r="AI839" i="2" s="1"/>
  <c r="AI840" i="2" a="1"/>
  <c r="AI840" i="2" s="1"/>
  <c r="AI841" i="2" a="1"/>
  <c r="AI841" i="2" s="1"/>
  <c r="AI842" i="2" a="1"/>
  <c r="AI842" i="2" s="1"/>
  <c r="AI843" i="2" a="1"/>
  <c r="AI843" i="2" s="1"/>
  <c r="AI844" i="2" a="1"/>
  <c r="AI844" i="2" s="1"/>
  <c r="AI845" i="2" a="1"/>
  <c r="AI845" i="2" s="1"/>
  <c r="AI846" i="2" a="1"/>
  <c r="AI846" i="2" s="1"/>
  <c r="AI847" i="2" a="1"/>
  <c r="AI847" i="2" s="1"/>
  <c r="AI848" i="2" a="1"/>
  <c r="AI848" i="2" s="1"/>
  <c r="AI849" i="2" a="1"/>
  <c r="AI849" i="2" s="1"/>
  <c r="AI850" i="2" a="1"/>
  <c r="AI850" i="2" s="1"/>
  <c r="AI851" i="2" a="1"/>
  <c r="AI851" i="2" s="1"/>
  <c r="AI852" i="2" a="1"/>
  <c r="AI852" i="2" s="1"/>
  <c r="AI853" i="2" a="1"/>
  <c r="AI853" i="2" s="1"/>
  <c r="AI854" i="2" a="1"/>
  <c r="AI854" i="2" s="1"/>
  <c r="AI855" i="2" a="1"/>
  <c r="AI855" i="2" s="1"/>
  <c r="AI856" i="2" a="1"/>
  <c r="AI856" i="2" s="1"/>
  <c r="AI857" i="2" a="1"/>
  <c r="AI857" i="2" s="1"/>
  <c r="AI858" i="2" a="1"/>
  <c r="AI858" i="2" s="1"/>
  <c r="AI859" i="2" a="1"/>
  <c r="AI859" i="2" s="1"/>
  <c r="AI860" i="2" a="1"/>
  <c r="AI860" i="2" s="1"/>
  <c r="AI861" i="2" a="1"/>
  <c r="AI861" i="2" s="1"/>
  <c r="AI862" i="2" a="1"/>
  <c r="AI862" i="2" s="1"/>
  <c r="AI863" i="2" a="1"/>
  <c r="AI863" i="2" s="1"/>
  <c r="AI864" i="2" a="1"/>
  <c r="AI864" i="2" s="1"/>
  <c r="AI865" i="2" a="1"/>
  <c r="AI865" i="2" s="1"/>
  <c r="AI866" i="2" a="1"/>
  <c r="AI866" i="2" s="1"/>
  <c r="AI867" i="2" a="1"/>
  <c r="AI867" i="2" s="1"/>
  <c r="AI868" i="2" a="1"/>
  <c r="AI868" i="2" s="1"/>
  <c r="AI869" i="2" a="1"/>
  <c r="AI869" i="2" s="1"/>
  <c r="AI870" i="2" a="1"/>
  <c r="AI870" i="2" s="1"/>
  <c r="AI871" i="2" a="1"/>
  <c r="AI871" i="2" s="1"/>
  <c r="AI872" i="2" a="1"/>
  <c r="AI872" i="2" s="1"/>
  <c r="AI873" i="2" a="1"/>
  <c r="AI873" i="2" s="1"/>
  <c r="AI874" i="2" a="1"/>
  <c r="AI874" i="2" s="1"/>
  <c r="AI875" i="2" a="1"/>
  <c r="AI875" i="2" s="1"/>
  <c r="AI876" i="2" a="1"/>
  <c r="AI876" i="2" s="1"/>
  <c r="AI877" i="2" a="1"/>
  <c r="AI877" i="2" s="1"/>
  <c r="AI878" i="2" a="1"/>
  <c r="AI878" i="2" s="1"/>
  <c r="AI879" i="2" a="1"/>
  <c r="AI879" i="2" s="1"/>
  <c r="AI880" i="2" a="1"/>
  <c r="AI880" i="2" s="1"/>
  <c r="AI881" i="2" a="1"/>
  <c r="AI881" i="2" s="1"/>
  <c r="AI882" i="2" a="1"/>
  <c r="AI882" i="2" s="1"/>
  <c r="AI883" i="2" a="1"/>
  <c r="AI883" i="2" s="1"/>
  <c r="AI884" i="2" a="1"/>
  <c r="AI884" i="2" s="1"/>
  <c r="AI885" i="2" a="1"/>
  <c r="AI885" i="2" s="1"/>
  <c r="AI886" i="2" a="1"/>
  <c r="AI886" i="2" s="1"/>
  <c r="AI887" i="2" a="1"/>
  <c r="AI887" i="2" s="1"/>
  <c r="AI888" i="2" a="1"/>
  <c r="AI888" i="2" s="1"/>
  <c r="AI889" i="2" a="1"/>
  <c r="AI889" i="2" s="1"/>
  <c r="AI890" i="2" a="1"/>
  <c r="AI890" i="2" s="1"/>
  <c r="AI891" i="2" a="1"/>
  <c r="AI891" i="2" s="1"/>
  <c r="AI892" i="2" a="1"/>
  <c r="AI892" i="2" s="1"/>
  <c r="AI893" i="2" a="1"/>
  <c r="AI893" i="2" s="1"/>
  <c r="AI894" i="2" a="1"/>
  <c r="AI894" i="2" s="1"/>
  <c r="AI895" i="2" a="1"/>
  <c r="AI895" i="2" s="1"/>
  <c r="AI896" i="2" a="1"/>
  <c r="AI896" i="2" s="1"/>
  <c r="AI897" i="2" a="1"/>
  <c r="AI897" i="2" s="1"/>
  <c r="AI898" i="2" a="1"/>
  <c r="AI898" i="2" s="1"/>
  <c r="AI899" i="2" a="1"/>
  <c r="AI899" i="2" s="1"/>
  <c r="AI900" i="2" a="1"/>
  <c r="AI900" i="2" s="1"/>
  <c r="AI901" i="2" a="1"/>
  <c r="AI901" i="2" s="1"/>
  <c r="AI902" i="2" a="1"/>
  <c r="AI902" i="2" s="1"/>
  <c r="AI903" i="2" a="1"/>
  <c r="AI903" i="2" s="1"/>
  <c r="AI904" i="2" a="1"/>
  <c r="AI904" i="2" s="1"/>
  <c r="AI905" i="2" a="1"/>
  <c r="AI905" i="2" s="1"/>
  <c r="AI906" i="2" a="1"/>
  <c r="AI906" i="2" s="1"/>
  <c r="AI907" i="2" a="1"/>
  <c r="AI907" i="2" s="1"/>
  <c r="AI908" i="2" a="1"/>
  <c r="AI908" i="2" s="1"/>
  <c r="AI909" i="2" a="1"/>
  <c r="AI909" i="2" s="1"/>
  <c r="AI910" i="2" a="1"/>
  <c r="AI910" i="2" s="1"/>
  <c r="AI911" i="2" a="1"/>
  <c r="AI911" i="2" s="1"/>
  <c r="AI912" i="2" a="1"/>
  <c r="AI912" i="2" s="1"/>
  <c r="AI913" i="2" a="1"/>
  <c r="AI913" i="2" s="1"/>
  <c r="AI914" i="2" a="1"/>
  <c r="AI914" i="2" s="1"/>
  <c r="AI915" i="2" a="1"/>
  <c r="AI915" i="2" s="1"/>
  <c r="AI916" i="2" a="1"/>
  <c r="AI916" i="2" s="1"/>
  <c r="AI917" i="2" a="1"/>
  <c r="AI917" i="2" s="1"/>
  <c r="AI918" i="2" a="1"/>
  <c r="AI918" i="2" s="1"/>
  <c r="AI919" i="2" a="1"/>
  <c r="AI919" i="2" s="1"/>
  <c r="AI920" i="2" a="1"/>
  <c r="AI920" i="2" s="1"/>
  <c r="AI921" i="2" a="1"/>
  <c r="AI921" i="2" s="1"/>
  <c r="AI922" i="2" a="1"/>
  <c r="AI922" i="2" s="1"/>
  <c r="AI923" i="2" a="1"/>
  <c r="AI923" i="2" s="1"/>
  <c r="AI924" i="2" a="1"/>
  <c r="AI924" i="2" s="1"/>
  <c r="AI925" i="2" a="1"/>
  <c r="AI925" i="2" s="1"/>
  <c r="AI926" i="2" a="1"/>
  <c r="AI926" i="2" s="1"/>
  <c r="AI927" i="2" a="1"/>
  <c r="AI927" i="2" s="1"/>
  <c r="AI928" i="2" a="1"/>
  <c r="AI928" i="2" s="1"/>
  <c r="AI929" i="2" a="1"/>
  <c r="AI929" i="2" s="1"/>
  <c r="AI930" i="2" a="1"/>
  <c r="AI930" i="2" s="1"/>
  <c r="AI931" i="2" a="1"/>
  <c r="AI931" i="2" s="1"/>
  <c r="AI932" i="2" a="1"/>
  <c r="AI932" i="2" s="1"/>
  <c r="AI933" i="2" a="1"/>
  <c r="AI933" i="2" s="1"/>
  <c r="AI934" i="2" a="1"/>
  <c r="AI934" i="2" s="1"/>
  <c r="AI935" i="2" a="1"/>
  <c r="AI935" i="2" s="1"/>
  <c r="AI936" i="2" a="1"/>
  <c r="AI936" i="2" s="1"/>
  <c r="AI937" i="2" a="1"/>
  <c r="AI937" i="2" s="1"/>
  <c r="AI938" i="2" a="1"/>
  <c r="AI938" i="2" s="1"/>
  <c r="AI939" i="2" a="1"/>
  <c r="AI939" i="2" s="1"/>
  <c r="AI940" i="2" a="1"/>
  <c r="AI940" i="2" s="1"/>
  <c r="AI941" i="2" a="1"/>
  <c r="AI941" i="2" s="1"/>
  <c r="AI942" i="2" a="1"/>
  <c r="AI942" i="2" s="1"/>
  <c r="AI943" i="2" a="1"/>
  <c r="AI943" i="2" s="1"/>
  <c r="AI944" i="2" a="1"/>
  <c r="AI944" i="2" s="1"/>
  <c r="AI945" i="2" a="1"/>
  <c r="AI945" i="2" s="1"/>
  <c r="AI946" i="2" a="1"/>
  <c r="AI946" i="2" s="1"/>
  <c r="AI947" i="2" a="1"/>
  <c r="AI947" i="2" s="1"/>
  <c r="AI948" i="2" a="1"/>
  <c r="AI948" i="2" s="1"/>
  <c r="AI949" i="2" a="1"/>
  <c r="AI949" i="2" s="1"/>
  <c r="AI950" i="2" a="1"/>
  <c r="AI950" i="2" s="1"/>
  <c r="AI951" i="2" a="1"/>
  <c r="AI951" i="2" s="1"/>
  <c r="AI952" i="2" a="1"/>
  <c r="AI952" i="2" s="1"/>
  <c r="AI953" i="2" a="1"/>
  <c r="AI953" i="2" s="1"/>
  <c r="AI954" i="2" a="1"/>
  <c r="AI954" i="2" s="1"/>
  <c r="AI955" i="2" a="1"/>
  <c r="AI955" i="2" s="1"/>
  <c r="AI956" i="2" a="1"/>
  <c r="AI956" i="2" s="1"/>
  <c r="AI957" i="2" a="1"/>
  <c r="AI957" i="2" s="1"/>
  <c r="AI958" i="2" a="1"/>
  <c r="AI958" i="2" s="1"/>
  <c r="AI959" i="2" a="1"/>
  <c r="AI959" i="2" s="1"/>
  <c r="AI960" i="2" a="1"/>
  <c r="AI960" i="2" s="1"/>
  <c r="AI961" i="2" a="1"/>
  <c r="AI961" i="2" s="1"/>
  <c r="AI962" i="2" a="1"/>
  <c r="AI962" i="2" s="1"/>
  <c r="AI963" i="2" a="1"/>
  <c r="AI963" i="2" s="1"/>
  <c r="AI964" i="2" a="1"/>
  <c r="AI964" i="2" s="1"/>
  <c r="AI965" i="2" a="1"/>
  <c r="AI965" i="2" s="1"/>
  <c r="AI966" i="2" a="1"/>
  <c r="AI966" i="2" s="1"/>
  <c r="AI967" i="2" a="1"/>
  <c r="AI967" i="2" s="1"/>
  <c r="AI968" i="2" a="1"/>
  <c r="AI968" i="2" s="1"/>
  <c r="AI969" i="2" a="1"/>
  <c r="AI969" i="2" s="1"/>
  <c r="AI970" i="2" a="1"/>
  <c r="AI970" i="2" s="1"/>
  <c r="AI971" i="2" a="1"/>
  <c r="AI971" i="2" s="1"/>
  <c r="AI972" i="2" a="1"/>
  <c r="AI972" i="2" s="1"/>
  <c r="AI973" i="2" a="1"/>
  <c r="AI973" i="2" s="1"/>
  <c r="AI974" i="2" a="1"/>
  <c r="AI974" i="2" s="1"/>
  <c r="AI975" i="2" a="1"/>
  <c r="AI975" i="2" s="1"/>
  <c r="AI976" i="2" a="1"/>
  <c r="AI976" i="2" s="1"/>
  <c r="AI977" i="2" a="1"/>
  <c r="AI977" i="2" s="1"/>
  <c r="AI978" i="2" a="1"/>
  <c r="AI978" i="2" s="1"/>
  <c r="AI979" i="2" a="1"/>
  <c r="AI979" i="2" s="1"/>
  <c r="AI980" i="2" a="1"/>
  <c r="AI980" i="2" s="1"/>
  <c r="AI981" i="2" a="1"/>
  <c r="AI981" i="2" s="1"/>
  <c r="AI982" i="2" a="1"/>
  <c r="AI982" i="2" s="1"/>
  <c r="AI983" i="2" a="1"/>
  <c r="AI983" i="2" s="1"/>
  <c r="AI984" i="2" a="1"/>
  <c r="AI984" i="2" s="1"/>
  <c r="AI985" i="2" a="1"/>
  <c r="AI985" i="2" s="1"/>
  <c r="AI986" i="2" a="1"/>
  <c r="AI986" i="2" s="1"/>
  <c r="AI987" i="2" a="1"/>
  <c r="AI987" i="2" s="1"/>
  <c r="AI988" i="2" a="1"/>
  <c r="AI988" i="2" s="1"/>
  <c r="AI989" i="2" a="1"/>
  <c r="AI989" i="2" s="1"/>
  <c r="AI990" i="2" a="1"/>
  <c r="AI990" i="2" s="1"/>
  <c r="AI991" i="2" a="1"/>
  <c r="AI991" i="2" s="1"/>
  <c r="AI992" i="2" a="1"/>
  <c r="AI992" i="2" s="1"/>
  <c r="AI993" i="2" a="1"/>
  <c r="AI993" i="2" s="1"/>
  <c r="AI994" i="2" a="1"/>
  <c r="AI994" i="2" s="1"/>
  <c r="AI995" i="2" a="1"/>
  <c r="AI995" i="2" s="1"/>
  <c r="AI996" i="2" a="1"/>
  <c r="AI996" i="2" s="1"/>
  <c r="AI997" i="2" a="1"/>
  <c r="AI997" i="2" s="1"/>
  <c r="AI998" i="2" a="1"/>
  <c r="AI998" i="2" s="1"/>
  <c r="AI999" i="2" a="1"/>
  <c r="AI999" i="2" s="1"/>
  <c r="AI1000" i="2" a="1"/>
  <c r="AI1000" i="2" s="1"/>
  <c r="AI1001" i="2" a="1"/>
  <c r="AI1001" i="2" s="1"/>
  <c r="AI1002" i="2" a="1"/>
  <c r="AI1002" i="2" s="1"/>
  <c r="AI1003" i="2" a="1"/>
  <c r="AI1003" i="2" s="1"/>
  <c r="AI1004" i="2" a="1"/>
  <c r="AI1004" i="2" s="1"/>
  <c r="AI1005" i="2" a="1"/>
  <c r="AI1005" i="2" s="1"/>
  <c r="AI1006" i="2" a="1"/>
  <c r="AI1006" i="2" s="1"/>
  <c r="AI1007" i="2" a="1"/>
  <c r="AI1007" i="2" s="1"/>
  <c r="AI1008" i="2" a="1"/>
  <c r="AI1008" i="2" s="1"/>
  <c r="AI1009" i="2" a="1"/>
  <c r="AI1009" i="2" s="1"/>
  <c r="AI1010" i="2" a="1"/>
  <c r="AI1010" i="2" s="1"/>
  <c r="AI1011" i="2" a="1"/>
  <c r="AI1011" i="2" s="1"/>
  <c r="AI1012" i="2" a="1"/>
  <c r="AI1012" i="2" s="1"/>
  <c r="AI1013" i="2" a="1"/>
  <c r="AI1013" i="2" s="1"/>
  <c r="AI1014" i="2" a="1"/>
  <c r="AI1014" i="2" s="1"/>
  <c r="AI1015" i="2" a="1"/>
  <c r="AI1015" i="2" s="1"/>
  <c r="AI1016" i="2" a="1"/>
  <c r="AI1016" i="2" s="1"/>
  <c r="AI1017" i="2" a="1"/>
  <c r="AI1017" i="2" s="1"/>
  <c r="AI1018" i="2" a="1"/>
  <c r="AI1018" i="2" s="1"/>
  <c r="AI1019" i="2" a="1"/>
  <c r="AI1019" i="2" s="1"/>
  <c r="AI1020" i="2" a="1"/>
  <c r="AI1020" i="2" s="1"/>
  <c r="AI1021" i="2" a="1"/>
  <c r="AI1021" i="2" s="1"/>
  <c r="AI1022" i="2" a="1"/>
  <c r="AI1022" i="2" s="1"/>
  <c r="AI1023" i="2" a="1"/>
  <c r="AI1023" i="2" s="1"/>
  <c r="AI1024" i="2" a="1"/>
  <c r="AI1024" i="2" s="1"/>
  <c r="AI1025" i="2" a="1"/>
  <c r="AI1025" i="2" s="1"/>
  <c r="AI1026" i="2" a="1"/>
  <c r="AI1026" i="2" s="1"/>
  <c r="AI1027" i="2" a="1"/>
  <c r="AI1027" i="2" s="1"/>
  <c r="AI1028" i="2" a="1"/>
  <c r="AI1028" i="2" s="1"/>
  <c r="AI1029" i="2" a="1"/>
  <c r="AI1029" i="2" s="1"/>
  <c r="AI1030" i="2" a="1"/>
  <c r="AI1030" i="2" s="1"/>
  <c r="AI1031" i="2" a="1"/>
  <c r="AI1031" i="2" s="1"/>
  <c r="AI1032" i="2" a="1"/>
  <c r="AI1032" i="2" s="1"/>
  <c r="AI1033" i="2" a="1"/>
  <c r="AI1033" i="2" s="1"/>
  <c r="AI1034" i="2" a="1"/>
  <c r="AI1034" i="2" s="1"/>
  <c r="AI1035" i="2" a="1"/>
  <c r="AI1035" i="2" s="1"/>
  <c r="AI1036" i="2" a="1"/>
  <c r="AI1036" i="2" s="1"/>
  <c r="AI1037" i="2" a="1"/>
  <c r="AI1037" i="2" s="1"/>
  <c r="AI1038" i="2" a="1"/>
  <c r="AI1038" i="2" s="1"/>
  <c r="AI1039" i="2" a="1"/>
  <c r="AI1039" i="2" s="1"/>
  <c r="AI1040" i="2" a="1"/>
  <c r="AI1040" i="2" s="1"/>
  <c r="AI1041" i="2" a="1"/>
  <c r="AI1041" i="2" s="1"/>
  <c r="AI1042" i="2" a="1"/>
  <c r="AI1042" i="2" s="1"/>
  <c r="AI1043" i="2" a="1"/>
  <c r="AI1043" i="2" s="1"/>
  <c r="AI1044" i="2" a="1"/>
  <c r="AI1044" i="2" s="1"/>
  <c r="AI1045" i="2" a="1"/>
  <c r="AI1045" i="2" s="1"/>
  <c r="AI1046" i="2" a="1"/>
  <c r="AI1046" i="2" s="1"/>
  <c r="AI1047" i="2" a="1"/>
  <c r="AI1047" i="2" s="1"/>
  <c r="AI1048" i="2" a="1"/>
  <c r="AI1048" i="2" s="1"/>
  <c r="AI1049" i="2" a="1"/>
  <c r="AI1049" i="2" s="1"/>
  <c r="AI1050" i="2" a="1"/>
  <c r="AI1050" i="2" s="1"/>
  <c r="AI1051" i="2" a="1"/>
  <c r="AI1051" i="2" s="1"/>
  <c r="AI1052" i="2" a="1"/>
  <c r="AI1052" i="2" s="1"/>
  <c r="AI1053" i="2" a="1"/>
  <c r="AI1053" i="2" s="1"/>
  <c r="AI1054" i="2" a="1"/>
  <c r="AI1054" i="2" s="1"/>
  <c r="AI1055" i="2" a="1"/>
  <c r="AI1055" i="2" s="1"/>
  <c r="AI1056" i="2" a="1"/>
  <c r="AI1056" i="2" s="1"/>
  <c r="AI1057" i="2" a="1"/>
  <c r="AI1057" i="2" s="1"/>
  <c r="AI1058" i="2" a="1"/>
  <c r="AI1058" i="2" s="1"/>
  <c r="AI1059" i="2" a="1"/>
  <c r="AI1059" i="2" s="1"/>
  <c r="AI1060" i="2" a="1"/>
  <c r="AI1060" i="2" s="1"/>
  <c r="AI1061" i="2" a="1"/>
  <c r="AI1061" i="2" s="1"/>
  <c r="AI1062" i="2" a="1"/>
  <c r="AI1062" i="2" s="1"/>
  <c r="AI1063" i="2" a="1"/>
  <c r="AI1063" i="2" s="1"/>
  <c r="AI1064" i="2" a="1"/>
  <c r="AI1064" i="2" s="1"/>
  <c r="AI1065" i="2" a="1"/>
  <c r="AI1065" i="2" s="1"/>
  <c r="AI1066" i="2" a="1"/>
  <c r="AI1066" i="2" s="1"/>
  <c r="AI1067" i="2" a="1"/>
  <c r="AI1067" i="2" s="1"/>
  <c r="AI1068" i="2" a="1"/>
  <c r="AI1068" i="2" s="1"/>
  <c r="AI1069" i="2" a="1"/>
  <c r="AI1069" i="2" s="1"/>
  <c r="AI1070" i="2" a="1"/>
  <c r="AI1070" i="2" s="1"/>
  <c r="AI1071" i="2" a="1"/>
  <c r="AI1071" i="2" s="1"/>
  <c r="AI1072" i="2" a="1"/>
  <c r="AI1072" i="2" s="1"/>
  <c r="AI1073" i="2" a="1"/>
  <c r="AI1073" i="2" s="1"/>
  <c r="AI1074" i="2" a="1"/>
  <c r="AI1074" i="2" s="1"/>
  <c r="AI1075" i="2" a="1"/>
  <c r="AI1075" i="2" s="1"/>
  <c r="AI1076" i="2" a="1"/>
  <c r="AI1076" i="2" s="1"/>
  <c r="AI1077" i="2" a="1"/>
  <c r="AI1077" i="2" s="1"/>
  <c r="AI1078" i="2" a="1"/>
  <c r="AI1078" i="2" s="1"/>
  <c r="AI1079" i="2" a="1"/>
  <c r="AI1079" i="2" s="1"/>
  <c r="AI1080" i="2" a="1"/>
  <c r="AI1080" i="2" s="1"/>
  <c r="AI1081" i="2" a="1"/>
  <c r="AI1081" i="2" s="1"/>
  <c r="AI1082" i="2" a="1"/>
  <c r="AI1082" i="2" s="1"/>
  <c r="AI1083" i="2" a="1"/>
  <c r="AI1083" i="2" s="1"/>
  <c r="AI1084" i="2" a="1"/>
  <c r="AI1084" i="2" s="1"/>
  <c r="AI1085" i="2" a="1"/>
  <c r="AI1085" i="2" s="1"/>
  <c r="AI1086" i="2" a="1"/>
  <c r="AI1086" i="2" s="1"/>
  <c r="AI1087" i="2" a="1"/>
  <c r="AI1087" i="2" s="1"/>
  <c r="AI1088" i="2" a="1"/>
  <c r="AI1088" i="2" s="1"/>
  <c r="AI1089" i="2" a="1"/>
  <c r="AI1089" i="2" s="1"/>
  <c r="AI1090" i="2" a="1"/>
  <c r="AI1090" i="2" s="1"/>
  <c r="AI1091" i="2" a="1"/>
  <c r="AI1091" i="2" s="1"/>
  <c r="AI1092" i="2" a="1"/>
  <c r="AI1092" i="2" s="1"/>
  <c r="AI1093" i="2" a="1"/>
  <c r="AI1093" i="2" s="1"/>
  <c r="AI1094" i="2" a="1"/>
  <c r="AI1094" i="2" s="1"/>
  <c r="AI1095" i="2" a="1"/>
  <c r="AI1095" i="2" s="1"/>
  <c r="AI1096" i="2" a="1"/>
  <c r="AI1096" i="2" s="1"/>
  <c r="AI1097" i="2" a="1"/>
  <c r="AI1097" i="2" s="1"/>
  <c r="AI1098" i="2" a="1"/>
  <c r="AI1098" i="2" s="1"/>
  <c r="AI1099" i="2" a="1"/>
  <c r="AI1099" i="2" s="1"/>
  <c r="AI1100" i="2" a="1"/>
  <c r="AI1100" i="2" s="1"/>
  <c r="AI1101" i="2" a="1"/>
  <c r="AI1101" i="2" s="1"/>
  <c r="AI1102" i="2" a="1"/>
  <c r="AI1102" i="2" s="1"/>
  <c r="AI1103" i="2" a="1"/>
  <c r="AI1103" i="2" s="1"/>
  <c r="AI1104" i="2" a="1"/>
  <c r="AI1104" i="2" s="1"/>
  <c r="AI1105" i="2" a="1"/>
  <c r="AI1105" i="2" s="1"/>
  <c r="AI1106" i="2" a="1"/>
  <c r="AI1106" i="2" s="1"/>
  <c r="AI1107" i="2" a="1"/>
  <c r="AI1107" i="2" s="1"/>
  <c r="AI1108" i="2" a="1"/>
  <c r="AI1108" i="2" s="1"/>
  <c r="AI1109" i="2" a="1"/>
  <c r="AI1109" i="2" s="1"/>
  <c r="AI1110" i="2" a="1"/>
  <c r="AI1110" i="2" s="1"/>
  <c r="AI1111" i="2" a="1"/>
  <c r="AI1111" i="2" s="1"/>
  <c r="AI1112" i="2" a="1"/>
  <c r="AI1112" i="2" s="1"/>
  <c r="AI1113" i="2" a="1"/>
  <c r="AI1113" i="2" s="1"/>
  <c r="AI1114" i="2" a="1"/>
  <c r="AI1114" i="2" s="1"/>
  <c r="AI1115" i="2" a="1"/>
  <c r="AI1115" i="2" s="1"/>
  <c r="AI1116" i="2" a="1"/>
  <c r="AI1116" i="2" s="1"/>
  <c r="AI1117" i="2" a="1"/>
  <c r="AI1117" i="2" s="1"/>
  <c r="AI1118" i="2" a="1"/>
  <c r="AI1118" i="2" s="1"/>
  <c r="AI1119" i="2" a="1"/>
  <c r="AI1119" i="2" s="1"/>
  <c r="AI1120" i="2" a="1"/>
  <c r="AI1120" i="2" s="1"/>
  <c r="AI1121" i="2" a="1"/>
  <c r="AI1121" i="2" s="1"/>
  <c r="AI1122" i="2" a="1"/>
  <c r="AI1122" i="2" s="1"/>
  <c r="AI1123" i="2" a="1"/>
  <c r="AI1123" i="2" s="1"/>
  <c r="AI1124" i="2" a="1"/>
  <c r="AI1124" i="2" s="1"/>
  <c r="AI1125" i="2" a="1"/>
  <c r="AI1125" i="2" s="1"/>
  <c r="AI1126" i="2" a="1"/>
  <c r="AI1126" i="2" s="1"/>
  <c r="AI1127" i="2" a="1"/>
  <c r="AI1127" i="2" s="1"/>
  <c r="AI1128" i="2" a="1"/>
  <c r="AI1128" i="2" s="1"/>
  <c r="AI1129" i="2" a="1"/>
  <c r="AI1129" i="2" s="1"/>
  <c r="AI1130" i="2" a="1"/>
  <c r="AI1130" i="2" s="1"/>
  <c r="AI1131" i="2" a="1"/>
  <c r="AI1131" i="2" s="1"/>
  <c r="AI1132" i="2" a="1"/>
  <c r="AI1132" i="2" s="1"/>
  <c r="AI1133" i="2" a="1"/>
  <c r="AI1133" i="2" s="1"/>
  <c r="AI1134" i="2" a="1"/>
  <c r="AI1134" i="2" s="1"/>
  <c r="AI1135" i="2" a="1"/>
  <c r="AI1135" i="2" s="1"/>
  <c r="AI1136" i="2" a="1"/>
  <c r="AI1136" i="2" s="1"/>
  <c r="AI1137" i="2" a="1"/>
  <c r="AI1137" i="2" s="1"/>
  <c r="AI1138" i="2" a="1"/>
  <c r="AI1138" i="2" s="1"/>
  <c r="AI1139" i="2" a="1"/>
  <c r="AI1139" i="2" s="1"/>
  <c r="AI1140" i="2" a="1"/>
  <c r="AI1140" i="2" s="1"/>
  <c r="AI1141" i="2" a="1"/>
  <c r="AI1141" i="2" s="1"/>
  <c r="AI1142" i="2" a="1"/>
  <c r="AI1142" i="2" s="1"/>
  <c r="AI1143" i="2" a="1"/>
  <c r="AI1143" i="2" s="1"/>
  <c r="AI1144" i="2" a="1"/>
  <c r="AI1144" i="2" s="1"/>
  <c r="AI1145" i="2" a="1"/>
  <c r="AI1145" i="2" s="1"/>
  <c r="AI1146" i="2" a="1"/>
  <c r="AI1146" i="2" s="1"/>
  <c r="AI1147" i="2" a="1"/>
  <c r="AI1147" i="2" s="1"/>
  <c r="AI1148" i="2" a="1"/>
  <c r="AI1148" i="2" s="1"/>
  <c r="AI1149" i="2" a="1"/>
  <c r="AI1149" i="2" s="1"/>
  <c r="AI1150" i="2" a="1"/>
  <c r="AI1150" i="2" s="1"/>
  <c r="AI1151" i="2" a="1"/>
  <c r="AI1151" i="2" s="1"/>
  <c r="AI1152" i="2" a="1"/>
  <c r="AI1152" i="2" s="1"/>
  <c r="AI1153" i="2" a="1"/>
  <c r="AI1153" i="2" s="1"/>
  <c r="AI1154" i="2" a="1"/>
  <c r="AI1154" i="2" s="1"/>
  <c r="AI1155" i="2" a="1"/>
  <c r="AI1155" i="2" s="1"/>
  <c r="AI1156" i="2" a="1"/>
  <c r="AI1156" i="2" s="1"/>
  <c r="AI1157" i="2" a="1"/>
  <c r="AI1157" i="2" s="1"/>
  <c r="AI1158" i="2" a="1"/>
  <c r="AI1158" i="2" s="1"/>
  <c r="AI1159" i="2" a="1"/>
  <c r="AI1159" i="2" s="1"/>
  <c r="AI1160" i="2" a="1"/>
  <c r="AI1160" i="2" s="1"/>
  <c r="AI1161" i="2" a="1"/>
  <c r="AI1161" i="2" s="1"/>
  <c r="AI1162" i="2" a="1"/>
  <c r="AI1162" i="2" s="1"/>
  <c r="AI1163" i="2" a="1"/>
  <c r="AI1163" i="2" s="1"/>
  <c r="AI1164" i="2" a="1"/>
  <c r="AI1164" i="2" s="1"/>
  <c r="AI1165" i="2" a="1"/>
  <c r="AI1165" i="2" s="1"/>
  <c r="AI1166" i="2" a="1"/>
  <c r="AI1166" i="2" s="1"/>
  <c r="AI1167" i="2" a="1"/>
  <c r="AI1167" i="2" s="1"/>
  <c r="AI1168" i="2" a="1"/>
  <c r="AI1168" i="2" s="1"/>
  <c r="AI1169" i="2" a="1"/>
  <c r="AI1169" i="2" s="1"/>
  <c r="AI1170" i="2" a="1"/>
  <c r="AI1170" i="2" s="1"/>
  <c r="AI1171" i="2" a="1"/>
  <c r="AI1171" i="2" s="1"/>
  <c r="AI1172" i="2" a="1"/>
  <c r="AI1172" i="2" s="1"/>
  <c r="AI1173" i="2" a="1"/>
  <c r="AI1173" i="2" s="1"/>
  <c r="AI1174" i="2" a="1"/>
  <c r="AI1174" i="2" s="1"/>
  <c r="AI1175" i="2" a="1"/>
  <c r="AI1175" i="2" s="1"/>
  <c r="AI1176" i="2" a="1"/>
  <c r="AI1176" i="2" s="1"/>
  <c r="AI1177" i="2" a="1"/>
  <c r="AI1177" i="2" s="1"/>
  <c r="AI1178" i="2" a="1"/>
  <c r="AI1178" i="2" s="1"/>
  <c r="AI1179" i="2" a="1"/>
  <c r="AI1179" i="2" s="1"/>
  <c r="AI1180" i="2" a="1"/>
  <c r="AI1180" i="2" s="1"/>
  <c r="AI1181" i="2" a="1"/>
  <c r="AI1181" i="2" s="1"/>
  <c r="AI1182" i="2" a="1"/>
  <c r="AI1182" i="2" s="1"/>
  <c r="AI1183" i="2" a="1"/>
  <c r="AI1183" i="2" s="1"/>
  <c r="AI1184" i="2" a="1"/>
  <c r="AI1184" i="2" s="1"/>
  <c r="AI1185" i="2" a="1"/>
  <c r="AI1185" i="2" s="1"/>
  <c r="AI1186" i="2" a="1"/>
  <c r="AI1186" i="2" s="1"/>
  <c r="AI1187" i="2" a="1"/>
  <c r="AI1187" i="2" s="1"/>
  <c r="AI1188" i="2" a="1"/>
  <c r="AI1188" i="2" s="1"/>
  <c r="AI1189" i="2" a="1"/>
  <c r="AI1189" i="2" s="1"/>
  <c r="AI1190" i="2" a="1"/>
  <c r="AI1190" i="2" s="1"/>
  <c r="AI1191" i="2" a="1"/>
  <c r="AI1191" i="2" s="1"/>
  <c r="AI1192" i="2" a="1"/>
  <c r="AI1192" i="2" s="1"/>
  <c r="AI1193" i="2" a="1"/>
  <c r="AI1193" i="2" s="1"/>
  <c r="AI1194" i="2" a="1"/>
  <c r="AI1194" i="2" s="1"/>
  <c r="AI1195" i="2" a="1"/>
  <c r="AI1195" i="2" s="1"/>
  <c r="AI1196" i="2" a="1"/>
  <c r="AI1196" i="2" s="1"/>
  <c r="AI1197" i="2" a="1"/>
  <c r="AI1197" i="2" s="1"/>
  <c r="AI1198" i="2" a="1"/>
  <c r="AI1198" i="2" s="1"/>
  <c r="AI1199" i="2" a="1"/>
  <c r="AI1199" i="2" s="1"/>
  <c r="AI1200" i="2" a="1"/>
  <c r="AI1200" i="2" s="1"/>
  <c r="AI1201" i="2" a="1"/>
  <c r="AI1201" i="2" s="1"/>
  <c r="AI1202" i="2" a="1"/>
  <c r="AI1202" i="2" s="1"/>
  <c r="AI1203" i="2" a="1"/>
  <c r="AI1203" i="2" s="1"/>
  <c r="AI1204" i="2" a="1"/>
  <c r="AI1204" i="2" s="1"/>
  <c r="AI1205" i="2" a="1"/>
  <c r="AI1205" i="2" s="1"/>
  <c r="AI1206" i="2" a="1"/>
  <c r="AI1206" i="2" s="1"/>
  <c r="AI1207" i="2" a="1"/>
  <c r="AI1207" i="2" s="1"/>
  <c r="AI1208" i="2" a="1"/>
  <c r="AI1208" i="2" s="1"/>
  <c r="AI1209" i="2" a="1"/>
  <c r="AI1209" i="2" s="1"/>
  <c r="AI1210" i="2" a="1"/>
  <c r="AI1210" i="2" s="1"/>
  <c r="AI1211" i="2" a="1"/>
  <c r="AI1211" i="2" s="1"/>
  <c r="AI1212" i="2" a="1"/>
  <c r="AI1212" i="2" s="1"/>
  <c r="AI1213" i="2" a="1"/>
  <c r="AI1213" i="2" s="1"/>
  <c r="AI1214" i="2" a="1"/>
  <c r="AI1214" i="2" s="1"/>
  <c r="AI1215" i="2" a="1"/>
  <c r="AI1215" i="2" s="1"/>
  <c r="AI1216" i="2" a="1"/>
  <c r="AI1216" i="2" s="1"/>
  <c r="AI1217" i="2" a="1"/>
  <c r="AI1217" i="2" s="1"/>
  <c r="AI1218" i="2" a="1"/>
  <c r="AI1218" i="2" s="1"/>
  <c r="AI1219" i="2" a="1"/>
  <c r="AI1219" i="2" s="1"/>
  <c r="AI1220" i="2" a="1"/>
  <c r="AI1220" i="2" s="1"/>
  <c r="AI1221" i="2" a="1"/>
  <c r="AI1221" i="2" s="1"/>
  <c r="AI1222" i="2" a="1"/>
  <c r="AI1222" i="2" s="1"/>
  <c r="AI1223" i="2" a="1"/>
  <c r="AI1223" i="2" s="1"/>
  <c r="AI1224" i="2" a="1"/>
  <c r="AI1224" i="2" s="1"/>
  <c r="AI1225" i="2" a="1"/>
  <c r="AI1225" i="2" s="1"/>
  <c r="AI1226" i="2" a="1"/>
  <c r="AI1226" i="2" s="1"/>
  <c r="AI1227" i="2" a="1"/>
  <c r="AI1227" i="2" s="1"/>
  <c r="AI1228" i="2" a="1"/>
  <c r="AI1228" i="2" s="1"/>
  <c r="AI1229" i="2" a="1"/>
  <c r="AI1229" i="2" s="1"/>
  <c r="AI1230" i="2" a="1"/>
  <c r="AI1230" i="2" s="1"/>
  <c r="AI1231" i="2" a="1"/>
  <c r="AI1231" i="2" s="1"/>
  <c r="AI1232" i="2" a="1"/>
  <c r="AI1232" i="2" s="1"/>
  <c r="AI1233" i="2" a="1"/>
  <c r="AI1233" i="2" s="1"/>
  <c r="AI1234" i="2" a="1"/>
  <c r="AI1234" i="2" s="1"/>
  <c r="AI1235" i="2" a="1"/>
  <c r="AI1235" i="2" s="1"/>
  <c r="AI1236" i="2" a="1"/>
  <c r="AI1236" i="2" s="1"/>
  <c r="AI1237" i="2" a="1"/>
  <c r="AI1237" i="2" s="1"/>
  <c r="AI1238" i="2" a="1"/>
  <c r="AI1238" i="2" s="1"/>
  <c r="AI1239" i="2" a="1"/>
  <c r="AI1239" i="2" s="1"/>
  <c r="AI1240" i="2" a="1"/>
  <c r="AI1240" i="2" s="1"/>
  <c r="AI1241" i="2" a="1"/>
  <c r="AI1241" i="2" s="1"/>
  <c r="AI1242" i="2" a="1"/>
  <c r="AI1242" i="2" s="1"/>
  <c r="AI1243" i="2" a="1"/>
  <c r="AI1243" i="2" s="1"/>
  <c r="AI1244" i="2" a="1"/>
  <c r="AI1244" i="2" s="1"/>
  <c r="AI1245" i="2" a="1"/>
  <c r="AI1245" i="2" s="1"/>
  <c r="AI1246" i="2" a="1"/>
  <c r="AI1246" i="2" s="1"/>
  <c r="AI1247" i="2" a="1"/>
  <c r="AI1247" i="2" s="1"/>
  <c r="AI1248" i="2" a="1"/>
  <c r="AI1248" i="2" s="1"/>
  <c r="AI1249" i="2" a="1"/>
  <c r="AI1249" i="2" s="1"/>
  <c r="AI1250" i="2" a="1"/>
  <c r="AI1250" i="2" s="1"/>
  <c r="AI1251" i="2" a="1"/>
  <c r="AI1251" i="2" s="1"/>
  <c r="AI1252" i="2" a="1"/>
  <c r="AI1252" i="2" s="1"/>
  <c r="AI1253" i="2" a="1"/>
  <c r="AI1253" i="2" s="1"/>
  <c r="AI1254" i="2" a="1"/>
  <c r="AI1254" i="2" s="1"/>
  <c r="AI1255" i="2" a="1"/>
  <c r="AI1255" i="2" s="1"/>
  <c r="AI1256" i="2" a="1"/>
  <c r="AI1256" i="2" s="1"/>
  <c r="AI1257" i="2" a="1"/>
  <c r="AI1257" i="2" s="1"/>
  <c r="AI1258" i="2" a="1"/>
  <c r="AI1258" i="2" s="1"/>
  <c r="AI1259" i="2" a="1"/>
  <c r="AI1259" i="2" s="1"/>
  <c r="AI1260" i="2" a="1"/>
  <c r="AI1260" i="2" s="1"/>
  <c r="AI1261" i="2" a="1"/>
  <c r="AI1261" i="2" s="1"/>
  <c r="AI1262" i="2" a="1"/>
  <c r="AI1262" i="2" s="1"/>
  <c r="AI1263" i="2" a="1"/>
  <c r="AI1263" i="2" s="1"/>
  <c r="AI1264" i="2" a="1"/>
  <c r="AI1264" i="2" s="1"/>
  <c r="AI1265" i="2" a="1"/>
  <c r="AI1265" i="2" s="1"/>
  <c r="AI1266" i="2" a="1"/>
  <c r="AI1266" i="2" s="1"/>
  <c r="AI1267" i="2" a="1"/>
  <c r="AI1267" i="2" s="1"/>
  <c r="AI1268" i="2" a="1"/>
  <c r="AI1268" i="2" s="1"/>
  <c r="AI1269" i="2" a="1"/>
  <c r="AI1269" i="2" s="1"/>
  <c r="AI1270" i="2" a="1"/>
  <c r="AI1270" i="2" s="1"/>
  <c r="AI1271" i="2" a="1"/>
  <c r="AI1271" i="2" s="1"/>
  <c r="AI1272" i="2" a="1"/>
  <c r="AI1272" i="2" s="1"/>
  <c r="AI1273" i="2" a="1"/>
  <c r="AI1273" i="2" s="1"/>
  <c r="AI1274" i="2" a="1"/>
  <c r="AI1274" i="2" s="1"/>
  <c r="AI1275" i="2" a="1"/>
  <c r="AI1275" i="2" s="1"/>
  <c r="AI1276" i="2" a="1"/>
  <c r="AI1276" i="2" s="1"/>
  <c r="AI1277" i="2" a="1"/>
  <c r="AI1277" i="2" s="1"/>
  <c r="AI1278" i="2" a="1"/>
  <c r="AI1278" i="2" s="1"/>
  <c r="AI1279" i="2" a="1"/>
  <c r="AI1279" i="2" s="1"/>
  <c r="AI1280" i="2" a="1"/>
  <c r="AI1280" i="2" s="1"/>
  <c r="AI1281" i="2" a="1"/>
  <c r="AI1281" i="2" s="1"/>
  <c r="AI1282" i="2" a="1"/>
  <c r="AI1282" i="2" s="1"/>
  <c r="AI1283" i="2" a="1"/>
  <c r="AI1283" i="2" s="1"/>
  <c r="AI1284" i="2" a="1"/>
  <c r="AI1284" i="2" s="1"/>
  <c r="AI1285" i="2" a="1"/>
  <c r="AI1285" i="2" s="1"/>
  <c r="AI1286" i="2" a="1"/>
  <c r="AI1286" i="2" s="1"/>
  <c r="AI1287" i="2" a="1"/>
  <c r="AI1287" i="2" s="1"/>
  <c r="AI1288" i="2" a="1"/>
  <c r="AI1288" i="2" s="1"/>
  <c r="AI1289" i="2" a="1"/>
  <c r="AI1289" i="2" s="1"/>
  <c r="AI1290" i="2" a="1"/>
  <c r="AI1290" i="2" s="1"/>
  <c r="AI1291" i="2" a="1"/>
  <c r="AI1291" i="2" s="1"/>
  <c r="AI1292" i="2" a="1"/>
  <c r="AI1292" i="2" s="1"/>
  <c r="AI1293" i="2" a="1"/>
  <c r="AI1293" i="2" s="1"/>
  <c r="AI1294" i="2" a="1"/>
  <c r="AI1294" i="2" s="1"/>
  <c r="AI1295" i="2" a="1"/>
  <c r="AI1295" i="2" s="1"/>
  <c r="AI1296" i="2" a="1"/>
  <c r="AI1296" i="2" s="1"/>
  <c r="AI1297" i="2" a="1"/>
  <c r="AI1297" i="2" s="1"/>
  <c r="AI1298" i="2" a="1"/>
  <c r="AI1298" i="2" s="1"/>
  <c r="AI1299" i="2" a="1"/>
  <c r="AI1299" i="2" s="1"/>
  <c r="AI1300" i="2" a="1"/>
  <c r="AI1300" i="2" s="1"/>
  <c r="AI1301" i="2" a="1"/>
  <c r="AI1301" i="2" s="1"/>
  <c r="AI1302" i="2" a="1"/>
  <c r="AI1302" i="2" s="1"/>
  <c r="AI1303" i="2" a="1"/>
  <c r="AI1303" i="2" s="1"/>
  <c r="AI1304" i="2" a="1"/>
  <c r="AI1304" i="2" s="1"/>
  <c r="AI1305" i="2" a="1"/>
  <c r="AI1305" i="2" s="1"/>
  <c r="AI1306" i="2" a="1"/>
  <c r="AI1306" i="2" s="1"/>
  <c r="AI1307" i="2" a="1"/>
  <c r="AI1307" i="2" s="1"/>
  <c r="AI1308" i="2" a="1"/>
  <c r="AI1308" i="2" s="1"/>
  <c r="AI1309" i="2" a="1"/>
  <c r="AI1309" i="2" s="1"/>
  <c r="AI1310" i="2" a="1"/>
  <c r="AI1310" i="2" s="1"/>
  <c r="AI1311" i="2" a="1"/>
  <c r="AI1311" i="2" s="1"/>
  <c r="AI1312" i="2" a="1"/>
  <c r="AI1312" i="2" s="1"/>
  <c r="AI1313" i="2" a="1"/>
  <c r="AI1313" i="2" s="1"/>
  <c r="AI1314" i="2" a="1"/>
  <c r="AI1314" i="2" s="1"/>
  <c r="AI1315" i="2" a="1"/>
  <c r="AI1315" i="2" s="1"/>
  <c r="AI1316" i="2" a="1"/>
  <c r="AI1316" i="2" s="1"/>
  <c r="AI1317" i="2" a="1"/>
  <c r="AI1317" i="2" s="1"/>
  <c r="AI1318" i="2" a="1"/>
  <c r="AI1318" i="2" s="1"/>
  <c r="AI1319" i="2" a="1"/>
  <c r="AI1319" i="2" s="1"/>
  <c r="AI1320" i="2" a="1"/>
  <c r="AI1320" i="2" s="1"/>
  <c r="AI1321" i="2" a="1"/>
  <c r="AI1321" i="2" s="1"/>
  <c r="AI1322" i="2" a="1"/>
  <c r="AI1322" i="2" s="1"/>
  <c r="AI1323" i="2" a="1"/>
  <c r="AI1323" i="2" s="1"/>
  <c r="AI1324" i="2" a="1"/>
  <c r="AI1324" i="2" s="1"/>
  <c r="AI1325" i="2" a="1"/>
  <c r="AI1325" i="2" s="1"/>
  <c r="AI1326" i="2" a="1"/>
  <c r="AI1326" i="2" s="1"/>
  <c r="AI1327" i="2" a="1"/>
  <c r="AI1327" i="2" s="1"/>
  <c r="AI1328" i="2" a="1"/>
  <c r="AI1328" i="2" s="1"/>
  <c r="AI1329" i="2" a="1"/>
  <c r="AI1329" i="2" s="1"/>
  <c r="AI1330" i="2" a="1"/>
  <c r="AI1330" i="2" s="1"/>
  <c r="AI1331" i="2" a="1"/>
  <c r="AI1331" i="2" s="1"/>
  <c r="AI1332" i="2" a="1"/>
  <c r="AI1332" i="2" s="1"/>
  <c r="AI1333" i="2" a="1"/>
  <c r="AI1333" i="2" s="1"/>
  <c r="AI1334" i="2" a="1"/>
  <c r="AI1334" i="2" s="1"/>
  <c r="AI1335" i="2" a="1"/>
  <c r="AI1335" i="2" s="1"/>
  <c r="AI1336" i="2" a="1"/>
  <c r="AI1336" i="2" s="1"/>
  <c r="AI1337" i="2" a="1"/>
  <c r="AI1337" i="2" s="1"/>
  <c r="AI1338" i="2" a="1"/>
  <c r="AI1338" i="2" s="1"/>
  <c r="AI1339" i="2" a="1"/>
  <c r="AI1339" i="2" s="1"/>
  <c r="AI1340" i="2" a="1"/>
  <c r="AI1340" i="2" s="1"/>
  <c r="AI1341" i="2" a="1"/>
  <c r="AI1341" i="2" s="1"/>
  <c r="AI1342" i="2" a="1"/>
  <c r="AI1342" i="2" s="1"/>
  <c r="AI1343" i="2" a="1"/>
  <c r="AI1343" i="2" s="1"/>
  <c r="AI1344" i="2" a="1"/>
  <c r="AI1344" i="2" s="1"/>
  <c r="AI1345" i="2" a="1"/>
  <c r="AI1345" i="2" s="1"/>
  <c r="AI1346" i="2" a="1"/>
  <c r="AI1346" i="2" s="1"/>
  <c r="AI1347" i="2" a="1"/>
  <c r="AI1347" i="2" s="1"/>
  <c r="AI1348" i="2" a="1"/>
  <c r="AI1348" i="2" s="1"/>
  <c r="AI1349" i="2" a="1"/>
  <c r="AI1349" i="2" s="1"/>
  <c r="AI1350" i="2" a="1"/>
  <c r="AI1350" i="2" s="1"/>
  <c r="AI1351" i="2" a="1"/>
  <c r="AI1351" i="2" s="1"/>
  <c r="AI1352" i="2" a="1"/>
  <c r="AI1352" i="2" s="1"/>
  <c r="AI1353" i="2" a="1"/>
  <c r="AI1353" i="2" s="1"/>
  <c r="AI1354" i="2" a="1"/>
  <c r="AI1354" i="2" s="1"/>
  <c r="AI1355" i="2" a="1"/>
  <c r="AI1355" i="2" s="1"/>
  <c r="AI1356" i="2" a="1"/>
  <c r="AI1356" i="2" s="1"/>
  <c r="AI1357" i="2" a="1"/>
  <c r="AI1357" i="2" s="1"/>
  <c r="AI1358" i="2" a="1"/>
  <c r="AI1358" i="2" s="1"/>
  <c r="AI1359" i="2" a="1"/>
  <c r="AI1359" i="2" s="1"/>
  <c r="AI1360" i="2" a="1"/>
  <c r="AI1360" i="2" s="1"/>
  <c r="AI1361" i="2" a="1"/>
  <c r="AI1361" i="2" s="1"/>
  <c r="AI1362" i="2" a="1"/>
  <c r="AI1362" i="2" s="1"/>
  <c r="AI1363" i="2" a="1"/>
  <c r="AI1363" i="2" s="1"/>
  <c r="AI1364" i="2" a="1"/>
  <c r="AI1364" i="2" s="1"/>
  <c r="AI1365" i="2" a="1"/>
  <c r="AI1365" i="2" s="1"/>
  <c r="AI1366" i="2" a="1"/>
  <c r="AI1366" i="2" s="1"/>
  <c r="AI1367" i="2" a="1"/>
  <c r="AI1367" i="2" s="1"/>
  <c r="AI1368" i="2" a="1"/>
  <c r="AI1368" i="2" s="1"/>
  <c r="AI1369" i="2" a="1"/>
  <c r="AI1369" i="2" s="1"/>
  <c r="AI1370" i="2" a="1"/>
  <c r="AI1370" i="2" s="1"/>
  <c r="AI1371" i="2" a="1"/>
  <c r="AI1371" i="2" s="1"/>
  <c r="AI1372" i="2" a="1"/>
  <c r="AI1372" i="2" s="1"/>
  <c r="AI1373" i="2" a="1"/>
  <c r="AI1373" i="2" s="1"/>
  <c r="AI1374" i="2" a="1"/>
  <c r="AI1374" i="2" s="1"/>
  <c r="AI1375" i="2" a="1"/>
  <c r="AI1375" i="2" s="1"/>
  <c r="AI1376" i="2" a="1"/>
  <c r="AI1376" i="2" s="1"/>
  <c r="AI1377" i="2" a="1"/>
  <c r="AI1377" i="2" s="1"/>
  <c r="AI1378" i="2" a="1"/>
  <c r="AI1378" i="2" s="1"/>
  <c r="AI1379" i="2" a="1"/>
  <c r="AI1379" i="2" s="1"/>
  <c r="AI1380" i="2" a="1"/>
  <c r="AI1380" i="2" s="1"/>
  <c r="AI1381" i="2" a="1"/>
  <c r="AI1381" i="2" s="1"/>
  <c r="AI1382" i="2" a="1"/>
  <c r="AI1382" i="2" s="1"/>
  <c r="AI1383" i="2" a="1"/>
  <c r="AI1383" i="2" s="1"/>
  <c r="AI1384" i="2" a="1"/>
  <c r="AI1384" i="2" s="1"/>
  <c r="AI1385" i="2" a="1"/>
  <c r="AI1385" i="2" s="1"/>
  <c r="AI1386" i="2" a="1"/>
  <c r="AI1386" i="2" s="1"/>
  <c r="AI1387" i="2" a="1"/>
  <c r="AI1387" i="2" s="1"/>
  <c r="AI1388" i="2" a="1"/>
  <c r="AI1388" i="2" s="1"/>
  <c r="AI1389" i="2" a="1"/>
  <c r="AI1389" i="2" s="1"/>
  <c r="AI1390" i="2" a="1"/>
  <c r="AI1390" i="2" s="1"/>
  <c r="AI1391" i="2" a="1"/>
  <c r="AI1391" i="2" s="1"/>
  <c r="AI1392" i="2" a="1"/>
  <c r="AI1392" i="2" s="1"/>
  <c r="AI1393" i="2" a="1"/>
  <c r="AI1393" i="2" s="1"/>
  <c r="AI1394" i="2" a="1"/>
  <c r="AI1394" i="2" s="1"/>
  <c r="AI1395" i="2" a="1"/>
  <c r="AI1395" i="2" s="1"/>
  <c r="AI1396" i="2" a="1"/>
  <c r="AI1396" i="2" s="1"/>
  <c r="AI1397" i="2" a="1"/>
  <c r="AI1397" i="2" s="1"/>
  <c r="AI1398" i="2" a="1"/>
  <c r="AI1398" i="2" s="1"/>
  <c r="AI1399" i="2" a="1"/>
  <c r="AI1399" i="2" s="1"/>
  <c r="AI1400" i="2" a="1"/>
  <c r="AI1400" i="2" s="1"/>
  <c r="AI1401" i="2" a="1"/>
  <c r="AI1401" i="2" s="1"/>
  <c r="AI1402" i="2" a="1"/>
  <c r="AI1402" i="2" s="1"/>
  <c r="AI1403" i="2" a="1"/>
  <c r="AI1403" i="2" s="1"/>
  <c r="AI1404" i="2" a="1"/>
  <c r="AI1404" i="2" s="1"/>
  <c r="AI1405" i="2" a="1"/>
  <c r="AI1405" i="2" s="1"/>
  <c r="AI1406" i="2" a="1"/>
  <c r="AI1406" i="2" s="1"/>
  <c r="AI1407" i="2" a="1"/>
  <c r="AI1407" i="2" s="1"/>
  <c r="AI1408" i="2" a="1"/>
  <c r="AI1408" i="2" s="1"/>
  <c r="AI1409" i="2" a="1"/>
  <c r="AI1409" i="2" s="1"/>
  <c r="AI1410" i="2" a="1"/>
  <c r="AI1410" i="2" s="1"/>
  <c r="AI1411" i="2" a="1"/>
  <c r="AI1411" i="2" s="1"/>
  <c r="AI1412" i="2" a="1"/>
  <c r="AI1412" i="2" s="1"/>
  <c r="AI1413" i="2" a="1"/>
  <c r="AI1413" i="2" s="1"/>
  <c r="AI1414" i="2" a="1"/>
  <c r="AI1414" i="2" s="1"/>
  <c r="AI1415" i="2" a="1"/>
  <c r="AI1415" i="2" s="1"/>
  <c r="AI1416" i="2" a="1"/>
  <c r="AI1416" i="2" s="1"/>
  <c r="AI1417" i="2" a="1"/>
  <c r="AI1417" i="2" s="1"/>
  <c r="AI1418" i="2" a="1"/>
  <c r="AI1418" i="2" s="1"/>
  <c r="AI1419" i="2" a="1"/>
  <c r="AI1419" i="2" s="1"/>
  <c r="AI1420" i="2" a="1"/>
  <c r="AI1420" i="2" s="1"/>
  <c r="AI1421" i="2" a="1"/>
  <c r="AI1421" i="2" s="1"/>
  <c r="AI1422" i="2" a="1"/>
  <c r="AI1422" i="2" s="1"/>
  <c r="AI1423" i="2" a="1"/>
  <c r="AI1423" i="2" s="1"/>
  <c r="AI1424" i="2" a="1"/>
  <c r="AI1424" i="2" s="1"/>
  <c r="AI1425" i="2" a="1"/>
  <c r="AI1425" i="2" s="1"/>
  <c r="AI1426" i="2" a="1"/>
  <c r="AI1426" i="2" s="1"/>
  <c r="AI1427" i="2" a="1"/>
  <c r="AI1427" i="2" s="1"/>
  <c r="AI1428" i="2" a="1"/>
  <c r="AI1428" i="2" s="1"/>
  <c r="AI1429" i="2" a="1"/>
  <c r="AI1429" i="2" s="1"/>
  <c r="AI1430" i="2" a="1"/>
  <c r="AI1430" i="2" s="1"/>
  <c r="AI1431" i="2" a="1"/>
  <c r="AI1431" i="2" s="1"/>
  <c r="AI1432" i="2" a="1"/>
  <c r="AI1432" i="2" s="1"/>
  <c r="AI1433" i="2" a="1"/>
  <c r="AI1433" i="2" s="1"/>
  <c r="AI1434" i="2" a="1"/>
  <c r="AI1434" i="2" s="1"/>
  <c r="AI1435" i="2" a="1"/>
  <c r="AI1435" i="2" s="1"/>
  <c r="AI1436" i="2" a="1"/>
  <c r="AI1436" i="2" s="1"/>
  <c r="AI1437" i="2" a="1"/>
  <c r="AI1437" i="2" s="1"/>
  <c r="AI1438" i="2" a="1"/>
  <c r="AI1438" i="2" s="1"/>
  <c r="AI1439" i="2" a="1"/>
  <c r="AI1439" i="2" s="1"/>
  <c r="AI1440" i="2" a="1"/>
  <c r="AI1440" i="2" s="1"/>
  <c r="AI1441" i="2" a="1"/>
  <c r="AI1441" i="2" s="1"/>
  <c r="AI1442" i="2" a="1"/>
  <c r="AI1442" i="2" s="1"/>
  <c r="AI1443" i="2" a="1"/>
  <c r="AI1443" i="2" s="1"/>
  <c r="AI1444" i="2" a="1"/>
  <c r="AI1444" i="2" s="1"/>
  <c r="AI1445" i="2" a="1"/>
  <c r="AI1445" i="2" s="1"/>
  <c r="AI1446" i="2" a="1"/>
  <c r="AI1446" i="2" s="1"/>
  <c r="AI1447" i="2" a="1"/>
  <c r="AI1447" i="2" s="1"/>
  <c r="AI1448" i="2" a="1"/>
  <c r="AI1448" i="2" s="1"/>
  <c r="AI1449" i="2" a="1"/>
  <c r="AI1449" i="2" s="1"/>
  <c r="AI1450" i="2" a="1"/>
  <c r="AI1450" i="2" s="1"/>
  <c r="AI1451" i="2" a="1"/>
  <c r="AI1451" i="2" s="1"/>
  <c r="AI1452" i="2" a="1"/>
  <c r="AI1452" i="2" s="1"/>
  <c r="AI1453" i="2" a="1"/>
  <c r="AI1453" i="2" s="1"/>
  <c r="AI1454" i="2" a="1"/>
  <c r="AI1454" i="2" s="1"/>
  <c r="AI1455" i="2" a="1"/>
  <c r="AI1455" i="2" s="1"/>
  <c r="AI1456" i="2" a="1"/>
  <c r="AI1456" i="2" s="1"/>
  <c r="AI1457" i="2" a="1"/>
  <c r="AI1457" i="2" s="1"/>
  <c r="AI1458" i="2" a="1"/>
  <c r="AI1458" i="2" s="1"/>
  <c r="AI1459" i="2" a="1"/>
  <c r="AI1459" i="2" s="1"/>
  <c r="AI1460" i="2" a="1"/>
  <c r="AI1460" i="2" s="1"/>
  <c r="AI1461" i="2" a="1"/>
  <c r="AI1461" i="2" s="1"/>
  <c r="AI1462" i="2" a="1"/>
  <c r="AI1462" i="2" s="1"/>
  <c r="AI1463" i="2" a="1"/>
  <c r="AI1463" i="2" s="1"/>
  <c r="AI1464" i="2" a="1"/>
  <c r="AI1464" i="2" s="1"/>
  <c r="AI1465" i="2" a="1"/>
  <c r="AI1465" i="2" s="1"/>
  <c r="AI1466" i="2" a="1"/>
  <c r="AI1466" i="2" s="1"/>
  <c r="AI1467" i="2" a="1"/>
  <c r="AI1467" i="2" s="1"/>
  <c r="AI1468" i="2" a="1"/>
  <c r="AI1468" i="2" s="1"/>
  <c r="AI1469" i="2" a="1"/>
  <c r="AI1469" i="2" s="1"/>
  <c r="AI1470" i="2" a="1"/>
  <c r="AI1470" i="2" s="1"/>
  <c r="AI1471" i="2" a="1"/>
  <c r="AI1471" i="2" s="1"/>
  <c r="AH2" i="2" a="1"/>
  <c r="AH2" i="2" s="1"/>
  <c r="AN2" i="2" s="1"/>
  <c r="AH3" i="2" a="1"/>
  <c r="AH3" i="2" s="1"/>
  <c r="AN3" i="2" s="1"/>
  <c r="AH4" i="2" a="1"/>
  <c r="AH4" i="2" s="1"/>
  <c r="AN4" i="2" s="1"/>
  <c r="AH5" i="2" a="1"/>
  <c r="AH5" i="2" s="1"/>
  <c r="AN5" i="2" s="1"/>
  <c r="AH6" i="2" a="1"/>
  <c r="AH6" i="2" s="1"/>
  <c r="AN6" i="2" s="1"/>
  <c r="AH7" i="2" a="1"/>
  <c r="AH7" i="2" s="1"/>
  <c r="AN7" i="2" s="1"/>
  <c r="AH8" i="2" a="1"/>
  <c r="AH8" i="2" s="1"/>
  <c r="AN8" i="2" s="1"/>
  <c r="AH9" i="2" a="1"/>
  <c r="AH9" i="2" s="1"/>
  <c r="AN9" i="2" s="1"/>
  <c r="AH10" i="2" a="1"/>
  <c r="AH10" i="2" s="1"/>
  <c r="AN10" i="2" s="1"/>
  <c r="AH11" i="2" a="1"/>
  <c r="AH11" i="2" s="1"/>
  <c r="AN11" i="2" s="1"/>
  <c r="AH12" i="2" a="1"/>
  <c r="AH12" i="2" s="1"/>
  <c r="AN12" i="2" s="1"/>
  <c r="AH13" i="2" a="1"/>
  <c r="AH13" i="2" s="1"/>
  <c r="AN13" i="2" s="1"/>
  <c r="AH14" i="2" a="1"/>
  <c r="AH14" i="2" s="1"/>
  <c r="AN14" i="2" s="1"/>
  <c r="AH15" i="2" a="1"/>
  <c r="AH15" i="2" s="1"/>
  <c r="AN15" i="2" s="1"/>
  <c r="AH16" i="2" a="1"/>
  <c r="AH16" i="2" s="1"/>
  <c r="AN16" i="2" s="1"/>
  <c r="AH17" i="2" a="1"/>
  <c r="AH17" i="2" s="1"/>
  <c r="AN17" i="2" s="1"/>
  <c r="AH18" i="2" a="1"/>
  <c r="AH18" i="2" s="1"/>
  <c r="AN18" i="2" s="1"/>
  <c r="AH19" i="2" a="1"/>
  <c r="AH19" i="2" s="1"/>
  <c r="AN19" i="2" s="1"/>
  <c r="AH20" i="2" a="1"/>
  <c r="AH20" i="2" s="1"/>
  <c r="AN20" i="2" s="1"/>
  <c r="AH21" i="2" a="1"/>
  <c r="AH21" i="2" s="1"/>
  <c r="AN21" i="2" s="1"/>
  <c r="AH22" i="2" a="1"/>
  <c r="AH22" i="2" s="1"/>
  <c r="AN22" i="2" s="1"/>
  <c r="AH23" i="2" a="1"/>
  <c r="AH23" i="2" s="1"/>
  <c r="AN23" i="2" s="1"/>
  <c r="AH24" i="2" a="1"/>
  <c r="AH24" i="2" s="1"/>
  <c r="AN24" i="2" s="1"/>
  <c r="AH25" i="2" a="1"/>
  <c r="AH25" i="2" s="1"/>
  <c r="AN25" i="2" s="1"/>
  <c r="AH26" i="2" a="1"/>
  <c r="AH26" i="2" s="1"/>
  <c r="AN26" i="2" s="1"/>
  <c r="AH27" i="2" a="1"/>
  <c r="AH27" i="2" s="1"/>
  <c r="AN27" i="2" s="1"/>
  <c r="AH28" i="2" a="1"/>
  <c r="AH28" i="2" s="1"/>
  <c r="AN28" i="2" s="1"/>
  <c r="AH29" i="2" a="1"/>
  <c r="AH29" i="2" s="1"/>
  <c r="AN29" i="2" s="1"/>
  <c r="AH30" i="2" a="1"/>
  <c r="AH30" i="2" s="1"/>
  <c r="AN30" i="2" s="1"/>
  <c r="AH31" i="2" a="1"/>
  <c r="AH31" i="2" s="1"/>
  <c r="AN31" i="2" s="1"/>
  <c r="AH32" i="2" a="1"/>
  <c r="AH32" i="2" s="1"/>
  <c r="AN32" i="2" s="1"/>
  <c r="AH33" i="2" a="1"/>
  <c r="AH33" i="2" s="1"/>
  <c r="AN33" i="2" s="1"/>
  <c r="AH34" i="2" a="1"/>
  <c r="AH34" i="2" s="1"/>
  <c r="AN34" i="2" s="1"/>
  <c r="AH35" i="2" a="1"/>
  <c r="AH35" i="2" s="1"/>
  <c r="AN35" i="2" s="1"/>
  <c r="AH36" i="2" a="1"/>
  <c r="AH36" i="2" s="1"/>
  <c r="AN36" i="2" s="1"/>
  <c r="AH37" i="2" a="1"/>
  <c r="AH37" i="2" s="1"/>
  <c r="AN37" i="2" s="1"/>
  <c r="AH38" i="2" a="1"/>
  <c r="AH38" i="2" s="1"/>
  <c r="AN38" i="2" s="1"/>
  <c r="AH39" i="2" a="1"/>
  <c r="AH39" i="2" s="1"/>
  <c r="AN39" i="2" s="1"/>
  <c r="AH40" i="2" a="1"/>
  <c r="AH40" i="2" s="1"/>
  <c r="AN40" i="2" s="1"/>
  <c r="AH41" i="2" a="1"/>
  <c r="AH41" i="2" s="1"/>
  <c r="AN41" i="2" s="1"/>
  <c r="AH42" i="2" a="1"/>
  <c r="AH42" i="2" s="1"/>
  <c r="AN42" i="2" s="1"/>
  <c r="AH43" i="2" a="1"/>
  <c r="AH43" i="2" s="1"/>
  <c r="AN43" i="2" s="1"/>
  <c r="AH44" i="2" a="1"/>
  <c r="AH44" i="2" s="1"/>
  <c r="AN44" i="2" s="1"/>
  <c r="AH45" i="2" a="1"/>
  <c r="AH45" i="2" s="1"/>
  <c r="AN45" i="2" s="1"/>
  <c r="AH46" i="2" a="1"/>
  <c r="AH46" i="2" s="1"/>
  <c r="AN46" i="2" s="1"/>
  <c r="AH47" i="2" a="1"/>
  <c r="AH47" i="2" s="1"/>
  <c r="AN47" i="2" s="1"/>
  <c r="AH48" i="2" a="1"/>
  <c r="AH48" i="2" s="1"/>
  <c r="AN48" i="2" s="1"/>
  <c r="AH49" i="2" a="1"/>
  <c r="AH49" i="2" s="1"/>
  <c r="AN49" i="2" s="1"/>
  <c r="AH50" i="2" a="1"/>
  <c r="AH50" i="2" s="1"/>
  <c r="AN50" i="2" s="1"/>
  <c r="AH51" i="2" a="1"/>
  <c r="AH51" i="2" s="1"/>
  <c r="AN51" i="2" s="1"/>
  <c r="AH52" i="2" a="1"/>
  <c r="AH52" i="2" s="1"/>
  <c r="AN52" i="2" s="1"/>
  <c r="AH53" i="2" a="1"/>
  <c r="AH53" i="2" s="1"/>
  <c r="AN53" i="2" s="1"/>
  <c r="AH54" i="2" a="1"/>
  <c r="AH54" i="2" s="1"/>
  <c r="AN54" i="2" s="1"/>
  <c r="AH55" i="2" a="1"/>
  <c r="AH55" i="2" s="1"/>
  <c r="AN55" i="2" s="1"/>
  <c r="AH56" i="2" a="1"/>
  <c r="AH56" i="2" s="1"/>
  <c r="AN56" i="2" s="1"/>
  <c r="AH57" i="2" a="1"/>
  <c r="AH57" i="2" s="1"/>
  <c r="AN57" i="2" s="1"/>
  <c r="AH58" i="2" a="1"/>
  <c r="AH58" i="2" s="1"/>
  <c r="AN58" i="2" s="1"/>
  <c r="AH59" i="2" a="1"/>
  <c r="AH59" i="2" s="1"/>
  <c r="AN59" i="2" s="1"/>
  <c r="AH60" i="2" a="1"/>
  <c r="AH60" i="2" s="1"/>
  <c r="AN60" i="2" s="1"/>
  <c r="AH61" i="2" a="1"/>
  <c r="AH61" i="2" s="1"/>
  <c r="AN61" i="2" s="1"/>
  <c r="AH62" i="2" a="1"/>
  <c r="AH62" i="2" s="1"/>
  <c r="AN62" i="2" s="1"/>
  <c r="AH63" i="2" a="1"/>
  <c r="AH63" i="2" s="1"/>
  <c r="AN63" i="2" s="1"/>
  <c r="AH64" i="2" a="1"/>
  <c r="AH64" i="2" s="1"/>
  <c r="AN64" i="2" s="1"/>
  <c r="AH65" i="2" a="1"/>
  <c r="AH65" i="2" s="1"/>
  <c r="AN65" i="2" s="1"/>
  <c r="AH66" i="2" a="1"/>
  <c r="AH66" i="2" s="1"/>
  <c r="AN66" i="2" s="1"/>
  <c r="AH67" i="2" a="1"/>
  <c r="AH67" i="2" s="1"/>
  <c r="AN67" i="2" s="1"/>
  <c r="AH68" i="2" a="1"/>
  <c r="AH68" i="2" s="1"/>
  <c r="AN68" i="2" s="1"/>
  <c r="AH69" i="2" a="1"/>
  <c r="AH69" i="2" s="1"/>
  <c r="AN69" i="2" s="1"/>
  <c r="AH70" i="2" a="1"/>
  <c r="AH70" i="2" s="1"/>
  <c r="AN70" i="2" s="1"/>
  <c r="AH71" i="2" a="1"/>
  <c r="AH71" i="2" s="1"/>
  <c r="AN71" i="2" s="1"/>
  <c r="AH72" i="2" a="1"/>
  <c r="AH72" i="2" s="1"/>
  <c r="AN72" i="2" s="1"/>
  <c r="AH73" i="2" a="1"/>
  <c r="AH73" i="2" s="1"/>
  <c r="AN73" i="2" s="1"/>
  <c r="AH74" i="2" a="1"/>
  <c r="AH74" i="2" s="1"/>
  <c r="AN74" i="2" s="1"/>
  <c r="AH75" i="2" a="1"/>
  <c r="AH75" i="2" s="1"/>
  <c r="AN75" i="2" s="1"/>
  <c r="AH76" i="2" a="1"/>
  <c r="AH76" i="2" s="1"/>
  <c r="AN76" i="2" s="1"/>
  <c r="AH77" i="2" a="1"/>
  <c r="AH77" i="2" s="1"/>
  <c r="AN77" i="2" s="1"/>
  <c r="AH78" i="2" a="1"/>
  <c r="AH78" i="2" s="1"/>
  <c r="AN78" i="2" s="1"/>
  <c r="AH79" i="2" a="1"/>
  <c r="AH79" i="2" s="1"/>
  <c r="AN79" i="2" s="1"/>
  <c r="AH80" i="2" a="1"/>
  <c r="AH80" i="2" s="1"/>
  <c r="AN80" i="2" s="1"/>
  <c r="AH81" i="2" a="1"/>
  <c r="AH81" i="2" s="1"/>
  <c r="AN81" i="2" s="1"/>
  <c r="AH82" i="2" a="1"/>
  <c r="AH82" i="2" s="1"/>
  <c r="AN82" i="2" s="1"/>
  <c r="AH83" i="2" a="1"/>
  <c r="AH83" i="2" s="1"/>
  <c r="AN83" i="2" s="1"/>
  <c r="AH84" i="2" a="1"/>
  <c r="AH84" i="2" s="1"/>
  <c r="AN84" i="2" s="1"/>
  <c r="AH85" i="2" a="1"/>
  <c r="AH85" i="2" s="1"/>
  <c r="AN85" i="2" s="1"/>
  <c r="AH86" i="2" a="1"/>
  <c r="AH86" i="2" s="1"/>
  <c r="AN86" i="2" s="1"/>
  <c r="AH87" i="2" a="1"/>
  <c r="AH87" i="2" s="1"/>
  <c r="AN87" i="2" s="1"/>
  <c r="AH88" i="2" a="1"/>
  <c r="AH88" i="2" s="1"/>
  <c r="AN88" i="2" s="1"/>
  <c r="AH89" i="2" a="1"/>
  <c r="AH89" i="2" s="1"/>
  <c r="AN89" i="2" s="1"/>
  <c r="AH90" i="2" a="1"/>
  <c r="AH90" i="2" s="1"/>
  <c r="AN90" i="2" s="1"/>
  <c r="AH91" i="2" a="1"/>
  <c r="AH91" i="2" s="1"/>
  <c r="AN91" i="2" s="1"/>
  <c r="AH92" i="2" a="1"/>
  <c r="AH92" i="2" s="1"/>
  <c r="AN92" i="2" s="1"/>
  <c r="AH93" i="2" a="1"/>
  <c r="AH93" i="2" s="1"/>
  <c r="AN93" i="2" s="1"/>
  <c r="AH94" i="2" a="1"/>
  <c r="AH94" i="2" s="1"/>
  <c r="AN94" i="2" s="1"/>
  <c r="AH95" i="2" a="1"/>
  <c r="AH95" i="2" s="1"/>
  <c r="AN95" i="2" s="1"/>
  <c r="AH96" i="2" a="1"/>
  <c r="AH96" i="2" s="1"/>
  <c r="AN96" i="2" s="1"/>
  <c r="AH97" i="2" a="1"/>
  <c r="AH97" i="2" s="1"/>
  <c r="AN97" i="2" s="1"/>
  <c r="AH98" i="2" a="1"/>
  <c r="AH98" i="2" s="1"/>
  <c r="AN98" i="2" s="1"/>
  <c r="AH99" i="2" a="1"/>
  <c r="AH99" i="2" s="1"/>
  <c r="AN99" i="2" s="1"/>
  <c r="AH100" i="2" a="1"/>
  <c r="AH100" i="2" s="1"/>
  <c r="AN100" i="2" s="1"/>
  <c r="AH101" i="2" a="1"/>
  <c r="AH101" i="2" s="1"/>
  <c r="AN101" i="2" s="1"/>
  <c r="AH102" i="2" a="1"/>
  <c r="AH102" i="2" s="1"/>
  <c r="AN102" i="2" s="1"/>
  <c r="AH103" i="2" a="1"/>
  <c r="AH103" i="2" s="1"/>
  <c r="AN103" i="2" s="1"/>
  <c r="AH104" i="2" a="1"/>
  <c r="AH104" i="2" s="1"/>
  <c r="AN104" i="2" s="1"/>
  <c r="AH105" i="2" a="1"/>
  <c r="AH105" i="2" s="1"/>
  <c r="AN105" i="2" s="1"/>
  <c r="AH106" i="2" a="1"/>
  <c r="AH106" i="2" s="1"/>
  <c r="AN106" i="2" s="1"/>
  <c r="AH107" i="2" a="1"/>
  <c r="AH107" i="2" s="1"/>
  <c r="AN107" i="2" s="1"/>
  <c r="AH108" i="2" a="1"/>
  <c r="AH108" i="2" s="1"/>
  <c r="AN108" i="2" s="1"/>
  <c r="AH109" i="2" a="1"/>
  <c r="AH109" i="2" s="1"/>
  <c r="AN109" i="2" s="1"/>
  <c r="AH110" i="2" a="1"/>
  <c r="AH110" i="2" s="1"/>
  <c r="AN110" i="2" s="1"/>
  <c r="AH111" i="2" a="1"/>
  <c r="AH111" i="2" s="1"/>
  <c r="AN111" i="2" s="1"/>
  <c r="AH112" i="2" a="1"/>
  <c r="AH112" i="2" s="1"/>
  <c r="AN112" i="2" s="1"/>
  <c r="AH113" i="2" a="1"/>
  <c r="AH113" i="2" s="1"/>
  <c r="AN113" i="2" s="1"/>
  <c r="AH114" i="2" a="1"/>
  <c r="AH114" i="2" s="1"/>
  <c r="AN114" i="2" s="1"/>
  <c r="AH115" i="2" a="1"/>
  <c r="AH115" i="2" s="1"/>
  <c r="AN115" i="2" s="1"/>
  <c r="AH116" i="2" a="1"/>
  <c r="AH116" i="2" s="1"/>
  <c r="AN116" i="2" s="1"/>
  <c r="AH117" i="2" a="1"/>
  <c r="AH117" i="2" s="1"/>
  <c r="AN117" i="2" s="1"/>
  <c r="AH118" i="2" a="1"/>
  <c r="AH118" i="2" s="1"/>
  <c r="AN118" i="2" s="1"/>
  <c r="AH119" i="2" a="1"/>
  <c r="AH119" i="2" s="1"/>
  <c r="AN119" i="2" s="1"/>
  <c r="AH120" i="2" a="1"/>
  <c r="AH120" i="2" s="1"/>
  <c r="AN120" i="2" s="1"/>
  <c r="AH121" i="2" a="1"/>
  <c r="AH121" i="2" s="1"/>
  <c r="AN121" i="2" s="1"/>
  <c r="AH122" i="2" a="1"/>
  <c r="AH122" i="2" s="1"/>
  <c r="AN122" i="2" s="1"/>
  <c r="AH123" i="2" a="1"/>
  <c r="AH123" i="2" s="1"/>
  <c r="AN123" i="2" s="1"/>
  <c r="AH124" i="2" a="1"/>
  <c r="AH124" i="2" s="1"/>
  <c r="AN124" i="2" s="1"/>
  <c r="AH125" i="2" a="1"/>
  <c r="AH125" i="2" s="1"/>
  <c r="AN125" i="2" s="1"/>
  <c r="AH126" i="2" a="1"/>
  <c r="AH126" i="2" s="1"/>
  <c r="AN126" i="2" s="1"/>
  <c r="AH127" i="2" a="1"/>
  <c r="AH127" i="2" s="1"/>
  <c r="AN127" i="2" s="1"/>
  <c r="AH128" i="2" a="1"/>
  <c r="AH128" i="2" s="1"/>
  <c r="AN128" i="2" s="1"/>
  <c r="AH129" i="2" a="1"/>
  <c r="AH129" i="2" s="1"/>
  <c r="AN129" i="2" s="1"/>
  <c r="AH130" i="2" a="1"/>
  <c r="AH130" i="2" s="1"/>
  <c r="AN130" i="2" s="1"/>
  <c r="AH131" i="2" a="1"/>
  <c r="AH131" i="2" s="1"/>
  <c r="AN131" i="2" s="1"/>
  <c r="AH132" i="2" a="1"/>
  <c r="AH132" i="2" s="1"/>
  <c r="AN132" i="2" s="1"/>
  <c r="AH133" i="2" a="1"/>
  <c r="AH133" i="2" s="1"/>
  <c r="AN133" i="2" s="1"/>
  <c r="AH134" i="2" a="1"/>
  <c r="AH134" i="2" s="1"/>
  <c r="AN134" i="2" s="1"/>
  <c r="AH135" i="2" a="1"/>
  <c r="AH135" i="2" s="1"/>
  <c r="AN135" i="2" s="1"/>
  <c r="AH136" i="2" a="1"/>
  <c r="AH136" i="2" s="1"/>
  <c r="AN136" i="2" s="1"/>
  <c r="AH137" i="2" a="1"/>
  <c r="AH137" i="2" s="1"/>
  <c r="AN137" i="2" s="1"/>
  <c r="AH138" i="2" a="1"/>
  <c r="AH138" i="2" s="1"/>
  <c r="AN138" i="2" s="1"/>
  <c r="AH139" i="2" a="1"/>
  <c r="AH139" i="2" s="1"/>
  <c r="AN139" i="2" s="1"/>
  <c r="AH140" i="2" a="1"/>
  <c r="AH140" i="2" s="1"/>
  <c r="AN140" i="2" s="1"/>
  <c r="AH141" i="2" a="1"/>
  <c r="AH141" i="2" s="1"/>
  <c r="AN141" i="2" s="1"/>
  <c r="AH142" i="2" a="1"/>
  <c r="AH142" i="2" s="1"/>
  <c r="AN142" i="2" s="1"/>
  <c r="AH143" i="2" a="1"/>
  <c r="AH143" i="2" s="1"/>
  <c r="AN143" i="2" s="1"/>
  <c r="AH144" i="2" a="1"/>
  <c r="AH144" i="2" s="1"/>
  <c r="AN144" i="2" s="1"/>
  <c r="AH145" i="2" a="1"/>
  <c r="AH145" i="2" s="1"/>
  <c r="AN145" i="2" s="1"/>
  <c r="AH146" i="2" a="1"/>
  <c r="AH146" i="2" s="1"/>
  <c r="AN146" i="2" s="1"/>
  <c r="AH147" i="2" a="1"/>
  <c r="AH147" i="2" s="1"/>
  <c r="AN147" i="2" s="1"/>
  <c r="AH148" i="2" a="1"/>
  <c r="AH148" i="2" s="1"/>
  <c r="AN148" i="2" s="1"/>
  <c r="AH149" i="2" a="1"/>
  <c r="AH149" i="2" s="1"/>
  <c r="AN149" i="2" s="1"/>
  <c r="AH150" i="2" a="1"/>
  <c r="AH150" i="2" s="1"/>
  <c r="AN150" i="2" s="1"/>
  <c r="AH151" i="2" a="1"/>
  <c r="AH151" i="2" s="1"/>
  <c r="AN151" i="2" s="1"/>
  <c r="AH152" i="2" a="1"/>
  <c r="AH152" i="2" s="1"/>
  <c r="AN152" i="2" s="1"/>
  <c r="AH153" i="2" a="1"/>
  <c r="AH153" i="2" s="1"/>
  <c r="AN153" i="2" s="1"/>
  <c r="AH154" i="2" a="1"/>
  <c r="AH154" i="2" s="1"/>
  <c r="AN154" i="2" s="1"/>
  <c r="AH155" i="2" a="1"/>
  <c r="AH155" i="2" s="1"/>
  <c r="AN155" i="2" s="1"/>
  <c r="AH156" i="2" a="1"/>
  <c r="AH156" i="2" s="1"/>
  <c r="AN156" i="2" s="1"/>
  <c r="AH157" i="2" a="1"/>
  <c r="AH157" i="2" s="1"/>
  <c r="AN157" i="2" s="1"/>
  <c r="AH158" i="2" a="1"/>
  <c r="AH158" i="2" s="1"/>
  <c r="AN158" i="2" s="1"/>
  <c r="AH159" i="2" a="1"/>
  <c r="AH159" i="2" s="1"/>
  <c r="AN159" i="2" s="1"/>
  <c r="AH160" i="2" a="1"/>
  <c r="AH160" i="2" s="1"/>
  <c r="AN160" i="2" s="1"/>
  <c r="AH161" i="2" a="1"/>
  <c r="AH161" i="2" s="1"/>
  <c r="AN161" i="2" s="1"/>
  <c r="AH162" i="2" a="1"/>
  <c r="AH162" i="2" s="1"/>
  <c r="AN162" i="2" s="1"/>
  <c r="AH163" i="2" a="1"/>
  <c r="AH163" i="2" s="1"/>
  <c r="AN163" i="2" s="1"/>
  <c r="AH164" i="2" a="1"/>
  <c r="AH164" i="2" s="1"/>
  <c r="AN164" i="2" s="1"/>
  <c r="AH165" i="2" a="1"/>
  <c r="AH165" i="2" s="1"/>
  <c r="AN165" i="2" s="1"/>
  <c r="AH166" i="2" a="1"/>
  <c r="AH166" i="2" s="1"/>
  <c r="AN166" i="2" s="1"/>
  <c r="AH167" i="2" a="1"/>
  <c r="AH167" i="2" s="1"/>
  <c r="AN167" i="2" s="1"/>
  <c r="AH168" i="2" a="1"/>
  <c r="AH168" i="2" s="1"/>
  <c r="AN168" i="2" s="1"/>
  <c r="AH169" i="2" a="1"/>
  <c r="AH169" i="2" s="1"/>
  <c r="AN169" i="2" s="1"/>
  <c r="AH170" i="2" a="1"/>
  <c r="AH170" i="2" s="1"/>
  <c r="AN170" i="2" s="1"/>
  <c r="AH171" i="2" a="1"/>
  <c r="AH171" i="2" s="1"/>
  <c r="AN171" i="2" s="1"/>
  <c r="AH172" i="2" a="1"/>
  <c r="AH172" i="2" s="1"/>
  <c r="AN172" i="2" s="1"/>
  <c r="AH173" i="2" a="1"/>
  <c r="AH173" i="2" s="1"/>
  <c r="AN173" i="2" s="1"/>
  <c r="AH174" i="2" a="1"/>
  <c r="AH174" i="2" s="1"/>
  <c r="AN174" i="2" s="1"/>
  <c r="AH175" i="2" a="1"/>
  <c r="AH175" i="2" s="1"/>
  <c r="AN175" i="2" s="1"/>
  <c r="AH176" i="2" a="1"/>
  <c r="AH176" i="2" s="1"/>
  <c r="AN176" i="2" s="1"/>
  <c r="AH177" i="2" a="1"/>
  <c r="AH177" i="2" s="1"/>
  <c r="AN177" i="2" s="1"/>
  <c r="AH178" i="2" a="1"/>
  <c r="AH178" i="2" s="1"/>
  <c r="AN178" i="2" s="1"/>
  <c r="AH179" i="2" a="1"/>
  <c r="AH179" i="2" s="1"/>
  <c r="AN179" i="2" s="1"/>
  <c r="AH180" i="2" a="1"/>
  <c r="AH180" i="2" s="1"/>
  <c r="AN180" i="2" s="1"/>
  <c r="AH181" i="2" a="1"/>
  <c r="AH181" i="2" s="1"/>
  <c r="AN181" i="2" s="1"/>
  <c r="AH182" i="2" a="1"/>
  <c r="AH182" i="2" s="1"/>
  <c r="AN182" i="2" s="1"/>
  <c r="AH183" i="2" a="1"/>
  <c r="AH183" i="2" s="1"/>
  <c r="AN183" i="2" s="1"/>
  <c r="AH184" i="2" a="1"/>
  <c r="AH184" i="2" s="1"/>
  <c r="AN184" i="2" s="1"/>
  <c r="AH185" i="2" a="1"/>
  <c r="AH185" i="2" s="1"/>
  <c r="AN185" i="2" s="1"/>
  <c r="AH186" i="2" a="1"/>
  <c r="AH186" i="2" s="1"/>
  <c r="AN186" i="2" s="1"/>
  <c r="AH187" i="2" a="1"/>
  <c r="AH187" i="2" s="1"/>
  <c r="AN187" i="2" s="1"/>
  <c r="AH188" i="2" a="1"/>
  <c r="AH188" i="2" s="1"/>
  <c r="AN188" i="2" s="1"/>
  <c r="AH189" i="2" a="1"/>
  <c r="AH189" i="2" s="1"/>
  <c r="AN189" i="2" s="1"/>
  <c r="AH190" i="2" a="1"/>
  <c r="AH190" i="2" s="1"/>
  <c r="AN190" i="2" s="1"/>
  <c r="AH191" i="2" a="1"/>
  <c r="AH191" i="2" s="1"/>
  <c r="AN191" i="2" s="1"/>
  <c r="AH192" i="2" a="1"/>
  <c r="AH192" i="2" s="1"/>
  <c r="AN192" i="2" s="1"/>
  <c r="AH193" i="2" a="1"/>
  <c r="AH193" i="2" s="1"/>
  <c r="AN193" i="2" s="1"/>
  <c r="AH194" i="2" a="1"/>
  <c r="AH194" i="2" s="1"/>
  <c r="AN194" i="2" s="1"/>
  <c r="AH195" i="2" a="1"/>
  <c r="AH195" i="2" s="1"/>
  <c r="AN195" i="2" s="1"/>
  <c r="AH196" i="2" a="1"/>
  <c r="AH196" i="2" s="1"/>
  <c r="AN196" i="2" s="1"/>
  <c r="AH197" i="2" a="1"/>
  <c r="AH197" i="2" s="1"/>
  <c r="AN197" i="2" s="1"/>
  <c r="AH198" i="2" a="1"/>
  <c r="AH198" i="2" s="1"/>
  <c r="AN198" i="2" s="1"/>
  <c r="AH199" i="2" a="1"/>
  <c r="AH199" i="2" s="1"/>
  <c r="AN199" i="2" s="1"/>
  <c r="AH200" i="2" a="1"/>
  <c r="AH200" i="2" s="1"/>
  <c r="AN200" i="2" s="1"/>
  <c r="AH201" i="2" a="1"/>
  <c r="AH201" i="2" s="1"/>
  <c r="AN201" i="2" s="1"/>
  <c r="AH202" i="2" a="1"/>
  <c r="AH202" i="2" s="1"/>
  <c r="AN202" i="2" s="1"/>
  <c r="AH203" i="2" a="1"/>
  <c r="AH203" i="2" s="1"/>
  <c r="AN203" i="2" s="1"/>
  <c r="AH204" i="2" a="1"/>
  <c r="AH204" i="2" s="1"/>
  <c r="AN204" i="2" s="1"/>
  <c r="AH205" i="2" a="1"/>
  <c r="AH205" i="2" s="1"/>
  <c r="AN205" i="2" s="1"/>
  <c r="AH206" i="2" a="1"/>
  <c r="AH206" i="2" s="1"/>
  <c r="AN206" i="2" s="1"/>
  <c r="AH207" i="2" a="1"/>
  <c r="AH207" i="2" s="1"/>
  <c r="AN207" i="2" s="1"/>
  <c r="AH208" i="2" a="1"/>
  <c r="AH208" i="2" s="1"/>
  <c r="AN208" i="2" s="1"/>
  <c r="AH209" i="2" a="1"/>
  <c r="AH209" i="2" s="1"/>
  <c r="AN209" i="2" s="1"/>
  <c r="AH210" i="2" a="1"/>
  <c r="AH210" i="2" s="1"/>
  <c r="AN210" i="2" s="1"/>
  <c r="AH211" i="2" a="1"/>
  <c r="AH211" i="2" s="1"/>
  <c r="AN211" i="2" s="1"/>
  <c r="AH212" i="2" a="1"/>
  <c r="AH212" i="2" s="1"/>
  <c r="AN212" i="2" s="1"/>
  <c r="AH213" i="2" a="1"/>
  <c r="AH213" i="2" s="1"/>
  <c r="AN213" i="2" s="1"/>
  <c r="AH214" i="2" a="1"/>
  <c r="AH214" i="2" s="1"/>
  <c r="AN214" i="2" s="1"/>
  <c r="AH215" i="2" a="1"/>
  <c r="AH215" i="2" s="1"/>
  <c r="AN215" i="2" s="1"/>
  <c r="AH216" i="2" a="1"/>
  <c r="AH216" i="2" s="1"/>
  <c r="AN216" i="2" s="1"/>
  <c r="AH217" i="2" a="1"/>
  <c r="AH217" i="2" s="1"/>
  <c r="AN217" i="2" s="1"/>
  <c r="AH218" i="2" a="1"/>
  <c r="AH218" i="2" s="1"/>
  <c r="AN218" i="2" s="1"/>
  <c r="AH219" i="2" a="1"/>
  <c r="AH219" i="2" s="1"/>
  <c r="AN219" i="2" s="1"/>
  <c r="AH220" i="2" a="1"/>
  <c r="AH220" i="2" s="1"/>
  <c r="AN220" i="2" s="1"/>
  <c r="AH221" i="2" a="1"/>
  <c r="AH221" i="2" s="1"/>
  <c r="AN221" i="2" s="1"/>
  <c r="AH222" i="2" a="1"/>
  <c r="AH222" i="2" s="1"/>
  <c r="AN222" i="2" s="1"/>
  <c r="AH223" i="2" a="1"/>
  <c r="AH223" i="2" s="1"/>
  <c r="AN223" i="2" s="1"/>
  <c r="AH224" i="2" a="1"/>
  <c r="AH224" i="2" s="1"/>
  <c r="AN224" i="2" s="1"/>
  <c r="AH225" i="2" a="1"/>
  <c r="AH225" i="2" s="1"/>
  <c r="AN225" i="2" s="1"/>
  <c r="AH226" i="2" a="1"/>
  <c r="AH226" i="2" s="1"/>
  <c r="AN226" i="2" s="1"/>
  <c r="AH227" i="2" a="1"/>
  <c r="AH227" i="2" s="1"/>
  <c r="AN227" i="2" s="1"/>
  <c r="AH228" i="2" a="1"/>
  <c r="AH228" i="2" s="1"/>
  <c r="AN228" i="2" s="1"/>
  <c r="AH229" i="2" a="1"/>
  <c r="AH229" i="2" s="1"/>
  <c r="AN229" i="2" s="1"/>
  <c r="AH230" i="2" a="1"/>
  <c r="AH230" i="2" s="1"/>
  <c r="AN230" i="2" s="1"/>
  <c r="AH231" i="2" a="1"/>
  <c r="AH231" i="2" s="1"/>
  <c r="AN231" i="2" s="1"/>
  <c r="AH232" i="2" a="1"/>
  <c r="AH232" i="2" s="1"/>
  <c r="AN232" i="2" s="1"/>
  <c r="AH233" i="2" a="1"/>
  <c r="AH233" i="2" s="1"/>
  <c r="AN233" i="2" s="1"/>
  <c r="AH234" i="2" a="1"/>
  <c r="AH234" i="2" s="1"/>
  <c r="AN234" i="2" s="1"/>
  <c r="AH235" i="2" a="1"/>
  <c r="AH235" i="2" s="1"/>
  <c r="AN235" i="2" s="1"/>
  <c r="AH236" i="2" a="1"/>
  <c r="AH236" i="2" s="1"/>
  <c r="AN236" i="2" s="1"/>
  <c r="AH237" i="2" a="1"/>
  <c r="AH237" i="2" s="1"/>
  <c r="AN237" i="2" s="1"/>
  <c r="AH238" i="2" a="1"/>
  <c r="AH238" i="2" s="1"/>
  <c r="AN238" i="2" s="1"/>
  <c r="AH239" i="2" a="1"/>
  <c r="AH239" i="2" s="1"/>
  <c r="AN239" i="2" s="1"/>
  <c r="AH240" i="2" a="1"/>
  <c r="AH240" i="2" s="1"/>
  <c r="AN240" i="2" s="1"/>
  <c r="AH241" i="2" a="1"/>
  <c r="AH241" i="2" s="1"/>
  <c r="AN241" i="2" s="1"/>
  <c r="AH242" i="2" a="1"/>
  <c r="AH242" i="2" s="1"/>
  <c r="AN242" i="2" s="1"/>
  <c r="AH243" i="2" a="1"/>
  <c r="AH243" i="2" s="1"/>
  <c r="AN243" i="2" s="1"/>
  <c r="AH244" i="2" a="1"/>
  <c r="AH244" i="2" s="1"/>
  <c r="AN244" i="2" s="1"/>
  <c r="AH245" i="2" a="1"/>
  <c r="AH245" i="2" s="1"/>
  <c r="AN245" i="2" s="1"/>
  <c r="AH246" i="2" a="1"/>
  <c r="AH246" i="2" s="1"/>
  <c r="AN246" i="2" s="1"/>
  <c r="AH247" i="2" a="1"/>
  <c r="AH247" i="2" s="1"/>
  <c r="AN247" i="2" s="1"/>
  <c r="AH248" i="2" a="1"/>
  <c r="AH248" i="2" s="1"/>
  <c r="AN248" i="2" s="1"/>
  <c r="AH249" i="2" a="1"/>
  <c r="AH249" i="2" s="1"/>
  <c r="AN249" i="2" s="1"/>
  <c r="AH250" i="2" a="1"/>
  <c r="AH250" i="2" s="1"/>
  <c r="AN250" i="2" s="1"/>
  <c r="AH251" i="2" a="1"/>
  <c r="AH251" i="2" s="1"/>
  <c r="AN251" i="2" s="1"/>
  <c r="AH252" i="2" a="1"/>
  <c r="AH252" i="2" s="1"/>
  <c r="AN252" i="2" s="1"/>
  <c r="AH253" i="2" a="1"/>
  <c r="AH253" i="2" s="1"/>
  <c r="AN253" i="2" s="1"/>
  <c r="AH254" i="2" a="1"/>
  <c r="AH254" i="2" s="1"/>
  <c r="AN254" i="2" s="1"/>
  <c r="AH255" i="2" a="1"/>
  <c r="AH255" i="2" s="1"/>
  <c r="AN255" i="2" s="1"/>
  <c r="AH256" i="2" a="1"/>
  <c r="AH256" i="2" s="1"/>
  <c r="AN256" i="2" s="1"/>
  <c r="AH257" i="2" a="1"/>
  <c r="AH257" i="2" s="1"/>
  <c r="AN257" i="2" s="1"/>
  <c r="AH258" i="2" a="1"/>
  <c r="AH258" i="2" s="1"/>
  <c r="AN258" i="2" s="1"/>
  <c r="AH259" i="2" a="1"/>
  <c r="AH259" i="2" s="1"/>
  <c r="AN259" i="2" s="1"/>
  <c r="AH260" i="2" a="1"/>
  <c r="AH260" i="2" s="1"/>
  <c r="AN260" i="2" s="1"/>
  <c r="AH261" i="2" a="1"/>
  <c r="AH261" i="2" s="1"/>
  <c r="AN261" i="2" s="1"/>
  <c r="AH262" i="2" a="1"/>
  <c r="AH262" i="2" s="1"/>
  <c r="AN262" i="2" s="1"/>
  <c r="AH263" i="2" a="1"/>
  <c r="AH263" i="2" s="1"/>
  <c r="AN263" i="2" s="1"/>
  <c r="AH264" i="2" a="1"/>
  <c r="AH264" i="2" s="1"/>
  <c r="AN264" i="2" s="1"/>
  <c r="AH265" i="2" a="1"/>
  <c r="AH265" i="2" s="1"/>
  <c r="AN265" i="2" s="1"/>
  <c r="AH266" i="2" a="1"/>
  <c r="AH266" i="2" s="1"/>
  <c r="AN266" i="2" s="1"/>
  <c r="AH267" i="2" a="1"/>
  <c r="AH267" i="2" s="1"/>
  <c r="AN267" i="2" s="1"/>
  <c r="AH268" i="2" a="1"/>
  <c r="AH268" i="2" s="1"/>
  <c r="AN268" i="2" s="1"/>
  <c r="AH269" i="2" a="1"/>
  <c r="AH269" i="2" s="1"/>
  <c r="AN269" i="2" s="1"/>
  <c r="AH270" i="2" a="1"/>
  <c r="AH270" i="2" s="1"/>
  <c r="AN270" i="2" s="1"/>
  <c r="AH271" i="2" a="1"/>
  <c r="AH271" i="2" s="1"/>
  <c r="AN271" i="2" s="1"/>
  <c r="AH272" i="2" a="1"/>
  <c r="AH272" i="2" s="1"/>
  <c r="AN272" i="2" s="1"/>
  <c r="AH273" i="2" a="1"/>
  <c r="AH273" i="2" s="1"/>
  <c r="AN273" i="2" s="1"/>
  <c r="AH274" i="2" a="1"/>
  <c r="AH274" i="2" s="1"/>
  <c r="AN274" i="2" s="1"/>
  <c r="AH275" i="2" a="1"/>
  <c r="AH275" i="2" s="1"/>
  <c r="AN275" i="2" s="1"/>
  <c r="AH276" i="2" a="1"/>
  <c r="AH276" i="2" s="1"/>
  <c r="AN276" i="2" s="1"/>
  <c r="AH277" i="2" a="1"/>
  <c r="AH277" i="2" s="1"/>
  <c r="AN277" i="2" s="1"/>
  <c r="AH278" i="2" a="1"/>
  <c r="AH278" i="2" s="1"/>
  <c r="AN278" i="2" s="1"/>
  <c r="AH279" i="2" a="1"/>
  <c r="AH279" i="2" s="1"/>
  <c r="AN279" i="2" s="1"/>
  <c r="AH280" i="2" a="1"/>
  <c r="AH280" i="2" s="1"/>
  <c r="AN280" i="2" s="1"/>
  <c r="AH281" i="2" a="1"/>
  <c r="AH281" i="2" s="1"/>
  <c r="AN281" i="2" s="1"/>
  <c r="AH282" i="2" a="1"/>
  <c r="AH282" i="2" s="1"/>
  <c r="AN282" i="2" s="1"/>
  <c r="AH283" i="2" a="1"/>
  <c r="AH283" i="2" s="1"/>
  <c r="AN283" i="2" s="1"/>
  <c r="AH284" i="2" a="1"/>
  <c r="AH284" i="2" s="1"/>
  <c r="AN284" i="2" s="1"/>
  <c r="AH285" i="2" a="1"/>
  <c r="AH285" i="2" s="1"/>
  <c r="AN285" i="2" s="1"/>
  <c r="AH286" i="2" a="1"/>
  <c r="AH286" i="2" s="1"/>
  <c r="AN286" i="2" s="1"/>
  <c r="AH287" i="2" a="1"/>
  <c r="AH287" i="2" s="1"/>
  <c r="AN287" i="2" s="1"/>
  <c r="AH288" i="2" a="1"/>
  <c r="AH288" i="2" s="1"/>
  <c r="AN288" i="2" s="1"/>
  <c r="AH289" i="2" a="1"/>
  <c r="AH289" i="2" s="1"/>
  <c r="AN289" i="2" s="1"/>
  <c r="AH290" i="2" a="1"/>
  <c r="AH290" i="2" s="1"/>
  <c r="AN290" i="2" s="1"/>
  <c r="AH291" i="2" a="1"/>
  <c r="AH291" i="2" s="1"/>
  <c r="AN291" i="2" s="1"/>
  <c r="AH292" i="2" a="1"/>
  <c r="AH292" i="2" s="1"/>
  <c r="AN292" i="2" s="1"/>
  <c r="AH293" i="2" a="1"/>
  <c r="AH293" i="2" s="1"/>
  <c r="AN293" i="2" s="1"/>
  <c r="AH294" i="2" a="1"/>
  <c r="AH294" i="2" s="1"/>
  <c r="AN294" i="2" s="1"/>
  <c r="AH295" i="2" a="1"/>
  <c r="AH295" i="2" s="1"/>
  <c r="AN295" i="2" s="1"/>
  <c r="AH296" i="2" a="1"/>
  <c r="AH296" i="2" s="1"/>
  <c r="AN296" i="2" s="1"/>
  <c r="AH297" i="2" a="1"/>
  <c r="AH297" i="2" s="1"/>
  <c r="AN297" i="2" s="1"/>
  <c r="AH298" i="2" a="1"/>
  <c r="AH298" i="2" s="1"/>
  <c r="AN298" i="2" s="1"/>
  <c r="AH299" i="2" a="1"/>
  <c r="AH299" i="2" s="1"/>
  <c r="AN299" i="2" s="1"/>
  <c r="AH300" i="2" a="1"/>
  <c r="AH300" i="2" s="1"/>
  <c r="AN300" i="2" s="1"/>
  <c r="AH301" i="2" a="1"/>
  <c r="AH301" i="2" s="1"/>
  <c r="AN301" i="2" s="1"/>
  <c r="AH302" i="2" a="1"/>
  <c r="AH302" i="2" s="1"/>
  <c r="AN302" i="2" s="1"/>
  <c r="AH303" i="2" a="1"/>
  <c r="AH303" i="2" s="1"/>
  <c r="AN303" i="2" s="1"/>
  <c r="AH304" i="2" a="1"/>
  <c r="AH304" i="2" s="1"/>
  <c r="AN304" i="2" s="1"/>
  <c r="AH305" i="2" a="1"/>
  <c r="AH305" i="2" s="1"/>
  <c r="AN305" i="2" s="1"/>
  <c r="AH306" i="2" a="1"/>
  <c r="AH306" i="2" s="1"/>
  <c r="AN306" i="2" s="1"/>
  <c r="AH307" i="2" a="1"/>
  <c r="AH307" i="2" s="1"/>
  <c r="AN307" i="2" s="1"/>
  <c r="AH308" i="2" a="1"/>
  <c r="AH308" i="2" s="1"/>
  <c r="AN308" i="2" s="1"/>
  <c r="AH309" i="2" a="1"/>
  <c r="AH309" i="2" s="1"/>
  <c r="AN309" i="2" s="1"/>
  <c r="AH310" i="2" a="1"/>
  <c r="AH310" i="2" s="1"/>
  <c r="AN310" i="2" s="1"/>
  <c r="AH311" i="2" a="1"/>
  <c r="AH311" i="2" s="1"/>
  <c r="AN311" i="2" s="1"/>
  <c r="AH312" i="2" a="1"/>
  <c r="AH312" i="2" s="1"/>
  <c r="AN312" i="2" s="1"/>
  <c r="AH313" i="2" a="1"/>
  <c r="AH313" i="2" s="1"/>
  <c r="AN313" i="2" s="1"/>
  <c r="AH314" i="2" a="1"/>
  <c r="AH314" i="2" s="1"/>
  <c r="AN314" i="2" s="1"/>
  <c r="AH315" i="2" a="1"/>
  <c r="AH315" i="2" s="1"/>
  <c r="AN315" i="2" s="1"/>
  <c r="AH316" i="2" a="1"/>
  <c r="AH316" i="2" s="1"/>
  <c r="AN316" i="2" s="1"/>
  <c r="AH317" i="2" a="1"/>
  <c r="AH317" i="2" s="1"/>
  <c r="AN317" i="2" s="1"/>
  <c r="AH318" i="2" a="1"/>
  <c r="AH318" i="2" s="1"/>
  <c r="AN318" i="2" s="1"/>
  <c r="AH319" i="2" a="1"/>
  <c r="AH319" i="2" s="1"/>
  <c r="AN319" i="2" s="1"/>
  <c r="AH320" i="2" a="1"/>
  <c r="AH320" i="2" s="1"/>
  <c r="AN320" i="2" s="1"/>
  <c r="AH321" i="2" a="1"/>
  <c r="AH321" i="2" s="1"/>
  <c r="AN321" i="2" s="1"/>
  <c r="AH322" i="2" a="1"/>
  <c r="AH322" i="2" s="1"/>
  <c r="AN322" i="2" s="1"/>
  <c r="AH323" i="2" a="1"/>
  <c r="AH323" i="2" s="1"/>
  <c r="AN323" i="2" s="1"/>
  <c r="AH324" i="2" a="1"/>
  <c r="AH324" i="2" s="1"/>
  <c r="AN324" i="2" s="1"/>
  <c r="AH325" i="2" a="1"/>
  <c r="AH325" i="2" s="1"/>
  <c r="AN325" i="2" s="1"/>
  <c r="AH326" i="2" a="1"/>
  <c r="AH326" i="2" s="1"/>
  <c r="AN326" i="2" s="1"/>
  <c r="AH327" i="2" a="1"/>
  <c r="AH327" i="2" s="1"/>
  <c r="AN327" i="2" s="1"/>
  <c r="AH328" i="2" a="1"/>
  <c r="AH328" i="2" s="1"/>
  <c r="AN328" i="2" s="1"/>
  <c r="AH329" i="2" a="1"/>
  <c r="AH329" i="2" s="1"/>
  <c r="AN329" i="2" s="1"/>
  <c r="AH330" i="2" a="1"/>
  <c r="AH330" i="2" s="1"/>
  <c r="AN330" i="2" s="1"/>
  <c r="AH331" i="2" a="1"/>
  <c r="AH331" i="2" s="1"/>
  <c r="AN331" i="2" s="1"/>
  <c r="AH332" i="2" a="1"/>
  <c r="AH332" i="2" s="1"/>
  <c r="AN332" i="2" s="1"/>
  <c r="AH333" i="2" a="1"/>
  <c r="AH333" i="2" s="1"/>
  <c r="AN333" i="2" s="1"/>
  <c r="AH334" i="2" a="1"/>
  <c r="AH334" i="2" s="1"/>
  <c r="AN334" i="2" s="1"/>
  <c r="AH335" i="2" a="1"/>
  <c r="AH335" i="2" s="1"/>
  <c r="AN335" i="2" s="1"/>
  <c r="AH336" i="2" a="1"/>
  <c r="AH336" i="2" s="1"/>
  <c r="AN336" i="2" s="1"/>
  <c r="AH337" i="2" a="1"/>
  <c r="AH337" i="2" s="1"/>
  <c r="AN337" i="2" s="1"/>
  <c r="AH338" i="2" a="1"/>
  <c r="AH338" i="2" s="1"/>
  <c r="AN338" i="2" s="1"/>
  <c r="AH339" i="2" a="1"/>
  <c r="AH339" i="2" s="1"/>
  <c r="AN339" i="2" s="1"/>
  <c r="AH340" i="2" a="1"/>
  <c r="AH340" i="2" s="1"/>
  <c r="AN340" i="2" s="1"/>
  <c r="AH341" i="2" a="1"/>
  <c r="AH341" i="2" s="1"/>
  <c r="AN341" i="2" s="1"/>
  <c r="AH342" i="2" a="1"/>
  <c r="AH342" i="2" s="1"/>
  <c r="AN342" i="2" s="1"/>
  <c r="AH343" i="2" a="1"/>
  <c r="AH343" i="2" s="1"/>
  <c r="AN343" i="2" s="1"/>
  <c r="AH344" i="2" a="1"/>
  <c r="AH344" i="2" s="1"/>
  <c r="AN344" i="2" s="1"/>
  <c r="AH345" i="2" a="1"/>
  <c r="AH345" i="2" s="1"/>
  <c r="AN345" i="2" s="1"/>
  <c r="AH346" i="2" a="1"/>
  <c r="AH346" i="2" s="1"/>
  <c r="AN346" i="2" s="1"/>
  <c r="AH347" i="2" a="1"/>
  <c r="AH347" i="2" s="1"/>
  <c r="AN347" i="2" s="1"/>
  <c r="AH348" i="2" a="1"/>
  <c r="AH348" i="2" s="1"/>
  <c r="AN348" i="2" s="1"/>
  <c r="AH349" i="2" a="1"/>
  <c r="AH349" i="2" s="1"/>
  <c r="AN349" i="2" s="1"/>
  <c r="AH350" i="2" a="1"/>
  <c r="AH350" i="2" s="1"/>
  <c r="AN350" i="2" s="1"/>
  <c r="AH351" i="2" a="1"/>
  <c r="AH351" i="2" s="1"/>
  <c r="AN351" i="2" s="1"/>
  <c r="AH352" i="2" a="1"/>
  <c r="AH352" i="2" s="1"/>
  <c r="AN352" i="2" s="1"/>
  <c r="AH353" i="2" a="1"/>
  <c r="AH353" i="2" s="1"/>
  <c r="AN353" i="2" s="1"/>
  <c r="AH354" i="2" a="1"/>
  <c r="AH354" i="2" s="1"/>
  <c r="AN354" i="2" s="1"/>
  <c r="AH355" i="2" a="1"/>
  <c r="AH355" i="2" s="1"/>
  <c r="AN355" i="2" s="1"/>
  <c r="AH356" i="2" a="1"/>
  <c r="AH356" i="2" s="1"/>
  <c r="AN356" i="2" s="1"/>
  <c r="AH357" i="2" a="1"/>
  <c r="AH357" i="2" s="1"/>
  <c r="AN357" i="2" s="1"/>
  <c r="AH358" i="2" a="1"/>
  <c r="AH358" i="2" s="1"/>
  <c r="AN358" i="2" s="1"/>
  <c r="AH359" i="2" a="1"/>
  <c r="AH359" i="2" s="1"/>
  <c r="AN359" i="2" s="1"/>
  <c r="AH360" i="2" a="1"/>
  <c r="AH360" i="2" s="1"/>
  <c r="AN360" i="2" s="1"/>
  <c r="AH361" i="2" a="1"/>
  <c r="AH361" i="2" s="1"/>
  <c r="AN361" i="2" s="1"/>
  <c r="AH362" i="2" a="1"/>
  <c r="AH362" i="2" s="1"/>
  <c r="AN362" i="2" s="1"/>
  <c r="AH363" i="2" a="1"/>
  <c r="AH363" i="2" s="1"/>
  <c r="AN363" i="2" s="1"/>
  <c r="AH364" i="2" a="1"/>
  <c r="AH364" i="2" s="1"/>
  <c r="AN364" i="2" s="1"/>
  <c r="AH365" i="2" a="1"/>
  <c r="AH365" i="2" s="1"/>
  <c r="AN365" i="2" s="1"/>
  <c r="AH366" i="2" a="1"/>
  <c r="AH366" i="2" s="1"/>
  <c r="AN366" i="2" s="1"/>
  <c r="AH367" i="2" a="1"/>
  <c r="AH367" i="2" s="1"/>
  <c r="AN367" i="2" s="1"/>
  <c r="AH368" i="2" a="1"/>
  <c r="AH368" i="2" s="1"/>
  <c r="AN368" i="2" s="1"/>
  <c r="AH369" i="2" a="1"/>
  <c r="AH369" i="2" s="1"/>
  <c r="AN369" i="2" s="1"/>
  <c r="AH370" i="2" a="1"/>
  <c r="AH370" i="2" s="1"/>
  <c r="AN370" i="2" s="1"/>
  <c r="AH371" i="2" a="1"/>
  <c r="AH371" i="2" s="1"/>
  <c r="AN371" i="2" s="1"/>
  <c r="AH372" i="2" a="1"/>
  <c r="AH372" i="2" s="1"/>
  <c r="AN372" i="2" s="1"/>
  <c r="AH373" i="2" a="1"/>
  <c r="AH373" i="2" s="1"/>
  <c r="AN373" i="2" s="1"/>
  <c r="AH374" i="2" a="1"/>
  <c r="AH374" i="2" s="1"/>
  <c r="AN374" i="2" s="1"/>
  <c r="AH375" i="2" a="1"/>
  <c r="AH375" i="2" s="1"/>
  <c r="AN375" i="2" s="1"/>
  <c r="AH376" i="2" a="1"/>
  <c r="AH376" i="2" s="1"/>
  <c r="AN376" i="2" s="1"/>
  <c r="AH377" i="2" a="1"/>
  <c r="AH377" i="2" s="1"/>
  <c r="AN377" i="2" s="1"/>
  <c r="AH378" i="2" a="1"/>
  <c r="AH378" i="2" s="1"/>
  <c r="AN378" i="2" s="1"/>
  <c r="AH379" i="2" a="1"/>
  <c r="AH379" i="2" s="1"/>
  <c r="AN379" i="2" s="1"/>
  <c r="AH380" i="2" a="1"/>
  <c r="AH380" i="2" s="1"/>
  <c r="AN380" i="2" s="1"/>
  <c r="AH381" i="2" a="1"/>
  <c r="AH381" i="2" s="1"/>
  <c r="AN381" i="2" s="1"/>
  <c r="AH382" i="2" a="1"/>
  <c r="AH382" i="2" s="1"/>
  <c r="AN382" i="2" s="1"/>
  <c r="AH383" i="2" a="1"/>
  <c r="AH383" i="2" s="1"/>
  <c r="AN383" i="2" s="1"/>
  <c r="AH384" i="2" a="1"/>
  <c r="AH384" i="2" s="1"/>
  <c r="AN384" i="2" s="1"/>
  <c r="AH385" i="2" a="1"/>
  <c r="AH385" i="2" s="1"/>
  <c r="AN385" i="2" s="1"/>
  <c r="AH386" i="2" a="1"/>
  <c r="AH386" i="2" s="1"/>
  <c r="AN386" i="2" s="1"/>
  <c r="AH387" i="2" a="1"/>
  <c r="AH387" i="2" s="1"/>
  <c r="AN387" i="2" s="1"/>
  <c r="AH388" i="2" a="1"/>
  <c r="AH388" i="2" s="1"/>
  <c r="AN388" i="2" s="1"/>
  <c r="AH389" i="2" a="1"/>
  <c r="AH389" i="2" s="1"/>
  <c r="AN389" i="2" s="1"/>
  <c r="AH390" i="2" a="1"/>
  <c r="AH390" i="2" s="1"/>
  <c r="AN390" i="2" s="1"/>
  <c r="AH391" i="2" a="1"/>
  <c r="AH391" i="2" s="1"/>
  <c r="AN391" i="2" s="1"/>
  <c r="AH392" i="2" a="1"/>
  <c r="AH392" i="2" s="1"/>
  <c r="AN392" i="2" s="1"/>
  <c r="AH393" i="2" a="1"/>
  <c r="AH393" i="2" s="1"/>
  <c r="AN393" i="2" s="1"/>
  <c r="AH394" i="2" a="1"/>
  <c r="AH394" i="2" s="1"/>
  <c r="AN394" i="2" s="1"/>
  <c r="AH395" i="2" a="1"/>
  <c r="AH395" i="2" s="1"/>
  <c r="AN395" i="2" s="1"/>
  <c r="AH396" i="2" a="1"/>
  <c r="AH396" i="2" s="1"/>
  <c r="AN396" i="2" s="1"/>
  <c r="AH397" i="2" a="1"/>
  <c r="AH397" i="2" s="1"/>
  <c r="AN397" i="2" s="1"/>
  <c r="AH398" i="2" a="1"/>
  <c r="AH398" i="2" s="1"/>
  <c r="AN398" i="2" s="1"/>
  <c r="AH399" i="2" a="1"/>
  <c r="AH399" i="2" s="1"/>
  <c r="AN399" i="2" s="1"/>
  <c r="AH400" i="2" a="1"/>
  <c r="AH400" i="2" s="1"/>
  <c r="AN400" i="2" s="1"/>
  <c r="AH401" i="2" a="1"/>
  <c r="AH401" i="2" s="1"/>
  <c r="AN401" i="2" s="1"/>
  <c r="AH402" i="2" a="1"/>
  <c r="AH402" i="2" s="1"/>
  <c r="AN402" i="2" s="1"/>
  <c r="AH403" i="2" a="1"/>
  <c r="AH403" i="2" s="1"/>
  <c r="AN403" i="2" s="1"/>
  <c r="AH404" i="2" a="1"/>
  <c r="AH404" i="2" s="1"/>
  <c r="AN404" i="2" s="1"/>
  <c r="AH405" i="2" a="1"/>
  <c r="AH405" i="2" s="1"/>
  <c r="AN405" i="2" s="1"/>
  <c r="AH406" i="2" a="1"/>
  <c r="AH406" i="2" s="1"/>
  <c r="AN406" i="2" s="1"/>
  <c r="AH407" i="2" a="1"/>
  <c r="AH407" i="2" s="1"/>
  <c r="AN407" i="2" s="1"/>
  <c r="AH408" i="2" a="1"/>
  <c r="AH408" i="2" s="1"/>
  <c r="AN408" i="2" s="1"/>
  <c r="AH409" i="2" a="1"/>
  <c r="AH409" i="2" s="1"/>
  <c r="AN409" i="2" s="1"/>
  <c r="AH410" i="2" a="1"/>
  <c r="AH410" i="2" s="1"/>
  <c r="AN410" i="2" s="1"/>
  <c r="AH411" i="2" a="1"/>
  <c r="AH411" i="2" s="1"/>
  <c r="AN411" i="2" s="1"/>
  <c r="AH412" i="2" a="1"/>
  <c r="AH412" i="2" s="1"/>
  <c r="AN412" i="2" s="1"/>
  <c r="AH413" i="2" a="1"/>
  <c r="AH413" i="2" s="1"/>
  <c r="AN413" i="2" s="1"/>
  <c r="AH414" i="2" a="1"/>
  <c r="AH414" i="2" s="1"/>
  <c r="AN414" i="2" s="1"/>
  <c r="AH415" i="2" a="1"/>
  <c r="AH415" i="2" s="1"/>
  <c r="AN415" i="2" s="1"/>
  <c r="AH416" i="2" a="1"/>
  <c r="AH416" i="2" s="1"/>
  <c r="AN416" i="2" s="1"/>
  <c r="AH417" i="2" a="1"/>
  <c r="AH417" i="2" s="1"/>
  <c r="AN417" i="2" s="1"/>
  <c r="AH418" i="2" a="1"/>
  <c r="AH418" i="2" s="1"/>
  <c r="AN418" i="2" s="1"/>
  <c r="AH419" i="2" a="1"/>
  <c r="AH419" i="2" s="1"/>
  <c r="AN419" i="2" s="1"/>
  <c r="AH420" i="2" a="1"/>
  <c r="AH420" i="2" s="1"/>
  <c r="AN420" i="2" s="1"/>
  <c r="AH421" i="2" a="1"/>
  <c r="AH421" i="2" s="1"/>
  <c r="AN421" i="2" s="1"/>
  <c r="AH422" i="2" a="1"/>
  <c r="AH422" i="2" s="1"/>
  <c r="AN422" i="2" s="1"/>
  <c r="AH423" i="2" a="1"/>
  <c r="AH423" i="2" s="1"/>
  <c r="AN423" i="2" s="1"/>
  <c r="AH424" i="2" a="1"/>
  <c r="AH424" i="2" s="1"/>
  <c r="AN424" i="2" s="1"/>
  <c r="AH425" i="2" a="1"/>
  <c r="AH425" i="2" s="1"/>
  <c r="AN425" i="2" s="1"/>
  <c r="AH426" i="2" a="1"/>
  <c r="AH426" i="2" s="1"/>
  <c r="AN426" i="2" s="1"/>
  <c r="AH427" i="2" a="1"/>
  <c r="AH427" i="2" s="1"/>
  <c r="AN427" i="2" s="1"/>
  <c r="AH428" i="2" a="1"/>
  <c r="AH428" i="2" s="1"/>
  <c r="AN428" i="2" s="1"/>
  <c r="AH429" i="2" a="1"/>
  <c r="AH429" i="2" s="1"/>
  <c r="AN429" i="2" s="1"/>
  <c r="AH430" i="2" a="1"/>
  <c r="AH430" i="2" s="1"/>
  <c r="AN430" i="2" s="1"/>
  <c r="AH431" i="2" a="1"/>
  <c r="AH431" i="2" s="1"/>
  <c r="AN431" i="2" s="1"/>
  <c r="AH432" i="2" a="1"/>
  <c r="AH432" i="2" s="1"/>
  <c r="AN432" i="2" s="1"/>
  <c r="AH433" i="2" a="1"/>
  <c r="AH433" i="2" s="1"/>
  <c r="AN433" i="2" s="1"/>
  <c r="AH434" i="2" a="1"/>
  <c r="AH434" i="2" s="1"/>
  <c r="AN434" i="2" s="1"/>
  <c r="AH435" i="2" a="1"/>
  <c r="AH435" i="2" s="1"/>
  <c r="AN435" i="2" s="1"/>
  <c r="AH436" i="2" a="1"/>
  <c r="AH436" i="2" s="1"/>
  <c r="AN436" i="2" s="1"/>
  <c r="AH437" i="2" a="1"/>
  <c r="AH437" i="2" s="1"/>
  <c r="AN437" i="2" s="1"/>
  <c r="AH438" i="2" a="1"/>
  <c r="AH438" i="2" s="1"/>
  <c r="AN438" i="2" s="1"/>
  <c r="AH439" i="2" a="1"/>
  <c r="AH439" i="2" s="1"/>
  <c r="AN439" i="2" s="1"/>
  <c r="AH440" i="2" a="1"/>
  <c r="AH440" i="2" s="1"/>
  <c r="AN440" i="2" s="1"/>
  <c r="AH441" i="2" a="1"/>
  <c r="AH441" i="2" s="1"/>
  <c r="AN441" i="2" s="1"/>
  <c r="AH442" i="2" a="1"/>
  <c r="AH442" i="2" s="1"/>
  <c r="AN442" i="2" s="1"/>
  <c r="AH443" i="2" a="1"/>
  <c r="AH443" i="2" s="1"/>
  <c r="AN443" i="2" s="1"/>
  <c r="AH444" i="2" a="1"/>
  <c r="AH444" i="2" s="1"/>
  <c r="AN444" i="2" s="1"/>
  <c r="AH445" i="2" a="1"/>
  <c r="AH445" i="2" s="1"/>
  <c r="AN445" i="2" s="1"/>
  <c r="AH446" i="2" a="1"/>
  <c r="AH446" i="2" s="1"/>
  <c r="AN446" i="2" s="1"/>
  <c r="AH447" i="2" a="1"/>
  <c r="AH447" i="2" s="1"/>
  <c r="AN447" i="2" s="1"/>
  <c r="AH448" i="2" a="1"/>
  <c r="AH448" i="2" s="1"/>
  <c r="AN448" i="2" s="1"/>
  <c r="AH449" i="2" a="1"/>
  <c r="AH449" i="2" s="1"/>
  <c r="AN449" i="2" s="1"/>
  <c r="AH450" i="2" a="1"/>
  <c r="AH450" i="2" s="1"/>
  <c r="AN450" i="2" s="1"/>
  <c r="AH451" i="2" a="1"/>
  <c r="AH451" i="2" s="1"/>
  <c r="AN451" i="2" s="1"/>
  <c r="AH452" i="2" a="1"/>
  <c r="AH452" i="2" s="1"/>
  <c r="AN452" i="2" s="1"/>
  <c r="AH453" i="2" a="1"/>
  <c r="AH453" i="2" s="1"/>
  <c r="AN453" i="2" s="1"/>
  <c r="AH454" i="2" a="1"/>
  <c r="AH454" i="2" s="1"/>
  <c r="AN454" i="2" s="1"/>
  <c r="AH455" i="2" a="1"/>
  <c r="AH455" i="2" s="1"/>
  <c r="AN455" i="2" s="1"/>
  <c r="AH456" i="2" a="1"/>
  <c r="AH456" i="2" s="1"/>
  <c r="AN456" i="2" s="1"/>
  <c r="AH457" i="2" a="1"/>
  <c r="AH457" i="2" s="1"/>
  <c r="AN457" i="2" s="1"/>
  <c r="AH458" i="2" a="1"/>
  <c r="AH458" i="2" s="1"/>
  <c r="AN458" i="2" s="1"/>
  <c r="AH459" i="2" a="1"/>
  <c r="AH459" i="2" s="1"/>
  <c r="AN459" i="2" s="1"/>
  <c r="AH460" i="2" a="1"/>
  <c r="AH460" i="2" s="1"/>
  <c r="AN460" i="2" s="1"/>
  <c r="AH461" i="2" a="1"/>
  <c r="AH461" i="2" s="1"/>
  <c r="AN461" i="2" s="1"/>
  <c r="AH462" i="2" a="1"/>
  <c r="AH462" i="2" s="1"/>
  <c r="AN462" i="2" s="1"/>
  <c r="AH463" i="2" a="1"/>
  <c r="AH463" i="2" s="1"/>
  <c r="AN463" i="2" s="1"/>
  <c r="AH464" i="2" a="1"/>
  <c r="AH464" i="2" s="1"/>
  <c r="AN464" i="2" s="1"/>
  <c r="AH465" i="2" a="1"/>
  <c r="AH465" i="2" s="1"/>
  <c r="AN465" i="2" s="1"/>
  <c r="AH466" i="2" a="1"/>
  <c r="AH466" i="2" s="1"/>
  <c r="AN466" i="2" s="1"/>
  <c r="AH467" i="2" a="1"/>
  <c r="AH467" i="2" s="1"/>
  <c r="AN467" i="2" s="1"/>
  <c r="AH468" i="2" a="1"/>
  <c r="AH468" i="2" s="1"/>
  <c r="AN468" i="2" s="1"/>
  <c r="AH469" i="2" a="1"/>
  <c r="AH469" i="2" s="1"/>
  <c r="AN469" i="2" s="1"/>
  <c r="AH470" i="2" a="1"/>
  <c r="AH470" i="2" s="1"/>
  <c r="AN470" i="2" s="1"/>
  <c r="AH471" i="2" a="1"/>
  <c r="AH471" i="2" s="1"/>
  <c r="AN471" i="2" s="1"/>
  <c r="AH472" i="2" a="1"/>
  <c r="AH472" i="2" s="1"/>
  <c r="AN472" i="2" s="1"/>
  <c r="AH473" i="2" a="1"/>
  <c r="AH473" i="2" s="1"/>
  <c r="AN473" i="2" s="1"/>
  <c r="AH474" i="2" a="1"/>
  <c r="AH474" i="2" s="1"/>
  <c r="AN474" i="2" s="1"/>
  <c r="AH475" i="2" a="1"/>
  <c r="AH475" i="2" s="1"/>
  <c r="AN475" i="2" s="1"/>
  <c r="AH476" i="2" a="1"/>
  <c r="AH476" i="2" s="1"/>
  <c r="AN476" i="2" s="1"/>
  <c r="AH477" i="2" a="1"/>
  <c r="AH477" i="2" s="1"/>
  <c r="AN477" i="2" s="1"/>
  <c r="AH478" i="2" a="1"/>
  <c r="AH478" i="2" s="1"/>
  <c r="AN478" i="2" s="1"/>
  <c r="AH479" i="2" a="1"/>
  <c r="AH479" i="2" s="1"/>
  <c r="AN479" i="2" s="1"/>
  <c r="AH480" i="2" a="1"/>
  <c r="AH480" i="2" s="1"/>
  <c r="AN480" i="2" s="1"/>
  <c r="AH481" i="2" a="1"/>
  <c r="AH481" i="2" s="1"/>
  <c r="AN481" i="2" s="1"/>
  <c r="AH482" i="2" a="1"/>
  <c r="AH482" i="2" s="1"/>
  <c r="AN482" i="2" s="1"/>
  <c r="AH483" i="2" a="1"/>
  <c r="AH483" i="2" s="1"/>
  <c r="AN483" i="2" s="1"/>
  <c r="AH484" i="2" a="1"/>
  <c r="AH484" i="2" s="1"/>
  <c r="AN484" i="2" s="1"/>
  <c r="AH485" i="2" a="1"/>
  <c r="AH485" i="2" s="1"/>
  <c r="AN485" i="2" s="1"/>
  <c r="AH486" i="2" a="1"/>
  <c r="AH486" i="2" s="1"/>
  <c r="AN486" i="2" s="1"/>
  <c r="AH487" i="2" a="1"/>
  <c r="AH487" i="2" s="1"/>
  <c r="AN487" i="2" s="1"/>
  <c r="AH488" i="2" a="1"/>
  <c r="AH488" i="2" s="1"/>
  <c r="AN488" i="2" s="1"/>
  <c r="AH489" i="2" a="1"/>
  <c r="AH489" i="2" s="1"/>
  <c r="AN489" i="2" s="1"/>
  <c r="AH490" i="2" a="1"/>
  <c r="AH490" i="2" s="1"/>
  <c r="AN490" i="2" s="1"/>
  <c r="AH491" i="2" a="1"/>
  <c r="AH491" i="2" s="1"/>
  <c r="AN491" i="2" s="1"/>
  <c r="AH492" i="2" a="1"/>
  <c r="AH492" i="2" s="1"/>
  <c r="AN492" i="2" s="1"/>
  <c r="AH493" i="2" a="1"/>
  <c r="AH493" i="2" s="1"/>
  <c r="AN493" i="2" s="1"/>
  <c r="AH494" i="2" a="1"/>
  <c r="AH494" i="2" s="1"/>
  <c r="AN494" i="2" s="1"/>
  <c r="AH495" i="2" a="1"/>
  <c r="AH495" i="2" s="1"/>
  <c r="AN495" i="2" s="1"/>
  <c r="AH496" i="2" a="1"/>
  <c r="AH496" i="2" s="1"/>
  <c r="AN496" i="2" s="1"/>
  <c r="AH497" i="2" a="1"/>
  <c r="AH497" i="2" s="1"/>
  <c r="AN497" i="2" s="1"/>
  <c r="AH498" i="2" a="1"/>
  <c r="AH498" i="2" s="1"/>
  <c r="AN498" i="2" s="1"/>
  <c r="AH499" i="2" a="1"/>
  <c r="AH499" i="2" s="1"/>
  <c r="AN499" i="2" s="1"/>
  <c r="AH500" i="2" a="1"/>
  <c r="AH500" i="2" s="1"/>
  <c r="AN500" i="2" s="1"/>
  <c r="AH501" i="2" a="1"/>
  <c r="AH501" i="2" s="1"/>
  <c r="AN501" i="2" s="1"/>
  <c r="AH502" i="2" a="1"/>
  <c r="AH502" i="2" s="1"/>
  <c r="AN502" i="2" s="1"/>
  <c r="AH503" i="2" a="1"/>
  <c r="AH503" i="2" s="1"/>
  <c r="AN503" i="2" s="1"/>
  <c r="AH504" i="2" a="1"/>
  <c r="AH504" i="2" s="1"/>
  <c r="AN504" i="2" s="1"/>
  <c r="AH505" i="2" a="1"/>
  <c r="AH505" i="2" s="1"/>
  <c r="AN505" i="2" s="1"/>
  <c r="AH506" i="2" a="1"/>
  <c r="AH506" i="2" s="1"/>
  <c r="AN506" i="2" s="1"/>
  <c r="AH507" i="2" a="1"/>
  <c r="AH507" i="2" s="1"/>
  <c r="AN507" i="2" s="1"/>
  <c r="AH508" i="2" a="1"/>
  <c r="AH508" i="2" s="1"/>
  <c r="AN508" i="2" s="1"/>
  <c r="AH509" i="2" a="1"/>
  <c r="AH509" i="2" s="1"/>
  <c r="AN509" i="2" s="1"/>
  <c r="AH510" i="2" a="1"/>
  <c r="AH510" i="2" s="1"/>
  <c r="AN510" i="2" s="1"/>
  <c r="AH511" i="2" a="1"/>
  <c r="AH511" i="2" s="1"/>
  <c r="AN511" i="2" s="1"/>
  <c r="AH512" i="2" a="1"/>
  <c r="AH512" i="2" s="1"/>
  <c r="AN512" i="2" s="1"/>
  <c r="AH513" i="2" a="1"/>
  <c r="AH513" i="2" s="1"/>
  <c r="AN513" i="2" s="1"/>
  <c r="AH514" i="2" a="1"/>
  <c r="AH514" i="2" s="1"/>
  <c r="AN514" i="2" s="1"/>
  <c r="AH515" i="2" a="1"/>
  <c r="AH515" i="2" s="1"/>
  <c r="AN515" i="2" s="1"/>
  <c r="AH516" i="2" a="1"/>
  <c r="AH516" i="2" s="1"/>
  <c r="AN516" i="2" s="1"/>
  <c r="AH517" i="2" a="1"/>
  <c r="AH517" i="2" s="1"/>
  <c r="AN517" i="2" s="1"/>
  <c r="AH518" i="2" a="1"/>
  <c r="AH518" i="2" s="1"/>
  <c r="AN518" i="2" s="1"/>
  <c r="AH519" i="2" a="1"/>
  <c r="AH519" i="2" s="1"/>
  <c r="AN519" i="2" s="1"/>
  <c r="AH520" i="2" a="1"/>
  <c r="AH520" i="2" s="1"/>
  <c r="AN520" i="2" s="1"/>
  <c r="AH521" i="2" a="1"/>
  <c r="AH521" i="2" s="1"/>
  <c r="AN521" i="2" s="1"/>
  <c r="AH522" i="2" a="1"/>
  <c r="AH522" i="2" s="1"/>
  <c r="AN522" i="2" s="1"/>
  <c r="AH523" i="2" a="1"/>
  <c r="AH523" i="2" s="1"/>
  <c r="AN523" i="2" s="1"/>
  <c r="AH524" i="2" a="1"/>
  <c r="AH524" i="2" s="1"/>
  <c r="AN524" i="2" s="1"/>
  <c r="AH525" i="2" a="1"/>
  <c r="AH525" i="2" s="1"/>
  <c r="AN525" i="2" s="1"/>
  <c r="AH526" i="2" a="1"/>
  <c r="AH526" i="2" s="1"/>
  <c r="AN526" i="2" s="1"/>
  <c r="AH527" i="2" a="1"/>
  <c r="AH527" i="2" s="1"/>
  <c r="AN527" i="2" s="1"/>
  <c r="AH528" i="2" a="1"/>
  <c r="AH528" i="2" s="1"/>
  <c r="AN528" i="2" s="1"/>
  <c r="AH529" i="2" a="1"/>
  <c r="AH529" i="2" s="1"/>
  <c r="AN529" i="2" s="1"/>
  <c r="AH530" i="2" a="1"/>
  <c r="AH530" i="2" s="1"/>
  <c r="AN530" i="2" s="1"/>
  <c r="AH531" i="2" a="1"/>
  <c r="AH531" i="2" s="1"/>
  <c r="AN531" i="2" s="1"/>
  <c r="AH532" i="2" a="1"/>
  <c r="AH532" i="2" s="1"/>
  <c r="AN532" i="2" s="1"/>
  <c r="AH533" i="2" a="1"/>
  <c r="AH533" i="2" s="1"/>
  <c r="AN533" i="2" s="1"/>
  <c r="AH534" i="2" a="1"/>
  <c r="AH534" i="2" s="1"/>
  <c r="AN534" i="2" s="1"/>
  <c r="AH535" i="2" a="1"/>
  <c r="AH535" i="2" s="1"/>
  <c r="AN535" i="2" s="1"/>
  <c r="AH536" i="2" a="1"/>
  <c r="AH536" i="2" s="1"/>
  <c r="AN536" i="2" s="1"/>
  <c r="AH537" i="2" a="1"/>
  <c r="AH537" i="2" s="1"/>
  <c r="AN537" i="2" s="1"/>
  <c r="AH538" i="2" a="1"/>
  <c r="AH538" i="2" s="1"/>
  <c r="AN538" i="2" s="1"/>
  <c r="AH539" i="2" a="1"/>
  <c r="AH539" i="2" s="1"/>
  <c r="AN539" i="2" s="1"/>
  <c r="AH540" i="2" a="1"/>
  <c r="AH540" i="2" s="1"/>
  <c r="AN540" i="2" s="1"/>
  <c r="AH541" i="2" a="1"/>
  <c r="AH541" i="2" s="1"/>
  <c r="AN541" i="2" s="1"/>
  <c r="AH542" i="2" a="1"/>
  <c r="AH542" i="2" s="1"/>
  <c r="AN542" i="2" s="1"/>
  <c r="AH543" i="2" a="1"/>
  <c r="AH543" i="2" s="1"/>
  <c r="AN543" i="2" s="1"/>
  <c r="AH544" i="2" a="1"/>
  <c r="AH544" i="2" s="1"/>
  <c r="AN544" i="2" s="1"/>
  <c r="AH545" i="2" a="1"/>
  <c r="AH545" i="2" s="1"/>
  <c r="AN545" i="2" s="1"/>
  <c r="AH546" i="2" a="1"/>
  <c r="AH546" i="2" s="1"/>
  <c r="AN546" i="2" s="1"/>
  <c r="AH547" i="2" a="1"/>
  <c r="AH547" i="2" s="1"/>
  <c r="AN547" i="2" s="1"/>
  <c r="AH548" i="2" a="1"/>
  <c r="AH548" i="2" s="1"/>
  <c r="AN548" i="2" s="1"/>
  <c r="AH549" i="2" a="1"/>
  <c r="AH549" i="2" s="1"/>
  <c r="AN549" i="2" s="1"/>
  <c r="AH550" i="2" a="1"/>
  <c r="AH550" i="2" s="1"/>
  <c r="AN550" i="2" s="1"/>
  <c r="AH551" i="2" a="1"/>
  <c r="AH551" i="2" s="1"/>
  <c r="AN551" i="2" s="1"/>
  <c r="AH552" i="2" a="1"/>
  <c r="AH552" i="2" s="1"/>
  <c r="AN552" i="2" s="1"/>
  <c r="AH553" i="2" a="1"/>
  <c r="AH553" i="2" s="1"/>
  <c r="AN553" i="2" s="1"/>
  <c r="AH554" i="2" a="1"/>
  <c r="AH554" i="2" s="1"/>
  <c r="AN554" i="2" s="1"/>
  <c r="AH555" i="2" a="1"/>
  <c r="AH555" i="2" s="1"/>
  <c r="AN555" i="2" s="1"/>
  <c r="AH556" i="2" a="1"/>
  <c r="AH556" i="2" s="1"/>
  <c r="AN556" i="2" s="1"/>
  <c r="AH557" i="2" a="1"/>
  <c r="AH557" i="2" s="1"/>
  <c r="AN557" i="2" s="1"/>
  <c r="AH558" i="2" a="1"/>
  <c r="AH558" i="2" s="1"/>
  <c r="AN558" i="2" s="1"/>
  <c r="AH559" i="2" a="1"/>
  <c r="AH559" i="2" s="1"/>
  <c r="AN559" i="2" s="1"/>
  <c r="AH560" i="2" a="1"/>
  <c r="AH560" i="2" s="1"/>
  <c r="AN560" i="2" s="1"/>
  <c r="AH561" i="2" a="1"/>
  <c r="AH561" i="2" s="1"/>
  <c r="AN561" i="2" s="1"/>
  <c r="AH562" i="2" a="1"/>
  <c r="AH562" i="2" s="1"/>
  <c r="AN562" i="2" s="1"/>
  <c r="AH563" i="2" a="1"/>
  <c r="AH563" i="2" s="1"/>
  <c r="AN563" i="2" s="1"/>
  <c r="AH564" i="2" a="1"/>
  <c r="AH564" i="2" s="1"/>
  <c r="AN564" i="2" s="1"/>
  <c r="AH565" i="2" a="1"/>
  <c r="AH565" i="2" s="1"/>
  <c r="AN565" i="2" s="1"/>
  <c r="AH566" i="2" a="1"/>
  <c r="AH566" i="2" s="1"/>
  <c r="AN566" i="2" s="1"/>
  <c r="AH567" i="2" a="1"/>
  <c r="AH567" i="2" s="1"/>
  <c r="AN567" i="2" s="1"/>
  <c r="AH568" i="2" a="1"/>
  <c r="AH568" i="2" s="1"/>
  <c r="AN568" i="2" s="1"/>
  <c r="AH569" i="2" a="1"/>
  <c r="AH569" i="2" s="1"/>
  <c r="AN569" i="2" s="1"/>
  <c r="AH570" i="2" a="1"/>
  <c r="AH570" i="2" s="1"/>
  <c r="AN570" i="2" s="1"/>
  <c r="AH571" i="2" a="1"/>
  <c r="AH571" i="2" s="1"/>
  <c r="AN571" i="2" s="1"/>
  <c r="AH572" i="2" a="1"/>
  <c r="AH572" i="2" s="1"/>
  <c r="AN572" i="2" s="1"/>
  <c r="AH573" i="2" a="1"/>
  <c r="AH573" i="2" s="1"/>
  <c r="AN573" i="2" s="1"/>
  <c r="AH574" i="2" a="1"/>
  <c r="AH574" i="2" s="1"/>
  <c r="AN574" i="2" s="1"/>
  <c r="AH575" i="2" a="1"/>
  <c r="AH575" i="2" s="1"/>
  <c r="AN575" i="2" s="1"/>
  <c r="AH576" i="2" a="1"/>
  <c r="AH576" i="2" s="1"/>
  <c r="AN576" i="2" s="1"/>
  <c r="AH577" i="2" a="1"/>
  <c r="AH577" i="2" s="1"/>
  <c r="AN577" i="2" s="1"/>
  <c r="AH578" i="2" a="1"/>
  <c r="AH578" i="2" s="1"/>
  <c r="AN578" i="2" s="1"/>
  <c r="AH579" i="2" a="1"/>
  <c r="AH579" i="2" s="1"/>
  <c r="AN579" i="2" s="1"/>
  <c r="AH580" i="2" a="1"/>
  <c r="AH580" i="2" s="1"/>
  <c r="AN580" i="2" s="1"/>
  <c r="AH581" i="2" a="1"/>
  <c r="AH581" i="2" s="1"/>
  <c r="AN581" i="2" s="1"/>
  <c r="AH582" i="2" a="1"/>
  <c r="AH582" i="2" s="1"/>
  <c r="AN582" i="2" s="1"/>
  <c r="AH583" i="2" a="1"/>
  <c r="AH583" i="2" s="1"/>
  <c r="AN583" i="2" s="1"/>
  <c r="AH584" i="2" a="1"/>
  <c r="AH584" i="2" s="1"/>
  <c r="AN584" i="2" s="1"/>
  <c r="AH585" i="2" a="1"/>
  <c r="AH585" i="2" s="1"/>
  <c r="AN585" i="2" s="1"/>
  <c r="AH586" i="2" a="1"/>
  <c r="AH586" i="2" s="1"/>
  <c r="AN586" i="2" s="1"/>
  <c r="AH587" i="2" a="1"/>
  <c r="AH587" i="2" s="1"/>
  <c r="AN587" i="2" s="1"/>
  <c r="AH588" i="2" a="1"/>
  <c r="AH588" i="2" s="1"/>
  <c r="AN588" i="2" s="1"/>
  <c r="AH589" i="2" a="1"/>
  <c r="AH589" i="2" s="1"/>
  <c r="AN589" i="2" s="1"/>
  <c r="AH590" i="2" a="1"/>
  <c r="AH590" i="2" s="1"/>
  <c r="AN590" i="2" s="1"/>
  <c r="AH591" i="2" a="1"/>
  <c r="AH591" i="2" s="1"/>
  <c r="AN591" i="2" s="1"/>
  <c r="AH592" i="2" a="1"/>
  <c r="AH592" i="2" s="1"/>
  <c r="AN592" i="2" s="1"/>
  <c r="AH593" i="2" a="1"/>
  <c r="AH593" i="2" s="1"/>
  <c r="AN593" i="2" s="1"/>
  <c r="AH594" i="2" a="1"/>
  <c r="AH594" i="2" s="1"/>
  <c r="AN594" i="2" s="1"/>
  <c r="AH595" i="2" a="1"/>
  <c r="AH595" i="2" s="1"/>
  <c r="AN595" i="2" s="1"/>
  <c r="AH596" i="2" a="1"/>
  <c r="AH596" i="2" s="1"/>
  <c r="AN596" i="2" s="1"/>
  <c r="AH597" i="2" a="1"/>
  <c r="AH597" i="2" s="1"/>
  <c r="AN597" i="2" s="1"/>
  <c r="AH598" i="2" a="1"/>
  <c r="AH598" i="2" s="1"/>
  <c r="AN598" i="2" s="1"/>
  <c r="AH599" i="2" a="1"/>
  <c r="AH599" i="2" s="1"/>
  <c r="AN599" i="2" s="1"/>
  <c r="AH600" i="2" a="1"/>
  <c r="AH600" i="2" s="1"/>
  <c r="AN600" i="2" s="1"/>
  <c r="AH601" i="2" a="1"/>
  <c r="AH601" i="2" s="1"/>
  <c r="AN601" i="2" s="1"/>
  <c r="AH602" i="2" a="1"/>
  <c r="AH602" i="2" s="1"/>
  <c r="AN602" i="2" s="1"/>
  <c r="AH603" i="2" a="1"/>
  <c r="AH603" i="2" s="1"/>
  <c r="AN603" i="2" s="1"/>
  <c r="AH604" i="2" a="1"/>
  <c r="AH604" i="2" s="1"/>
  <c r="AN604" i="2" s="1"/>
  <c r="AH605" i="2" a="1"/>
  <c r="AH605" i="2" s="1"/>
  <c r="AN605" i="2" s="1"/>
  <c r="AH606" i="2" a="1"/>
  <c r="AH606" i="2" s="1"/>
  <c r="AN606" i="2" s="1"/>
  <c r="AH607" i="2" a="1"/>
  <c r="AH607" i="2" s="1"/>
  <c r="AN607" i="2" s="1"/>
  <c r="AH608" i="2" a="1"/>
  <c r="AH608" i="2" s="1"/>
  <c r="AN608" i="2" s="1"/>
  <c r="AH609" i="2" a="1"/>
  <c r="AH609" i="2" s="1"/>
  <c r="AN609" i="2" s="1"/>
  <c r="AH610" i="2" a="1"/>
  <c r="AH610" i="2" s="1"/>
  <c r="AN610" i="2" s="1"/>
  <c r="AH611" i="2" a="1"/>
  <c r="AH611" i="2" s="1"/>
  <c r="AN611" i="2" s="1"/>
  <c r="AH612" i="2" a="1"/>
  <c r="AH612" i="2" s="1"/>
  <c r="AN612" i="2" s="1"/>
  <c r="AH613" i="2" a="1"/>
  <c r="AH613" i="2" s="1"/>
  <c r="AN613" i="2" s="1"/>
  <c r="AH614" i="2" a="1"/>
  <c r="AH614" i="2" s="1"/>
  <c r="AN614" i="2" s="1"/>
  <c r="AH615" i="2" a="1"/>
  <c r="AH615" i="2" s="1"/>
  <c r="AN615" i="2" s="1"/>
  <c r="AH616" i="2" a="1"/>
  <c r="AH616" i="2" s="1"/>
  <c r="AN616" i="2" s="1"/>
  <c r="AH617" i="2" a="1"/>
  <c r="AH617" i="2" s="1"/>
  <c r="AN617" i="2" s="1"/>
  <c r="AH618" i="2" a="1"/>
  <c r="AH618" i="2" s="1"/>
  <c r="AN618" i="2" s="1"/>
  <c r="AH619" i="2" a="1"/>
  <c r="AH619" i="2" s="1"/>
  <c r="AN619" i="2" s="1"/>
  <c r="AH620" i="2" a="1"/>
  <c r="AH620" i="2" s="1"/>
  <c r="AN620" i="2" s="1"/>
  <c r="AH621" i="2" a="1"/>
  <c r="AH621" i="2" s="1"/>
  <c r="AN621" i="2" s="1"/>
  <c r="AH622" i="2" a="1"/>
  <c r="AH622" i="2" s="1"/>
  <c r="AN622" i="2" s="1"/>
  <c r="AH623" i="2" a="1"/>
  <c r="AH623" i="2" s="1"/>
  <c r="AN623" i="2" s="1"/>
  <c r="AH624" i="2" a="1"/>
  <c r="AH624" i="2" s="1"/>
  <c r="AN624" i="2" s="1"/>
  <c r="AH625" i="2" a="1"/>
  <c r="AH625" i="2" s="1"/>
  <c r="AN625" i="2" s="1"/>
  <c r="AH626" i="2" a="1"/>
  <c r="AH626" i="2" s="1"/>
  <c r="AN626" i="2" s="1"/>
  <c r="AH627" i="2" a="1"/>
  <c r="AH627" i="2" s="1"/>
  <c r="AN627" i="2" s="1"/>
  <c r="AH628" i="2" a="1"/>
  <c r="AH628" i="2" s="1"/>
  <c r="AN628" i="2" s="1"/>
  <c r="AH629" i="2" a="1"/>
  <c r="AH629" i="2" s="1"/>
  <c r="AN629" i="2" s="1"/>
  <c r="AH630" i="2" a="1"/>
  <c r="AH630" i="2" s="1"/>
  <c r="AN630" i="2" s="1"/>
  <c r="AH631" i="2" a="1"/>
  <c r="AH631" i="2" s="1"/>
  <c r="AN631" i="2" s="1"/>
  <c r="AH632" i="2" a="1"/>
  <c r="AH632" i="2" s="1"/>
  <c r="AN632" i="2" s="1"/>
  <c r="AH633" i="2" a="1"/>
  <c r="AH633" i="2" s="1"/>
  <c r="AN633" i="2" s="1"/>
  <c r="AH634" i="2" a="1"/>
  <c r="AH634" i="2" s="1"/>
  <c r="AN634" i="2" s="1"/>
  <c r="AH635" i="2" a="1"/>
  <c r="AH635" i="2" s="1"/>
  <c r="AN635" i="2" s="1"/>
  <c r="AH636" i="2" a="1"/>
  <c r="AH636" i="2" s="1"/>
  <c r="AN636" i="2" s="1"/>
  <c r="AH637" i="2" a="1"/>
  <c r="AH637" i="2" s="1"/>
  <c r="AN637" i="2" s="1"/>
  <c r="AH638" i="2" a="1"/>
  <c r="AH638" i="2" s="1"/>
  <c r="AN638" i="2" s="1"/>
  <c r="AH639" i="2" a="1"/>
  <c r="AH639" i="2" s="1"/>
  <c r="AN639" i="2" s="1"/>
  <c r="AH640" i="2" a="1"/>
  <c r="AH640" i="2" s="1"/>
  <c r="AN640" i="2" s="1"/>
  <c r="AH641" i="2" a="1"/>
  <c r="AH641" i="2" s="1"/>
  <c r="AN641" i="2" s="1"/>
  <c r="AH642" i="2" a="1"/>
  <c r="AH642" i="2" s="1"/>
  <c r="AN642" i="2" s="1"/>
  <c r="AH643" i="2" a="1"/>
  <c r="AH643" i="2" s="1"/>
  <c r="AN643" i="2" s="1"/>
  <c r="AH644" i="2" a="1"/>
  <c r="AH644" i="2" s="1"/>
  <c r="AN644" i="2" s="1"/>
  <c r="AH645" i="2" a="1"/>
  <c r="AH645" i="2" s="1"/>
  <c r="AN645" i="2" s="1"/>
  <c r="AH646" i="2" a="1"/>
  <c r="AH646" i="2" s="1"/>
  <c r="AN646" i="2" s="1"/>
  <c r="AH647" i="2" a="1"/>
  <c r="AH647" i="2" s="1"/>
  <c r="AN647" i="2" s="1"/>
  <c r="AH648" i="2" a="1"/>
  <c r="AH648" i="2" s="1"/>
  <c r="AN648" i="2" s="1"/>
  <c r="AH649" i="2" a="1"/>
  <c r="AH649" i="2" s="1"/>
  <c r="AN649" i="2" s="1"/>
  <c r="AH650" i="2" a="1"/>
  <c r="AH650" i="2" s="1"/>
  <c r="AN650" i="2" s="1"/>
  <c r="AH651" i="2" a="1"/>
  <c r="AH651" i="2" s="1"/>
  <c r="AN651" i="2" s="1"/>
  <c r="AH652" i="2" a="1"/>
  <c r="AH652" i="2" s="1"/>
  <c r="AN652" i="2" s="1"/>
  <c r="AH653" i="2" a="1"/>
  <c r="AH653" i="2" s="1"/>
  <c r="AN653" i="2" s="1"/>
  <c r="AH654" i="2" a="1"/>
  <c r="AH654" i="2" s="1"/>
  <c r="AN654" i="2" s="1"/>
  <c r="AH655" i="2" a="1"/>
  <c r="AH655" i="2" s="1"/>
  <c r="AN655" i="2" s="1"/>
  <c r="AH656" i="2" a="1"/>
  <c r="AH656" i="2" s="1"/>
  <c r="AN656" i="2" s="1"/>
  <c r="AH657" i="2" a="1"/>
  <c r="AH657" i="2" s="1"/>
  <c r="AN657" i="2" s="1"/>
  <c r="AH658" i="2" a="1"/>
  <c r="AH658" i="2" s="1"/>
  <c r="AN658" i="2" s="1"/>
  <c r="AH659" i="2" a="1"/>
  <c r="AH659" i="2" s="1"/>
  <c r="AN659" i="2" s="1"/>
  <c r="AH660" i="2" a="1"/>
  <c r="AH660" i="2" s="1"/>
  <c r="AN660" i="2" s="1"/>
  <c r="AH661" i="2" a="1"/>
  <c r="AH661" i="2" s="1"/>
  <c r="AN661" i="2" s="1"/>
  <c r="AH662" i="2" a="1"/>
  <c r="AH662" i="2" s="1"/>
  <c r="AN662" i="2" s="1"/>
  <c r="AH663" i="2" a="1"/>
  <c r="AH663" i="2" s="1"/>
  <c r="AN663" i="2" s="1"/>
  <c r="AH664" i="2" a="1"/>
  <c r="AH664" i="2" s="1"/>
  <c r="AN664" i="2" s="1"/>
  <c r="AH665" i="2" a="1"/>
  <c r="AH665" i="2" s="1"/>
  <c r="AN665" i="2" s="1"/>
  <c r="AH666" i="2" a="1"/>
  <c r="AH666" i="2" s="1"/>
  <c r="AN666" i="2" s="1"/>
  <c r="AH667" i="2" a="1"/>
  <c r="AH667" i="2" s="1"/>
  <c r="AN667" i="2" s="1"/>
  <c r="AH668" i="2" a="1"/>
  <c r="AH668" i="2" s="1"/>
  <c r="AN668" i="2" s="1"/>
  <c r="AH669" i="2" a="1"/>
  <c r="AH669" i="2" s="1"/>
  <c r="AN669" i="2" s="1"/>
  <c r="AH670" i="2" a="1"/>
  <c r="AH670" i="2" s="1"/>
  <c r="AN670" i="2" s="1"/>
  <c r="AH671" i="2" a="1"/>
  <c r="AH671" i="2" s="1"/>
  <c r="AN671" i="2" s="1"/>
  <c r="AH672" i="2" a="1"/>
  <c r="AH672" i="2" s="1"/>
  <c r="AN672" i="2" s="1"/>
  <c r="AH673" i="2" a="1"/>
  <c r="AH673" i="2" s="1"/>
  <c r="AN673" i="2" s="1"/>
  <c r="AH674" i="2" a="1"/>
  <c r="AH674" i="2" s="1"/>
  <c r="AN674" i="2" s="1"/>
  <c r="AH675" i="2" a="1"/>
  <c r="AH675" i="2" s="1"/>
  <c r="AN675" i="2" s="1"/>
  <c r="AH676" i="2" a="1"/>
  <c r="AH676" i="2" s="1"/>
  <c r="AN676" i="2" s="1"/>
  <c r="AH677" i="2" a="1"/>
  <c r="AH677" i="2" s="1"/>
  <c r="AN677" i="2" s="1"/>
  <c r="AH678" i="2" a="1"/>
  <c r="AH678" i="2" s="1"/>
  <c r="AN678" i="2" s="1"/>
  <c r="AH679" i="2" a="1"/>
  <c r="AH679" i="2" s="1"/>
  <c r="AN679" i="2" s="1"/>
  <c r="AH680" i="2" a="1"/>
  <c r="AH680" i="2" s="1"/>
  <c r="AN680" i="2" s="1"/>
  <c r="AH681" i="2" a="1"/>
  <c r="AH681" i="2" s="1"/>
  <c r="AN681" i="2" s="1"/>
  <c r="AH682" i="2" a="1"/>
  <c r="AH682" i="2" s="1"/>
  <c r="AN682" i="2" s="1"/>
  <c r="AH683" i="2" a="1"/>
  <c r="AH683" i="2" s="1"/>
  <c r="AN683" i="2" s="1"/>
  <c r="AH684" i="2" a="1"/>
  <c r="AH684" i="2" s="1"/>
  <c r="AN684" i="2" s="1"/>
  <c r="AH685" i="2" a="1"/>
  <c r="AH685" i="2" s="1"/>
  <c r="AN685" i="2" s="1"/>
  <c r="AH686" i="2" a="1"/>
  <c r="AH686" i="2" s="1"/>
  <c r="AN686" i="2" s="1"/>
  <c r="AH687" i="2" a="1"/>
  <c r="AH687" i="2" s="1"/>
  <c r="AN687" i="2" s="1"/>
  <c r="AH688" i="2" a="1"/>
  <c r="AH688" i="2" s="1"/>
  <c r="AN688" i="2" s="1"/>
  <c r="AH689" i="2" a="1"/>
  <c r="AH689" i="2" s="1"/>
  <c r="AN689" i="2" s="1"/>
  <c r="AH690" i="2" a="1"/>
  <c r="AH690" i="2" s="1"/>
  <c r="AN690" i="2" s="1"/>
  <c r="AH691" i="2" a="1"/>
  <c r="AH691" i="2" s="1"/>
  <c r="AN691" i="2" s="1"/>
  <c r="AH692" i="2" a="1"/>
  <c r="AH692" i="2" s="1"/>
  <c r="AN692" i="2" s="1"/>
  <c r="AH693" i="2" a="1"/>
  <c r="AH693" i="2" s="1"/>
  <c r="AN693" i="2" s="1"/>
  <c r="AH694" i="2" a="1"/>
  <c r="AH694" i="2" s="1"/>
  <c r="AN694" i="2" s="1"/>
  <c r="AH695" i="2" a="1"/>
  <c r="AH695" i="2" s="1"/>
  <c r="AN695" i="2" s="1"/>
  <c r="AH696" i="2" a="1"/>
  <c r="AH696" i="2" s="1"/>
  <c r="AN696" i="2" s="1"/>
  <c r="AH697" i="2" a="1"/>
  <c r="AH697" i="2" s="1"/>
  <c r="AN697" i="2" s="1"/>
  <c r="AH698" i="2" a="1"/>
  <c r="AH698" i="2" s="1"/>
  <c r="AN698" i="2" s="1"/>
  <c r="AH699" i="2" a="1"/>
  <c r="AH699" i="2" s="1"/>
  <c r="AN699" i="2" s="1"/>
  <c r="AH700" i="2" a="1"/>
  <c r="AH700" i="2" s="1"/>
  <c r="AN700" i="2" s="1"/>
  <c r="AH701" i="2" a="1"/>
  <c r="AH701" i="2" s="1"/>
  <c r="AN701" i="2" s="1"/>
  <c r="AH702" i="2" a="1"/>
  <c r="AH702" i="2" s="1"/>
  <c r="AN702" i="2" s="1"/>
  <c r="AH703" i="2" a="1"/>
  <c r="AH703" i="2" s="1"/>
  <c r="AN703" i="2" s="1"/>
  <c r="AH704" i="2" a="1"/>
  <c r="AH704" i="2" s="1"/>
  <c r="AN704" i="2" s="1"/>
  <c r="AH705" i="2" a="1"/>
  <c r="AH705" i="2" s="1"/>
  <c r="AN705" i="2" s="1"/>
  <c r="AH706" i="2" a="1"/>
  <c r="AH706" i="2" s="1"/>
  <c r="AN706" i="2" s="1"/>
  <c r="AH707" i="2" a="1"/>
  <c r="AH707" i="2" s="1"/>
  <c r="AN707" i="2" s="1"/>
  <c r="AH708" i="2" a="1"/>
  <c r="AH708" i="2" s="1"/>
  <c r="AN708" i="2" s="1"/>
  <c r="AH709" i="2" a="1"/>
  <c r="AH709" i="2" s="1"/>
  <c r="AN709" i="2" s="1"/>
  <c r="AH710" i="2" a="1"/>
  <c r="AH710" i="2" s="1"/>
  <c r="AN710" i="2" s="1"/>
  <c r="AH711" i="2" a="1"/>
  <c r="AH711" i="2" s="1"/>
  <c r="AN711" i="2" s="1"/>
  <c r="AH712" i="2" a="1"/>
  <c r="AH712" i="2" s="1"/>
  <c r="AN712" i="2" s="1"/>
  <c r="AH713" i="2" a="1"/>
  <c r="AH713" i="2" s="1"/>
  <c r="AN713" i="2" s="1"/>
  <c r="AH714" i="2" a="1"/>
  <c r="AH714" i="2" s="1"/>
  <c r="AN714" i="2" s="1"/>
  <c r="AH715" i="2" a="1"/>
  <c r="AH715" i="2" s="1"/>
  <c r="AN715" i="2" s="1"/>
  <c r="AH716" i="2" a="1"/>
  <c r="AH716" i="2" s="1"/>
  <c r="AN716" i="2" s="1"/>
  <c r="AH717" i="2" a="1"/>
  <c r="AH717" i="2" s="1"/>
  <c r="AN717" i="2" s="1"/>
  <c r="AH718" i="2" a="1"/>
  <c r="AH718" i="2" s="1"/>
  <c r="AN718" i="2" s="1"/>
  <c r="AH719" i="2" a="1"/>
  <c r="AH719" i="2" s="1"/>
  <c r="AN719" i="2" s="1"/>
  <c r="AH720" i="2" a="1"/>
  <c r="AH720" i="2" s="1"/>
  <c r="AN720" i="2" s="1"/>
  <c r="AH721" i="2" a="1"/>
  <c r="AH721" i="2" s="1"/>
  <c r="AN721" i="2" s="1"/>
  <c r="AH722" i="2" a="1"/>
  <c r="AH722" i="2" s="1"/>
  <c r="AN722" i="2" s="1"/>
  <c r="AH723" i="2" a="1"/>
  <c r="AH723" i="2" s="1"/>
  <c r="AN723" i="2" s="1"/>
  <c r="AH724" i="2" a="1"/>
  <c r="AH724" i="2" s="1"/>
  <c r="AN724" i="2" s="1"/>
  <c r="AH725" i="2" a="1"/>
  <c r="AH725" i="2" s="1"/>
  <c r="AN725" i="2" s="1"/>
  <c r="AH726" i="2" a="1"/>
  <c r="AH726" i="2" s="1"/>
  <c r="AN726" i="2" s="1"/>
  <c r="AH727" i="2" a="1"/>
  <c r="AH727" i="2" s="1"/>
  <c r="AN727" i="2" s="1"/>
  <c r="AH728" i="2" a="1"/>
  <c r="AH728" i="2" s="1"/>
  <c r="AN728" i="2" s="1"/>
  <c r="AH729" i="2" a="1"/>
  <c r="AH729" i="2" s="1"/>
  <c r="AN729" i="2" s="1"/>
  <c r="AH730" i="2" a="1"/>
  <c r="AH730" i="2" s="1"/>
  <c r="AN730" i="2" s="1"/>
  <c r="AH731" i="2" a="1"/>
  <c r="AH731" i="2" s="1"/>
  <c r="AN731" i="2" s="1"/>
  <c r="AH732" i="2" a="1"/>
  <c r="AH732" i="2" s="1"/>
  <c r="AN732" i="2" s="1"/>
  <c r="AH733" i="2" a="1"/>
  <c r="AH733" i="2" s="1"/>
  <c r="AN733" i="2" s="1"/>
  <c r="AH734" i="2" a="1"/>
  <c r="AH734" i="2" s="1"/>
  <c r="AN734" i="2" s="1"/>
  <c r="AH735" i="2" a="1"/>
  <c r="AH735" i="2" s="1"/>
  <c r="AN735" i="2" s="1"/>
  <c r="AH736" i="2" a="1"/>
  <c r="AH736" i="2" s="1"/>
  <c r="AN736" i="2" s="1"/>
  <c r="AH737" i="2" a="1"/>
  <c r="AH737" i="2" s="1"/>
  <c r="AN737" i="2" s="1"/>
  <c r="AH738" i="2" a="1"/>
  <c r="AH738" i="2" s="1"/>
  <c r="AN738" i="2" s="1"/>
  <c r="AH739" i="2" a="1"/>
  <c r="AH739" i="2" s="1"/>
  <c r="AN739" i="2" s="1"/>
  <c r="AH740" i="2" a="1"/>
  <c r="AH740" i="2" s="1"/>
  <c r="AN740" i="2" s="1"/>
  <c r="AH741" i="2" a="1"/>
  <c r="AH741" i="2" s="1"/>
  <c r="AN741" i="2" s="1"/>
  <c r="AH742" i="2" a="1"/>
  <c r="AH742" i="2" s="1"/>
  <c r="AN742" i="2" s="1"/>
  <c r="AH743" i="2" a="1"/>
  <c r="AH743" i="2" s="1"/>
  <c r="AN743" i="2" s="1"/>
  <c r="AH744" i="2" a="1"/>
  <c r="AH744" i="2" s="1"/>
  <c r="AN744" i="2" s="1"/>
  <c r="AH745" i="2" a="1"/>
  <c r="AH745" i="2" s="1"/>
  <c r="AN745" i="2" s="1"/>
  <c r="AH746" i="2" a="1"/>
  <c r="AH746" i="2" s="1"/>
  <c r="AN746" i="2" s="1"/>
  <c r="AH747" i="2" a="1"/>
  <c r="AH747" i="2" s="1"/>
  <c r="AN747" i="2" s="1"/>
  <c r="AH748" i="2" a="1"/>
  <c r="AH748" i="2" s="1"/>
  <c r="AN748" i="2" s="1"/>
  <c r="AH749" i="2" a="1"/>
  <c r="AH749" i="2" s="1"/>
  <c r="AN749" i="2" s="1"/>
  <c r="AH750" i="2" a="1"/>
  <c r="AH750" i="2" s="1"/>
  <c r="AN750" i="2" s="1"/>
  <c r="AH751" i="2" a="1"/>
  <c r="AH751" i="2" s="1"/>
  <c r="AN751" i="2" s="1"/>
  <c r="AH752" i="2" a="1"/>
  <c r="AH752" i="2" s="1"/>
  <c r="AN752" i="2" s="1"/>
  <c r="AH753" i="2" a="1"/>
  <c r="AH753" i="2" s="1"/>
  <c r="AN753" i="2" s="1"/>
  <c r="AH754" i="2" a="1"/>
  <c r="AH754" i="2" s="1"/>
  <c r="AN754" i="2" s="1"/>
  <c r="AH755" i="2" a="1"/>
  <c r="AH755" i="2" s="1"/>
  <c r="AN755" i="2" s="1"/>
  <c r="AH756" i="2" a="1"/>
  <c r="AH756" i="2" s="1"/>
  <c r="AN756" i="2" s="1"/>
  <c r="AH757" i="2" a="1"/>
  <c r="AH757" i="2" s="1"/>
  <c r="AN757" i="2" s="1"/>
  <c r="AH758" i="2" a="1"/>
  <c r="AH758" i="2" s="1"/>
  <c r="AN758" i="2" s="1"/>
  <c r="AH759" i="2" a="1"/>
  <c r="AH759" i="2" s="1"/>
  <c r="AN759" i="2" s="1"/>
  <c r="AH760" i="2" a="1"/>
  <c r="AH760" i="2" s="1"/>
  <c r="AN760" i="2" s="1"/>
  <c r="AH761" i="2" a="1"/>
  <c r="AH761" i="2" s="1"/>
  <c r="AN761" i="2" s="1"/>
  <c r="AH762" i="2" a="1"/>
  <c r="AH762" i="2" s="1"/>
  <c r="AN762" i="2" s="1"/>
  <c r="AH763" i="2" a="1"/>
  <c r="AH763" i="2" s="1"/>
  <c r="AN763" i="2" s="1"/>
  <c r="AH764" i="2" a="1"/>
  <c r="AH764" i="2" s="1"/>
  <c r="AN764" i="2" s="1"/>
  <c r="AH765" i="2" a="1"/>
  <c r="AH765" i="2" s="1"/>
  <c r="AN765" i="2" s="1"/>
  <c r="AH766" i="2" a="1"/>
  <c r="AH766" i="2" s="1"/>
  <c r="AN766" i="2" s="1"/>
  <c r="AH767" i="2" a="1"/>
  <c r="AH767" i="2" s="1"/>
  <c r="AN767" i="2" s="1"/>
  <c r="AH768" i="2" a="1"/>
  <c r="AH768" i="2" s="1"/>
  <c r="AN768" i="2" s="1"/>
  <c r="AH769" i="2" a="1"/>
  <c r="AH769" i="2" s="1"/>
  <c r="AN769" i="2" s="1"/>
  <c r="AH770" i="2" a="1"/>
  <c r="AH770" i="2" s="1"/>
  <c r="AN770" i="2" s="1"/>
  <c r="AH771" i="2" a="1"/>
  <c r="AH771" i="2" s="1"/>
  <c r="AN771" i="2" s="1"/>
  <c r="AH772" i="2" a="1"/>
  <c r="AH772" i="2" s="1"/>
  <c r="AN772" i="2" s="1"/>
  <c r="AH773" i="2" a="1"/>
  <c r="AH773" i="2" s="1"/>
  <c r="AN773" i="2" s="1"/>
  <c r="AH774" i="2" a="1"/>
  <c r="AH774" i="2" s="1"/>
  <c r="AN774" i="2" s="1"/>
  <c r="AH775" i="2" a="1"/>
  <c r="AH775" i="2" s="1"/>
  <c r="AN775" i="2" s="1"/>
  <c r="AH776" i="2" a="1"/>
  <c r="AH776" i="2" s="1"/>
  <c r="AN776" i="2" s="1"/>
  <c r="AH777" i="2" a="1"/>
  <c r="AH777" i="2" s="1"/>
  <c r="AN777" i="2" s="1"/>
  <c r="AH778" i="2" a="1"/>
  <c r="AH778" i="2" s="1"/>
  <c r="AN778" i="2" s="1"/>
  <c r="AH779" i="2" a="1"/>
  <c r="AH779" i="2" s="1"/>
  <c r="AN779" i="2" s="1"/>
  <c r="AH780" i="2" a="1"/>
  <c r="AH780" i="2" s="1"/>
  <c r="AN780" i="2" s="1"/>
  <c r="AH781" i="2" a="1"/>
  <c r="AH781" i="2" s="1"/>
  <c r="AN781" i="2" s="1"/>
  <c r="AH782" i="2" a="1"/>
  <c r="AH782" i="2" s="1"/>
  <c r="AN782" i="2" s="1"/>
  <c r="AH783" i="2" a="1"/>
  <c r="AH783" i="2" s="1"/>
  <c r="AN783" i="2" s="1"/>
  <c r="AH784" i="2" a="1"/>
  <c r="AH784" i="2" s="1"/>
  <c r="AN784" i="2" s="1"/>
  <c r="AH785" i="2" a="1"/>
  <c r="AH785" i="2" s="1"/>
  <c r="AN785" i="2" s="1"/>
  <c r="AH786" i="2" a="1"/>
  <c r="AH786" i="2" s="1"/>
  <c r="AN786" i="2" s="1"/>
  <c r="AH787" i="2" a="1"/>
  <c r="AH787" i="2" s="1"/>
  <c r="AN787" i="2" s="1"/>
  <c r="AH788" i="2" a="1"/>
  <c r="AH788" i="2" s="1"/>
  <c r="AN788" i="2" s="1"/>
  <c r="AH789" i="2" a="1"/>
  <c r="AH789" i="2" s="1"/>
  <c r="AN789" i="2" s="1"/>
  <c r="AH790" i="2" a="1"/>
  <c r="AH790" i="2" s="1"/>
  <c r="AN790" i="2" s="1"/>
  <c r="AH791" i="2" a="1"/>
  <c r="AH791" i="2" s="1"/>
  <c r="AN791" i="2" s="1"/>
  <c r="AH792" i="2" a="1"/>
  <c r="AH792" i="2" s="1"/>
  <c r="AN792" i="2" s="1"/>
  <c r="AH793" i="2" a="1"/>
  <c r="AH793" i="2" s="1"/>
  <c r="AN793" i="2" s="1"/>
  <c r="AH794" i="2" a="1"/>
  <c r="AH794" i="2" s="1"/>
  <c r="AN794" i="2" s="1"/>
  <c r="AH795" i="2" a="1"/>
  <c r="AH795" i="2" s="1"/>
  <c r="AN795" i="2" s="1"/>
  <c r="AH796" i="2" a="1"/>
  <c r="AH796" i="2" s="1"/>
  <c r="AN796" i="2" s="1"/>
  <c r="AH797" i="2" a="1"/>
  <c r="AH797" i="2" s="1"/>
  <c r="AN797" i="2" s="1"/>
  <c r="AH798" i="2" a="1"/>
  <c r="AH798" i="2" s="1"/>
  <c r="AN798" i="2" s="1"/>
  <c r="AH799" i="2" a="1"/>
  <c r="AH799" i="2" s="1"/>
  <c r="AN799" i="2" s="1"/>
  <c r="AH800" i="2" a="1"/>
  <c r="AH800" i="2" s="1"/>
  <c r="AN800" i="2" s="1"/>
  <c r="AH801" i="2" a="1"/>
  <c r="AH801" i="2" s="1"/>
  <c r="AN801" i="2" s="1"/>
  <c r="AH802" i="2" a="1"/>
  <c r="AH802" i="2" s="1"/>
  <c r="AN802" i="2" s="1"/>
  <c r="AH803" i="2" a="1"/>
  <c r="AH803" i="2" s="1"/>
  <c r="AN803" i="2" s="1"/>
  <c r="AH804" i="2" a="1"/>
  <c r="AH804" i="2" s="1"/>
  <c r="AN804" i="2" s="1"/>
  <c r="AH805" i="2" a="1"/>
  <c r="AH805" i="2" s="1"/>
  <c r="AN805" i="2" s="1"/>
  <c r="AH806" i="2" a="1"/>
  <c r="AH806" i="2" s="1"/>
  <c r="AN806" i="2" s="1"/>
  <c r="AH807" i="2" a="1"/>
  <c r="AH807" i="2" s="1"/>
  <c r="AN807" i="2" s="1"/>
  <c r="AH808" i="2" a="1"/>
  <c r="AH808" i="2" s="1"/>
  <c r="AN808" i="2" s="1"/>
  <c r="AH809" i="2" a="1"/>
  <c r="AH809" i="2" s="1"/>
  <c r="AN809" i="2" s="1"/>
  <c r="AH810" i="2" a="1"/>
  <c r="AH810" i="2" s="1"/>
  <c r="AN810" i="2" s="1"/>
  <c r="AH811" i="2" a="1"/>
  <c r="AH811" i="2" s="1"/>
  <c r="AN811" i="2" s="1"/>
  <c r="AH812" i="2" a="1"/>
  <c r="AH812" i="2" s="1"/>
  <c r="AN812" i="2" s="1"/>
  <c r="AH813" i="2" a="1"/>
  <c r="AH813" i="2" s="1"/>
  <c r="AN813" i="2" s="1"/>
  <c r="AH814" i="2" a="1"/>
  <c r="AH814" i="2" s="1"/>
  <c r="AN814" i="2" s="1"/>
  <c r="AH815" i="2" a="1"/>
  <c r="AH815" i="2" s="1"/>
  <c r="AN815" i="2" s="1"/>
  <c r="AH816" i="2" a="1"/>
  <c r="AH816" i="2" s="1"/>
  <c r="AN816" i="2" s="1"/>
  <c r="AH817" i="2" a="1"/>
  <c r="AH817" i="2" s="1"/>
  <c r="AN817" i="2" s="1"/>
  <c r="AH818" i="2" a="1"/>
  <c r="AH818" i="2" s="1"/>
  <c r="AN818" i="2" s="1"/>
  <c r="AH819" i="2" a="1"/>
  <c r="AH819" i="2" s="1"/>
  <c r="AN819" i="2" s="1"/>
  <c r="AH820" i="2" a="1"/>
  <c r="AH820" i="2" s="1"/>
  <c r="AN820" i="2" s="1"/>
  <c r="AH821" i="2" a="1"/>
  <c r="AH821" i="2" s="1"/>
  <c r="AN821" i="2" s="1"/>
  <c r="AH822" i="2" a="1"/>
  <c r="AH822" i="2" s="1"/>
  <c r="AN822" i="2" s="1"/>
  <c r="AH823" i="2" a="1"/>
  <c r="AH823" i="2" s="1"/>
  <c r="AN823" i="2" s="1"/>
  <c r="AH824" i="2" a="1"/>
  <c r="AH824" i="2" s="1"/>
  <c r="AN824" i="2" s="1"/>
  <c r="AH825" i="2" a="1"/>
  <c r="AH825" i="2" s="1"/>
  <c r="AN825" i="2" s="1"/>
  <c r="AH826" i="2" a="1"/>
  <c r="AH826" i="2" s="1"/>
  <c r="AN826" i="2" s="1"/>
  <c r="AH827" i="2" a="1"/>
  <c r="AH827" i="2" s="1"/>
  <c r="AN827" i="2" s="1"/>
  <c r="AH828" i="2" a="1"/>
  <c r="AH828" i="2" s="1"/>
  <c r="AN828" i="2" s="1"/>
  <c r="AH829" i="2" a="1"/>
  <c r="AH829" i="2" s="1"/>
  <c r="AN829" i="2" s="1"/>
  <c r="AH830" i="2" a="1"/>
  <c r="AH830" i="2" s="1"/>
  <c r="AN830" i="2" s="1"/>
  <c r="AH831" i="2" a="1"/>
  <c r="AH831" i="2" s="1"/>
  <c r="AN831" i="2" s="1"/>
  <c r="AH832" i="2" a="1"/>
  <c r="AH832" i="2" s="1"/>
  <c r="AN832" i="2" s="1"/>
  <c r="AH833" i="2" a="1"/>
  <c r="AH833" i="2" s="1"/>
  <c r="AN833" i="2" s="1"/>
  <c r="AH834" i="2" a="1"/>
  <c r="AH834" i="2" s="1"/>
  <c r="AN834" i="2" s="1"/>
  <c r="AH835" i="2" a="1"/>
  <c r="AH835" i="2" s="1"/>
  <c r="AN835" i="2" s="1"/>
  <c r="AH836" i="2" a="1"/>
  <c r="AH836" i="2" s="1"/>
  <c r="AN836" i="2" s="1"/>
  <c r="AH837" i="2" a="1"/>
  <c r="AH837" i="2" s="1"/>
  <c r="AN837" i="2" s="1"/>
  <c r="AH838" i="2" a="1"/>
  <c r="AH838" i="2" s="1"/>
  <c r="AN838" i="2" s="1"/>
  <c r="AH839" i="2" a="1"/>
  <c r="AH839" i="2" s="1"/>
  <c r="AN839" i="2" s="1"/>
  <c r="AH840" i="2" a="1"/>
  <c r="AH840" i="2" s="1"/>
  <c r="AN840" i="2" s="1"/>
  <c r="AH841" i="2" a="1"/>
  <c r="AH841" i="2" s="1"/>
  <c r="AN841" i="2" s="1"/>
  <c r="AH842" i="2" a="1"/>
  <c r="AH842" i="2" s="1"/>
  <c r="AN842" i="2" s="1"/>
  <c r="AH843" i="2" a="1"/>
  <c r="AH843" i="2" s="1"/>
  <c r="AN843" i="2" s="1"/>
  <c r="AH844" i="2" a="1"/>
  <c r="AH844" i="2" s="1"/>
  <c r="AN844" i="2" s="1"/>
  <c r="AH845" i="2" a="1"/>
  <c r="AH845" i="2" s="1"/>
  <c r="AN845" i="2" s="1"/>
  <c r="AH846" i="2" a="1"/>
  <c r="AH846" i="2" s="1"/>
  <c r="AN846" i="2" s="1"/>
  <c r="AH847" i="2" a="1"/>
  <c r="AH847" i="2" s="1"/>
  <c r="AN847" i="2" s="1"/>
  <c r="AH848" i="2" a="1"/>
  <c r="AH848" i="2" s="1"/>
  <c r="AN848" i="2" s="1"/>
  <c r="AH849" i="2" a="1"/>
  <c r="AH849" i="2" s="1"/>
  <c r="AN849" i="2" s="1"/>
  <c r="AH850" i="2" a="1"/>
  <c r="AH850" i="2" s="1"/>
  <c r="AN850" i="2" s="1"/>
  <c r="AH851" i="2" a="1"/>
  <c r="AH851" i="2" s="1"/>
  <c r="AN851" i="2" s="1"/>
  <c r="AH852" i="2" a="1"/>
  <c r="AH852" i="2" s="1"/>
  <c r="AN852" i="2" s="1"/>
  <c r="AH853" i="2" a="1"/>
  <c r="AH853" i="2" s="1"/>
  <c r="AN853" i="2" s="1"/>
  <c r="AH854" i="2" a="1"/>
  <c r="AH854" i="2" s="1"/>
  <c r="AN854" i="2" s="1"/>
  <c r="AH855" i="2" a="1"/>
  <c r="AH855" i="2" s="1"/>
  <c r="AN855" i="2" s="1"/>
  <c r="AH856" i="2" a="1"/>
  <c r="AH856" i="2" s="1"/>
  <c r="AN856" i="2" s="1"/>
  <c r="AH857" i="2" a="1"/>
  <c r="AH857" i="2" s="1"/>
  <c r="AN857" i="2" s="1"/>
  <c r="AH858" i="2" a="1"/>
  <c r="AH858" i="2" s="1"/>
  <c r="AN858" i="2" s="1"/>
  <c r="AH859" i="2" a="1"/>
  <c r="AH859" i="2" s="1"/>
  <c r="AN859" i="2" s="1"/>
  <c r="AH860" i="2" a="1"/>
  <c r="AH860" i="2" s="1"/>
  <c r="AN860" i="2" s="1"/>
  <c r="AH861" i="2" a="1"/>
  <c r="AH861" i="2" s="1"/>
  <c r="AN861" i="2" s="1"/>
  <c r="AH862" i="2" a="1"/>
  <c r="AH862" i="2" s="1"/>
  <c r="AN862" i="2" s="1"/>
  <c r="AH863" i="2" a="1"/>
  <c r="AH863" i="2" s="1"/>
  <c r="AN863" i="2" s="1"/>
  <c r="AH864" i="2" a="1"/>
  <c r="AH864" i="2" s="1"/>
  <c r="AN864" i="2" s="1"/>
  <c r="AH865" i="2" a="1"/>
  <c r="AH865" i="2" s="1"/>
  <c r="AN865" i="2" s="1"/>
  <c r="AH866" i="2" a="1"/>
  <c r="AH866" i="2" s="1"/>
  <c r="AN866" i="2" s="1"/>
  <c r="AH867" i="2" a="1"/>
  <c r="AH867" i="2" s="1"/>
  <c r="AN867" i="2" s="1"/>
  <c r="AH868" i="2" a="1"/>
  <c r="AH868" i="2" s="1"/>
  <c r="AN868" i="2" s="1"/>
  <c r="AH869" i="2" a="1"/>
  <c r="AH869" i="2" s="1"/>
  <c r="AN869" i="2" s="1"/>
  <c r="AH870" i="2" a="1"/>
  <c r="AH870" i="2" s="1"/>
  <c r="AN870" i="2" s="1"/>
  <c r="AH871" i="2" a="1"/>
  <c r="AH871" i="2" s="1"/>
  <c r="AN871" i="2" s="1"/>
  <c r="AH872" i="2" a="1"/>
  <c r="AH872" i="2" s="1"/>
  <c r="AN872" i="2" s="1"/>
  <c r="AH873" i="2" a="1"/>
  <c r="AH873" i="2" s="1"/>
  <c r="AN873" i="2" s="1"/>
  <c r="AH874" i="2" a="1"/>
  <c r="AH874" i="2" s="1"/>
  <c r="AN874" i="2" s="1"/>
  <c r="AH875" i="2" a="1"/>
  <c r="AH875" i="2" s="1"/>
  <c r="AN875" i="2" s="1"/>
  <c r="AH876" i="2" a="1"/>
  <c r="AH876" i="2" s="1"/>
  <c r="AN876" i="2" s="1"/>
  <c r="AH877" i="2" a="1"/>
  <c r="AH877" i="2" s="1"/>
  <c r="AN877" i="2" s="1"/>
  <c r="AH878" i="2" a="1"/>
  <c r="AH878" i="2" s="1"/>
  <c r="AN878" i="2" s="1"/>
  <c r="AH879" i="2" a="1"/>
  <c r="AH879" i="2" s="1"/>
  <c r="AN879" i="2" s="1"/>
  <c r="AH880" i="2" a="1"/>
  <c r="AH880" i="2" s="1"/>
  <c r="AN880" i="2" s="1"/>
  <c r="AH881" i="2" a="1"/>
  <c r="AH881" i="2" s="1"/>
  <c r="AN881" i="2" s="1"/>
  <c r="AH882" i="2" a="1"/>
  <c r="AH882" i="2" s="1"/>
  <c r="AN882" i="2" s="1"/>
  <c r="AH883" i="2" a="1"/>
  <c r="AH883" i="2" s="1"/>
  <c r="AN883" i="2" s="1"/>
  <c r="AH884" i="2" a="1"/>
  <c r="AH884" i="2" s="1"/>
  <c r="AN884" i="2" s="1"/>
  <c r="AH885" i="2" a="1"/>
  <c r="AH885" i="2" s="1"/>
  <c r="AN885" i="2" s="1"/>
  <c r="AH886" i="2" a="1"/>
  <c r="AH886" i="2" s="1"/>
  <c r="AN886" i="2" s="1"/>
  <c r="AH887" i="2" a="1"/>
  <c r="AH887" i="2" s="1"/>
  <c r="AN887" i="2" s="1"/>
  <c r="AH888" i="2" a="1"/>
  <c r="AH888" i="2" s="1"/>
  <c r="AN888" i="2" s="1"/>
  <c r="AH889" i="2" a="1"/>
  <c r="AH889" i="2" s="1"/>
  <c r="AN889" i="2" s="1"/>
  <c r="AH890" i="2" a="1"/>
  <c r="AH890" i="2" s="1"/>
  <c r="AN890" i="2" s="1"/>
  <c r="AH891" i="2" a="1"/>
  <c r="AH891" i="2" s="1"/>
  <c r="AN891" i="2" s="1"/>
  <c r="AH892" i="2" a="1"/>
  <c r="AH892" i="2" s="1"/>
  <c r="AN892" i="2" s="1"/>
  <c r="AH893" i="2" a="1"/>
  <c r="AH893" i="2" s="1"/>
  <c r="AN893" i="2" s="1"/>
  <c r="AH894" i="2" a="1"/>
  <c r="AH894" i="2" s="1"/>
  <c r="AN894" i="2" s="1"/>
  <c r="AH895" i="2" a="1"/>
  <c r="AH895" i="2" s="1"/>
  <c r="AN895" i="2" s="1"/>
  <c r="AH896" i="2" a="1"/>
  <c r="AH896" i="2" s="1"/>
  <c r="AN896" i="2" s="1"/>
  <c r="AH897" i="2" a="1"/>
  <c r="AH897" i="2" s="1"/>
  <c r="AN897" i="2" s="1"/>
  <c r="AH898" i="2" a="1"/>
  <c r="AH898" i="2" s="1"/>
  <c r="AN898" i="2" s="1"/>
  <c r="AH899" i="2" a="1"/>
  <c r="AH899" i="2" s="1"/>
  <c r="AN899" i="2" s="1"/>
  <c r="AH900" i="2" a="1"/>
  <c r="AH900" i="2" s="1"/>
  <c r="AN900" i="2" s="1"/>
  <c r="AH901" i="2" a="1"/>
  <c r="AH901" i="2" s="1"/>
  <c r="AN901" i="2" s="1"/>
  <c r="AH902" i="2" a="1"/>
  <c r="AH902" i="2" s="1"/>
  <c r="AN902" i="2" s="1"/>
  <c r="AH903" i="2" a="1"/>
  <c r="AH903" i="2" s="1"/>
  <c r="AN903" i="2" s="1"/>
  <c r="AH904" i="2" a="1"/>
  <c r="AH904" i="2" s="1"/>
  <c r="AN904" i="2" s="1"/>
  <c r="AH905" i="2" a="1"/>
  <c r="AH905" i="2" s="1"/>
  <c r="AN905" i="2" s="1"/>
  <c r="AH906" i="2" a="1"/>
  <c r="AH906" i="2" s="1"/>
  <c r="AN906" i="2" s="1"/>
  <c r="AH907" i="2" a="1"/>
  <c r="AH907" i="2" s="1"/>
  <c r="AN907" i="2" s="1"/>
  <c r="AH908" i="2" a="1"/>
  <c r="AH908" i="2" s="1"/>
  <c r="AN908" i="2" s="1"/>
  <c r="AH909" i="2" a="1"/>
  <c r="AH909" i="2" s="1"/>
  <c r="AN909" i="2" s="1"/>
  <c r="AH910" i="2" a="1"/>
  <c r="AH910" i="2" s="1"/>
  <c r="AN910" i="2" s="1"/>
  <c r="AH911" i="2" a="1"/>
  <c r="AH911" i="2" s="1"/>
  <c r="AN911" i="2" s="1"/>
  <c r="AH912" i="2" a="1"/>
  <c r="AH912" i="2" s="1"/>
  <c r="AN912" i="2" s="1"/>
  <c r="AH913" i="2" a="1"/>
  <c r="AH913" i="2" s="1"/>
  <c r="AN913" i="2" s="1"/>
  <c r="AH914" i="2" a="1"/>
  <c r="AH914" i="2" s="1"/>
  <c r="AN914" i="2" s="1"/>
  <c r="AH915" i="2" a="1"/>
  <c r="AH915" i="2" s="1"/>
  <c r="AN915" i="2" s="1"/>
  <c r="AH916" i="2" a="1"/>
  <c r="AH916" i="2" s="1"/>
  <c r="AN916" i="2" s="1"/>
  <c r="AH917" i="2" a="1"/>
  <c r="AH917" i="2" s="1"/>
  <c r="AN917" i="2" s="1"/>
  <c r="AH918" i="2" a="1"/>
  <c r="AH918" i="2" s="1"/>
  <c r="AN918" i="2" s="1"/>
  <c r="AH919" i="2" a="1"/>
  <c r="AH919" i="2" s="1"/>
  <c r="AN919" i="2" s="1"/>
  <c r="AH920" i="2" a="1"/>
  <c r="AH920" i="2" s="1"/>
  <c r="AN920" i="2" s="1"/>
  <c r="AH921" i="2" a="1"/>
  <c r="AH921" i="2" s="1"/>
  <c r="AN921" i="2" s="1"/>
  <c r="AH922" i="2" a="1"/>
  <c r="AH922" i="2" s="1"/>
  <c r="AN922" i="2" s="1"/>
  <c r="AH923" i="2" a="1"/>
  <c r="AH923" i="2" s="1"/>
  <c r="AN923" i="2" s="1"/>
  <c r="AH924" i="2" a="1"/>
  <c r="AH924" i="2" s="1"/>
  <c r="AN924" i="2" s="1"/>
  <c r="AH925" i="2" a="1"/>
  <c r="AH925" i="2" s="1"/>
  <c r="AN925" i="2" s="1"/>
  <c r="AH926" i="2" a="1"/>
  <c r="AH926" i="2" s="1"/>
  <c r="AN926" i="2" s="1"/>
  <c r="AH927" i="2" a="1"/>
  <c r="AH927" i="2" s="1"/>
  <c r="AN927" i="2" s="1"/>
  <c r="AH928" i="2" a="1"/>
  <c r="AH928" i="2" s="1"/>
  <c r="AN928" i="2" s="1"/>
  <c r="AH929" i="2" a="1"/>
  <c r="AH929" i="2" s="1"/>
  <c r="AN929" i="2" s="1"/>
  <c r="AH930" i="2" a="1"/>
  <c r="AH930" i="2" s="1"/>
  <c r="AN930" i="2" s="1"/>
  <c r="AH931" i="2" a="1"/>
  <c r="AH931" i="2" s="1"/>
  <c r="AN931" i="2" s="1"/>
  <c r="AH932" i="2" a="1"/>
  <c r="AH932" i="2" s="1"/>
  <c r="AN932" i="2" s="1"/>
  <c r="AH933" i="2" a="1"/>
  <c r="AH933" i="2" s="1"/>
  <c r="AN933" i="2" s="1"/>
  <c r="AH934" i="2" a="1"/>
  <c r="AH934" i="2" s="1"/>
  <c r="AN934" i="2" s="1"/>
  <c r="AH935" i="2" a="1"/>
  <c r="AH935" i="2" s="1"/>
  <c r="AN935" i="2" s="1"/>
  <c r="AH936" i="2" a="1"/>
  <c r="AH936" i="2" s="1"/>
  <c r="AN936" i="2" s="1"/>
  <c r="AH937" i="2" a="1"/>
  <c r="AH937" i="2" s="1"/>
  <c r="AN937" i="2" s="1"/>
  <c r="AH938" i="2" a="1"/>
  <c r="AH938" i="2" s="1"/>
  <c r="AN938" i="2" s="1"/>
  <c r="AH939" i="2" a="1"/>
  <c r="AH939" i="2" s="1"/>
  <c r="AN939" i="2" s="1"/>
  <c r="AH940" i="2" a="1"/>
  <c r="AH940" i="2" s="1"/>
  <c r="AN940" i="2" s="1"/>
  <c r="AH941" i="2" a="1"/>
  <c r="AH941" i="2" s="1"/>
  <c r="AN941" i="2" s="1"/>
  <c r="AH942" i="2" a="1"/>
  <c r="AH942" i="2" s="1"/>
  <c r="AN942" i="2" s="1"/>
  <c r="AH943" i="2" a="1"/>
  <c r="AH943" i="2" s="1"/>
  <c r="AN943" i="2" s="1"/>
  <c r="AH944" i="2" a="1"/>
  <c r="AH944" i="2" s="1"/>
  <c r="AN944" i="2" s="1"/>
  <c r="AH945" i="2" a="1"/>
  <c r="AH945" i="2" s="1"/>
  <c r="AN945" i="2" s="1"/>
  <c r="AH946" i="2" a="1"/>
  <c r="AH946" i="2" s="1"/>
  <c r="AN946" i="2" s="1"/>
  <c r="AH947" i="2" a="1"/>
  <c r="AH947" i="2" s="1"/>
  <c r="AN947" i="2" s="1"/>
  <c r="AH948" i="2" a="1"/>
  <c r="AH948" i="2" s="1"/>
  <c r="AN948" i="2" s="1"/>
  <c r="AH949" i="2" a="1"/>
  <c r="AH949" i="2" s="1"/>
  <c r="AN949" i="2" s="1"/>
  <c r="AH950" i="2" a="1"/>
  <c r="AH950" i="2" s="1"/>
  <c r="AN950" i="2" s="1"/>
  <c r="AH951" i="2" a="1"/>
  <c r="AH951" i="2" s="1"/>
  <c r="AN951" i="2" s="1"/>
  <c r="AH952" i="2" a="1"/>
  <c r="AH952" i="2" s="1"/>
  <c r="AN952" i="2" s="1"/>
  <c r="AH953" i="2" a="1"/>
  <c r="AH953" i="2" s="1"/>
  <c r="AN953" i="2" s="1"/>
  <c r="AH954" i="2" a="1"/>
  <c r="AH954" i="2" s="1"/>
  <c r="AN954" i="2" s="1"/>
  <c r="AH955" i="2" a="1"/>
  <c r="AH955" i="2" s="1"/>
  <c r="AN955" i="2" s="1"/>
  <c r="AH956" i="2" a="1"/>
  <c r="AH956" i="2" s="1"/>
  <c r="AN956" i="2" s="1"/>
  <c r="AH957" i="2" a="1"/>
  <c r="AH957" i="2" s="1"/>
  <c r="AN957" i="2" s="1"/>
  <c r="AH958" i="2" a="1"/>
  <c r="AH958" i="2" s="1"/>
  <c r="AN958" i="2" s="1"/>
  <c r="AH959" i="2" a="1"/>
  <c r="AH959" i="2" s="1"/>
  <c r="AN959" i="2" s="1"/>
  <c r="AH960" i="2" a="1"/>
  <c r="AH960" i="2" s="1"/>
  <c r="AN960" i="2" s="1"/>
  <c r="AH961" i="2" a="1"/>
  <c r="AH961" i="2" s="1"/>
  <c r="AN961" i="2" s="1"/>
  <c r="AH962" i="2" a="1"/>
  <c r="AH962" i="2" s="1"/>
  <c r="AN962" i="2" s="1"/>
  <c r="AH963" i="2" a="1"/>
  <c r="AH963" i="2" s="1"/>
  <c r="AN963" i="2" s="1"/>
  <c r="AH964" i="2" a="1"/>
  <c r="AH964" i="2" s="1"/>
  <c r="AN964" i="2" s="1"/>
  <c r="AH965" i="2" a="1"/>
  <c r="AH965" i="2" s="1"/>
  <c r="AN965" i="2" s="1"/>
  <c r="AH966" i="2" a="1"/>
  <c r="AH966" i="2" s="1"/>
  <c r="AN966" i="2" s="1"/>
  <c r="AH967" i="2" a="1"/>
  <c r="AH967" i="2" s="1"/>
  <c r="AN967" i="2" s="1"/>
  <c r="AH968" i="2" a="1"/>
  <c r="AH968" i="2" s="1"/>
  <c r="AN968" i="2" s="1"/>
  <c r="AH969" i="2" a="1"/>
  <c r="AH969" i="2" s="1"/>
  <c r="AN969" i="2" s="1"/>
  <c r="AH970" i="2" a="1"/>
  <c r="AH970" i="2" s="1"/>
  <c r="AN970" i="2" s="1"/>
  <c r="AH971" i="2" a="1"/>
  <c r="AH971" i="2" s="1"/>
  <c r="AN971" i="2" s="1"/>
  <c r="AH972" i="2" a="1"/>
  <c r="AH972" i="2" s="1"/>
  <c r="AN972" i="2" s="1"/>
  <c r="AH973" i="2" a="1"/>
  <c r="AH973" i="2" s="1"/>
  <c r="AN973" i="2" s="1"/>
  <c r="AH974" i="2" a="1"/>
  <c r="AH974" i="2" s="1"/>
  <c r="AN974" i="2" s="1"/>
  <c r="AH975" i="2" a="1"/>
  <c r="AH975" i="2" s="1"/>
  <c r="AN975" i="2" s="1"/>
  <c r="AH976" i="2" a="1"/>
  <c r="AH976" i="2" s="1"/>
  <c r="AN976" i="2" s="1"/>
  <c r="AH977" i="2" a="1"/>
  <c r="AH977" i="2" s="1"/>
  <c r="AN977" i="2" s="1"/>
  <c r="AH978" i="2" a="1"/>
  <c r="AH978" i="2" s="1"/>
  <c r="AN978" i="2" s="1"/>
  <c r="AH979" i="2" a="1"/>
  <c r="AH979" i="2" s="1"/>
  <c r="AN979" i="2" s="1"/>
  <c r="AH980" i="2" a="1"/>
  <c r="AH980" i="2" s="1"/>
  <c r="AN980" i="2" s="1"/>
  <c r="AH981" i="2" a="1"/>
  <c r="AH981" i="2" s="1"/>
  <c r="AN981" i="2" s="1"/>
  <c r="AH982" i="2" a="1"/>
  <c r="AH982" i="2" s="1"/>
  <c r="AN982" i="2" s="1"/>
  <c r="AH983" i="2" a="1"/>
  <c r="AH983" i="2" s="1"/>
  <c r="AN983" i="2" s="1"/>
  <c r="AH984" i="2" a="1"/>
  <c r="AH984" i="2" s="1"/>
  <c r="AN984" i="2" s="1"/>
  <c r="AH985" i="2" a="1"/>
  <c r="AH985" i="2" s="1"/>
  <c r="AN985" i="2" s="1"/>
  <c r="AH986" i="2" a="1"/>
  <c r="AH986" i="2" s="1"/>
  <c r="AN986" i="2" s="1"/>
  <c r="AH987" i="2" a="1"/>
  <c r="AH987" i="2" s="1"/>
  <c r="AN987" i="2" s="1"/>
  <c r="AH988" i="2" a="1"/>
  <c r="AH988" i="2" s="1"/>
  <c r="AN988" i="2" s="1"/>
  <c r="AH989" i="2" a="1"/>
  <c r="AH989" i="2" s="1"/>
  <c r="AN989" i="2" s="1"/>
  <c r="AH990" i="2" a="1"/>
  <c r="AH990" i="2" s="1"/>
  <c r="AN990" i="2" s="1"/>
  <c r="AH991" i="2" a="1"/>
  <c r="AH991" i="2" s="1"/>
  <c r="AN991" i="2" s="1"/>
  <c r="AH992" i="2" a="1"/>
  <c r="AH992" i="2" s="1"/>
  <c r="AN992" i="2" s="1"/>
  <c r="AH993" i="2" a="1"/>
  <c r="AH993" i="2" s="1"/>
  <c r="AN993" i="2" s="1"/>
  <c r="AH994" i="2" a="1"/>
  <c r="AH994" i="2" s="1"/>
  <c r="AN994" i="2" s="1"/>
  <c r="AH995" i="2" a="1"/>
  <c r="AH995" i="2" s="1"/>
  <c r="AN995" i="2" s="1"/>
  <c r="AH996" i="2" a="1"/>
  <c r="AH996" i="2" s="1"/>
  <c r="AN996" i="2" s="1"/>
  <c r="AH997" i="2" a="1"/>
  <c r="AH997" i="2" s="1"/>
  <c r="AN997" i="2" s="1"/>
  <c r="AH998" i="2" a="1"/>
  <c r="AH998" i="2" s="1"/>
  <c r="AN998" i="2" s="1"/>
  <c r="AH999" i="2" a="1"/>
  <c r="AH999" i="2" s="1"/>
  <c r="AN999" i="2" s="1"/>
  <c r="AH1000" i="2" a="1"/>
  <c r="AH1000" i="2" s="1"/>
  <c r="AN1000" i="2" s="1"/>
  <c r="AH1001" i="2" a="1"/>
  <c r="AH1001" i="2" s="1"/>
  <c r="AN1001" i="2" s="1"/>
  <c r="AH1002" i="2" a="1"/>
  <c r="AH1002" i="2" s="1"/>
  <c r="AN1002" i="2" s="1"/>
  <c r="AH1003" i="2" a="1"/>
  <c r="AH1003" i="2" s="1"/>
  <c r="AN1003" i="2" s="1"/>
  <c r="AH1004" i="2" a="1"/>
  <c r="AH1004" i="2" s="1"/>
  <c r="AN1004" i="2" s="1"/>
  <c r="AH1005" i="2" a="1"/>
  <c r="AH1005" i="2" s="1"/>
  <c r="AN1005" i="2" s="1"/>
  <c r="AH1006" i="2" a="1"/>
  <c r="AH1006" i="2" s="1"/>
  <c r="AN1006" i="2" s="1"/>
  <c r="AH1007" i="2" a="1"/>
  <c r="AH1007" i="2" s="1"/>
  <c r="AN1007" i="2" s="1"/>
  <c r="AH1008" i="2" a="1"/>
  <c r="AH1008" i="2" s="1"/>
  <c r="AN1008" i="2" s="1"/>
  <c r="AH1009" i="2" a="1"/>
  <c r="AH1009" i="2" s="1"/>
  <c r="AN1009" i="2" s="1"/>
  <c r="AH1010" i="2" a="1"/>
  <c r="AH1010" i="2" s="1"/>
  <c r="AN1010" i="2" s="1"/>
  <c r="AH1011" i="2" a="1"/>
  <c r="AH1011" i="2" s="1"/>
  <c r="AN1011" i="2" s="1"/>
  <c r="AH1012" i="2" a="1"/>
  <c r="AH1012" i="2" s="1"/>
  <c r="AN1012" i="2" s="1"/>
  <c r="AH1013" i="2" a="1"/>
  <c r="AH1013" i="2" s="1"/>
  <c r="AN1013" i="2" s="1"/>
  <c r="AH1014" i="2" a="1"/>
  <c r="AH1014" i="2" s="1"/>
  <c r="AN1014" i="2" s="1"/>
  <c r="AH1015" i="2" a="1"/>
  <c r="AH1015" i="2" s="1"/>
  <c r="AN1015" i="2" s="1"/>
  <c r="AH1016" i="2" a="1"/>
  <c r="AH1016" i="2" s="1"/>
  <c r="AN1016" i="2" s="1"/>
  <c r="AH1017" i="2" a="1"/>
  <c r="AH1017" i="2" s="1"/>
  <c r="AN1017" i="2" s="1"/>
  <c r="AH1018" i="2" a="1"/>
  <c r="AH1018" i="2" s="1"/>
  <c r="AN1018" i="2" s="1"/>
  <c r="AH1019" i="2" a="1"/>
  <c r="AH1019" i="2" s="1"/>
  <c r="AN1019" i="2" s="1"/>
  <c r="AH1020" i="2" a="1"/>
  <c r="AH1020" i="2" s="1"/>
  <c r="AN1020" i="2" s="1"/>
  <c r="AH1021" i="2" a="1"/>
  <c r="AH1021" i="2" s="1"/>
  <c r="AN1021" i="2" s="1"/>
  <c r="AH1022" i="2" a="1"/>
  <c r="AH1022" i="2" s="1"/>
  <c r="AN1022" i="2" s="1"/>
  <c r="AH1023" i="2" a="1"/>
  <c r="AH1023" i="2" s="1"/>
  <c r="AN1023" i="2" s="1"/>
  <c r="AH1024" i="2" a="1"/>
  <c r="AH1024" i="2" s="1"/>
  <c r="AN1024" i="2" s="1"/>
  <c r="AH1025" i="2" a="1"/>
  <c r="AH1025" i="2" s="1"/>
  <c r="AN1025" i="2" s="1"/>
  <c r="AH1026" i="2" a="1"/>
  <c r="AH1026" i="2" s="1"/>
  <c r="AN1026" i="2" s="1"/>
  <c r="AH1027" i="2" a="1"/>
  <c r="AH1027" i="2" s="1"/>
  <c r="AN1027" i="2" s="1"/>
  <c r="AH1028" i="2" a="1"/>
  <c r="AH1028" i="2" s="1"/>
  <c r="AN1028" i="2" s="1"/>
  <c r="AH1029" i="2" a="1"/>
  <c r="AH1029" i="2" s="1"/>
  <c r="AN1029" i="2" s="1"/>
  <c r="AH1030" i="2" a="1"/>
  <c r="AH1030" i="2" s="1"/>
  <c r="AN1030" i="2" s="1"/>
  <c r="AH1031" i="2" a="1"/>
  <c r="AH1031" i="2" s="1"/>
  <c r="AN1031" i="2" s="1"/>
  <c r="AH1032" i="2" a="1"/>
  <c r="AH1032" i="2" s="1"/>
  <c r="AN1032" i="2" s="1"/>
  <c r="AH1033" i="2" a="1"/>
  <c r="AH1033" i="2" s="1"/>
  <c r="AN1033" i="2" s="1"/>
  <c r="AH1034" i="2" a="1"/>
  <c r="AH1034" i="2" s="1"/>
  <c r="AN1034" i="2" s="1"/>
  <c r="AH1035" i="2" a="1"/>
  <c r="AH1035" i="2" s="1"/>
  <c r="AN1035" i="2" s="1"/>
  <c r="AH1036" i="2" a="1"/>
  <c r="AH1036" i="2" s="1"/>
  <c r="AN1036" i="2" s="1"/>
  <c r="AH1037" i="2" a="1"/>
  <c r="AH1037" i="2" s="1"/>
  <c r="AN1037" i="2" s="1"/>
  <c r="AH1038" i="2" a="1"/>
  <c r="AH1038" i="2" s="1"/>
  <c r="AN1038" i="2" s="1"/>
  <c r="AH1039" i="2" a="1"/>
  <c r="AH1039" i="2" s="1"/>
  <c r="AN1039" i="2" s="1"/>
  <c r="AH1040" i="2" a="1"/>
  <c r="AH1040" i="2" s="1"/>
  <c r="AN1040" i="2" s="1"/>
  <c r="AH1041" i="2" a="1"/>
  <c r="AH1041" i="2" s="1"/>
  <c r="AN1041" i="2" s="1"/>
  <c r="AH1042" i="2" a="1"/>
  <c r="AH1042" i="2" s="1"/>
  <c r="AN1042" i="2" s="1"/>
  <c r="AH1043" i="2" a="1"/>
  <c r="AH1043" i="2" s="1"/>
  <c r="AN1043" i="2" s="1"/>
  <c r="AH1044" i="2" a="1"/>
  <c r="AH1044" i="2" s="1"/>
  <c r="AN1044" i="2" s="1"/>
  <c r="AH1045" i="2" a="1"/>
  <c r="AH1045" i="2" s="1"/>
  <c r="AN1045" i="2" s="1"/>
  <c r="AH1046" i="2" a="1"/>
  <c r="AH1046" i="2" s="1"/>
  <c r="AN1046" i="2" s="1"/>
  <c r="AH1047" i="2" a="1"/>
  <c r="AH1047" i="2" s="1"/>
  <c r="AN1047" i="2" s="1"/>
  <c r="AH1048" i="2" a="1"/>
  <c r="AH1048" i="2" s="1"/>
  <c r="AN1048" i="2" s="1"/>
  <c r="AH1049" i="2" a="1"/>
  <c r="AH1049" i="2" s="1"/>
  <c r="AN1049" i="2" s="1"/>
  <c r="AH1050" i="2" a="1"/>
  <c r="AH1050" i="2" s="1"/>
  <c r="AN1050" i="2" s="1"/>
  <c r="AH1051" i="2" a="1"/>
  <c r="AH1051" i="2" s="1"/>
  <c r="AN1051" i="2" s="1"/>
  <c r="AH1052" i="2" a="1"/>
  <c r="AH1052" i="2" s="1"/>
  <c r="AN1052" i="2" s="1"/>
  <c r="AH1053" i="2" a="1"/>
  <c r="AH1053" i="2" s="1"/>
  <c r="AN1053" i="2" s="1"/>
  <c r="AH1054" i="2" a="1"/>
  <c r="AH1054" i="2" s="1"/>
  <c r="AN1054" i="2" s="1"/>
  <c r="AH1055" i="2" a="1"/>
  <c r="AH1055" i="2" s="1"/>
  <c r="AN1055" i="2" s="1"/>
  <c r="AH1056" i="2" a="1"/>
  <c r="AH1056" i="2" s="1"/>
  <c r="AN1056" i="2" s="1"/>
  <c r="AH1057" i="2" a="1"/>
  <c r="AH1057" i="2" s="1"/>
  <c r="AN1057" i="2" s="1"/>
  <c r="AH1058" i="2" a="1"/>
  <c r="AH1058" i="2" s="1"/>
  <c r="AN1058" i="2" s="1"/>
  <c r="AH1059" i="2" a="1"/>
  <c r="AH1059" i="2" s="1"/>
  <c r="AN1059" i="2" s="1"/>
  <c r="AH1060" i="2" a="1"/>
  <c r="AH1060" i="2" s="1"/>
  <c r="AN1060" i="2" s="1"/>
  <c r="AH1061" i="2" a="1"/>
  <c r="AH1061" i="2" s="1"/>
  <c r="AN1061" i="2" s="1"/>
  <c r="AH1062" i="2" a="1"/>
  <c r="AH1062" i="2" s="1"/>
  <c r="AN1062" i="2" s="1"/>
  <c r="AH1063" i="2" a="1"/>
  <c r="AH1063" i="2" s="1"/>
  <c r="AN1063" i="2" s="1"/>
  <c r="AH1064" i="2" a="1"/>
  <c r="AH1064" i="2" s="1"/>
  <c r="AN1064" i="2" s="1"/>
  <c r="AH1065" i="2" a="1"/>
  <c r="AH1065" i="2" s="1"/>
  <c r="AN1065" i="2" s="1"/>
  <c r="AH1066" i="2" a="1"/>
  <c r="AH1066" i="2" s="1"/>
  <c r="AN1066" i="2" s="1"/>
  <c r="AH1067" i="2" a="1"/>
  <c r="AH1067" i="2" s="1"/>
  <c r="AN1067" i="2" s="1"/>
  <c r="AH1068" i="2" a="1"/>
  <c r="AH1068" i="2" s="1"/>
  <c r="AN1068" i="2" s="1"/>
  <c r="AH1069" i="2" a="1"/>
  <c r="AH1069" i="2" s="1"/>
  <c r="AN1069" i="2" s="1"/>
  <c r="AH1070" i="2" a="1"/>
  <c r="AH1070" i="2" s="1"/>
  <c r="AN1070" i="2" s="1"/>
  <c r="AH1071" i="2" a="1"/>
  <c r="AH1071" i="2" s="1"/>
  <c r="AN1071" i="2" s="1"/>
  <c r="AH1072" i="2" a="1"/>
  <c r="AH1072" i="2" s="1"/>
  <c r="AN1072" i="2" s="1"/>
  <c r="AH1073" i="2" a="1"/>
  <c r="AH1073" i="2" s="1"/>
  <c r="AN1073" i="2" s="1"/>
  <c r="AH1074" i="2" a="1"/>
  <c r="AH1074" i="2" s="1"/>
  <c r="AN1074" i="2" s="1"/>
  <c r="AH1075" i="2" a="1"/>
  <c r="AH1075" i="2" s="1"/>
  <c r="AN1075" i="2" s="1"/>
  <c r="AH1076" i="2" a="1"/>
  <c r="AH1076" i="2" s="1"/>
  <c r="AN1076" i="2" s="1"/>
  <c r="AH1077" i="2" a="1"/>
  <c r="AH1077" i="2" s="1"/>
  <c r="AN1077" i="2" s="1"/>
  <c r="AH1078" i="2" a="1"/>
  <c r="AH1078" i="2" s="1"/>
  <c r="AN1078" i="2" s="1"/>
  <c r="AH1079" i="2" a="1"/>
  <c r="AH1079" i="2" s="1"/>
  <c r="AN1079" i="2" s="1"/>
  <c r="AH1080" i="2" a="1"/>
  <c r="AH1080" i="2" s="1"/>
  <c r="AN1080" i="2" s="1"/>
  <c r="AH1081" i="2" a="1"/>
  <c r="AH1081" i="2" s="1"/>
  <c r="AN1081" i="2" s="1"/>
  <c r="AH1082" i="2" a="1"/>
  <c r="AH1082" i="2" s="1"/>
  <c r="AN1082" i="2" s="1"/>
  <c r="AH1083" i="2" a="1"/>
  <c r="AH1083" i="2" s="1"/>
  <c r="AN1083" i="2" s="1"/>
  <c r="AH1084" i="2" a="1"/>
  <c r="AH1084" i="2" s="1"/>
  <c r="AN1084" i="2" s="1"/>
  <c r="AH1085" i="2" a="1"/>
  <c r="AH1085" i="2" s="1"/>
  <c r="AN1085" i="2" s="1"/>
  <c r="AH1086" i="2" a="1"/>
  <c r="AH1086" i="2" s="1"/>
  <c r="AN1086" i="2" s="1"/>
  <c r="AH1087" i="2" a="1"/>
  <c r="AH1087" i="2" s="1"/>
  <c r="AN1087" i="2" s="1"/>
  <c r="AH1088" i="2" a="1"/>
  <c r="AH1088" i="2" s="1"/>
  <c r="AN1088" i="2" s="1"/>
  <c r="AH1089" i="2" a="1"/>
  <c r="AH1089" i="2" s="1"/>
  <c r="AN1089" i="2" s="1"/>
  <c r="AH1090" i="2" a="1"/>
  <c r="AH1090" i="2" s="1"/>
  <c r="AN1090" i="2" s="1"/>
  <c r="AH1091" i="2" a="1"/>
  <c r="AH1091" i="2" s="1"/>
  <c r="AN1091" i="2" s="1"/>
  <c r="AH1092" i="2" a="1"/>
  <c r="AH1092" i="2" s="1"/>
  <c r="AN1092" i="2" s="1"/>
  <c r="AH1093" i="2" a="1"/>
  <c r="AH1093" i="2" s="1"/>
  <c r="AN1093" i="2" s="1"/>
  <c r="AH1094" i="2" a="1"/>
  <c r="AH1094" i="2" s="1"/>
  <c r="AN1094" i="2" s="1"/>
  <c r="AH1095" i="2" a="1"/>
  <c r="AH1095" i="2" s="1"/>
  <c r="AN1095" i="2" s="1"/>
  <c r="AH1096" i="2" a="1"/>
  <c r="AH1096" i="2" s="1"/>
  <c r="AN1096" i="2" s="1"/>
  <c r="AH1097" i="2" a="1"/>
  <c r="AH1097" i="2" s="1"/>
  <c r="AN1097" i="2" s="1"/>
  <c r="AH1098" i="2" a="1"/>
  <c r="AH1098" i="2" s="1"/>
  <c r="AN1098" i="2" s="1"/>
  <c r="AH1099" i="2" a="1"/>
  <c r="AH1099" i="2" s="1"/>
  <c r="AN1099" i="2" s="1"/>
  <c r="AH1100" i="2" a="1"/>
  <c r="AH1100" i="2" s="1"/>
  <c r="AN1100" i="2" s="1"/>
  <c r="AH1101" i="2" a="1"/>
  <c r="AH1101" i="2" s="1"/>
  <c r="AN1101" i="2" s="1"/>
  <c r="AH1102" i="2" a="1"/>
  <c r="AH1102" i="2" s="1"/>
  <c r="AN1102" i="2" s="1"/>
  <c r="AH1103" i="2" a="1"/>
  <c r="AH1103" i="2" s="1"/>
  <c r="AN1103" i="2" s="1"/>
  <c r="AH1104" i="2" a="1"/>
  <c r="AH1104" i="2" s="1"/>
  <c r="AN1104" i="2" s="1"/>
  <c r="AH1105" i="2" a="1"/>
  <c r="AH1105" i="2" s="1"/>
  <c r="AN1105" i="2" s="1"/>
  <c r="AH1106" i="2" a="1"/>
  <c r="AH1106" i="2" s="1"/>
  <c r="AN1106" i="2" s="1"/>
  <c r="AH1107" i="2" a="1"/>
  <c r="AH1107" i="2" s="1"/>
  <c r="AN1107" i="2" s="1"/>
  <c r="AH1108" i="2" a="1"/>
  <c r="AH1108" i="2" s="1"/>
  <c r="AN1108" i="2" s="1"/>
  <c r="AH1109" i="2" a="1"/>
  <c r="AH1109" i="2" s="1"/>
  <c r="AN1109" i="2" s="1"/>
  <c r="AH1110" i="2" a="1"/>
  <c r="AH1110" i="2" s="1"/>
  <c r="AN1110" i="2" s="1"/>
  <c r="AH1111" i="2" a="1"/>
  <c r="AH1111" i="2" s="1"/>
  <c r="AN1111" i="2" s="1"/>
  <c r="AH1112" i="2" a="1"/>
  <c r="AH1112" i="2" s="1"/>
  <c r="AN1112" i="2" s="1"/>
  <c r="AH1113" i="2" a="1"/>
  <c r="AH1113" i="2" s="1"/>
  <c r="AN1113" i="2" s="1"/>
  <c r="AH1114" i="2" a="1"/>
  <c r="AH1114" i="2" s="1"/>
  <c r="AN1114" i="2" s="1"/>
  <c r="AH1115" i="2" a="1"/>
  <c r="AH1115" i="2" s="1"/>
  <c r="AN1115" i="2" s="1"/>
  <c r="AH1116" i="2" a="1"/>
  <c r="AH1116" i="2" s="1"/>
  <c r="AN1116" i="2" s="1"/>
  <c r="AH1117" i="2" a="1"/>
  <c r="AH1117" i="2" s="1"/>
  <c r="AN1117" i="2" s="1"/>
  <c r="AH1118" i="2" a="1"/>
  <c r="AH1118" i="2" s="1"/>
  <c r="AN1118" i="2" s="1"/>
  <c r="AH1119" i="2" a="1"/>
  <c r="AH1119" i="2" s="1"/>
  <c r="AN1119" i="2" s="1"/>
  <c r="AH1120" i="2" a="1"/>
  <c r="AH1120" i="2" s="1"/>
  <c r="AN1120" i="2" s="1"/>
  <c r="AH1121" i="2" a="1"/>
  <c r="AH1121" i="2" s="1"/>
  <c r="AN1121" i="2" s="1"/>
  <c r="AH1122" i="2" a="1"/>
  <c r="AH1122" i="2" s="1"/>
  <c r="AN1122" i="2" s="1"/>
  <c r="AH1123" i="2" a="1"/>
  <c r="AH1123" i="2" s="1"/>
  <c r="AN1123" i="2" s="1"/>
  <c r="AH1124" i="2" a="1"/>
  <c r="AH1124" i="2" s="1"/>
  <c r="AN1124" i="2" s="1"/>
  <c r="AH1125" i="2" a="1"/>
  <c r="AH1125" i="2" s="1"/>
  <c r="AN1125" i="2" s="1"/>
  <c r="AH1126" i="2" a="1"/>
  <c r="AH1126" i="2" s="1"/>
  <c r="AN1126" i="2" s="1"/>
  <c r="AH1127" i="2" a="1"/>
  <c r="AH1127" i="2" s="1"/>
  <c r="AN1127" i="2" s="1"/>
  <c r="AH1128" i="2" a="1"/>
  <c r="AH1128" i="2" s="1"/>
  <c r="AN1128" i="2" s="1"/>
  <c r="AH1129" i="2" a="1"/>
  <c r="AH1129" i="2" s="1"/>
  <c r="AN1129" i="2" s="1"/>
  <c r="AH1130" i="2" a="1"/>
  <c r="AH1130" i="2" s="1"/>
  <c r="AN1130" i="2" s="1"/>
  <c r="AH1131" i="2" a="1"/>
  <c r="AH1131" i="2" s="1"/>
  <c r="AN1131" i="2" s="1"/>
  <c r="AH1132" i="2" a="1"/>
  <c r="AH1132" i="2" s="1"/>
  <c r="AN1132" i="2" s="1"/>
  <c r="AH1133" i="2" a="1"/>
  <c r="AH1133" i="2" s="1"/>
  <c r="AN1133" i="2" s="1"/>
  <c r="AH1134" i="2" a="1"/>
  <c r="AH1134" i="2" s="1"/>
  <c r="AN1134" i="2" s="1"/>
  <c r="AH1135" i="2" a="1"/>
  <c r="AH1135" i="2" s="1"/>
  <c r="AN1135" i="2" s="1"/>
  <c r="AH1136" i="2" a="1"/>
  <c r="AH1136" i="2" s="1"/>
  <c r="AN1136" i="2" s="1"/>
  <c r="AH1137" i="2" a="1"/>
  <c r="AH1137" i="2" s="1"/>
  <c r="AN1137" i="2" s="1"/>
  <c r="AH1138" i="2" a="1"/>
  <c r="AH1138" i="2" s="1"/>
  <c r="AN1138" i="2" s="1"/>
  <c r="AH1139" i="2" a="1"/>
  <c r="AH1139" i="2" s="1"/>
  <c r="AN1139" i="2" s="1"/>
  <c r="AH1140" i="2" a="1"/>
  <c r="AH1140" i="2" s="1"/>
  <c r="AN1140" i="2" s="1"/>
  <c r="AH1141" i="2" a="1"/>
  <c r="AH1141" i="2" s="1"/>
  <c r="AN1141" i="2" s="1"/>
  <c r="AH1142" i="2" a="1"/>
  <c r="AH1142" i="2" s="1"/>
  <c r="AN1142" i="2" s="1"/>
  <c r="AH1143" i="2" a="1"/>
  <c r="AH1143" i="2" s="1"/>
  <c r="AN1143" i="2" s="1"/>
  <c r="AH1144" i="2" a="1"/>
  <c r="AH1144" i="2" s="1"/>
  <c r="AN1144" i="2" s="1"/>
  <c r="AH1145" i="2" a="1"/>
  <c r="AH1145" i="2" s="1"/>
  <c r="AN1145" i="2" s="1"/>
  <c r="AH1146" i="2" a="1"/>
  <c r="AH1146" i="2" s="1"/>
  <c r="AN1146" i="2" s="1"/>
  <c r="AH1147" i="2" a="1"/>
  <c r="AH1147" i="2" s="1"/>
  <c r="AN1147" i="2" s="1"/>
  <c r="AH1148" i="2" a="1"/>
  <c r="AH1148" i="2" s="1"/>
  <c r="AN1148" i="2" s="1"/>
  <c r="AH1149" i="2" a="1"/>
  <c r="AH1149" i="2" s="1"/>
  <c r="AN1149" i="2" s="1"/>
  <c r="AH1150" i="2" a="1"/>
  <c r="AH1150" i="2" s="1"/>
  <c r="AN1150" i="2" s="1"/>
  <c r="AH1151" i="2" a="1"/>
  <c r="AH1151" i="2" s="1"/>
  <c r="AN1151" i="2" s="1"/>
  <c r="AH1152" i="2" a="1"/>
  <c r="AH1152" i="2" s="1"/>
  <c r="AN1152" i="2" s="1"/>
  <c r="AH1153" i="2" a="1"/>
  <c r="AH1153" i="2" s="1"/>
  <c r="AN1153" i="2" s="1"/>
  <c r="AH1154" i="2" a="1"/>
  <c r="AH1154" i="2" s="1"/>
  <c r="AN1154" i="2" s="1"/>
  <c r="AH1155" i="2" a="1"/>
  <c r="AH1155" i="2" s="1"/>
  <c r="AN1155" i="2" s="1"/>
  <c r="AH1156" i="2" a="1"/>
  <c r="AH1156" i="2" s="1"/>
  <c r="AN1156" i="2" s="1"/>
  <c r="AH1157" i="2" a="1"/>
  <c r="AH1157" i="2" s="1"/>
  <c r="AN1157" i="2" s="1"/>
  <c r="AH1158" i="2" a="1"/>
  <c r="AH1158" i="2" s="1"/>
  <c r="AN1158" i="2" s="1"/>
  <c r="AH1159" i="2" a="1"/>
  <c r="AH1159" i="2" s="1"/>
  <c r="AN1159" i="2" s="1"/>
  <c r="AH1160" i="2" a="1"/>
  <c r="AH1160" i="2" s="1"/>
  <c r="AN1160" i="2" s="1"/>
  <c r="AH1161" i="2" a="1"/>
  <c r="AH1161" i="2" s="1"/>
  <c r="AN1161" i="2" s="1"/>
  <c r="AH1162" i="2" a="1"/>
  <c r="AH1162" i="2" s="1"/>
  <c r="AN1162" i="2" s="1"/>
  <c r="AH1163" i="2" a="1"/>
  <c r="AH1163" i="2" s="1"/>
  <c r="AN1163" i="2" s="1"/>
  <c r="AH1164" i="2" a="1"/>
  <c r="AH1164" i="2" s="1"/>
  <c r="AN1164" i="2" s="1"/>
  <c r="AH1165" i="2" a="1"/>
  <c r="AH1165" i="2" s="1"/>
  <c r="AN1165" i="2" s="1"/>
  <c r="AH1166" i="2" a="1"/>
  <c r="AH1166" i="2" s="1"/>
  <c r="AN1166" i="2" s="1"/>
  <c r="AH1167" i="2" a="1"/>
  <c r="AH1167" i="2" s="1"/>
  <c r="AN1167" i="2" s="1"/>
  <c r="AH1168" i="2" a="1"/>
  <c r="AH1168" i="2" s="1"/>
  <c r="AN1168" i="2" s="1"/>
  <c r="AH1169" i="2" a="1"/>
  <c r="AH1169" i="2" s="1"/>
  <c r="AN1169" i="2" s="1"/>
  <c r="AH1170" i="2" a="1"/>
  <c r="AH1170" i="2" s="1"/>
  <c r="AN1170" i="2" s="1"/>
  <c r="AH1171" i="2" a="1"/>
  <c r="AH1171" i="2" s="1"/>
  <c r="AN1171" i="2" s="1"/>
  <c r="AH1172" i="2" a="1"/>
  <c r="AH1172" i="2" s="1"/>
  <c r="AN1172" i="2" s="1"/>
  <c r="AH1173" i="2" a="1"/>
  <c r="AH1173" i="2" s="1"/>
  <c r="AN1173" i="2" s="1"/>
  <c r="AH1174" i="2" a="1"/>
  <c r="AH1174" i="2" s="1"/>
  <c r="AN1174" i="2" s="1"/>
  <c r="AH1175" i="2" a="1"/>
  <c r="AH1175" i="2" s="1"/>
  <c r="AN1175" i="2" s="1"/>
  <c r="AH1176" i="2" a="1"/>
  <c r="AH1176" i="2" s="1"/>
  <c r="AN1176" i="2" s="1"/>
  <c r="AH1177" i="2" a="1"/>
  <c r="AH1177" i="2" s="1"/>
  <c r="AN1177" i="2" s="1"/>
  <c r="AH1178" i="2" a="1"/>
  <c r="AH1178" i="2" s="1"/>
  <c r="AN1178" i="2" s="1"/>
  <c r="AH1179" i="2" a="1"/>
  <c r="AH1179" i="2" s="1"/>
  <c r="AN1179" i="2" s="1"/>
  <c r="AH1180" i="2" a="1"/>
  <c r="AH1180" i="2" s="1"/>
  <c r="AN1180" i="2" s="1"/>
  <c r="AH1181" i="2" a="1"/>
  <c r="AH1181" i="2" s="1"/>
  <c r="AN1181" i="2" s="1"/>
  <c r="AH1182" i="2" a="1"/>
  <c r="AH1182" i="2" s="1"/>
  <c r="AN1182" i="2" s="1"/>
  <c r="AH1183" i="2" a="1"/>
  <c r="AH1183" i="2" s="1"/>
  <c r="AN1183" i="2" s="1"/>
  <c r="AH1184" i="2" a="1"/>
  <c r="AH1184" i="2" s="1"/>
  <c r="AN1184" i="2" s="1"/>
  <c r="AH1185" i="2" a="1"/>
  <c r="AH1185" i="2" s="1"/>
  <c r="AN1185" i="2" s="1"/>
  <c r="AH1186" i="2" a="1"/>
  <c r="AH1186" i="2" s="1"/>
  <c r="AN1186" i="2" s="1"/>
  <c r="AH1187" i="2" a="1"/>
  <c r="AH1187" i="2" s="1"/>
  <c r="AN1187" i="2" s="1"/>
  <c r="AH1188" i="2" a="1"/>
  <c r="AH1188" i="2" s="1"/>
  <c r="AN1188" i="2" s="1"/>
  <c r="AH1189" i="2" a="1"/>
  <c r="AH1189" i="2" s="1"/>
  <c r="AN1189" i="2" s="1"/>
  <c r="AH1190" i="2" a="1"/>
  <c r="AH1190" i="2" s="1"/>
  <c r="AN1190" i="2" s="1"/>
  <c r="AH1191" i="2" a="1"/>
  <c r="AH1191" i="2" s="1"/>
  <c r="AN1191" i="2" s="1"/>
  <c r="AH1192" i="2" a="1"/>
  <c r="AH1192" i="2" s="1"/>
  <c r="AN1192" i="2" s="1"/>
  <c r="AH1193" i="2" a="1"/>
  <c r="AH1193" i="2" s="1"/>
  <c r="AN1193" i="2" s="1"/>
  <c r="AH1194" i="2" a="1"/>
  <c r="AH1194" i="2" s="1"/>
  <c r="AN1194" i="2" s="1"/>
  <c r="AH1195" i="2" a="1"/>
  <c r="AH1195" i="2" s="1"/>
  <c r="AN1195" i="2" s="1"/>
  <c r="AH1196" i="2" a="1"/>
  <c r="AH1196" i="2" s="1"/>
  <c r="AN1196" i="2" s="1"/>
  <c r="AH1197" i="2" a="1"/>
  <c r="AH1197" i="2" s="1"/>
  <c r="AN1197" i="2" s="1"/>
  <c r="AH1198" i="2" a="1"/>
  <c r="AH1198" i="2" s="1"/>
  <c r="AN1198" i="2" s="1"/>
  <c r="AH1199" i="2" a="1"/>
  <c r="AH1199" i="2" s="1"/>
  <c r="AN1199" i="2" s="1"/>
  <c r="AH1200" i="2" a="1"/>
  <c r="AH1200" i="2" s="1"/>
  <c r="AN1200" i="2" s="1"/>
  <c r="AH1201" i="2" a="1"/>
  <c r="AH1201" i="2" s="1"/>
  <c r="AN1201" i="2" s="1"/>
  <c r="AH1202" i="2" a="1"/>
  <c r="AH1202" i="2" s="1"/>
  <c r="AN1202" i="2" s="1"/>
  <c r="AH1203" i="2" a="1"/>
  <c r="AH1203" i="2" s="1"/>
  <c r="AN1203" i="2" s="1"/>
  <c r="AH1204" i="2" a="1"/>
  <c r="AH1204" i="2" s="1"/>
  <c r="AN1204" i="2" s="1"/>
  <c r="AH1205" i="2" a="1"/>
  <c r="AH1205" i="2" s="1"/>
  <c r="AN1205" i="2" s="1"/>
  <c r="AH1206" i="2" a="1"/>
  <c r="AH1206" i="2" s="1"/>
  <c r="AN1206" i="2" s="1"/>
  <c r="AH1207" i="2" a="1"/>
  <c r="AH1207" i="2" s="1"/>
  <c r="AN1207" i="2" s="1"/>
  <c r="AH1208" i="2" a="1"/>
  <c r="AH1208" i="2" s="1"/>
  <c r="AN1208" i="2" s="1"/>
  <c r="AH1209" i="2" a="1"/>
  <c r="AH1209" i="2" s="1"/>
  <c r="AN1209" i="2" s="1"/>
  <c r="AH1210" i="2" a="1"/>
  <c r="AH1210" i="2" s="1"/>
  <c r="AN1210" i="2" s="1"/>
  <c r="AH1211" i="2" a="1"/>
  <c r="AH1211" i="2" s="1"/>
  <c r="AN1211" i="2" s="1"/>
  <c r="AH1212" i="2" a="1"/>
  <c r="AH1212" i="2" s="1"/>
  <c r="AN1212" i="2" s="1"/>
  <c r="AH1213" i="2" a="1"/>
  <c r="AH1213" i="2" s="1"/>
  <c r="AN1213" i="2" s="1"/>
  <c r="AH1214" i="2" a="1"/>
  <c r="AH1214" i="2" s="1"/>
  <c r="AN1214" i="2" s="1"/>
  <c r="AH1215" i="2" a="1"/>
  <c r="AH1215" i="2" s="1"/>
  <c r="AN1215" i="2" s="1"/>
  <c r="AH1216" i="2" a="1"/>
  <c r="AH1216" i="2" s="1"/>
  <c r="AN1216" i="2" s="1"/>
  <c r="AH1217" i="2" a="1"/>
  <c r="AH1217" i="2" s="1"/>
  <c r="AN1217" i="2" s="1"/>
  <c r="AH1218" i="2" a="1"/>
  <c r="AH1218" i="2" s="1"/>
  <c r="AN1218" i="2" s="1"/>
  <c r="AH1219" i="2" a="1"/>
  <c r="AH1219" i="2" s="1"/>
  <c r="AN1219" i="2" s="1"/>
  <c r="AH1220" i="2" a="1"/>
  <c r="AH1220" i="2" s="1"/>
  <c r="AN1220" i="2" s="1"/>
  <c r="AH1221" i="2" a="1"/>
  <c r="AH1221" i="2" s="1"/>
  <c r="AN1221" i="2" s="1"/>
  <c r="AH1222" i="2" a="1"/>
  <c r="AH1222" i="2" s="1"/>
  <c r="AN1222" i="2" s="1"/>
  <c r="AH1223" i="2" a="1"/>
  <c r="AH1223" i="2" s="1"/>
  <c r="AN1223" i="2" s="1"/>
  <c r="AH1224" i="2" a="1"/>
  <c r="AH1224" i="2" s="1"/>
  <c r="AN1224" i="2" s="1"/>
  <c r="AH1225" i="2" a="1"/>
  <c r="AH1225" i="2" s="1"/>
  <c r="AN1225" i="2" s="1"/>
  <c r="AH1226" i="2" a="1"/>
  <c r="AH1226" i="2" s="1"/>
  <c r="AN1226" i="2" s="1"/>
  <c r="AH1227" i="2" a="1"/>
  <c r="AH1227" i="2" s="1"/>
  <c r="AN1227" i="2" s="1"/>
  <c r="AH1228" i="2" a="1"/>
  <c r="AH1228" i="2" s="1"/>
  <c r="AN1228" i="2" s="1"/>
  <c r="AH1229" i="2" a="1"/>
  <c r="AH1229" i="2" s="1"/>
  <c r="AN1229" i="2" s="1"/>
  <c r="AH1230" i="2" a="1"/>
  <c r="AH1230" i="2" s="1"/>
  <c r="AN1230" i="2" s="1"/>
  <c r="AH1231" i="2" a="1"/>
  <c r="AH1231" i="2" s="1"/>
  <c r="AN1231" i="2" s="1"/>
  <c r="AH1232" i="2" a="1"/>
  <c r="AH1232" i="2" s="1"/>
  <c r="AN1232" i="2" s="1"/>
  <c r="AH1233" i="2" a="1"/>
  <c r="AH1233" i="2" s="1"/>
  <c r="AN1233" i="2" s="1"/>
  <c r="AH1234" i="2" a="1"/>
  <c r="AH1234" i="2" s="1"/>
  <c r="AN1234" i="2" s="1"/>
  <c r="AH1235" i="2" a="1"/>
  <c r="AH1235" i="2" s="1"/>
  <c r="AN1235" i="2" s="1"/>
  <c r="AH1236" i="2" a="1"/>
  <c r="AH1236" i="2" s="1"/>
  <c r="AN1236" i="2" s="1"/>
  <c r="AH1237" i="2" a="1"/>
  <c r="AH1237" i="2" s="1"/>
  <c r="AN1237" i="2" s="1"/>
  <c r="AH1238" i="2" a="1"/>
  <c r="AH1238" i="2" s="1"/>
  <c r="AN1238" i="2" s="1"/>
  <c r="AH1239" i="2" a="1"/>
  <c r="AH1239" i="2" s="1"/>
  <c r="AN1239" i="2" s="1"/>
  <c r="AH1240" i="2" a="1"/>
  <c r="AH1240" i="2" s="1"/>
  <c r="AN1240" i="2" s="1"/>
  <c r="AH1241" i="2" a="1"/>
  <c r="AH1241" i="2" s="1"/>
  <c r="AN1241" i="2" s="1"/>
  <c r="AH1242" i="2" a="1"/>
  <c r="AH1242" i="2" s="1"/>
  <c r="AN1242" i="2" s="1"/>
  <c r="AH1243" i="2" a="1"/>
  <c r="AH1243" i="2" s="1"/>
  <c r="AN1243" i="2" s="1"/>
  <c r="AH1244" i="2" a="1"/>
  <c r="AH1244" i="2" s="1"/>
  <c r="AN1244" i="2" s="1"/>
  <c r="AH1245" i="2" a="1"/>
  <c r="AH1245" i="2" s="1"/>
  <c r="AN1245" i="2" s="1"/>
  <c r="AH1246" i="2" a="1"/>
  <c r="AH1246" i="2" s="1"/>
  <c r="AN1246" i="2" s="1"/>
  <c r="AH1247" i="2" a="1"/>
  <c r="AH1247" i="2" s="1"/>
  <c r="AN1247" i="2" s="1"/>
  <c r="AH1248" i="2" a="1"/>
  <c r="AH1248" i="2" s="1"/>
  <c r="AN1248" i="2" s="1"/>
  <c r="AH1249" i="2" a="1"/>
  <c r="AH1249" i="2" s="1"/>
  <c r="AN1249" i="2" s="1"/>
  <c r="AH1250" i="2" a="1"/>
  <c r="AH1250" i="2" s="1"/>
  <c r="AN1250" i="2" s="1"/>
  <c r="AH1251" i="2" a="1"/>
  <c r="AH1251" i="2" s="1"/>
  <c r="AN1251" i="2" s="1"/>
  <c r="AH1252" i="2" a="1"/>
  <c r="AH1252" i="2" s="1"/>
  <c r="AN1252" i="2" s="1"/>
  <c r="AH1253" i="2" a="1"/>
  <c r="AH1253" i="2" s="1"/>
  <c r="AN1253" i="2" s="1"/>
  <c r="AH1254" i="2" a="1"/>
  <c r="AH1254" i="2" s="1"/>
  <c r="AN1254" i="2" s="1"/>
  <c r="AH1255" i="2" a="1"/>
  <c r="AH1255" i="2" s="1"/>
  <c r="AN1255" i="2" s="1"/>
  <c r="AH1256" i="2" a="1"/>
  <c r="AH1256" i="2" s="1"/>
  <c r="AN1256" i="2" s="1"/>
  <c r="AH1257" i="2" a="1"/>
  <c r="AH1257" i="2" s="1"/>
  <c r="AN1257" i="2" s="1"/>
  <c r="AH1258" i="2" a="1"/>
  <c r="AH1258" i="2" s="1"/>
  <c r="AN1258" i="2" s="1"/>
  <c r="AH1259" i="2" a="1"/>
  <c r="AH1259" i="2" s="1"/>
  <c r="AN1259" i="2" s="1"/>
  <c r="AH1260" i="2" a="1"/>
  <c r="AH1260" i="2" s="1"/>
  <c r="AN1260" i="2" s="1"/>
  <c r="AH1261" i="2" a="1"/>
  <c r="AH1261" i="2" s="1"/>
  <c r="AN1261" i="2" s="1"/>
  <c r="AH1262" i="2" a="1"/>
  <c r="AH1262" i="2" s="1"/>
  <c r="AN1262" i="2" s="1"/>
  <c r="AH1263" i="2" a="1"/>
  <c r="AH1263" i="2" s="1"/>
  <c r="AN1263" i="2" s="1"/>
  <c r="AH1264" i="2" a="1"/>
  <c r="AH1264" i="2" s="1"/>
  <c r="AN1264" i="2" s="1"/>
  <c r="AH1265" i="2" a="1"/>
  <c r="AH1265" i="2" s="1"/>
  <c r="AN1265" i="2" s="1"/>
  <c r="AH1266" i="2" a="1"/>
  <c r="AH1266" i="2" s="1"/>
  <c r="AN1266" i="2" s="1"/>
  <c r="AH1267" i="2" a="1"/>
  <c r="AH1267" i="2" s="1"/>
  <c r="AN1267" i="2" s="1"/>
  <c r="AH1268" i="2" a="1"/>
  <c r="AH1268" i="2" s="1"/>
  <c r="AN1268" i="2" s="1"/>
  <c r="AH1269" i="2" a="1"/>
  <c r="AH1269" i="2" s="1"/>
  <c r="AN1269" i="2" s="1"/>
  <c r="AH1270" i="2" a="1"/>
  <c r="AH1270" i="2" s="1"/>
  <c r="AN1270" i="2" s="1"/>
  <c r="AH1271" i="2" a="1"/>
  <c r="AH1271" i="2" s="1"/>
  <c r="AN1271" i="2" s="1"/>
  <c r="AH1272" i="2" a="1"/>
  <c r="AH1272" i="2" s="1"/>
  <c r="AN1272" i="2" s="1"/>
  <c r="AH1273" i="2" a="1"/>
  <c r="AH1273" i="2" s="1"/>
  <c r="AN1273" i="2" s="1"/>
  <c r="AH1274" i="2" a="1"/>
  <c r="AH1274" i="2" s="1"/>
  <c r="AN1274" i="2" s="1"/>
  <c r="AH1275" i="2" a="1"/>
  <c r="AH1275" i="2" s="1"/>
  <c r="AN1275" i="2" s="1"/>
  <c r="AH1276" i="2" a="1"/>
  <c r="AH1276" i="2" s="1"/>
  <c r="AN1276" i="2" s="1"/>
  <c r="AH1277" i="2" a="1"/>
  <c r="AH1277" i="2" s="1"/>
  <c r="AN1277" i="2" s="1"/>
  <c r="AH1278" i="2" a="1"/>
  <c r="AH1278" i="2" s="1"/>
  <c r="AN1278" i="2" s="1"/>
  <c r="AH1279" i="2" a="1"/>
  <c r="AH1279" i="2" s="1"/>
  <c r="AN1279" i="2" s="1"/>
  <c r="AH1280" i="2" a="1"/>
  <c r="AH1280" i="2" s="1"/>
  <c r="AN1280" i="2" s="1"/>
  <c r="AH1281" i="2" a="1"/>
  <c r="AH1281" i="2" s="1"/>
  <c r="AN1281" i="2" s="1"/>
  <c r="AH1282" i="2" a="1"/>
  <c r="AH1282" i="2" s="1"/>
  <c r="AN1282" i="2" s="1"/>
  <c r="AH1283" i="2" a="1"/>
  <c r="AH1283" i="2" s="1"/>
  <c r="AN1283" i="2" s="1"/>
  <c r="AH1284" i="2" a="1"/>
  <c r="AH1284" i="2" s="1"/>
  <c r="AN1284" i="2" s="1"/>
  <c r="AH1285" i="2" a="1"/>
  <c r="AH1285" i="2" s="1"/>
  <c r="AN1285" i="2" s="1"/>
  <c r="AH1286" i="2" a="1"/>
  <c r="AH1286" i="2" s="1"/>
  <c r="AN1286" i="2" s="1"/>
  <c r="AH1287" i="2" a="1"/>
  <c r="AH1287" i="2" s="1"/>
  <c r="AN1287" i="2" s="1"/>
  <c r="AH1288" i="2" a="1"/>
  <c r="AH1288" i="2" s="1"/>
  <c r="AN1288" i="2" s="1"/>
  <c r="AH1289" i="2" a="1"/>
  <c r="AH1289" i="2" s="1"/>
  <c r="AN1289" i="2" s="1"/>
  <c r="AH1290" i="2" a="1"/>
  <c r="AH1290" i="2" s="1"/>
  <c r="AN1290" i="2" s="1"/>
  <c r="AH1291" i="2" a="1"/>
  <c r="AH1291" i="2" s="1"/>
  <c r="AN1291" i="2" s="1"/>
  <c r="AH1292" i="2" a="1"/>
  <c r="AH1292" i="2" s="1"/>
  <c r="AN1292" i="2" s="1"/>
  <c r="AH1293" i="2" a="1"/>
  <c r="AH1293" i="2" s="1"/>
  <c r="AN1293" i="2" s="1"/>
  <c r="AH1294" i="2" a="1"/>
  <c r="AH1294" i="2" s="1"/>
  <c r="AN1294" i="2" s="1"/>
  <c r="AH1295" i="2" a="1"/>
  <c r="AH1295" i="2" s="1"/>
  <c r="AN1295" i="2" s="1"/>
  <c r="AH1296" i="2" a="1"/>
  <c r="AH1296" i="2" s="1"/>
  <c r="AN1296" i="2" s="1"/>
  <c r="AH1297" i="2" a="1"/>
  <c r="AH1297" i="2" s="1"/>
  <c r="AN1297" i="2" s="1"/>
  <c r="AH1298" i="2" a="1"/>
  <c r="AH1298" i="2" s="1"/>
  <c r="AN1298" i="2" s="1"/>
  <c r="AH1299" i="2" a="1"/>
  <c r="AH1299" i="2" s="1"/>
  <c r="AN1299" i="2" s="1"/>
  <c r="AH1300" i="2" a="1"/>
  <c r="AH1300" i="2" s="1"/>
  <c r="AN1300" i="2" s="1"/>
  <c r="AH1301" i="2" a="1"/>
  <c r="AH1301" i="2" s="1"/>
  <c r="AN1301" i="2" s="1"/>
  <c r="AH1302" i="2" a="1"/>
  <c r="AH1302" i="2" s="1"/>
  <c r="AN1302" i="2" s="1"/>
  <c r="AH1303" i="2" a="1"/>
  <c r="AH1303" i="2" s="1"/>
  <c r="AN1303" i="2" s="1"/>
  <c r="AH1304" i="2" a="1"/>
  <c r="AH1304" i="2" s="1"/>
  <c r="AN1304" i="2" s="1"/>
  <c r="AH1305" i="2" a="1"/>
  <c r="AH1305" i="2" s="1"/>
  <c r="AN1305" i="2" s="1"/>
  <c r="AH1306" i="2" a="1"/>
  <c r="AH1306" i="2" s="1"/>
  <c r="AN1306" i="2" s="1"/>
  <c r="AH1307" i="2" a="1"/>
  <c r="AH1307" i="2" s="1"/>
  <c r="AN1307" i="2" s="1"/>
  <c r="AH1308" i="2" a="1"/>
  <c r="AH1308" i="2" s="1"/>
  <c r="AN1308" i="2" s="1"/>
  <c r="AH1309" i="2" a="1"/>
  <c r="AH1309" i="2" s="1"/>
  <c r="AN1309" i="2" s="1"/>
  <c r="AH1310" i="2" a="1"/>
  <c r="AH1310" i="2" s="1"/>
  <c r="AN1310" i="2" s="1"/>
  <c r="AH1311" i="2" a="1"/>
  <c r="AH1311" i="2" s="1"/>
  <c r="AN1311" i="2" s="1"/>
  <c r="AH1312" i="2" a="1"/>
  <c r="AH1312" i="2" s="1"/>
  <c r="AN1312" i="2" s="1"/>
  <c r="AH1313" i="2" a="1"/>
  <c r="AH1313" i="2" s="1"/>
  <c r="AN1313" i="2" s="1"/>
  <c r="AH1314" i="2" a="1"/>
  <c r="AH1314" i="2" s="1"/>
  <c r="AN1314" i="2" s="1"/>
  <c r="AH1315" i="2" a="1"/>
  <c r="AH1315" i="2" s="1"/>
  <c r="AN1315" i="2" s="1"/>
  <c r="AH1316" i="2" a="1"/>
  <c r="AH1316" i="2" s="1"/>
  <c r="AN1316" i="2" s="1"/>
  <c r="AH1317" i="2" a="1"/>
  <c r="AH1317" i="2" s="1"/>
  <c r="AN1317" i="2" s="1"/>
  <c r="AH1318" i="2" a="1"/>
  <c r="AH1318" i="2" s="1"/>
  <c r="AN1318" i="2" s="1"/>
  <c r="AH1319" i="2" a="1"/>
  <c r="AH1319" i="2" s="1"/>
  <c r="AN1319" i="2" s="1"/>
  <c r="AH1320" i="2" a="1"/>
  <c r="AH1320" i="2" s="1"/>
  <c r="AN1320" i="2" s="1"/>
  <c r="AH1321" i="2" a="1"/>
  <c r="AH1321" i="2" s="1"/>
  <c r="AN1321" i="2" s="1"/>
  <c r="AH1322" i="2" a="1"/>
  <c r="AH1322" i="2" s="1"/>
  <c r="AN1322" i="2" s="1"/>
  <c r="AH1323" i="2" a="1"/>
  <c r="AH1323" i="2" s="1"/>
  <c r="AN1323" i="2" s="1"/>
  <c r="AH1324" i="2" a="1"/>
  <c r="AH1324" i="2" s="1"/>
  <c r="AN1324" i="2" s="1"/>
  <c r="AH1325" i="2" a="1"/>
  <c r="AH1325" i="2" s="1"/>
  <c r="AN1325" i="2" s="1"/>
  <c r="AH1326" i="2" a="1"/>
  <c r="AH1326" i="2" s="1"/>
  <c r="AN1326" i="2" s="1"/>
  <c r="AH1327" i="2" a="1"/>
  <c r="AH1327" i="2" s="1"/>
  <c r="AN1327" i="2" s="1"/>
  <c r="AH1328" i="2" a="1"/>
  <c r="AH1328" i="2" s="1"/>
  <c r="AN1328" i="2" s="1"/>
  <c r="AH1329" i="2" a="1"/>
  <c r="AH1329" i="2" s="1"/>
  <c r="AN1329" i="2" s="1"/>
  <c r="AH1330" i="2" a="1"/>
  <c r="AH1330" i="2" s="1"/>
  <c r="AN1330" i="2" s="1"/>
  <c r="AH1331" i="2" a="1"/>
  <c r="AH1331" i="2" s="1"/>
  <c r="AN1331" i="2" s="1"/>
  <c r="AH1332" i="2" a="1"/>
  <c r="AH1332" i="2" s="1"/>
  <c r="AN1332" i="2" s="1"/>
  <c r="AH1333" i="2" a="1"/>
  <c r="AH1333" i="2" s="1"/>
  <c r="AN1333" i="2" s="1"/>
  <c r="AH1334" i="2" a="1"/>
  <c r="AH1334" i="2" s="1"/>
  <c r="AN1334" i="2" s="1"/>
  <c r="AH1335" i="2" a="1"/>
  <c r="AH1335" i="2" s="1"/>
  <c r="AN1335" i="2" s="1"/>
  <c r="AH1336" i="2" a="1"/>
  <c r="AH1336" i="2" s="1"/>
  <c r="AN1336" i="2" s="1"/>
  <c r="AH1337" i="2" a="1"/>
  <c r="AH1337" i="2" s="1"/>
  <c r="AN1337" i="2" s="1"/>
  <c r="AH1338" i="2" a="1"/>
  <c r="AH1338" i="2" s="1"/>
  <c r="AN1338" i="2" s="1"/>
  <c r="AH1339" i="2" a="1"/>
  <c r="AH1339" i="2" s="1"/>
  <c r="AN1339" i="2" s="1"/>
  <c r="AH1340" i="2" a="1"/>
  <c r="AH1340" i="2" s="1"/>
  <c r="AN1340" i="2" s="1"/>
  <c r="AH1341" i="2" a="1"/>
  <c r="AH1341" i="2" s="1"/>
  <c r="AN1341" i="2" s="1"/>
  <c r="AH1342" i="2" a="1"/>
  <c r="AH1342" i="2" s="1"/>
  <c r="AN1342" i="2" s="1"/>
  <c r="AH1343" i="2" a="1"/>
  <c r="AH1343" i="2" s="1"/>
  <c r="AN1343" i="2" s="1"/>
  <c r="AH1344" i="2" a="1"/>
  <c r="AH1344" i="2" s="1"/>
  <c r="AN1344" i="2" s="1"/>
  <c r="AH1345" i="2" a="1"/>
  <c r="AH1345" i="2" s="1"/>
  <c r="AN1345" i="2" s="1"/>
  <c r="AH1346" i="2" a="1"/>
  <c r="AH1346" i="2" s="1"/>
  <c r="AN1346" i="2" s="1"/>
  <c r="AH1347" i="2" a="1"/>
  <c r="AH1347" i="2" s="1"/>
  <c r="AN1347" i="2" s="1"/>
  <c r="AH1348" i="2" a="1"/>
  <c r="AH1348" i="2" s="1"/>
  <c r="AN1348" i="2" s="1"/>
  <c r="AH1349" i="2" a="1"/>
  <c r="AH1349" i="2" s="1"/>
  <c r="AN1349" i="2" s="1"/>
  <c r="AH1350" i="2" a="1"/>
  <c r="AH1350" i="2" s="1"/>
  <c r="AN1350" i="2" s="1"/>
  <c r="AH1351" i="2" a="1"/>
  <c r="AH1351" i="2" s="1"/>
  <c r="AN1351" i="2" s="1"/>
  <c r="AH1352" i="2" a="1"/>
  <c r="AH1352" i="2" s="1"/>
  <c r="AN1352" i="2" s="1"/>
  <c r="AH1353" i="2" a="1"/>
  <c r="AH1353" i="2" s="1"/>
  <c r="AN1353" i="2" s="1"/>
  <c r="AH1354" i="2" a="1"/>
  <c r="AH1354" i="2" s="1"/>
  <c r="AN1354" i="2" s="1"/>
  <c r="AH1355" i="2" a="1"/>
  <c r="AH1355" i="2" s="1"/>
  <c r="AN1355" i="2" s="1"/>
  <c r="AH1356" i="2" a="1"/>
  <c r="AH1356" i="2" s="1"/>
  <c r="AN1356" i="2" s="1"/>
  <c r="AH1357" i="2" a="1"/>
  <c r="AH1357" i="2" s="1"/>
  <c r="AN1357" i="2" s="1"/>
  <c r="AH1358" i="2" a="1"/>
  <c r="AH1358" i="2" s="1"/>
  <c r="AN1358" i="2" s="1"/>
  <c r="AH1359" i="2" a="1"/>
  <c r="AH1359" i="2" s="1"/>
  <c r="AN1359" i="2" s="1"/>
  <c r="AH1360" i="2" a="1"/>
  <c r="AH1360" i="2" s="1"/>
  <c r="AN1360" i="2" s="1"/>
  <c r="AH1361" i="2" a="1"/>
  <c r="AH1361" i="2" s="1"/>
  <c r="AN1361" i="2" s="1"/>
  <c r="AH1362" i="2" a="1"/>
  <c r="AH1362" i="2" s="1"/>
  <c r="AN1362" i="2" s="1"/>
  <c r="AH1363" i="2" a="1"/>
  <c r="AH1363" i="2" s="1"/>
  <c r="AN1363" i="2" s="1"/>
  <c r="AH1364" i="2" a="1"/>
  <c r="AH1364" i="2" s="1"/>
  <c r="AN1364" i="2" s="1"/>
  <c r="AH1365" i="2" a="1"/>
  <c r="AH1365" i="2" s="1"/>
  <c r="AN1365" i="2" s="1"/>
  <c r="AH1366" i="2" a="1"/>
  <c r="AH1366" i="2" s="1"/>
  <c r="AN1366" i="2" s="1"/>
  <c r="AH1367" i="2" a="1"/>
  <c r="AH1367" i="2" s="1"/>
  <c r="AN1367" i="2" s="1"/>
  <c r="AH1368" i="2" a="1"/>
  <c r="AH1368" i="2" s="1"/>
  <c r="AN1368" i="2" s="1"/>
  <c r="AH1369" i="2" a="1"/>
  <c r="AH1369" i="2" s="1"/>
  <c r="AN1369" i="2" s="1"/>
  <c r="AH1370" i="2" a="1"/>
  <c r="AH1370" i="2" s="1"/>
  <c r="AN1370" i="2" s="1"/>
  <c r="AH1371" i="2" a="1"/>
  <c r="AH1371" i="2" s="1"/>
  <c r="AN1371" i="2" s="1"/>
  <c r="AH1372" i="2" a="1"/>
  <c r="AH1372" i="2" s="1"/>
  <c r="AN1372" i="2" s="1"/>
  <c r="AH1373" i="2" a="1"/>
  <c r="AH1373" i="2" s="1"/>
  <c r="AN1373" i="2" s="1"/>
  <c r="AH1374" i="2" a="1"/>
  <c r="AH1374" i="2" s="1"/>
  <c r="AN1374" i="2" s="1"/>
  <c r="AH1375" i="2" a="1"/>
  <c r="AH1375" i="2" s="1"/>
  <c r="AN1375" i="2" s="1"/>
  <c r="AH1376" i="2" a="1"/>
  <c r="AH1376" i="2" s="1"/>
  <c r="AN1376" i="2" s="1"/>
  <c r="AH1377" i="2" a="1"/>
  <c r="AH1377" i="2" s="1"/>
  <c r="AN1377" i="2" s="1"/>
  <c r="AH1378" i="2" a="1"/>
  <c r="AH1378" i="2" s="1"/>
  <c r="AN1378" i="2" s="1"/>
  <c r="AH1379" i="2" a="1"/>
  <c r="AH1379" i="2" s="1"/>
  <c r="AN1379" i="2" s="1"/>
  <c r="AH1380" i="2" a="1"/>
  <c r="AH1380" i="2" s="1"/>
  <c r="AN1380" i="2" s="1"/>
  <c r="AH1381" i="2" a="1"/>
  <c r="AH1381" i="2" s="1"/>
  <c r="AN1381" i="2" s="1"/>
  <c r="AH1382" i="2" a="1"/>
  <c r="AH1382" i="2" s="1"/>
  <c r="AN1382" i="2" s="1"/>
  <c r="AH1383" i="2" a="1"/>
  <c r="AH1383" i="2" s="1"/>
  <c r="AN1383" i="2" s="1"/>
  <c r="AH1384" i="2" a="1"/>
  <c r="AH1384" i="2" s="1"/>
  <c r="AN1384" i="2" s="1"/>
  <c r="AH1385" i="2" a="1"/>
  <c r="AH1385" i="2" s="1"/>
  <c r="AN1385" i="2" s="1"/>
  <c r="AH1386" i="2" a="1"/>
  <c r="AH1386" i="2" s="1"/>
  <c r="AN1386" i="2" s="1"/>
  <c r="AH1387" i="2" a="1"/>
  <c r="AH1387" i="2" s="1"/>
  <c r="AN1387" i="2" s="1"/>
  <c r="AH1388" i="2" a="1"/>
  <c r="AH1388" i="2" s="1"/>
  <c r="AN1388" i="2" s="1"/>
  <c r="AH1389" i="2" a="1"/>
  <c r="AH1389" i="2" s="1"/>
  <c r="AN1389" i="2" s="1"/>
  <c r="AH1390" i="2" a="1"/>
  <c r="AH1390" i="2" s="1"/>
  <c r="AN1390" i="2" s="1"/>
  <c r="AH1391" i="2" a="1"/>
  <c r="AH1391" i="2" s="1"/>
  <c r="AN1391" i="2" s="1"/>
  <c r="AH1392" i="2" a="1"/>
  <c r="AH1392" i="2" s="1"/>
  <c r="AN1392" i="2" s="1"/>
  <c r="AH1393" i="2" a="1"/>
  <c r="AH1393" i="2" s="1"/>
  <c r="AN1393" i="2" s="1"/>
  <c r="AH1394" i="2" a="1"/>
  <c r="AH1394" i="2" s="1"/>
  <c r="AN1394" i="2" s="1"/>
  <c r="AH1395" i="2" a="1"/>
  <c r="AH1395" i="2" s="1"/>
  <c r="AN1395" i="2" s="1"/>
  <c r="AH1396" i="2" a="1"/>
  <c r="AH1396" i="2" s="1"/>
  <c r="AN1396" i="2" s="1"/>
  <c r="AH1397" i="2" a="1"/>
  <c r="AH1397" i="2" s="1"/>
  <c r="AN1397" i="2" s="1"/>
  <c r="AH1398" i="2" a="1"/>
  <c r="AH1398" i="2" s="1"/>
  <c r="AN1398" i="2" s="1"/>
  <c r="AH1399" i="2" a="1"/>
  <c r="AH1399" i="2" s="1"/>
  <c r="AN1399" i="2" s="1"/>
  <c r="AH1400" i="2" a="1"/>
  <c r="AH1400" i="2" s="1"/>
  <c r="AN1400" i="2" s="1"/>
  <c r="AH1401" i="2" a="1"/>
  <c r="AH1401" i="2" s="1"/>
  <c r="AN1401" i="2" s="1"/>
  <c r="AH1402" i="2" a="1"/>
  <c r="AH1402" i="2" s="1"/>
  <c r="AN1402" i="2" s="1"/>
  <c r="AH1403" i="2" a="1"/>
  <c r="AH1403" i="2" s="1"/>
  <c r="AN1403" i="2" s="1"/>
  <c r="AH1404" i="2" a="1"/>
  <c r="AH1404" i="2" s="1"/>
  <c r="AN1404" i="2" s="1"/>
  <c r="AH1405" i="2" a="1"/>
  <c r="AH1405" i="2" s="1"/>
  <c r="AN1405" i="2" s="1"/>
  <c r="AH1406" i="2" a="1"/>
  <c r="AH1406" i="2" s="1"/>
  <c r="AN1406" i="2" s="1"/>
  <c r="AH1407" i="2" a="1"/>
  <c r="AH1407" i="2" s="1"/>
  <c r="AN1407" i="2" s="1"/>
  <c r="AH1408" i="2" a="1"/>
  <c r="AH1408" i="2" s="1"/>
  <c r="AN1408" i="2" s="1"/>
  <c r="AH1409" i="2" a="1"/>
  <c r="AH1409" i="2" s="1"/>
  <c r="AN1409" i="2" s="1"/>
  <c r="AH1410" i="2" a="1"/>
  <c r="AH1410" i="2" s="1"/>
  <c r="AN1410" i="2" s="1"/>
  <c r="AH1411" i="2" a="1"/>
  <c r="AH1411" i="2" s="1"/>
  <c r="AN1411" i="2" s="1"/>
  <c r="AH1412" i="2" a="1"/>
  <c r="AH1412" i="2" s="1"/>
  <c r="AN1412" i="2" s="1"/>
  <c r="AH1413" i="2" a="1"/>
  <c r="AH1413" i="2" s="1"/>
  <c r="AN1413" i="2" s="1"/>
  <c r="AH1414" i="2" a="1"/>
  <c r="AH1414" i="2" s="1"/>
  <c r="AN1414" i="2" s="1"/>
  <c r="AH1415" i="2" a="1"/>
  <c r="AH1415" i="2" s="1"/>
  <c r="AN1415" i="2" s="1"/>
  <c r="AH1416" i="2" a="1"/>
  <c r="AH1416" i="2" s="1"/>
  <c r="AN1416" i="2" s="1"/>
  <c r="AH1417" i="2" a="1"/>
  <c r="AH1417" i="2" s="1"/>
  <c r="AN1417" i="2" s="1"/>
  <c r="AH1418" i="2" a="1"/>
  <c r="AH1418" i="2" s="1"/>
  <c r="AN1418" i="2" s="1"/>
  <c r="AH1419" i="2" a="1"/>
  <c r="AH1419" i="2" s="1"/>
  <c r="AN1419" i="2" s="1"/>
  <c r="AH1420" i="2" a="1"/>
  <c r="AH1420" i="2" s="1"/>
  <c r="AN1420" i="2" s="1"/>
  <c r="AH1421" i="2" a="1"/>
  <c r="AH1421" i="2" s="1"/>
  <c r="AN1421" i="2" s="1"/>
  <c r="AH1422" i="2" a="1"/>
  <c r="AH1422" i="2" s="1"/>
  <c r="AN1422" i="2" s="1"/>
  <c r="AH1423" i="2" a="1"/>
  <c r="AH1423" i="2" s="1"/>
  <c r="AN1423" i="2" s="1"/>
  <c r="AH1424" i="2" a="1"/>
  <c r="AH1424" i="2" s="1"/>
  <c r="AN1424" i="2" s="1"/>
  <c r="AH1425" i="2" a="1"/>
  <c r="AH1425" i="2" s="1"/>
  <c r="AN1425" i="2" s="1"/>
  <c r="AH1426" i="2" a="1"/>
  <c r="AH1426" i="2" s="1"/>
  <c r="AN1426" i="2" s="1"/>
  <c r="AH1427" i="2" a="1"/>
  <c r="AH1427" i="2" s="1"/>
  <c r="AN1427" i="2" s="1"/>
  <c r="AH1428" i="2" a="1"/>
  <c r="AH1428" i="2" s="1"/>
  <c r="AN1428" i="2" s="1"/>
  <c r="AH1429" i="2" a="1"/>
  <c r="AH1429" i="2" s="1"/>
  <c r="AN1429" i="2" s="1"/>
  <c r="AH1430" i="2" a="1"/>
  <c r="AH1430" i="2" s="1"/>
  <c r="AN1430" i="2" s="1"/>
  <c r="AH1431" i="2" a="1"/>
  <c r="AH1431" i="2" s="1"/>
  <c r="AN1431" i="2" s="1"/>
  <c r="AH1432" i="2" a="1"/>
  <c r="AH1432" i="2" s="1"/>
  <c r="AN1432" i="2" s="1"/>
  <c r="AH1433" i="2" a="1"/>
  <c r="AH1433" i="2" s="1"/>
  <c r="AN1433" i="2" s="1"/>
  <c r="AH1434" i="2" a="1"/>
  <c r="AH1434" i="2" s="1"/>
  <c r="AN1434" i="2" s="1"/>
  <c r="AH1435" i="2" a="1"/>
  <c r="AH1435" i="2" s="1"/>
  <c r="AN1435" i="2" s="1"/>
  <c r="AH1436" i="2" a="1"/>
  <c r="AH1436" i="2" s="1"/>
  <c r="AN1436" i="2" s="1"/>
  <c r="AH1437" i="2" a="1"/>
  <c r="AH1437" i="2" s="1"/>
  <c r="AN1437" i="2" s="1"/>
  <c r="AH1438" i="2" a="1"/>
  <c r="AH1438" i="2" s="1"/>
  <c r="AN1438" i="2" s="1"/>
  <c r="AH1439" i="2" a="1"/>
  <c r="AH1439" i="2" s="1"/>
  <c r="AN1439" i="2" s="1"/>
  <c r="AH1440" i="2" a="1"/>
  <c r="AH1440" i="2" s="1"/>
  <c r="AN1440" i="2" s="1"/>
  <c r="AH1441" i="2" a="1"/>
  <c r="AH1441" i="2" s="1"/>
  <c r="AN1441" i="2" s="1"/>
  <c r="AH1442" i="2" a="1"/>
  <c r="AH1442" i="2" s="1"/>
  <c r="AN1442" i="2" s="1"/>
  <c r="AH1443" i="2" a="1"/>
  <c r="AH1443" i="2" s="1"/>
  <c r="AN1443" i="2" s="1"/>
  <c r="AH1444" i="2" a="1"/>
  <c r="AH1444" i="2" s="1"/>
  <c r="AN1444" i="2" s="1"/>
  <c r="AH1445" i="2" a="1"/>
  <c r="AH1445" i="2" s="1"/>
  <c r="AN1445" i="2" s="1"/>
  <c r="AH1446" i="2" a="1"/>
  <c r="AH1446" i="2" s="1"/>
  <c r="AN1446" i="2" s="1"/>
  <c r="AH1447" i="2" a="1"/>
  <c r="AH1447" i="2" s="1"/>
  <c r="AN1447" i="2" s="1"/>
  <c r="AH1448" i="2" a="1"/>
  <c r="AH1448" i="2" s="1"/>
  <c r="AN1448" i="2" s="1"/>
  <c r="AH1449" i="2" a="1"/>
  <c r="AH1449" i="2" s="1"/>
  <c r="AN1449" i="2" s="1"/>
  <c r="AH1450" i="2" a="1"/>
  <c r="AH1450" i="2" s="1"/>
  <c r="AN1450" i="2" s="1"/>
  <c r="AH1451" i="2" a="1"/>
  <c r="AH1451" i="2" s="1"/>
  <c r="AN1451" i="2" s="1"/>
  <c r="AH1452" i="2" a="1"/>
  <c r="AH1452" i="2" s="1"/>
  <c r="AN1452" i="2" s="1"/>
  <c r="AH1453" i="2" a="1"/>
  <c r="AH1453" i="2" s="1"/>
  <c r="AN1453" i="2" s="1"/>
  <c r="AH1454" i="2" a="1"/>
  <c r="AH1454" i="2" s="1"/>
  <c r="AN1454" i="2" s="1"/>
  <c r="AH1455" i="2" a="1"/>
  <c r="AH1455" i="2" s="1"/>
  <c r="AN1455" i="2" s="1"/>
  <c r="AH1456" i="2" a="1"/>
  <c r="AH1456" i="2" s="1"/>
  <c r="AN1456" i="2" s="1"/>
  <c r="AH1457" i="2" a="1"/>
  <c r="AH1457" i="2" s="1"/>
  <c r="AN1457" i="2" s="1"/>
  <c r="AH1458" i="2" a="1"/>
  <c r="AH1458" i="2" s="1"/>
  <c r="AN1458" i="2" s="1"/>
  <c r="AH1459" i="2" a="1"/>
  <c r="AH1459" i="2" s="1"/>
  <c r="AN1459" i="2" s="1"/>
  <c r="AH1460" i="2" a="1"/>
  <c r="AH1460" i="2" s="1"/>
  <c r="AN1460" i="2" s="1"/>
  <c r="AH1461" i="2" a="1"/>
  <c r="AH1461" i="2" s="1"/>
  <c r="AN1461" i="2" s="1"/>
  <c r="AH1462" i="2" a="1"/>
  <c r="AH1462" i="2" s="1"/>
  <c r="AN1462" i="2" s="1"/>
  <c r="AH1463" i="2" a="1"/>
  <c r="AH1463" i="2" s="1"/>
  <c r="AN1463" i="2" s="1"/>
  <c r="AH1464" i="2" a="1"/>
  <c r="AH1464" i="2" s="1"/>
  <c r="AN1464" i="2" s="1"/>
  <c r="AH1465" i="2" a="1"/>
  <c r="AH1465" i="2" s="1"/>
  <c r="AN1465" i="2" s="1"/>
  <c r="AH1466" i="2" a="1"/>
  <c r="AH1466" i="2" s="1"/>
  <c r="AN1466" i="2" s="1"/>
  <c r="AH1467" i="2" a="1"/>
  <c r="AH1467" i="2" s="1"/>
  <c r="AN1467" i="2" s="1"/>
  <c r="AH1468" i="2" a="1"/>
  <c r="AH1468" i="2" s="1"/>
  <c r="AN1468" i="2" s="1"/>
  <c r="AH1469" i="2" a="1"/>
  <c r="AH1469" i="2" s="1"/>
  <c r="AN1469" i="2" s="1"/>
  <c r="AH1470" i="2" a="1"/>
  <c r="AH1470" i="2" s="1"/>
  <c r="AN1470" i="2" s="1"/>
  <c r="AH1471" i="2" a="1"/>
  <c r="AH1471" i="2" s="1"/>
  <c r="AN1471" i="2" s="1"/>
  <c r="AG2" i="2"/>
  <c r="AG3" i="2"/>
  <c r="AG4" i="2"/>
  <c r="AG5" i="2"/>
  <c r="AG6" i="2"/>
  <c r="AG7" i="2"/>
  <c r="AG8" i="2"/>
  <c r="AG9" i="2"/>
  <c r="AG10" i="2"/>
  <c r="AG11" i="2"/>
  <c r="AG12" i="2"/>
  <c r="AG13" i="2"/>
  <c r="AG14" i="2"/>
  <c r="AG15" i="2"/>
  <c r="AG16" i="2"/>
  <c r="AG17" i="2"/>
  <c r="AG18" i="2"/>
  <c r="AG19" i="2"/>
  <c r="AG20" i="2"/>
  <c r="AG21" i="2"/>
  <c r="AG22" i="2"/>
  <c r="AG23" i="2"/>
  <c r="AG24" i="2"/>
  <c r="AG25" i="2"/>
  <c r="AG26" i="2"/>
  <c r="AG27" i="2"/>
  <c r="AG28" i="2"/>
  <c r="AG29" i="2"/>
  <c r="AG30" i="2"/>
  <c r="AG31" i="2"/>
  <c r="AG32" i="2"/>
  <c r="AG33" i="2"/>
  <c r="AG34" i="2"/>
  <c r="AG35" i="2"/>
  <c r="AG36" i="2"/>
  <c r="AG37" i="2"/>
  <c r="AG38" i="2"/>
  <c r="AG39" i="2"/>
  <c r="AG40" i="2"/>
  <c r="AG41" i="2"/>
  <c r="AG42" i="2"/>
  <c r="AG43" i="2"/>
  <c r="AG44" i="2"/>
  <c r="AG45" i="2"/>
  <c r="AG46" i="2"/>
  <c r="AG47" i="2"/>
  <c r="AG48" i="2"/>
  <c r="AG49" i="2"/>
  <c r="AG50" i="2"/>
  <c r="AG51" i="2"/>
  <c r="AG52" i="2"/>
  <c r="AG53" i="2"/>
  <c r="AG54" i="2"/>
  <c r="AG55" i="2"/>
  <c r="AG56" i="2"/>
  <c r="AG57" i="2"/>
  <c r="AG58" i="2"/>
  <c r="AG59" i="2"/>
  <c r="AG60" i="2"/>
  <c r="AG61" i="2"/>
  <c r="AG62" i="2"/>
  <c r="AG63" i="2"/>
  <c r="AG64" i="2"/>
  <c r="AG65" i="2"/>
  <c r="AG66" i="2"/>
  <c r="AG67" i="2"/>
  <c r="AG68" i="2"/>
  <c r="AG69" i="2"/>
  <c r="AG70" i="2"/>
  <c r="AG71" i="2"/>
  <c r="AG72" i="2"/>
  <c r="AG73" i="2"/>
  <c r="AG74" i="2"/>
  <c r="AG75" i="2"/>
  <c r="AG76" i="2"/>
  <c r="AG77" i="2"/>
  <c r="AG78" i="2"/>
  <c r="AG79" i="2"/>
  <c r="AG80" i="2"/>
  <c r="AG81" i="2"/>
  <c r="AG82" i="2"/>
  <c r="AG83" i="2"/>
  <c r="AG84" i="2"/>
  <c r="AG85" i="2"/>
  <c r="AG86" i="2"/>
  <c r="AG87" i="2"/>
  <c r="AG88" i="2"/>
  <c r="AG89" i="2"/>
  <c r="AG90" i="2"/>
  <c r="AG91" i="2"/>
  <c r="AG92" i="2"/>
  <c r="AG93" i="2"/>
  <c r="AG94" i="2"/>
  <c r="AG95" i="2"/>
  <c r="AG96" i="2"/>
  <c r="AG97" i="2"/>
  <c r="AG98" i="2"/>
  <c r="AG99" i="2"/>
  <c r="AG100" i="2"/>
  <c r="AG101" i="2"/>
  <c r="AG102" i="2"/>
  <c r="AG103" i="2"/>
  <c r="AG104" i="2"/>
  <c r="AG105" i="2"/>
  <c r="AG106" i="2"/>
  <c r="AG107" i="2"/>
  <c r="AG108" i="2"/>
  <c r="AG109" i="2"/>
  <c r="AG110" i="2"/>
  <c r="AG111" i="2"/>
  <c r="AG112" i="2"/>
  <c r="AG113" i="2"/>
  <c r="AG114" i="2"/>
  <c r="AG115" i="2"/>
  <c r="AG116" i="2"/>
  <c r="AG117" i="2"/>
  <c r="AG118" i="2"/>
  <c r="AG119" i="2"/>
  <c r="AG120" i="2"/>
  <c r="AG121" i="2"/>
  <c r="AG122" i="2"/>
  <c r="AG123" i="2"/>
  <c r="AG124" i="2"/>
  <c r="AG125" i="2"/>
  <c r="AG126" i="2"/>
  <c r="AG127" i="2"/>
  <c r="AG128" i="2"/>
  <c r="AG129" i="2"/>
  <c r="AG130" i="2"/>
  <c r="AG131" i="2"/>
  <c r="AG132" i="2"/>
  <c r="AG133" i="2"/>
  <c r="AG134" i="2"/>
  <c r="AG135" i="2"/>
  <c r="AG136" i="2"/>
  <c r="AG137" i="2"/>
  <c r="AG138" i="2"/>
  <c r="AG139" i="2"/>
  <c r="AG140" i="2"/>
  <c r="AG141" i="2"/>
  <c r="AG142" i="2"/>
  <c r="AG143" i="2"/>
  <c r="AG144" i="2"/>
  <c r="AG145" i="2"/>
  <c r="AG146" i="2"/>
  <c r="AG147" i="2"/>
  <c r="AG148" i="2"/>
  <c r="AG149" i="2"/>
  <c r="AG150" i="2"/>
  <c r="AG151" i="2"/>
  <c r="AG152" i="2"/>
  <c r="AG153" i="2"/>
  <c r="AG154" i="2"/>
  <c r="AG155" i="2"/>
  <c r="AG156" i="2"/>
  <c r="AG157" i="2"/>
  <c r="AG158" i="2"/>
  <c r="AG159" i="2"/>
  <c r="AG160" i="2"/>
  <c r="AG161" i="2"/>
  <c r="AG162" i="2"/>
  <c r="AG163" i="2"/>
  <c r="AG164" i="2"/>
  <c r="AG165" i="2"/>
  <c r="AG166" i="2"/>
  <c r="AG167" i="2"/>
  <c r="AG168" i="2"/>
  <c r="AG169" i="2"/>
  <c r="AG170" i="2"/>
  <c r="AG171" i="2"/>
  <c r="AG172" i="2"/>
  <c r="AG173" i="2"/>
  <c r="AG174" i="2"/>
  <c r="AG175" i="2"/>
  <c r="AG176" i="2"/>
  <c r="AG177" i="2"/>
  <c r="AG178" i="2"/>
  <c r="AG179" i="2"/>
  <c r="AG180" i="2"/>
  <c r="AG181" i="2"/>
  <c r="AG182" i="2"/>
  <c r="AG183" i="2"/>
  <c r="AG184" i="2"/>
  <c r="AG185" i="2"/>
  <c r="AG186" i="2"/>
  <c r="AG187" i="2"/>
  <c r="AG188" i="2"/>
  <c r="AG189" i="2"/>
  <c r="AG190" i="2"/>
  <c r="AG191" i="2"/>
  <c r="AG192" i="2"/>
  <c r="AG193" i="2"/>
  <c r="AG194" i="2"/>
  <c r="AG195" i="2"/>
  <c r="AG196" i="2"/>
  <c r="AG197" i="2"/>
  <c r="AG198" i="2"/>
  <c r="AG199" i="2"/>
  <c r="AG200" i="2"/>
  <c r="AG201" i="2"/>
  <c r="AG202" i="2"/>
  <c r="AG203" i="2"/>
  <c r="AG204" i="2"/>
  <c r="AG205" i="2"/>
  <c r="AG206" i="2"/>
  <c r="AG207" i="2"/>
  <c r="AG208" i="2"/>
  <c r="AG209" i="2"/>
  <c r="AG210" i="2"/>
  <c r="AG211" i="2"/>
  <c r="AG212" i="2"/>
  <c r="AG213" i="2"/>
  <c r="AG214" i="2"/>
  <c r="AG215" i="2"/>
  <c r="AG216" i="2"/>
  <c r="AG217" i="2"/>
  <c r="AG218" i="2"/>
  <c r="AG219" i="2"/>
  <c r="AG220" i="2"/>
  <c r="AG221" i="2"/>
  <c r="AG222" i="2"/>
  <c r="AG223" i="2"/>
  <c r="AG224" i="2"/>
  <c r="AG225" i="2"/>
  <c r="AG226" i="2"/>
  <c r="AG227" i="2"/>
  <c r="AG228" i="2"/>
  <c r="AG229" i="2"/>
  <c r="AG230" i="2"/>
  <c r="AG231" i="2"/>
  <c r="AG232" i="2"/>
  <c r="AG233"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3" i="2"/>
  <c r="AG264" i="2"/>
  <c r="AG265" i="2"/>
  <c r="AG266" i="2"/>
  <c r="AG267" i="2"/>
  <c r="AG268" i="2"/>
  <c r="AG269" i="2"/>
  <c r="AG270" i="2"/>
  <c r="AG271" i="2"/>
  <c r="AG272" i="2"/>
  <c r="AG273" i="2"/>
  <c r="AG274" i="2"/>
  <c r="AG275" i="2"/>
  <c r="AG276" i="2"/>
  <c r="AG277" i="2"/>
  <c r="AG278" i="2"/>
  <c r="AG279" i="2"/>
  <c r="AG280" i="2"/>
  <c r="AG281" i="2"/>
  <c r="AG282" i="2"/>
  <c r="AG283" i="2"/>
  <c r="AG284" i="2"/>
  <c r="AG285" i="2"/>
  <c r="AG286" i="2"/>
  <c r="AG287" i="2"/>
  <c r="AG288" i="2"/>
  <c r="AG289" i="2"/>
  <c r="AG290" i="2"/>
  <c r="AG291" i="2"/>
  <c r="AG292" i="2"/>
  <c r="AG293" i="2"/>
  <c r="AG294" i="2"/>
  <c r="AG295" i="2"/>
  <c r="AG296" i="2"/>
  <c r="AG297" i="2"/>
  <c r="AG298" i="2"/>
  <c r="AG299" i="2"/>
  <c r="AG300" i="2"/>
  <c r="AG301" i="2"/>
  <c r="AG302" i="2"/>
  <c r="AG303" i="2"/>
  <c r="AG304" i="2"/>
  <c r="AG305" i="2"/>
  <c r="AG306" i="2"/>
  <c r="AG307" i="2"/>
  <c r="AG308" i="2"/>
  <c r="AG309" i="2"/>
  <c r="AG310" i="2"/>
  <c r="AG311" i="2"/>
  <c r="AG312" i="2"/>
  <c r="AG313" i="2"/>
  <c r="AG314" i="2"/>
  <c r="AG315" i="2"/>
  <c r="AG316" i="2"/>
  <c r="AG317" i="2"/>
  <c r="AG318" i="2"/>
  <c r="AG319" i="2"/>
  <c r="AG320"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G351" i="2"/>
  <c r="AG352" i="2"/>
  <c r="AG353" i="2"/>
  <c r="AG354" i="2"/>
  <c r="AG355" i="2"/>
  <c r="AG356" i="2"/>
  <c r="AG357" i="2"/>
  <c r="AG358" i="2"/>
  <c r="AG359" i="2"/>
  <c r="AG360" i="2"/>
  <c r="AG361" i="2"/>
  <c r="AG362" i="2"/>
  <c r="AG363" i="2"/>
  <c r="AG364" i="2"/>
  <c r="AG365" i="2"/>
  <c r="AG366" i="2"/>
  <c r="AG367" i="2"/>
  <c r="AG368" i="2"/>
  <c r="AG369" i="2"/>
  <c r="AG370" i="2"/>
  <c r="AG371" i="2"/>
  <c r="AG372" i="2"/>
  <c r="AG373" i="2"/>
  <c r="AG374" i="2"/>
  <c r="AG375" i="2"/>
  <c r="AG376" i="2"/>
  <c r="AG377" i="2"/>
  <c r="AG378" i="2"/>
  <c r="AG379" i="2"/>
  <c r="AG380" i="2"/>
  <c r="AG381" i="2"/>
  <c r="AG382" i="2"/>
  <c r="AG383" i="2"/>
  <c r="AG384" i="2"/>
  <c r="AG385" i="2"/>
  <c r="AG386" i="2"/>
  <c r="AG387" i="2"/>
  <c r="AG388" i="2"/>
  <c r="AG389" i="2"/>
  <c r="AG390" i="2"/>
  <c r="AG391" i="2"/>
  <c r="AG392" i="2"/>
  <c r="AG393" i="2"/>
  <c r="AG394" i="2"/>
  <c r="AG395" i="2"/>
  <c r="AG396" i="2"/>
  <c r="AG397" i="2"/>
  <c r="AG398" i="2"/>
  <c r="AG399" i="2"/>
  <c r="AG400" i="2"/>
  <c r="AG401" i="2"/>
  <c r="AG402" i="2"/>
  <c r="AG403" i="2"/>
  <c r="AG404" i="2"/>
  <c r="AG405" i="2"/>
  <c r="AG406" i="2"/>
  <c r="AG407" i="2"/>
  <c r="AG408" i="2"/>
  <c r="AG409" i="2"/>
  <c r="AG410" i="2"/>
  <c r="AG411" i="2"/>
  <c r="AG412" i="2"/>
  <c r="AG413" i="2"/>
  <c r="AG414" i="2"/>
  <c r="AG415" i="2"/>
  <c r="AG416" i="2"/>
  <c r="AG417" i="2"/>
  <c r="AG418" i="2"/>
  <c r="AG419" i="2"/>
  <c r="AG420" i="2"/>
  <c r="AG421" i="2"/>
  <c r="AG422" i="2"/>
  <c r="AG423" i="2"/>
  <c r="AG424" i="2"/>
  <c r="AG425" i="2"/>
  <c r="AG426" i="2"/>
  <c r="AG427" i="2"/>
  <c r="AG428" i="2"/>
  <c r="AG429" i="2"/>
  <c r="AG430" i="2"/>
  <c r="AG431" i="2"/>
  <c r="AG432" i="2"/>
  <c r="AG433" i="2"/>
  <c r="AG434" i="2"/>
  <c r="AG435" i="2"/>
  <c r="AG436" i="2"/>
  <c r="AG437" i="2"/>
  <c r="AG438" i="2"/>
  <c r="AG439" i="2"/>
  <c r="AG440" i="2"/>
  <c r="AG441" i="2"/>
  <c r="AG442" i="2"/>
  <c r="AG443" i="2"/>
  <c r="AG444" i="2"/>
  <c r="AG445" i="2"/>
  <c r="AG446" i="2"/>
  <c r="AG447" i="2"/>
  <c r="AG448" i="2"/>
  <c r="AG449" i="2"/>
  <c r="AG450" i="2"/>
  <c r="AG451" i="2"/>
  <c r="AG452" i="2"/>
  <c r="AG453" i="2"/>
  <c r="AG454" i="2"/>
  <c r="AG455" i="2"/>
  <c r="AG456" i="2"/>
  <c r="AG457" i="2"/>
  <c r="AG458" i="2"/>
  <c r="AG459" i="2"/>
  <c r="AG460" i="2"/>
  <c r="AG461" i="2"/>
  <c r="AG462" i="2"/>
  <c r="AG463" i="2"/>
  <c r="AG464" i="2"/>
  <c r="AG465" i="2"/>
  <c r="AG466" i="2"/>
  <c r="AG467" i="2"/>
  <c r="AG468" i="2"/>
  <c r="AG469" i="2"/>
  <c r="AG470" i="2"/>
  <c r="AG471" i="2"/>
  <c r="AG472" i="2"/>
  <c r="AG473" i="2"/>
  <c r="AG474" i="2"/>
  <c r="AG475" i="2"/>
  <c r="AG476" i="2"/>
  <c r="AG477" i="2"/>
  <c r="AG478" i="2"/>
  <c r="AG479" i="2"/>
  <c r="AG480" i="2"/>
  <c r="AG481" i="2"/>
  <c r="AG482" i="2"/>
  <c r="AG483" i="2"/>
  <c r="AG484" i="2"/>
  <c r="AG485" i="2"/>
  <c r="AG486" i="2"/>
  <c r="AG487" i="2"/>
  <c r="AG488" i="2"/>
  <c r="AG489" i="2"/>
  <c r="AG490" i="2"/>
  <c r="AG491" i="2"/>
  <c r="AG492" i="2"/>
  <c r="AG493" i="2"/>
  <c r="AG494" i="2"/>
  <c r="AG495" i="2"/>
  <c r="AG496" i="2"/>
  <c r="AG497" i="2"/>
  <c r="AG498" i="2"/>
  <c r="AG499" i="2"/>
  <c r="AG500" i="2"/>
  <c r="AG501" i="2"/>
  <c r="AG502" i="2"/>
  <c r="AG503" i="2"/>
  <c r="AG504" i="2"/>
  <c r="AG505" i="2"/>
  <c r="AG506" i="2"/>
  <c r="AG507" i="2"/>
  <c r="AG508" i="2"/>
  <c r="AG509" i="2"/>
  <c r="AG510" i="2"/>
  <c r="AG511" i="2"/>
  <c r="AG512" i="2"/>
  <c r="AG513" i="2"/>
  <c r="AG514" i="2"/>
  <c r="AG515" i="2"/>
  <c r="AG516" i="2"/>
  <c r="AG517" i="2"/>
  <c r="AG518" i="2"/>
  <c r="AG519" i="2"/>
  <c r="AG520" i="2"/>
  <c r="AG521" i="2"/>
  <c r="AG522" i="2"/>
  <c r="AG523" i="2"/>
  <c r="AG524" i="2"/>
  <c r="AG525" i="2"/>
  <c r="AG526" i="2"/>
  <c r="AG527" i="2"/>
  <c r="AG528" i="2"/>
  <c r="AG529" i="2"/>
  <c r="AG530" i="2"/>
  <c r="AG531" i="2"/>
  <c r="AG532" i="2"/>
  <c r="AG533" i="2"/>
  <c r="AG534" i="2"/>
  <c r="AG535" i="2"/>
  <c r="AG536" i="2"/>
  <c r="AG537" i="2"/>
  <c r="AG538" i="2"/>
  <c r="AG539" i="2"/>
  <c r="AG540" i="2"/>
  <c r="AG541" i="2"/>
  <c r="AG542" i="2"/>
  <c r="AG543" i="2"/>
  <c r="AG544" i="2"/>
  <c r="AG545" i="2"/>
  <c r="AG546" i="2"/>
  <c r="AG547" i="2"/>
  <c r="AG548" i="2"/>
  <c r="AG549" i="2"/>
  <c r="AG550" i="2"/>
  <c r="AG551" i="2"/>
  <c r="AG552" i="2"/>
  <c r="AG553" i="2"/>
  <c r="AG554" i="2"/>
  <c r="AG555" i="2"/>
  <c r="AG556" i="2"/>
  <c r="AG557" i="2"/>
  <c r="AG558" i="2"/>
  <c r="AG559" i="2"/>
  <c r="AG560" i="2"/>
  <c r="AG561" i="2"/>
  <c r="AG562" i="2"/>
  <c r="AG563" i="2"/>
  <c r="AG564" i="2"/>
  <c r="AG565" i="2"/>
  <c r="AG566" i="2"/>
  <c r="AG567" i="2"/>
  <c r="AG568" i="2"/>
  <c r="AG569" i="2"/>
  <c r="AG570" i="2"/>
  <c r="AG571" i="2"/>
  <c r="AG572" i="2"/>
  <c r="AG573" i="2"/>
  <c r="AG574" i="2"/>
  <c r="AG575" i="2"/>
  <c r="AG576" i="2"/>
  <c r="AG577" i="2"/>
  <c r="AG578" i="2"/>
  <c r="AG579" i="2"/>
  <c r="AG580" i="2"/>
  <c r="AG581" i="2"/>
  <c r="AG582" i="2"/>
  <c r="AG583" i="2"/>
  <c r="AG584" i="2"/>
  <c r="AG585" i="2"/>
  <c r="AG586" i="2"/>
  <c r="AG587" i="2"/>
  <c r="AG588" i="2"/>
  <c r="AG589" i="2"/>
  <c r="AG590" i="2"/>
  <c r="AG591" i="2"/>
  <c r="AG592" i="2"/>
  <c r="AG593" i="2"/>
  <c r="AG594" i="2"/>
  <c r="AG595" i="2"/>
  <c r="AG596" i="2"/>
  <c r="AG597" i="2"/>
  <c r="AG598" i="2"/>
  <c r="AG599" i="2"/>
  <c r="AG600" i="2"/>
  <c r="AG601" i="2"/>
  <c r="AG602" i="2"/>
  <c r="AG603" i="2"/>
  <c r="AG604" i="2"/>
  <c r="AG605" i="2"/>
  <c r="AG606" i="2"/>
  <c r="AG607" i="2"/>
  <c r="AG608" i="2"/>
  <c r="AG609" i="2"/>
  <c r="AG610" i="2"/>
  <c r="AG611" i="2"/>
  <c r="AG612" i="2"/>
  <c r="AG613" i="2"/>
  <c r="AG614" i="2"/>
  <c r="AG615" i="2"/>
  <c r="AG616" i="2"/>
  <c r="AG617" i="2"/>
  <c r="AG618" i="2"/>
  <c r="AG619" i="2"/>
  <c r="AG620" i="2"/>
  <c r="AG621" i="2"/>
  <c r="AG622" i="2"/>
  <c r="AG623" i="2"/>
  <c r="AG624" i="2"/>
  <c r="AG625" i="2"/>
  <c r="AG626" i="2"/>
  <c r="AG627" i="2"/>
  <c r="AG628" i="2"/>
  <c r="AG629" i="2"/>
  <c r="AG630" i="2"/>
  <c r="AG631" i="2"/>
  <c r="AG632" i="2"/>
  <c r="AG633" i="2"/>
  <c r="AG634" i="2"/>
  <c r="AG635" i="2"/>
  <c r="AG636" i="2"/>
  <c r="AG637" i="2"/>
  <c r="AG638" i="2"/>
  <c r="AG639" i="2"/>
  <c r="AG640" i="2"/>
  <c r="AG641" i="2"/>
  <c r="AG642" i="2"/>
  <c r="AG643" i="2"/>
  <c r="AG644" i="2"/>
  <c r="AG645" i="2"/>
  <c r="AG646" i="2"/>
  <c r="AG647" i="2"/>
  <c r="AG648" i="2"/>
  <c r="AG649" i="2"/>
  <c r="AG650" i="2"/>
  <c r="AG651" i="2"/>
  <c r="AG652" i="2"/>
  <c r="AG653" i="2"/>
  <c r="AG654" i="2"/>
  <c r="AG655" i="2"/>
  <c r="AG656" i="2"/>
  <c r="AG657" i="2"/>
  <c r="AG658" i="2"/>
  <c r="AG659" i="2"/>
  <c r="AG660" i="2"/>
  <c r="AG661" i="2"/>
  <c r="AG662" i="2"/>
  <c r="AG663" i="2"/>
  <c r="AG664" i="2"/>
  <c r="AG665" i="2"/>
  <c r="AG666" i="2"/>
  <c r="AG667" i="2"/>
  <c r="AG668" i="2"/>
  <c r="AG669" i="2"/>
  <c r="AG670" i="2"/>
  <c r="AG671" i="2"/>
  <c r="AG672" i="2"/>
  <c r="AG673" i="2"/>
  <c r="AG674" i="2"/>
  <c r="AG675" i="2"/>
  <c r="AG676" i="2"/>
  <c r="AG677" i="2"/>
  <c r="AG678" i="2"/>
  <c r="AG679" i="2"/>
  <c r="AG680" i="2"/>
  <c r="AG681" i="2"/>
  <c r="AG682" i="2"/>
  <c r="AG683" i="2"/>
  <c r="AG684" i="2"/>
  <c r="AG685" i="2"/>
  <c r="AG686" i="2"/>
  <c r="AG687" i="2"/>
  <c r="AG688" i="2"/>
  <c r="AG689" i="2"/>
  <c r="AG690" i="2"/>
  <c r="AG691" i="2"/>
  <c r="AG692" i="2"/>
  <c r="AG693" i="2"/>
  <c r="AG694" i="2"/>
  <c r="AG695" i="2"/>
  <c r="AG696" i="2"/>
  <c r="AG697" i="2"/>
  <c r="AG698" i="2"/>
  <c r="AG699" i="2"/>
  <c r="AG700" i="2"/>
  <c r="AG701" i="2"/>
  <c r="AG702" i="2"/>
  <c r="AG703" i="2"/>
  <c r="AG704" i="2"/>
  <c r="AG705" i="2"/>
  <c r="AG706" i="2"/>
  <c r="AG707" i="2"/>
  <c r="AG708" i="2"/>
  <c r="AG709" i="2"/>
  <c r="AG710" i="2"/>
  <c r="AG711" i="2"/>
  <c r="AG712" i="2"/>
  <c r="AG713" i="2"/>
  <c r="AG714" i="2"/>
  <c r="AG715" i="2"/>
  <c r="AG716" i="2"/>
  <c r="AG717" i="2"/>
  <c r="AG718" i="2"/>
  <c r="AG719" i="2"/>
  <c r="AG720" i="2"/>
  <c r="AG721" i="2"/>
  <c r="AG722" i="2"/>
  <c r="AG723" i="2"/>
  <c r="AG724" i="2"/>
  <c r="AG725" i="2"/>
  <c r="AG726" i="2"/>
  <c r="AG727" i="2"/>
  <c r="AG728" i="2"/>
  <c r="AG729" i="2"/>
  <c r="AG730" i="2"/>
  <c r="AG731" i="2"/>
  <c r="AG732" i="2"/>
  <c r="AG733" i="2"/>
  <c r="AG734" i="2"/>
  <c r="AG735" i="2"/>
  <c r="AG736" i="2"/>
  <c r="AG737" i="2"/>
  <c r="AG738" i="2"/>
  <c r="AG739" i="2"/>
  <c r="AG740" i="2"/>
  <c r="AG741" i="2"/>
  <c r="AG742" i="2"/>
  <c r="AG743" i="2"/>
  <c r="AG744" i="2"/>
  <c r="AG745" i="2"/>
  <c r="AG746" i="2"/>
  <c r="AG747" i="2"/>
  <c r="AG748" i="2"/>
  <c r="AG749" i="2"/>
  <c r="AG750" i="2"/>
  <c r="AG751" i="2"/>
  <c r="AG752" i="2"/>
  <c r="AG753" i="2"/>
  <c r="AG754" i="2"/>
  <c r="AG755" i="2"/>
  <c r="AG756" i="2"/>
  <c r="AG757" i="2"/>
  <c r="AG758" i="2"/>
  <c r="AG759" i="2"/>
  <c r="AG760" i="2"/>
  <c r="AG761" i="2"/>
  <c r="AG762" i="2"/>
  <c r="AG763" i="2"/>
  <c r="AG764" i="2"/>
  <c r="AG765" i="2"/>
  <c r="AG766" i="2"/>
  <c r="AG767" i="2"/>
  <c r="AG768" i="2"/>
  <c r="AG769" i="2"/>
  <c r="AG770" i="2"/>
  <c r="AG771" i="2"/>
  <c r="AG772" i="2"/>
  <c r="AG773" i="2"/>
  <c r="AG774" i="2"/>
  <c r="AG775" i="2"/>
  <c r="AG776" i="2"/>
  <c r="AG777" i="2"/>
  <c r="AG778" i="2"/>
  <c r="AG779" i="2"/>
  <c r="AG780" i="2"/>
  <c r="AG781" i="2"/>
  <c r="AG782" i="2"/>
  <c r="AG783" i="2"/>
  <c r="AG784" i="2"/>
  <c r="AG785" i="2"/>
  <c r="AG786" i="2"/>
  <c r="AG787" i="2"/>
  <c r="AG788" i="2"/>
  <c r="AG789" i="2"/>
  <c r="AG790" i="2"/>
  <c r="AG791" i="2"/>
  <c r="AG792" i="2"/>
  <c r="AG793" i="2"/>
  <c r="AG794" i="2"/>
  <c r="AG795" i="2"/>
  <c r="AG796" i="2"/>
  <c r="AG797" i="2"/>
  <c r="AG798" i="2"/>
  <c r="AG799" i="2"/>
  <c r="AG800" i="2"/>
  <c r="AG801" i="2"/>
  <c r="AG802" i="2"/>
  <c r="AG803" i="2"/>
  <c r="AG804" i="2"/>
  <c r="AG805" i="2"/>
  <c r="AG806" i="2"/>
  <c r="AG807" i="2"/>
  <c r="AG808" i="2"/>
  <c r="AG809" i="2"/>
  <c r="AG810" i="2"/>
  <c r="AG811" i="2"/>
  <c r="AG812" i="2"/>
  <c r="AG813" i="2"/>
  <c r="AG814" i="2"/>
  <c r="AG815" i="2"/>
  <c r="AG816" i="2"/>
  <c r="AG817" i="2"/>
  <c r="AG818" i="2"/>
  <c r="AG819" i="2"/>
  <c r="AG820" i="2"/>
  <c r="AG821" i="2"/>
  <c r="AG822" i="2"/>
  <c r="AG823" i="2"/>
  <c r="AG824" i="2"/>
  <c r="AG825" i="2"/>
  <c r="AG826" i="2"/>
  <c r="AG827" i="2"/>
  <c r="AG828" i="2"/>
  <c r="AG829" i="2"/>
  <c r="AG830" i="2"/>
  <c r="AG831" i="2"/>
  <c r="AG832" i="2"/>
  <c r="AG833" i="2"/>
  <c r="AG834" i="2"/>
  <c r="AG835" i="2"/>
  <c r="AG836" i="2"/>
  <c r="AG837" i="2"/>
  <c r="AG838" i="2"/>
  <c r="AG839" i="2"/>
  <c r="AG840" i="2"/>
  <c r="AG841" i="2"/>
  <c r="AG842" i="2"/>
  <c r="AG843" i="2"/>
  <c r="AG844" i="2"/>
  <c r="AG845" i="2"/>
  <c r="AG846" i="2"/>
  <c r="AG847" i="2"/>
  <c r="AG848" i="2"/>
  <c r="AG849" i="2"/>
  <c r="AG850" i="2"/>
  <c r="AG851" i="2"/>
  <c r="AG852" i="2"/>
  <c r="AG853" i="2"/>
  <c r="AG854" i="2"/>
  <c r="AG855" i="2"/>
  <c r="AG856" i="2"/>
  <c r="AG857" i="2"/>
  <c r="AG858" i="2"/>
  <c r="AG859" i="2"/>
  <c r="AG860" i="2"/>
  <c r="AG861" i="2"/>
  <c r="AG862" i="2"/>
  <c r="AG863" i="2"/>
  <c r="AG864" i="2"/>
  <c r="AG865" i="2"/>
  <c r="AG866" i="2"/>
  <c r="AG867" i="2"/>
  <c r="AG868" i="2"/>
  <c r="AG869" i="2"/>
  <c r="AG870" i="2"/>
  <c r="AG871" i="2"/>
  <c r="AG872" i="2"/>
  <c r="AG873" i="2"/>
  <c r="AG874" i="2"/>
  <c r="AG875" i="2"/>
  <c r="AG876" i="2"/>
  <c r="AG877" i="2"/>
  <c r="AG878" i="2"/>
  <c r="AG879" i="2"/>
  <c r="AG880" i="2"/>
  <c r="AG881" i="2"/>
  <c r="AG882" i="2"/>
  <c r="AG883" i="2"/>
  <c r="AG884" i="2"/>
  <c r="AG885" i="2"/>
  <c r="AG886" i="2"/>
  <c r="AG887" i="2"/>
  <c r="AG888" i="2"/>
  <c r="AG889" i="2"/>
  <c r="AG890" i="2"/>
  <c r="AG891" i="2"/>
  <c r="AG892" i="2"/>
  <c r="AG893" i="2"/>
  <c r="AG894" i="2"/>
  <c r="AG895" i="2"/>
  <c r="AG896" i="2"/>
  <c r="AG897" i="2"/>
  <c r="AG898" i="2"/>
  <c r="AG899" i="2"/>
  <c r="AG900" i="2"/>
  <c r="AG901" i="2"/>
  <c r="AG902" i="2"/>
  <c r="AG903" i="2"/>
  <c r="AG904" i="2"/>
  <c r="AG905" i="2"/>
  <c r="AG906" i="2"/>
  <c r="AG907" i="2"/>
  <c r="AG908" i="2"/>
  <c r="AG909" i="2"/>
  <c r="AG910" i="2"/>
  <c r="AG911" i="2"/>
  <c r="AG912" i="2"/>
  <c r="AG913" i="2"/>
  <c r="AG914" i="2"/>
  <c r="AG915" i="2"/>
  <c r="AG916" i="2"/>
  <c r="AG917" i="2"/>
  <c r="AG918" i="2"/>
  <c r="AG919" i="2"/>
  <c r="AG920" i="2"/>
  <c r="AG921" i="2"/>
  <c r="AG922" i="2"/>
  <c r="AG923" i="2"/>
  <c r="AG924" i="2"/>
  <c r="AG925" i="2"/>
  <c r="AG926" i="2"/>
  <c r="AG927" i="2"/>
  <c r="AG928" i="2"/>
  <c r="AG929" i="2"/>
  <c r="AG930" i="2"/>
  <c r="AG931" i="2"/>
  <c r="AG932" i="2"/>
  <c r="AG933" i="2"/>
  <c r="AG934" i="2"/>
  <c r="AG935" i="2"/>
  <c r="AG936" i="2"/>
  <c r="AG937" i="2"/>
  <c r="AG938" i="2"/>
  <c r="AG939" i="2"/>
  <c r="AG940" i="2"/>
  <c r="AG941" i="2"/>
  <c r="AG942" i="2"/>
  <c r="AG943" i="2"/>
  <c r="AG944" i="2"/>
  <c r="AG945" i="2"/>
  <c r="AG946" i="2"/>
  <c r="AG947" i="2"/>
  <c r="AG948" i="2"/>
  <c r="AG949" i="2"/>
  <c r="AG950" i="2"/>
  <c r="AG951" i="2"/>
  <c r="AG952" i="2"/>
  <c r="AG953" i="2"/>
  <c r="AG954" i="2"/>
  <c r="AG955" i="2"/>
  <c r="AG956" i="2"/>
  <c r="AG957" i="2"/>
  <c r="AG958" i="2"/>
  <c r="AG959" i="2"/>
  <c r="AG960" i="2"/>
  <c r="AG961" i="2"/>
  <c r="AG962" i="2"/>
  <c r="AG963" i="2"/>
  <c r="AG964" i="2"/>
  <c r="AG965" i="2"/>
  <c r="AG966" i="2"/>
  <c r="AG967" i="2"/>
  <c r="AG968" i="2"/>
  <c r="AG969" i="2"/>
  <c r="AG970" i="2"/>
  <c r="AG971" i="2"/>
  <c r="AG972" i="2"/>
  <c r="AG973" i="2"/>
  <c r="AG974" i="2"/>
  <c r="AG975" i="2"/>
  <c r="AG976" i="2"/>
  <c r="AG977" i="2"/>
  <c r="AG978" i="2"/>
  <c r="AG979" i="2"/>
  <c r="AG980" i="2"/>
  <c r="AG981" i="2"/>
  <c r="AG982" i="2"/>
  <c r="AG983" i="2"/>
  <c r="AG984" i="2"/>
  <c r="AG985" i="2"/>
  <c r="AG986" i="2"/>
  <c r="AG987" i="2"/>
  <c r="AG988" i="2"/>
  <c r="AG989" i="2"/>
  <c r="AG990" i="2"/>
  <c r="AG991" i="2"/>
  <c r="AG992" i="2"/>
  <c r="AG993" i="2"/>
  <c r="AG994" i="2"/>
  <c r="AG995" i="2"/>
  <c r="AG996" i="2"/>
  <c r="AG997" i="2"/>
  <c r="AG998" i="2"/>
  <c r="AG999" i="2"/>
  <c r="AG1000" i="2"/>
  <c r="AG1001" i="2"/>
  <c r="AG1002" i="2"/>
  <c r="AG1003" i="2"/>
  <c r="AG1004" i="2"/>
  <c r="AG1005" i="2"/>
  <c r="AG1006" i="2"/>
  <c r="AG1007" i="2"/>
  <c r="AG1008" i="2"/>
  <c r="AG1009" i="2"/>
  <c r="AG1010" i="2"/>
  <c r="AG1011" i="2"/>
  <c r="AG1012" i="2"/>
  <c r="AG1013" i="2"/>
  <c r="AG1014" i="2"/>
  <c r="AG1015" i="2"/>
  <c r="AG1016" i="2"/>
  <c r="AG1017" i="2"/>
  <c r="AG1018" i="2"/>
  <c r="AG1019" i="2"/>
  <c r="AG1020" i="2"/>
  <c r="AG1021" i="2"/>
  <c r="AG1022" i="2"/>
  <c r="AG1023" i="2"/>
  <c r="AG1024" i="2"/>
  <c r="AG1025" i="2"/>
  <c r="AG1026" i="2"/>
  <c r="AG1027" i="2"/>
  <c r="AG1028" i="2"/>
  <c r="AG1029" i="2"/>
  <c r="AG1030" i="2"/>
  <c r="AG1031" i="2"/>
  <c r="AG1032" i="2"/>
  <c r="AG1033" i="2"/>
  <c r="AG1034" i="2"/>
  <c r="AG1035" i="2"/>
  <c r="AG1036" i="2"/>
  <c r="AG1037" i="2"/>
  <c r="AG1038" i="2"/>
  <c r="AG1039" i="2"/>
  <c r="AG1040" i="2"/>
  <c r="AG1041" i="2"/>
  <c r="AG1042" i="2"/>
  <c r="AG1043" i="2"/>
  <c r="AG1044" i="2"/>
  <c r="AG1045" i="2"/>
  <c r="AG1046" i="2"/>
  <c r="AG1047" i="2"/>
  <c r="AG1048" i="2"/>
  <c r="AG1049" i="2"/>
  <c r="AG1050" i="2"/>
  <c r="AG1051" i="2"/>
  <c r="AG1052" i="2"/>
  <c r="AG1053" i="2"/>
  <c r="AG1054" i="2"/>
  <c r="AG1055" i="2"/>
  <c r="AG1056" i="2"/>
  <c r="AG1057" i="2"/>
  <c r="AG1058" i="2"/>
  <c r="AG1059" i="2"/>
  <c r="AG1060" i="2"/>
  <c r="AG1061" i="2"/>
  <c r="AG1062" i="2"/>
  <c r="AG1063" i="2"/>
  <c r="AG1064" i="2"/>
  <c r="AG1065" i="2"/>
  <c r="AG1066" i="2"/>
  <c r="AG1067" i="2"/>
  <c r="AG1068" i="2"/>
  <c r="AG1069" i="2"/>
  <c r="AG1070" i="2"/>
  <c r="AG1071" i="2"/>
  <c r="AG1072" i="2"/>
  <c r="AG1073" i="2"/>
  <c r="AG1074" i="2"/>
  <c r="AG1075" i="2"/>
  <c r="AG1076" i="2"/>
  <c r="AG1077" i="2"/>
  <c r="AG1078" i="2"/>
  <c r="AG1079" i="2"/>
  <c r="AG1080" i="2"/>
  <c r="AG1081" i="2"/>
  <c r="AG1082" i="2"/>
  <c r="AG1083" i="2"/>
  <c r="AG1084" i="2"/>
  <c r="AG1085" i="2"/>
  <c r="AG1086" i="2"/>
  <c r="AG1087" i="2"/>
  <c r="AG1088" i="2"/>
  <c r="AG1089" i="2"/>
  <c r="AG1090" i="2"/>
  <c r="AG1091" i="2"/>
  <c r="AG1092" i="2"/>
  <c r="AG1093" i="2"/>
  <c r="AG1094" i="2"/>
  <c r="AG1095" i="2"/>
  <c r="AG1096" i="2"/>
  <c r="AG1097" i="2"/>
  <c r="AG1098" i="2"/>
  <c r="AG1099" i="2"/>
  <c r="AG1100" i="2"/>
  <c r="AG1101" i="2"/>
  <c r="AG1102" i="2"/>
  <c r="AG1103" i="2"/>
  <c r="AG1104" i="2"/>
  <c r="AG1105" i="2"/>
  <c r="AG1106" i="2"/>
  <c r="AG1107" i="2"/>
  <c r="AG1108" i="2"/>
  <c r="AG1109" i="2"/>
  <c r="AG1110" i="2"/>
  <c r="AG1111" i="2"/>
  <c r="AG1112" i="2"/>
  <c r="AG1113" i="2"/>
  <c r="AG1114" i="2"/>
  <c r="AG1115" i="2"/>
  <c r="AG1116" i="2"/>
  <c r="AG1117" i="2"/>
  <c r="AG1118" i="2"/>
  <c r="AG1119" i="2"/>
  <c r="AG1120" i="2"/>
  <c r="AG1121" i="2"/>
  <c r="AG1122" i="2"/>
  <c r="AG1123" i="2"/>
  <c r="AG1124" i="2"/>
  <c r="AG1125" i="2"/>
  <c r="AG1126" i="2"/>
  <c r="AG1127" i="2"/>
  <c r="AG1128" i="2"/>
  <c r="AG1129" i="2"/>
  <c r="AG1130" i="2"/>
  <c r="AG1131" i="2"/>
  <c r="AG1132" i="2"/>
  <c r="AG1133" i="2"/>
  <c r="AG1134" i="2"/>
  <c r="AG1135" i="2"/>
  <c r="AG1136" i="2"/>
  <c r="AG1137" i="2"/>
  <c r="AG1138" i="2"/>
  <c r="AG1139" i="2"/>
  <c r="AG1140" i="2"/>
  <c r="AG1141" i="2"/>
  <c r="AG1142" i="2"/>
  <c r="AG1143" i="2"/>
  <c r="AG1144" i="2"/>
  <c r="AG1145" i="2"/>
  <c r="AG1146" i="2"/>
  <c r="AG1147" i="2"/>
  <c r="AG1148" i="2"/>
  <c r="AG1149" i="2"/>
  <c r="AG1150" i="2"/>
  <c r="AG1151" i="2"/>
  <c r="AG1152" i="2"/>
  <c r="AG1153" i="2"/>
  <c r="AG1154" i="2"/>
  <c r="AG1155" i="2"/>
  <c r="AG1156" i="2"/>
  <c r="AG1157" i="2"/>
  <c r="AG1158" i="2"/>
  <c r="AG1159" i="2"/>
  <c r="AG1160" i="2"/>
  <c r="AG1161" i="2"/>
  <c r="AG1162" i="2"/>
  <c r="AG1163" i="2"/>
  <c r="AG1164" i="2"/>
  <c r="AG1165" i="2"/>
  <c r="AG1166" i="2"/>
  <c r="AG1167" i="2"/>
  <c r="AG1168" i="2"/>
  <c r="AG1169" i="2"/>
  <c r="AG1170" i="2"/>
  <c r="AG1171" i="2"/>
  <c r="AG1172" i="2"/>
  <c r="AG1173" i="2"/>
  <c r="AG1174" i="2"/>
  <c r="AG1175" i="2"/>
  <c r="AG1176" i="2"/>
  <c r="AG1177" i="2"/>
  <c r="AG1178" i="2"/>
  <c r="AG1179" i="2"/>
  <c r="AG1180" i="2"/>
  <c r="AG1181" i="2"/>
  <c r="AG1182" i="2"/>
  <c r="AG1183" i="2"/>
  <c r="AG1184" i="2"/>
  <c r="AG1185" i="2"/>
  <c r="AG1186" i="2"/>
  <c r="AG1187" i="2"/>
  <c r="AG1188" i="2"/>
  <c r="AG1189" i="2"/>
  <c r="AG1190" i="2"/>
  <c r="AG1191" i="2"/>
  <c r="AG1192" i="2"/>
  <c r="AG1193" i="2"/>
  <c r="AG1194" i="2"/>
  <c r="AG1195" i="2"/>
  <c r="AG1196" i="2"/>
  <c r="AG1197" i="2"/>
  <c r="AG1198" i="2"/>
  <c r="AG1199" i="2"/>
  <c r="AG1200" i="2"/>
  <c r="AG1201" i="2"/>
  <c r="AG1202" i="2"/>
  <c r="AG1203" i="2"/>
  <c r="AG1204" i="2"/>
  <c r="AG1205" i="2"/>
  <c r="AG1206" i="2"/>
  <c r="AG1207" i="2"/>
  <c r="AG1208" i="2"/>
  <c r="AG1209" i="2"/>
  <c r="AG1210" i="2"/>
  <c r="AG1211" i="2"/>
  <c r="AG1212" i="2"/>
  <c r="AG1213" i="2"/>
  <c r="AG1214" i="2"/>
  <c r="AG1215" i="2"/>
  <c r="AG1216" i="2"/>
  <c r="AG1217" i="2"/>
  <c r="AG1218" i="2"/>
  <c r="AG1219" i="2"/>
  <c r="AG1220" i="2"/>
  <c r="AG1221" i="2"/>
  <c r="AG1222" i="2"/>
  <c r="AG1223" i="2"/>
  <c r="AG1224" i="2"/>
  <c r="AG1225" i="2"/>
  <c r="AG1226" i="2"/>
  <c r="AG1227" i="2"/>
  <c r="AG1228" i="2"/>
  <c r="AG1229" i="2"/>
  <c r="AG1230" i="2"/>
  <c r="AG1231" i="2"/>
  <c r="AG1232" i="2"/>
  <c r="AG1233" i="2"/>
  <c r="AG1234" i="2"/>
  <c r="AG1235" i="2"/>
  <c r="AG1236" i="2"/>
  <c r="AG1237" i="2"/>
  <c r="AG1238" i="2"/>
  <c r="AG1239" i="2"/>
  <c r="AG1240" i="2"/>
  <c r="AG1241" i="2"/>
  <c r="AG1242" i="2"/>
  <c r="AG1243" i="2"/>
  <c r="AG1244" i="2"/>
  <c r="AG1245" i="2"/>
  <c r="AG1246" i="2"/>
  <c r="AG1247" i="2"/>
  <c r="AG1248" i="2"/>
  <c r="AG1249" i="2"/>
  <c r="AG1250" i="2"/>
  <c r="AG1251" i="2"/>
  <c r="AG1252" i="2"/>
  <c r="AG1253" i="2"/>
  <c r="AG1254" i="2"/>
  <c r="AG1255" i="2"/>
  <c r="AG1256" i="2"/>
  <c r="AG1257" i="2"/>
  <c r="AG1258" i="2"/>
  <c r="AG1259" i="2"/>
  <c r="AG1260" i="2"/>
  <c r="AG1261" i="2"/>
  <c r="AG1262" i="2"/>
  <c r="AG1263" i="2"/>
  <c r="AG1264" i="2"/>
  <c r="AG1265" i="2"/>
  <c r="AG1266" i="2"/>
  <c r="AG1267" i="2"/>
  <c r="AG1268" i="2"/>
  <c r="AG1269" i="2"/>
  <c r="AG1270" i="2"/>
  <c r="AG1271" i="2"/>
  <c r="AG1272" i="2"/>
  <c r="AG1273" i="2"/>
  <c r="AG1274" i="2"/>
  <c r="AG1275" i="2"/>
  <c r="AG1276" i="2"/>
  <c r="AG1277" i="2"/>
  <c r="AG1278" i="2"/>
  <c r="AG1279" i="2"/>
  <c r="AG1280" i="2"/>
  <c r="AG1281" i="2"/>
  <c r="AG1282" i="2"/>
  <c r="AG1283" i="2"/>
  <c r="AG1284" i="2"/>
  <c r="AG1285" i="2"/>
  <c r="AG1286" i="2"/>
  <c r="AG1287" i="2"/>
  <c r="AG1288" i="2"/>
  <c r="AG1289" i="2"/>
  <c r="AG1290" i="2"/>
  <c r="AG1291" i="2"/>
  <c r="AG1292" i="2"/>
  <c r="AG1293" i="2"/>
  <c r="AG1294" i="2"/>
  <c r="AG1295" i="2"/>
  <c r="AG1296" i="2"/>
  <c r="AG1297" i="2"/>
  <c r="AG1298" i="2"/>
  <c r="AG1299" i="2"/>
  <c r="AG1300" i="2"/>
  <c r="AG1301" i="2"/>
  <c r="AG1302" i="2"/>
  <c r="AG1303" i="2"/>
  <c r="AG1304" i="2"/>
  <c r="AG1305" i="2"/>
  <c r="AG1306" i="2"/>
  <c r="AG1307" i="2"/>
  <c r="AG1308" i="2"/>
  <c r="AG1309" i="2"/>
  <c r="AG1310" i="2"/>
  <c r="AG1311" i="2"/>
  <c r="AG1312" i="2"/>
  <c r="AG1313" i="2"/>
  <c r="AG1314" i="2"/>
  <c r="AG1315" i="2"/>
  <c r="AG1316" i="2"/>
  <c r="AG1317" i="2"/>
  <c r="AG1318" i="2"/>
  <c r="AG1319" i="2"/>
  <c r="AG1320" i="2"/>
  <c r="AG1321" i="2"/>
  <c r="AG1322" i="2"/>
  <c r="AG1323" i="2"/>
  <c r="AG1324" i="2"/>
  <c r="AG1325" i="2"/>
  <c r="AG1326" i="2"/>
  <c r="AG1327" i="2"/>
  <c r="AG1328" i="2"/>
  <c r="AG1329" i="2"/>
  <c r="AG1330" i="2"/>
  <c r="AG1331" i="2"/>
  <c r="AG1332" i="2"/>
  <c r="AG1333" i="2"/>
  <c r="AG1334" i="2"/>
  <c r="AG1335" i="2"/>
  <c r="AG1336" i="2"/>
  <c r="AG1337" i="2"/>
  <c r="AG1338" i="2"/>
  <c r="AG1339" i="2"/>
  <c r="AG1340" i="2"/>
  <c r="AG1341" i="2"/>
  <c r="AG1342" i="2"/>
  <c r="AG1343" i="2"/>
  <c r="AG1344" i="2"/>
  <c r="AG1345" i="2"/>
  <c r="AG1346" i="2"/>
  <c r="AG1347" i="2"/>
  <c r="AG1348" i="2"/>
  <c r="AG1349" i="2"/>
  <c r="AG1350" i="2"/>
  <c r="AG1351" i="2"/>
  <c r="AG1352" i="2"/>
  <c r="AG1353" i="2"/>
  <c r="AG1354" i="2"/>
  <c r="AG1355" i="2"/>
  <c r="AG1356" i="2"/>
  <c r="AG1357" i="2"/>
  <c r="AG1358" i="2"/>
  <c r="AG1359" i="2"/>
  <c r="AG1360" i="2"/>
  <c r="AG1361" i="2"/>
  <c r="AG1362" i="2"/>
  <c r="AG1363" i="2"/>
  <c r="AG1364" i="2"/>
  <c r="AG1365" i="2"/>
  <c r="AG1366" i="2"/>
  <c r="AG1367" i="2"/>
  <c r="AG1368" i="2"/>
  <c r="AG1369" i="2"/>
  <c r="AG1370" i="2"/>
  <c r="AG1371" i="2"/>
  <c r="AG1372" i="2"/>
  <c r="AG1373" i="2"/>
  <c r="AG1374" i="2"/>
  <c r="AG1375" i="2"/>
  <c r="AG1376" i="2"/>
  <c r="AG1377" i="2"/>
  <c r="AG1378" i="2"/>
  <c r="AG1379" i="2"/>
  <c r="AG1380" i="2"/>
  <c r="AG1381" i="2"/>
  <c r="AG1382" i="2"/>
  <c r="AG1383" i="2"/>
  <c r="AG1384" i="2"/>
  <c r="AG1385" i="2"/>
  <c r="AG1386" i="2"/>
  <c r="AG1387" i="2"/>
  <c r="AG1388" i="2"/>
  <c r="AG1389" i="2"/>
  <c r="AG1390" i="2"/>
  <c r="AG1391" i="2"/>
  <c r="AG1392" i="2"/>
  <c r="AG1393" i="2"/>
  <c r="AG1394" i="2"/>
  <c r="AG1395" i="2"/>
  <c r="AG1396" i="2"/>
  <c r="AG1397" i="2"/>
  <c r="AG1398" i="2"/>
  <c r="AG1399" i="2"/>
  <c r="AG1400" i="2"/>
  <c r="AG1401" i="2"/>
  <c r="AG1402" i="2"/>
  <c r="AG1403" i="2"/>
  <c r="AG1404" i="2"/>
  <c r="AG1405" i="2"/>
  <c r="AG1406" i="2"/>
  <c r="AG1407" i="2"/>
  <c r="AG1408" i="2"/>
  <c r="AG1409" i="2"/>
  <c r="AG1410" i="2"/>
  <c r="AG1411" i="2"/>
  <c r="AG1412" i="2"/>
  <c r="AG1413" i="2"/>
  <c r="AG1414" i="2"/>
  <c r="AG1415" i="2"/>
  <c r="AG1416" i="2"/>
  <c r="AG1417" i="2"/>
  <c r="AG1418" i="2"/>
  <c r="AG1419" i="2"/>
  <c r="AG1420" i="2"/>
  <c r="AG1421" i="2"/>
  <c r="AG1422" i="2"/>
  <c r="AG1423" i="2"/>
  <c r="AG1424" i="2"/>
  <c r="AG1425" i="2"/>
  <c r="AG1426" i="2"/>
  <c r="AG1427" i="2"/>
  <c r="AG1428" i="2"/>
  <c r="AG1429" i="2"/>
  <c r="AG1430" i="2"/>
  <c r="AG1431" i="2"/>
  <c r="AG1432" i="2"/>
  <c r="AG1433" i="2"/>
  <c r="AG1434" i="2"/>
  <c r="AG1435" i="2"/>
  <c r="AG1436" i="2"/>
  <c r="AG1437" i="2"/>
  <c r="AG1438" i="2"/>
  <c r="AG1439" i="2"/>
  <c r="AG1440" i="2"/>
  <c r="AG1441" i="2"/>
  <c r="AG1442" i="2"/>
  <c r="AG1443" i="2"/>
  <c r="AG1444" i="2"/>
  <c r="AG1445" i="2"/>
  <c r="AG1446" i="2"/>
  <c r="AG1447" i="2"/>
  <c r="AG1448" i="2"/>
  <c r="AG1449" i="2"/>
  <c r="AG1450" i="2"/>
  <c r="AG1451" i="2"/>
  <c r="AG1452" i="2"/>
  <c r="AG1453" i="2"/>
  <c r="AG1454" i="2"/>
  <c r="AG1455" i="2"/>
  <c r="AG1456" i="2"/>
  <c r="AG1457" i="2"/>
  <c r="AG1458" i="2"/>
  <c r="AG1459" i="2"/>
  <c r="AG1460" i="2"/>
  <c r="AG1461" i="2"/>
  <c r="AG1462" i="2"/>
  <c r="AG1463" i="2"/>
  <c r="AG1464" i="2"/>
  <c r="AG1465" i="2"/>
  <c r="AG1466" i="2"/>
  <c r="AG1467" i="2"/>
  <c r="AG1468" i="2"/>
  <c r="AG1469" i="2"/>
  <c r="AG1470" i="2"/>
  <c r="AG1471" i="2"/>
  <c r="J16" i="4" l="1"/>
  <c r="J15" i="4"/>
  <c r="AM1469" i="2"/>
  <c r="AM1461" i="2"/>
  <c r="AM1453" i="2"/>
  <c r="AM1445" i="2"/>
  <c r="AM1437" i="2"/>
  <c r="AM1429" i="2"/>
  <c r="AM1421" i="2"/>
  <c r="AM1413" i="2"/>
  <c r="AM1405" i="2"/>
  <c r="AM1397" i="2"/>
  <c r="AM1389" i="2"/>
  <c r="AM1381" i="2"/>
  <c r="AM1373" i="2"/>
  <c r="AM1365" i="2"/>
  <c r="AM1357" i="2"/>
  <c r="AM1349" i="2"/>
  <c r="AM1341" i="2"/>
  <c r="AM1332" i="2"/>
  <c r="AM1322" i="2"/>
  <c r="AM1313" i="2"/>
  <c r="AM1304" i="2"/>
  <c r="AM1295" i="2"/>
  <c r="AM1286" i="2"/>
  <c r="AM1277" i="2"/>
  <c r="AM1268" i="2"/>
  <c r="AM1258" i="2"/>
  <c r="AM1249" i="2"/>
  <c r="AM1237" i="2"/>
  <c r="AM1224" i="2"/>
  <c r="AM1210" i="2"/>
  <c r="AM1198" i="2"/>
  <c r="AM1181" i="2"/>
  <c r="AM1160" i="2"/>
  <c r="AM1137" i="2"/>
  <c r="AM1117" i="2"/>
  <c r="AM1096" i="2"/>
  <c r="AM1073" i="2"/>
  <c r="AM1053" i="2"/>
  <c r="AM1032" i="2"/>
  <c r="AM1009" i="2"/>
  <c r="AM989" i="2"/>
  <c r="AM968" i="2"/>
  <c r="AM945" i="2"/>
  <c r="AM913" i="2"/>
  <c r="AM881" i="2"/>
  <c r="AM849" i="2"/>
  <c r="AM817" i="2"/>
  <c r="AM785" i="2"/>
  <c r="AM753" i="2"/>
  <c r="AM721" i="2"/>
  <c r="AM689" i="2"/>
  <c r="AM657" i="2"/>
  <c r="AM625" i="2"/>
  <c r="AM593" i="2"/>
  <c r="AM561" i="2"/>
  <c r="AM529" i="2"/>
  <c r="AM497" i="2"/>
  <c r="AM441" i="2"/>
  <c r="AM377" i="2"/>
  <c r="AM313" i="2"/>
  <c r="AM249" i="2"/>
  <c r="AM1468" i="2"/>
  <c r="AM1460" i="2"/>
  <c r="AM1452" i="2"/>
  <c r="AM1444" i="2"/>
  <c r="AM1436" i="2"/>
  <c r="AM1428" i="2"/>
  <c r="AM1420" i="2"/>
  <c r="AM1412" i="2"/>
  <c r="AM1404" i="2"/>
  <c r="AM1396" i="2"/>
  <c r="AM1388" i="2"/>
  <c r="AM1380" i="2"/>
  <c r="AM1372" i="2"/>
  <c r="AM1364" i="2"/>
  <c r="AM1356" i="2"/>
  <c r="AM1348" i="2"/>
  <c r="AM1340" i="2"/>
  <c r="AM1330" i="2"/>
  <c r="AM1321" i="2"/>
  <c r="AM1312" i="2"/>
  <c r="AM1303" i="2"/>
  <c r="AM1294" i="2"/>
  <c r="AM1285" i="2"/>
  <c r="AM1276" i="2"/>
  <c r="AM1266" i="2"/>
  <c r="AM1257" i="2"/>
  <c r="AM1248" i="2"/>
  <c r="AM1234" i="2"/>
  <c r="AM1222" i="2"/>
  <c r="AM1209" i="2"/>
  <c r="AM1197" i="2"/>
  <c r="AM1177" i="2"/>
  <c r="AM1157" i="2"/>
  <c r="AM1136" i="2"/>
  <c r="AM1113" i="2"/>
  <c r="AM1093" i="2"/>
  <c r="AM1072" i="2"/>
  <c r="AM1049" i="2"/>
  <c r="AM1029" i="2"/>
  <c r="AM1008" i="2"/>
  <c r="AM985" i="2"/>
  <c r="AM965" i="2"/>
  <c r="AM944" i="2"/>
  <c r="AM912" i="2"/>
  <c r="AM880" i="2"/>
  <c r="AM848" i="2"/>
  <c r="AM816" i="2"/>
  <c r="AM784" i="2"/>
  <c r="AM752" i="2"/>
  <c r="AM720" i="2"/>
  <c r="AM688" i="2"/>
  <c r="AM656" i="2"/>
  <c r="AM624" i="2"/>
  <c r="AM592" i="2"/>
  <c r="AM560" i="2"/>
  <c r="AM528" i="2"/>
  <c r="AM496" i="2"/>
  <c r="AM433" i="2"/>
  <c r="AM369" i="2"/>
  <c r="AM305" i="2"/>
  <c r="AM241" i="2"/>
  <c r="AM1467" i="2"/>
  <c r="AM1459" i="2"/>
  <c r="AM1451" i="2"/>
  <c r="AM1443" i="2"/>
  <c r="AM1435" i="2"/>
  <c r="AM1427" i="2"/>
  <c r="AM1419" i="2"/>
  <c r="AM1411" i="2"/>
  <c r="AM1403" i="2"/>
  <c r="AM1395" i="2"/>
  <c r="AM1387" i="2"/>
  <c r="AM1379" i="2"/>
  <c r="AM1371" i="2"/>
  <c r="AM1363" i="2"/>
  <c r="AM1355" i="2"/>
  <c r="AM1347" i="2"/>
  <c r="AM1338" i="2"/>
  <c r="AM1329" i="2"/>
  <c r="AM1320" i="2"/>
  <c r="AM1311" i="2"/>
  <c r="AM1302" i="2"/>
  <c r="AM1293" i="2"/>
  <c r="AM1284" i="2"/>
  <c r="AM1274" i="2"/>
  <c r="AM1265" i="2"/>
  <c r="AM1256" i="2"/>
  <c r="AM1246" i="2"/>
  <c r="AM1233" i="2"/>
  <c r="AM1221" i="2"/>
  <c r="AM1208" i="2"/>
  <c r="AM1194" i="2"/>
  <c r="AM1176" i="2"/>
  <c r="AM1153" i="2"/>
  <c r="AM1133" i="2"/>
  <c r="AM1112" i="2"/>
  <c r="AM1089" i="2"/>
  <c r="AM1069" i="2"/>
  <c r="AM1048" i="2"/>
  <c r="AM1025" i="2"/>
  <c r="AM1005" i="2"/>
  <c r="AM984" i="2"/>
  <c r="AM961" i="2"/>
  <c r="AM937" i="2"/>
  <c r="AM905" i="2"/>
  <c r="AM873" i="2"/>
  <c r="AM841" i="2"/>
  <c r="AM809" i="2"/>
  <c r="AM777" i="2"/>
  <c r="AM745" i="2"/>
  <c r="AM713" i="2"/>
  <c r="AM681" i="2"/>
  <c r="AM649" i="2"/>
  <c r="AM617" i="2"/>
  <c r="AM585" i="2"/>
  <c r="AM553" i="2"/>
  <c r="AM521" i="2"/>
  <c r="AM489" i="2"/>
  <c r="AM425" i="2"/>
  <c r="AM361" i="2"/>
  <c r="AM297" i="2"/>
  <c r="AM7" i="2"/>
  <c r="AM8" i="2"/>
  <c r="AM9" i="2"/>
  <c r="AM2" i="2"/>
  <c r="AM3" i="2"/>
  <c r="AM4" i="2"/>
  <c r="AM5" i="2"/>
  <c r="AM6" i="2"/>
  <c r="AM17" i="2"/>
  <c r="AM25" i="2"/>
  <c r="AM33" i="2"/>
  <c r="AM41" i="2"/>
  <c r="AM49" i="2"/>
  <c r="AM57" i="2"/>
  <c r="AM65" i="2"/>
  <c r="AM73" i="2"/>
  <c r="AM81" i="2"/>
  <c r="AM89" i="2"/>
  <c r="AM97" i="2"/>
  <c r="AM105" i="2"/>
  <c r="AM113" i="2"/>
  <c r="AM121" i="2"/>
  <c r="AM129" i="2"/>
  <c r="AM137" i="2"/>
  <c r="AM145" i="2"/>
  <c r="AM153" i="2"/>
  <c r="AM161" i="2"/>
  <c r="AM169" i="2"/>
  <c r="AM177" i="2"/>
  <c r="AM185" i="2"/>
  <c r="AM10" i="2"/>
  <c r="AM18" i="2"/>
  <c r="AM26" i="2"/>
  <c r="AM34" i="2"/>
  <c r="AM42" i="2"/>
  <c r="AM50" i="2"/>
  <c r="AM58" i="2"/>
  <c r="AM66" i="2"/>
  <c r="AM74" i="2"/>
  <c r="AM82" i="2"/>
  <c r="AM90" i="2"/>
  <c r="AM98" i="2"/>
  <c r="AM106" i="2"/>
  <c r="AM114" i="2"/>
  <c r="AM122" i="2"/>
  <c r="AM130" i="2"/>
  <c r="AM138" i="2"/>
  <c r="AM146" i="2"/>
  <c r="AM154" i="2"/>
  <c r="AM162" i="2"/>
  <c r="AM170" i="2"/>
  <c r="AM178" i="2"/>
  <c r="AM186" i="2"/>
  <c r="AM194" i="2"/>
  <c r="AM202" i="2"/>
  <c r="AM210" i="2"/>
  <c r="AM218" i="2"/>
  <c r="AM226" i="2"/>
  <c r="AM234" i="2"/>
  <c r="AM242" i="2"/>
  <c r="AM250" i="2"/>
  <c r="AM258" i="2"/>
  <c r="AM266" i="2"/>
  <c r="AM274" i="2"/>
  <c r="AM282" i="2"/>
  <c r="AM290" i="2"/>
  <c r="AM298" i="2"/>
  <c r="AM306" i="2"/>
  <c r="AM314" i="2"/>
  <c r="AM322" i="2"/>
  <c r="AM330" i="2"/>
  <c r="AM338" i="2"/>
  <c r="AM346" i="2"/>
  <c r="AM354" i="2"/>
  <c r="AM362" i="2"/>
  <c r="AM370" i="2"/>
  <c r="AM378" i="2"/>
  <c r="AM386" i="2"/>
  <c r="AM394" i="2"/>
  <c r="AM402" i="2"/>
  <c r="AM410" i="2"/>
  <c r="AM418" i="2"/>
  <c r="AM426" i="2"/>
  <c r="AM434" i="2"/>
  <c r="AM442" i="2"/>
  <c r="AM450" i="2"/>
  <c r="AM458" i="2"/>
  <c r="AM466" i="2"/>
  <c r="AM474" i="2"/>
  <c r="AM482" i="2"/>
  <c r="AM490" i="2"/>
  <c r="AM498" i="2"/>
  <c r="AM506" i="2"/>
  <c r="AM514" i="2"/>
  <c r="AM522" i="2"/>
  <c r="AM530" i="2"/>
  <c r="AM538" i="2"/>
  <c r="AM546" i="2"/>
  <c r="AM554" i="2"/>
  <c r="AM562" i="2"/>
  <c r="AM570" i="2"/>
  <c r="AM578" i="2"/>
  <c r="AM586" i="2"/>
  <c r="AM594" i="2"/>
  <c r="AM602" i="2"/>
  <c r="AM610" i="2"/>
  <c r="AM618" i="2"/>
  <c r="AM626" i="2"/>
  <c r="AM634" i="2"/>
  <c r="AM642" i="2"/>
  <c r="AM650" i="2"/>
  <c r="AM658" i="2"/>
  <c r="AM666" i="2"/>
  <c r="AM674" i="2"/>
  <c r="AM682" i="2"/>
  <c r="AM690" i="2"/>
  <c r="AM698" i="2"/>
  <c r="AM706" i="2"/>
  <c r="AM714" i="2"/>
  <c r="AM722" i="2"/>
  <c r="AM730" i="2"/>
  <c r="AM738" i="2"/>
  <c r="AM746" i="2"/>
  <c r="AM754" i="2"/>
  <c r="AM762" i="2"/>
  <c r="AM770" i="2"/>
  <c r="AM778" i="2"/>
  <c r="AM786" i="2"/>
  <c r="AM794" i="2"/>
  <c r="AM802" i="2"/>
  <c r="AM810" i="2"/>
  <c r="AM818" i="2"/>
  <c r="AM826" i="2"/>
  <c r="AM834" i="2"/>
  <c r="AM842" i="2"/>
  <c r="AM850" i="2"/>
  <c r="AM858" i="2"/>
  <c r="AM866" i="2"/>
  <c r="AM874" i="2"/>
  <c r="AM882" i="2"/>
  <c r="AM890" i="2"/>
  <c r="AM898" i="2"/>
  <c r="AM906" i="2"/>
  <c r="AM914" i="2"/>
  <c r="AM922" i="2"/>
  <c r="AM930" i="2"/>
  <c r="AM938" i="2"/>
  <c r="AM946" i="2"/>
  <c r="AM954" i="2"/>
  <c r="AM962" i="2"/>
  <c r="AM970" i="2"/>
  <c r="AM978" i="2"/>
  <c r="AM986" i="2"/>
  <c r="AM994" i="2"/>
  <c r="AM1002" i="2"/>
  <c r="AM1010" i="2"/>
  <c r="AM1018" i="2"/>
  <c r="AM1026" i="2"/>
  <c r="AM1034" i="2"/>
  <c r="AM1042" i="2"/>
  <c r="AM1050" i="2"/>
  <c r="AM1058" i="2"/>
  <c r="AM1066" i="2"/>
  <c r="AM1074" i="2"/>
  <c r="AM1082" i="2"/>
  <c r="AM1090" i="2"/>
  <c r="AM1098" i="2"/>
  <c r="AM1106" i="2"/>
  <c r="AM1114" i="2"/>
  <c r="AM1122" i="2"/>
  <c r="AM1130" i="2"/>
  <c r="AM1138" i="2"/>
  <c r="AM1146" i="2"/>
  <c r="AM1154" i="2"/>
  <c r="AM1162" i="2"/>
  <c r="AM1170" i="2"/>
  <c r="AM1178" i="2"/>
  <c r="AM1186" i="2"/>
  <c r="AM11" i="2"/>
  <c r="AM19" i="2"/>
  <c r="AM27" i="2"/>
  <c r="AM35" i="2"/>
  <c r="AM43" i="2"/>
  <c r="AM51" i="2"/>
  <c r="AM59" i="2"/>
  <c r="AM67" i="2"/>
  <c r="AM75" i="2"/>
  <c r="AM83" i="2"/>
  <c r="AM91" i="2"/>
  <c r="AM99" i="2"/>
  <c r="AM107" i="2"/>
  <c r="AM115" i="2"/>
  <c r="AM123" i="2"/>
  <c r="AM131" i="2"/>
  <c r="AM139" i="2"/>
  <c r="AM147" i="2"/>
  <c r="AM155" i="2"/>
  <c r="AM163" i="2"/>
  <c r="AM171" i="2"/>
  <c r="AM179" i="2"/>
  <c r="AM187" i="2"/>
  <c r="AM195" i="2"/>
  <c r="AM203" i="2"/>
  <c r="AM211" i="2"/>
  <c r="AM219" i="2"/>
  <c r="AM227" i="2"/>
  <c r="AM235" i="2"/>
  <c r="AM243" i="2"/>
  <c r="AM251" i="2"/>
  <c r="AM259" i="2"/>
  <c r="AM267" i="2"/>
  <c r="AM275" i="2"/>
  <c r="AM283" i="2"/>
  <c r="AM291" i="2"/>
  <c r="AM299" i="2"/>
  <c r="AM307" i="2"/>
  <c r="AM315" i="2"/>
  <c r="AM323" i="2"/>
  <c r="AM331" i="2"/>
  <c r="AM339" i="2"/>
  <c r="AM347" i="2"/>
  <c r="AM355" i="2"/>
  <c r="AM363" i="2"/>
  <c r="AM371" i="2"/>
  <c r="AM379" i="2"/>
  <c r="AM387" i="2"/>
  <c r="AM395" i="2"/>
  <c r="AM403" i="2"/>
  <c r="AM411" i="2"/>
  <c r="AM419" i="2"/>
  <c r="AM427" i="2"/>
  <c r="AM435" i="2"/>
  <c r="AM443" i="2"/>
  <c r="AM451" i="2"/>
  <c r="AM459" i="2"/>
  <c r="AM467" i="2"/>
  <c r="AM475" i="2"/>
  <c r="AM483" i="2"/>
  <c r="AM491" i="2"/>
  <c r="AM499" i="2"/>
  <c r="AM507" i="2"/>
  <c r="AM515" i="2"/>
  <c r="AM523" i="2"/>
  <c r="AM531" i="2"/>
  <c r="AM539" i="2"/>
  <c r="AM547" i="2"/>
  <c r="AM555" i="2"/>
  <c r="AM563" i="2"/>
  <c r="AM571" i="2"/>
  <c r="AM579" i="2"/>
  <c r="AM587" i="2"/>
  <c r="AM595" i="2"/>
  <c r="AM603" i="2"/>
  <c r="AM611" i="2"/>
  <c r="AM619" i="2"/>
  <c r="AM627" i="2"/>
  <c r="AM635" i="2"/>
  <c r="AM643" i="2"/>
  <c r="AM651" i="2"/>
  <c r="AM659" i="2"/>
  <c r="AM667" i="2"/>
  <c r="AM675" i="2"/>
  <c r="AM683" i="2"/>
  <c r="AM691" i="2"/>
  <c r="AM699" i="2"/>
  <c r="AM707" i="2"/>
  <c r="AM715" i="2"/>
  <c r="AM723" i="2"/>
  <c r="AM731" i="2"/>
  <c r="AM739" i="2"/>
  <c r="AM747" i="2"/>
  <c r="AM755" i="2"/>
  <c r="AM763" i="2"/>
  <c r="AM771" i="2"/>
  <c r="AM779" i="2"/>
  <c r="AM787" i="2"/>
  <c r="AM795" i="2"/>
  <c r="AM803" i="2"/>
  <c r="AM811" i="2"/>
  <c r="AM819" i="2"/>
  <c r="AM827" i="2"/>
  <c r="AM835" i="2"/>
  <c r="AM843" i="2"/>
  <c r="AM851" i="2"/>
  <c r="AM859" i="2"/>
  <c r="AM867" i="2"/>
  <c r="AM875" i="2"/>
  <c r="AM883" i="2"/>
  <c r="AM891" i="2"/>
  <c r="AM899" i="2"/>
  <c r="AM907" i="2"/>
  <c r="AM915" i="2"/>
  <c r="AM923" i="2"/>
  <c r="AM931" i="2"/>
  <c r="AM939" i="2"/>
  <c r="AM947" i="2"/>
  <c r="AM955" i="2"/>
  <c r="AM963" i="2"/>
  <c r="AM971" i="2"/>
  <c r="AM979" i="2"/>
  <c r="AM987" i="2"/>
  <c r="AM995" i="2"/>
  <c r="AM1003" i="2"/>
  <c r="AM1011" i="2"/>
  <c r="AM1019" i="2"/>
  <c r="AM1027" i="2"/>
  <c r="AM1035" i="2"/>
  <c r="AM1043" i="2"/>
  <c r="AM1051" i="2"/>
  <c r="AM1059" i="2"/>
  <c r="AM1067" i="2"/>
  <c r="AM1075" i="2"/>
  <c r="AM1083" i="2"/>
  <c r="AM1091" i="2"/>
  <c r="AM1099" i="2"/>
  <c r="AM1107" i="2"/>
  <c r="AM1115" i="2"/>
  <c r="AM1123" i="2"/>
  <c r="AM1131" i="2"/>
  <c r="AM1139" i="2"/>
  <c r="AM1147" i="2"/>
  <c r="AM1155" i="2"/>
  <c r="AM1163" i="2"/>
  <c r="AM1171" i="2"/>
  <c r="AM1179" i="2"/>
  <c r="AM1187" i="2"/>
  <c r="AM1195" i="2"/>
  <c r="AM1203" i="2"/>
  <c r="AM1211" i="2"/>
  <c r="AM1219" i="2"/>
  <c r="AM1227" i="2"/>
  <c r="AM1235" i="2"/>
  <c r="AM1243" i="2"/>
  <c r="AM1251" i="2"/>
  <c r="AM1259" i="2"/>
  <c r="AM1267" i="2"/>
  <c r="AM1275" i="2"/>
  <c r="AM1283" i="2"/>
  <c r="AM1291" i="2"/>
  <c r="AM1299" i="2"/>
  <c r="AM1307" i="2"/>
  <c r="AM1315" i="2"/>
  <c r="AM1323" i="2"/>
  <c r="AM1331" i="2"/>
  <c r="AM1339" i="2"/>
  <c r="AM12" i="2"/>
  <c r="AM20" i="2"/>
  <c r="AM28" i="2"/>
  <c r="AM36" i="2"/>
  <c r="AM44" i="2"/>
  <c r="AM52" i="2"/>
  <c r="AM60" i="2"/>
  <c r="AM68" i="2"/>
  <c r="AM76" i="2"/>
  <c r="AM84" i="2"/>
  <c r="AM92" i="2"/>
  <c r="AM100" i="2"/>
  <c r="AM108" i="2"/>
  <c r="AM116" i="2"/>
  <c r="AM124" i="2"/>
  <c r="AM132" i="2"/>
  <c r="AM140" i="2"/>
  <c r="AM148" i="2"/>
  <c r="AM156" i="2"/>
  <c r="AM164" i="2"/>
  <c r="AM172" i="2"/>
  <c r="AM180" i="2"/>
  <c r="AM188" i="2"/>
  <c r="AM196" i="2"/>
  <c r="AM204" i="2"/>
  <c r="AM212" i="2"/>
  <c r="AM220" i="2"/>
  <c r="AM228" i="2"/>
  <c r="AM236" i="2"/>
  <c r="AM244" i="2"/>
  <c r="AM252" i="2"/>
  <c r="AM260" i="2"/>
  <c r="AM268" i="2"/>
  <c r="AM276" i="2"/>
  <c r="AM284" i="2"/>
  <c r="AM292" i="2"/>
  <c r="AM300" i="2"/>
  <c r="AM308" i="2"/>
  <c r="AM316" i="2"/>
  <c r="AM324" i="2"/>
  <c r="AM332" i="2"/>
  <c r="AM340" i="2"/>
  <c r="AM348" i="2"/>
  <c r="AM356" i="2"/>
  <c r="AM364" i="2"/>
  <c r="AM372" i="2"/>
  <c r="AM380" i="2"/>
  <c r="AM388" i="2"/>
  <c r="AM396" i="2"/>
  <c r="AM404" i="2"/>
  <c r="AM412" i="2"/>
  <c r="AM420" i="2"/>
  <c r="AM428" i="2"/>
  <c r="AM436" i="2"/>
  <c r="AM444" i="2"/>
  <c r="AM452" i="2"/>
  <c r="AM460" i="2"/>
  <c r="AM468" i="2"/>
  <c r="AM476" i="2"/>
  <c r="AM484" i="2"/>
  <c r="AM492" i="2"/>
  <c r="AM500" i="2"/>
  <c r="AM508" i="2"/>
  <c r="AM516" i="2"/>
  <c r="AM524" i="2"/>
  <c r="AM532" i="2"/>
  <c r="AM540" i="2"/>
  <c r="AM548" i="2"/>
  <c r="AM556" i="2"/>
  <c r="AM564" i="2"/>
  <c r="AM572" i="2"/>
  <c r="AM580" i="2"/>
  <c r="AM588" i="2"/>
  <c r="AM596" i="2"/>
  <c r="AM604" i="2"/>
  <c r="AM612" i="2"/>
  <c r="AM620" i="2"/>
  <c r="AM628" i="2"/>
  <c r="AM636" i="2"/>
  <c r="AM644" i="2"/>
  <c r="AM652" i="2"/>
  <c r="AM660" i="2"/>
  <c r="AM668" i="2"/>
  <c r="AM676" i="2"/>
  <c r="AM684" i="2"/>
  <c r="AM692" i="2"/>
  <c r="AM700" i="2"/>
  <c r="AM708" i="2"/>
  <c r="AM716" i="2"/>
  <c r="AM724" i="2"/>
  <c r="AM732" i="2"/>
  <c r="AM740" i="2"/>
  <c r="AM748" i="2"/>
  <c r="AM756" i="2"/>
  <c r="AM764" i="2"/>
  <c r="AM772" i="2"/>
  <c r="AM780" i="2"/>
  <c r="AM788" i="2"/>
  <c r="AM796" i="2"/>
  <c r="AM804" i="2"/>
  <c r="AM812" i="2"/>
  <c r="AM820" i="2"/>
  <c r="AM828" i="2"/>
  <c r="AM836" i="2"/>
  <c r="AM844" i="2"/>
  <c r="AM852" i="2"/>
  <c r="AM860" i="2"/>
  <c r="AM868" i="2"/>
  <c r="AM876" i="2"/>
  <c r="AM884" i="2"/>
  <c r="AM892" i="2"/>
  <c r="AM900" i="2"/>
  <c r="AM908" i="2"/>
  <c r="AM916" i="2"/>
  <c r="AM924" i="2"/>
  <c r="AM932" i="2"/>
  <c r="AM940" i="2"/>
  <c r="AM948" i="2"/>
  <c r="AM956" i="2"/>
  <c r="AM964" i="2"/>
  <c r="AM972" i="2"/>
  <c r="AM980" i="2"/>
  <c r="AM988" i="2"/>
  <c r="AM996" i="2"/>
  <c r="AM1004" i="2"/>
  <c r="AM1012" i="2"/>
  <c r="AM1020" i="2"/>
  <c r="AM1028" i="2"/>
  <c r="AM1036" i="2"/>
  <c r="AM1044" i="2"/>
  <c r="AM1052" i="2"/>
  <c r="AM1060" i="2"/>
  <c r="AM1068" i="2"/>
  <c r="AM1076" i="2"/>
  <c r="AM1084" i="2"/>
  <c r="AM1092" i="2"/>
  <c r="AM1100" i="2"/>
  <c r="AM1108" i="2"/>
  <c r="AM1116" i="2"/>
  <c r="AM1124" i="2"/>
  <c r="AM1132" i="2"/>
  <c r="AM1140" i="2"/>
  <c r="AM1148" i="2"/>
  <c r="AM1156" i="2"/>
  <c r="AM1164" i="2"/>
  <c r="AM1172" i="2"/>
  <c r="AM1180" i="2"/>
  <c r="AM1188" i="2"/>
  <c r="AM1196" i="2"/>
  <c r="AM1204" i="2"/>
  <c r="AM1212" i="2"/>
  <c r="AM1220" i="2"/>
  <c r="AM1228" i="2"/>
  <c r="AM1236" i="2"/>
  <c r="AM1244" i="2"/>
  <c r="AM13" i="2"/>
  <c r="AM21" i="2"/>
  <c r="AM29" i="2"/>
  <c r="AM37" i="2"/>
  <c r="AM45" i="2"/>
  <c r="AM53" i="2"/>
  <c r="AM61" i="2"/>
  <c r="AM69" i="2"/>
  <c r="AM77" i="2"/>
  <c r="AM85" i="2"/>
  <c r="AM93" i="2"/>
  <c r="AM101" i="2"/>
  <c r="AM109" i="2"/>
  <c r="AM117" i="2"/>
  <c r="AM125" i="2"/>
  <c r="AM133" i="2"/>
  <c r="AM141" i="2"/>
  <c r="AM149" i="2"/>
  <c r="AM157" i="2"/>
  <c r="AM165" i="2"/>
  <c r="AM173" i="2"/>
  <c r="AM181" i="2"/>
  <c r="AM189" i="2"/>
  <c r="AM197" i="2"/>
  <c r="AM205" i="2"/>
  <c r="AM213" i="2"/>
  <c r="AM221" i="2"/>
  <c r="AM229" i="2"/>
  <c r="AM237" i="2"/>
  <c r="AM245" i="2"/>
  <c r="AM253" i="2"/>
  <c r="AM261" i="2"/>
  <c r="AM269" i="2"/>
  <c r="AM277" i="2"/>
  <c r="AM285" i="2"/>
  <c r="AM293" i="2"/>
  <c r="AM301" i="2"/>
  <c r="AM309" i="2"/>
  <c r="AM317" i="2"/>
  <c r="AM325" i="2"/>
  <c r="AM333" i="2"/>
  <c r="AM341" i="2"/>
  <c r="AM349" i="2"/>
  <c r="AM357" i="2"/>
  <c r="AM365" i="2"/>
  <c r="AM373" i="2"/>
  <c r="AM381" i="2"/>
  <c r="AM389" i="2"/>
  <c r="AM397" i="2"/>
  <c r="AM405" i="2"/>
  <c r="AM413" i="2"/>
  <c r="AM421" i="2"/>
  <c r="AM429" i="2"/>
  <c r="AM437" i="2"/>
  <c r="AM445" i="2"/>
  <c r="AM453" i="2"/>
  <c r="AM461" i="2"/>
  <c r="AM469" i="2"/>
  <c r="AM477" i="2"/>
  <c r="AM485" i="2"/>
  <c r="AM493" i="2"/>
  <c r="AM501" i="2"/>
  <c r="AM509" i="2"/>
  <c r="AM517" i="2"/>
  <c r="AM525" i="2"/>
  <c r="AM533" i="2"/>
  <c r="AM541" i="2"/>
  <c r="AM549" i="2"/>
  <c r="AM557" i="2"/>
  <c r="AM565" i="2"/>
  <c r="AM573" i="2"/>
  <c r="AM581" i="2"/>
  <c r="AM589" i="2"/>
  <c r="AM597" i="2"/>
  <c r="AM605" i="2"/>
  <c r="AM613" i="2"/>
  <c r="AM621" i="2"/>
  <c r="AM629" i="2"/>
  <c r="AM637" i="2"/>
  <c r="AM645" i="2"/>
  <c r="AM653" i="2"/>
  <c r="AM661" i="2"/>
  <c r="AM669" i="2"/>
  <c r="AM677" i="2"/>
  <c r="AM685" i="2"/>
  <c r="AM693" i="2"/>
  <c r="AM701" i="2"/>
  <c r="AM709" i="2"/>
  <c r="AM717" i="2"/>
  <c r="AM725" i="2"/>
  <c r="AM733" i="2"/>
  <c r="AM741" i="2"/>
  <c r="AM749" i="2"/>
  <c r="AM757" i="2"/>
  <c r="AM765" i="2"/>
  <c r="AM773" i="2"/>
  <c r="AM781" i="2"/>
  <c r="AM789" i="2"/>
  <c r="AM797" i="2"/>
  <c r="AM805" i="2"/>
  <c r="AM813" i="2"/>
  <c r="AM821" i="2"/>
  <c r="AM829" i="2"/>
  <c r="AM837" i="2"/>
  <c r="AM845" i="2"/>
  <c r="AM853" i="2"/>
  <c r="AM861" i="2"/>
  <c r="AM869" i="2"/>
  <c r="AM877" i="2"/>
  <c r="AM885" i="2"/>
  <c r="AM893" i="2"/>
  <c r="AM901" i="2"/>
  <c r="AM909" i="2"/>
  <c r="AM917" i="2"/>
  <c r="AM925" i="2"/>
  <c r="AM933" i="2"/>
  <c r="AM941" i="2"/>
  <c r="AM14" i="2"/>
  <c r="AM22" i="2"/>
  <c r="AM30" i="2"/>
  <c r="AM38" i="2"/>
  <c r="AM46" i="2"/>
  <c r="AM54" i="2"/>
  <c r="AM62" i="2"/>
  <c r="AM70" i="2"/>
  <c r="AM78" i="2"/>
  <c r="AM86" i="2"/>
  <c r="AM94" i="2"/>
  <c r="AM102" i="2"/>
  <c r="AM110" i="2"/>
  <c r="AM118" i="2"/>
  <c r="AM126" i="2"/>
  <c r="AM134" i="2"/>
  <c r="AM142" i="2"/>
  <c r="AM150" i="2"/>
  <c r="AM158" i="2"/>
  <c r="AM166" i="2"/>
  <c r="AM174" i="2"/>
  <c r="AM182" i="2"/>
  <c r="AM190" i="2"/>
  <c r="AM198" i="2"/>
  <c r="AM206" i="2"/>
  <c r="AM214" i="2"/>
  <c r="AM222" i="2"/>
  <c r="AM230" i="2"/>
  <c r="AM238" i="2"/>
  <c r="AM246" i="2"/>
  <c r="AM254" i="2"/>
  <c r="AM262" i="2"/>
  <c r="AM270" i="2"/>
  <c r="AM278" i="2"/>
  <c r="AM286" i="2"/>
  <c r="AM294" i="2"/>
  <c r="AM302" i="2"/>
  <c r="AM310" i="2"/>
  <c r="AM318" i="2"/>
  <c r="AM326" i="2"/>
  <c r="AM334" i="2"/>
  <c r="AM342" i="2"/>
  <c r="AM350" i="2"/>
  <c r="AM358" i="2"/>
  <c r="AM366" i="2"/>
  <c r="AM374" i="2"/>
  <c r="AM382" i="2"/>
  <c r="AM390" i="2"/>
  <c r="AM398" i="2"/>
  <c r="AM406" i="2"/>
  <c r="AM414" i="2"/>
  <c r="AM422" i="2"/>
  <c r="AM430" i="2"/>
  <c r="AM438" i="2"/>
  <c r="AM446" i="2"/>
  <c r="AM454" i="2"/>
  <c r="AM462" i="2"/>
  <c r="AM470" i="2"/>
  <c r="AM478" i="2"/>
  <c r="AM486" i="2"/>
  <c r="AM494" i="2"/>
  <c r="AM502" i="2"/>
  <c r="AM510" i="2"/>
  <c r="AM518" i="2"/>
  <c r="AM526" i="2"/>
  <c r="AM534" i="2"/>
  <c r="AM542" i="2"/>
  <c r="AM550" i="2"/>
  <c r="AM558" i="2"/>
  <c r="AM566" i="2"/>
  <c r="AM574" i="2"/>
  <c r="AM582" i="2"/>
  <c r="AM590" i="2"/>
  <c r="AM598" i="2"/>
  <c r="AM606" i="2"/>
  <c r="AM614" i="2"/>
  <c r="AM622" i="2"/>
  <c r="AM630" i="2"/>
  <c r="AM638" i="2"/>
  <c r="AM646" i="2"/>
  <c r="AM654" i="2"/>
  <c r="AM662" i="2"/>
  <c r="AM670" i="2"/>
  <c r="AM678" i="2"/>
  <c r="AM686" i="2"/>
  <c r="AM694" i="2"/>
  <c r="AM702" i="2"/>
  <c r="AM710" i="2"/>
  <c r="AM718" i="2"/>
  <c r="AM726" i="2"/>
  <c r="AM734" i="2"/>
  <c r="AM742" i="2"/>
  <c r="AM750" i="2"/>
  <c r="AM758" i="2"/>
  <c r="AM766" i="2"/>
  <c r="AM774" i="2"/>
  <c r="AM782" i="2"/>
  <c r="AM790" i="2"/>
  <c r="AM798" i="2"/>
  <c r="AM806" i="2"/>
  <c r="AM814" i="2"/>
  <c r="AM822" i="2"/>
  <c r="AM830" i="2"/>
  <c r="AM838" i="2"/>
  <c r="AM846" i="2"/>
  <c r="AM854" i="2"/>
  <c r="AM862" i="2"/>
  <c r="AM870" i="2"/>
  <c r="AM878" i="2"/>
  <c r="AM886" i="2"/>
  <c r="AM894" i="2"/>
  <c r="AM902" i="2"/>
  <c r="AM910" i="2"/>
  <c r="AM918" i="2"/>
  <c r="AM926" i="2"/>
  <c r="AM934" i="2"/>
  <c r="AM942" i="2"/>
  <c r="AM950" i="2"/>
  <c r="AM958" i="2"/>
  <c r="AM966" i="2"/>
  <c r="AM974" i="2"/>
  <c r="AM982" i="2"/>
  <c r="AM990" i="2"/>
  <c r="AM998" i="2"/>
  <c r="AM1006" i="2"/>
  <c r="AM1014" i="2"/>
  <c r="AM1022" i="2"/>
  <c r="AM1030" i="2"/>
  <c r="AM1038" i="2"/>
  <c r="AM1046" i="2"/>
  <c r="AM1054" i="2"/>
  <c r="AM1062" i="2"/>
  <c r="AM1070" i="2"/>
  <c r="AM1078" i="2"/>
  <c r="AM1086" i="2"/>
  <c r="AM1094" i="2"/>
  <c r="AM1102" i="2"/>
  <c r="AM1110" i="2"/>
  <c r="AM1118" i="2"/>
  <c r="AM1126" i="2"/>
  <c r="AM1134" i="2"/>
  <c r="AM1142" i="2"/>
  <c r="AM1150" i="2"/>
  <c r="AM1158" i="2"/>
  <c r="AM1166" i="2"/>
  <c r="AM1174" i="2"/>
  <c r="AM1182" i="2"/>
  <c r="AM1190" i="2"/>
  <c r="AM15" i="2"/>
  <c r="AM23" i="2"/>
  <c r="AM31" i="2"/>
  <c r="AM39" i="2"/>
  <c r="AM47" i="2"/>
  <c r="AM55" i="2"/>
  <c r="AM63" i="2"/>
  <c r="AM71" i="2"/>
  <c r="AM79" i="2"/>
  <c r="AM87" i="2"/>
  <c r="AM95" i="2"/>
  <c r="AM103" i="2"/>
  <c r="AM111" i="2"/>
  <c r="AM119" i="2"/>
  <c r="AM127" i="2"/>
  <c r="AM135" i="2"/>
  <c r="AM143" i="2"/>
  <c r="AM151" i="2"/>
  <c r="AM159" i="2"/>
  <c r="AM167" i="2"/>
  <c r="AM175" i="2"/>
  <c r="AM183" i="2"/>
  <c r="AM191" i="2"/>
  <c r="AM199" i="2"/>
  <c r="AM207" i="2"/>
  <c r="AM215" i="2"/>
  <c r="AM223" i="2"/>
  <c r="AM231" i="2"/>
  <c r="AM239" i="2"/>
  <c r="AM247" i="2"/>
  <c r="AM255" i="2"/>
  <c r="AM263" i="2"/>
  <c r="AM271" i="2"/>
  <c r="AM279" i="2"/>
  <c r="AM287" i="2"/>
  <c r="AM295" i="2"/>
  <c r="AM303" i="2"/>
  <c r="AM311" i="2"/>
  <c r="AM319" i="2"/>
  <c r="AM327" i="2"/>
  <c r="AM335" i="2"/>
  <c r="AM343" i="2"/>
  <c r="AM351" i="2"/>
  <c r="AM359" i="2"/>
  <c r="AM367" i="2"/>
  <c r="AM375" i="2"/>
  <c r="AM383" i="2"/>
  <c r="AM391" i="2"/>
  <c r="AM399" i="2"/>
  <c r="AM407" i="2"/>
  <c r="AM415" i="2"/>
  <c r="AM423" i="2"/>
  <c r="AM431" i="2"/>
  <c r="AM439" i="2"/>
  <c r="AM447" i="2"/>
  <c r="AM455" i="2"/>
  <c r="AM463" i="2"/>
  <c r="AM471" i="2"/>
  <c r="AM479" i="2"/>
  <c r="AM487" i="2"/>
  <c r="AM495" i="2"/>
  <c r="AM503" i="2"/>
  <c r="AM511" i="2"/>
  <c r="AM519" i="2"/>
  <c r="AM527" i="2"/>
  <c r="AM535" i="2"/>
  <c r="AM543" i="2"/>
  <c r="AM551" i="2"/>
  <c r="AM559" i="2"/>
  <c r="AM567" i="2"/>
  <c r="AM575" i="2"/>
  <c r="AM583" i="2"/>
  <c r="AM591" i="2"/>
  <c r="AM599" i="2"/>
  <c r="AM607" i="2"/>
  <c r="AM615" i="2"/>
  <c r="AM623" i="2"/>
  <c r="AM631" i="2"/>
  <c r="AM639" i="2"/>
  <c r="AM647" i="2"/>
  <c r="AM655" i="2"/>
  <c r="AM663" i="2"/>
  <c r="AM671" i="2"/>
  <c r="AM679" i="2"/>
  <c r="AM687" i="2"/>
  <c r="AM695" i="2"/>
  <c r="AM703" i="2"/>
  <c r="AM711" i="2"/>
  <c r="AM719" i="2"/>
  <c r="AM727" i="2"/>
  <c r="AM735" i="2"/>
  <c r="AM743" i="2"/>
  <c r="AM751" i="2"/>
  <c r="AM759" i="2"/>
  <c r="AM767" i="2"/>
  <c r="AM775" i="2"/>
  <c r="AM783" i="2"/>
  <c r="AM791" i="2"/>
  <c r="AM799" i="2"/>
  <c r="AM807" i="2"/>
  <c r="AM815" i="2"/>
  <c r="AM823" i="2"/>
  <c r="AM831" i="2"/>
  <c r="AM839" i="2"/>
  <c r="AM847" i="2"/>
  <c r="AM855" i="2"/>
  <c r="AM863" i="2"/>
  <c r="AM871" i="2"/>
  <c r="AM879" i="2"/>
  <c r="AM887" i="2"/>
  <c r="AM895" i="2"/>
  <c r="AM903" i="2"/>
  <c r="AM911" i="2"/>
  <c r="AM919" i="2"/>
  <c r="AM927" i="2"/>
  <c r="AM935" i="2"/>
  <c r="AM943" i="2"/>
  <c r="AM951" i="2"/>
  <c r="AM959" i="2"/>
  <c r="AM967" i="2"/>
  <c r="AM975" i="2"/>
  <c r="AM983" i="2"/>
  <c r="AM991" i="2"/>
  <c r="AM999" i="2"/>
  <c r="AM1007" i="2"/>
  <c r="AM1015" i="2"/>
  <c r="AM1023" i="2"/>
  <c r="AM1031" i="2"/>
  <c r="AM1039" i="2"/>
  <c r="AM1047" i="2"/>
  <c r="AM1055" i="2"/>
  <c r="AM1063" i="2"/>
  <c r="AM1071" i="2"/>
  <c r="AM1079" i="2"/>
  <c r="AM1087" i="2"/>
  <c r="AM1095" i="2"/>
  <c r="AM1103" i="2"/>
  <c r="AM1111" i="2"/>
  <c r="AM1119" i="2"/>
  <c r="AM1127" i="2"/>
  <c r="AM1135" i="2"/>
  <c r="AM1143" i="2"/>
  <c r="AM1151" i="2"/>
  <c r="AM1159" i="2"/>
  <c r="AM1167" i="2"/>
  <c r="AM1175" i="2"/>
  <c r="AM1183" i="2"/>
  <c r="AM1191" i="2"/>
  <c r="AM1199" i="2"/>
  <c r="AM1207" i="2"/>
  <c r="AM1215" i="2"/>
  <c r="AM1223" i="2"/>
  <c r="AM1231" i="2"/>
  <c r="AM1239" i="2"/>
  <c r="AM1247" i="2"/>
  <c r="AM16" i="2"/>
  <c r="AM24" i="2"/>
  <c r="AM32" i="2"/>
  <c r="AM40" i="2"/>
  <c r="AM48" i="2"/>
  <c r="AM56" i="2"/>
  <c r="AM64" i="2"/>
  <c r="AM72" i="2"/>
  <c r="AM80" i="2"/>
  <c r="AM88" i="2"/>
  <c r="AM96" i="2"/>
  <c r="AM104" i="2"/>
  <c r="AM112" i="2"/>
  <c r="AM120" i="2"/>
  <c r="AM128" i="2"/>
  <c r="AM136" i="2"/>
  <c r="AM144" i="2"/>
  <c r="AM152" i="2"/>
  <c r="AM160" i="2"/>
  <c r="AM168" i="2"/>
  <c r="AM176" i="2"/>
  <c r="AM184" i="2"/>
  <c r="AM192" i="2"/>
  <c r="AM200" i="2"/>
  <c r="AM208" i="2"/>
  <c r="AM216" i="2"/>
  <c r="AM224" i="2"/>
  <c r="AM232" i="2"/>
  <c r="AM240" i="2"/>
  <c r="AM248" i="2"/>
  <c r="AM256" i="2"/>
  <c r="AM264" i="2"/>
  <c r="AM272" i="2"/>
  <c r="AM280" i="2"/>
  <c r="AM288" i="2"/>
  <c r="AM296" i="2"/>
  <c r="AM304" i="2"/>
  <c r="AM312" i="2"/>
  <c r="AM320" i="2"/>
  <c r="AM328" i="2"/>
  <c r="AM336" i="2"/>
  <c r="AM344" i="2"/>
  <c r="AM352" i="2"/>
  <c r="AM360" i="2"/>
  <c r="AM368" i="2"/>
  <c r="AM376" i="2"/>
  <c r="AM384" i="2"/>
  <c r="AM392" i="2"/>
  <c r="AM400" i="2"/>
  <c r="AM408" i="2"/>
  <c r="AM416" i="2"/>
  <c r="AM424" i="2"/>
  <c r="AM432" i="2"/>
  <c r="AM440" i="2"/>
  <c r="AM448" i="2"/>
  <c r="AM456" i="2"/>
  <c r="AM464" i="2"/>
  <c r="AM472" i="2"/>
  <c r="AM480" i="2"/>
  <c r="AM488" i="2"/>
  <c r="AM1466" i="2"/>
  <c r="AM1458" i="2"/>
  <c r="AM1450" i="2"/>
  <c r="AM1442" i="2"/>
  <c r="AM1434" i="2"/>
  <c r="AM1426" i="2"/>
  <c r="AM1418" i="2"/>
  <c r="AM1410" i="2"/>
  <c r="AM1402" i="2"/>
  <c r="AM1394" i="2"/>
  <c r="AM1386" i="2"/>
  <c r="AM1378" i="2"/>
  <c r="AM1370" i="2"/>
  <c r="AM1362" i="2"/>
  <c r="AM1354" i="2"/>
  <c r="AM1346" i="2"/>
  <c r="AM1337" i="2"/>
  <c r="AM1328" i="2"/>
  <c r="AM1319" i="2"/>
  <c r="AM1310" i="2"/>
  <c r="AM1301" i="2"/>
  <c r="AM1292" i="2"/>
  <c r="AM1282" i="2"/>
  <c r="AM1273" i="2"/>
  <c r="AM1264" i="2"/>
  <c r="AM1255" i="2"/>
  <c r="AM1245" i="2"/>
  <c r="AM1232" i="2"/>
  <c r="AM1218" i="2"/>
  <c r="AM1206" i="2"/>
  <c r="AM1193" i="2"/>
  <c r="AM1173" i="2"/>
  <c r="AM1152" i="2"/>
  <c r="AM1129" i="2"/>
  <c r="AM1109" i="2"/>
  <c r="AM1088" i="2"/>
  <c r="AM1065" i="2"/>
  <c r="AM1045" i="2"/>
  <c r="AM1024" i="2"/>
  <c r="AM1001" i="2"/>
  <c r="AM981" i="2"/>
  <c r="AM960" i="2"/>
  <c r="AM936" i="2"/>
  <c r="AM904" i="2"/>
  <c r="AM872" i="2"/>
  <c r="AM840" i="2"/>
  <c r="AM808" i="2"/>
  <c r="AM776" i="2"/>
  <c r="AM744" i="2"/>
  <c r="AM712" i="2"/>
  <c r="AM680" i="2"/>
  <c r="AM648" i="2"/>
  <c r="AM616" i="2"/>
  <c r="AM584" i="2"/>
  <c r="AM552" i="2"/>
  <c r="AM520" i="2"/>
  <c r="AM481" i="2"/>
  <c r="AM417" i="2"/>
  <c r="AM353" i="2"/>
  <c r="AM289" i="2"/>
  <c r="AM225" i="2"/>
  <c r="AM1465" i="2"/>
  <c r="AM1457" i="2"/>
  <c r="AM1449" i="2"/>
  <c r="AM1441" i="2"/>
  <c r="AM1433" i="2"/>
  <c r="AM1425" i="2"/>
  <c r="AM1417" i="2"/>
  <c r="AM1409" i="2"/>
  <c r="AM1401" i="2"/>
  <c r="AM1393" i="2"/>
  <c r="AM1385" i="2"/>
  <c r="AM1377" i="2"/>
  <c r="AM1369" i="2"/>
  <c r="AM1361" i="2"/>
  <c r="AM1353" i="2"/>
  <c r="AM1345" i="2"/>
  <c r="AM1336" i="2"/>
  <c r="AM1327" i="2"/>
  <c r="AM1318" i="2"/>
  <c r="AM1309" i="2"/>
  <c r="AM1300" i="2"/>
  <c r="AM1290" i="2"/>
  <c r="AM1281" i="2"/>
  <c r="AM1272" i="2"/>
  <c r="AM1263" i="2"/>
  <c r="AM1254" i="2"/>
  <c r="AM1242" i="2"/>
  <c r="AM1230" i="2"/>
  <c r="AM1217" i="2"/>
  <c r="AM1205" i="2"/>
  <c r="AM1192" i="2"/>
  <c r="AM1169" i="2"/>
  <c r="AM1149" i="2"/>
  <c r="AM1128" i="2"/>
  <c r="AM1105" i="2"/>
  <c r="AM1085" i="2"/>
  <c r="AM1064" i="2"/>
  <c r="AM1041" i="2"/>
  <c r="AM1021" i="2"/>
  <c r="AM1000" i="2"/>
  <c r="AM977" i="2"/>
  <c r="AM957" i="2"/>
  <c r="AM929" i="2"/>
  <c r="AM897" i="2"/>
  <c r="AM865" i="2"/>
  <c r="AM833" i="2"/>
  <c r="AM801" i="2"/>
  <c r="AM769" i="2"/>
  <c r="AM737" i="2"/>
  <c r="AM705" i="2"/>
  <c r="AM673" i="2"/>
  <c r="AM641" i="2"/>
  <c r="AM609" i="2"/>
  <c r="AM577" i="2"/>
  <c r="AM545" i="2"/>
  <c r="AM513" i="2"/>
  <c r="AM473" i="2"/>
  <c r="AM409" i="2"/>
  <c r="AM345" i="2"/>
  <c r="AM281" i="2"/>
  <c r="AM217" i="2"/>
  <c r="AM1464" i="2"/>
  <c r="AM1456" i="2"/>
  <c r="AM1448" i="2"/>
  <c r="AM1440" i="2"/>
  <c r="AM1432" i="2"/>
  <c r="AM1424" i="2"/>
  <c r="AM1416" i="2"/>
  <c r="AM1408" i="2"/>
  <c r="AM1400" i="2"/>
  <c r="AM1392" i="2"/>
  <c r="AM1384" i="2"/>
  <c r="AM1376" i="2"/>
  <c r="AM1368" i="2"/>
  <c r="AM1360" i="2"/>
  <c r="AM1352" i="2"/>
  <c r="AM1344" i="2"/>
  <c r="AM1335" i="2"/>
  <c r="AM1326" i="2"/>
  <c r="AM1317" i="2"/>
  <c r="AM1308" i="2"/>
  <c r="AM1298" i="2"/>
  <c r="AM1289" i="2"/>
  <c r="AM1280" i="2"/>
  <c r="AM1271" i="2"/>
  <c r="AM1262" i="2"/>
  <c r="AM1253" i="2"/>
  <c r="AM1241" i="2"/>
  <c r="AM1229" i="2"/>
  <c r="AM1216" i="2"/>
  <c r="AM1202" i="2"/>
  <c r="AM1189" i="2"/>
  <c r="AM1168" i="2"/>
  <c r="AM1145" i="2"/>
  <c r="AM1125" i="2"/>
  <c r="AM1104" i="2"/>
  <c r="AM1081" i="2"/>
  <c r="AM1061" i="2"/>
  <c r="AM1040" i="2"/>
  <c r="AM1017" i="2"/>
  <c r="AM997" i="2"/>
  <c r="AM976" i="2"/>
  <c r="AM953" i="2"/>
  <c r="AM928" i="2"/>
  <c r="AM896" i="2"/>
  <c r="AM864" i="2"/>
  <c r="AM832" i="2"/>
  <c r="AM800" i="2"/>
  <c r="AM768" i="2"/>
  <c r="AM736" i="2"/>
  <c r="AM704" i="2"/>
  <c r="AM672" i="2"/>
  <c r="AM640" i="2"/>
  <c r="AM608" i="2"/>
  <c r="AM576" i="2"/>
  <c r="AM544" i="2"/>
  <c r="AM512" i="2"/>
  <c r="AM465" i="2"/>
  <c r="AM401" i="2"/>
  <c r="AM337" i="2"/>
  <c r="AM273" i="2"/>
  <c r="AM209" i="2"/>
  <c r="AM1471" i="2"/>
  <c r="AM1463" i="2"/>
  <c r="AM1455" i="2"/>
  <c r="AM1447" i="2"/>
  <c r="AM1439" i="2"/>
  <c r="AM1431" i="2"/>
  <c r="AM1423" i="2"/>
  <c r="AM1415" i="2"/>
  <c r="AM1407" i="2"/>
  <c r="AM1399" i="2"/>
  <c r="AM1391" i="2"/>
  <c r="AM1383" i="2"/>
  <c r="AM1375" i="2"/>
  <c r="AM1367" i="2"/>
  <c r="AM1359" i="2"/>
  <c r="AM1351" i="2"/>
  <c r="AM1343" i="2"/>
  <c r="AM1334" i="2"/>
  <c r="AM1325" i="2"/>
  <c r="AM1316" i="2"/>
  <c r="AM1306" i="2"/>
  <c r="AM1297" i="2"/>
  <c r="AM1288" i="2"/>
  <c r="AM1279" i="2"/>
  <c r="AM1270" i="2"/>
  <c r="AM1261" i="2"/>
  <c r="AM1252" i="2"/>
  <c r="AM1240" i="2"/>
  <c r="AM1226" i="2"/>
  <c r="AM1214" i="2"/>
  <c r="AM1201" i="2"/>
  <c r="AM1185" i="2"/>
  <c r="AM1165" i="2"/>
  <c r="AM1144" i="2"/>
  <c r="AM1121" i="2"/>
  <c r="AM1101" i="2"/>
  <c r="AM1080" i="2"/>
  <c r="AM1057" i="2"/>
  <c r="AM1037" i="2"/>
  <c r="AM1016" i="2"/>
  <c r="AM993" i="2"/>
  <c r="AM973" i="2"/>
  <c r="AM952" i="2"/>
  <c r="AM921" i="2"/>
  <c r="AM889" i="2"/>
  <c r="AM857" i="2"/>
  <c r="AM825" i="2"/>
  <c r="AM793" i="2"/>
  <c r="AM761" i="2"/>
  <c r="AM729" i="2"/>
  <c r="AM697" i="2"/>
  <c r="AM665" i="2"/>
  <c r="AM633" i="2"/>
  <c r="AM601" i="2"/>
  <c r="AM569" i="2"/>
  <c r="AM537" i="2"/>
  <c r="AM505" i="2"/>
  <c r="AM457" i="2"/>
  <c r="AM393" i="2"/>
  <c r="AM329" i="2"/>
  <c r="AM265" i="2"/>
  <c r="AM201" i="2"/>
  <c r="AM1470" i="2"/>
  <c r="AM1462" i="2"/>
  <c r="AM1454" i="2"/>
  <c r="AM1446" i="2"/>
  <c r="AM1438" i="2"/>
  <c r="AM1430" i="2"/>
  <c r="AM1422" i="2"/>
  <c r="AM1414" i="2"/>
  <c r="AM1406" i="2"/>
  <c r="AM1398" i="2"/>
  <c r="AM1390" i="2"/>
  <c r="AM1382" i="2"/>
  <c r="AM1374" i="2"/>
  <c r="AM1366" i="2"/>
  <c r="AM1358" i="2"/>
  <c r="AM1350" i="2"/>
  <c r="AM1342" i="2"/>
  <c r="AM1333" i="2"/>
  <c r="AM1324" i="2"/>
  <c r="AM1314" i="2"/>
  <c r="AM1305" i="2"/>
  <c r="AM1296" i="2"/>
  <c r="AM1287" i="2"/>
  <c r="AM1278" i="2"/>
  <c r="AM1269" i="2"/>
  <c r="AM1260" i="2"/>
  <c r="AM1250" i="2"/>
  <c r="AM1238" i="2"/>
  <c r="AM1225" i="2"/>
  <c r="AM1213" i="2"/>
  <c r="AM1200" i="2"/>
  <c r="AM1184" i="2"/>
  <c r="AM1161" i="2"/>
  <c r="AM1141" i="2"/>
  <c r="AM1120" i="2"/>
  <c r="AM1097" i="2"/>
  <c r="AM1077" i="2"/>
  <c r="AM1056" i="2"/>
  <c r="AM1033" i="2"/>
  <c r="AM1013" i="2"/>
  <c r="AM992" i="2"/>
  <c r="AM969" i="2"/>
  <c r="AM949" i="2"/>
  <c r="AM920" i="2"/>
  <c r="AM888" i="2"/>
  <c r="AM856" i="2"/>
  <c r="AM824" i="2"/>
  <c r="AM792" i="2"/>
  <c r="AM760" i="2"/>
  <c r="AM728" i="2"/>
  <c r="AM696" i="2"/>
  <c r="AM664" i="2"/>
  <c r="AM632" i="2"/>
  <c r="AM600" i="2"/>
  <c r="AM568" i="2"/>
  <c r="AM536" i="2"/>
  <c r="AM504" i="2"/>
  <c r="AM449" i="2"/>
  <c r="AM385" i="2"/>
  <c r="AM321" i="2"/>
  <c r="AM257" i="2"/>
  <c r="AM193" i="2"/>
  <c r="F3" i="3"/>
  <c r="G3" i="3" s="1"/>
  <c r="H3" i="3" s="1"/>
  <c r="B3" i="3" s="1"/>
  <c r="H4" i="3" l="1"/>
  <c r="B4" i="3" s="1"/>
  <c r="H5" i="3"/>
  <c r="B5" i="3" s="1"/>
  <c r="H6" i="3"/>
  <c r="B6" i="3" s="1"/>
  <c r="H2" i="3"/>
  <c r="B2" i="3" s="1"/>
  <c r="AO2" i="2" l="1"/>
  <c r="AP2" i="2" s="1"/>
  <c r="AQ2" i="2" s="1" a="1"/>
  <c r="AQ2" i="2" s="1"/>
  <c r="AO1461" i="2"/>
  <c r="AP1461" i="2" s="1"/>
  <c r="AQ1461" i="2" s="1" a="1"/>
  <c r="AQ1461" i="2" s="1"/>
  <c r="AO1053" i="2"/>
  <c r="AP1053" i="2" s="1"/>
  <c r="AQ1053" i="2" s="1" a="1"/>
  <c r="AQ1053" i="2" s="1"/>
  <c r="AO661" i="2"/>
  <c r="AP661" i="2" s="1"/>
  <c r="AQ661" i="2" s="1" a="1"/>
  <c r="AQ661" i="2" s="1"/>
  <c r="AO301" i="2"/>
  <c r="AP301" i="2" s="1"/>
  <c r="AQ301" i="2" s="1" a="1"/>
  <c r="AQ301" i="2" s="1"/>
  <c r="AO1429" i="2"/>
  <c r="AP1429" i="2" s="1"/>
  <c r="AQ1429" i="2" s="1" a="1"/>
  <c r="AQ1429" i="2" s="1"/>
  <c r="AO1069" i="2"/>
  <c r="AP1069" i="2" s="1"/>
  <c r="AQ1069" i="2" s="1" a="1"/>
  <c r="AQ1069" i="2" s="1"/>
  <c r="AO685" i="2"/>
  <c r="AP685" i="2" s="1"/>
  <c r="AQ685" i="2" s="1" a="1"/>
  <c r="AQ685" i="2" s="1"/>
  <c r="AO285" i="2"/>
  <c r="AP285" i="2" s="1"/>
  <c r="AQ285" i="2" s="1" a="1"/>
  <c r="AQ285" i="2" s="1"/>
  <c r="AO1389" i="2"/>
  <c r="AP1389" i="2" s="1"/>
  <c r="AQ1389" i="2" s="1" a="1"/>
  <c r="AQ1389" i="2" s="1"/>
  <c r="AO997" i="2"/>
  <c r="AP997" i="2" s="1"/>
  <c r="AQ997" i="2" s="1" a="1"/>
  <c r="AQ997" i="2" s="1"/>
  <c r="AO637" i="2"/>
  <c r="AP637" i="2" s="1"/>
  <c r="AQ637" i="2" s="1" a="1"/>
  <c r="AQ637" i="2" s="1"/>
  <c r="AO277" i="2"/>
  <c r="AP277" i="2" s="1"/>
  <c r="AQ277" i="2" s="1" a="1"/>
  <c r="AQ277" i="2" s="1"/>
  <c r="AO1349" i="2"/>
  <c r="AP1349" i="2" s="1"/>
  <c r="AQ1349" i="2" s="1" a="1"/>
  <c r="AQ1349" i="2" s="1"/>
  <c r="AO981" i="2"/>
  <c r="AP981" i="2" s="1"/>
  <c r="AQ981" i="2" s="1" a="1"/>
  <c r="AQ981" i="2" s="1"/>
  <c r="AO597" i="2"/>
  <c r="AP597" i="2" s="1"/>
  <c r="AQ597" i="2" s="1" a="1"/>
  <c r="AQ597" i="2" s="1"/>
  <c r="AO189" i="2"/>
  <c r="AP189" i="2" s="1"/>
  <c r="AQ189" i="2" s="1" a="1"/>
  <c r="AQ189" i="2" s="1"/>
  <c r="AO1432" i="2"/>
  <c r="AP1432" i="2" s="1"/>
  <c r="AQ1432" i="2" s="1" a="1"/>
  <c r="AQ1432" i="2" s="1"/>
  <c r="AO1368" i="2"/>
  <c r="AP1368" i="2" s="1"/>
  <c r="AQ1368" i="2" s="1" a="1"/>
  <c r="AQ1368" i="2" s="1"/>
  <c r="AO1101" i="2"/>
  <c r="AP1101" i="2" s="1"/>
  <c r="AQ1101" i="2" s="1" a="1"/>
  <c r="AQ1101" i="2" s="1"/>
  <c r="AO709" i="2"/>
  <c r="AP709" i="2" s="1"/>
  <c r="AQ709" i="2" s="1" a="1"/>
  <c r="AQ709" i="2" s="1"/>
  <c r="AO365" i="2"/>
  <c r="AP365" i="2" s="1"/>
  <c r="AQ365" i="2" s="1" a="1"/>
  <c r="AQ365" i="2" s="1"/>
  <c r="AO1421" i="2"/>
  <c r="AP1421" i="2" s="1"/>
  <c r="AQ1421" i="2" s="1" a="1"/>
  <c r="AQ1421" i="2" s="1"/>
  <c r="AO1037" i="2"/>
  <c r="AP1037" i="2" s="1"/>
  <c r="AQ1037" i="2" s="1" a="1"/>
  <c r="AQ1037" i="2" s="1"/>
  <c r="AO669" i="2"/>
  <c r="AP669" i="2" s="1"/>
  <c r="AQ669" i="2" s="1" a="1"/>
  <c r="AQ669" i="2" s="1"/>
  <c r="AO213" i="2"/>
  <c r="AP213" i="2" s="1"/>
  <c r="AQ213" i="2" s="1" a="1"/>
  <c r="AQ213" i="2" s="1"/>
  <c r="AO1336" i="2"/>
  <c r="AP1336" i="2" s="1"/>
  <c r="AQ1336" i="2" s="1" a="1"/>
  <c r="AQ1336" i="2" s="1"/>
  <c r="AO1272" i="2"/>
  <c r="AP1272" i="2" s="1"/>
  <c r="AQ1272" i="2" s="1" a="1"/>
  <c r="AQ1272" i="2" s="1"/>
  <c r="AO1208" i="2"/>
  <c r="AP1208" i="2" s="1"/>
  <c r="AQ1208" i="2" s="1" a="1"/>
  <c r="AQ1208" i="2" s="1"/>
  <c r="AO1144" i="2"/>
  <c r="AP1144" i="2" s="1"/>
  <c r="AQ1144" i="2" s="1" a="1"/>
  <c r="AQ1144" i="2" s="1"/>
  <c r="AO1080" i="2"/>
  <c r="AP1080" i="2" s="1"/>
  <c r="AQ1080" i="2" s="1" a="1"/>
  <c r="AQ1080" i="2" s="1"/>
  <c r="AO1016" i="2"/>
  <c r="AP1016" i="2" s="1"/>
  <c r="AQ1016" i="2" s="1" a="1"/>
  <c r="AQ1016" i="2" s="1"/>
  <c r="AO952" i="2"/>
  <c r="AP952" i="2" s="1"/>
  <c r="AQ952" i="2" s="1" a="1"/>
  <c r="AQ952" i="2" s="1"/>
  <c r="AO888" i="2"/>
  <c r="AP888" i="2" s="1"/>
  <c r="AQ888" i="2" s="1" a="1"/>
  <c r="AQ888" i="2" s="1"/>
  <c r="AO824" i="2"/>
  <c r="AP824" i="2" s="1"/>
  <c r="AQ824" i="2" s="1" a="1"/>
  <c r="AQ824" i="2" s="1"/>
  <c r="AO760" i="2"/>
  <c r="AP760" i="2" s="1"/>
  <c r="AQ760" i="2" s="1" a="1"/>
  <c r="AQ760" i="2" s="1"/>
  <c r="AO696" i="2"/>
  <c r="AP696" i="2" s="1"/>
  <c r="AQ696" i="2" s="1" a="1"/>
  <c r="AQ696" i="2" s="1"/>
  <c r="AO632" i="2"/>
  <c r="AP632" i="2" s="1"/>
  <c r="AQ632" i="2" s="1" a="1"/>
  <c r="AQ632" i="2" s="1"/>
  <c r="AO568" i="2"/>
  <c r="AP568" i="2" s="1"/>
  <c r="AQ568" i="2" s="1" a="1"/>
  <c r="AQ568" i="2" s="1"/>
  <c r="AO504" i="2"/>
  <c r="AP504" i="2" s="1"/>
  <c r="AQ504" i="2" s="1" a="1"/>
  <c r="AQ504" i="2" s="1"/>
  <c r="AO440" i="2"/>
  <c r="AP440" i="2" s="1"/>
  <c r="AQ440" i="2" s="1" a="1"/>
  <c r="AQ440" i="2" s="1"/>
  <c r="AO376" i="2"/>
  <c r="AP376" i="2" s="1"/>
  <c r="AQ376" i="2" s="1" a="1"/>
  <c r="AQ376" i="2" s="1"/>
  <c r="AO312" i="2"/>
  <c r="AP312" i="2" s="1"/>
  <c r="AQ312" i="2" s="1" a="1"/>
  <c r="AQ312" i="2" s="1"/>
  <c r="AO248" i="2"/>
  <c r="AP248" i="2" s="1"/>
  <c r="AQ248" i="2" s="1" a="1"/>
  <c r="AQ248" i="2" s="1"/>
  <c r="AO184" i="2"/>
  <c r="AP184" i="2" s="1"/>
  <c r="AQ184" i="2" s="1" a="1"/>
  <c r="AQ184" i="2" s="1"/>
  <c r="AO120" i="2"/>
  <c r="AP120" i="2" s="1"/>
  <c r="AQ120" i="2" s="1" a="1"/>
  <c r="AQ120" i="2" s="1"/>
  <c r="AO56" i="2"/>
  <c r="AP56" i="2" s="1"/>
  <c r="AQ56" i="2" s="1" a="1"/>
  <c r="AQ56" i="2" s="1"/>
  <c r="AO1463" i="2"/>
  <c r="AP1463" i="2" s="1"/>
  <c r="AQ1463" i="2" s="1" a="1"/>
  <c r="AQ1463" i="2" s="1"/>
  <c r="AO1399" i="2"/>
  <c r="AP1399" i="2" s="1"/>
  <c r="AQ1399" i="2" s="1" a="1"/>
  <c r="AQ1399" i="2" s="1"/>
  <c r="AO1335" i="2"/>
  <c r="AP1335" i="2" s="1"/>
  <c r="AQ1335" i="2" s="1" a="1"/>
  <c r="AQ1335" i="2" s="1"/>
  <c r="AO1271" i="2"/>
  <c r="AP1271" i="2" s="1"/>
  <c r="AQ1271" i="2" s="1" a="1"/>
  <c r="AQ1271" i="2" s="1"/>
  <c r="AO1207" i="2"/>
  <c r="AP1207" i="2" s="1"/>
  <c r="AQ1207" i="2" s="1" a="1"/>
  <c r="AQ1207" i="2" s="1"/>
  <c r="AO1143" i="2"/>
  <c r="AP1143" i="2" s="1"/>
  <c r="AQ1143" i="2" s="1" a="1"/>
  <c r="AQ1143" i="2" s="1"/>
  <c r="AO1079" i="2"/>
  <c r="AP1079" i="2" s="1"/>
  <c r="AQ1079" i="2" s="1" a="1"/>
  <c r="AQ1079" i="2" s="1"/>
  <c r="AO1015" i="2"/>
  <c r="AP1015" i="2" s="1"/>
  <c r="AQ1015" i="2" s="1" a="1"/>
  <c r="AQ1015" i="2" s="1"/>
  <c r="AO1446" i="2"/>
  <c r="AP1446" i="2" s="1"/>
  <c r="AQ1446" i="2" s="1" a="1"/>
  <c r="AQ1446" i="2" s="1"/>
  <c r="AO1382" i="2"/>
  <c r="AP1382" i="2" s="1"/>
  <c r="AQ1382" i="2" s="1" a="1"/>
  <c r="AQ1382" i="2" s="1"/>
  <c r="AO1428" i="2"/>
  <c r="AP1428" i="2" s="1"/>
  <c r="AQ1428" i="2" s="1" a="1"/>
  <c r="AQ1428" i="2" s="1"/>
  <c r="AO1364" i="2"/>
  <c r="AP1364" i="2" s="1"/>
  <c r="AQ1364" i="2" s="1" a="1"/>
  <c r="AQ1364" i="2" s="1"/>
  <c r="AO1300" i="2"/>
  <c r="AP1300" i="2" s="1"/>
  <c r="AQ1300" i="2" s="1" a="1"/>
  <c r="AQ1300" i="2" s="1"/>
  <c r="AO1236" i="2"/>
  <c r="AP1236" i="2" s="1"/>
  <c r="AQ1236" i="2" s="1" a="1"/>
  <c r="AQ1236" i="2" s="1"/>
  <c r="AO1172" i="2"/>
  <c r="AP1172" i="2" s="1"/>
  <c r="AQ1172" i="2" s="1" a="1"/>
  <c r="AQ1172" i="2" s="1"/>
  <c r="AO1108" i="2"/>
  <c r="AP1108" i="2" s="1"/>
  <c r="AQ1108" i="2" s="1" a="1"/>
  <c r="AQ1108" i="2" s="1"/>
  <c r="AO1044" i="2"/>
  <c r="AP1044" i="2" s="1"/>
  <c r="AQ1044" i="2" s="1" a="1"/>
  <c r="AQ1044" i="2" s="1"/>
  <c r="AO980" i="2"/>
  <c r="AP980" i="2" s="1"/>
  <c r="AQ980" i="2" s="1" a="1"/>
  <c r="AQ980" i="2" s="1"/>
  <c r="AO916" i="2"/>
  <c r="AP916" i="2" s="1"/>
  <c r="AQ916" i="2" s="1" a="1"/>
  <c r="AQ916" i="2" s="1"/>
  <c r="AO852" i="2"/>
  <c r="AP852" i="2" s="1"/>
  <c r="AQ852" i="2" s="1" a="1"/>
  <c r="AQ852" i="2" s="1"/>
  <c r="AO788" i="2"/>
  <c r="AP788" i="2" s="1"/>
  <c r="AQ788" i="2" s="1" a="1"/>
  <c r="AQ788" i="2" s="1"/>
  <c r="AO724" i="2"/>
  <c r="AP724" i="2" s="1"/>
  <c r="AQ724" i="2" s="1" a="1"/>
  <c r="AQ724" i="2" s="1"/>
  <c r="AO1451" i="2"/>
  <c r="AP1451" i="2" s="1"/>
  <c r="AQ1451" i="2" s="1" a="1"/>
  <c r="AQ1451" i="2" s="1"/>
  <c r="AO1387" i="2"/>
  <c r="AP1387" i="2" s="1"/>
  <c r="AQ1387" i="2" s="1" a="1"/>
  <c r="AQ1387" i="2" s="1"/>
  <c r="AO1323" i="2"/>
  <c r="AP1323" i="2" s="1"/>
  <c r="AQ1323" i="2" s="1" a="1"/>
  <c r="AQ1323" i="2" s="1"/>
  <c r="AO1259" i="2"/>
  <c r="AP1259" i="2" s="1"/>
  <c r="AQ1259" i="2" s="1" a="1"/>
  <c r="AQ1259" i="2" s="1"/>
  <c r="AO1195" i="2"/>
  <c r="AP1195" i="2" s="1"/>
  <c r="AQ1195" i="2" s="1" a="1"/>
  <c r="AQ1195" i="2" s="1"/>
  <c r="AO1131" i="2"/>
  <c r="AP1131" i="2" s="1"/>
  <c r="AQ1131" i="2" s="1" a="1"/>
  <c r="AQ1131" i="2" s="1"/>
  <c r="AO1067" i="2"/>
  <c r="AP1067" i="2" s="1"/>
  <c r="AQ1067" i="2" s="1" a="1"/>
  <c r="AQ1067" i="2" s="1"/>
  <c r="AO1003" i="2"/>
  <c r="AP1003" i="2" s="1"/>
  <c r="AQ1003" i="2" s="1" a="1"/>
  <c r="AQ1003" i="2" s="1"/>
  <c r="AO939" i="2"/>
  <c r="AP939" i="2" s="1"/>
  <c r="AQ939" i="2" s="1" a="1"/>
  <c r="AQ939" i="2" s="1"/>
  <c r="AO875" i="2"/>
  <c r="AP875" i="2" s="1"/>
  <c r="AQ875" i="2" s="1" a="1"/>
  <c r="AQ875" i="2" s="1"/>
  <c r="AO811" i="2"/>
  <c r="AP811" i="2" s="1"/>
  <c r="AQ811" i="2" s="1" a="1"/>
  <c r="AQ811" i="2" s="1"/>
  <c r="AO747" i="2"/>
  <c r="AP747" i="2" s="1"/>
  <c r="AQ747" i="2" s="1" a="1"/>
  <c r="AQ747" i="2" s="1"/>
  <c r="AO683" i="2"/>
  <c r="AP683" i="2" s="1"/>
  <c r="AQ683" i="2" s="1" a="1"/>
  <c r="AQ683" i="2" s="1"/>
  <c r="AO619" i="2"/>
  <c r="AP619" i="2" s="1"/>
  <c r="AQ619" i="2" s="1" a="1"/>
  <c r="AQ619" i="2" s="1"/>
  <c r="AO555" i="2"/>
  <c r="AP555" i="2" s="1"/>
  <c r="AQ555" i="2" s="1" a="1"/>
  <c r="AQ555" i="2" s="1"/>
  <c r="AO491" i="2"/>
  <c r="AP491" i="2" s="1"/>
  <c r="AQ491" i="2" s="1" a="1"/>
  <c r="AQ491" i="2" s="1"/>
  <c r="AO427" i="2"/>
  <c r="AP427" i="2" s="1"/>
  <c r="AQ427" i="2" s="1" a="1"/>
  <c r="AQ427" i="2" s="1"/>
  <c r="AO363" i="2"/>
  <c r="AP363" i="2" s="1"/>
  <c r="AQ363" i="2" s="1" a="1"/>
  <c r="AQ363" i="2" s="1"/>
  <c r="AO299" i="2"/>
  <c r="AP299" i="2" s="1"/>
  <c r="AQ299" i="2" s="1" a="1"/>
  <c r="AQ299" i="2" s="1"/>
  <c r="AO235" i="2"/>
  <c r="AP235" i="2" s="1"/>
  <c r="AQ235" i="2" s="1" a="1"/>
  <c r="AQ235" i="2" s="1"/>
  <c r="AO1466" i="2"/>
  <c r="AP1466" i="2" s="1"/>
  <c r="AQ1466" i="2" s="1" a="1"/>
  <c r="AQ1466" i="2" s="1"/>
  <c r="AO1402" i="2"/>
  <c r="AP1402" i="2" s="1"/>
  <c r="AQ1402" i="2" s="1" a="1"/>
  <c r="AQ1402" i="2" s="1"/>
  <c r="AO1338" i="2"/>
  <c r="AP1338" i="2" s="1"/>
  <c r="AQ1338" i="2" s="1" a="1"/>
  <c r="AQ1338" i="2" s="1"/>
  <c r="AO1274" i="2"/>
  <c r="AP1274" i="2" s="1"/>
  <c r="AQ1274" i="2" s="1" a="1"/>
  <c r="AQ1274" i="2" s="1"/>
  <c r="AO1210" i="2"/>
  <c r="AP1210" i="2" s="1"/>
  <c r="AQ1210" i="2" s="1" a="1"/>
  <c r="AQ1210" i="2" s="1"/>
  <c r="AO1146" i="2"/>
  <c r="AP1146" i="2" s="1"/>
  <c r="AQ1146" i="2" s="1" a="1"/>
  <c r="AQ1146" i="2" s="1"/>
  <c r="AO1082" i="2"/>
  <c r="AP1082" i="2" s="1"/>
  <c r="AQ1082" i="2" s="1" a="1"/>
  <c r="AQ1082" i="2" s="1"/>
  <c r="AO1409" i="2"/>
  <c r="AP1409" i="2" s="1"/>
  <c r="AQ1409" i="2" s="1" a="1"/>
  <c r="AQ1409" i="2" s="1"/>
  <c r="AO1345" i="2"/>
  <c r="AP1345" i="2" s="1"/>
  <c r="AQ1345" i="2" s="1" a="1"/>
  <c r="AQ1345" i="2" s="1"/>
  <c r="AO1281" i="2"/>
  <c r="AP1281" i="2" s="1"/>
  <c r="AQ1281" i="2" s="1" a="1"/>
  <c r="AQ1281" i="2" s="1"/>
  <c r="AO1217" i="2"/>
  <c r="AP1217" i="2" s="1"/>
  <c r="AQ1217" i="2" s="1" a="1"/>
  <c r="AQ1217" i="2" s="1"/>
  <c r="AO1153" i="2"/>
  <c r="AP1153" i="2" s="1"/>
  <c r="AQ1153" i="2" s="1" a="1"/>
  <c r="AQ1153" i="2" s="1"/>
  <c r="AO641" i="2"/>
  <c r="AP641" i="2" s="1"/>
  <c r="AQ641" i="2" s="1" a="1"/>
  <c r="AQ641" i="2" s="1"/>
  <c r="AO129" i="2"/>
  <c r="AP129" i="2" s="1"/>
  <c r="AQ129" i="2" s="1" a="1"/>
  <c r="AQ129" i="2" s="1"/>
  <c r="AO1310" i="2"/>
  <c r="AP1310" i="2" s="1"/>
  <c r="AQ1310" i="2" s="1" a="1"/>
  <c r="AQ1310" i="2" s="1"/>
  <c r="AO1246" i="2"/>
  <c r="AP1246" i="2" s="1"/>
  <c r="AQ1246" i="2" s="1" a="1"/>
  <c r="AQ1246" i="2" s="1"/>
  <c r="AO1182" i="2"/>
  <c r="AP1182" i="2" s="1"/>
  <c r="AQ1182" i="2" s="1" a="1"/>
  <c r="AQ1182" i="2" s="1"/>
  <c r="AO1118" i="2"/>
  <c r="AP1118" i="2" s="1"/>
  <c r="AQ1118" i="2" s="1" a="1"/>
  <c r="AQ1118" i="2" s="1"/>
  <c r="AO1054" i="2"/>
  <c r="AP1054" i="2" s="1"/>
  <c r="AQ1054" i="2" s="1" a="1"/>
  <c r="AQ1054" i="2" s="1"/>
  <c r="AO990" i="2"/>
  <c r="AP990" i="2" s="1"/>
  <c r="AQ990" i="2" s="1" a="1"/>
  <c r="AQ990" i="2" s="1"/>
  <c r="AO926" i="2"/>
  <c r="AP926" i="2" s="1"/>
  <c r="AQ926" i="2" s="1" a="1"/>
  <c r="AQ926" i="2" s="1"/>
  <c r="AO862" i="2"/>
  <c r="AP862" i="2" s="1"/>
  <c r="AQ862" i="2" s="1" a="1"/>
  <c r="AQ862" i="2" s="1"/>
  <c r="AO1405" i="2"/>
  <c r="AP1405" i="2" s="1"/>
  <c r="AQ1405" i="2" s="1" a="1"/>
  <c r="AQ1405" i="2" s="1"/>
  <c r="AO1013" i="2"/>
  <c r="AP1013" i="2" s="1"/>
  <c r="AQ1013" i="2" s="1" a="1"/>
  <c r="AQ1013" i="2" s="1"/>
  <c r="AO621" i="2"/>
  <c r="AP621" i="2" s="1"/>
  <c r="AQ621" i="2" s="1" a="1"/>
  <c r="AQ621" i="2" s="1"/>
  <c r="AO245" i="2"/>
  <c r="AP245" i="2" s="1"/>
  <c r="AQ245" i="2" s="1" a="1"/>
  <c r="AQ245" i="2" s="1"/>
  <c r="AO1381" i="2"/>
  <c r="AP1381" i="2" s="1"/>
  <c r="AQ1381" i="2" s="1" a="1"/>
  <c r="AQ1381" i="2" s="1"/>
  <c r="AO1021" i="2"/>
  <c r="AP1021" i="2" s="1"/>
  <c r="AQ1021" i="2" s="1" a="1"/>
  <c r="AQ1021" i="2" s="1"/>
  <c r="AO629" i="2"/>
  <c r="AP629" i="2" s="1"/>
  <c r="AQ629" i="2" s="1" a="1"/>
  <c r="AQ629" i="2" s="1"/>
  <c r="AO253" i="2"/>
  <c r="AP253" i="2" s="1"/>
  <c r="AQ253" i="2" s="1" a="1"/>
  <c r="AQ253" i="2" s="1"/>
  <c r="AO1341" i="2"/>
  <c r="AP1341" i="2" s="1"/>
  <c r="AQ1341" i="2" s="1" a="1"/>
  <c r="AQ1341" i="2" s="1"/>
  <c r="AO949" i="2"/>
  <c r="AP949" i="2" s="1"/>
  <c r="AQ949" i="2" s="1" a="1"/>
  <c r="AQ949" i="2" s="1"/>
  <c r="AO589" i="2"/>
  <c r="AP589" i="2" s="1"/>
  <c r="AQ589" i="2" s="1" a="1"/>
  <c r="AQ589" i="2" s="1"/>
  <c r="AO229" i="2"/>
  <c r="AP229" i="2" s="1"/>
  <c r="AQ229" i="2" s="1" a="1"/>
  <c r="AQ229" i="2" s="1"/>
  <c r="AO1301" i="2"/>
  <c r="AP1301" i="2" s="1"/>
  <c r="AQ1301" i="2" s="1" a="1"/>
  <c r="AQ1301" i="2" s="1"/>
  <c r="AO941" i="2"/>
  <c r="AP941" i="2" s="1"/>
  <c r="AQ941" i="2" s="1" a="1"/>
  <c r="AQ941" i="2" s="1"/>
  <c r="AO549" i="2"/>
  <c r="AP549" i="2" s="1"/>
  <c r="AQ549" i="2" s="1" a="1"/>
  <c r="AQ549" i="2" s="1"/>
  <c r="AO141" i="2"/>
  <c r="AP141" i="2" s="1"/>
  <c r="AQ141" i="2" s="1" a="1"/>
  <c r="AQ141" i="2" s="1"/>
  <c r="AO1424" i="2"/>
  <c r="AP1424" i="2" s="1"/>
  <c r="AQ1424" i="2" s="1" a="1"/>
  <c r="AQ1424" i="2" s="1"/>
  <c r="AO1453" i="2"/>
  <c r="AP1453" i="2" s="1"/>
  <c r="AQ1453" i="2" s="1" a="1"/>
  <c r="AQ1453" i="2" s="1"/>
  <c r="AO1061" i="2"/>
  <c r="AP1061" i="2" s="1"/>
  <c r="AQ1061" i="2" s="1" a="1"/>
  <c r="AQ1061" i="2" s="1"/>
  <c r="AO653" i="2"/>
  <c r="AP653" i="2" s="1"/>
  <c r="AQ653" i="2" s="1" a="1"/>
  <c r="AQ653" i="2" s="1"/>
  <c r="AO317" i="2"/>
  <c r="AP317" i="2" s="1"/>
  <c r="AQ317" i="2" s="1" a="1"/>
  <c r="AQ317" i="2" s="1"/>
  <c r="AO1373" i="2"/>
  <c r="AP1373" i="2" s="1"/>
  <c r="AQ1373" i="2" s="1" a="1"/>
  <c r="AQ1373" i="2" s="1"/>
  <c r="AO989" i="2"/>
  <c r="AP989" i="2" s="1"/>
  <c r="AQ989" i="2" s="1" a="1"/>
  <c r="AQ989" i="2" s="1"/>
  <c r="AO613" i="2"/>
  <c r="AP613" i="2" s="1"/>
  <c r="AQ613" i="2" s="1" a="1"/>
  <c r="AQ613" i="2" s="1"/>
  <c r="AO165" i="2"/>
  <c r="AP165" i="2" s="1"/>
  <c r="AQ165" i="2" s="1" a="1"/>
  <c r="AQ165" i="2" s="1"/>
  <c r="AO1328" i="2"/>
  <c r="AP1328" i="2" s="1"/>
  <c r="AQ1328" i="2" s="1" a="1"/>
  <c r="AQ1328" i="2" s="1"/>
  <c r="AO1264" i="2"/>
  <c r="AP1264" i="2" s="1"/>
  <c r="AQ1264" i="2" s="1" a="1"/>
  <c r="AQ1264" i="2" s="1"/>
  <c r="AO1200" i="2"/>
  <c r="AP1200" i="2" s="1"/>
  <c r="AQ1200" i="2" s="1" a="1"/>
  <c r="AQ1200" i="2" s="1"/>
  <c r="AO1136" i="2"/>
  <c r="AP1136" i="2" s="1"/>
  <c r="AQ1136" i="2" s="1" a="1"/>
  <c r="AQ1136" i="2" s="1"/>
  <c r="AO1072" i="2"/>
  <c r="AP1072" i="2" s="1"/>
  <c r="AQ1072" i="2" s="1" a="1"/>
  <c r="AQ1072" i="2" s="1"/>
  <c r="AO1008" i="2"/>
  <c r="AP1008" i="2" s="1"/>
  <c r="AQ1008" i="2" s="1" a="1"/>
  <c r="AQ1008" i="2" s="1"/>
  <c r="AO944" i="2"/>
  <c r="AP944" i="2" s="1"/>
  <c r="AQ944" i="2" s="1" a="1"/>
  <c r="AQ944" i="2" s="1"/>
  <c r="AO880" i="2"/>
  <c r="AP880" i="2" s="1"/>
  <c r="AQ880" i="2" s="1" a="1"/>
  <c r="AQ880" i="2" s="1"/>
  <c r="AO816" i="2"/>
  <c r="AP816" i="2" s="1"/>
  <c r="AQ816" i="2" s="1" a="1"/>
  <c r="AQ816" i="2" s="1"/>
  <c r="AO752" i="2"/>
  <c r="AP752" i="2" s="1"/>
  <c r="AQ752" i="2" s="1" a="1"/>
  <c r="AQ752" i="2" s="1"/>
  <c r="AO688" i="2"/>
  <c r="AP688" i="2" s="1"/>
  <c r="AQ688" i="2" s="1" a="1"/>
  <c r="AQ688" i="2" s="1"/>
  <c r="AO624" i="2"/>
  <c r="AP624" i="2" s="1"/>
  <c r="AQ624" i="2" s="1" a="1"/>
  <c r="AQ624" i="2" s="1"/>
  <c r="AO560" i="2"/>
  <c r="AP560" i="2" s="1"/>
  <c r="AQ560" i="2" s="1" a="1"/>
  <c r="AQ560" i="2" s="1"/>
  <c r="AO496" i="2"/>
  <c r="AP496" i="2" s="1"/>
  <c r="AQ496" i="2" s="1" a="1"/>
  <c r="AQ496" i="2" s="1"/>
  <c r="AO432" i="2"/>
  <c r="AP432" i="2" s="1"/>
  <c r="AQ432" i="2" s="1" a="1"/>
  <c r="AQ432" i="2" s="1"/>
  <c r="AO368" i="2"/>
  <c r="AP368" i="2" s="1"/>
  <c r="AQ368" i="2" s="1" a="1"/>
  <c r="AQ368" i="2" s="1"/>
  <c r="AO304" i="2"/>
  <c r="AP304" i="2" s="1"/>
  <c r="AQ304" i="2" s="1" a="1"/>
  <c r="AQ304" i="2" s="1"/>
  <c r="AO240" i="2"/>
  <c r="AP240" i="2" s="1"/>
  <c r="AQ240" i="2" s="1" a="1"/>
  <c r="AQ240" i="2" s="1"/>
  <c r="AO176" i="2"/>
  <c r="AP176" i="2" s="1"/>
  <c r="AQ176" i="2" s="1" a="1"/>
  <c r="AQ176" i="2" s="1"/>
  <c r="AO112" i="2"/>
  <c r="AP112" i="2" s="1"/>
  <c r="AQ112" i="2" s="1" a="1"/>
  <c r="AQ112" i="2" s="1"/>
  <c r="AO48" i="2"/>
  <c r="AP48" i="2" s="1"/>
  <c r="AQ48" i="2" s="1" a="1"/>
  <c r="AQ48" i="2" s="1"/>
  <c r="AO1455" i="2"/>
  <c r="AP1455" i="2" s="1"/>
  <c r="AQ1455" i="2" s="1" a="1"/>
  <c r="AQ1455" i="2" s="1"/>
  <c r="AO1391" i="2"/>
  <c r="AP1391" i="2" s="1"/>
  <c r="AQ1391" i="2" s="1" a="1"/>
  <c r="AQ1391" i="2" s="1"/>
  <c r="AO1327" i="2"/>
  <c r="AP1327" i="2" s="1"/>
  <c r="AQ1327" i="2" s="1" a="1"/>
  <c r="AQ1327" i="2" s="1"/>
  <c r="AO1263" i="2"/>
  <c r="AP1263" i="2" s="1"/>
  <c r="AQ1263" i="2" s="1" a="1"/>
  <c r="AQ1263" i="2" s="1"/>
  <c r="AO1199" i="2"/>
  <c r="AP1199" i="2" s="1"/>
  <c r="AQ1199" i="2" s="1" a="1"/>
  <c r="AQ1199" i="2" s="1"/>
  <c r="AO1135" i="2"/>
  <c r="AP1135" i="2" s="1"/>
  <c r="AQ1135" i="2" s="1" a="1"/>
  <c r="AQ1135" i="2" s="1"/>
  <c r="AO1071" i="2"/>
  <c r="AP1071" i="2" s="1"/>
  <c r="AQ1071" i="2" s="1" a="1"/>
  <c r="AQ1071" i="2" s="1"/>
  <c r="AO1007" i="2"/>
  <c r="AP1007" i="2" s="1"/>
  <c r="AQ1007" i="2" s="1" a="1"/>
  <c r="AQ1007" i="2" s="1"/>
  <c r="AO1438" i="2"/>
  <c r="AP1438" i="2" s="1"/>
  <c r="AQ1438" i="2" s="1" a="1"/>
  <c r="AQ1438" i="2" s="1"/>
  <c r="AO1374" i="2"/>
  <c r="AP1374" i="2" s="1"/>
  <c r="AQ1374" i="2" s="1" a="1"/>
  <c r="AQ1374" i="2" s="1"/>
  <c r="AO1420" i="2"/>
  <c r="AP1420" i="2" s="1"/>
  <c r="AQ1420" i="2" s="1" a="1"/>
  <c r="AQ1420" i="2" s="1"/>
  <c r="AO1356" i="2"/>
  <c r="AP1356" i="2" s="1"/>
  <c r="AQ1356" i="2" s="1" a="1"/>
  <c r="AQ1356" i="2" s="1"/>
  <c r="AO1292" i="2"/>
  <c r="AP1292" i="2" s="1"/>
  <c r="AQ1292" i="2" s="1" a="1"/>
  <c r="AQ1292" i="2" s="1"/>
  <c r="AO1228" i="2"/>
  <c r="AP1228" i="2" s="1"/>
  <c r="AQ1228" i="2" s="1" a="1"/>
  <c r="AQ1228" i="2" s="1"/>
  <c r="AO1164" i="2"/>
  <c r="AP1164" i="2" s="1"/>
  <c r="AQ1164" i="2" s="1" a="1"/>
  <c r="AQ1164" i="2" s="1"/>
  <c r="AO1100" i="2"/>
  <c r="AP1100" i="2" s="1"/>
  <c r="AQ1100" i="2" s="1" a="1"/>
  <c r="AQ1100" i="2" s="1"/>
  <c r="AO1036" i="2"/>
  <c r="AP1036" i="2" s="1"/>
  <c r="AQ1036" i="2" s="1" a="1"/>
  <c r="AQ1036" i="2" s="1"/>
  <c r="AO972" i="2"/>
  <c r="AP972" i="2" s="1"/>
  <c r="AQ972" i="2" s="1" a="1"/>
  <c r="AQ972" i="2" s="1"/>
  <c r="AO908" i="2"/>
  <c r="AP908" i="2" s="1"/>
  <c r="AQ908" i="2" s="1" a="1"/>
  <c r="AQ908" i="2" s="1"/>
  <c r="AO844" i="2"/>
  <c r="AP844" i="2" s="1"/>
  <c r="AQ844" i="2" s="1" a="1"/>
  <c r="AQ844" i="2" s="1"/>
  <c r="AO780" i="2"/>
  <c r="AP780" i="2" s="1"/>
  <c r="AQ780" i="2" s="1" a="1"/>
  <c r="AQ780" i="2" s="1"/>
  <c r="AO716" i="2"/>
  <c r="AP716" i="2" s="1"/>
  <c r="AQ716" i="2" s="1" a="1"/>
  <c r="AQ716" i="2" s="1"/>
  <c r="AO1443" i="2"/>
  <c r="AP1443" i="2" s="1"/>
  <c r="AQ1443" i="2" s="1" a="1"/>
  <c r="AQ1443" i="2" s="1"/>
  <c r="AO1379" i="2"/>
  <c r="AP1379" i="2" s="1"/>
  <c r="AQ1379" i="2" s="1" a="1"/>
  <c r="AQ1379" i="2" s="1"/>
  <c r="AO1315" i="2"/>
  <c r="AP1315" i="2" s="1"/>
  <c r="AQ1315" i="2" s="1" a="1"/>
  <c r="AQ1315" i="2" s="1"/>
  <c r="AO1251" i="2"/>
  <c r="AP1251" i="2" s="1"/>
  <c r="AQ1251" i="2" s="1" a="1"/>
  <c r="AQ1251" i="2" s="1"/>
  <c r="AO1187" i="2"/>
  <c r="AP1187" i="2" s="1"/>
  <c r="AQ1187" i="2" s="1" a="1"/>
  <c r="AQ1187" i="2" s="1"/>
  <c r="AO1123" i="2"/>
  <c r="AP1123" i="2" s="1"/>
  <c r="AQ1123" i="2" s="1" a="1"/>
  <c r="AQ1123" i="2" s="1"/>
  <c r="AO1059" i="2"/>
  <c r="AP1059" i="2" s="1"/>
  <c r="AQ1059" i="2" s="1" a="1"/>
  <c r="AQ1059" i="2" s="1"/>
  <c r="AO995" i="2"/>
  <c r="AP995" i="2" s="1"/>
  <c r="AQ995" i="2" s="1" a="1"/>
  <c r="AQ995" i="2" s="1"/>
  <c r="AO931" i="2"/>
  <c r="AP931" i="2" s="1"/>
  <c r="AQ931" i="2" s="1" a="1"/>
  <c r="AQ931" i="2" s="1"/>
  <c r="AO867" i="2"/>
  <c r="AP867" i="2" s="1"/>
  <c r="AQ867" i="2" s="1" a="1"/>
  <c r="AQ867" i="2" s="1"/>
  <c r="AO803" i="2"/>
  <c r="AP803" i="2" s="1"/>
  <c r="AQ803" i="2" s="1" a="1"/>
  <c r="AQ803" i="2" s="1"/>
  <c r="AO739" i="2"/>
  <c r="AP739" i="2" s="1"/>
  <c r="AQ739" i="2" s="1" a="1"/>
  <c r="AQ739" i="2" s="1"/>
  <c r="AO675" i="2"/>
  <c r="AP675" i="2" s="1"/>
  <c r="AQ675" i="2" s="1" a="1"/>
  <c r="AQ675" i="2" s="1"/>
  <c r="AO611" i="2"/>
  <c r="AP611" i="2" s="1"/>
  <c r="AQ611" i="2" s="1" a="1"/>
  <c r="AQ611" i="2" s="1"/>
  <c r="AO547" i="2"/>
  <c r="AP547" i="2" s="1"/>
  <c r="AQ547" i="2" s="1" a="1"/>
  <c r="AQ547" i="2" s="1"/>
  <c r="AO483" i="2"/>
  <c r="AP483" i="2" s="1"/>
  <c r="AQ483" i="2" s="1" a="1"/>
  <c r="AQ483" i="2" s="1"/>
  <c r="AO419" i="2"/>
  <c r="AP419" i="2" s="1"/>
  <c r="AQ419" i="2" s="1" a="1"/>
  <c r="AQ419" i="2" s="1"/>
  <c r="AO355" i="2"/>
  <c r="AP355" i="2" s="1"/>
  <c r="AQ355" i="2" s="1" a="1"/>
  <c r="AQ355" i="2" s="1"/>
  <c r="AO291" i="2"/>
  <c r="AP291" i="2" s="1"/>
  <c r="AQ291" i="2" s="1" a="1"/>
  <c r="AQ291" i="2" s="1"/>
  <c r="AO227" i="2"/>
  <c r="AP227" i="2" s="1"/>
  <c r="AQ227" i="2" s="1" a="1"/>
  <c r="AQ227" i="2" s="1"/>
  <c r="AO1458" i="2"/>
  <c r="AP1458" i="2" s="1"/>
  <c r="AQ1458" i="2" s="1" a="1"/>
  <c r="AQ1458" i="2" s="1"/>
  <c r="AO1394" i="2"/>
  <c r="AP1394" i="2" s="1"/>
  <c r="AQ1394" i="2" s="1" a="1"/>
  <c r="AQ1394" i="2" s="1"/>
  <c r="AO1330" i="2"/>
  <c r="AP1330" i="2" s="1"/>
  <c r="AQ1330" i="2" s="1" a="1"/>
  <c r="AQ1330" i="2" s="1"/>
  <c r="AO1266" i="2"/>
  <c r="AP1266" i="2" s="1"/>
  <c r="AQ1266" i="2" s="1" a="1"/>
  <c r="AQ1266" i="2" s="1"/>
  <c r="AO1202" i="2"/>
  <c r="AP1202" i="2" s="1"/>
  <c r="AQ1202" i="2" s="1" a="1"/>
  <c r="AQ1202" i="2" s="1"/>
  <c r="AO1138" i="2"/>
  <c r="AP1138" i="2" s="1"/>
  <c r="AQ1138" i="2" s="1" a="1"/>
  <c r="AQ1138" i="2" s="1"/>
  <c r="AO1465" i="2"/>
  <c r="AP1465" i="2" s="1"/>
  <c r="AQ1465" i="2" s="1" a="1"/>
  <c r="AQ1465" i="2" s="1"/>
  <c r="AO1401" i="2"/>
  <c r="AP1401" i="2" s="1"/>
  <c r="AQ1401" i="2" s="1" a="1"/>
  <c r="AQ1401" i="2" s="1"/>
  <c r="AO1337" i="2"/>
  <c r="AP1337" i="2" s="1"/>
  <c r="AQ1337" i="2" s="1" a="1"/>
  <c r="AQ1337" i="2" s="1"/>
  <c r="AO1273" i="2"/>
  <c r="AP1273" i="2" s="1"/>
  <c r="AQ1273" i="2" s="1" a="1"/>
  <c r="AQ1273" i="2" s="1"/>
  <c r="AO1209" i="2"/>
  <c r="AP1209" i="2" s="1"/>
  <c r="AQ1209" i="2" s="1" a="1"/>
  <c r="AQ1209" i="2" s="1"/>
  <c r="AO1145" i="2"/>
  <c r="AP1145" i="2" s="1"/>
  <c r="AQ1145" i="2" s="1" a="1"/>
  <c r="AQ1145" i="2" s="1"/>
  <c r="AO577" i="2"/>
  <c r="AP577" i="2" s="1"/>
  <c r="AQ577" i="2" s="1" a="1"/>
  <c r="AQ577" i="2" s="1"/>
  <c r="AO65" i="2"/>
  <c r="AP65" i="2" s="1"/>
  <c r="AQ65" i="2" s="1" a="1"/>
  <c r="AQ65" i="2" s="1"/>
  <c r="AO1302" i="2"/>
  <c r="AP1302" i="2" s="1"/>
  <c r="AQ1302" i="2" s="1" a="1"/>
  <c r="AQ1302" i="2" s="1"/>
  <c r="AO1238" i="2"/>
  <c r="AP1238" i="2" s="1"/>
  <c r="AQ1238" i="2" s="1" a="1"/>
  <c r="AQ1238" i="2" s="1"/>
  <c r="AO1174" i="2"/>
  <c r="AP1174" i="2" s="1"/>
  <c r="AQ1174" i="2" s="1" a="1"/>
  <c r="AQ1174" i="2" s="1"/>
  <c r="AO1110" i="2"/>
  <c r="AP1110" i="2" s="1"/>
  <c r="AQ1110" i="2" s="1" a="1"/>
  <c r="AQ1110" i="2" s="1"/>
  <c r="AO1046" i="2"/>
  <c r="AP1046" i="2" s="1"/>
  <c r="AQ1046" i="2" s="1" a="1"/>
  <c r="AQ1046" i="2" s="1"/>
  <c r="AO982" i="2"/>
  <c r="AP982" i="2" s="1"/>
  <c r="AQ982" i="2" s="1" a="1"/>
  <c r="AQ982" i="2" s="1"/>
  <c r="AO918" i="2"/>
  <c r="AP918" i="2" s="1"/>
  <c r="AQ918" i="2" s="1" a="1"/>
  <c r="AQ918" i="2" s="1"/>
  <c r="AO854" i="2"/>
  <c r="AP854" i="2" s="1"/>
  <c r="AQ854" i="2" s="1" a="1"/>
  <c r="AQ854" i="2" s="1"/>
  <c r="AO790" i="2"/>
  <c r="AP790" i="2" s="1"/>
  <c r="AQ790" i="2" s="1" a="1"/>
  <c r="AQ790" i="2" s="1"/>
  <c r="AO726" i="2"/>
  <c r="AP726" i="2" s="1"/>
  <c r="AQ726" i="2" s="1" a="1"/>
  <c r="AQ726" i="2" s="1"/>
  <c r="AO662" i="2"/>
  <c r="AP662" i="2" s="1"/>
  <c r="AQ662" i="2" s="1" a="1"/>
  <c r="AQ662" i="2" s="1"/>
  <c r="AO598" i="2"/>
  <c r="AP598" i="2" s="1"/>
  <c r="AQ598" i="2" s="1" a="1"/>
  <c r="AQ598" i="2" s="1"/>
  <c r="AO534" i="2"/>
  <c r="AP534" i="2" s="1"/>
  <c r="AQ534" i="2" s="1" a="1"/>
  <c r="AQ534" i="2" s="1"/>
  <c r="AO470" i="2"/>
  <c r="AP470" i="2" s="1"/>
  <c r="AQ470" i="2" s="1" a="1"/>
  <c r="AQ470" i="2" s="1"/>
  <c r="AO406" i="2"/>
  <c r="AP406" i="2" s="1"/>
  <c r="AQ406" i="2" s="1" a="1"/>
  <c r="AQ406" i="2" s="1"/>
  <c r="AO342" i="2"/>
  <c r="AP342" i="2" s="1"/>
  <c r="AQ342" i="2" s="1" a="1"/>
  <c r="AQ342" i="2" s="1"/>
  <c r="AO278" i="2"/>
  <c r="AP278" i="2" s="1"/>
  <c r="AQ278" i="2" s="1" a="1"/>
  <c r="AQ278" i="2" s="1"/>
  <c r="AO214" i="2"/>
  <c r="AP214" i="2" s="1"/>
  <c r="AQ214" i="2" s="1" a="1"/>
  <c r="AQ214" i="2" s="1"/>
  <c r="AO150" i="2"/>
  <c r="AP150" i="2" s="1"/>
  <c r="AQ150" i="2" s="1" a="1"/>
  <c r="AQ150" i="2" s="1"/>
  <c r="AO86" i="2"/>
  <c r="AP86" i="2" s="1"/>
  <c r="AQ86" i="2" s="1" a="1"/>
  <c r="AQ86" i="2" s="1"/>
  <c r="AO22" i="2"/>
  <c r="AP22" i="2" s="1"/>
  <c r="AQ22" i="2" s="1" a="1"/>
  <c r="AQ22" i="2" s="1"/>
  <c r="AO636" i="2"/>
  <c r="AP636" i="2" s="1"/>
  <c r="AQ636" i="2" s="1" a="1"/>
  <c r="AQ636" i="2" s="1"/>
  <c r="AO572" i="2"/>
  <c r="AP572" i="2" s="1"/>
  <c r="AQ572" i="2" s="1" a="1"/>
  <c r="AQ572" i="2" s="1"/>
  <c r="AO508" i="2"/>
  <c r="AP508" i="2" s="1"/>
  <c r="AQ508" i="2" s="1" a="1"/>
  <c r="AQ508" i="2" s="1"/>
  <c r="AO444" i="2"/>
  <c r="AP444" i="2" s="1"/>
  <c r="AQ444" i="2" s="1" a="1"/>
  <c r="AQ444" i="2" s="1"/>
  <c r="AO380" i="2"/>
  <c r="AP380" i="2" s="1"/>
  <c r="AQ380" i="2" s="1" a="1"/>
  <c r="AQ380" i="2" s="1"/>
  <c r="AO316" i="2"/>
  <c r="AP316" i="2" s="1"/>
  <c r="AQ316" i="2" s="1" a="1"/>
  <c r="AQ316" i="2" s="1"/>
  <c r="AO252" i="2"/>
  <c r="AP252" i="2" s="1"/>
  <c r="AQ252" i="2" s="1" a="1"/>
  <c r="AQ252" i="2" s="1"/>
  <c r="AO188" i="2"/>
  <c r="AP188" i="2" s="1"/>
  <c r="AQ188" i="2" s="1" a="1"/>
  <c r="AQ188" i="2" s="1"/>
  <c r="AO124" i="2"/>
  <c r="AP124" i="2" s="1"/>
  <c r="AQ124" i="2" s="1" a="1"/>
  <c r="AQ124" i="2" s="1"/>
  <c r="AO60" i="2"/>
  <c r="AP60" i="2" s="1"/>
  <c r="AQ60" i="2" s="1" a="1"/>
  <c r="AQ60" i="2" s="1"/>
  <c r="AO171" i="2"/>
  <c r="AP171" i="2" s="1"/>
  <c r="AQ171" i="2" s="1" a="1"/>
  <c r="AQ171" i="2" s="1"/>
  <c r="AO107" i="2"/>
  <c r="AP107" i="2" s="1"/>
  <c r="AQ107" i="2" s="1" a="1"/>
  <c r="AQ107" i="2" s="1"/>
  <c r="AO43" i="2"/>
  <c r="AP43" i="2" s="1"/>
  <c r="AQ43" i="2" s="1" a="1"/>
  <c r="AQ43" i="2" s="1"/>
  <c r="AO1058" i="2"/>
  <c r="AP1058" i="2" s="1"/>
  <c r="AQ1058" i="2" s="1" a="1"/>
  <c r="AQ1058" i="2" s="1"/>
  <c r="AO994" i="2"/>
  <c r="AP994" i="2" s="1"/>
  <c r="AQ994" i="2" s="1" a="1"/>
  <c r="AQ994" i="2" s="1"/>
  <c r="AO930" i="2"/>
  <c r="AP930" i="2" s="1"/>
  <c r="AQ930" i="2" s="1" a="1"/>
  <c r="AQ930" i="2" s="1"/>
  <c r="AO866" i="2"/>
  <c r="AP866" i="2" s="1"/>
  <c r="AQ866" i="2" s="1" a="1"/>
  <c r="AQ866" i="2" s="1"/>
  <c r="AO802" i="2"/>
  <c r="AP802" i="2" s="1"/>
  <c r="AQ802" i="2" s="1" a="1"/>
  <c r="AQ802" i="2" s="1"/>
  <c r="AO738" i="2"/>
  <c r="AP738" i="2" s="1"/>
  <c r="AQ738" i="2" s="1" a="1"/>
  <c r="AQ738" i="2" s="1"/>
  <c r="AO674" i="2"/>
  <c r="AP674" i="2" s="1"/>
  <c r="AQ674" i="2" s="1" a="1"/>
  <c r="AQ674" i="2" s="1"/>
  <c r="AO610" i="2"/>
  <c r="AP610" i="2" s="1"/>
  <c r="AQ610" i="2" s="1" a="1"/>
  <c r="AQ610" i="2" s="1"/>
  <c r="AO546" i="2"/>
  <c r="AP546" i="2" s="1"/>
  <c r="AQ546" i="2" s="1" a="1"/>
  <c r="AQ546" i="2" s="1"/>
  <c r="AO482" i="2"/>
  <c r="AP482" i="2" s="1"/>
  <c r="AQ482" i="2" s="1" a="1"/>
  <c r="AQ482" i="2" s="1"/>
  <c r="AO418" i="2"/>
  <c r="AP418" i="2" s="1"/>
  <c r="AQ418" i="2" s="1" a="1"/>
  <c r="AQ418" i="2" s="1"/>
  <c r="AO354" i="2"/>
  <c r="AP354" i="2" s="1"/>
  <c r="AQ354" i="2" s="1" a="1"/>
  <c r="AQ354" i="2" s="1"/>
  <c r="AO290" i="2"/>
  <c r="AP290" i="2" s="1"/>
  <c r="AQ290" i="2" s="1" a="1"/>
  <c r="AQ290" i="2" s="1"/>
  <c r="AO226" i="2"/>
  <c r="AP226" i="2" s="1"/>
  <c r="AQ226" i="2" s="1" a="1"/>
  <c r="AQ226" i="2" s="1"/>
  <c r="AO162" i="2"/>
  <c r="AP162" i="2" s="1"/>
  <c r="AQ162" i="2" s="1" a="1"/>
  <c r="AQ162" i="2" s="1"/>
  <c r="AO98" i="2"/>
  <c r="AP98" i="2" s="1"/>
  <c r="AQ98" i="2" s="1" a="1"/>
  <c r="AQ98" i="2" s="1"/>
  <c r="AO34" i="2"/>
  <c r="AP34" i="2" s="1"/>
  <c r="AQ34" i="2" s="1" a="1"/>
  <c r="AQ34" i="2" s="1"/>
  <c r="AO1065" i="2"/>
  <c r="AP1065" i="2" s="1"/>
  <c r="AQ1065" i="2" s="1" a="1"/>
  <c r="AQ1065" i="2" s="1"/>
  <c r="AO1001" i="2"/>
  <c r="AP1001" i="2" s="1"/>
  <c r="AQ1001" i="2" s="1" a="1"/>
  <c r="AQ1001" i="2" s="1"/>
  <c r="AO937" i="2"/>
  <c r="AP937" i="2" s="1"/>
  <c r="AQ937" i="2" s="1" a="1"/>
  <c r="AQ937" i="2" s="1"/>
  <c r="AO873" i="2"/>
  <c r="AP873" i="2" s="1"/>
  <c r="AQ873" i="2" s="1" a="1"/>
  <c r="AQ873" i="2" s="1"/>
  <c r="AO809" i="2"/>
  <c r="AP809" i="2" s="1"/>
  <c r="AQ809" i="2" s="1" a="1"/>
  <c r="AQ809" i="2" s="1"/>
  <c r="AO745" i="2"/>
  <c r="AP745" i="2" s="1"/>
  <c r="AQ745" i="2" s="1" a="1"/>
  <c r="AQ745" i="2" s="1"/>
  <c r="AO681" i="2"/>
  <c r="AP681" i="2" s="1"/>
  <c r="AQ681" i="2" s="1" a="1"/>
  <c r="AQ681" i="2" s="1"/>
  <c r="AO609" i="2"/>
  <c r="AP609" i="2" s="1"/>
  <c r="AQ609" i="2" s="1" a="1"/>
  <c r="AQ609" i="2" s="1"/>
  <c r="AO537" i="2"/>
  <c r="AP537" i="2" s="1"/>
  <c r="AQ537" i="2" s="1" a="1"/>
  <c r="AQ537" i="2" s="1"/>
  <c r="AO465" i="2"/>
  <c r="AP465" i="2" s="1"/>
  <c r="AQ465" i="2" s="1" a="1"/>
  <c r="AQ465" i="2" s="1"/>
  <c r="AO1357" i="2"/>
  <c r="AP1357" i="2" s="1"/>
  <c r="AQ1357" i="2" s="1" a="1"/>
  <c r="AQ1357" i="2" s="1"/>
  <c r="AO965" i="2"/>
  <c r="AP965" i="2" s="1"/>
  <c r="AQ965" i="2" s="1" a="1"/>
  <c r="AQ965" i="2" s="1"/>
  <c r="AO573" i="2"/>
  <c r="AP573" i="2" s="1"/>
  <c r="AQ573" i="2" s="1" a="1"/>
  <c r="AQ573" i="2" s="1"/>
  <c r="AO197" i="2"/>
  <c r="AP197" i="2" s="1"/>
  <c r="AQ197" i="2" s="1" a="1"/>
  <c r="AQ197" i="2" s="1"/>
  <c r="AO1333" i="2"/>
  <c r="AP1333" i="2" s="1"/>
  <c r="AQ1333" i="2" s="1" a="1"/>
  <c r="AQ1333" i="2" s="1"/>
  <c r="AO973" i="2"/>
  <c r="AP973" i="2" s="1"/>
  <c r="AQ973" i="2" s="1" a="1"/>
  <c r="AQ973" i="2" s="1"/>
  <c r="AO581" i="2"/>
  <c r="AP581" i="2" s="1"/>
  <c r="AQ581" i="2" s="1" a="1"/>
  <c r="AQ581" i="2" s="1"/>
  <c r="AO205" i="2"/>
  <c r="AP205" i="2" s="1"/>
  <c r="AQ205" i="2" s="1" a="1"/>
  <c r="AQ205" i="2" s="1"/>
  <c r="AO1293" i="2"/>
  <c r="AP1293" i="2" s="1"/>
  <c r="AQ1293" i="2" s="1" a="1"/>
  <c r="AQ1293" i="2" s="1"/>
  <c r="AO901" i="2"/>
  <c r="AP901" i="2" s="1"/>
  <c r="AQ901" i="2" s="1" a="1"/>
  <c r="AQ901" i="2" s="1"/>
  <c r="AO541" i="2"/>
  <c r="AP541" i="2" s="1"/>
  <c r="AQ541" i="2" s="1" a="1"/>
  <c r="AQ541" i="2" s="1"/>
  <c r="AO181" i="2"/>
  <c r="AP181" i="2" s="1"/>
  <c r="AQ181" i="2" s="1" a="1"/>
  <c r="AQ181" i="2" s="1"/>
  <c r="AO1269" i="2"/>
  <c r="AP1269" i="2" s="1"/>
  <c r="AQ1269" i="2" s="1" a="1"/>
  <c r="AQ1269" i="2" s="1"/>
  <c r="AO893" i="2"/>
  <c r="AP893" i="2" s="1"/>
  <c r="AQ893" i="2" s="1" a="1"/>
  <c r="AQ893" i="2" s="1"/>
  <c r="AO509" i="2"/>
  <c r="AP509" i="2" s="1"/>
  <c r="AQ509" i="2" s="1" a="1"/>
  <c r="AQ509" i="2" s="1"/>
  <c r="AO85" i="2"/>
  <c r="AP85" i="2" s="1"/>
  <c r="AQ85" i="2" s="1" a="1"/>
  <c r="AQ85" i="2" s="1"/>
  <c r="AO1416" i="2"/>
  <c r="AP1416" i="2" s="1"/>
  <c r="AQ1416" i="2" s="1" a="1"/>
  <c r="AQ1416" i="2" s="1"/>
  <c r="AO1413" i="2"/>
  <c r="AP1413" i="2" s="1"/>
  <c r="AQ1413" i="2" s="1" a="1"/>
  <c r="AQ1413" i="2" s="1"/>
  <c r="AO1005" i="2"/>
  <c r="AP1005" i="2" s="1"/>
  <c r="AQ1005" i="2" s="1" a="1"/>
  <c r="AQ1005" i="2" s="1"/>
  <c r="AO605" i="2"/>
  <c r="AP605" i="2" s="1"/>
  <c r="AQ605" i="2" s="1" a="1"/>
  <c r="AQ605" i="2" s="1"/>
  <c r="AO269" i="2"/>
  <c r="AP269" i="2" s="1"/>
  <c r="AQ269" i="2" s="1" a="1"/>
  <c r="AQ269" i="2" s="1"/>
  <c r="AO1325" i="2"/>
  <c r="AP1325" i="2" s="1"/>
  <c r="AQ1325" i="2" s="1" a="1"/>
  <c r="AQ1325" i="2" s="1"/>
  <c r="AO957" i="2"/>
  <c r="AP957" i="2" s="1"/>
  <c r="AQ957" i="2" s="1" a="1"/>
  <c r="AQ957" i="2" s="1"/>
  <c r="AO557" i="2"/>
  <c r="AP557" i="2" s="1"/>
  <c r="AQ557" i="2" s="1" a="1"/>
  <c r="AQ557" i="2" s="1"/>
  <c r="AO101" i="2"/>
  <c r="AP101" i="2" s="1"/>
  <c r="AQ101" i="2" s="1" a="1"/>
  <c r="AQ101" i="2" s="1"/>
  <c r="AO1320" i="2"/>
  <c r="AP1320" i="2" s="1"/>
  <c r="AQ1320" i="2" s="1" a="1"/>
  <c r="AQ1320" i="2" s="1"/>
  <c r="AO1256" i="2"/>
  <c r="AP1256" i="2" s="1"/>
  <c r="AQ1256" i="2" s="1" a="1"/>
  <c r="AQ1256" i="2" s="1"/>
  <c r="AO1192" i="2"/>
  <c r="AP1192" i="2" s="1"/>
  <c r="AQ1192" i="2" s="1" a="1"/>
  <c r="AQ1192" i="2" s="1"/>
  <c r="AO1128" i="2"/>
  <c r="AP1128" i="2" s="1"/>
  <c r="AQ1128" i="2" s="1" a="1"/>
  <c r="AQ1128" i="2" s="1"/>
  <c r="AO1064" i="2"/>
  <c r="AP1064" i="2" s="1"/>
  <c r="AQ1064" i="2" s="1" a="1"/>
  <c r="AQ1064" i="2" s="1"/>
  <c r="AO1000" i="2"/>
  <c r="AP1000" i="2" s="1"/>
  <c r="AQ1000" i="2" s="1" a="1"/>
  <c r="AQ1000" i="2" s="1"/>
  <c r="AO936" i="2"/>
  <c r="AP936" i="2" s="1"/>
  <c r="AQ936" i="2" s="1" a="1"/>
  <c r="AQ936" i="2" s="1"/>
  <c r="AO872" i="2"/>
  <c r="AP872" i="2" s="1"/>
  <c r="AQ872" i="2" s="1" a="1"/>
  <c r="AQ872" i="2" s="1"/>
  <c r="AO808" i="2"/>
  <c r="AP808" i="2" s="1"/>
  <c r="AQ808" i="2" s="1" a="1"/>
  <c r="AQ808" i="2" s="1"/>
  <c r="AO744" i="2"/>
  <c r="AP744" i="2" s="1"/>
  <c r="AQ744" i="2" s="1" a="1"/>
  <c r="AQ744" i="2" s="1"/>
  <c r="AO680" i="2"/>
  <c r="AP680" i="2" s="1"/>
  <c r="AQ680" i="2" s="1" a="1"/>
  <c r="AQ680" i="2" s="1"/>
  <c r="AO616" i="2"/>
  <c r="AP616" i="2" s="1"/>
  <c r="AQ616" i="2" s="1" a="1"/>
  <c r="AQ616" i="2" s="1"/>
  <c r="AO552" i="2"/>
  <c r="AP552" i="2" s="1"/>
  <c r="AQ552" i="2" s="1" a="1"/>
  <c r="AQ552" i="2" s="1"/>
  <c r="AO488" i="2"/>
  <c r="AP488" i="2" s="1"/>
  <c r="AQ488" i="2" s="1" a="1"/>
  <c r="AQ488" i="2" s="1"/>
  <c r="AO424" i="2"/>
  <c r="AP424" i="2" s="1"/>
  <c r="AQ424" i="2" s="1" a="1"/>
  <c r="AQ424" i="2" s="1"/>
  <c r="AO360" i="2"/>
  <c r="AP360" i="2" s="1"/>
  <c r="AQ360" i="2" s="1" a="1"/>
  <c r="AQ360" i="2" s="1"/>
  <c r="AO296" i="2"/>
  <c r="AP296" i="2" s="1"/>
  <c r="AQ296" i="2" s="1" a="1"/>
  <c r="AQ296" i="2" s="1"/>
  <c r="AO232" i="2"/>
  <c r="AP232" i="2" s="1"/>
  <c r="AQ232" i="2" s="1" a="1"/>
  <c r="AQ232" i="2" s="1"/>
  <c r="AO168" i="2"/>
  <c r="AP168" i="2" s="1"/>
  <c r="AQ168" i="2" s="1" a="1"/>
  <c r="AQ168" i="2" s="1"/>
  <c r="AO104" i="2"/>
  <c r="AP104" i="2" s="1"/>
  <c r="AQ104" i="2" s="1" a="1"/>
  <c r="AQ104" i="2" s="1"/>
  <c r="AO40" i="2"/>
  <c r="AP40" i="2" s="1"/>
  <c r="AQ40" i="2" s="1" a="1"/>
  <c r="AQ40" i="2" s="1"/>
  <c r="AO1447" i="2"/>
  <c r="AP1447" i="2" s="1"/>
  <c r="AQ1447" i="2" s="1" a="1"/>
  <c r="AQ1447" i="2" s="1"/>
  <c r="AO1383" i="2"/>
  <c r="AP1383" i="2" s="1"/>
  <c r="AQ1383" i="2" s="1" a="1"/>
  <c r="AQ1383" i="2" s="1"/>
  <c r="AO1319" i="2"/>
  <c r="AP1319" i="2" s="1"/>
  <c r="AQ1319" i="2" s="1" a="1"/>
  <c r="AQ1319" i="2" s="1"/>
  <c r="AO1255" i="2"/>
  <c r="AP1255" i="2" s="1"/>
  <c r="AQ1255" i="2" s="1" a="1"/>
  <c r="AQ1255" i="2" s="1"/>
  <c r="AO1191" i="2"/>
  <c r="AP1191" i="2" s="1"/>
  <c r="AQ1191" i="2" s="1" a="1"/>
  <c r="AQ1191" i="2" s="1"/>
  <c r="AO1127" i="2"/>
  <c r="AP1127" i="2" s="1"/>
  <c r="AQ1127" i="2" s="1" a="1"/>
  <c r="AQ1127" i="2" s="1"/>
  <c r="AO1063" i="2"/>
  <c r="AP1063" i="2" s="1"/>
  <c r="AQ1063" i="2" s="1" a="1"/>
  <c r="AQ1063" i="2" s="1"/>
  <c r="AO999" i="2"/>
  <c r="AP999" i="2" s="1"/>
  <c r="AQ999" i="2" s="1" a="1"/>
  <c r="AQ999" i="2" s="1"/>
  <c r="AO1430" i="2"/>
  <c r="AP1430" i="2" s="1"/>
  <c r="AQ1430" i="2" s="1" a="1"/>
  <c r="AQ1430" i="2" s="1"/>
  <c r="AO1366" i="2"/>
  <c r="AP1366" i="2" s="1"/>
  <c r="AQ1366" i="2" s="1" a="1"/>
  <c r="AQ1366" i="2" s="1"/>
  <c r="AO1412" i="2"/>
  <c r="AP1412" i="2" s="1"/>
  <c r="AQ1412" i="2" s="1" a="1"/>
  <c r="AQ1412" i="2" s="1"/>
  <c r="AO1348" i="2"/>
  <c r="AP1348" i="2" s="1"/>
  <c r="AQ1348" i="2" s="1" a="1"/>
  <c r="AQ1348" i="2" s="1"/>
  <c r="AO1284" i="2"/>
  <c r="AP1284" i="2" s="1"/>
  <c r="AQ1284" i="2" s="1" a="1"/>
  <c r="AQ1284" i="2" s="1"/>
  <c r="AO1220" i="2"/>
  <c r="AP1220" i="2" s="1"/>
  <c r="AQ1220" i="2" s="1" a="1"/>
  <c r="AQ1220" i="2" s="1"/>
  <c r="AO1156" i="2"/>
  <c r="AP1156" i="2" s="1"/>
  <c r="AQ1156" i="2" s="1" a="1"/>
  <c r="AQ1156" i="2" s="1"/>
  <c r="AO1092" i="2"/>
  <c r="AP1092" i="2" s="1"/>
  <c r="AQ1092" i="2" s="1" a="1"/>
  <c r="AQ1092" i="2" s="1"/>
  <c r="AO1028" i="2"/>
  <c r="AP1028" i="2" s="1"/>
  <c r="AQ1028" i="2" s="1" a="1"/>
  <c r="AQ1028" i="2" s="1"/>
  <c r="AO964" i="2"/>
  <c r="AP964" i="2" s="1"/>
  <c r="AQ964" i="2" s="1" a="1"/>
  <c r="AQ964" i="2" s="1"/>
  <c r="AO900" i="2"/>
  <c r="AP900" i="2" s="1"/>
  <c r="AQ900" i="2" s="1" a="1"/>
  <c r="AQ900" i="2" s="1"/>
  <c r="AO836" i="2"/>
  <c r="AP836" i="2" s="1"/>
  <c r="AQ836" i="2" s="1" a="1"/>
  <c r="AQ836" i="2" s="1"/>
  <c r="AO772" i="2"/>
  <c r="AP772" i="2" s="1"/>
  <c r="AQ772" i="2" s="1" a="1"/>
  <c r="AQ772" i="2" s="1"/>
  <c r="AO708" i="2"/>
  <c r="AP708" i="2" s="1"/>
  <c r="AQ708" i="2" s="1" a="1"/>
  <c r="AQ708" i="2" s="1"/>
  <c r="AO1435" i="2"/>
  <c r="AP1435" i="2" s="1"/>
  <c r="AQ1435" i="2" s="1" a="1"/>
  <c r="AQ1435" i="2" s="1"/>
  <c r="AO1371" i="2"/>
  <c r="AP1371" i="2" s="1"/>
  <c r="AQ1371" i="2" s="1" a="1"/>
  <c r="AQ1371" i="2" s="1"/>
  <c r="AO1307" i="2"/>
  <c r="AP1307" i="2" s="1"/>
  <c r="AQ1307" i="2" s="1" a="1"/>
  <c r="AQ1307" i="2" s="1"/>
  <c r="AO1243" i="2"/>
  <c r="AP1243" i="2" s="1"/>
  <c r="AQ1243" i="2" s="1" a="1"/>
  <c r="AQ1243" i="2" s="1"/>
  <c r="AO1179" i="2"/>
  <c r="AP1179" i="2" s="1"/>
  <c r="AQ1179" i="2" s="1" a="1"/>
  <c r="AQ1179" i="2" s="1"/>
  <c r="AO1115" i="2"/>
  <c r="AP1115" i="2" s="1"/>
  <c r="AQ1115" i="2" s="1" a="1"/>
  <c r="AQ1115" i="2" s="1"/>
  <c r="AO1051" i="2"/>
  <c r="AP1051" i="2" s="1"/>
  <c r="AQ1051" i="2" s="1" a="1"/>
  <c r="AQ1051" i="2" s="1"/>
  <c r="AO987" i="2"/>
  <c r="AP987" i="2" s="1"/>
  <c r="AQ987" i="2" s="1" a="1"/>
  <c r="AQ987" i="2" s="1"/>
  <c r="AO923" i="2"/>
  <c r="AP923" i="2" s="1"/>
  <c r="AQ923" i="2" s="1" a="1"/>
  <c r="AQ923" i="2" s="1"/>
  <c r="AO859" i="2"/>
  <c r="AP859" i="2" s="1"/>
  <c r="AQ859" i="2" s="1" a="1"/>
  <c r="AQ859" i="2" s="1"/>
  <c r="AO795" i="2"/>
  <c r="AP795" i="2" s="1"/>
  <c r="AQ795" i="2" s="1" a="1"/>
  <c r="AQ795" i="2" s="1"/>
  <c r="AO731" i="2"/>
  <c r="AP731" i="2" s="1"/>
  <c r="AQ731" i="2" s="1" a="1"/>
  <c r="AQ731" i="2" s="1"/>
  <c r="AO667" i="2"/>
  <c r="AP667" i="2" s="1"/>
  <c r="AQ667" i="2" s="1" a="1"/>
  <c r="AQ667" i="2" s="1"/>
  <c r="AO603" i="2"/>
  <c r="AP603" i="2" s="1"/>
  <c r="AQ603" i="2" s="1" a="1"/>
  <c r="AQ603" i="2" s="1"/>
  <c r="AO539" i="2"/>
  <c r="AP539" i="2" s="1"/>
  <c r="AQ539" i="2" s="1" a="1"/>
  <c r="AQ539" i="2" s="1"/>
  <c r="AO475" i="2"/>
  <c r="AP475" i="2" s="1"/>
  <c r="AQ475" i="2" s="1" a="1"/>
  <c r="AQ475" i="2" s="1"/>
  <c r="AO411" i="2"/>
  <c r="AP411" i="2" s="1"/>
  <c r="AQ411" i="2" s="1" a="1"/>
  <c r="AQ411" i="2" s="1"/>
  <c r="AO347" i="2"/>
  <c r="AP347" i="2" s="1"/>
  <c r="AQ347" i="2" s="1" a="1"/>
  <c r="AQ347" i="2" s="1"/>
  <c r="AO283" i="2"/>
  <c r="AP283" i="2" s="1"/>
  <c r="AQ283" i="2" s="1" a="1"/>
  <c r="AQ283" i="2" s="1"/>
  <c r="AO219" i="2"/>
  <c r="AP219" i="2" s="1"/>
  <c r="AQ219" i="2" s="1" a="1"/>
  <c r="AQ219" i="2" s="1"/>
  <c r="AO1450" i="2"/>
  <c r="AP1450" i="2" s="1"/>
  <c r="AQ1450" i="2" s="1" a="1"/>
  <c r="AQ1450" i="2" s="1"/>
  <c r="AO1386" i="2"/>
  <c r="AP1386" i="2" s="1"/>
  <c r="AQ1386" i="2" s="1" a="1"/>
  <c r="AQ1386" i="2" s="1"/>
  <c r="AO1322" i="2"/>
  <c r="AP1322" i="2" s="1"/>
  <c r="AQ1322" i="2" s="1" a="1"/>
  <c r="AQ1322" i="2" s="1"/>
  <c r="AO1258" i="2"/>
  <c r="AP1258" i="2" s="1"/>
  <c r="AQ1258" i="2" s="1" a="1"/>
  <c r="AQ1258" i="2" s="1"/>
  <c r="AO1194" i="2"/>
  <c r="AP1194" i="2" s="1"/>
  <c r="AQ1194" i="2" s="1" a="1"/>
  <c r="AQ1194" i="2" s="1"/>
  <c r="AO1130" i="2"/>
  <c r="AP1130" i="2" s="1"/>
  <c r="AQ1130" i="2" s="1" a="1"/>
  <c r="AQ1130" i="2" s="1"/>
  <c r="AO1457" i="2"/>
  <c r="AP1457" i="2" s="1"/>
  <c r="AQ1457" i="2" s="1" a="1"/>
  <c r="AQ1457" i="2" s="1"/>
  <c r="AO1393" i="2"/>
  <c r="AP1393" i="2" s="1"/>
  <c r="AQ1393" i="2" s="1" a="1"/>
  <c r="AQ1393" i="2" s="1"/>
  <c r="AO1329" i="2"/>
  <c r="AP1329" i="2" s="1"/>
  <c r="AQ1329" i="2" s="1" a="1"/>
  <c r="AQ1329" i="2" s="1"/>
  <c r="AO1265" i="2"/>
  <c r="AP1265" i="2" s="1"/>
  <c r="AQ1265" i="2" s="1" a="1"/>
  <c r="AQ1265" i="2" s="1"/>
  <c r="AO1201" i="2"/>
  <c r="AP1201" i="2" s="1"/>
  <c r="AQ1201" i="2" s="1" a="1"/>
  <c r="AQ1201" i="2" s="1"/>
  <c r="AO1137" i="2"/>
  <c r="AP1137" i="2" s="1"/>
  <c r="AQ1137" i="2" s="1" a="1"/>
  <c r="AQ1137" i="2" s="1"/>
  <c r="AO513" i="2"/>
  <c r="AP513" i="2" s="1"/>
  <c r="AQ513" i="2" s="1" a="1"/>
  <c r="AQ513" i="2" s="1"/>
  <c r="AO1358" i="2"/>
  <c r="AP1358" i="2" s="1"/>
  <c r="AQ1358" i="2" s="1" a="1"/>
  <c r="AQ1358" i="2" s="1"/>
  <c r="AO1294" i="2"/>
  <c r="AP1294" i="2" s="1"/>
  <c r="AQ1294" i="2" s="1" a="1"/>
  <c r="AQ1294" i="2" s="1"/>
  <c r="AO1230" i="2"/>
  <c r="AP1230" i="2" s="1"/>
  <c r="AQ1230" i="2" s="1" a="1"/>
  <c r="AQ1230" i="2" s="1"/>
  <c r="AO1166" i="2"/>
  <c r="AP1166" i="2" s="1"/>
  <c r="AQ1166" i="2" s="1" a="1"/>
  <c r="AQ1166" i="2" s="1"/>
  <c r="AO1102" i="2"/>
  <c r="AP1102" i="2" s="1"/>
  <c r="AQ1102" i="2" s="1" a="1"/>
  <c r="AQ1102" i="2" s="1"/>
  <c r="AO1038" i="2"/>
  <c r="AP1038" i="2" s="1"/>
  <c r="AQ1038" i="2" s="1" a="1"/>
  <c r="AQ1038" i="2" s="1"/>
  <c r="AO974" i="2"/>
  <c r="AP974" i="2" s="1"/>
  <c r="AQ974" i="2" s="1" a="1"/>
  <c r="AQ974" i="2" s="1"/>
  <c r="AO910" i="2"/>
  <c r="AP910" i="2" s="1"/>
  <c r="AQ910" i="2" s="1" a="1"/>
  <c r="AQ910" i="2" s="1"/>
  <c r="AO846" i="2"/>
  <c r="AP846" i="2" s="1"/>
  <c r="AQ846" i="2" s="1" a="1"/>
  <c r="AQ846" i="2" s="1"/>
  <c r="AO782" i="2"/>
  <c r="AP782" i="2" s="1"/>
  <c r="AQ782" i="2" s="1" a="1"/>
  <c r="AQ782" i="2" s="1"/>
  <c r="AO718" i="2"/>
  <c r="AP718" i="2" s="1"/>
  <c r="AQ718" i="2" s="1" a="1"/>
  <c r="AQ718" i="2" s="1"/>
  <c r="AO654" i="2"/>
  <c r="AP654" i="2" s="1"/>
  <c r="AQ654" i="2" s="1" a="1"/>
  <c r="AQ654" i="2" s="1"/>
  <c r="AO590" i="2"/>
  <c r="AP590" i="2" s="1"/>
  <c r="AQ590" i="2" s="1" a="1"/>
  <c r="AQ590" i="2" s="1"/>
  <c r="AO526" i="2"/>
  <c r="AP526" i="2" s="1"/>
  <c r="AQ526" i="2" s="1" a="1"/>
  <c r="AQ526" i="2" s="1"/>
  <c r="AO462" i="2"/>
  <c r="AP462" i="2" s="1"/>
  <c r="AQ462" i="2" s="1" a="1"/>
  <c r="AQ462" i="2" s="1"/>
  <c r="AO398" i="2"/>
  <c r="AP398" i="2" s="1"/>
  <c r="AQ398" i="2" s="1" a="1"/>
  <c r="AQ398" i="2" s="1"/>
  <c r="AO334" i="2"/>
  <c r="AP334" i="2" s="1"/>
  <c r="AQ334" i="2" s="1" a="1"/>
  <c r="AQ334" i="2" s="1"/>
  <c r="AO270" i="2"/>
  <c r="AP270" i="2" s="1"/>
  <c r="AQ270" i="2" s="1" a="1"/>
  <c r="AQ270" i="2" s="1"/>
  <c r="AO206" i="2"/>
  <c r="AP206" i="2" s="1"/>
  <c r="AQ206" i="2" s="1" a="1"/>
  <c r="AQ206" i="2" s="1"/>
  <c r="AO142" i="2"/>
  <c r="AP142" i="2" s="1"/>
  <c r="AQ142" i="2" s="1" a="1"/>
  <c r="AQ142" i="2" s="1"/>
  <c r="AO78" i="2"/>
  <c r="AP78" i="2" s="1"/>
  <c r="AQ78" i="2" s="1" a="1"/>
  <c r="AQ78" i="2" s="1"/>
  <c r="AO14" i="2"/>
  <c r="AP14" i="2" s="1"/>
  <c r="AQ14" i="2" s="1" a="1"/>
  <c r="AQ14" i="2" s="1"/>
  <c r="AO628" i="2"/>
  <c r="AP628" i="2" s="1"/>
  <c r="AQ628" i="2" s="1" a="1"/>
  <c r="AQ628" i="2" s="1"/>
  <c r="AO564" i="2"/>
  <c r="AP564" i="2" s="1"/>
  <c r="AQ564" i="2" s="1" a="1"/>
  <c r="AQ564" i="2" s="1"/>
  <c r="AO500" i="2"/>
  <c r="AP500" i="2" s="1"/>
  <c r="AQ500" i="2" s="1" a="1"/>
  <c r="AQ500" i="2" s="1"/>
  <c r="AO436" i="2"/>
  <c r="AP436" i="2" s="1"/>
  <c r="AQ436" i="2" s="1" a="1"/>
  <c r="AQ436" i="2" s="1"/>
  <c r="AO372" i="2"/>
  <c r="AP372" i="2" s="1"/>
  <c r="AQ372" i="2" s="1" a="1"/>
  <c r="AQ372" i="2" s="1"/>
  <c r="AO308" i="2"/>
  <c r="AP308" i="2" s="1"/>
  <c r="AQ308" i="2" s="1" a="1"/>
  <c r="AQ308" i="2" s="1"/>
  <c r="AO244" i="2"/>
  <c r="AP244" i="2" s="1"/>
  <c r="AQ244" i="2" s="1" a="1"/>
  <c r="AQ244" i="2" s="1"/>
  <c r="AO180" i="2"/>
  <c r="AP180" i="2" s="1"/>
  <c r="AQ180" i="2" s="1" a="1"/>
  <c r="AQ180" i="2" s="1"/>
  <c r="AO116" i="2"/>
  <c r="AP116" i="2" s="1"/>
  <c r="AQ116" i="2" s="1" a="1"/>
  <c r="AQ116" i="2" s="1"/>
  <c r="AO52" i="2"/>
  <c r="AP52" i="2" s="1"/>
  <c r="AQ52" i="2" s="1" a="1"/>
  <c r="AQ52" i="2" s="1"/>
  <c r="AO163" i="2"/>
  <c r="AP163" i="2" s="1"/>
  <c r="AQ163" i="2" s="1" a="1"/>
  <c r="AQ163" i="2" s="1"/>
  <c r="AO99" i="2"/>
  <c r="AP99" i="2" s="1"/>
  <c r="AQ99" i="2" s="1" a="1"/>
  <c r="AQ99" i="2" s="1"/>
  <c r="AO35" i="2"/>
  <c r="AP35" i="2" s="1"/>
  <c r="AQ35" i="2" s="1" a="1"/>
  <c r="AQ35" i="2" s="1"/>
  <c r="AO1050" i="2"/>
  <c r="AP1050" i="2" s="1"/>
  <c r="AQ1050" i="2" s="1" a="1"/>
  <c r="AQ1050" i="2" s="1"/>
  <c r="AO986" i="2"/>
  <c r="AP986" i="2" s="1"/>
  <c r="AQ986" i="2" s="1" a="1"/>
  <c r="AQ986" i="2" s="1"/>
  <c r="AO922" i="2"/>
  <c r="AP922" i="2" s="1"/>
  <c r="AQ922" i="2" s="1" a="1"/>
  <c r="AQ922" i="2" s="1"/>
  <c r="AO858" i="2"/>
  <c r="AP858" i="2" s="1"/>
  <c r="AQ858" i="2" s="1" a="1"/>
  <c r="AQ858" i="2" s="1"/>
  <c r="AO794" i="2"/>
  <c r="AP794" i="2" s="1"/>
  <c r="AQ794" i="2" s="1" a="1"/>
  <c r="AQ794" i="2" s="1"/>
  <c r="AO730" i="2"/>
  <c r="AP730" i="2" s="1"/>
  <c r="AQ730" i="2" s="1" a="1"/>
  <c r="AQ730" i="2" s="1"/>
  <c r="AO666" i="2"/>
  <c r="AP666" i="2" s="1"/>
  <c r="AQ666" i="2" s="1" a="1"/>
  <c r="AQ666" i="2" s="1"/>
  <c r="AO602" i="2"/>
  <c r="AP602" i="2" s="1"/>
  <c r="AQ602" i="2" s="1" a="1"/>
  <c r="AQ602" i="2" s="1"/>
  <c r="AO538" i="2"/>
  <c r="AP538" i="2" s="1"/>
  <c r="AQ538" i="2" s="1" a="1"/>
  <c r="AQ538" i="2" s="1"/>
  <c r="AO474" i="2"/>
  <c r="AP474" i="2" s="1"/>
  <c r="AQ474" i="2" s="1" a="1"/>
  <c r="AQ474" i="2" s="1"/>
  <c r="AO410" i="2"/>
  <c r="AP410" i="2" s="1"/>
  <c r="AQ410" i="2" s="1" a="1"/>
  <c r="AQ410" i="2" s="1"/>
  <c r="AO346" i="2"/>
  <c r="AP346" i="2" s="1"/>
  <c r="AQ346" i="2" s="1" a="1"/>
  <c r="AQ346" i="2" s="1"/>
  <c r="AO282" i="2"/>
  <c r="AP282" i="2" s="1"/>
  <c r="AQ282" i="2" s="1" a="1"/>
  <c r="AQ282" i="2" s="1"/>
  <c r="AO218" i="2"/>
  <c r="AP218" i="2" s="1"/>
  <c r="AQ218" i="2" s="1" a="1"/>
  <c r="AQ218" i="2" s="1"/>
  <c r="AO154" i="2"/>
  <c r="AP154" i="2" s="1"/>
  <c r="AQ154" i="2" s="1" a="1"/>
  <c r="AQ154" i="2" s="1"/>
  <c r="AO90" i="2"/>
  <c r="AP90" i="2" s="1"/>
  <c r="AQ90" i="2" s="1" a="1"/>
  <c r="AQ90" i="2" s="1"/>
  <c r="AO26" i="2"/>
  <c r="AP26" i="2" s="1"/>
  <c r="AQ26" i="2" s="1" a="1"/>
  <c r="AQ26" i="2" s="1"/>
  <c r="AO1057" i="2"/>
  <c r="AP1057" i="2" s="1"/>
  <c r="AQ1057" i="2" s="1" a="1"/>
  <c r="AQ1057" i="2" s="1"/>
  <c r="AO993" i="2"/>
  <c r="AP993" i="2" s="1"/>
  <c r="AQ993" i="2" s="1" a="1"/>
  <c r="AQ993" i="2" s="1"/>
  <c r="AO929" i="2"/>
  <c r="AP929" i="2" s="1"/>
  <c r="AQ929" i="2" s="1" a="1"/>
  <c r="AQ929" i="2" s="1"/>
  <c r="AO865" i="2"/>
  <c r="AP865" i="2" s="1"/>
  <c r="AQ865" i="2" s="1" a="1"/>
  <c r="AQ865" i="2" s="1"/>
  <c r="AO801" i="2"/>
  <c r="AP801" i="2" s="1"/>
  <c r="AQ801" i="2" s="1" a="1"/>
  <c r="AQ801" i="2" s="1"/>
  <c r="AO737" i="2"/>
  <c r="AP737" i="2" s="1"/>
  <c r="AQ737" i="2" s="1" a="1"/>
  <c r="AQ737" i="2" s="1"/>
  <c r="AO673" i="2"/>
  <c r="AP673" i="2" s="1"/>
  <c r="AQ673" i="2" s="1" a="1"/>
  <c r="AQ673" i="2" s="1"/>
  <c r="AO601" i="2"/>
  <c r="AP601" i="2" s="1"/>
  <c r="AQ601" i="2" s="1" a="1"/>
  <c r="AQ601" i="2" s="1"/>
  <c r="AO529" i="2"/>
  <c r="AP529" i="2" s="1"/>
  <c r="AQ529" i="2" s="1" a="1"/>
  <c r="AQ529" i="2" s="1"/>
  <c r="AO457" i="2"/>
  <c r="AP457" i="2" s="1"/>
  <c r="AQ457" i="2" s="1" a="1"/>
  <c r="AQ457" i="2" s="1"/>
  <c r="AO377" i="2"/>
  <c r="AP377" i="2" s="1"/>
  <c r="AQ377" i="2" s="1" a="1"/>
  <c r="AQ377" i="2" s="1"/>
  <c r="AO305" i="2"/>
  <c r="AP305" i="2" s="1"/>
  <c r="AQ305" i="2" s="1" a="1"/>
  <c r="AQ305" i="2" s="1"/>
  <c r="AO233" i="2"/>
  <c r="AP233" i="2" s="1"/>
  <c r="AQ233" i="2" s="1" a="1"/>
  <c r="AQ233" i="2" s="1"/>
  <c r="AO161" i="2"/>
  <c r="AP161" i="2" s="1"/>
  <c r="AQ161" i="2" s="1" a="1"/>
  <c r="AQ161" i="2" s="1"/>
  <c r="AO89" i="2"/>
  <c r="AP89" i="2" s="1"/>
  <c r="AQ89" i="2" s="1" a="1"/>
  <c r="AQ89" i="2" s="1"/>
  <c r="AO17" i="2"/>
  <c r="AP17" i="2" s="1"/>
  <c r="AQ17" i="2" s="1" a="1"/>
  <c r="AQ17" i="2" s="1"/>
  <c r="AO1309" i="2"/>
  <c r="AP1309" i="2" s="1"/>
  <c r="AQ1309" i="2" s="1" a="1"/>
  <c r="AQ1309" i="2" s="1"/>
  <c r="AO925" i="2"/>
  <c r="AP925" i="2" s="1"/>
  <c r="AQ925" i="2" s="1" a="1"/>
  <c r="AQ925" i="2" s="1"/>
  <c r="AO517" i="2"/>
  <c r="AP517" i="2" s="1"/>
  <c r="AQ517" i="2" s="1" a="1"/>
  <c r="AQ517" i="2" s="1"/>
  <c r="AO149" i="2"/>
  <c r="AP149" i="2" s="1"/>
  <c r="AQ149" i="2" s="1" a="1"/>
  <c r="AQ149" i="2" s="1"/>
  <c r="AO1285" i="2"/>
  <c r="AP1285" i="2" s="1"/>
  <c r="AQ1285" i="2" s="1" a="1"/>
  <c r="AQ1285" i="2" s="1"/>
  <c r="AO909" i="2"/>
  <c r="AP909" i="2" s="1"/>
  <c r="AQ909" i="2" s="1" a="1"/>
  <c r="AQ909" i="2" s="1"/>
  <c r="AO525" i="2"/>
  <c r="AP525" i="2" s="1"/>
  <c r="AQ525" i="2" s="1" a="1"/>
  <c r="AQ525" i="2" s="1"/>
  <c r="AO157" i="2"/>
  <c r="AP157" i="2" s="1"/>
  <c r="AQ157" i="2" s="1" a="1"/>
  <c r="AQ157" i="2" s="1"/>
  <c r="AO1237" i="2"/>
  <c r="AP1237" i="2" s="1"/>
  <c r="AQ1237" i="2" s="1" a="1"/>
  <c r="AQ1237" i="2" s="1"/>
  <c r="AO853" i="2"/>
  <c r="AP853" i="2" s="1"/>
  <c r="AQ853" i="2" s="1" a="1"/>
  <c r="AQ853" i="2" s="1"/>
  <c r="AO501" i="2"/>
  <c r="AP501" i="2" s="1"/>
  <c r="AQ501" i="2" s="1" a="1"/>
  <c r="AQ501" i="2" s="1"/>
  <c r="AO125" i="2"/>
  <c r="AP125" i="2" s="1"/>
  <c r="AQ125" i="2" s="1" a="1"/>
  <c r="AQ125" i="2" s="1"/>
  <c r="AO1221" i="2"/>
  <c r="AP1221" i="2" s="1"/>
  <c r="AQ1221" i="2" s="1" a="1"/>
  <c r="AQ1221" i="2" s="1"/>
  <c r="AO845" i="2"/>
  <c r="AP845" i="2" s="1"/>
  <c r="AQ845" i="2" s="1" a="1"/>
  <c r="AQ845" i="2" s="1"/>
  <c r="AO461" i="2"/>
  <c r="AP461" i="2" s="1"/>
  <c r="AQ461" i="2" s="1" a="1"/>
  <c r="AQ461" i="2" s="1"/>
  <c r="AO37" i="2"/>
  <c r="AP37" i="2" s="1"/>
  <c r="AQ37" i="2" s="1" a="1"/>
  <c r="AQ37" i="2" s="1"/>
  <c r="AO1408" i="2"/>
  <c r="AP1408" i="2" s="1"/>
  <c r="AQ1408" i="2" s="1" a="1"/>
  <c r="AQ1408" i="2" s="1"/>
  <c r="AO1365" i="2"/>
  <c r="AP1365" i="2" s="1"/>
  <c r="AQ1365" i="2" s="1" a="1"/>
  <c r="AQ1365" i="2" s="1"/>
  <c r="AO933" i="2"/>
  <c r="AP933" i="2" s="1"/>
  <c r="AQ933" i="2" s="1" a="1"/>
  <c r="AQ933" i="2" s="1"/>
  <c r="AO565" i="2"/>
  <c r="AP565" i="2" s="1"/>
  <c r="AQ565" i="2" s="1" a="1"/>
  <c r="AQ565" i="2" s="1"/>
  <c r="AO221" i="2"/>
  <c r="AP221" i="2" s="1"/>
  <c r="AQ221" i="2" s="1" a="1"/>
  <c r="AQ221" i="2" s="1"/>
  <c r="AO1277" i="2"/>
  <c r="AP1277" i="2" s="1"/>
  <c r="AQ1277" i="2" s="1" a="1"/>
  <c r="AQ1277" i="2" s="1"/>
  <c r="AO917" i="2"/>
  <c r="AP917" i="2" s="1"/>
  <c r="AQ917" i="2" s="1" a="1"/>
  <c r="AQ917" i="2" s="1"/>
  <c r="AO429" i="2"/>
  <c r="AP429" i="2" s="1"/>
  <c r="AQ429" i="2" s="1" a="1"/>
  <c r="AQ429" i="2" s="1"/>
  <c r="AO53" i="2"/>
  <c r="AP53" i="2" s="1"/>
  <c r="AQ53" i="2" s="1" a="1"/>
  <c r="AQ53" i="2" s="1"/>
  <c r="AO1253" i="2"/>
  <c r="AP1253" i="2" s="1"/>
  <c r="AQ1253" i="2" s="1" a="1"/>
  <c r="AQ1253" i="2" s="1"/>
  <c r="AO877" i="2"/>
  <c r="AP877" i="2" s="1"/>
  <c r="AQ877" i="2" s="1" a="1"/>
  <c r="AQ877" i="2" s="1"/>
  <c r="AO485" i="2"/>
  <c r="AP485" i="2" s="1"/>
  <c r="AQ485" i="2" s="1" a="1"/>
  <c r="AQ485" i="2" s="1"/>
  <c r="AO133" i="2"/>
  <c r="AP133" i="2" s="1"/>
  <c r="AQ133" i="2" s="1" a="1"/>
  <c r="AQ133" i="2" s="1"/>
  <c r="AO1245" i="2"/>
  <c r="AP1245" i="2" s="1"/>
  <c r="AQ1245" i="2" s="1" a="1"/>
  <c r="AQ1245" i="2" s="1"/>
  <c r="AO869" i="2"/>
  <c r="AP869" i="2" s="1"/>
  <c r="AQ869" i="2" s="1" a="1"/>
  <c r="AQ869" i="2" s="1"/>
  <c r="AO477" i="2"/>
  <c r="AP477" i="2" s="1"/>
  <c r="AQ477" i="2" s="1" a="1"/>
  <c r="AQ477" i="2" s="1"/>
  <c r="AO117" i="2"/>
  <c r="AP117" i="2" s="1"/>
  <c r="AQ117" i="2" s="1" a="1"/>
  <c r="AQ117" i="2" s="1"/>
  <c r="AO1181" i="2"/>
  <c r="AP1181" i="2" s="1"/>
  <c r="AQ1181" i="2" s="1" a="1"/>
  <c r="AQ1181" i="2" s="1"/>
  <c r="AO805" i="2"/>
  <c r="AP805" i="2" s="1"/>
  <c r="AQ805" i="2" s="1" a="1"/>
  <c r="AQ805" i="2" s="1"/>
  <c r="AO469" i="2"/>
  <c r="AP469" i="2" s="1"/>
  <c r="AQ469" i="2" s="1" a="1"/>
  <c r="AQ469" i="2" s="1"/>
  <c r="AO61" i="2"/>
  <c r="AP61" i="2" s="1"/>
  <c r="AQ61" i="2" s="1" a="1"/>
  <c r="AQ61" i="2" s="1"/>
  <c r="AO1173" i="2"/>
  <c r="AP1173" i="2" s="1"/>
  <c r="AQ1173" i="2" s="1" a="1"/>
  <c r="AQ1173" i="2" s="1"/>
  <c r="AO789" i="2"/>
  <c r="AP789" i="2" s="1"/>
  <c r="AQ789" i="2" s="1" a="1"/>
  <c r="AQ789" i="2" s="1"/>
  <c r="AO413" i="2"/>
  <c r="AP413" i="2" s="1"/>
  <c r="AQ413" i="2" s="1" a="1"/>
  <c r="AQ413" i="2" s="1"/>
  <c r="AO1464" i="2"/>
  <c r="AP1464" i="2" s="1"/>
  <c r="AQ1464" i="2" s="1" a="1"/>
  <c r="AQ1464" i="2" s="1"/>
  <c r="AO1400" i="2"/>
  <c r="AP1400" i="2" s="1"/>
  <c r="AQ1400" i="2" s="1" a="1"/>
  <c r="AQ1400" i="2" s="1"/>
  <c r="AO1317" i="2"/>
  <c r="AP1317" i="2" s="1"/>
  <c r="AQ1317" i="2" s="1" a="1"/>
  <c r="AQ1317" i="2" s="1"/>
  <c r="AO885" i="2"/>
  <c r="AP885" i="2" s="1"/>
  <c r="AQ885" i="2" s="1" a="1"/>
  <c r="AQ885" i="2" s="1"/>
  <c r="AO533" i="2"/>
  <c r="AP533" i="2" s="1"/>
  <c r="AQ533" i="2" s="1" a="1"/>
  <c r="AQ533" i="2" s="1"/>
  <c r="AO173" i="2"/>
  <c r="AP173" i="2" s="1"/>
  <c r="AQ173" i="2" s="1" a="1"/>
  <c r="AQ173" i="2" s="1"/>
  <c r="AO1229" i="2"/>
  <c r="AP1229" i="2" s="1"/>
  <c r="AQ1229" i="2" s="1" a="1"/>
  <c r="AQ1229" i="2" s="1"/>
  <c r="AO861" i="2"/>
  <c r="AP861" i="2" s="1"/>
  <c r="AQ861" i="2" s="1" a="1"/>
  <c r="AQ861" i="2" s="1"/>
  <c r="AO381" i="2"/>
  <c r="AP381" i="2" s="1"/>
  <c r="AQ381" i="2" s="1" a="1"/>
  <c r="AQ381" i="2" s="1"/>
  <c r="AO21" i="2"/>
  <c r="AP21" i="2" s="1"/>
  <c r="AQ21" i="2" s="1" a="1"/>
  <c r="AQ21" i="2" s="1"/>
  <c r="AO1304" i="2"/>
  <c r="AP1304" i="2" s="1"/>
  <c r="AQ1304" i="2" s="1" a="1"/>
  <c r="AQ1304" i="2" s="1"/>
  <c r="AO1240" i="2"/>
  <c r="AP1240" i="2" s="1"/>
  <c r="AQ1240" i="2" s="1" a="1"/>
  <c r="AQ1240" i="2" s="1"/>
  <c r="AO1176" i="2"/>
  <c r="AP1176" i="2" s="1"/>
  <c r="AQ1176" i="2" s="1" a="1"/>
  <c r="AQ1176" i="2" s="1"/>
  <c r="AO1112" i="2"/>
  <c r="AP1112" i="2" s="1"/>
  <c r="AQ1112" i="2" s="1" a="1"/>
  <c r="AQ1112" i="2" s="1"/>
  <c r="AO1048" i="2"/>
  <c r="AP1048" i="2" s="1"/>
  <c r="AQ1048" i="2" s="1" a="1"/>
  <c r="AQ1048" i="2" s="1"/>
  <c r="AO984" i="2"/>
  <c r="AP984" i="2" s="1"/>
  <c r="AQ984" i="2" s="1" a="1"/>
  <c r="AQ984" i="2" s="1"/>
  <c r="AO920" i="2"/>
  <c r="AP920" i="2" s="1"/>
  <c r="AQ920" i="2" s="1" a="1"/>
  <c r="AQ920" i="2" s="1"/>
  <c r="AO856" i="2"/>
  <c r="AP856" i="2" s="1"/>
  <c r="AQ856" i="2" s="1" a="1"/>
  <c r="AQ856" i="2" s="1"/>
  <c r="AO792" i="2"/>
  <c r="AP792" i="2" s="1"/>
  <c r="AQ792" i="2" s="1" a="1"/>
  <c r="AQ792" i="2" s="1"/>
  <c r="AO728" i="2"/>
  <c r="AP728" i="2" s="1"/>
  <c r="AQ728" i="2" s="1" a="1"/>
  <c r="AQ728" i="2" s="1"/>
  <c r="AO664" i="2"/>
  <c r="AP664" i="2" s="1"/>
  <c r="AQ664" i="2" s="1" a="1"/>
  <c r="AQ664" i="2" s="1"/>
  <c r="AO600" i="2"/>
  <c r="AP600" i="2" s="1"/>
  <c r="AQ600" i="2" s="1" a="1"/>
  <c r="AQ600" i="2" s="1"/>
  <c r="AO536" i="2"/>
  <c r="AP536" i="2" s="1"/>
  <c r="AQ536" i="2" s="1" a="1"/>
  <c r="AQ536" i="2" s="1"/>
  <c r="AO472" i="2"/>
  <c r="AP472" i="2" s="1"/>
  <c r="AQ472" i="2" s="1" a="1"/>
  <c r="AQ472" i="2" s="1"/>
  <c r="AO408" i="2"/>
  <c r="AP408" i="2" s="1"/>
  <c r="AQ408" i="2" s="1" a="1"/>
  <c r="AQ408" i="2" s="1"/>
  <c r="AO344" i="2"/>
  <c r="AP344" i="2" s="1"/>
  <c r="AQ344" i="2" s="1" a="1"/>
  <c r="AQ344" i="2" s="1"/>
  <c r="AO280" i="2"/>
  <c r="AP280" i="2" s="1"/>
  <c r="AQ280" i="2" s="1" a="1"/>
  <c r="AQ280" i="2" s="1"/>
  <c r="AO216" i="2"/>
  <c r="AP216" i="2" s="1"/>
  <c r="AQ216" i="2" s="1" a="1"/>
  <c r="AQ216" i="2" s="1"/>
  <c r="AO152" i="2"/>
  <c r="AP152" i="2" s="1"/>
  <c r="AQ152" i="2" s="1" a="1"/>
  <c r="AQ152" i="2" s="1"/>
  <c r="AO88" i="2"/>
  <c r="AP88" i="2" s="1"/>
  <c r="AQ88" i="2" s="1" a="1"/>
  <c r="AQ88" i="2" s="1"/>
  <c r="AO24" i="2"/>
  <c r="AP24" i="2" s="1"/>
  <c r="AQ24" i="2" s="1" a="1"/>
  <c r="AQ24" i="2" s="1"/>
  <c r="AO1431" i="2"/>
  <c r="AP1431" i="2" s="1"/>
  <c r="AQ1431" i="2" s="1" a="1"/>
  <c r="AQ1431" i="2" s="1"/>
  <c r="AO1367" i="2"/>
  <c r="AP1367" i="2" s="1"/>
  <c r="AQ1367" i="2" s="1" a="1"/>
  <c r="AQ1367" i="2" s="1"/>
  <c r="AO1303" i="2"/>
  <c r="AP1303" i="2" s="1"/>
  <c r="AQ1303" i="2" s="1" a="1"/>
  <c r="AQ1303" i="2" s="1"/>
  <c r="AO1239" i="2"/>
  <c r="AP1239" i="2" s="1"/>
  <c r="AQ1239" i="2" s="1" a="1"/>
  <c r="AQ1239" i="2" s="1"/>
  <c r="AO1175" i="2"/>
  <c r="AP1175" i="2" s="1"/>
  <c r="AQ1175" i="2" s="1" a="1"/>
  <c r="AQ1175" i="2" s="1"/>
  <c r="AO1111" i="2"/>
  <c r="AP1111" i="2" s="1"/>
  <c r="AQ1111" i="2" s="1" a="1"/>
  <c r="AQ1111" i="2" s="1"/>
  <c r="AO1047" i="2"/>
  <c r="AP1047" i="2" s="1"/>
  <c r="AQ1047" i="2" s="1" a="1"/>
  <c r="AQ1047" i="2" s="1"/>
  <c r="AO983" i="2"/>
  <c r="AP983" i="2" s="1"/>
  <c r="AQ983" i="2" s="1" a="1"/>
  <c r="AQ983" i="2" s="1"/>
  <c r="AO1414" i="2"/>
  <c r="AP1414" i="2" s="1"/>
  <c r="AQ1414" i="2" s="1" a="1"/>
  <c r="AQ1414" i="2" s="1"/>
  <c r="AO1460" i="2"/>
  <c r="AP1460" i="2" s="1"/>
  <c r="AQ1460" i="2" s="1" a="1"/>
  <c r="AQ1460" i="2" s="1"/>
  <c r="AO1396" i="2"/>
  <c r="AP1396" i="2" s="1"/>
  <c r="AQ1396" i="2" s="1" a="1"/>
  <c r="AQ1396" i="2" s="1"/>
  <c r="AO1332" i="2"/>
  <c r="AP1332" i="2" s="1"/>
  <c r="AQ1332" i="2" s="1" a="1"/>
  <c r="AQ1332" i="2" s="1"/>
  <c r="AO1268" i="2"/>
  <c r="AP1268" i="2" s="1"/>
  <c r="AQ1268" i="2" s="1" a="1"/>
  <c r="AQ1268" i="2" s="1"/>
  <c r="AO1204" i="2"/>
  <c r="AP1204" i="2" s="1"/>
  <c r="AQ1204" i="2" s="1" a="1"/>
  <c r="AQ1204" i="2" s="1"/>
  <c r="AO1140" i="2"/>
  <c r="AP1140" i="2" s="1"/>
  <c r="AQ1140" i="2" s="1" a="1"/>
  <c r="AQ1140" i="2" s="1"/>
  <c r="AO1076" i="2"/>
  <c r="AP1076" i="2" s="1"/>
  <c r="AQ1076" i="2" s="1" a="1"/>
  <c r="AQ1076" i="2" s="1"/>
  <c r="AO1012" i="2"/>
  <c r="AP1012" i="2" s="1"/>
  <c r="AQ1012" i="2" s="1" a="1"/>
  <c r="AQ1012" i="2" s="1"/>
  <c r="AO948" i="2"/>
  <c r="AP948" i="2" s="1"/>
  <c r="AQ948" i="2" s="1" a="1"/>
  <c r="AQ948" i="2" s="1"/>
  <c r="AO884" i="2"/>
  <c r="AP884" i="2" s="1"/>
  <c r="AQ884" i="2" s="1" a="1"/>
  <c r="AQ884" i="2" s="1"/>
  <c r="AO820" i="2"/>
  <c r="AP820" i="2" s="1"/>
  <c r="AQ820" i="2" s="1" a="1"/>
  <c r="AQ820" i="2" s="1"/>
  <c r="AO756" i="2"/>
  <c r="AP756" i="2" s="1"/>
  <c r="AQ756" i="2" s="1" a="1"/>
  <c r="AQ756" i="2" s="1"/>
  <c r="AO692" i="2"/>
  <c r="AP692" i="2" s="1"/>
  <c r="AQ692" i="2" s="1" a="1"/>
  <c r="AQ692" i="2" s="1"/>
  <c r="AO1419" i="2"/>
  <c r="AP1419" i="2" s="1"/>
  <c r="AQ1419" i="2" s="1" a="1"/>
  <c r="AQ1419" i="2" s="1"/>
  <c r="AO1355" i="2"/>
  <c r="AP1355" i="2" s="1"/>
  <c r="AQ1355" i="2" s="1" a="1"/>
  <c r="AQ1355" i="2" s="1"/>
  <c r="AO1291" i="2"/>
  <c r="AP1291" i="2" s="1"/>
  <c r="AQ1291" i="2" s="1" a="1"/>
  <c r="AQ1291" i="2" s="1"/>
  <c r="AO1227" i="2"/>
  <c r="AP1227" i="2" s="1"/>
  <c r="AQ1227" i="2" s="1" a="1"/>
  <c r="AQ1227" i="2" s="1"/>
  <c r="AO1163" i="2"/>
  <c r="AP1163" i="2" s="1"/>
  <c r="AQ1163" i="2" s="1" a="1"/>
  <c r="AQ1163" i="2" s="1"/>
  <c r="AO1099" i="2"/>
  <c r="AP1099" i="2" s="1"/>
  <c r="AQ1099" i="2" s="1" a="1"/>
  <c r="AQ1099" i="2" s="1"/>
  <c r="AO1035" i="2"/>
  <c r="AP1035" i="2" s="1"/>
  <c r="AQ1035" i="2" s="1" a="1"/>
  <c r="AQ1035" i="2" s="1"/>
  <c r="AO971" i="2"/>
  <c r="AP971" i="2" s="1"/>
  <c r="AQ971" i="2" s="1" a="1"/>
  <c r="AQ971" i="2" s="1"/>
  <c r="AO907" i="2"/>
  <c r="AP907" i="2" s="1"/>
  <c r="AQ907" i="2" s="1" a="1"/>
  <c r="AQ907" i="2" s="1"/>
  <c r="AO843" i="2"/>
  <c r="AP843" i="2" s="1"/>
  <c r="AQ843" i="2" s="1" a="1"/>
  <c r="AQ843" i="2" s="1"/>
  <c r="AO779" i="2"/>
  <c r="AP779" i="2" s="1"/>
  <c r="AQ779" i="2" s="1" a="1"/>
  <c r="AQ779" i="2" s="1"/>
  <c r="AO715" i="2"/>
  <c r="AP715" i="2" s="1"/>
  <c r="AQ715" i="2" s="1" a="1"/>
  <c r="AQ715" i="2" s="1"/>
  <c r="AO651" i="2"/>
  <c r="AP651" i="2" s="1"/>
  <c r="AQ651" i="2" s="1" a="1"/>
  <c r="AQ651" i="2" s="1"/>
  <c r="AO587" i="2"/>
  <c r="AP587" i="2" s="1"/>
  <c r="AQ587" i="2" s="1" a="1"/>
  <c r="AQ587" i="2" s="1"/>
  <c r="AO523" i="2"/>
  <c r="AP523" i="2" s="1"/>
  <c r="AQ523" i="2" s="1" a="1"/>
  <c r="AQ523" i="2" s="1"/>
  <c r="AO459" i="2"/>
  <c r="AP459" i="2" s="1"/>
  <c r="AQ459" i="2" s="1" a="1"/>
  <c r="AQ459" i="2" s="1"/>
  <c r="AO395" i="2"/>
  <c r="AP395" i="2" s="1"/>
  <c r="AQ395" i="2" s="1" a="1"/>
  <c r="AQ395" i="2" s="1"/>
  <c r="AO331" i="2"/>
  <c r="AP331" i="2" s="1"/>
  <c r="AQ331" i="2" s="1" a="1"/>
  <c r="AQ331" i="2" s="1"/>
  <c r="AO267" i="2"/>
  <c r="AP267" i="2" s="1"/>
  <c r="AQ267" i="2" s="1" a="1"/>
  <c r="AQ267" i="2" s="1"/>
  <c r="AO203" i="2"/>
  <c r="AP203" i="2" s="1"/>
  <c r="AQ203" i="2" s="1" a="1"/>
  <c r="AQ203" i="2" s="1"/>
  <c r="AO1434" i="2"/>
  <c r="AP1434" i="2" s="1"/>
  <c r="AQ1434" i="2" s="1" a="1"/>
  <c r="AQ1434" i="2" s="1"/>
  <c r="AO1370" i="2"/>
  <c r="AP1370" i="2" s="1"/>
  <c r="AQ1370" i="2" s="1" a="1"/>
  <c r="AQ1370" i="2" s="1"/>
  <c r="AO1306" i="2"/>
  <c r="AP1306" i="2" s="1"/>
  <c r="AQ1306" i="2" s="1" a="1"/>
  <c r="AQ1306" i="2" s="1"/>
  <c r="AO1242" i="2"/>
  <c r="AP1242" i="2" s="1"/>
  <c r="AQ1242" i="2" s="1" a="1"/>
  <c r="AQ1242" i="2" s="1"/>
  <c r="AO1178" i="2"/>
  <c r="AP1178" i="2" s="1"/>
  <c r="AQ1178" i="2" s="1" a="1"/>
  <c r="AQ1178" i="2" s="1"/>
  <c r="AO1114" i="2"/>
  <c r="AP1114" i="2" s="1"/>
  <c r="AQ1114" i="2" s="1" a="1"/>
  <c r="AQ1114" i="2" s="1"/>
  <c r="AO1441" i="2"/>
  <c r="AP1441" i="2" s="1"/>
  <c r="AQ1441" i="2" s="1" a="1"/>
  <c r="AQ1441" i="2" s="1"/>
  <c r="AO1377" i="2"/>
  <c r="AP1377" i="2" s="1"/>
  <c r="AQ1377" i="2" s="1" a="1"/>
  <c r="AQ1377" i="2" s="1"/>
  <c r="AO1313" i="2"/>
  <c r="AP1313" i="2" s="1"/>
  <c r="AQ1313" i="2" s="1" a="1"/>
  <c r="AQ1313" i="2" s="1"/>
  <c r="AO1249" i="2"/>
  <c r="AP1249" i="2" s="1"/>
  <c r="AQ1249" i="2" s="1" a="1"/>
  <c r="AQ1249" i="2" s="1"/>
  <c r="AO1185" i="2"/>
  <c r="AP1185" i="2" s="1"/>
  <c r="AQ1185" i="2" s="1" a="1"/>
  <c r="AQ1185" i="2" s="1"/>
  <c r="AO1121" i="2"/>
  <c r="AP1121" i="2" s="1"/>
  <c r="AQ1121" i="2" s="1" a="1"/>
  <c r="AQ1121" i="2" s="1"/>
  <c r="AO385" i="2"/>
  <c r="AP385" i="2" s="1"/>
  <c r="AQ385" i="2" s="1" a="1"/>
  <c r="AQ385" i="2" s="1"/>
  <c r="AO1342" i="2"/>
  <c r="AP1342" i="2" s="1"/>
  <c r="AQ1342" i="2" s="1" a="1"/>
  <c r="AQ1342" i="2" s="1"/>
  <c r="AO1278" i="2"/>
  <c r="AP1278" i="2" s="1"/>
  <c r="AQ1278" i="2" s="1" a="1"/>
  <c r="AQ1278" i="2" s="1"/>
  <c r="AO1214" i="2"/>
  <c r="AP1214" i="2" s="1"/>
  <c r="AQ1214" i="2" s="1" a="1"/>
  <c r="AQ1214" i="2" s="1"/>
  <c r="AO1150" i="2"/>
  <c r="AP1150" i="2" s="1"/>
  <c r="AQ1150" i="2" s="1" a="1"/>
  <c r="AQ1150" i="2" s="1"/>
  <c r="AO1086" i="2"/>
  <c r="AP1086" i="2" s="1"/>
  <c r="AQ1086" i="2" s="1" a="1"/>
  <c r="AQ1086" i="2" s="1"/>
  <c r="AO1022" i="2"/>
  <c r="AP1022" i="2" s="1"/>
  <c r="AQ1022" i="2" s="1" a="1"/>
  <c r="AQ1022" i="2" s="1"/>
  <c r="AO958" i="2"/>
  <c r="AP958" i="2" s="1"/>
  <c r="AQ958" i="2" s="1" a="1"/>
  <c r="AQ958" i="2" s="1"/>
  <c r="AO894" i="2"/>
  <c r="AP894" i="2" s="1"/>
  <c r="AQ894" i="2" s="1" a="1"/>
  <c r="AQ894" i="2" s="1"/>
  <c r="AO830" i="2"/>
  <c r="AP830" i="2" s="1"/>
  <c r="AQ830" i="2" s="1" a="1"/>
  <c r="AQ830" i="2" s="1"/>
  <c r="AO766" i="2"/>
  <c r="AP766" i="2" s="1"/>
  <c r="AQ766" i="2" s="1" a="1"/>
  <c r="AQ766" i="2" s="1"/>
  <c r="AO702" i="2"/>
  <c r="AP702" i="2" s="1"/>
  <c r="AQ702" i="2" s="1" a="1"/>
  <c r="AQ702" i="2" s="1"/>
  <c r="AO638" i="2"/>
  <c r="AP638" i="2" s="1"/>
  <c r="AQ638" i="2" s="1" a="1"/>
  <c r="AQ638" i="2" s="1"/>
  <c r="AO574" i="2"/>
  <c r="AP574" i="2" s="1"/>
  <c r="AQ574" i="2" s="1" a="1"/>
  <c r="AQ574" i="2" s="1"/>
  <c r="AO510" i="2"/>
  <c r="AP510" i="2" s="1"/>
  <c r="AQ510" i="2" s="1" a="1"/>
  <c r="AQ510" i="2" s="1"/>
  <c r="AO446" i="2"/>
  <c r="AP446" i="2" s="1"/>
  <c r="AQ446" i="2" s="1" a="1"/>
  <c r="AQ446" i="2" s="1"/>
  <c r="AO382" i="2"/>
  <c r="AP382" i="2" s="1"/>
  <c r="AQ382" i="2" s="1" a="1"/>
  <c r="AQ382" i="2" s="1"/>
  <c r="AO318" i="2"/>
  <c r="AP318" i="2" s="1"/>
  <c r="AQ318" i="2" s="1" a="1"/>
  <c r="AQ318" i="2" s="1"/>
  <c r="AO254" i="2"/>
  <c r="AP254" i="2" s="1"/>
  <c r="AQ254" i="2" s="1" a="1"/>
  <c r="AQ254" i="2" s="1"/>
  <c r="AO190" i="2"/>
  <c r="AP190" i="2" s="1"/>
  <c r="AQ190" i="2" s="1" a="1"/>
  <c r="AQ190" i="2" s="1"/>
  <c r="AO126" i="2"/>
  <c r="AP126" i="2" s="1"/>
  <c r="AQ126" i="2" s="1" a="1"/>
  <c r="AQ126" i="2" s="1"/>
  <c r="AO62" i="2"/>
  <c r="AP62" i="2" s="1"/>
  <c r="AQ62" i="2" s="1" a="1"/>
  <c r="AQ62" i="2" s="1"/>
  <c r="AO676" i="2"/>
  <c r="AP676" i="2" s="1"/>
  <c r="AQ676" i="2" s="1" a="1"/>
  <c r="AQ676" i="2" s="1"/>
  <c r="AO612" i="2"/>
  <c r="AP612" i="2" s="1"/>
  <c r="AQ612" i="2" s="1" a="1"/>
  <c r="AQ612" i="2" s="1"/>
  <c r="AO548" i="2"/>
  <c r="AP548" i="2" s="1"/>
  <c r="AQ548" i="2" s="1" a="1"/>
  <c r="AQ548" i="2" s="1"/>
  <c r="AO484" i="2"/>
  <c r="AP484" i="2" s="1"/>
  <c r="AQ484" i="2" s="1" a="1"/>
  <c r="AQ484" i="2" s="1"/>
  <c r="AO420" i="2"/>
  <c r="AP420" i="2" s="1"/>
  <c r="AQ420" i="2" s="1" a="1"/>
  <c r="AQ420" i="2" s="1"/>
  <c r="AO356" i="2"/>
  <c r="AP356" i="2" s="1"/>
  <c r="AQ356" i="2" s="1" a="1"/>
  <c r="AQ356" i="2" s="1"/>
  <c r="AO292" i="2"/>
  <c r="AP292" i="2" s="1"/>
  <c r="AQ292" i="2" s="1" a="1"/>
  <c r="AQ292" i="2" s="1"/>
  <c r="AO228" i="2"/>
  <c r="AP228" i="2" s="1"/>
  <c r="AQ228" i="2" s="1" a="1"/>
  <c r="AQ228" i="2" s="1"/>
  <c r="AO164" i="2"/>
  <c r="AP164" i="2" s="1"/>
  <c r="AQ164" i="2" s="1" a="1"/>
  <c r="AQ164" i="2" s="1"/>
  <c r="AO100" i="2"/>
  <c r="AP100" i="2" s="1"/>
  <c r="AQ100" i="2" s="1" a="1"/>
  <c r="AQ100" i="2" s="1"/>
  <c r="AO36" i="2"/>
  <c r="AP36" i="2" s="1"/>
  <c r="AQ36" i="2" s="1" a="1"/>
  <c r="AQ36" i="2" s="1"/>
  <c r="AO147" i="2"/>
  <c r="AP147" i="2" s="1"/>
  <c r="AQ147" i="2" s="1" a="1"/>
  <c r="AQ147" i="2" s="1"/>
  <c r="AO83" i="2"/>
  <c r="AP83" i="2" s="1"/>
  <c r="AQ83" i="2" s="1" a="1"/>
  <c r="AQ83" i="2" s="1"/>
  <c r="AO19" i="2"/>
  <c r="AP19" i="2" s="1"/>
  <c r="AQ19" i="2" s="1" a="1"/>
  <c r="AQ19" i="2" s="1"/>
  <c r="AO1034" i="2"/>
  <c r="AP1034" i="2" s="1"/>
  <c r="AQ1034" i="2" s="1" a="1"/>
  <c r="AQ1034" i="2" s="1"/>
  <c r="AO970" i="2"/>
  <c r="AP970" i="2" s="1"/>
  <c r="AQ970" i="2" s="1" a="1"/>
  <c r="AQ970" i="2" s="1"/>
  <c r="AO906" i="2"/>
  <c r="AP906" i="2" s="1"/>
  <c r="AQ906" i="2" s="1" a="1"/>
  <c r="AQ906" i="2" s="1"/>
  <c r="AO842" i="2"/>
  <c r="AP842" i="2" s="1"/>
  <c r="AQ842" i="2" s="1" a="1"/>
  <c r="AQ842" i="2" s="1"/>
  <c r="AO778" i="2"/>
  <c r="AP778" i="2" s="1"/>
  <c r="AQ778" i="2" s="1" a="1"/>
  <c r="AQ778" i="2" s="1"/>
  <c r="AO714" i="2"/>
  <c r="AP714" i="2" s="1"/>
  <c r="AQ714" i="2" s="1" a="1"/>
  <c r="AQ714" i="2" s="1"/>
  <c r="AO650" i="2"/>
  <c r="AP650" i="2" s="1"/>
  <c r="AQ650" i="2" s="1" a="1"/>
  <c r="AQ650" i="2" s="1"/>
  <c r="AO586" i="2"/>
  <c r="AP586" i="2" s="1"/>
  <c r="AQ586" i="2" s="1" a="1"/>
  <c r="AQ586" i="2" s="1"/>
  <c r="AO522" i="2"/>
  <c r="AP522" i="2" s="1"/>
  <c r="AQ522" i="2" s="1" a="1"/>
  <c r="AQ522" i="2" s="1"/>
  <c r="AO458" i="2"/>
  <c r="AP458" i="2" s="1"/>
  <c r="AQ458" i="2" s="1" a="1"/>
  <c r="AQ458" i="2" s="1"/>
  <c r="AO394" i="2"/>
  <c r="AP394" i="2" s="1"/>
  <c r="AQ394" i="2" s="1" a="1"/>
  <c r="AQ394" i="2" s="1"/>
  <c r="AO330" i="2"/>
  <c r="AP330" i="2" s="1"/>
  <c r="AQ330" i="2" s="1" a="1"/>
  <c r="AQ330" i="2" s="1"/>
  <c r="AO266" i="2"/>
  <c r="AP266" i="2" s="1"/>
  <c r="AQ266" i="2" s="1" a="1"/>
  <c r="AQ266" i="2" s="1"/>
  <c r="AO202" i="2"/>
  <c r="AP202" i="2" s="1"/>
  <c r="AQ202" i="2" s="1" a="1"/>
  <c r="AQ202" i="2" s="1"/>
  <c r="AO138" i="2"/>
  <c r="AP138" i="2" s="1"/>
  <c r="AQ138" i="2" s="1" a="1"/>
  <c r="AQ138" i="2" s="1"/>
  <c r="AO74" i="2"/>
  <c r="AP74" i="2" s="1"/>
  <c r="AQ74" i="2" s="1" a="1"/>
  <c r="AQ74" i="2" s="1"/>
  <c r="AO10" i="2"/>
  <c r="AP10" i="2" s="1"/>
  <c r="AQ10" i="2" s="1" a="1"/>
  <c r="AQ10" i="2" s="1"/>
  <c r="AO1041" i="2"/>
  <c r="AP1041" i="2" s="1"/>
  <c r="AQ1041" i="2" s="1" a="1"/>
  <c r="AQ1041" i="2" s="1"/>
  <c r="AO977" i="2"/>
  <c r="AP977" i="2" s="1"/>
  <c r="AQ977" i="2" s="1" a="1"/>
  <c r="AQ977" i="2" s="1"/>
  <c r="AO913" i="2"/>
  <c r="AP913" i="2" s="1"/>
  <c r="AQ913" i="2" s="1" a="1"/>
  <c r="AQ913" i="2" s="1"/>
  <c r="AO849" i="2"/>
  <c r="AP849" i="2" s="1"/>
  <c r="AQ849" i="2" s="1" a="1"/>
  <c r="AQ849" i="2" s="1"/>
  <c r="AO785" i="2"/>
  <c r="AP785" i="2" s="1"/>
  <c r="AQ785" i="2" s="1" a="1"/>
  <c r="AQ785" i="2" s="1"/>
  <c r="AO721" i="2"/>
  <c r="AP721" i="2" s="1"/>
  <c r="AQ721" i="2" s="1" a="1"/>
  <c r="AQ721" i="2" s="1"/>
  <c r="AO657" i="2"/>
  <c r="AP657" i="2" s="1"/>
  <c r="AQ657" i="2" s="1" a="1"/>
  <c r="AQ657" i="2" s="1"/>
  <c r="AO585" i="2"/>
  <c r="AP585" i="2" s="1"/>
  <c r="AQ585" i="2" s="1" a="1"/>
  <c r="AQ585" i="2" s="1"/>
  <c r="AO505" i="2"/>
  <c r="AP505" i="2" s="1"/>
  <c r="AQ505" i="2" s="1" a="1"/>
  <c r="AQ505" i="2" s="1"/>
  <c r="AO433" i="2"/>
  <c r="AP433" i="2" s="1"/>
  <c r="AQ433" i="2" s="1" a="1"/>
  <c r="AQ433" i="2" s="1"/>
  <c r="AO361" i="2"/>
  <c r="AP361" i="2" s="1"/>
  <c r="AQ361" i="2" s="1" a="1"/>
  <c r="AQ361" i="2" s="1"/>
  <c r="AO289" i="2"/>
  <c r="AP289" i="2" s="1"/>
  <c r="AQ289" i="2" s="1" a="1"/>
  <c r="AQ289" i="2" s="1"/>
  <c r="AO217" i="2"/>
  <c r="AP217" i="2" s="1"/>
  <c r="AQ217" i="2" s="1" a="1"/>
  <c r="AQ217" i="2" s="1"/>
  <c r="AO145" i="2"/>
  <c r="AP145" i="2" s="1"/>
  <c r="AQ145" i="2" s="1" a="1"/>
  <c r="AQ145" i="2" s="1"/>
  <c r="AO73" i="2"/>
  <c r="AP73" i="2" s="1"/>
  <c r="AQ73" i="2" s="1" a="1"/>
  <c r="AQ73" i="2" s="1"/>
  <c r="AO975" i="2"/>
  <c r="AP975" i="2" s="1"/>
  <c r="AQ975" i="2" s="1" a="1"/>
  <c r="AQ975" i="2" s="1"/>
  <c r="AO911" i="2"/>
  <c r="AP911" i="2" s="1"/>
  <c r="AQ911" i="2" s="1" a="1"/>
  <c r="AQ911" i="2" s="1"/>
  <c r="AO1205" i="2"/>
  <c r="AP1205" i="2" s="1"/>
  <c r="AQ1205" i="2" s="1" a="1"/>
  <c r="AQ1205" i="2" s="1"/>
  <c r="AO821" i="2"/>
  <c r="AP821" i="2" s="1"/>
  <c r="AQ821" i="2" s="1" a="1"/>
  <c r="AQ821" i="2" s="1"/>
  <c r="AO437" i="2"/>
  <c r="AP437" i="2" s="1"/>
  <c r="AQ437" i="2" s="1" a="1"/>
  <c r="AQ437" i="2" s="1"/>
  <c r="AO77" i="2"/>
  <c r="AP77" i="2" s="1"/>
  <c r="AQ77" i="2" s="1" a="1"/>
  <c r="AQ77" i="2" s="1"/>
  <c r="AO1197" i="2"/>
  <c r="AP1197" i="2" s="1"/>
  <c r="AQ1197" i="2" s="1" a="1"/>
  <c r="AQ1197" i="2" s="1"/>
  <c r="AO829" i="2"/>
  <c r="AP829" i="2" s="1"/>
  <c r="AQ829" i="2" s="1" a="1"/>
  <c r="AQ829" i="2" s="1"/>
  <c r="AO445" i="2"/>
  <c r="AP445" i="2" s="1"/>
  <c r="AQ445" i="2" s="1" a="1"/>
  <c r="AQ445" i="2" s="1"/>
  <c r="AO93" i="2"/>
  <c r="AP93" i="2" s="1"/>
  <c r="AQ93" i="2" s="1" a="1"/>
  <c r="AQ93" i="2" s="1"/>
  <c r="AO1133" i="2"/>
  <c r="AP1133" i="2" s="1"/>
  <c r="AQ1133" i="2" s="1" a="1"/>
  <c r="AQ1133" i="2" s="1"/>
  <c r="AO757" i="2"/>
  <c r="AP757" i="2" s="1"/>
  <c r="AQ757" i="2" s="1" a="1"/>
  <c r="AQ757" i="2" s="1"/>
  <c r="AO421" i="2"/>
  <c r="AP421" i="2" s="1"/>
  <c r="AQ421" i="2" s="1" a="1"/>
  <c r="AQ421" i="2" s="1"/>
  <c r="AO29" i="2"/>
  <c r="AP29" i="2" s="1"/>
  <c r="AQ29" i="2" s="1" a="1"/>
  <c r="AQ29" i="2" s="1"/>
  <c r="AO1125" i="2"/>
  <c r="AP1125" i="2" s="1"/>
  <c r="AQ1125" i="2" s="1" a="1"/>
  <c r="AQ1125" i="2" s="1"/>
  <c r="AO741" i="2"/>
  <c r="AP741" i="2" s="1"/>
  <c r="AQ741" i="2" s="1" a="1"/>
  <c r="AQ741" i="2" s="1"/>
  <c r="AO349" i="2"/>
  <c r="AP349" i="2" s="1"/>
  <c r="AQ349" i="2" s="1" a="1"/>
  <c r="AQ349" i="2" s="1"/>
  <c r="AO1456" i="2"/>
  <c r="AP1456" i="2" s="1"/>
  <c r="AQ1456" i="2" s="1" a="1"/>
  <c r="AQ1456" i="2" s="1"/>
  <c r="AO1392" i="2"/>
  <c r="AP1392" i="2" s="1"/>
  <c r="AQ1392" i="2" s="1" a="1"/>
  <c r="AQ1392" i="2" s="1"/>
  <c r="AO1261" i="2"/>
  <c r="AP1261" i="2" s="1"/>
  <c r="AQ1261" i="2" s="1" a="1"/>
  <c r="AQ1261" i="2" s="1"/>
  <c r="AO837" i="2"/>
  <c r="AP837" i="2" s="1"/>
  <c r="AQ837" i="2" s="1" a="1"/>
  <c r="AQ837" i="2" s="1"/>
  <c r="AO493" i="2"/>
  <c r="AP493" i="2" s="1"/>
  <c r="AQ493" i="2" s="1" a="1"/>
  <c r="AQ493" i="2" s="1"/>
  <c r="AO109" i="2"/>
  <c r="AP109" i="2" s="1"/>
  <c r="AQ109" i="2" s="1" a="1"/>
  <c r="AQ109" i="2" s="1"/>
  <c r="AO1189" i="2"/>
  <c r="AP1189" i="2" s="1"/>
  <c r="AQ1189" i="2" s="1" a="1"/>
  <c r="AQ1189" i="2" s="1"/>
  <c r="AO813" i="2"/>
  <c r="AP813" i="2" s="1"/>
  <c r="AQ813" i="2" s="1" a="1"/>
  <c r="AQ813" i="2" s="1"/>
  <c r="AO333" i="2"/>
  <c r="AP333" i="2" s="1"/>
  <c r="AQ333" i="2" s="1" a="1"/>
  <c r="AQ333" i="2" s="1"/>
  <c r="AO1360" i="2"/>
  <c r="AP1360" i="2" s="1"/>
  <c r="AQ1360" i="2" s="1" a="1"/>
  <c r="AQ1360" i="2" s="1"/>
  <c r="AO1296" i="2"/>
  <c r="AP1296" i="2" s="1"/>
  <c r="AQ1296" i="2" s="1" a="1"/>
  <c r="AQ1296" i="2" s="1"/>
  <c r="AO1232" i="2"/>
  <c r="AP1232" i="2" s="1"/>
  <c r="AQ1232" i="2" s="1" a="1"/>
  <c r="AQ1232" i="2" s="1"/>
  <c r="AO1168" i="2"/>
  <c r="AP1168" i="2" s="1"/>
  <c r="AQ1168" i="2" s="1" a="1"/>
  <c r="AQ1168" i="2" s="1"/>
  <c r="AO1104" i="2"/>
  <c r="AP1104" i="2" s="1"/>
  <c r="AQ1104" i="2" s="1" a="1"/>
  <c r="AQ1104" i="2" s="1"/>
  <c r="AO1040" i="2"/>
  <c r="AP1040" i="2" s="1"/>
  <c r="AQ1040" i="2" s="1" a="1"/>
  <c r="AQ1040" i="2" s="1"/>
  <c r="AO976" i="2"/>
  <c r="AP976" i="2" s="1"/>
  <c r="AQ976" i="2" s="1" a="1"/>
  <c r="AQ976" i="2" s="1"/>
  <c r="AO912" i="2"/>
  <c r="AP912" i="2" s="1"/>
  <c r="AQ912" i="2" s="1" a="1"/>
  <c r="AQ912" i="2" s="1"/>
  <c r="AO848" i="2"/>
  <c r="AP848" i="2" s="1"/>
  <c r="AQ848" i="2" s="1" a="1"/>
  <c r="AQ848" i="2" s="1"/>
  <c r="AO784" i="2"/>
  <c r="AP784" i="2" s="1"/>
  <c r="AQ784" i="2" s="1" a="1"/>
  <c r="AQ784" i="2" s="1"/>
  <c r="AO720" i="2"/>
  <c r="AP720" i="2" s="1"/>
  <c r="AQ720" i="2" s="1" a="1"/>
  <c r="AQ720" i="2" s="1"/>
  <c r="AO656" i="2"/>
  <c r="AP656" i="2" s="1"/>
  <c r="AQ656" i="2" s="1" a="1"/>
  <c r="AQ656" i="2" s="1"/>
  <c r="AO592" i="2"/>
  <c r="AP592" i="2" s="1"/>
  <c r="AQ592" i="2" s="1" a="1"/>
  <c r="AQ592" i="2" s="1"/>
  <c r="AO528" i="2"/>
  <c r="AP528" i="2" s="1"/>
  <c r="AQ528" i="2" s="1" a="1"/>
  <c r="AQ528" i="2" s="1"/>
  <c r="AO464" i="2"/>
  <c r="AP464" i="2" s="1"/>
  <c r="AQ464" i="2" s="1" a="1"/>
  <c r="AQ464" i="2" s="1"/>
  <c r="AO400" i="2"/>
  <c r="AP400" i="2" s="1"/>
  <c r="AQ400" i="2" s="1" a="1"/>
  <c r="AQ400" i="2" s="1"/>
  <c r="AO336" i="2"/>
  <c r="AP336" i="2" s="1"/>
  <c r="AQ336" i="2" s="1" a="1"/>
  <c r="AQ336" i="2" s="1"/>
  <c r="AO272" i="2"/>
  <c r="AP272" i="2" s="1"/>
  <c r="AQ272" i="2" s="1" a="1"/>
  <c r="AQ272" i="2" s="1"/>
  <c r="AO208" i="2"/>
  <c r="AP208" i="2" s="1"/>
  <c r="AQ208" i="2" s="1" a="1"/>
  <c r="AQ208" i="2" s="1"/>
  <c r="AO144" i="2"/>
  <c r="AP144" i="2" s="1"/>
  <c r="AQ144" i="2" s="1" a="1"/>
  <c r="AQ144" i="2" s="1"/>
  <c r="AO80" i="2"/>
  <c r="AP80" i="2" s="1"/>
  <c r="AQ80" i="2" s="1" a="1"/>
  <c r="AQ80" i="2" s="1"/>
  <c r="AO16" i="2"/>
  <c r="AP16" i="2" s="1"/>
  <c r="AQ16" i="2" s="1" a="1"/>
  <c r="AQ16" i="2" s="1"/>
  <c r="AO1423" i="2"/>
  <c r="AP1423" i="2" s="1"/>
  <c r="AQ1423" i="2" s="1" a="1"/>
  <c r="AQ1423" i="2" s="1"/>
  <c r="AO1359" i="2"/>
  <c r="AP1359" i="2" s="1"/>
  <c r="AQ1359" i="2" s="1" a="1"/>
  <c r="AQ1359" i="2" s="1"/>
  <c r="AO1295" i="2"/>
  <c r="AP1295" i="2" s="1"/>
  <c r="AQ1295" i="2" s="1" a="1"/>
  <c r="AQ1295" i="2" s="1"/>
  <c r="AO1231" i="2"/>
  <c r="AP1231" i="2" s="1"/>
  <c r="AQ1231" i="2" s="1" a="1"/>
  <c r="AQ1231" i="2" s="1"/>
  <c r="AO1167" i="2"/>
  <c r="AP1167" i="2" s="1"/>
  <c r="AQ1167" i="2" s="1" a="1"/>
  <c r="AQ1167" i="2" s="1"/>
  <c r="AO1103" i="2"/>
  <c r="AP1103" i="2" s="1"/>
  <c r="AQ1103" i="2" s="1" a="1"/>
  <c r="AQ1103" i="2" s="1"/>
  <c r="AO1039" i="2"/>
  <c r="AP1039" i="2" s="1"/>
  <c r="AQ1039" i="2" s="1" a="1"/>
  <c r="AQ1039" i="2" s="1"/>
  <c r="AO1470" i="2"/>
  <c r="AP1470" i="2" s="1"/>
  <c r="AQ1470" i="2" s="1" a="1"/>
  <c r="AQ1470" i="2" s="1"/>
  <c r="AO1406" i="2"/>
  <c r="AP1406" i="2" s="1"/>
  <c r="AQ1406" i="2" s="1" a="1"/>
  <c r="AQ1406" i="2" s="1"/>
  <c r="AO1452" i="2"/>
  <c r="AP1452" i="2" s="1"/>
  <c r="AQ1452" i="2" s="1" a="1"/>
  <c r="AQ1452" i="2" s="1"/>
  <c r="AO1388" i="2"/>
  <c r="AP1388" i="2" s="1"/>
  <c r="AQ1388" i="2" s="1" a="1"/>
  <c r="AQ1388" i="2" s="1"/>
  <c r="AO1324" i="2"/>
  <c r="AP1324" i="2" s="1"/>
  <c r="AQ1324" i="2" s="1" a="1"/>
  <c r="AQ1324" i="2" s="1"/>
  <c r="AO1260" i="2"/>
  <c r="AP1260" i="2" s="1"/>
  <c r="AQ1260" i="2" s="1" a="1"/>
  <c r="AQ1260" i="2" s="1"/>
  <c r="AO1196" i="2"/>
  <c r="AP1196" i="2" s="1"/>
  <c r="AQ1196" i="2" s="1" a="1"/>
  <c r="AQ1196" i="2" s="1"/>
  <c r="AO1132" i="2"/>
  <c r="AP1132" i="2" s="1"/>
  <c r="AQ1132" i="2" s="1" a="1"/>
  <c r="AQ1132" i="2" s="1"/>
  <c r="AO1068" i="2"/>
  <c r="AP1068" i="2" s="1"/>
  <c r="AQ1068" i="2" s="1" a="1"/>
  <c r="AQ1068" i="2" s="1"/>
  <c r="AO1004" i="2"/>
  <c r="AP1004" i="2" s="1"/>
  <c r="AQ1004" i="2" s="1" a="1"/>
  <c r="AQ1004" i="2" s="1"/>
  <c r="AO940" i="2"/>
  <c r="AP940" i="2" s="1"/>
  <c r="AQ940" i="2" s="1" a="1"/>
  <c r="AQ940" i="2" s="1"/>
  <c r="AO876" i="2"/>
  <c r="AP876" i="2" s="1"/>
  <c r="AQ876" i="2" s="1" a="1"/>
  <c r="AQ876" i="2" s="1"/>
  <c r="AO812" i="2"/>
  <c r="AP812" i="2" s="1"/>
  <c r="AQ812" i="2" s="1" a="1"/>
  <c r="AQ812" i="2" s="1"/>
  <c r="AO748" i="2"/>
  <c r="AP748" i="2" s="1"/>
  <c r="AQ748" i="2" s="1" a="1"/>
  <c r="AQ748" i="2" s="1"/>
  <c r="AO684" i="2"/>
  <c r="AP684" i="2" s="1"/>
  <c r="AQ684" i="2" s="1" a="1"/>
  <c r="AQ684" i="2" s="1"/>
  <c r="AO1411" i="2"/>
  <c r="AP1411" i="2" s="1"/>
  <c r="AQ1411" i="2" s="1" a="1"/>
  <c r="AQ1411" i="2" s="1"/>
  <c r="AO1347" i="2"/>
  <c r="AP1347" i="2" s="1"/>
  <c r="AQ1347" i="2" s="1" a="1"/>
  <c r="AQ1347" i="2" s="1"/>
  <c r="AO1283" i="2"/>
  <c r="AP1283" i="2" s="1"/>
  <c r="AQ1283" i="2" s="1" a="1"/>
  <c r="AQ1283" i="2" s="1"/>
  <c r="AO1219" i="2"/>
  <c r="AP1219" i="2" s="1"/>
  <c r="AQ1219" i="2" s="1" a="1"/>
  <c r="AQ1219" i="2" s="1"/>
  <c r="AO1155" i="2"/>
  <c r="AP1155" i="2" s="1"/>
  <c r="AQ1155" i="2" s="1" a="1"/>
  <c r="AQ1155" i="2" s="1"/>
  <c r="AO1091" i="2"/>
  <c r="AP1091" i="2" s="1"/>
  <c r="AQ1091" i="2" s="1" a="1"/>
  <c r="AQ1091" i="2" s="1"/>
  <c r="AO1027" i="2"/>
  <c r="AP1027" i="2" s="1"/>
  <c r="AQ1027" i="2" s="1" a="1"/>
  <c r="AQ1027" i="2" s="1"/>
  <c r="AO963" i="2"/>
  <c r="AP963" i="2" s="1"/>
  <c r="AQ963" i="2" s="1" a="1"/>
  <c r="AQ963" i="2" s="1"/>
  <c r="AO899" i="2"/>
  <c r="AP899" i="2" s="1"/>
  <c r="AQ899" i="2" s="1" a="1"/>
  <c r="AQ899" i="2" s="1"/>
  <c r="AO835" i="2"/>
  <c r="AP835" i="2" s="1"/>
  <c r="AQ835" i="2" s="1" a="1"/>
  <c r="AQ835" i="2" s="1"/>
  <c r="AO771" i="2"/>
  <c r="AP771" i="2" s="1"/>
  <c r="AQ771" i="2" s="1" a="1"/>
  <c r="AQ771" i="2" s="1"/>
  <c r="AO707" i="2"/>
  <c r="AP707" i="2" s="1"/>
  <c r="AQ707" i="2" s="1" a="1"/>
  <c r="AQ707" i="2" s="1"/>
  <c r="AO643" i="2"/>
  <c r="AP643" i="2" s="1"/>
  <c r="AQ643" i="2" s="1" a="1"/>
  <c r="AQ643" i="2" s="1"/>
  <c r="AO579" i="2"/>
  <c r="AP579" i="2" s="1"/>
  <c r="AQ579" i="2" s="1" a="1"/>
  <c r="AQ579" i="2" s="1"/>
  <c r="AO515" i="2"/>
  <c r="AP515" i="2" s="1"/>
  <c r="AQ515" i="2" s="1" a="1"/>
  <c r="AQ515" i="2" s="1"/>
  <c r="AO451" i="2"/>
  <c r="AP451" i="2" s="1"/>
  <c r="AQ451" i="2" s="1" a="1"/>
  <c r="AQ451" i="2" s="1"/>
  <c r="AO387" i="2"/>
  <c r="AP387" i="2" s="1"/>
  <c r="AQ387" i="2" s="1" a="1"/>
  <c r="AQ387" i="2" s="1"/>
  <c r="AO323" i="2"/>
  <c r="AP323" i="2" s="1"/>
  <c r="AQ323" i="2" s="1" a="1"/>
  <c r="AQ323" i="2" s="1"/>
  <c r="AO259" i="2"/>
  <c r="AP259" i="2" s="1"/>
  <c r="AQ259" i="2" s="1" a="1"/>
  <c r="AQ259" i="2" s="1"/>
  <c r="AO195" i="2"/>
  <c r="AP195" i="2" s="1"/>
  <c r="AQ195" i="2" s="1" a="1"/>
  <c r="AQ195" i="2" s="1"/>
  <c r="AO1426" i="2"/>
  <c r="AP1426" i="2" s="1"/>
  <c r="AQ1426" i="2" s="1" a="1"/>
  <c r="AQ1426" i="2" s="1"/>
  <c r="AO1362" i="2"/>
  <c r="AP1362" i="2" s="1"/>
  <c r="AQ1362" i="2" s="1" a="1"/>
  <c r="AQ1362" i="2" s="1"/>
  <c r="AO1298" i="2"/>
  <c r="AP1298" i="2" s="1"/>
  <c r="AQ1298" i="2" s="1" a="1"/>
  <c r="AQ1298" i="2" s="1"/>
  <c r="AO1234" i="2"/>
  <c r="AP1234" i="2" s="1"/>
  <c r="AQ1234" i="2" s="1" a="1"/>
  <c r="AQ1234" i="2" s="1"/>
  <c r="AO1170" i="2"/>
  <c r="AP1170" i="2" s="1"/>
  <c r="AQ1170" i="2" s="1" a="1"/>
  <c r="AQ1170" i="2" s="1"/>
  <c r="AO1106" i="2"/>
  <c r="AP1106" i="2" s="1"/>
  <c r="AQ1106" i="2" s="1" a="1"/>
  <c r="AQ1106" i="2" s="1"/>
  <c r="AO1433" i="2"/>
  <c r="AP1433" i="2" s="1"/>
  <c r="AQ1433" i="2" s="1" a="1"/>
  <c r="AQ1433" i="2" s="1"/>
  <c r="AO1369" i="2"/>
  <c r="AP1369" i="2" s="1"/>
  <c r="AQ1369" i="2" s="1" a="1"/>
  <c r="AQ1369" i="2" s="1"/>
  <c r="AO1305" i="2"/>
  <c r="AP1305" i="2" s="1"/>
  <c r="AQ1305" i="2" s="1" a="1"/>
  <c r="AQ1305" i="2" s="1"/>
  <c r="AO1241" i="2"/>
  <c r="AP1241" i="2" s="1"/>
  <c r="AQ1241" i="2" s="1" a="1"/>
  <c r="AQ1241" i="2" s="1"/>
  <c r="AO1177" i="2"/>
  <c r="AP1177" i="2" s="1"/>
  <c r="AQ1177" i="2" s="1" a="1"/>
  <c r="AQ1177" i="2" s="1"/>
  <c r="AO1113" i="2"/>
  <c r="AP1113" i="2" s="1"/>
  <c r="AQ1113" i="2" s="1" a="1"/>
  <c r="AQ1113" i="2" s="1"/>
  <c r="AO321" i="2"/>
  <c r="AP321" i="2" s="1"/>
  <c r="AQ321" i="2" s="1" a="1"/>
  <c r="AQ321" i="2" s="1"/>
  <c r="AO1334" i="2"/>
  <c r="AP1334" i="2" s="1"/>
  <c r="AQ1334" i="2" s="1" a="1"/>
  <c r="AQ1334" i="2" s="1"/>
  <c r="AO1270" i="2"/>
  <c r="AP1270" i="2" s="1"/>
  <c r="AQ1270" i="2" s="1" a="1"/>
  <c r="AQ1270" i="2" s="1"/>
  <c r="AO1206" i="2"/>
  <c r="AP1206" i="2" s="1"/>
  <c r="AQ1206" i="2" s="1" a="1"/>
  <c r="AQ1206" i="2" s="1"/>
  <c r="AO1142" i="2"/>
  <c r="AP1142" i="2" s="1"/>
  <c r="AQ1142" i="2" s="1" a="1"/>
  <c r="AQ1142" i="2" s="1"/>
  <c r="AO1078" i="2"/>
  <c r="AP1078" i="2" s="1"/>
  <c r="AQ1078" i="2" s="1" a="1"/>
  <c r="AQ1078" i="2" s="1"/>
  <c r="AO1014" i="2"/>
  <c r="AP1014" i="2" s="1"/>
  <c r="AQ1014" i="2" s="1" a="1"/>
  <c r="AQ1014" i="2" s="1"/>
  <c r="AO950" i="2"/>
  <c r="AP950" i="2" s="1"/>
  <c r="AQ950" i="2" s="1" a="1"/>
  <c r="AQ950" i="2" s="1"/>
  <c r="AO886" i="2"/>
  <c r="AP886" i="2" s="1"/>
  <c r="AQ886" i="2" s="1" a="1"/>
  <c r="AQ886" i="2" s="1"/>
  <c r="AO822" i="2"/>
  <c r="AP822" i="2" s="1"/>
  <c r="AQ822" i="2" s="1" a="1"/>
  <c r="AQ822" i="2" s="1"/>
  <c r="AO758" i="2"/>
  <c r="AP758" i="2" s="1"/>
  <c r="AQ758" i="2" s="1" a="1"/>
  <c r="AQ758" i="2" s="1"/>
  <c r="AO694" i="2"/>
  <c r="AP694" i="2" s="1"/>
  <c r="AQ694" i="2" s="1" a="1"/>
  <c r="AQ694" i="2" s="1"/>
  <c r="AO630" i="2"/>
  <c r="AP630" i="2" s="1"/>
  <c r="AQ630" i="2" s="1" a="1"/>
  <c r="AQ630" i="2" s="1"/>
  <c r="AO566" i="2"/>
  <c r="AP566" i="2" s="1"/>
  <c r="AQ566" i="2" s="1" a="1"/>
  <c r="AQ566" i="2" s="1"/>
  <c r="AO502" i="2"/>
  <c r="AP502" i="2" s="1"/>
  <c r="AQ502" i="2" s="1" a="1"/>
  <c r="AQ502" i="2" s="1"/>
  <c r="AO438" i="2"/>
  <c r="AP438" i="2" s="1"/>
  <c r="AQ438" i="2" s="1" a="1"/>
  <c r="AQ438" i="2" s="1"/>
  <c r="AO374" i="2"/>
  <c r="AP374" i="2" s="1"/>
  <c r="AQ374" i="2" s="1" a="1"/>
  <c r="AQ374" i="2" s="1"/>
  <c r="AO310" i="2"/>
  <c r="AP310" i="2" s="1"/>
  <c r="AQ310" i="2" s="1" a="1"/>
  <c r="AQ310" i="2" s="1"/>
  <c r="AO246" i="2"/>
  <c r="AP246" i="2" s="1"/>
  <c r="AQ246" i="2" s="1" a="1"/>
  <c r="AQ246" i="2" s="1"/>
  <c r="AO182" i="2"/>
  <c r="AP182" i="2" s="1"/>
  <c r="AQ182" i="2" s="1" a="1"/>
  <c r="AQ182" i="2" s="1"/>
  <c r="AO118" i="2"/>
  <c r="AP118" i="2" s="1"/>
  <c r="AQ118" i="2" s="1" a="1"/>
  <c r="AQ118" i="2" s="1"/>
  <c r="AO54" i="2"/>
  <c r="AP54" i="2" s="1"/>
  <c r="AQ54" i="2" s="1" a="1"/>
  <c r="AQ54" i="2" s="1"/>
  <c r="AO668" i="2"/>
  <c r="AP668" i="2" s="1"/>
  <c r="AQ668" i="2" s="1" a="1"/>
  <c r="AQ668" i="2" s="1"/>
  <c r="AO604" i="2"/>
  <c r="AP604" i="2" s="1"/>
  <c r="AQ604" i="2" s="1" a="1"/>
  <c r="AQ604" i="2" s="1"/>
  <c r="AO540" i="2"/>
  <c r="AP540" i="2" s="1"/>
  <c r="AQ540" i="2" s="1" a="1"/>
  <c r="AQ540" i="2" s="1"/>
  <c r="AO476" i="2"/>
  <c r="AP476" i="2" s="1"/>
  <c r="AQ476" i="2" s="1" a="1"/>
  <c r="AQ476" i="2" s="1"/>
  <c r="AO412" i="2"/>
  <c r="AP412" i="2" s="1"/>
  <c r="AQ412" i="2" s="1" a="1"/>
  <c r="AQ412" i="2" s="1"/>
  <c r="AO348" i="2"/>
  <c r="AP348" i="2" s="1"/>
  <c r="AQ348" i="2" s="1" a="1"/>
  <c r="AQ348" i="2" s="1"/>
  <c r="AO284" i="2"/>
  <c r="AP284" i="2" s="1"/>
  <c r="AQ284" i="2" s="1" a="1"/>
  <c r="AQ284" i="2" s="1"/>
  <c r="AO220" i="2"/>
  <c r="AP220" i="2" s="1"/>
  <c r="AQ220" i="2" s="1" a="1"/>
  <c r="AQ220" i="2" s="1"/>
  <c r="AO156" i="2"/>
  <c r="AP156" i="2" s="1"/>
  <c r="AQ156" i="2" s="1" a="1"/>
  <c r="AQ156" i="2" s="1"/>
  <c r="AO92" i="2"/>
  <c r="AP92" i="2" s="1"/>
  <c r="AQ92" i="2" s="1" a="1"/>
  <c r="AQ92" i="2" s="1"/>
  <c r="AO28" i="2"/>
  <c r="AP28" i="2" s="1"/>
  <c r="AQ28" i="2" s="1" a="1"/>
  <c r="AQ28" i="2" s="1"/>
  <c r="AO139" i="2"/>
  <c r="AP139" i="2" s="1"/>
  <c r="AQ139" i="2" s="1" a="1"/>
  <c r="AQ139" i="2" s="1"/>
  <c r="AO75" i="2"/>
  <c r="AP75" i="2" s="1"/>
  <c r="AQ75" i="2" s="1" a="1"/>
  <c r="AQ75" i="2" s="1"/>
  <c r="AO11" i="2"/>
  <c r="AP11" i="2" s="1"/>
  <c r="AQ11" i="2" s="1" a="1"/>
  <c r="AQ11" i="2" s="1"/>
  <c r="AO1026" i="2"/>
  <c r="AP1026" i="2" s="1"/>
  <c r="AQ1026" i="2" s="1" a="1"/>
  <c r="AQ1026" i="2" s="1"/>
  <c r="AO962" i="2"/>
  <c r="AP962" i="2" s="1"/>
  <c r="AQ962" i="2" s="1" a="1"/>
  <c r="AQ962" i="2" s="1"/>
  <c r="AO898" i="2"/>
  <c r="AP898" i="2" s="1"/>
  <c r="AQ898" i="2" s="1" a="1"/>
  <c r="AQ898" i="2" s="1"/>
  <c r="AO834" i="2"/>
  <c r="AP834" i="2" s="1"/>
  <c r="AQ834" i="2" s="1" a="1"/>
  <c r="AQ834" i="2" s="1"/>
  <c r="AO770" i="2"/>
  <c r="AP770" i="2" s="1"/>
  <c r="AQ770" i="2" s="1" a="1"/>
  <c r="AQ770" i="2" s="1"/>
  <c r="AO706" i="2"/>
  <c r="AP706" i="2" s="1"/>
  <c r="AQ706" i="2" s="1" a="1"/>
  <c r="AQ706" i="2" s="1"/>
  <c r="AO642" i="2"/>
  <c r="AP642" i="2" s="1"/>
  <c r="AQ642" i="2" s="1" a="1"/>
  <c r="AQ642" i="2" s="1"/>
  <c r="AO578" i="2"/>
  <c r="AP578" i="2" s="1"/>
  <c r="AQ578" i="2" s="1" a="1"/>
  <c r="AQ578" i="2" s="1"/>
  <c r="AO514" i="2"/>
  <c r="AP514" i="2" s="1"/>
  <c r="AQ514" i="2" s="1" a="1"/>
  <c r="AQ514" i="2" s="1"/>
  <c r="AO450" i="2"/>
  <c r="AP450" i="2" s="1"/>
  <c r="AQ450" i="2" s="1" a="1"/>
  <c r="AQ450" i="2" s="1"/>
  <c r="AO386" i="2"/>
  <c r="AP386" i="2" s="1"/>
  <c r="AQ386" i="2" s="1" a="1"/>
  <c r="AQ386" i="2" s="1"/>
  <c r="AO322" i="2"/>
  <c r="AP322" i="2" s="1"/>
  <c r="AQ322" i="2" s="1" a="1"/>
  <c r="AQ322" i="2" s="1"/>
  <c r="AO258" i="2"/>
  <c r="AP258" i="2" s="1"/>
  <c r="AQ258" i="2" s="1" a="1"/>
  <c r="AQ258" i="2" s="1"/>
  <c r="AO194" i="2"/>
  <c r="AP194" i="2" s="1"/>
  <c r="AQ194" i="2" s="1" a="1"/>
  <c r="AQ194" i="2" s="1"/>
  <c r="AO130" i="2"/>
  <c r="AP130" i="2" s="1"/>
  <c r="AQ130" i="2" s="1" a="1"/>
  <c r="AQ130" i="2" s="1"/>
  <c r="AO66" i="2"/>
  <c r="AP66" i="2" s="1"/>
  <c r="AQ66" i="2" s="1" a="1"/>
  <c r="AQ66" i="2" s="1"/>
  <c r="AO1033" i="2"/>
  <c r="AP1033" i="2" s="1"/>
  <c r="AQ1033" i="2" s="1" a="1"/>
  <c r="AQ1033" i="2" s="1"/>
  <c r="AO969" i="2"/>
  <c r="AP969" i="2" s="1"/>
  <c r="AQ969" i="2" s="1" a="1"/>
  <c r="AQ969" i="2" s="1"/>
  <c r="AO905" i="2"/>
  <c r="AP905" i="2" s="1"/>
  <c r="AQ905" i="2" s="1" a="1"/>
  <c r="AQ905" i="2" s="1"/>
  <c r="AO841" i="2"/>
  <c r="AP841" i="2" s="1"/>
  <c r="AQ841" i="2" s="1" a="1"/>
  <c r="AQ841" i="2" s="1"/>
  <c r="AO777" i="2"/>
  <c r="AP777" i="2" s="1"/>
  <c r="AQ777" i="2" s="1" a="1"/>
  <c r="AQ777" i="2" s="1"/>
  <c r="AO713" i="2"/>
  <c r="AP713" i="2" s="1"/>
  <c r="AQ713" i="2" s="1" a="1"/>
  <c r="AQ713" i="2" s="1"/>
  <c r="AO649" i="2"/>
  <c r="AP649" i="2" s="1"/>
  <c r="AQ649" i="2" s="1" a="1"/>
  <c r="AQ649" i="2" s="1"/>
  <c r="AO569" i="2"/>
  <c r="AP569" i="2" s="1"/>
  <c r="AQ569" i="2" s="1" a="1"/>
  <c r="AQ569" i="2" s="1"/>
  <c r="AO497" i="2"/>
  <c r="AP497" i="2" s="1"/>
  <c r="AQ497" i="2" s="1" a="1"/>
  <c r="AQ497" i="2" s="1"/>
  <c r="AO425" i="2"/>
  <c r="AP425" i="2" s="1"/>
  <c r="AQ425" i="2" s="1" a="1"/>
  <c r="AQ425" i="2" s="1"/>
  <c r="AO353" i="2"/>
  <c r="AP353" i="2" s="1"/>
  <c r="AQ353" i="2" s="1" a="1"/>
  <c r="AQ353" i="2" s="1"/>
  <c r="AO281" i="2"/>
  <c r="AP281" i="2" s="1"/>
  <c r="AQ281" i="2" s="1" a="1"/>
  <c r="AQ281" i="2" s="1"/>
  <c r="AO209" i="2"/>
  <c r="AP209" i="2" s="1"/>
  <c r="AQ209" i="2" s="1" a="1"/>
  <c r="AQ209" i="2" s="1"/>
  <c r="AO137" i="2"/>
  <c r="AP137" i="2" s="1"/>
  <c r="AQ137" i="2" s="1" a="1"/>
  <c r="AQ137" i="2" s="1"/>
  <c r="AO57" i="2"/>
  <c r="AP57" i="2" s="1"/>
  <c r="AQ57" i="2" s="1" a="1"/>
  <c r="AQ57" i="2" s="1"/>
  <c r="AO967" i="2"/>
  <c r="AP967" i="2" s="1"/>
  <c r="AQ967" i="2" s="1" a="1"/>
  <c r="AQ967" i="2" s="1"/>
  <c r="AO903" i="2"/>
  <c r="AP903" i="2" s="1"/>
  <c r="AQ903" i="2" s="1" a="1"/>
  <c r="AQ903" i="2" s="1"/>
  <c r="AO1141" i="2"/>
  <c r="AP1141" i="2" s="1"/>
  <c r="AQ1141" i="2" s="1" a="1"/>
  <c r="AQ1141" i="2" s="1"/>
  <c r="AO1157" i="2"/>
  <c r="AP1157" i="2" s="1"/>
  <c r="AQ1157" i="2" s="1" a="1"/>
  <c r="AQ1157" i="2" s="1"/>
  <c r="AO1085" i="2"/>
  <c r="AP1085" i="2" s="1"/>
  <c r="AQ1085" i="2" s="1" a="1"/>
  <c r="AQ1085" i="2" s="1"/>
  <c r="AO1077" i="2"/>
  <c r="AP1077" i="2" s="1"/>
  <c r="AQ1077" i="2" s="1" a="1"/>
  <c r="AQ1077" i="2" s="1"/>
  <c r="AO1384" i="2"/>
  <c r="AP1384" i="2" s="1"/>
  <c r="AQ1384" i="2" s="1" a="1"/>
  <c r="AQ1384" i="2" s="1"/>
  <c r="AO69" i="2"/>
  <c r="AP69" i="2" s="1"/>
  <c r="AQ69" i="2" s="1" a="1"/>
  <c r="AQ69" i="2" s="1"/>
  <c r="AO1352" i="2"/>
  <c r="AP1352" i="2" s="1"/>
  <c r="AQ1352" i="2" s="1" a="1"/>
  <c r="AQ1352" i="2" s="1"/>
  <c r="AO1184" i="2"/>
  <c r="AP1184" i="2" s="1"/>
  <c r="AQ1184" i="2" s="1" a="1"/>
  <c r="AQ1184" i="2" s="1"/>
  <c r="AO1024" i="2"/>
  <c r="AP1024" i="2" s="1"/>
  <c r="AQ1024" i="2" s="1" a="1"/>
  <c r="AQ1024" i="2" s="1"/>
  <c r="AO840" i="2"/>
  <c r="AP840" i="2" s="1"/>
  <c r="AQ840" i="2" s="1" a="1"/>
  <c r="AQ840" i="2" s="1"/>
  <c r="AO672" i="2"/>
  <c r="AP672" i="2" s="1"/>
  <c r="AQ672" i="2" s="1" a="1"/>
  <c r="AQ672" i="2" s="1"/>
  <c r="AO512" i="2"/>
  <c r="AP512" i="2" s="1"/>
  <c r="AQ512" i="2" s="1" a="1"/>
  <c r="AQ512" i="2" s="1"/>
  <c r="AO328" i="2"/>
  <c r="AP328" i="2" s="1"/>
  <c r="AQ328" i="2" s="1" a="1"/>
  <c r="AQ328" i="2" s="1"/>
  <c r="AO160" i="2"/>
  <c r="AP160" i="2" s="1"/>
  <c r="AQ160" i="2" s="1" a="1"/>
  <c r="AQ160" i="2" s="1"/>
  <c r="AO1471" i="2"/>
  <c r="AP1471" i="2" s="1"/>
  <c r="AQ1471" i="2" s="1" a="1"/>
  <c r="AQ1471" i="2" s="1"/>
  <c r="AO1287" i="2"/>
  <c r="AP1287" i="2" s="1"/>
  <c r="AQ1287" i="2" s="1" a="1"/>
  <c r="AQ1287" i="2" s="1"/>
  <c r="AO1119" i="2"/>
  <c r="AP1119" i="2" s="1"/>
  <c r="AQ1119" i="2" s="1" a="1"/>
  <c r="AQ1119" i="2" s="1"/>
  <c r="AO1454" i="2"/>
  <c r="AP1454" i="2" s="1"/>
  <c r="AQ1454" i="2" s="1" a="1"/>
  <c r="AQ1454" i="2" s="1"/>
  <c r="AO1380" i="2"/>
  <c r="AP1380" i="2" s="1"/>
  <c r="AQ1380" i="2" s="1" a="1"/>
  <c r="AQ1380" i="2" s="1"/>
  <c r="AO1212" i="2"/>
  <c r="AP1212" i="2" s="1"/>
  <c r="AQ1212" i="2" s="1" a="1"/>
  <c r="AQ1212" i="2" s="1"/>
  <c r="AO1052" i="2"/>
  <c r="AP1052" i="2" s="1"/>
  <c r="AQ1052" i="2" s="1" a="1"/>
  <c r="AQ1052" i="2" s="1"/>
  <c r="AO868" i="2"/>
  <c r="AP868" i="2" s="1"/>
  <c r="AQ868" i="2" s="1" a="1"/>
  <c r="AQ868" i="2" s="1"/>
  <c r="AO700" i="2"/>
  <c r="AP700" i="2" s="1"/>
  <c r="AQ700" i="2" s="1" a="1"/>
  <c r="AQ700" i="2" s="1"/>
  <c r="AO1331" i="2"/>
  <c r="AP1331" i="2" s="1"/>
  <c r="AQ1331" i="2" s="1" a="1"/>
  <c r="AQ1331" i="2" s="1"/>
  <c r="AO1147" i="2"/>
  <c r="AP1147" i="2" s="1"/>
  <c r="AQ1147" i="2" s="1" a="1"/>
  <c r="AQ1147" i="2" s="1"/>
  <c r="AO979" i="2"/>
  <c r="AP979" i="2" s="1"/>
  <c r="AQ979" i="2" s="1" a="1"/>
  <c r="AQ979" i="2" s="1"/>
  <c r="AO819" i="2"/>
  <c r="AP819" i="2" s="1"/>
  <c r="AQ819" i="2" s="1" a="1"/>
  <c r="AQ819" i="2" s="1"/>
  <c r="AO635" i="2"/>
  <c r="AP635" i="2" s="1"/>
  <c r="AQ635" i="2" s="1" a="1"/>
  <c r="AQ635" i="2" s="1"/>
  <c r="AO467" i="2"/>
  <c r="AP467" i="2" s="1"/>
  <c r="AQ467" i="2" s="1" a="1"/>
  <c r="AQ467" i="2" s="1"/>
  <c r="AO307" i="2"/>
  <c r="AP307" i="2" s="1"/>
  <c r="AQ307" i="2" s="1" a="1"/>
  <c r="AQ307" i="2" s="1"/>
  <c r="AO1418" i="2"/>
  <c r="AP1418" i="2" s="1"/>
  <c r="AQ1418" i="2" s="1" a="1"/>
  <c r="AQ1418" i="2" s="1"/>
  <c r="AO1250" i="2"/>
  <c r="AP1250" i="2" s="1"/>
  <c r="AQ1250" i="2" s="1" a="1"/>
  <c r="AQ1250" i="2" s="1"/>
  <c r="AO1090" i="2"/>
  <c r="AP1090" i="2" s="1"/>
  <c r="AQ1090" i="2" s="1" a="1"/>
  <c r="AQ1090" i="2" s="1"/>
  <c r="AO1297" i="2"/>
  <c r="AP1297" i="2" s="1"/>
  <c r="AQ1297" i="2" s="1" a="1"/>
  <c r="AQ1297" i="2" s="1"/>
  <c r="AO1129" i="2"/>
  <c r="AP1129" i="2" s="1"/>
  <c r="AQ1129" i="2" s="1" a="1"/>
  <c r="AQ1129" i="2" s="1"/>
  <c r="AO1318" i="2"/>
  <c r="AP1318" i="2" s="1"/>
  <c r="AQ1318" i="2" s="1" a="1"/>
  <c r="AQ1318" i="2" s="1"/>
  <c r="AO1134" i="2"/>
  <c r="AP1134" i="2" s="1"/>
  <c r="AQ1134" i="2" s="1" a="1"/>
  <c r="AQ1134" i="2" s="1"/>
  <c r="AO966" i="2"/>
  <c r="AP966" i="2" s="1"/>
  <c r="AQ966" i="2" s="1" a="1"/>
  <c r="AQ966" i="2" s="1"/>
  <c r="AO806" i="2"/>
  <c r="AP806" i="2" s="1"/>
  <c r="AQ806" i="2" s="1" a="1"/>
  <c r="AQ806" i="2" s="1"/>
  <c r="AO678" i="2"/>
  <c r="AP678" i="2" s="1"/>
  <c r="AQ678" i="2" s="1" a="1"/>
  <c r="AQ678" i="2" s="1"/>
  <c r="AO550" i="2"/>
  <c r="AP550" i="2" s="1"/>
  <c r="AQ550" i="2" s="1" a="1"/>
  <c r="AQ550" i="2" s="1"/>
  <c r="AO422" i="2"/>
  <c r="AP422" i="2" s="1"/>
  <c r="AQ422" i="2" s="1" a="1"/>
  <c r="AQ422" i="2" s="1"/>
  <c r="AO294" i="2"/>
  <c r="AP294" i="2" s="1"/>
  <c r="AQ294" i="2" s="1" a="1"/>
  <c r="AQ294" i="2" s="1"/>
  <c r="AO166" i="2"/>
  <c r="AP166" i="2" s="1"/>
  <c r="AQ166" i="2" s="1" a="1"/>
  <c r="AQ166" i="2" s="1"/>
  <c r="AO38" i="2"/>
  <c r="AP38" i="2" s="1"/>
  <c r="AQ38" i="2" s="1" a="1"/>
  <c r="AQ38" i="2" s="1"/>
  <c r="AO588" i="2"/>
  <c r="AP588" i="2" s="1"/>
  <c r="AQ588" i="2" s="1" a="1"/>
  <c r="AQ588" i="2" s="1"/>
  <c r="AO460" i="2"/>
  <c r="AP460" i="2" s="1"/>
  <c r="AQ460" i="2" s="1" a="1"/>
  <c r="AQ460" i="2" s="1"/>
  <c r="AO332" i="2"/>
  <c r="AP332" i="2" s="1"/>
  <c r="AQ332" i="2" s="1" a="1"/>
  <c r="AQ332" i="2" s="1"/>
  <c r="AO204" i="2"/>
  <c r="AP204" i="2" s="1"/>
  <c r="AQ204" i="2" s="1" a="1"/>
  <c r="AQ204" i="2" s="1"/>
  <c r="AO76" i="2"/>
  <c r="AP76" i="2" s="1"/>
  <c r="AQ76" i="2" s="1" a="1"/>
  <c r="AQ76" i="2" s="1"/>
  <c r="AO123" i="2"/>
  <c r="AP123" i="2" s="1"/>
  <c r="AQ123" i="2" s="1" a="1"/>
  <c r="AQ123" i="2" s="1"/>
  <c r="AO1074" i="2"/>
  <c r="AP1074" i="2" s="1"/>
  <c r="AQ1074" i="2" s="1" a="1"/>
  <c r="AQ1074" i="2" s="1"/>
  <c r="AO946" i="2"/>
  <c r="AP946" i="2" s="1"/>
  <c r="AQ946" i="2" s="1" a="1"/>
  <c r="AQ946" i="2" s="1"/>
  <c r="AO818" i="2"/>
  <c r="AP818" i="2" s="1"/>
  <c r="AQ818" i="2" s="1" a="1"/>
  <c r="AQ818" i="2" s="1"/>
  <c r="AO690" i="2"/>
  <c r="AP690" i="2" s="1"/>
  <c r="AQ690" i="2" s="1" a="1"/>
  <c r="AQ690" i="2" s="1"/>
  <c r="AO562" i="2"/>
  <c r="AP562" i="2" s="1"/>
  <c r="AQ562" i="2" s="1" a="1"/>
  <c r="AQ562" i="2" s="1"/>
  <c r="AO434" i="2"/>
  <c r="AP434" i="2" s="1"/>
  <c r="AQ434" i="2" s="1" a="1"/>
  <c r="AQ434" i="2" s="1"/>
  <c r="AO306" i="2"/>
  <c r="AP306" i="2" s="1"/>
  <c r="AQ306" i="2" s="1" a="1"/>
  <c r="AQ306" i="2" s="1"/>
  <c r="AO178" i="2"/>
  <c r="AP178" i="2" s="1"/>
  <c r="AQ178" i="2" s="1" a="1"/>
  <c r="AQ178" i="2" s="1"/>
  <c r="AO50" i="2"/>
  <c r="AP50" i="2" s="1"/>
  <c r="AQ50" i="2" s="1" a="1"/>
  <c r="AQ50" i="2" s="1"/>
  <c r="AO1017" i="2"/>
  <c r="AP1017" i="2" s="1"/>
  <c r="AQ1017" i="2" s="1" a="1"/>
  <c r="AQ1017" i="2" s="1"/>
  <c r="AO889" i="2"/>
  <c r="AP889" i="2" s="1"/>
  <c r="AQ889" i="2" s="1" a="1"/>
  <c r="AQ889" i="2" s="1"/>
  <c r="AO761" i="2"/>
  <c r="AP761" i="2" s="1"/>
  <c r="AQ761" i="2" s="1" a="1"/>
  <c r="AQ761" i="2" s="1"/>
  <c r="AO625" i="2"/>
  <c r="AP625" i="2" s="1"/>
  <c r="AQ625" i="2" s="1" a="1"/>
  <c r="AQ625" i="2" s="1"/>
  <c r="AO481" i="2"/>
  <c r="AP481" i="2" s="1"/>
  <c r="AQ481" i="2" s="1" a="1"/>
  <c r="AQ481" i="2" s="1"/>
  <c r="AO345" i="2"/>
  <c r="AP345" i="2" s="1"/>
  <c r="AQ345" i="2" s="1" a="1"/>
  <c r="AQ345" i="2" s="1"/>
  <c r="AO241" i="2"/>
  <c r="AP241" i="2" s="1"/>
  <c r="AQ241" i="2" s="1" a="1"/>
  <c r="AQ241" i="2" s="1"/>
  <c r="AO113" i="2"/>
  <c r="AP113" i="2" s="1"/>
  <c r="AQ113" i="2" s="1" a="1"/>
  <c r="AQ113" i="2" s="1"/>
  <c r="AO9" i="2"/>
  <c r="AP9" i="2" s="1"/>
  <c r="AQ9" i="2" s="1" a="1"/>
  <c r="AQ9" i="2" s="1"/>
  <c r="AO887" i="2"/>
  <c r="AP887" i="2" s="1"/>
  <c r="AQ887" i="2" s="1" a="1"/>
  <c r="AQ887" i="2" s="1"/>
  <c r="AO823" i="2"/>
  <c r="AP823" i="2" s="1"/>
  <c r="AQ823" i="2" s="1" a="1"/>
  <c r="AQ823" i="2" s="1"/>
  <c r="AO759" i="2"/>
  <c r="AP759" i="2" s="1"/>
  <c r="AQ759" i="2" s="1" a="1"/>
  <c r="AQ759" i="2" s="1"/>
  <c r="AO695" i="2"/>
  <c r="AP695" i="2" s="1"/>
  <c r="AQ695" i="2" s="1" a="1"/>
  <c r="AQ695" i="2" s="1"/>
  <c r="AO631" i="2"/>
  <c r="AP631" i="2" s="1"/>
  <c r="AQ631" i="2" s="1" a="1"/>
  <c r="AQ631" i="2" s="1"/>
  <c r="AO567" i="2"/>
  <c r="AP567" i="2" s="1"/>
  <c r="AQ567" i="2" s="1" a="1"/>
  <c r="AQ567" i="2" s="1"/>
  <c r="AO503" i="2"/>
  <c r="AP503" i="2" s="1"/>
  <c r="AQ503" i="2" s="1" a="1"/>
  <c r="AQ503" i="2" s="1"/>
  <c r="AO439" i="2"/>
  <c r="AP439" i="2" s="1"/>
  <c r="AQ439" i="2" s="1" a="1"/>
  <c r="AQ439" i="2" s="1"/>
  <c r="AO375" i="2"/>
  <c r="AP375" i="2" s="1"/>
  <c r="AQ375" i="2" s="1" a="1"/>
  <c r="AQ375" i="2" s="1"/>
  <c r="AO311" i="2"/>
  <c r="AP311" i="2" s="1"/>
  <c r="AQ311" i="2" s="1" a="1"/>
  <c r="AQ311" i="2" s="1"/>
  <c r="AO247" i="2"/>
  <c r="AP247" i="2" s="1"/>
  <c r="AQ247" i="2" s="1" a="1"/>
  <c r="AQ247" i="2" s="1"/>
  <c r="AO183" i="2"/>
  <c r="AP183" i="2" s="1"/>
  <c r="AQ183" i="2" s="1" a="1"/>
  <c r="AQ183" i="2" s="1"/>
  <c r="AO119" i="2"/>
  <c r="AP119" i="2" s="1"/>
  <c r="AQ119" i="2" s="1" a="1"/>
  <c r="AQ119" i="2" s="1"/>
  <c r="AO55" i="2"/>
  <c r="AP55" i="2" s="1"/>
  <c r="AQ55" i="2" s="1" a="1"/>
  <c r="AQ55" i="2" s="1"/>
  <c r="AO1093" i="2"/>
  <c r="AP1093" i="2" s="1"/>
  <c r="AQ1093" i="2" s="1" a="1"/>
  <c r="AQ1093" i="2" s="1"/>
  <c r="AO1117" i="2"/>
  <c r="AP1117" i="2" s="1"/>
  <c r="AQ1117" i="2" s="1" a="1"/>
  <c r="AQ1117" i="2" s="1"/>
  <c r="AO1045" i="2"/>
  <c r="AP1045" i="2" s="1"/>
  <c r="AQ1045" i="2" s="1" a="1"/>
  <c r="AQ1045" i="2" s="1"/>
  <c r="AO1029" i="2"/>
  <c r="AP1029" i="2" s="1"/>
  <c r="AQ1029" i="2" s="1" a="1"/>
  <c r="AQ1029" i="2" s="1"/>
  <c r="AO1376" i="2"/>
  <c r="AP1376" i="2" s="1"/>
  <c r="AQ1376" i="2" s="1" a="1"/>
  <c r="AQ1376" i="2" s="1"/>
  <c r="AO45" i="2"/>
  <c r="AP45" i="2" s="1"/>
  <c r="AQ45" i="2" s="1" a="1"/>
  <c r="AQ45" i="2" s="1"/>
  <c r="AO1344" i="2"/>
  <c r="AP1344" i="2" s="1"/>
  <c r="AQ1344" i="2" s="1" a="1"/>
  <c r="AQ1344" i="2" s="1"/>
  <c r="AO1160" i="2"/>
  <c r="AP1160" i="2" s="1"/>
  <c r="AQ1160" i="2" s="1" a="1"/>
  <c r="AQ1160" i="2" s="1"/>
  <c r="AO992" i="2"/>
  <c r="AP992" i="2" s="1"/>
  <c r="AQ992" i="2" s="1" a="1"/>
  <c r="AQ992" i="2" s="1"/>
  <c r="AO832" i="2"/>
  <c r="AP832" i="2" s="1"/>
  <c r="AQ832" i="2" s="1" a="1"/>
  <c r="AQ832" i="2" s="1"/>
  <c r="AO648" i="2"/>
  <c r="AP648" i="2" s="1"/>
  <c r="AQ648" i="2" s="1" a="1"/>
  <c r="AQ648" i="2" s="1"/>
  <c r="AO480" i="2"/>
  <c r="AP480" i="2" s="1"/>
  <c r="AQ480" i="2" s="1" a="1"/>
  <c r="AQ480" i="2" s="1"/>
  <c r="AO320" i="2"/>
  <c r="AP320" i="2" s="1"/>
  <c r="AQ320" i="2" s="1" a="1"/>
  <c r="AQ320" i="2" s="1"/>
  <c r="AO136" i="2"/>
  <c r="AP136" i="2" s="1"/>
  <c r="AQ136" i="2" s="1" a="1"/>
  <c r="AQ136" i="2" s="1"/>
  <c r="AO1439" i="2"/>
  <c r="AP1439" i="2" s="1"/>
  <c r="AQ1439" i="2" s="1" a="1"/>
  <c r="AQ1439" i="2" s="1"/>
  <c r="AO1279" i="2"/>
  <c r="AP1279" i="2" s="1"/>
  <c r="AQ1279" i="2" s="1" a="1"/>
  <c r="AQ1279" i="2" s="1"/>
  <c r="AO1095" i="2"/>
  <c r="AP1095" i="2" s="1"/>
  <c r="AQ1095" i="2" s="1" a="1"/>
  <c r="AQ1095" i="2" s="1"/>
  <c r="AO1422" i="2"/>
  <c r="AP1422" i="2" s="1"/>
  <c r="AQ1422" i="2" s="1" a="1"/>
  <c r="AQ1422" i="2" s="1"/>
  <c r="AO1372" i="2"/>
  <c r="AP1372" i="2" s="1"/>
  <c r="AQ1372" i="2" s="1" a="1"/>
  <c r="AQ1372" i="2" s="1"/>
  <c r="AO1188" i="2"/>
  <c r="AP1188" i="2" s="1"/>
  <c r="AQ1188" i="2" s="1" a="1"/>
  <c r="AQ1188" i="2" s="1"/>
  <c r="AO1020" i="2"/>
  <c r="AP1020" i="2" s="1"/>
  <c r="AQ1020" i="2" s="1" a="1"/>
  <c r="AQ1020" i="2" s="1"/>
  <c r="AO860" i="2"/>
  <c r="AP860" i="2" s="1"/>
  <c r="AQ860" i="2" s="1" a="1"/>
  <c r="AQ860" i="2" s="1"/>
  <c r="AO1467" i="2"/>
  <c r="AP1467" i="2" s="1"/>
  <c r="AQ1467" i="2" s="1" a="1"/>
  <c r="AQ1467" i="2" s="1"/>
  <c r="AO1299" i="2"/>
  <c r="AP1299" i="2" s="1"/>
  <c r="AQ1299" i="2" s="1" a="1"/>
  <c r="AQ1299" i="2" s="1"/>
  <c r="AO1139" i="2"/>
  <c r="AP1139" i="2" s="1"/>
  <c r="AQ1139" i="2" s="1" a="1"/>
  <c r="AQ1139" i="2" s="1"/>
  <c r="AO955" i="2"/>
  <c r="AP955" i="2" s="1"/>
  <c r="AQ955" i="2" s="1" a="1"/>
  <c r="AQ955" i="2" s="1"/>
  <c r="AO787" i="2"/>
  <c r="AP787" i="2" s="1"/>
  <c r="AQ787" i="2" s="1" a="1"/>
  <c r="AQ787" i="2" s="1"/>
  <c r="AO627" i="2"/>
  <c r="AP627" i="2" s="1"/>
  <c r="AQ627" i="2" s="1" a="1"/>
  <c r="AQ627" i="2" s="1"/>
  <c r="AO443" i="2"/>
  <c r="AP443" i="2" s="1"/>
  <c r="AQ443" i="2" s="1" a="1"/>
  <c r="AQ443" i="2" s="1"/>
  <c r="AO275" i="2"/>
  <c r="AP275" i="2" s="1"/>
  <c r="AQ275" i="2" s="1" a="1"/>
  <c r="AQ275" i="2" s="1"/>
  <c r="AO1410" i="2"/>
  <c r="AP1410" i="2" s="1"/>
  <c r="AQ1410" i="2" s="1" a="1"/>
  <c r="AQ1410" i="2" s="1"/>
  <c r="AO1226" i="2"/>
  <c r="AP1226" i="2" s="1"/>
  <c r="AQ1226" i="2" s="1" a="1"/>
  <c r="AQ1226" i="2" s="1"/>
  <c r="AO1449" i="2"/>
  <c r="AP1449" i="2" s="1"/>
  <c r="AQ1449" i="2" s="1" a="1"/>
  <c r="AQ1449" i="2" s="1"/>
  <c r="AO1289" i="2"/>
  <c r="AP1289" i="2" s="1"/>
  <c r="AQ1289" i="2" s="1" a="1"/>
  <c r="AQ1289" i="2" s="1"/>
  <c r="AO1105" i="2"/>
  <c r="AP1105" i="2" s="1"/>
  <c r="AQ1105" i="2" s="1" a="1"/>
  <c r="AQ1105" i="2" s="1"/>
  <c r="AO1286" i="2"/>
  <c r="AP1286" i="2" s="1"/>
  <c r="AQ1286" i="2" s="1" a="1"/>
  <c r="AQ1286" i="2" s="1"/>
  <c r="AO1126" i="2"/>
  <c r="AP1126" i="2" s="1"/>
  <c r="AQ1126" i="2" s="1" a="1"/>
  <c r="AQ1126" i="2" s="1"/>
  <c r="AO942" i="2"/>
  <c r="AP942" i="2" s="1"/>
  <c r="AQ942" i="2" s="1" a="1"/>
  <c r="AQ942" i="2" s="1"/>
  <c r="AO798" i="2"/>
  <c r="AP798" i="2" s="1"/>
  <c r="AQ798" i="2" s="1" a="1"/>
  <c r="AQ798" i="2" s="1"/>
  <c r="AO670" i="2"/>
  <c r="AP670" i="2" s="1"/>
  <c r="AQ670" i="2" s="1" a="1"/>
  <c r="AQ670" i="2" s="1"/>
  <c r="AO542" i="2"/>
  <c r="AP542" i="2" s="1"/>
  <c r="AQ542" i="2" s="1" a="1"/>
  <c r="AQ542" i="2" s="1"/>
  <c r="AO414" i="2"/>
  <c r="AP414" i="2" s="1"/>
  <c r="AQ414" i="2" s="1" a="1"/>
  <c r="AQ414" i="2" s="1"/>
  <c r="AO286" i="2"/>
  <c r="AP286" i="2" s="1"/>
  <c r="AQ286" i="2" s="1" a="1"/>
  <c r="AQ286" i="2" s="1"/>
  <c r="AO158" i="2"/>
  <c r="AP158" i="2" s="1"/>
  <c r="AQ158" i="2" s="1" a="1"/>
  <c r="AQ158" i="2" s="1"/>
  <c r="AO30" i="2"/>
  <c r="AP30" i="2" s="1"/>
  <c r="AQ30" i="2" s="1" a="1"/>
  <c r="AQ30" i="2" s="1"/>
  <c r="AO580" i="2"/>
  <c r="AP580" i="2" s="1"/>
  <c r="AQ580" i="2" s="1" a="1"/>
  <c r="AQ580" i="2" s="1"/>
  <c r="AO452" i="2"/>
  <c r="AP452" i="2" s="1"/>
  <c r="AQ452" i="2" s="1" a="1"/>
  <c r="AQ452" i="2" s="1"/>
  <c r="AO324" i="2"/>
  <c r="AP324" i="2" s="1"/>
  <c r="AQ324" i="2" s="1" a="1"/>
  <c r="AQ324" i="2" s="1"/>
  <c r="AO196" i="2"/>
  <c r="AP196" i="2" s="1"/>
  <c r="AQ196" i="2" s="1" a="1"/>
  <c r="AQ196" i="2" s="1"/>
  <c r="AO68" i="2"/>
  <c r="AP68" i="2" s="1"/>
  <c r="AQ68" i="2" s="1" a="1"/>
  <c r="AQ68" i="2" s="1"/>
  <c r="AO115" i="2"/>
  <c r="AP115" i="2" s="1"/>
  <c r="AQ115" i="2" s="1" a="1"/>
  <c r="AQ115" i="2" s="1"/>
  <c r="AO1066" i="2"/>
  <c r="AP1066" i="2" s="1"/>
  <c r="AQ1066" i="2" s="1" a="1"/>
  <c r="AQ1066" i="2" s="1"/>
  <c r="AO938" i="2"/>
  <c r="AP938" i="2" s="1"/>
  <c r="AQ938" i="2" s="1" a="1"/>
  <c r="AQ938" i="2" s="1"/>
  <c r="AO810" i="2"/>
  <c r="AP810" i="2" s="1"/>
  <c r="AQ810" i="2" s="1" a="1"/>
  <c r="AQ810" i="2" s="1"/>
  <c r="AO682" i="2"/>
  <c r="AP682" i="2" s="1"/>
  <c r="AQ682" i="2" s="1" a="1"/>
  <c r="AQ682" i="2" s="1"/>
  <c r="AO554" i="2"/>
  <c r="AP554" i="2" s="1"/>
  <c r="AQ554" i="2" s="1" a="1"/>
  <c r="AQ554" i="2" s="1"/>
  <c r="AO426" i="2"/>
  <c r="AP426" i="2" s="1"/>
  <c r="AQ426" i="2" s="1" a="1"/>
  <c r="AQ426" i="2" s="1"/>
  <c r="AO298" i="2"/>
  <c r="AP298" i="2" s="1"/>
  <c r="AQ298" i="2" s="1" a="1"/>
  <c r="AQ298" i="2" s="1"/>
  <c r="AO170" i="2"/>
  <c r="AP170" i="2" s="1"/>
  <c r="AQ170" i="2" s="1" a="1"/>
  <c r="AQ170" i="2" s="1"/>
  <c r="AO42" i="2"/>
  <c r="AP42" i="2" s="1"/>
  <c r="AQ42" i="2" s="1" a="1"/>
  <c r="AQ42" i="2" s="1"/>
  <c r="AO1009" i="2"/>
  <c r="AP1009" i="2" s="1"/>
  <c r="AQ1009" i="2" s="1" a="1"/>
  <c r="AQ1009" i="2" s="1"/>
  <c r="AO881" i="2"/>
  <c r="AP881" i="2" s="1"/>
  <c r="AQ881" i="2" s="1" a="1"/>
  <c r="AQ881" i="2" s="1"/>
  <c r="AO753" i="2"/>
  <c r="AP753" i="2" s="1"/>
  <c r="AQ753" i="2" s="1" a="1"/>
  <c r="AQ753" i="2" s="1"/>
  <c r="AO617" i="2"/>
  <c r="AP617" i="2" s="1"/>
  <c r="AQ617" i="2" s="1" a="1"/>
  <c r="AQ617" i="2" s="1"/>
  <c r="AO473" i="2"/>
  <c r="AP473" i="2" s="1"/>
  <c r="AQ473" i="2" s="1" a="1"/>
  <c r="AQ473" i="2" s="1"/>
  <c r="AO337" i="2"/>
  <c r="AP337" i="2" s="1"/>
  <c r="AQ337" i="2" s="1" a="1"/>
  <c r="AQ337" i="2" s="1"/>
  <c r="AO225" i="2"/>
  <c r="AP225" i="2" s="1"/>
  <c r="AQ225" i="2" s="1" a="1"/>
  <c r="AQ225" i="2" s="1"/>
  <c r="AO105" i="2"/>
  <c r="AP105" i="2" s="1"/>
  <c r="AQ105" i="2" s="1" a="1"/>
  <c r="AQ105" i="2" s="1"/>
  <c r="AO959" i="2"/>
  <c r="AP959" i="2" s="1"/>
  <c r="AQ959" i="2" s="1" a="1"/>
  <c r="AQ959" i="2" s="1"/>
  <c r="AO879" i="2"/>
  <c r="AP879" i="2" s="1"/>
  <c r="AQ879" i="2" s="1" a="1"/>
  <c r="AQ879" i="2" s="1"/>
  <c r="AO815" i="2"/>
  <c r="AP815" i="2" s="1"/>
  <c r="AQ815" i="2" s="1" a="1"/>
  <c r="AQ815" i="2" s="1"/>
  <c r="AO751" i="2"/>
  <c r="AP751" i="2" s="1"/>
  <c r="AQ751" i="2" s="1" a="1"/>
  <c r="AQ751" i="2" s="1"/>
  <c r="AO687" i="2"/>
  <c r="AP687" i="2" s="1"/>
  <c r="AQ687" i="2" s="1" a="1"/>
  <c r="AQ687" i="2" s="1"/>
  <c r="AO623" i="2"/>
  <c r="AP623" i="2" s="1"/>
  <c r="AQ623" i="2" s="1" a="1"/>
  <c r="AQ623" i="2" s="1"/>
  <c r="AO559" i="2"/>
  <c r="AP559" i="2" s="1"/>
  <c r="AQ559" i="2" s="1" a="1"/>
  <c r="AQ559" i="2" s="1"/>
  <c r="AO495" i="2"/>
  <c r="AP495" i="2" s="1"/>
  <c r="AQ495" i="2" s="1" a="1"/>
  <c r="AQ495" i="2" s="1"/>
  <c r="AO431" i="2"/>
  <c r="AP431" i="2" s="1"/>
  <c r="AQ431" i="2" s="1" a="1"/>
  <c r="AQ431" i="2" s="1"/>
  <c r="AO367" i="2"/>
  <c r="AP367" i="2" s="1"/>
  <c r="AQ367" i="2" s="1" a="1"/>
  <c r="AQ367" i="2" s="1"/>
  <c r="AO303" i="2"/>
  <c r="AP303" i="2" s="1"/>
  <c r="AQ303" i="2" s="1" a="1"/>
  <c r="AQ303" i="2" s="1"/>
  <c r="AO239" i="2"/>
  <c r="AP239" i="2" s="1"/>
  <c r="AQ239" i="2" s="1" a="1"/>
  <c r="AQ239" i="2" s="1"/>
  <c r="AO175" i="2"/>
  <c r="AP175" i="2" s="1"/>
  <c r="AQ175" i="2" s="1" a="1"/>
  <c r="AQ175" i="2" s="1"/>
  <c r="AO111" i="2"/>
  <c r="AP111" i="2" s="1"/>
  <c r="AQ111" i="2" s="1" a="1"/>
  <c r="AQ111" i="2" s="1"/>
  <c r="AO47" i="2"/>
  <c r="AP47" i="2" s="1"/>
  <c r="AQ47" i="2" s="1" a="1"/>
  <c r="AQ47" i="2" s="1"/>
  <c r="AO765" i="2"/>
  <c r="AP765" i="2" s="1"/>
  <c r="AQ765" i="2" s="1" a="1"/>
  <c r="AQ765" i="2" s="1"/>
  <c r="AO781" i="2"/>
  <c r="AP781" i="2" s="1"/>
  <c r="AQ781" i="2" s="1" a="1"/>
  <c r="AQ781" i="2" s="1"/>
  <c r="AO701" i="2"/>
  <c r="AP701" i="2" s="1"/>
  <c r="AQ701" i="2" s="1" a="1"/>
  <c r="AQ701" i="2" s="1"/>
  <c r="AO693" i="2"/>
  <c r="AP693" i="2" s="1"/>
  <c r="AQ693" i="2" s="1" a="1"/>
  <c r="AQ693" i="2" s="1"/>
  <c r="AO1213" i="2"/>
  <c r="AP1213" i="2" s="1"/>
  <c r="AQ1213" i="2" s="1" a="1"/>
  <c r="AQ1213" i="2" s="1"/>
  <c r="AO1149" i="2"/>
  <c r="AP1149" i="2" s="1"/>
  <c r="AQ1149" i="2" s="1" a="1"/>
  <c r="AQ1149" i="2" s="1"/>
  <c r="AO1312" i="2"/>
  <c r="AP1312" i="2" s="1"/>
  <c r="AQ1312" i="2" s="1" a="1"/>
  <c r="AQ1312" i="2" s="1"/>
  <c r="AO1152" i="2"/>
  <c r="AP1152" i="2" s="1"/>
  <c r="AQ1152" i="2" s="1" a="1"/>
  <c r="AQ1152" i="2" s="1"/>
  <c r="AO968" i="2"/>
  <c r="AP968" i="2" s="1"/>
  <c r="AQ968" i="2" s="1" a="1"/>
  <c r="AQ968" i="2" s="1"/>
  <c r="AO800" i="2"/>
  <c r="AP800" i="2" s="1"/>
  <c r="AQ800" i="2" s="1" a="1"/>
  <c r="AQ800" i="2" s="1"/>
  <c r="AO640" i="2"/>
  <c r="AP640" i="2" s="1"/>
  <c r="AQ640" i="2" s="1" a="1"/>
  <c r="AQ640" i="2" s="1"/>
  <c r="AO456" i="2"/>
  <c r="AP456" i="2" s="1"/>
  <c r="AQ456" i="2" s="1" a="1"/>
  <c r="AQ456" i="2" s="1"/>
  <c r="AO288" i="2"/>
  <c r="AP288" i="2" s="1"/>
  <c r="AQ288" i="2" s="1" a="1"/>
  <c r="AQ288" i="2" s="1"/>
  <c r="AO128" i="2"/>
  <c r="AP128" i="2" s="1"/>
  <c r="AQ128" i="2" s="1" a="1"/>
  <c r="AQ128" i="2" s="1"/>
  <c r="AO1415" i="2"/>
  <c r="AP1415" i="2" s="1"/>
  <c r="AQ1415" i="2" s="1" a="1"/>
  <c r="AQ1415" i="2" s="1"/>
  <c r="AO1247" i="2"/>
  <c r="AP1247" i="2" s="1"/>
  <c r="AQ1247" i="2" s="1" a="1"/>
  <c r="AQ1247" i="2" s="1"/>
  <c r="AO1087" i="2"/>
  <c r="AP1087" i="2" s="1"/>
  <c r="AQ1087" i="2" s="1" a="1"/>
  <c r="AQ1087" i="2" s="1"/>
  <c r="AO1398" i="2"/>
  <c r="AP1398" i="2" s="1"/>
  <c r="AQ1398" i="2" s="1" a="1"/>
  <c r="AQ1398" i="2" s="1"/>
  <c r="AO1340" i="2"/>
  <c r="AP1340" i="2" s="1"/>
  <c r="AQ1340" i="2" s="1" a="1"/>
  <c r="AQ1340" i="2" s="1"/>
  <c r="AO1180" i="2"/>
  <c r="AP1180" i="2" s="1"/>
  <c r="AQ1180" i="2" s="1" a="1"/>
  <c r="AQ1180" i="2" s="1"/>
  <c r="AO996" i="2"/>
  <c r="AP996" i="2" s="1"/>
  <c r="AQ996" i="2" s="1" a="1"/>
  <c r="AQ996" i="2" s="1"/>
  <c r="AO828" i="2"/>
  <c r="AP828" i="2" s="1"/>
  <c r="AQ828" i="2" s="1" a="1"/>
  <c r="AQ828" i="2" s="1"/>
  <c r="AO1459" i="2"/>
  <c r="AP1459" i="2" s="1"/>
  <c r="AQ1459" i="2" s="1" a="1"/>
  <c r="AQ1459" i="2" s="1"/>
  <c r="AO1275" i="2"/>
  <c r="AP1275" i="2" s="1"/>
  <c r="AQ1275" i="2" s="1" a="1"/>
  <c r="AQ1275" i="2" s="1"/>
  <c r="AO1107" i="2"/>
  <c r="AP1107" i="2" s="1"/>
  <c r="AQ1107" i="2" s="1" a="1"/>
  <c r="AQ1107" i="2" s="1"/>
  <c r="AO947" i="2"/>
  <c r="AP947" i="2" s="1"/>
  <c r="AQ947" i="2" s="1" a="1"/>
  <c r="AQ947" i="2" s="1"/>
  <c r="AO763" i="2"/>
  <c r="AP763" i="2" s="1"/>
  <c r="AQ763" i="2" s="1" a="1"/>
  <c r="AQ763" i="2" s="1"/>
  <c r="AO595" i="2"/>
  <c r="AP595" i="2" s="1"/>
  <c r="AQ595" i="2" s="1" a="1"/>
  <c r="AQ595" i="2" s="1"/>
  <c r="AO435" i="2"/>
  <c r="AP435" i="2" s="1"/>
  <c r="AQ435" i="2" s="1" a="1"/>
  <c r="AQ435" i="2" s="1"/>
  <c r="AO251" i="2"/>
  <c r="AP251" i="2" s="1"/>
  <c r="AQ251" i="2" s="1" a="1"/>
  <c r="AQ251" i="2" s="1"/>
  <c r="AO1378" i="2"/>
  <c r="AP1378" i="2" s="1"/>
  <c r="AQ1378" i="2" s="1" a="1"/>
  <c r="AQ1378" i="2" s="1"/>
  <c r="AO1218" i="2"/>
  <c r="AP1218" i="2" s="1"/>
  <c r="AQ1218" i="2" s="1" a="1"/>
  <c r="AQ1218" i="2" s="1"/>
  <c r="AO1425" i="2"/>
  <c r="AP1425" i="2" s="1"/>
  <c r="AQ1425" i="2" s="1" a="1"/>
  <c r="AQ1425" i="2" s="1"/>
  <c r="AO1257" i="2"/>
  <c r="AP1257" i="2" s="1"/>
  <c r="AQ1257" i="2" s="1" a="1"/>
  <c r="AQ1257" i="2" s="1"/>
  <c r="AO1097" i="2"/>
  <c r="AP1097" i="2" s="1"/>
  <c r="AQ1097" i="2" s="1" a="1"/>
  <c r="AQ1097" i="2" s="1"/>
  <c r="AO1262" i="2"/>
  <c r="AP1262" i="2" s="1"/>
  <c r="AQ1262" i="2" s="1" a="1"/>
  <c r="AQ1262" i="2" s="1"/>
  <c r="AO1094" i="2"/>
  <c r="AP1094" i="2" s="1"/>
  <c r="AQ1094" i="2" s="1" a="1"/>
  <c r="AQ1094" i="2" s="1"/>
  <c r="AO934" i="2"/>
  <c r="AP934" i="2" s="1"/>
  <c r="AQ934" i="2" s="1" a="1"/>
  <c r="AQ934" i="2" s="1"/>
  <c r="AO774" i="2"/>
  <c r="AP774" i="2" s="1"/>
  <c r="AQ774" i="2" s="1" a="1"/>
  <c r="AQ774" i="2" s="1"/>
  <c r="AO646" i="2"/>
  <c r="AP646" i="2" s="1"/>
  <c r="AQ646" i="2" s="1" a="1"/>
  <c r="AQ646" i="2" s="1"/>
  <c r="AO518" i="2"/>
  <c r="AP518" i="2" s="1"/>
  <c r="AQ518" i="2" s="1" a="1"/>
  <c r="AQ518" i="2" s="1"/>
  <c r="AO390" i="2"/>
  <c r="AP390" i="2" s="1"/>
  <c r="AQ390" i="2" s="1" a="1"/>
  <c r="AQ390" i="2" s="1"/>
  <c r="AO262" i="2"/>
  <c r="AP262" i="2" s="1"/>
  <c r="AQ262" i="2" s="1" a="1"/>
  <c r="AQ262" i="2" s="1"/>
  <c r="AO134" i="2"/>
  <c r="AP134" i="2" s="1"/>
  <c r="AQ134" i="2" s="1" a="1"/>
  <c r="AQ134" i="2" s="1"/>
  <c r="AO6" i="2"/>
  <c r="AP6" i="2" s="1"/>
  <c r="AQ6" i="2" s="1" a="1"/>
  <c r="AQ6" i="2" s="1"/>
  <c r="AO556" i="2"/>
  <c r="AP556" i="2" s="1"/>
  <c r="AQ556" i="2" s="1" a="1"/>
  <c r="AQ556" i="2" s="1"/>
  <c r="AO428" i="2"/>
  <c r="AP428" i="2" s="1"/>
  <c r="AQ428" i="2" s="1" a="1"/>
  <c r="AQ428" i="2" s="1"/>
  <c r="AO300" i="2"/>
  <c r="AP300" i="2" s="1"/>
  <c r="AQ300" i="2" s="1" a="1"/>
  <c r="AQ300" i="2" s="1"/>
  <c r="AO172" i="2"/>
  <c r="AP172" i="2" s="1"/>
  <c r="AQ172" i="2" s="1" a="1"/>
  <c r="AQ172" i="2" s="1"/>
  <c r="AO44" i="2"/>
  <c r="AP44" i="2" s="1"/>
  <c r="AQ44" i="2" s="1" a="1"/>
  <c r="AQ44" i="2" s="1"/>
  <c r="AO91" i="2"/>
  <c r="AP91" i="2" s="1"/>
  <c r="AQ91" i="2" s="1" a="1"/>
  <c r="AQ91" i="2" s="1"/>
  <c r="AO1042" i="2"/>
  <c r="AP1042" i="2" s="1"/>
  <c r="AQ1042" i="2" s="1" a="1"/>
  <c r="AQ1042" i="2" s="1"/>
  <c r="AO914" i="2"/>
  <c r="AP914" i="2" s="1"/>
  <c r="AQ914" i="2" s="1" a="1"/>
  <c r="AQ914" i="2" s="1"/>
  <c r="AO786" i="2"/>
  <c r="AP786" i="2" s="1"/>
  <c r="AQ786" i="2" s="1" a="1"/>
  <c r="AQ786" i="2" s="1"/>
  <c r="AO658" i="2"/>
  <c r="AP658" i="2" s="1"/>
  <c r="AQ658" i="2" s="1" a="1"/>
  <c r="AQ658" i="2" s="1"/>
  <c r="AO530" i="2"/>
  <c r="AP530" i="2" s="1"/>
  <c r="AQ530" i="2" s="1" a="1"/>
  <c r="AQ530" i="2" s="1"/>
  <c r="AO402" i="2"/>
  <c r="AP402" i="2" s="1"/>
  <c r="AQ402" i="2" s="1" a="1"/>
  <c r="AQ402" i="2" s="1"/>
  <c r="AO274" i="2"/>
  <c r="AP274" i="2" s="1"/>
  <c r="AQ274" i="2" s="1" a="1"/>
  <c r="AQ274" i="2" s="1"/>
  <c r="AO146" i="2"/>
  <c r="AP146" i="2" s="1"/>
  <c r="AQ146" i="2" s="1" a="1"/>
  <c r="AQ146" i="2" s="1"/>
  <c r="AO18" i="2"/>
  <c r="AP18" i="2" s="1"/>
  <c r="AQ18" i="2" s="1" a="1"/>
  <c r="AQ18" i="2" s="1"/>
  <c r="AO985" i="2"/>
  <c r="AP985" i="2" s="1"/>
  <c r="AQ985" i="2" s="1" a="1"/>
  <c r="AQ985" i="2" s="1"/>
  <c r="AO857" i="2"/>
  <c r="AP857" i="2" s="1"/>
  <c r="AQ857" i="2" s="1" a="1"/>
  <c r="AQ857" i="2" s="1"/>
  <c r="AO729" i="2"/>
  <c r="AP729" i="2" s="1"/>
  <c r="AQ729" i="2" s="1" a="1"/>
  <c r="AQ729" i="2" s="1"/>
  <c r="AO593" i="2"/>
  <c r="AP593" i="2" s="1"/>
  <c r="AQ593" i="2" s="1" a="1"/>
  <c r="AQ593" i="2" s="1"/>
  <c r="AO441" i="2"/>
  <c r="AP441" i="2" s="1"/>
  <c r="AQ441" i="2" s="1" a="1"/>
  <c r="AQ441" i="2" s="1"/>
  <c r="AO329" i="2"/>
  <c r="AP329" i="2" s="1"/>
  <c r="AQ329" i="2" s="1" a="1"/>
  <c r="AQ329" i="2" s="1"/>
  <c r="AO201" i="2"/>
  <c r="AP201" i="2" s="1"/>
  <c r="AQ201" i="2" s="1" a="1"/>
  <c r="AQ201" i="2" s="1"/>
  <c r="AO97" i="2"/>
  <c r="AP97" i="2" s="1"/>
  <c r="AQ97" i="2" s="1" a="1"/>
  <c r="AQ97" i="2" s="1"/>
  <c r="AO951" i="2"/>
  <c r="AP951" i="2" s="1"/>
  <c r="AQ951" i="2" s="1" a="1"/>
  <c r="AQ951" i="2" s="1"/>
  <c r="AO871" i="2"/>
  <c r="AP871" i="2" s="1"/>
  <c r="AQ871" i="2" s="1" a="1"/>
  <c r="AQ871" i="2" s="1"/>
  <c r="AO807" i="2"/>
  <c r="AP807" i="2" s="1"/>
  <c r="AQ807" i="2" s="1" a="1"/>
  <c r="AQ807" i="2" s="1"/>
  <c r="AO743" i="2"/>
  <c r="AP743" i="2" s="1"/>
  <c r="AQ743" i="2" s="1" a="1"/>
  <c r="AQ743" i="2" s="1"/>
  <c r="AO679" i="2"/>
  <c r="AP679" i="2" s="1"/>
  <c r="AQ679" i="2" s="1" a="1"/>
  <c r="AQ679" i="2" s="1"/>
  <c r="AO615" i="2"/>
  <c r="AP615" i="2" s="1"/>
  <c r="AQ615" i="2" s="1" a="1"/>
  <c r="AQ615" i="2" s="1"/>
  <c r="AO551" i="2"/>
  <c r="AP551" i="2" s="1"/>
  <c r="AQ551" i="2" s="1" a="1"/>
  <c r="AQ551" i="2" s="1"/>
  <c r="AO487" i="2"/>
  <c r="AP487" i="2" s="1"/>
  <c r="AQ487" i="2" s="1" a="1"/>
  <c r="AQ487" i="2" s="1"/>
  <c r="AO423" i="2"/>
  <c r="AP423" i="2" s="1"/>
  <c r="AQ423" i="2" s="1" a="1"/>
  <c r="AQ423" i="2" s="1"/>
  <c r="AO359" i="2"/>
  <c r="AP359" i="2" s="1"/>
  <c r="AQ359" i="2" s="1" a="1"/>
  <c r="AQ359" i="2" s="1"/>
  <c r="AO295" i="2"/>
  <c r="AP295" i="2" s="1"/>
  <c r="AQ295" i="2" s="1" a="1"/>
  <c r="AQ295" i="2" s="1"/>
  <c r="AO231" i="2"/>
  <c r="AP231" i="2" s="1"/>
  <c r="AQ231" i="2" s="1" a="1"/>
  <c r="AQ231" i="2" s="1"/>
  <c r="AO167" i="2"/>
  <c r="AP167" i="2" s="1"/>
  <c r="AQ167" i="2" s="1" a="1"/>
  <c r="AQ167" i="2" s="1"/>
  <c r="AO103" i="2"/>
  <c r="AP103" i="2" s="1"/>
  <c r="AQ103" i="2" s="1" a="1"/>
  <c r="AQ103" i="2" s="1"/>
  <c r="AO39" i="2"/>
  <c r="AP39" i="2" s="1"/>
  <c r="AQ39" i="2" s="1" a="1"/>
  <c r="AQ39" i="2" s="1"/>
  <c r="AO725" i="2"/>
  <c r="AP725" i="2" s="1"/>
  <c r="AQ725" i="2" s="1" a="1"/>
  <c r="AQ725" i="2" s="1"/>
  <c r="AO733" i="2"/>
  <c r="AP733" i="2" s="1"/>
  <c r="AQ733" i="2" s="1" a="1"/>
  <c r="AQ733" i="2" s="1"/>
  <c r="AO677" i="2"/>
  <c r="AP677" i="2" s="1"/>
  <c r="AQ677" i="2" s="1" a="1"/>
  <c r="AQ677" i="2" s="1"/>
  <c r="AO645" i="2"/>
  <c r="AP645" i="2" s="1"/>
  <c r="AQ645" i="2" s="1" a="1"/>
  <c r="AQ645" i="2" s="1"/>
  <c r="AO1165" i="2"/>
  <c r="AP1165" i="2" s="1"/>
  <c r="AQ1165" i="2" s="1" a="1"/>
  <c r="AQ1165" i="2" s="1"/>
  <c r="AO1109" i="2"/>
  <c r="AP1109" i="2" s="1"/>
  <c r="AQ1109" i="2" s="1" a="1"/>
  <c r="AQ1109" i="2" s="1"/>
  <c r="AO1288" i="2"/>
  <c r="AP1288" i="2" s="1"/>
  <c r="AQ1288" i="2" s="1" a="1"/>
  <c r="AQ1288" i="2" s="1"/>
  <c r="AO1120" i="2"/>
  <c r="AP1120" i="2" s="1"/>
  <c r="AQ1120" i="2" s="1" a="1"/>
  <c r="AQ1120" i="2" s="1"/>
  <c r="AO960" i="2"/>
  <c r="AP960" i="2" s="1"/>
  <c r="AQ960" i="2" s="1" a="1"/>
  <c r="AQ960" i="2" s="1"/>
  <c r="AO776" i="2"/>
  <c r="AP776" i="2" s="1"/>
  <c r="AQ776" i="2" s="1" a="1"/>
  <c r="AQ776" i="2" s="1"/>
  <c r="AO608" i="2"/>
  <c r="AP608" i="2" s="1"/>
  <c r="AQ608" i="2" s="1" a="1"/>
  <c r="AQ608" i="2" s="1"/>
  <c r="AO448" i="2"/>
  <c r="AP448" i="2" s="1"/>
  <c r="AQ448" i="2" s="1" a="1"/>
  <c r="AQ448" i="2" s="1"/>
  <c r="AO264" i="2"/>
  <c r="AP264" i="2" s="1"/>
  <c r="AQ264" i="2" s="1" a="1"/>
  <c r="AQ264" i="2" s="1"/>
  <c r="AO96" i="2"/>
  <c r="AP96" i="2" s="1"/>
  <c r="AQ96" i="2" s="1" a="1"/>
  <c r="AQ96" i="2" s="1"/>
  <c r="AO1407" i="2"/>
  <c r="AP1407" i="2" s="1"/>
  <c r="AQ1407" i="2" s="1" a="1"/>
  <c r="AQ1407" i="2" s="1"/>
  <c r="AO1223" i="2"/>
  <c r="AP1223" i="2" s="1"/>
  <c r="AQ1223" i="2" s="1" a="1"/>
  <c r="AQ1223" i="2" s="1"/>
  <c r="AO1055" i="2"/>
  <c r="AP1055" i="2" s="1"/>
  <c r="AQ1055" i="2" s="1" a="1"/>
  <c r="AQ1055" i="2" s="1"/>
  <c r="AO1390" i="2"/>
  <c r="AP1390" i="2" s="1"/>
  <c r="AQ1390" i="2" s="1" a="1"/>
  <c r="AQ1390" i="2" s="1"/>
  <c r="AO1316" i="2"/>
  <c r="AP1316" i="2" s="1"/>
  <c r="AQ1316" i="2" s="1" a="1"/>
  <c r="AQ1316" i="2" s="1"/>
  <c r="AO1148" i="2"/>
  <c r="AP1148" i="2" s="1"/>
  <c r="AQ1148" i="2" s="1" a="1"/>
  <c r="AQ1148" i="2" s="1"/>
  <c r="AO988" i="2"/>
  <c r="AP988" i="2" s="1"/>
  <c r="AQ988" i="2" s="1" a="1"/>
  <c r="AQ988" i="2" s="1"/>
  <c r="AO804" i="2"/>
  <c r="AP804" i="2" s="1"/>
  <c r="AQ804" i="2" s="1" a="1"/>
  <c r="AQ804" i="2" s="1"/>
  <c r="AO1427" i="2"/>
  <c r="AP1427" i="2" s="1"/>
  <c r="AQ1427" i="2" s="1" a="1"/>
  <c r="AQ1427" i="2" s="1"/>
  <c r="AO1267" i="2"/>
  <c r="AP1267" i="2" s="1"/>
  <c r="AQ1267" i="2" s="1" a="1"/>
  <c r="AQ1267" i="2" s="1"/>
  <c r="AO1083" i="2"/>
  <c r="AP1083" i="2" s="1"/>
  <c r="AQ1083" i="2" s="1" a="1"/>
  <c r="AQ1083" i="2" s="1"/>
  <c r="AO915" i="2"/>
  <c r="AP915" i="2" s="1"/>
  <c r="AQ915" i="2" s="1" a="1"/>
  <c r="AQ915" i="2" s="1"/>
  <c r="AO755" i="2"/>
  <c r="AP755" i="2" s="1"/>
  <c r="AQ755" i="2" s="1" a="1"/>
  <c r="AQ755" i="2" s="1"/>
  <c r="AO571" i="2"/>
  <c r="AP571" i="2" s="1"/>
  <c r="AQ571" i="2" s="1" a="1"/>
  <c r="AQ571" i="2" s="1"/>
  <c r="AO403" i="2"/>
  <c r="AP403" i="2" s="1"/>
  <c r="AQ403" i="2" s="1" a="1"/>
  <c r="AQ403" i="2" s="1"/>
  <c r="AO243" i="2"/>
  <c r="AP243" i="2" s="1"/>
  <c r="AQ243" i="2" s="1" a="1"/>
  <c r="AQ243" i="2" s="1"/>
  <c r="AO1354" i="2"/>
  <c r="AP1354" i="2" s="1"/>
  <c r="AQ1354" i="2" s="1" a="1"/>
  <c r="AQ1354" i="2" s="1"/>
  <c r="AO1186" i="2"/>
  <c r="AP1186" i="2" s="1"/>
  <c r="AQ1186" i="2" s="1" a="1"/>
  <c r="AQ1186" i="2" s="1"/>
  <c r="AO1417" i="2"/>
  <c r="AP1417" i="2" s="1"/>
  <c r="AQ1417" i="2" s="1" a="1"/>
  <c r="AQ1417" i="2" s="1"/>
  <c r="AO1233" i="2"/>
  <c r="AP1233" i="2" s="1"/>
  <c r="AQ1233" i="2" s="1" a="1"/>
  <c r="AQ1233" i="2" s="1"/>
  <c r="AO449" i="2"/>
  <c r="AP449" i="2" s="1"/>
  <c r="AQ449" i="2" s="1" a="1"/>
  <c r="AQ449" i="2" s="1"/>
  <c r="AO1254" i="2"/>
  <c r="AP1254" i="2" s="1"/>
  <c r="AQ1254" i="2" s="1" a="1"/>
  <c r="AQ1254" i="2" s="1"/>
  <c r="AO1070" i="2"/>
  <c r="AP1070" i="2" s="1"/>
  <c r="AQ1070" i="2" s="1" a="1"/>
  <c r="AQ1070" i="2" s="1"/>
  <c r="AO902" i="2"/>
  <c r="AP902" i="2" s="1"/>
  <c r="AQ902" i="2" s="1" a="1"/>
  <c r="AQ902" i="2" s="1"/>
  <c r="AO750" i="2"/>
  <c r="AP750" i="2" s="1"/>
  <c r="AQ750" i="2" s="1" a="1"/>
  <c r="AQ750" i="2" s="1"/>
  <c r="AO622" i="2"/>
  <c r="AP622" i="2" s="1"/>
  <c r="AQ622" i="2" s="1" a="1"/>
  <c r="AQ622" i="2" s="1"/>
  <c r="AO494" i="2"/>
  <c r="AP494" i="2" s="1"/>
  <c r="AQ494" i="2" s="1" a="1"/>
  <c r="AQ494" i="2" s="1"/>
  <c r="AO366" i="2"/>
  <c r="AP366" i="2" s="1"/>
  <c r="AQ366" i="2" s="1" a="1"/>
  <c r="AQ366" i="2" s="1"/>
  <c r="AO238" i="2"/>
  <c r="AP238" i="2" s="1"/>
  <c r="AQ238" i="2" s="1" a="1"/>
  <c r="AQ238" i="2" s="1"/>
  <c r="AO110" i="2"/>
  <c r="AP110" i="2" s="1"/>
  <c r="AQ110" i="2" s="1" a="1"/>
  <c r="AQ110" i="2" s="1"/>
  <c r="AO660" i="2"/>
  <c r="AP660" i="2" s="1"/>
  <c r="AQ660" i="2" s="1" a="1"/>
  <c r="AQ660" i="2" s="1"/>
  <c r="AO532" i="2"/>
  <c r="AP532" i="2" s="1"/>
  <c r="AQ532" i="2" s="1" a="1"/>
  <c r="AQ532" i="2" s="1"/>
  <c r="AO404" i="2"/>
  <c r="AP404" i="2" s="1"/>
  <c r="AQ404" i="2" s="1" a="1"/>
  <c r="AQ404" i="2" s="1"/>
  <c r="AO276" i="2"/>
  <c r="AP276" i="2" s="1"/>
  <c r="AQ276" i="2" s="1" a="1"/>
  <c r="AQ276" i="2" s="1"/>
  <c r="AO148" i="2"/>
  <c r="AP148" i="2" s="1"/>
  <c r="AQ148" i="2" s="1" a="1"/>
  <c r="AQ148" i="2" s="1"/>
  <c r="AO20" i="2"/>
  <c r="AP20" i="2" s="1"/>
  <c r="AQ20" i="2" s="1" a="1"/>
  <c r="AQ20" i="2" s="1"/>
  <c r="AO67" i="2"/>
  <c r="AP67" i="2" s="1"/>
  <c r="AQ67" i="2" s="1" a="1"/>
  <c r="AQ67" i="2" s="1"/>
  <c r="AO1018" i="2"/>
  <c r="AP1018" i="2" s="1"/>
  <c r="AQ1018" i="2" s="1" a="1"/>
  <c r="AQ1018" i="2" s="1"/>
  <c r="AO890" i="2"/>
  <c r="AP890" i="2" s="1"/>
  <c r="AQ890" i="2" s="1" a="1"/>
  <c r="AQ890" i="2" s="1"/>
  <c r="AO762" i="2"/>
  <c r="AP762" i="2" s="1"/>
  <c r="AQ762" i="2" s="1" a="1"/>
  <c r="AQ762" i="2" s="1"/>
  <c r="AO634" i="2"/>
  <c r="AP634" i="2" s="1"/>
  <c r="AQ634" i="2" s="1" a="1"/>
  <c r="AQ634" i="2" s="1"/>
  <c r="AO506" i="2"/>
  <c r="AP506" i="2" s="1"/>
  <c r="AQ506" i="2" s="1" a="1"/>
  <c r="AQ506" i="2" s="1"/>
  <c r="AO378" i="2"/>
  <c r="AP378" i="2" s="1"/>
  <c r="AQ378" i="2" s="1" a="1"/>
  <c r="AQ378" i="2" s="1"/>
  <c r="AO250" i="2"/>
  <c r="AP250" i="2" s="1"/>
  <c r="AQ250" i="2" s="1" a="1"/>
  <c r="AQ250" i="2" s="1"/>
  <c r="AO122" i="2"/>
  <c r="AP122" i="2" s="1"/>
  <c r="AQ122" i="2" s="1" a="1"/>
  <c r="AQ122" i="2" s="1"/>
  <c r="AO1089" i="2"/>
  <c r="AP1089" i="2" s="1"/>
  <c r="AQ1089" i="2" s="1" a="1"/>
  <c r="AQ1089" i="2" s="1"/>
  <c r="AO961" i="2"/>
  <c r="AP961" i="2" s="1"/>
  <c r="AQ961" i="2" s="1" a="1"/>
  <c r="AQ961" i="2" s="1"/>
  <c r="AO833" i="2"/>
  <c r="AP833" i="2" s="1"/>
  <c r="AQ833" i="2" s="1" a="1"/>
  <c r="AQ833" i="2" s="1"/>
  <c r="AO705" i="2"/>
  <c r="AP705" i="2" s="1"/>
  <c r="AQ705" i="2" s="1" a="1"/>
  <c r="AQ705" i="2" s="1"/>
  <c r="AO561" i="2"/>
  <c r="AP561" i="2" s="1"/>
  <c r="AQ561" i="2" s="1" a="1"/>
  <c r="AQ561" i="2" s="1"/>
  <c r="AO417" i="2"/>
  <c r="AP417" i="2" s="1"/>
  <c r="AQ417" i="2" s="1" a="1"/>
  <c r="AQ417" i="2" s="1"/>
  <c r="AO313" i="2"/>
  <c r="AP313" i="2" s="1"/>
  <c r="AQ313" i="2" s="1" a="1"/>
  <c r="AQ313" i="2" s="1"/>
  <c r="AO185" i="2"/>
  <c r="AP185" i="2" s="1"/>
  <c r="AQ185" i="2" s="1" a="1"/>
  <c r="AQ185" i="2" s="1"/>
  <c r="AO81" i="2"/>
  <c r="AP81" i="2" s="1"/>
  <c r="AQ81" i="2" s="1" a="1"/>
  <c r="AQ81" i="2" s="1"/>
  <c r="AO943" i="2"/>
  <c r="AP943" i="2" s="1"/>
  <c r="AQ943" i="2" s="1" a="1"/>
  <c r="AQ943" i="2" s="1"/>
  <c r="AO863" i="2"/>
  <c r="AP863" i="2" s="1"/>
  <c r="AQ863" i="2" s="1" a="1"/>
  <c r="AQ863" i="2" s="1"/>
  <c r="AO799" i="2"/>
  <c r="AP799" i="2" s="1"/>
  <c r="AQ799" i="2" s="1" a="1"/>
  <c r="AQ799" i="2" s="1"/>
  <c r="AO735" i="2"/>
  <c r="AP735" i="2" s="1"/>
  <c r="AQ735" i="2" s="1" a="1"/>
  <c r="AQ735" i="2" s="1"/>
  <c r="AO671" i="2"/>
  <c r="AP671" i="2" s="1"/>
  <c r="AQ671" i="2" s="1" a="1"/>
  <c r="AQ671" i="2" s="1"/>
  <c r="AO607" i="2"/>
  <c r="AP607" i="2" s="1"/>
  <c r="AQ607" i="2" s="1" a="1"/>
  <c r="AQ607" i="2" s="1"/>
  <c r="AO543" i="2"/>
  <c r="AP543" i="2" s="1"/>
  <c r="AQ543" i="2" s="1" a="1"/>
  <c r="AQ543" i="2" s="1"/>
  <c r="AO479" i="2"/>
  <c r="AP479" i="2" s="1"/>
  <c r="AQ479" i="2" s="1" a="1"/>
  <c r="AQ479" i="2" s="1"/>
  <c r="AO415" i="2"/>
  <c r="AP415" i="2" s="1"/>
  <c r="AQ415" i="2" s="1" a="1"/>
  <c r="AQ415" i="2" s="1"/>
  <c r="AO351" i="2"/>
  <c r="AP351" i="2" s="1"/>
  <c r="AQ351" i="2" s="1" a="1"/>
  <c r="AQ351" i="2" s="1"/>
  <c r="AO287" i="2"/>
  <c r="AP287" i="2" s="1"/>
  <c r="AQ287" i="2" s="1" a="1"/>
  <c r="AQ287" i="2" s="1"/>
  <c r="AO223" i="2"/>
  <c r="AP223" i="2" s="1"/>
  <c r="AQ223" i="2" s="1" a="1"/>
  <c r="AQ223" i="2" s="1"/>
  <c r="AO159" i="2"/>
  <c r="AP159" i="2" s="1"/>
  <c r="AQ159" i="2" s="1" a="1"/>
  <c r="AQ159" i="2" s="1"/>
  <c r="AO95" i="2"/>
  <c r="AP95" i="2" s="1"/>
  <c r="AQ95" i="2" s="1" a="1"/>
  <c r="AQ95" i="2" s="1"/>
  <c r="AO31" i="2"/>
  <c r="AP31" i="2" s="1"/>
  <c r="AQ31" i="2" s="1" a="1"/>
  <c r="AQ31" i="2" s="1"/>
  <c r="AO1437" i="2"/>
  <c r="AP1437" i="2" s="1"/>
  <c r="AQ1437" i="2" s="1" a="1"/>
  <c r="AQ1437" i="2" s="1"/>
  <c r="AO520" i="2"/>
  <c r="AP520" i="2" s="1"/>
  <c r="AQ520" i="2" s="1" a="1"/>
  <c r="AQ520" i="2" s="1"/>
  <c r="AO1311" i="2"/>
  <c r="AP1311" i="2" s="1"/>
  <c r="AQ1311" i="2" s="1" a="1"/>
  <c r="AQ1311" i="2" s="1"/>
  <c r="AO1244" i="2"/>
  <c r="AP1244" i="2" s="1"/>
  <c r="AQ1244" i="2" s="1" a="1"/>
  <c r="AQ1244" i="2" s="1"/>
  <c r="AO732" i="2"/>
  <c r="AP732" i="2" s="1"/>
  <c r="AQ732" i="2" s="1" a="1"/>
  <c r="AQ732" i="2" s="1"/>
  <c r="AO1011" i="2"/>
  <c r="AP1011" i="2" s="1"/>
  <c r="AQ1011" i="2" s="1" a="1"/>
  <c r="AQ1011" i="2" s="1"/>
  <c r="AO499" i="2"/>
  <c r="AP499" i="2" s="1"/>
  <c r="AQ499" i="2" s="1" a="1"/>
  <c r="AQ499" i="2" s="1"/>
  <c r="AO1282" i="2"/>
  <c r="AP1282" i="2" s="1"/>
  <c r="AQ1282" i="2" s="1" a="1"/>
  <c r="AQ1282" i="2" s="1"/>
  <c r="AO1326" i="2"/>
  <c r="AP1326" i="2" s="1"/>
  <c r="AQ1326" i="2" s="1" a="1"/>
  <c r="AQ1326" i="2" s="1"/>
  <c r="AO686" i="2"/>
  <c r="AP686" i="2" s="1"/>
  <c r="AQ686" i="2" s="1" a="1"/>
  <c r="AQ686" i="2" s="1"/>
  <c r="AO302" i="2"/>
  <c r="AP302" i="2" s="1"/>
  <c r="AQ302" i="2" s="1" a="1"/>
  <c r="AQ302" i="2" s="1"/>
  <c r="AO596" i="2"/>
  <c r="AP596" i="2" s="1"/>
  <c r="AQ596" i="2" s="1" a="1"/>
  <c r="AQ596" i="2" s="1"/>
  <c r="AO212" i="2"/>
  <c r="AP212" i="2" s="1"/>
  <c r="AQ212" i="2" s="1" a="1"/>
  <c r="AQ212" i="2" s="1"/>
  <c r="AO3" i="2"/>
  <c r="AP3" i="2" s="1"/>
  <c r="AQ3" i="2" s="1" a="1"/>
  <c r="AQ3" i="2" s="1"/>
  <c r="AO698" i="2"/>
  <c r="AP698" i="2" s="1"/>
  <c r="AQ698" i="2" s="1" a="1"/>
  <c r="AQ698" i="2" s="1"/>
  <c r="AO186" i="2"/>
  <c r="AP186" i="2" s="1"/>
  <c r="AQ186" i="2" s="1" a="1"/>
  <c r="AQ186" i="2" s="1"/>
  <c r="AO897" i="2"/>
  <c r="AP897" i="2" s="1"/>
  <c r="AQ897" i="2" s="1" a="1"/>
  <c r="AQ897" i="2" s="1"/>
  <c r="AO489" i="2"/>
  <c r="AP489" i="2" s="1"/>
  <c r="AQ489" i="2" s="1" a="1"/>
  <c r="AQ489" i="2" s="1"/>
  <c r="AO25" i="2"/>
  <c r="AP25" i="2" s="1"/>
  <c r="AQ25" i="2" s="1" a="1"/>
  <c r="AQ25" i="2" s="1"/>
  <c r="AO767" i="2"/>
  <c r="AP767" i="2" s="1"/>
  <c r="AQ767" i="2" s="1" a="1"/>
  <c r="AQ767" i="2" s="1"/>
  <c r="AO511" i="2"/>
  <c r="AP511" i="2" s="1"/>
  <c r="AQ511" i="2" s="1" a="1"/>
  <c r="AQ511" i="2" s="1"/>
  <c r="AO319" i="2"/>
  <c r="AP319" i="2" s="1"/>
  <c r="AQ319" i="2" s="1" a="1"/>
  <c r="AQ319" i="2" s="1"/>
  <c r="AO127" i="2"/>
  <c r="AP127" i="2" s="1"/>
  <c r="AQ127" i="2" s="1" a="1"/>
  <c r="AQ127" i="2" s="1"/>
  <c r="AO389" i="2"/>
  <c r="AP389" i="2" s="1"/>
  <c r="AQ389" i="2" s="1" a="1"/>
  <c r="AQ389" i="2" s="1"/>
  <c r="AO397" i="2"/>
  <c r="AP397" i="2" s="1"/>
  <c r="AQ397" i="2" s="1" a="1"/>
  <c r="AQ397" i="2" s="1"/>
  <c r="AO373" i="2"/>
  <c r="AP373" i="2" s="1"/>
  <c r="AQ373" i="2" s="1" a="1"/>
  <c r="AQ373" i="2" s="1"/>
  <c r="AO293" i="2"/>
  <c r="AP293" i="2" s="1"/>
  <c r="AQ293" i="2" s="1" a="1"/>
  <c r="AQ293" i="2" s="1"/>
  <c r="AO797" i="2"/>
  <c r="AP797" i="2" s="1"/>
  <c r="AQ797" i="2" s="1" a="1"/>
  <c r="AQ797" i="2" s="1"/>
  <c r="AO773" i="2"/>
  <c r="AP773" i="2" s="1"/>
  <c r="AQ773" i="2" s="1" a="1"/>
  <c r="AQ773" i="2" s="1"/>
  <c r="AO1280" i="2"/>
  <c r="AP1280" i="2" s="1"/>
  <c r="AQ1280" i="2" s="1" a="1"/>
  <c r="AQ1280" i="2" s="1"/>
  <c r="AO1096" i="2"/>
  <c r="AP1096" i="2" s="1"/>
  <c r="AQ1096" i="2" s="1" a="1"/>
  <c r="AQ1096" i="2" s="1"/>
  <c r="AO928" i="2"/>
  <c r="AP928" i="2" s="1"/>
  <c r="AQ928" i="2" s="1" a="1"/>
  <c r="AQ928" i="2" s="1"/>
  <c r="AO768" i="2"/>
  <c r="AP768" i="2" s="1"/>
  <c r="AQ768" i="2" s="1" a="1"/>
  <c r="AQ768" i="2" s="1"/>
  <c r="AO584" i="2"/>
  <c r="AP584" i="2" s="1"/>
  <c r="AQ584" i="2" s="1" a="1"/>
  <c r="AQ584" i="2" s="1"/>
  <c r="AO416" i="2"/>
  <c r="AP416" i="2" s="1"/>
  <c r="AQ416" i="2" s="1" a="1"/>
  <c r="AQ416" i="2" s="1"/>
  <c r="AO256" i="2"/>
  <c r="AP256" i="2" s="1"/>
  <c r="AQ256" i="2" s="1" a="1"/>
  <c r="AQ256" i="2" s="1"/>
  <c r="AO72" i="2"/>
  <c r="AP72" i="2" s="1"/>
  <c r="AQ72" i="2" s="1" a="1"/>
  <c r="AQ72" i="2" s="1"/>
  <c r="AO1375" i="2"/>
  <c r="AP1375" i="2" s="1"/>
  <c r="AQ1375" i="2" s="1" a="1"/>
  <c r="AQ1375" i="2" s="1"/>
  <c r="AO1215" i="2"/>
  <c r="AP1215" i="2" s="1"/>
  <c r="AQ1215" i="2" s="1" a="1"/>
  <c r="AQ1215" i="2" s="1"/>
  <c r="AO1031" i="2"/>
  <c r="AP1031" i="2" s="1"/>
  <c r="AQ1031" i="2" s="1" a="1"/>
  <c r="AQ1031" i="2" s="1"/>
  <c r="AO1468" i="2"/>
  <c r="AP1468" i="2" s="1"/>
  <c r="AQ1468" i="2" s="1" a="1"/>
  <c r="AQ1468" i="2" s="1"/>
  <c r="AO1308" i="2"/>
  <c r="AP1308" i="2" s="1"/>
  <c r="AQ1308" i="2" s="1" a="1"/>
  <c r="AQ1308" i="2" s="1"/>
  <c r="AO1124" i="2"/>
  <c r="AP1124" i="2" s="1"/>
  <c r="AQ1124" i="2" s="1" a="1"/>
  <c r="AQ1124" i="2" s="1"/>
  <c r="AO956" i="2"/>
  <c r="AP956" i="2" s="1"/>
  <c r="AQ956" i="2" s="1" a="1"/>
  <c r="AQ956" i="2" s="1"/>
  <c r="AO796" i="2"/>
  <c r="AP796" i="2" s="1"/>
  <c r="AQ796" i="2" s="1" a="1"/>
  <c r="AQ796" i="2" s="1"/>
  <c r="AO1403" i="2"/>
  <c r="AP1403" i="2" s="1"/>
  <c r="AQ1403" i="2" s="1" a="1"/>
  <c r="AQ1403" i="2" s="1"/>
  <c r="AO1235" i="2"/>
  <c r="AP1235" i="2" s="1"/>
  <c r="AQ1235" i="2" s="1" a="1"/>
  <c r="AQ1235" i="2" s="1"/>
  <c r="AO1075" i="2"/>
  <c r="AP1075" i="2" s="1"/>
  <c r="AQ1075" i="2" s="1" a="1"/>
  <c r="AQ1075" i="2" s="1"/>
  <c r="AO891" i="2"/>
  <c r="AP891" i="2" s="1"/>
  <c r="AQ891" i="2" s="1" a="1"/>
  <c r="AQ891" i="2" s="1"/>
  <c r="AO723" i="2"/>
  <c r="AP723" i="2" s="1"/>
  <c r="AQ723" i="2" s="1" a="1"/>
  <c r="AQ723" i="2" s="1"/>
  <c r="AO563" i="2"/>
  <c r="AP563" i="2" s="1"/>
  <c r="AQ563" i="2" s="1" a="1"/>
  <c r="AQ563" i="2" s="1"/>
  <c r="AO379" i="2"/>
  <c r="AP379" i="2" s="1"/>
  <c r="AQ379" i="2" s="1" a="1"/>
  <c r="AQ379" i="2" s="1"/>
  <c r="AO211" i="2"/>
  <c r="AP211" i="2" s="1"/>
  <c r="AQ211" i="2" s="1" a="1"/>
  <c r="AQ211" i="2" s="1"/>
  <c r="AO1346" i="2"/>
  <c r="AP1346" i="2" s="1"/>
  <c r="AQ1346" i="2" s="1" a="1"/>
  <c r="AQ1346" i="2" s="1"/>
  <c r="AO1162" i="2"/>
  <c r="AP1162" i="2" s="1"/>
  <c r="AQ1162" i="2" s="1" a="1"/>
  <c r="AQ1162" i="2" s="1"/>
  <c r="AO1385" i="2"/>
  <c r="AP1385" i="2" s="1"/>
  <c r="AQ1385" i="2" s="1" a="1"/>
  <c r="AQ1385" i="2" s="1"/>
  <c r="AO1225" i="2"/>
  <c r="AP1225" i="2" s="1"/>
  <c r="AQ1225" i="2" s="1" a="1"/>
  <c r="AQ1225" i="2" s="1"/>
  <c r="AO257" i="2"/>
  <c r="AP257" i="2" s="1"/>
  <c r="AQ257" i="2" s="1" a="1"/>
  <c r="AQ257" i="2" s="1"/>
  <c r="AO1222" i="2"/>
  <c r="AP1222" i="2" s="1"/>
  <c r="AQ1222" i="2" s="1" a="1"/>
  <c r="AQ1222" i="2" s="1"/>
  <c r="AO1062" i="2"/>
  <c r="AP1062" i="2" s="1"/>
  <c r="AQ1062" i="2" s="1" a="1"/>
  <c r="AQ1062" i="2" s="1"/>
  <c r="AO878" i="2"/>
  <c r="AP878" i="2" s="1"/>
  <c r="AQ878" i="2" s="1" a="1"/>
  <c r="AQ878" i="2" s="1"/>
  <c r="AO742" i="2"/>
  <c r="AP742" i="2" s="1"/>
  <c r="AQ742" i="2" s="1" a="1"/>
  <c r="AQ742" i="2" s="1"/>
  <c r="AO614" i="2"/>
  <c r="AP614" i="2" s="1"/>
  <c r="AQ614" i="2" s="1" a="1"/>
  <c r="AQ614" i="2" s="1"/>
  <c r="AO486" i="2"/>
  <c r="AP486" i="2" s="1"/>
  <c r="AQ486" i="2" s="1" a="1"/>
  <c r="AQ486" i="2" s="1"/>
  <c r="AO358" i="2"/>
  <c r="AP358" i="2" s="1"/>
  <c r="AQ358" i="2" s="1" a="1"/>
  <c r="AQ358" i="2" s="1"/>
  <c r="AO230" i="2"/>
  <c r="AP230" i="2" s="1"/>
  <c r="AQ230" i="2" s="1" a="1"/>
  <c r="AQ230" i="2" s="1"/>
  <c r="AO102" i="2"/>
  <c r="AP102" i="2" s="1"/>
  <c r="AQ102" i="2" s="1" a="1"/>
  <c r="AQ102" i="2" s="1"/>
  <c r="AO652" i="2"/>
  <c r="AP652" i="2" s="1"/>
  <c r="AQ652" i="2" s="1" a="1"/>
  <c r="AQ652" i="2" s="1"/>
  <c r="AO524" i="2"/>
  <c r="AP524" i="2" s="1"/>
  <c r="AQ524" i="2" s="1" a="1"/>
  <c r="AQ524" i="2" s="1"/>
  <c r="AO396" i="2"/>
  <c r="AP396" i="2" s="1"/>
  <c r="AQ396" i="2" s="1" a="1"/>
  <c r="AQ396" i="2" s="1"/>
  <c r="AO268" i="2"/>
  <c r="AP268" i="2" s="1"/>
  <c r="AQ268" i="2" s="1" a="1"/>
  <c r="AQ268" i="2" s="1"/>
  <c r="AO140" i="2"/>
  <c r="AP140" i="2" s="1"/>
  <c r="AQ140" i="2" s="1" a="1"/>
  <c r="AQ140" i="2" s="1"/>
  <c r="AO12" i="2"/>
  <c r="AP12" i="2" s="1"/>
  <c r="AQ12" i="2" s="1" a="1"/>
  <c r="AQ12" i="2" s="1"/>
  <c r="AO59" i="2"/>
  <c r="AP59" i="2" s="1"/>
  <c r="AQ59" i="2" s="1" a="1"/>
  <c r="AQ59" i="2" s="1"/>
  <c r="AO1010" i="2"/>
  <c r="AP1010" i="2" s="1"/>
  <c r="AQ1010" i="2" s="1" a="1"/>
  <c r="AQ1010" i="2" s="1"/>
  <c r="AO882" i="2"/>
  <c r="AP882" i="2" s="1"/>
  <c r="AQ882" i="2" s="1" a="1"/>
  <c r="AQ882" i="2" s="1"/>
  <c r="AO754" i="2"/>
  <c r="AP754" i="2" s="1"/>
  <c r="AQ754" i="2" s="1" a="1"/>
  <c r="AQ754" i="2" s="1"/>
  <c r="AO626" i="2"/>
  <c r="AP626" i="2" s="1"/>
  <c r="AQ626" i="2" s="1" a="1"/>
  <c r="AQ626" i="2" s="1"/>
  <c r="AO498" i="2"/>
  <c r="AP498" i="2" s="1"/>
  <c r="AQ498" i="2" s="1" a="1"/>
  <c r="AQ498" i="2" s="1"/>
  <c r="AO370" i="2"/>
  <c r="AP370" i="2" s="1"/>
  <c r="AQ370" i="2" s="1" a="1"/>
  <c r="AQ370" i="2" s="1"/>
  <c r="AO242" i="2"/>
  <c r="AP242" i="2" s="1"/>
  <c r="AQ242" i="2" s="1" a="1"/>
  <c r="AQ242" i="2" s="1"/>
  <c r="AO114" i="2"/>
  <c r="AP114" i="2" s="1"/>
  <c r="AQ114" i="2" s="1" a="1"/>
  <c r="AQ114" i="2" s="1"/>
  <c r="AO1081" i="2"/>
  <c r="AP1081" i="2" s="1"/>
  <c r="AQ1081" i="2" s="1" a="1"/>
  <c r="AQ1081" i="2" s="1"/>
  <c r="AO953" i="2"/>
  <c r="AP953" i="2" s="1"/>
  <c r="AQ953" i="2" s="1" a="1"/>
  <c r="AQ953" i="2" s="1"/>
  <c r="AO825" i="2"/>
  <c r="AP825" i="2" s="1"/>
  <c r="AQ825" i="2" s="1" a="1"/>
  <c r="AQ825" i="2" s="1"/>
  <c r="AO697" i="2"/>
  <c r="AP697" i="2" s="1"/>
  <c r="AQ697" i="2" s="1" a="1"/>
  <c r="AQ697" i="2" s="1"/>
  <c r="AO553" i="2"/>
  <c r="AP553" i="2" s="1"/>
  <c r="AQ553" i="2" s="1" a="1"/>
  <c r="AQ553" i="2" s="1"/>
  <c r="AO409" i="2"/>
  <c r="AP409" i="2" s="1"/>
  <c r="AQ409" i="2" s="1" a="1"/>
  <c r="AQ409" i="2" s="1"/>
  <c r="AO297" i="2"/>
  <c r="AP297" i="2" s="1"/>
  <c r="AQ297" i="2" s="1" a="1"/>
  <c r="AQ297" i="2" s="1"/>
  <c r="AO177" i="2"/>
  <c r="AP177" i="2" s="1"/>
  <c r="AQ177" i="2" s="1" a="1"/>
  <c r="AQ177" i="2" s="1"/>
  <c r="AO49" i="2"/>
  <c r="AP49" i="2" s="1"/>
  <c r="AQ49" i="2" s="1" a="1"/>
  <c r="AQ49" i="2" s="1"/>
  <c r="AO935" i="2"/>
  <c r="AP935" i="2" s="1"/>
  <c r="AQ935" i="2" s="1" a="1"/>
  <c r="AQ935" i="2" s="1"/>
  <c r="AO855" i="2"/>
  <c r="AP855" i="2" s="1"/>
  <c r="AQ855" i="2" s="1" a="1"/>
  <c r="AQ855" i="2" s="1"/>
  <c r="AO791" i="2"/>
  <c r="AP791" i="2" s="1"/>
  <c r="AQ791" i="2" s="1" a="1"/>
  <c r="AQ791" i="2" s="1"/>
  <c r="AO727" i="2"/>
  <c r="AP727" i="2" s="1"/>
  <c r="AQ727" i="2" s="1" a="1"/>
  <c r="AQ727" i="2" s="1"/>
  <c r="AO663" i="2"/>
  <c r="AP663" i="2" s="1"/>
  <c r="AQ663" i="2" s="1" a="1"/>
  <c r="AQ663" i="2" s="1"/>
  <c r="AO599" i="2"/>
  <c r="AP599" i="2" s="1"/>
  <c r="AQ599" i="2" s="1" a="1"/>
  <c r="AQ599" i="2" s="1"/>
  <c r="AO535" i="2"/>
  <c r="AP535" i="2" s="1"/>
  <c r="AQ535" i="2" s="1" a="1"/>
  <c r="AQ535" i="2" s="1"/>
  <c r="AO471" i="2"/>
  <c r="AP471" i="2" s="1"/>
  <c r="AQ471" i="2" s="1" a="1"/>
  <c r="AQ471" i="2" s="1"/>
  <c r="AO407" i="2"/>
  <c r="AP407" i="2" s="1"/>
  <c r="AQ407" i="2" s="1" a="1"/>
  <c r="AQ407" i="2" s="1"/>
  <c r="AO343" i="2"/>
  <c r="AP343" i="2" s="1"/>
  <c r="AQ343" i="2" s="1" a="1"/>
  <c r="AQ343" i="2" s="1"/>
  <c r="AO279" i="2"/>
  <c r="AP279" i="2" s="1"/>
  <c r="AQ279" i="2" s="1" a="1"/>
  <c r="AQ279" i="2" s="1"/>
  <c r="AO215" i="2"/>
  <c r="AP215" i="2" s="1"/>
  <c r="AQ215" i="2" s="1" a="1"/>
  <c r="AQ215" i="2" s="1"/>
  <c r="AO151" i="2"/>
  <c r="AP151" i="2" s="1"/>
  <c r="AQ151" i="2" s="1" a="1"/>
  <c r="AQ151" i="2" s="1"/>
  <c r="AO87" i="2"/>
  <c r="AP87" i="2" s="1"/>
  <c r="AQ87" i="2" s="1" a="1"/>
  <c r="AQ87" i="2" s="1"/>
  <c r="AO23" i="2"/>
  <c r="AP23" i="2" s="1"/>
  <c r="AQ23" i="2" s="1" a="1"/>
  <c r="AQ23" i="2" s="1"/>
  <c r="AO1397" i="2"/>
  <c r="AP1397" i="2" s="1"/>
  <c r="AQ1397" i="2" s="1" a="1"/>
  <c r="AQ1397" i="2" s="1"/>
  <c r="AO192" i="2"/>
  <c r="AP192" i="2" s="1"/>
  <c r="AQ192" i="2" s="1" a="1"/>
  <c r="AQ192" i="2" s="1"/>
  <c r="AO1462" i="2"/>
  <c r="AP1462" i="2" s="1"/>
  <c r="AQ1462" i="2" s="1" a="1"/>
  <c r="AQ1462" i="2" s="1"/>
  <c r="AO1060" i="2"/>
  <c r="AP1060" i="2" s="1"/>
  <c r="AQ1060" i="2" s="1" a="1"/>
  <c r="AQ1060" i="2" s="1"/>
  <c r="AO1339" i="2"/>
  <c r="AP1339" i="2" s="1"/>
  <c r="AQ1339" i="2" s="1" a="1"/>
  <c r="AQ1339" i="2" s="1"/>
  <c r="AO827" i="2"/>
  <c r="AP827" i="2" s="1"/>
  <c r="AQ827" i="2" s="1" a="1"/>
  <c r="AQ827" i="2" s="1"/>
  <c r="AO315" i="2"/>
  <c r="AP315" i="2" s="1"/>
  <c r="AQ315" i="2" s="1" a="1"/>
  <c r="AQ315" i="2" s="1"/>
  <c r="AO1098" i="2"/>
  <c r="AP1098" i="2" s="1"/>
  <c r="AQ1098" i="2" s="1" a="1"/>
  <c r="AQ1098" i="2" s="1"/>
  <c r="AO1161" i="2"/>
  <c r="AP1161" i="2" s="1"/>
  <c r="AQ1161" i="2" s="1" a="1"/>
  <c r="AQ1161" i="2" s="1"/>
  <c r="AO998" i="2"/>
  <c r="AP998" i="2" s="1"/>
  <c r="AQ998" i="2" s="1" a="1"/>
  <c r="AQ998" i="2" s="1"/>
  <c r="AO558" i="2"/>
  <c r="AP558" i="2" s="1"/>
  <c r="AQ558" i="2" s="1" a="1"/>
  <c r="AQ558" i="2" s="1"/>
  <c r="AO174" i="2"/>
  <c r="AP174" i="2" s="1"/>
  <c r="AQ174" i="2" s="1" a="1"/>
  <c r="AQ174" i="2" s="1"/>
  <c r="AO468" i="2"/>
  <c r="AP468" i="2" s="1"/>
  <c r="AQ468" i="2" s="1" a="1"/>
  <c r="AQ468" i="2" s="1"/>
  <c r="AO84" i="2"/>
  <c r="AP84" i="2" s="1"/>
  <c r="AQ84" i="2" s="1" a="1"/>
  <c r="AQ84" i="2" s="1"/>
  <c r="AO826" i="2"/>
  <c r="AP826" i="2" s="1"/>
  <c r="AQ826" i="2" s="1" a="1"/>
  <c r="AQ826" i="2" s="1"/>
  <c r="AO442" i="2"/>
  <c r="AP442" i="2" s="1"/>
  <c r="AQ442" i="2" s="1" a="1"/>
  <c r="AQ442" i="2" s="1"/>
  <c r="AO58" i="2"/>
  <c r="AP58" i="2" s="1"/>
  <c r="AQ58" i="2" s="1" a="1"/>
  <c r="AQ58" i="2" s="1"/>
  <c r="AO769" i="2"/>
  <c r="AP769" i="2" s="1"/>
  <c r="AQ769" i="2" s="1" a="1"/>
  <c r="AQ769" i="2" s="1"/>
  <c r="AO369" i="2"/>
  <c r="AP369" i="2" s="1"/>
  <c r="AQ369" i="2" s="1" a="1"/>
  <c r="AQ369" i="2" s="1"/>
  <c r="AO121" i="2"/>
  <c r="AP121" i="2" s="1"/>
  <c r="AQ121" i="2" s="1" a="1"/>
  <c r="AQ121" i="2" s="1"/>
  <c r="AO831" i="2"/>
  <c r="AP831" i="2" s="1"/>
  <c r="AQ831" i="2" s="1" a="1"/>
  <c r="AQ831" i="2" s="1"/>
  <c r="AO703" i="2"/>
  <c r="AP703" i="2" s="1"/>
  <c r="AQ703" i="2" s="1" a="1"/>
  <c r="AQ703" i="2" s="1"/>
  <c r="AO575" i="2"/>
  <c r="AP575" i="2" s="1"/>
  <c r="AQ575" i="2" s="1" a="1"/>
  <c r="AQ575" i="2" s="1"/>
  <c r="AO383" i="2"/>
  <c r="AP383" i="2" s="1"/>
  <c r="AQ383" i="2" s="1" a="1"/>
  <c r="AQ383" i="2" s="1"/>
  <c r="AO191" i="2"/>
  <c r="AP191" i="2" s="1"/>
  <c r="AQ191" i="2" s="1" a="1"/>
  <c r="AQ191" i="2" s="1"/>
  <c r="AO341" i="2"/>
  <c r="AP341" i="2" s="1"/>
  <c r="AQ341" i="2" s="1" a="1"/>
  <c r="AQ341" i="2" s="1"/>
  <c r="AO357" i="2"/>
  <c r="AP357" i="2" s="1"/>
  <c r="AQ357" i="2" s="1" a="1"/>
  <c r="AQ357" i="2" s="1"/>
  <c r="AO325" i="2"/>
  <c r="AP325" i="2" s="1"/>
  <c r="AQ325" i="2" s="1" a="1"/>
  <c r="AQ325" i="2" s="1"/>
  <c r="AO237" i="2"/>
  <c r="AP237" i="2" s="1"/>
  <c r="AQ237" i="2" s="1" a="1"/>
  <c r="AQ237" i="2" s="1"/>
  <c r="AO749" i="2"/>
  <c r="AP749" i="2" s="1"/>
  <c r="AQ749" i="2" s="1" a="1"/>
  <c r="AQ749" i="2" s="1"/>
  <c r="AO717" i="2"/>
  <c r="AP717" i="2" s="1"/>
  <c r="AQ717" i="2" s="1" a="1"/>
  <c r="AQ717" i="2" s="1"/>
  <c r="AO1248" i="2"/>
  <c r="AP1248" i="2" s="1"/>
  <c r="AQ1248" i="2" s="1" a="1"/>
  <c r="AQ1248" i="2" s="1"/>
  <c r="AO1088" i="2"/>
  <c r="AP1088" i="2" s="1"/>
  <c r="AQ1088" i="2" s="1" a="1"/>
  <c r="AQ1088" i="2" s="1"/>
  <c r="AO904" i="2"/>
  <c r="AP904" i="2" s="1"/>
  <c r="AQ904" i="2" s="1" a="1"/>
  <c r="AQ904" i="2" s="1"/>
  <c r="AO736" i="2"/>
  <c r="AP736" i="2" s="1"/>
  <c r="AQ736" i="2" s="1" a="1"/>
  <c r="AQ736" i="2" s="1"/>
  <c r="AO576" i="2"/>
  <c r="AP576" i="2" s="1"/>
  <c r="AQ576" i="2" s="1" a="1"/>
  <c r="AQ576" i="2" s="1"/>
  <c r="AO392" i="2"/>
  <c r="AP392" i="2" s="1"/>
  <c r="AQ392" i="2" s="1" a="1"/>
  <c r="AQ392" i="2" s="1"/>
  <c r="AO224" i="2"/>
  <c r="AP224" i="2" s="1"/>
  <c r="AQ224" i="2" s="1" a="1"/>
  <c r="AQ224" i="2" s="1"/>
  <c r="AO64" i="2"/>
  <c r="AP64" i="2" s="1"/>
  <c r="AQ64" i="2" s="1" a="1"/>
  <c r="AQ64" i="2" s="1"/>
  <c r="AO1351" i="2"/>
  <c r="AP1351" i="2" s="1"/>
  <c r="AQ1351" i="2" s="1" a="1"/>
  <c r="AQ1351" i="2" s="1"/>
  <c r="AO1183" i="2"/>
  <c r="AP1183" i="2" s="1"/>
  <c r="AQ1183" i="2" s="1" a="1"/>
  <c r="AQ1183" i="2" s="1"/>
  <c r="AO1023" i="2"/>
  <c r="AP1023" i="2" s="1"/>
  <c r="AQ1023" i="2" s="1" a="1"/>
  <c r="AQ1023" i="2" s="1"/>
  <c r="AO1444" i="2"/>
  <c r="AP1444" i="2" s="1"/>
  <c r="AQ1444" i="2" s="1" a="1"/>
  <c r="AQ1444" i="2" s="1"/>
  <c r="AO1276" i="2"/>
  <c r="AP1276" i="2" s="1"/>
  <c r="AQ1276" i="2" s="1" a="1"/>
  <c r="AQ1276" i="2" s="1"/>
  <c r="AO1116" i="2"/>
  <c r="AP1116" i="2" s="1"/>
  <c r="AQ1116" i="2" s="1" a="1"/>
  <c r="AQ1116" i="2" s="1"/>
  <c r="AO932" i="2"/>
  <c r="AP932" i="2" s="1"/>
  <c r="AQ932" i="2" s="1" a="1"/>
  <c r="AQ932" i="2" s="1"/>
  <c r="AO764" i="2"/>
  <c r="AP764" i="2" s="1"/>
  <c r="AQ764" i="2" s="1" a="1"/>
  <c r="AQ764" i="2" s="1"/>
  <c r="AO1395" i="2"/>
  <c r="AP1395" i="2" s="1"/>
  <c r="AQ1395" i="2" s="1" a="1"/>
  <c r="AQ1395" i="2" s="1"/>
  <c r="AO1211" i="2"/>
  <c r="AP1211" i="2" s="1"/>
  <c r="AQ1211" i="2" s="1" a="1"/>
  <c r="AQ1211" i="2" s="1"/>
  <c r="AO1043" i="2"/>
  <c r="AP1043" i="2" s="1"/>
  <c r="AQ1043" i="2" s="1" a="1"/>
  <c r="AQ1043" i="2" s="1"/>
  <c r="AO883" i="2"/>
  <c r="AP883" i="2" s="1"/>
  <c r="AQ883" i="2" s="1" a="1"/>
  <c r="AQ883" i="2" s="1"/>
  <c r="AO699" i="2"/>
  <c r="AP699" i="2" s="1"/>
  <c r="AQ699" i="2" s="1" a="1"/>
  <c r="AQ699" i="2" s="1"/>
  <c r="AO531" i="2"/>
  <c r="AP531" i="2" s="1"/>
  <c r="AQ531" i="2" s="1" a="1"/>
  <c r="AQ531" i="2" s="1"/>
  <c r="AO371" i="2"/>
  <c r="AP371" i="2" s="1"/>
  <c r="AQ371" i="2" s="1" a="1"/>
  <c r="AQ371" i="2" s="1"/>
  <c r="AO187" i="2"/>
  <c r="AP187" i="2" s="1"/>
  <c r="AQ187" i="2" s="1" a="1"/>
  <c r="AQ187" i="2" s="1"/>
  <c r="AO1314" i="2"/>
  <c r="AP1314" i="2" s="1"/>
  <c r="AQ1314" i="2" s="1" a="1"/>
  <c r="AQ1314" i="2" s="1"/>
  <c r="AO1154" i="2"/>
  <c r="AP1154" i="2" s="1"/>
  <c r="AQ1154" i="2" s="1" a="1"/>
  <c r="AQ1154" i="2" s="1"/>
  <c r="AO1361" i="2"/>
  <c r="AP1361" i="2" s="1"/>
  <c r="AQ1361" i="2" s="1" a="1"/>
  <c r="AQ1361" i="2" s="1"/>
  <c r="AO1193" i="2"/>
  <c r="AP1193" i="2" s="1"/>
  <c r="AQ1193" i="2" s="1" a="1"/>
  <c r="AQ1193" i="2" s="1"/>
  <c r="AO193" i="2"/>
  <c r="AP193" i="2" s="1"/>
  <c r="AQ193" i="2" s="1" a="1"/>
  <c r="AQ193" i="2" s="1"/>
  <c r="AO1198" i="2"/>
  <c r="AP1198" i="2" s="1"/>
  <c r="AQ1198" i="2" s="1" a="1"/>
  <c r="AQ1198" i="2" s="1"/>
  <c r="AO1030" i="2"/>
  <c r="AP1030" i="2" s="1"/>
  <c r="AQ1030" i="2" s="1" a="1"/>
  <c r="AQ1030" i="2" s="1"/>
  <c r="AO870" i="2"/>
  <c r="AP870" i="2" s="1"/>
  <c r="AQ870" i="2" s="1" a="1"/>
  <c r="AQ870" i="2" s="1"/>
  <c r="AO734" i="2"/>
  <c r="AP734" i="2" s="1"/>
  <c r="AQ734" i="2" s="1" a="1"/>
  <c r="AQ734" i="2" s="1"/>
  <c r="AO606" i="2"/>
  <c r="AP606" i="2" s="1"/>
  <c r="AQ606" i="2" s="1" a="1"/>
  <c r="AQ606" i="2" s="1"/>
  <c r="AO478" i="2"/>
  <c r="AP478" i="2" s="1"/>
  <c r="AQ478" i="2" s="1" a="1"/>
  <c r="AQ478" i="2" s="1"/>
  <c r="AO350" i="2"/>
  <c r="AP350" i="2" s="1"/>
  <c r="AQ350" i="2" s="1" a="1"/>
  <c r="AQ350" i="2" s="1"/>
  <c r="AO222" i="2"/>
  <c r="AP222" i="2" s="1"/>
  <c r="AQ222" i="2" s="1" a="1"/>
  <c r="AQ222" i="2" s="1"/>
  <c r="AO94" i="2"/>
  <c r="AP94" i="2" s="1"/>
  <c r="AQ94" i="2" s="1" a="1"/>
  <c r="AQ94" i="2" s="1"/>
  <c r="AO644" i="2"/>
  <c r="AP644" i="2" s="1"/>
  <c r="AQ644" i="2" s="1" a="1"/>
  <c r="AQ644" i="2" s="1"/>
  <c r="AO516" i="2"/>
  <c r="AP516" i="2" s="1"/>
  <c r="AQ516" i="2" s="1" a="1"/>
  <c r="AQ516" i="2" s="1"/>
  <c r="AO388" i="2"/>
  <c r="AP388" i="2" s="1"/>
  <c r="AQ388" i="2" s="1" a="1"/>
  <c r="AQ388" i="2" s="1"/>
  <c r="AO260" i="2"/>
  <c r="AP260" i="2" s="1"/>
  <c r="AQ260" i="2" s="1" a="1"/>
  <c r="AQ260" i="2" s="1"/>
  <c r="AO132" i="2"/>
  <c r="AP132" i="2" s="1"/>
  <c r="AQ132" i="2" s="1" a="1"/>
  <c r="AQ132" i="2" s="1"/>
  <c r="AO4" i="2"/>
  <c r="AP4" i="2" s="1"/>
  <c r="AQ4" i="2" s="1" a="1"/>
  <c r="AQ4" i="2" s="1"/>
  <c r="AO51" i="2"/>
  <c r="AP51" i="2" s="1"/>
  <c r="AQ51" i="2" s="1" a="1"/>
  <c r="AQ51" i="2" s="1"/>
  <c r="AO1002" i="2"/>
  <c r="AP1002" i="2" s="1"/>
  <c r="AQ1002" i="2" s="1" a="1"/>
  <c r="AQ1002" i="2" s="1"/>
  <c r="AO874" i="2"/>
  <c r="AP874" i="2" s="1"/>
  <c r="AQ874" i="2" s="1" a="1"/>
  <c r="AQ874" i="2" s="1"/>
  <c r="AO746" i="2"/>
  <c r="AP746" i="2" s="1"/>
  <c r="AQ746" i="2" s="1" a="1"/>
  <c r="AQ746" i="2" s="1"/>
  <c r="AO618" i="2"/>
  <c r="AP618" i="2" s="1"/>
  <c r="AQ618" i="2" s="1" a="1"/>
  <c r="AQ618" i="2" s="1"/>
  <c r="AO490" i="2"/>
  <c r="AP490" i="2" s="1"/>
  <c r="AQ490" i="2" s="1" a="1"/>
  <c r="AQ490" i="2" s="1"/>
  <c r="AO362" i="2"/>
  <c r="AP362" i="2" s="1"/>
  <c r="AQ362" i="2" s="1" a="1"/>
  <c r="AQ362" i="2" s="1"/>
  <c r="AO234" i="2"/>
  <c r="AP234" i="2" s="1"/>
  <c r="AQ234" i="2" s="1" a="1"/>
  <c r="AQ234" i="2" s="1"/>
  <c r="AO106" i="2"/>
  <c r="AP106" i="2" s="1"/>
  <c r="AQ106" i="2" s="1" a="1"/>
  <c r="AQ106" i="2" s="1"/>
  <c r="AO1073" i="2"/>
  <c r="AP1073" i="2" s="1"/>
  <c r="AQ1073" i="2" s="1" a="1"/>
  <c r="AQ1073" i="2" s="1"/>
  <c r="AO945" i="2"/>
  <c r="AP945" i="2" s="1"/>
  <c r="AQ945" i="2" s="1" a="1"/>
  <c r="AQ945" i="2" s="1"/>
  <c r="AO817" i="2"/>
  <c r="AP817" i="2" s="1"/>
  <c r="AQ817" i="2" s="1" a="1"/>
  <c r="AQ817" i="2" s="1"/>
  <c r="AO689" i="2"/>
  <c r="AP689" i="2" s="1"/>
  <c r="AQ689" i="2" s="1" a="1"/>
  <c r="AQ689" i="2" s="1"/>
  <c r="AO545" i="2"/>
  <c r="AP545" i="2" s="1"/>
  <c r="AQ545" i="2" s="1" a="1"/>
  <c r="AQ545" i="2" s="1"/>
  <c r="AO401" i="2"/>
  <c r="AP401" i="2" s="1"/>
  <c r="AQ401" i="2" s="1" a="1"/>
  <c r="AQ401" i="2" s="1"/>
  <c r="AO273" i="2"/>
  <c r="AP273" i="2" s="1"/>
  <c r="AQ273" i="2" s="1" a="1"/>
  <c r="AQ273" i="2" s="1"/>
  <c r="AO169" i="2"/>
  <c r="AP169" i="2" s="1"/>
  <c r="AQ169" i="2" s="1" a="1"/>
  <c r="AQ169" i="2" s="1"/>
  <c r="AO41" i="2"/>
  <c r="AP41" i="2" s="1"/>
  <c r="AQ41" i="2" s="1" a="1"/>
  <c r="AQ41" i="2" s="1"/>
  <c r="AO927" i="2"/>
  <c r="AP927" i="2" s="1"/>
  <c r="AQ927" i="2" s="1" a="1"/>
  <c r="AQ927" i="2" s="1"/>
  <c r="AO847" i="2"/>
  <c r="AP847" i="2" s="1"/>
  <c r="AQ847" i="2" s="1" a="1"/>
  <c r="AQ847" i="2" s="1"/>
  <c r="AO783" i="2"/>
  <c r="AP783" i="2" s="1"/>
  <c r="AQ783" i="2" s="1" a="1"/>
  <c r="AQ783" i="2" s="1"/>
  <c r="AO719" i="2"/>
  <c r="AP719" i="2" s="1"/>
  <c r="AQ719" i="2" s="1" a="1"/>
  <c r="AQ719" i="2" s="1"/>
  <c r="AO655" i="2"/>
  <c r="AP655" i="2" s="1"/>
  <c r="AQ655" i="2" s="1" a="1"/>
  <c r="AQ655" i="2" s="1"/>
  <c r="AO591" i="2"/>
  <c r="AP591" i="2" s="1"/>
  <c r="AQ591" i="2" s="1" a="1"/>
  <c r="AQ591" i="2" s="1"/>
  <c r="AO527" i="2"/>
  <c r="AP527" i="2" s="1"/>
  <c r="AQ527" i="2" s="1" a="1"/>
  <c r="AQ527" i="2" s="1"/>
  <c r="AO463" i="2"/>
  <c r="AP463" i="2" s="1"/>
  <c r="AQ463" i="2" s="1" a="1"/>
  <c r="AQ463" i="2" s="1"/>
  <c r="AO399" i="2"/>
  <c r="AP399" i="2" s="1"/>
  <c r="AQ399" i="2" s="1" a="1"/>
  <c r="AQ399" i="2" s="1"/>
  <c r="AO335" i="2"/>
  <c r="AP335" i="2" s="1"/>
  <c r="AQ335" i="2" s="1" a="1"/>
  <c r="AQ335" i="2" s="1"/>
  <c r="AO271" i="2"/>
  <c r="AP271" i="2" s="1"/>
  <c r="AQ271" i="2" s="1" a="1"/>
  <c r="AQ271" i="2" s="1"/>
  <c r="AO207" i="2"/>
  <c r="AP207" i="2" s="1"/>
  <c r="AQ207" i="2" s="1" a="1"/>
  <c r="AQ207" i="2" s="1"/>
  <c r="AO143" i="2"/>
  <c r="AP143" i="2" s="1"/>
  <c r="AQ143" i="2" s="1" a="1"/>
  <c r="AQ143" i="2" s="1"/>
  <c r="AO79" i="2"/>
  <c r="AP79" i="2" s="1"/>
  <c r="AQ79" i="2" s="1" a="1"/>
  <c r="AQ79" i="2" s="1"/>
  <c r="AO15" i="2"/>
  <c r="AP15" i="2" s="1"/>
  <c r="AQ15" i="2" s="1" a="1"/>
  <c r="AQ15" i="2" s="1"/>
  <c r="AO1469" i="2"/>
  <c r="AP1469" i="2" s="1"/>
  <c r="AQ1469" i="2" s="1" a="1"/>
  <c r="AQ1469" i="2" s="1"/>
  <c r="AO1440" i="2"/>
  <c r="AP1440" i="2" s="1"/>
  <c r="AQ1440" i="2" s="1" a="1"/>
  <c r="AQ1440" i="2" s="1"/>
  <c r="AO405" i="2"/>
  <c r="AP405" i="2" s="1"/>
  <c r="AQ405" i="2" s="1" a="1"/>
  <c r="AQ405" i="2" s="1"/>
  <c r="AO261" i="2"/>
  <c r="AP261" i="2" s="1"/>
  <c r="AQ261" i="2" s="1" a="1"/>
  <c r="AQ261" i="2" s="1"/>
  <c r="AO1216" i="2"/>
  <c r="AP1216" i="2" s="1"/>
  <c r="AQ1216" i="2" s="1" a="1"/>
  <c r="AQ1216" i="2" s="1"/>
  <c r="AO1032" i="2"/>
  <c r="AP1032" i="2" s="1"/>
  <c r="AQ1032" i="2" s="1" a="1"/>
  <c r="AQ1032" i="2" s="1"/>
  <c r="AO864" i="2"/>
  <c r="AP864" i="2" s="1"/>
  <c r="AQ864" i="2" s="1" a="1"/>
  <c r="AQ864" i="2" s="1"/>
  <c r="AO352" i="2"/>
  <c r="AP352" i="2" s="1"/>
  <c r="AQ352" i="2" s="1" a="1"/>
  <c r="AQ352" i="2" s="1"/>
  <c r="AO8" i="2"/>
  <c r="AP8" i="2" s="1"/>
  <c r="AQ8" i="2" s="1" a="1"/>
  <c r="AQ8" i="2" s="1"/>
  <c r="AO1151" i="2"/>
  <c r="AP1151" i="2" s="1"/>
  <c r="AQ1151" i="2" s="1" a="1"/>
  <c r="AQ1151" i="2" s="1"/>
  <c r="AO1404" i="2"/>
  <c r="AP1404" i="2" s="1"/>
  <c r="AQ1404" i="2" s="1" a="1"/>
  <c r="AQ1404" i="2" s="1"/>
  <c r="AO892" i="2"/>
  <c r="AP892" i="2" s="1"/>
  <c r="AQ892" i="2" s="1" a="1"/>
  <c r="AQ892" i="2" s="1"/>
  <c r="AO1171" i="2"/>
  <c r="AP1171" i="2" s="1"/>
  <c r="AQ1171" i="2" s="1" a="1"/>
  <c r="AQ1171" i="2" s="1"/>
  <c r="AO659" i="2"/>
  <c r="AP659" i="2" s="1"/>
  <c r="AQ659" i="2" s="1" a="1"/>
  <c r="AQ659" i="2" s="1"/>
  <c r="AO1442" i="2"/>
  <c r="AP1442" i="2" s="1"/>
  <c r="AQ1442" i="2" s="1" a="1"/>
  <c r="AQ1442" i="2" s="1"/>
  <c r="AO1321" i="2"/>
  <c r="AP1321" i="2" s="1"/>
  <c r="AQ1321" i="2" s="1" a="1"/>
  <c r="AQ1321" i="2" s="1"/>
  <c r="AO1158" i="2"/>
  <c r="AP1158" i="2" s="1"/>
  <c r="AQ1158" i="2" s="1" a="1"/>
  <c r="AQ1158" i="2" s="1"/>
  <c r="AO814" i="2"/>
  <c r="AP814" i="2" s="1"/>
  <c r="AQ814" i="2" s="1" a="1"/>
  <c r="AQ814" i="2" s="1"/>
  <c r="AO430" i="2"/>
  <c r="AP430" i="2" s="1"/>
  <c r="AQ430" i="2" s="1" a="1"/>
  <c r="AQ430" i="2" s="1"/>
  <c r="AO46" i="2"/>
  <c r="AP46" i="2" s="1"/>
  <c r="AQ46" i="2" s="1" a="1"/>
  <c r="AQ46" i="2" s="1"/>
  <c r="AO340" i="2"/>
  <c r="AP340" i="2" s="1"/>
  <c r="AQ340" i="2" s="1" a="1"/>
  <c r="AQ340" i="2" s="1"/>
  <c r="AO131" i="2"/>
  <c r="AP131" i="2" s="1"/>
  <c r="AQ131" i="2" s="1" a="1"/>
  <c r="AQ131" i="2" s="1"/>
  <c r="AO954" i="2"/>
  <c r="AP954" i="2" s="1"/>
  <c r="AQ954" i="2" s="1" a="1"/>
  <c r="AQ954" i="2" s="1"/>
  <c r="AO570" i="2"/>
  <c r="AP570" i="2" s="1"/>
  <c r="AQ570" i="2" s="1" a="1"/>
  <c r="AQ570" i="2" s="1"/>
  <c r="AO314" i="2"/>
  <c r="AP314" i="2" s="1"/>
  <c r="AQ314" i="2" s="1" a="1"/>
  <c r="AQ314" i="2" s="1"/>
  <c r="AO1025" i="2"/>
  <c r="AP1025" i="2" s="1"/>
  <c r="AQ1025" i="2" s="1" a="1"/>
  <c r="AQ1025" i="2" s="1"/>
  <c r="AO633" i="2"/>
  <c r="AP633" i="2" s="1"/>
  <c r="AQ633" i="2" s="1" a="1"/>
  <c r="AQ633" i="2" s="1"/>
  <c r="AO249" i="2"/>
  <c r="AP249" i="2" s="1"/>
  <c r="AQ249" i="2" s="1" a="1"/>
  <c r="AQ249" i="2" s="1"/>
  <c r="AO895" i="2"/>
  <c r="AP895" i="2" s="1"/>
  <c r="AQ895" i="2" s="1" a="1"/>
  <c r="AQ895" i="2" s="1"/>
  <c r="AO639" i="2"/>
  <c r="AP639" i="2" s="1"/>
  <c r="AQ639" i="2" s="1" a="1"/>
  <c r="AQ639" i="2" s="1"/>
  <c r="AO447" i="2"/>
  <c r="AP447" i="2" s="1"/>
  <c r="AQ447" i="2" s="1" a="1"/>
  <c r="AQ447" i="2" s="1"/>
  <c r="AO255" i="2"/>
  <c r="AP255" i="2" s="1"/>
  <c r="AQ255" i="2" s="1" a="1"/>
  <c r="AQ255" i="2" s="1"/>
  <c r="AO63" i="2"/>
  <c r="AP63" i="2" s="1"/>
  <c r="AQ63" i="2" s="1" a="1"/>
  <c r="AQ63" i="2" s="1"/>
  <c r="AO5" i="2"/>
  <c r="AP5" i="2" s="1"/>
  <c r="AQ5" i="2" s="1" a="1"/>
  <c r="AQ5" i="2" s="1"/>
  <c r="AO13" i="2"/>
  <c r="AP13" i="2" s="1"/>
  <c r="AQ13" i="2" s="1" a="1"/>
  <c r="AQ13" i="2" s="1"/>
  <c r="AO1445" i="2"/>
  <c r="AP1445" i="2" s="1"/>
  <c r="AQ1445" i="2" s="1" a="1"/>
  <c r="AQ1445" i="2" s="1"/>
  <c r="AO1448" i="2"/>
  <c r="AP1448" i="2" s="1"/>
  <c r="AQ1448" i="2" s="1" a="1"/>
  <c r="AQ1448" i="2" s="1"/>
  <c r="AO453" i="2"/>
  <c r="AP453" i="2" s="1"/>
  <c r="AQ453" i="2" s="1" a="1"/>
  <c r="AQ453" i="2" s="1"/>
  <c r="AO309" i="2"/>
  <c r="AP309" i="2" s="1"/>
  <c r="AQ309" i="2" s="1" a="1"/>
  <c r="AQ309" i="2" s="1"/>
  <c r="AO1224" i="2"/>
  <c r="AP1224" i="2" s="1"/>
  <c r="AQ1224" i="2" s="1" a="1"/>
  <c r="AQ1224" i="2" s="1"/>
  <c r="AO1056" i="2"/>
  <c r="AP1056" i="2" s="1"/>
  <c r="AQ1056" i="2" s="1" a="1"/>
  <c r="AQ1056" i="2" s="1"/>
  <c r="AO896" i="2"/>
  <c r="AP896" i="2" s="1"/>
  <c r="AQ896" i="2" s="1" a="1"/>
  <c r="AQ896" i="2" s="1"/>
  <c r="AO712" i="2"/>
  <c r="AP712" i="2" s="1"/>
  <c r="AQ712" i="2" s="1" a="1"/>
  <c r="AQ712" i="2" s="1"/>
  <c r="AO544" i="2"/>
  <c r="AP544" i="2" s="1"/>
  <c r="AQ544" i="2" s="1" a="1"/>
  <c r="AQ544" i="2" s="1"/>
  <c r="AO384" i="2"/>
  <c r="AP384" i="2" s="1"/>
  <c r="AQ384" i="2" s="1" a="1"/>
  <c r="AQ384" i="2" s="1"/>
  <c r="AO200" i="2"/>
  <c r="AP200" i="2" s="1"/>
  <c r="AQ200" i="2" s="1" a="1"/>
  <c r="AQ200" i="2" s="1"/>
  <c r="AO32" i="2"/>
  <c r="AP32" i="2" s="1"/>
  <c r="AQ32" i="2" s="1" a="1"/>
  <c r="AQ32" i="2" s="1"/>
  <c r="AO1343" i="2"/>
  <c r="AP1343" i="2" s="1"/>
  <c r="AQ1343" i="2" s="1" a="1"/>
  <c r="AQ1343" i="2" s="1"/>
  <c r="AO1159" i="2"/>
  <c r="AP1159" i="2" s="1"/>
  <c r="AQ1159" i="2" s="1" a="1"/>
  <c r="AQ1159" i="2" s="1"/>
  <c r="AO991" i="2"/>
  <c r="AP991" i="2" s="1"/>
  <c r="AQ991" i="2" s="1" a="1"/>
  <c r="AQ991" i="2" s="1"/>
  <c r="AO1436" i="2"/>
  <c r="AP1436" i="2" s="1"/>
  <c r="AQ1436" i="2" s="1" a="1"/>
  <c r="AQ1436" i="2" s="1"/>
  <c r="AO1252" i="2"/>
  <c r="AP1252" i="2" s="1"/>
  <c r="AQ1252" i="2" s="1" a="1"/>
  <c r="AQ1252" i="2" s="1"/>
  <c r="AO1084" i="2"/>
  <c r="AP1084" i="2" s="1"/>
  <c r="AQ1084" i="2" s="1" a="1"/>
  <c r="AQ1084" i="2" s="1"/>
  <c r="AO924" i="2"/>
  <c r="AP924" i="2" s="1"/>
  <c r="AQ924" i="2" s="1" a="1"/>
  <c r="AQ924" i="2" s="1"/>
  <c r="AO740" i="2"/>
  <c r="AP740" i="2" s="1"/>
  <c r="AQ740" i="2" s="1" a="1"/>
  <c r="AQ740" i="2" s="1"/>
  <c r="AO1363" i="2"/>
  <c r="AP1363" i="2" s="1"/>
  <c r="AQ1363" i="2" s="1" a="1"/>
  <c r="AQ1363" i="2" s="1"/>
  <c r="AO1203" i="2"/>
  <c r="AP1203" i="2" s="1"/>
  <c r="AQ1203" i="2" s="1" a="1"/>
  <c r="AQ1203" i="2" s="1"/>
  <c r="AO1019" i="2"/>
  <c r="AP1019" i="2" s="1"/>
  <c r="AQ1019" i="2" s="1" a="1"/>
  <c r="AQ1019" i="2" s="1"/>
  <c r="AO851" i="2"/>
  <c r="AP851" i="2" s="1"/>
  <c r="AQ851" i="2" s="1" a="1"/>
  <c r="AQ851" i="2" s="1"/>
  <c r="AO691" i="2"/>
  <c r="AP691" i="2" s="1"/>
  <c r="AQ691" i="2" s="1" a="1"/>
  <c r="AQ691" i="2" s="1"/>
  <c r="AO507" i="2"/>
  <c r="AP507" i="2" s="1"/>
  <c r="AQ507" i="2" s="1" a="1"/>
  <c r="AQ507" i="2" s="1"/>
  <c r="AO339" i="2"/>
  <c r="AP339" i="2" s="1"/>
  <c r="AQ339" i="2" s="1" a="1"/>
  <c r="AQ339" i="2" s="1"/>
  <c r="AO179" i="2"/>
  <c r="AP179" i="2" s="1"/>
  <c r="AQ179" i="2" s="1" a="1"/>
  <c r="AQ179" i="2" s="1"/>
  <c r="AO1290" i="2"/>
  <c r="AP1290" i="2" s="1"/>
  <c r="AQ1290" i="2" s="1" a="1"/>
  <c r="AQ1290" i="2" s="1"/>
  <c r="AO1122" i="2"/>
  <c r="AP1122" i="2" s="1"/>
  <c r="AQ1122" i="2" s="1" a="1"/>
  <c r="AQ1122" i="2" s="1"/>
  <c r="AO1353" i="2"/>
  <c r="AP1353" i="2" s="1"/>
  <c r="AQ1353" i="2" s="1" a="1"/>
  <c r="AQ1353" i="2" s="1"/>
  <c r="AO1169" i="2"/>
  <c r="AP1169" i="2" s="1"/>
  <c r="AQ1169" i="2" s="1" a="1"/>
  <c r="AQ1169" i="2" s="1"/>
  <c r="AO1350" i="2"/>
  <c r="AP1350" i="2" s="1"/>
  <c r="AQ1350" i="2" s="1" a="1"/>
  <c r="AQ1350" i="2" s="1"/>
  <c r="AO1190" i="2"/>
  <c r="AP1190" i="2" s="1"/>
  <c r="AQ1190" i="2" s="1" a="1"/>
  <c r="AQ1190" i="2" s="1"/>
  <c r="AO1006" i="2"/>
  <c r="AP1006" i="2" s="1"/>
  <c r="AQ1006" i="2" s="1" a="1"/>
  <c r="AQ1006" i="2" s="1"/>
  <c r="AO838" i="2"/>
  <c r="AP838" i="2" s="1"/>
  <c r="AQ838" i="2" s="1" a="1"/>
  <c r="AQ838" i="2" s="1"/>
  <c r="AO710" i="2"/>
  <c r="AP710" i="2" s="1"/>
  <c r="AQ710" i="2" s="1" a="1"/>
  <c r="AQ710" i="2" s="1"/>
  <c r="AO582" i="2"/>
  <c r="AP582" i="2" s="1"/>
  <c r="AQ582" i="2" s="1" a="1"/>
  <c r="AQ582" i="2" s="1"/>
  <c r="AO454" i="2"/>
  <c r="AP454" i="2" s="1"/>
  <c r="AQ454" i="2" s="1" a="1"/>
  <c r="AQ454" i="2" s="1"/>
  <c r="AO326" i="2"/>
  <c r="AP326" i="2" s="1"/>
  <c r="AQ326" i="2" s="1" a="1"/>
  <c r="AQ326" i="2" s="1"/>
  <c r="AO198" i="2"/>
  <c r="AP198" i="2" s="1"/>
  <c r="AQ198" i="2" s="1" a="1"/>
  <c r="AQ198" i="2" s="1"/>
  <c r="AO70" i="2"/>
  <c r="AP70" i="2" s="1"/>
  <c r="AQ70" i="2" s="1" a="1"/>
  <c r="AQ70" i="2" s="1"/>
  <c r="AO620" i="2"/>
  <c r="AP620" i="2" s="1"/>
  <c r="AQ620" i="2" s="1" a="1"/>
  <c r="AQ620" i="2" s="1"/>
  <c r="AO492" i="2"/>
  <c r="AP492" i="2" s="1"/>
  <c r="AQ492" i="2" s="1" a="1"/>
  <c r="AQ492" i="2" s="1"/>
  <c r="AO364" i="2"/>
  <c r="AP364" i="2" s="1"/>
  <c r="AQ364" i="2" s="1" a="1"/>
  <c r="AQ364" i="2" s="1"/>
  <c r="AO236" i="2"/>
  <c r="AP236" i="2" s="1"/>
  <c r="AQ236" i="2" s="1" a="1"/>
  <c r="AQ236" i="2" s="1"/>
  <c r="AO108" i="2"/>
  <c r="AP108" i="2" s="1"/>
  <c r="AQ108" i="2" s="1" a="1"/>
  <c r="AQ108" i="2" s="1"/>
  <c r="AO155" i="2"/>
  <c r="AP155" i="2" s="1"/>
  <c r="AQ155" i="2" s="1" a="1"/>
  <c r="AQ155" i="2" s="1"/>
  <c r="AO27" i="2"/>
  <c r="AP27" i="2" s="1"/>
  <c r="AQ27" i="2" s="1" a="1"/>
  <c r="AQ27" i="2" s="1"/>
  <c r="AO978" i="2"/>
  <c r="AP978" i="2" s="1"/>
  <c r="AQ978" i="2" s="1" a="1"/>
  <c r="AQ978" i="2" s="1"/>
  <c r="AO850" i="2"/>
  <c r="AP850" i="2" s="1"/>
  <c r="AQ850" i="2" s="1" a="1"/>
  <c r="AQ850" i="2" s="1"/>
  <c r="AO722" i="2"/>
  <c r="AP722" i="2" s="1"/>
  <c r="AQ722" i="2" s="1" a="1"/>
  <c r="AQ722" i="2" s="1"/>
  <c r="AO594" i="2"/>
  <c r="AP594" i="2" s="1"/>
  <c r="AQ594" i="2" s="1" a="1"/>
  <c r="AQ594" i="2" s="1"/>
  <c r="AO466" i="2"/>
  <c r="AP466" i="2" s="1"/>
  <c r="AQ466" i="2" s="1" a="1"/>
  <c r="AQ466" i="2" s="1"/>
  <c r="AO338" i="2"/>
  <c r="AP338" i="2" s="1"/>
  <c r="AQ338" i="2" s="1" a="1"/>
  <c r="AQ338" i="2" s="1"/>
  <c r="AO210" i="2"/>
  <c r="AP210" i="2" s="1"/>
  <c r="AQ210" i="2" s="1" a="1"/>
  <c r="AQ210" i="2" s="1"/>
  <c r="AO82" i="2"/>
  <c r="AP82" i="2" s="1"/>
  <c r="AQ82" i="2" s="1" a="1"/>
  <c r="AQ82" i="2" s="1"/>
  <c r="AO1049" i="2"/>
  <c r="AP1049" i="2" s="1"/>
  <c r="AQ1049" i="2" s="1" a="1"/>
  <c r="AQ1049" i="2" s="1"/>
  <c r="AO921" i="2"/>
  <c r="AP921" i="2" s="1"/>
  <c r="AQ921" i="2" s="1" a="1"/>
  <c r="AQ921" i="2" s="1"/>
  <c r="AO793" i="2"/>
  <c r="AP793" i="2" s="1"/>
  <c r="AQ793" i="2" s="1" a="1"/>
  <c r="AQ793" i="2" s="1"/>
  <c r="AO665" i="2"/>
  <c r="AP665" i="2" s="1"/>
  <c r="AQ665" i="2" s="1" a="1"/>
  <c r="AQ665" i="2" s="1"/>
  <c r="AO521" i="2"/>
  <c r="AP521" i="2" s="1"/>
  <c r="AQ521" i="2" s="1" a="1"/>
  <c r="AQ521" i="2" s="1"/>
  <c r="AO393" i="2"/>
  <c r="AP393" i="2" s="1"/>
  <c r="AQ393" i="2" s="1" a="1"/>
  <c r="AQ393" i="2" s="1"/>
  <c r="AO265" i="2"/>
  <c r="AP265" i="2" s="1"/>
  <c r="AQ265" i="2" s="1" a="1"/>
  <c r="AQ265" i="2" s="1"/>
  <c r="AO153" i="2"/>
  <c r="AP153" i="2" s="1"/>
  <c r="AQ153" i="2" s="1" a="1"/>
  <c r="AQ153" i="2" s="1"/>
  <c r="AO33" i="2"/>
  <c r="AP33" i="2" s="1"/>
  <c r="AQ33" i="2" s="1" a="1"/>
  <c r="AQ33" i="2" s="1"/>
  <c r="AO919" i="2"/>
  <c r="AP919" i="2" s="1"/>
  <c r="AQ919" i="2" s="1" a="1"/>
  <c r="AQ919" i="2" s="1"/>
  <c r="AO839" i="2"/>
  <c r="AP839" i="2" s="1"/>
  <c r="AQ839" i="2" s="1" a="1"/>
  <c r="AQ839" i="2" s="1"/>
  <c r="AO775" i="2"/>
  <c r="AP775" i="2" s="1"/>
  <c r="AQ775" i="2" s="1" a="1"/>
  <c r="AQ775" i="2" s="1"/>
  <c r="AO711" i="2"/>
  <c r="AP711" i="2" s="1"/>
  <c r="AQ711" i="2" s="1" a="1"/>
  <c r="AQ711" i="2" s="1"/>
  <c r="AO647" i="2"/>
  <c r="AP647" i="2" s="1"/>
  <c r="AQ647" i="2" s="1" a="1"/>
  <c r="AQ647" i="2" s="1"/>
  <c r="AO583" i="2"/>
  <c r="AP583" i="2" s="1"/>
  <c r="AQ583" i="2" s="1" a="1"/>
  <c r="AQ583" i="2" s="1"/>
  <c r="AO519" i="2"/>
  <c r="AP519" i="2" s="1"/>
  <c r="AQ519" i="2" s="1" a="1"/>
  <c r="AQ519" i="2" s="1"/>
  <c r="AO455" i="2"/>
  <c r="AP455" i="2" s="1"/>
  <c r="AQ455" i="2" s="1" a="1"/>
  <c r="AQ455" i="2" s="1"/>
  <c r="AO391" i="2"/>
  <c r="AP391" i="2" s="1"/>
  <c r="AQ391" i="2" s="1" a="1"/>
  <c r="AQ391" i="2" s="1"/>
  <c r="AO327" i="2"/>
  <c r="AP327" i="2" s="1"/>
  <c r="AQ327" i="2" s="1" a="1"/>
  <c r="AQ327" i="2" s="1"/>
  <c r="AO263" i="2"/>
  <c r="AP263" i="2" s="1"/>
  <c r="AQ263" i="2" s="1" a="1"/>
  <c r="AQ263" i="2" s="1"/>
  <c r="AO199" i="2"/>
  <c r="AP199" i="2" s="1"/>
  <c r="AQ199" i="2" s="1" a="1"/>
  <c r="AQ199" i="2" s="1"/>
  <c r="AO135" i="2"/>
  <c r="AP135" i="2" s="1"/>
  <c r="AQ135" i="2" s="1" a="1"/>
  <c r="AQ135" i="2" s="1"/>
  <c r="AO71" i="2"/>
  <c r="AP71" i="2" s="1"/>
  <c r="AQ71" i="2" s="1" a="1"/>
  <c r="AQ71" i="2" s="1"/>
  <c r="AO7" i="2"/>
  <c r="AP7" i="2" s="1"/>
  <c r="AQ7" i="2" s="1" a="1"/>
  <c r="AQ7" i="2" s="1"/>
  <c r="AO704" i="2"/>
  <c r="AP704" i="2" s="1"/>
  <c r="AQ704" i="2" s="1" a="1"/>
  <c r="AQ704"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CFB61F-BF6B-4D57-B314-F01B7C8392C0}" keepAlive="1" name="Query - HR" description="Connection to the 'HR' query in the workbook." type="5" refreshedVersion="0" background="1" saveData="1">
    <dbPr connection="Provider=Microsoft.Mashup.OleDb.1;Data Source=$Workbook$;Location=HR;Extended Properties=&quot;&quot;" command="SELECT * FROM [HR]"/>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<sst xmlns="http://schemas.openxmlformats.org/spreadsheetml/2006/main" count="10536" uniqueCount="1639">
  <si>
    <t>Age</t>
  </si>
  <si>
    <t>BusinessTravel</t>
  </si>
  <si>
    <t>DailyRate</t>
  </si>
  <si>
    <t>Department</t>
  </si>
  <si>
    <t>DistanceFromHome</t>
  </si>
  <si>
    <t>Education</t>
  </si>
  <si>
    <t>EducationField</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</si>
  <si>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</si>
  <si>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</si>
  <si>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</si>
  <si>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</si>
  <si>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</si>
  <si>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</si>
  <si>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</si>
  <si>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</si>
  <si>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</si>
  <si>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</si>
  <si>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</si>
  <si>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</si>
  <si>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</si>
  <si>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</si>
  <si>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</si>
  <si>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</si>
  <si>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</si>
  <si>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</si>
  <si>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</si>
  <si>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</si>
  <si>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</si>
  <si>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</si>
  <si>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</si>
  <si>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Attrition</t>
  </si>
  <si>
    <t>Travel_Rarely</t>
  </si>
  <si>
    <t>Sales</t>
  </si>
  <si>
    <t>Life Sciences</t>
  </si>
  <si>
    <t>Female</t>
  </si>
  <si>
    <t>Sales Executive</t>
  </si>
  <si>
    <t>Single</t>
  </si>
  <si>
    <t>Travel_Frequently</t>
  </si>
  <si>
    <t>Research &amp; Development</t>
  </si>
  <si>
    <t>Male</t>
  </si>
  <si>
    <t>Research Scientist</t>
  </si>
  <si>
    <t>Married</t>
  </si>
  <si>
    <t>Other</t>
  </si>
  <si>
    <t>Laboratory Technician</t>
  </si>
  <si>
    <t>Medical</t>
  </si>
  <si>
    <t>Divorced</t>
  </si>
  <si>
    <t>Manufacturing Director</t>
  </si>
  <si>
    <t>Healthcare Representative</t>
  </si>
  <si>
    <t>Manager</t>
  </si>
  <si>
    <t>Sales Representative</t>
  </si>
  <si>
    <t>Research Director</t>
  </si>
  <si>
    <t>Marketing</t>
  </si>
  <si>
    <t>Technical Degree</t>
  </si>
  <si>
    <t>Human Resources</t>
  </si>
  <si>
    <t>EMP-100001</t>
  </si>
  <si>
    <t>EMP-100002</t>
  </si>
  <si>
    <t>EMP-100003</t>
  </si>
  <si>
    <t>EMP-100004</t>
  </si>
  <si>
    <t>EMP-100005</t>
  </si>
  <si>
    <t>EMP-100006</t>
  </si>
  <si>
    <t>EMP-100007</t>
  </si>
  <si>
    <t>EMP-100008</t>
  </si>
  <si>
    <t>EMP-100009</t>
  </si>
  <si>
    <t>EMP-100010</t>
  </si>
  <si>
    <t>EMP-100011</t>
  </si>
  <si>
    <t>EMP-100012</t>
  </si>
  <si>
    <t>EMP-100013</t>
  </si>
  <si>
    <t>EMP-100014</t>
  </si>
  <si>
    <t>EMP-100015</t>
  </si>
  <si>
    <t>EMP-100016</t>
  </si>
  <si>
    <t>EMP-100017</t>
  </si>
  <si>
    <t>EMP-100018</t>
  </si>
  <si>
    <t>EMP-100019</t>
  </si>
  <si>
    <t>EMP-100020</t>
  </si>
  <si>
    <t>EMP-100021</t>
  </si>
  <si>
    <t>EMP-100022</t>
  </si>
  <si>
    <t>EMP-100023</t>
  </si>
  <si>
    <t>EMP-100024</t>
  </si>
  <si>
    <t>EMP-100025</t>
  </si>
  <si>
    <t>EMP-100026</t>
  </si>
  <si>
    <t>EMP-100027</t>
  </si>
  <si>
    <t>EMP-100028</t>
  </si>
  <si>
    <t>EMP-100029</t>
  </si>
  <si>
    <t>EMP-100030</t>
  </si>
  <si>
    <t>EMP-100031</t>
  </si>
  <si>
    <t>EMP-100032</t>
  </si>
  <si>
    <t>EMP-100033</t>
  </si>
  <si>
    <t>EMP-100034</t>
  </si>
  <si>
    <t>EMP-100035</t>
  </si>
  <si>
    <t>EMP-100036</t>
  </si>
  <si>
    <t>EMP-100037</t>
  </si>
  <si>
    <t>EMP-100038</t>
  </si>
  <si>
    <t>EMP-100039</t>
  </si>
  <si>
    <t>EMP-100040</t>
  </si>
  <si>
    <t>EMP-100041</t>
  </si>
  <si>
    <t>EMP-100042</t>
  </si>
  <si>
    <t>EMP-100043</t>
  </si>
  <si>
    <t>EMP-100044</t>
  </si>
  <si>
    <t>EMP-100045</t>
  </si>
  <si>
    <t>EMP-100046</t>
  </si>
  <si>
    <t>EMP-100047</t>
  </si>
  <si>
    <t>EMP-100048</t>
  </si>
  <si>
    <t>EMP-100049</t>
  </si>
  <si>
    <t>EMP-100050</t>
  </si>
  <si>
    <t>EMP-100051</t>
  </si>
  <si>
    <t>EMP-100052</t>
  </si>
  <si>
    <t>EMP-100053</t>
  </si>
  <si>
    <t>EMP-100054</t>
  </si>
  <si>
    <t>EMP-100055</t>
  </si>
  <si>
    <t>EMP-100056</t>
  </si>
  <si>
    <t>EMP-100057</t>
  </si>
  <si>
    <t>EMP-100058</t>
  </si>
  <si>
    <t>EMP-100059</t>
  </si>
  <si>
    <t>EMP-100060</t>
  </si>
  <si>
    <t>EMP-100061</t>
  </si>
  <si>
    <t>EMP-100062</t>
  </si>
  <si>
    <t>EMP-100063</t>
  </si>
  <si>
    <t>EMP-100064</t>
  </si>
  <si>
    <t>EMP-100065</t>
  </si>
  <si>
    <t>EMP-100066</t>
  </si>
  <si>
    <t>EMP-100067</t>
  </si>
  <si>
    <t>EMP-100068</t>
  </si>
  <si>
    <t>EMP-100069</t>
  </si>
  <si>
    <t>EMP-100070</t>
  </si>
  <si>
    <t>EMP-100071</t>
  </si>
  <si>
    <t>EMP-100072</t>
  </si>
  <si>
    <t>EMP-100073</t>
  </si>
  <si>
    <t>EMP-100074</t>
  </si>
  <si>
    <t>EMP-100075</t>
  </si>
  <si>
    <t>EMP-100076</t>
  </si>
  <si>
    <t>EMP-100077</t>
  </si>
  <si>
    <t>EMP-100078</t>
  </si>
  <si>
    <t>EMP-100079</t>
  </si>
  <si>
    <t>EMP-100080</t>
  </si>
  <si>
    <t>EMP-100081</t>
  </si>
  <si>
    <t>EMP-100082</t>
  </si>
  <si>
    <t>EMP-100083</t>
  </si>
  <si>
    <t>EMP-100084</t>
  </si>
  <si>
    <t>EMP-100085</t>
  </si>
  <si>
    <t>EMP-100086</t>
  </si>
  <si>
    <t>EMP-100087</t>
  </si>
  <si>
    <t>EMP-100088</t>
  </si>
  <si>
    <t>EMP-100089</t>
  </si>
  <si>
    <t>EMP-100090</t>
  </si>
  <si>
    <t>EMP-100091</t>
  </si>
  <si>
    <t>EMP-100092</t>
  </si>
  <si>
    <t>EMP-100093</t>
  </si>
  <si>
    <t>EMP-100094</t>
  </si>
  <si>
    <t>EMP-100095</t>
  </si>
  <si>
    <t>EMP-100096</t>
  </si>
  <si>
    <t>EMP-100097</t>
  </si>
  <si>
    <t>EMP-100098</t>
  </si>
  <si>
    <t>EMP-100099</t>
  </si>
  <si>
    <t>EMP-100100</t>
  </si>
  <si>
    <t>EMP-100101</t>
  </si>
  <si>
    <t>EMP-100102</t>
  </si>
  <si>
    <t>EMP-100103</t>
  </si>
  <si>
    <t>EMP-100104</t>
  </si>
  <si>
    <t>EMP-100105</t>
  </si>
  <si>
    <t>EMP-100106</t>
  </si>
  <si>
    <t>EMP-100107</t>
  </si>
  <si>
    <t>EMP-100108</t>
  </si>
  <si>
    <t>EMP-100109</t>
  </si>
  <si>
    <t>EMP-100110</t>
  </si>
  <si>
    <t>EMP-100111</t>
  </si>
  <si>
    <t>EMP-100112</t>
  </si>
  <si>
    <t>EMP-100113</t>
  </si>
  <si>
    <t>EMP-100114</t>
  </si>
  <si>
    <t>EMP-100115</t>
  </si>
  <si>
    <t>EMP-100116</t>
  </si>
  <si>
    <t>EMP-100117</t>
  </si>
  <si>
    <t>EMP-100118</t>
  </si>
  <si>
    <t>EMP-100119</t>
  </si>
  <si>
    <t>EMP-100120</t>
  </si>
  <si>
    <t>EMP-100121</t>
  </si>
  <si>
    <t>EMP-100122</t>
  </si>
  <si>
    <t>EMP-100123</t>
  </si>
  <si>
    <t>EMP-100124</t>
  </si>
  <si>
    <t>EMP-100125</t>
  </si>
  <si>
    <t>EMP-100126</t>
  </si>
  <si>
    <t>EMP-100127</t>
  </si>
  <si>
    <t>EMP-100128</t>
  </si>
  <si>
    <t>EMP-100129</t>
  </si>
  <si>
    <t>EMP-100130</t>
  </si>
  <si>
    <t>EMP-100131</t>
  </si>
  <si>
    <t>EMP-100132</t>
  </si>
  <si>
    <t>EMP-100133</t>
  </si>
  <si>
    <t>EMP-100134</t>
  </si>
  <si>
    <t>EMP-100135</t>
  </si>
  <si>
    <t>EMP-100136</t>
  </si>
  <si>
    <t>EMP-100137</t>
  </si>
  <si>
    <t>EMP-100138</t>
  </si>
  <si>
    <t>EMP-100139</t>
  </si>
  <si>
    <t>EMP-100140</t>
  </si>
  <si>
    <t>EMP-100141</t>
  </si>
  <si>
    <t>EMP-100142</t>
  </si>
  <si>
    <t>EMP-100143</t>
  </si>
  <si>
    <t>EMP-100144</t>
  </si>
  <si>
    <t>EMP-100145</t>
  </si>
  <si>
    <t>EMP-100146</t>
  </si>
  <si>
    <t>EMP-100147</t>
  </si>
  <si>
    <t>EMP-100148</t>
  </si>
  <si>
    <t>EMP-100149</t>
  </si>
  <si>
    <t>EMP-100150</t>
  </si>
  <si>
    <t>EMP-100151</t>
  </si>
  <si>
    <t>EMP-100152</t>
  </si>
  <si>
    <t>EMP-100153</t>
  </si>
  <si>
    <t>EMP-100154</t>
  </si>
  <si>
    <t>EMP-100155</t>
  </si>
  <si>
    <t>EMP-100156</t>
  </si>
  <si>
    <t>EMP-100157</t>
  </si>
  <si>
    <t>EMP-100158</t>
  </si>
  <si>
    <t>EMP-100159</t>
  </si>
  <si>
    <t>EMP-100160</t>
  </si>
  <si>
    <t>EMP-100161</t>
  </si>
  <si>
    <t>EMP-100162</t>
  </si>
  <si>
    <t>EMP-100163</t>
  </si>
  <si>
    <t>EMP-100164</t>
  </si>
  <si>
    <t>EMP-100165</t>
  </si>
  <si>
    <t>EMP-100166</t>
  </si>
  <si>
    <t>EMP-100167</t>
  </si>
  <si>
    <t>EMP-100168</t>
  </si>
  <si>
    <t>EMP-100169</t>
  </si>
  <si>
    <t>EMP-100170</t>
  </si>
  <si>
    <t>EMP-100171</t>
  </si>
  <si>
    <t>EMP-100172</t>
  </si>
  <si>
    <t>EMP-100173</t>
  </si>
  <si>
    <t>EMP-100174</t>
  </si>
  <si>
    <t>EMP-100175</t>
  </si>
  <si>
    <t>EMP-100176</t>
  </si>
  <si>
    <t>EMP-100177</t>
  </si>
  <si>
    <t>EMP-100178</t>
  </si>
  <si>
    <t>EMP-100179</t>
  </si>
  <si>
    <t>EMP-100180</t>
  </si>
  <si>
    <t>EMP-100181</t>
  </si>
  <si>
    <t>EMP-100182</t>
  </si>
  <si>
    <t>EMP-100183</t>
  </si>
  <si>
    <t>EMP-100184</t>
  </si>
  <si>
    <t>EMP-100185</t>
  </si>
  <si>
    <t>EMP-100186</t>
  </si>
  <si>
    <t>EMP-100187</t>
  </si>
  <si>
    <t>EMP-100188</t>
  </si>
  <si>
    <t>EMP-100189</t>
  </si>
  <si>
    <t>EMP-100190</t>
  </si>
  <si>
    <t>EMP-100191</t>
  </si>
  <si>
    <t>EMP-100192</t>
  </si>
  <si>
    <t>EMP-100193</t>
  </si>
  <si>
    <t>EMP-100194</t>
  </si>
  <si>
    <t>EMP-100195</t>
  </si>
  <si>
    <t>EMP-100196</t>
  </si>
  <si>
    <t>EMP-100197</t>
  </si>
  <si>
    <t>EMP-100198</t>
  </si>
  <si>
    <t>EMP-100199</t>
  </si>
  <si>
    <t>EMP-100200</t>
  </si>
  <si>
    <t>EMP-100201</t>
  </si>
  <si>
    <t>EMP-100202</t>
  </si>
  <si>
    <t>EMP-100203</t>
  </si>
  <si>
    <t>EMP-100204</t>
  </si>
  <si>
    <t>EMP-100205</t>
  </si>
  <si>
    <t>EMP-100206</t>
  </si>
  <si>
    <t>EMP-100207</t>
  </si>
  <si>
    <t>EMP-100208</t>
  </si>
  <si>
    <t>EMP-100209</t>
  </si>
  <si>
    <t>EMP-100210</t>
  </si>
  <si>
    <t>EMP-100211</t>
  </si>
  <si>
    <t>EMP-100212</t>
  </si>
  <si>
    <t>EMP-100213</t>
  </si>
  <si>
    <t>EMP-100214</t>
  </si>
  <si>
    <t>EMP-100215</t>
  </si>
  <si>
    <t>EMP-100216</t>
  </si>
  <si>
    <t>EMP-100217</t>
  </si>
  <si>
    <t>EMP-100218</t>
  </si>
  <si>
    <t>EMP-100219</t>
  </si>
  <si>
    <t>EMP-100220</t>
  </si>
  <si>
    <t>EMP-100221</t>
  </si>
  <si>
    <t>EMP-100222</t>
  </si>
  <si>
    <t>EMP-100223</t>
  </si>
  <si>
    <t>EMP-100224</t>
  </si>
  <si>
    <t>EMP-100225</t>
  </si>
  <si>
    <t>EMP-100226</t>
  </si>
  <si>
    <t>EMP-100227</t>
  </si>
  <si>
    <t>EMP-100228</t>
  </si>
  <si>
    <t>EMP-100229</t>
  </si>
  <si>
    <t>EMP-100230</t>
  </si>
  <si>
    <t>EMP-100231</t>
  </si>
  <si>
    <t>EMP-100232</t>
  </si>
  <si>
    <t>EMP-100233</t>
  </si>
  <si>
    <t>EMP-100234</t>
  </si>
  <si>
    <t>EMP-100235</t>
  </si>
  <si>
    <t>EMP-100236</t>
  </si>
  <si>
    <t>EMP-100237</t>
  </si>
  <si>
    <t>EMP-100238</t>
  </si>
  <si>
    <t>EMP-100239</t>
  </si>
  <si>
    <t>EMP-100240</t>
  </si>
  <si>
    <t>EMP-100241</t>
  </si>
  <si>
    <t>EMP-100242</t>
  </si>
  <si>
    <t>EMP-100243</t>
  </si>
  <si>
    <t>EMP-100244</t>
  </si>
  <si>
    <t>EMP-100245</t>
  </si>
  <si>
    <t>EMP-100246</t>
  </si>
  <si>
    <t>EMP-100247</t>
  </si>
  <si>
    <t>EMP-100248</t>
  </si>
  <si>
    <t>EMP-100249</t>
  </si>
  <si>
    <t>EMP-100250</t>
  </si>
  <si>
    <t>EMP-100251</t>
  </si>
  <si>
    <t>EMP-100252</t>
  </si>
  <si>
    <t>EMP-100253</t>
  </si>
  <si>
    <t>EMP-100254</t>
  </si>
  <si>
    <t>EMP-100255</t>
  </si>
  <si>
    <t>EMP-100256</t>
  </si>
  <si>
    <t>EMP-100257</t>
  </si>
  <si>
    <t>EMP-100258</t>
  </si>
  <si>
    <t>EMP-100259</t>
  </si>
  <si>
    <t>EMP-100260</t>
  </si>
  <si>
    <t>EMP-100261</t>
  </si>
  <si>
    <t>EMP-100262</t>
  </si>
  <si>
    <t>EMP-100263</t>
  </si>
  <si>
    <t>EMP-100264</t>
  </si>
  <si>
    <t>EMP-100265</t>
  </si>
  <si>
    <t>EMP-100266</t>
  </si>
  <si>
    <t>EMP-100267</t>
  </si>
  <si>
    <t>EMP-100268</t>
  </si>
  <si>
    <t>EMP-100269</t>
  </si>
  <si>
    <t>EMP-100270</t>
  </si>
  <si>
    <t>EMP-100271</t>
  </si>
  <si>
    <t>EMP-100272</t>
  </si>
  <si>
    <t>EMP-100273</t>
  </si>
  <si>
    <t>EMP-100274</t>
  </si>
  <si>
    <t>EMP-100275</t>
  </si>
  <si>
    <t>EMP-100276</t>
  </si>
  <si>
    <t>EMP-100277</t>
  </si>
  <si>
    <t>EMP-100278</t>
  </si>
  <si>
    <t>EMP-100279</t>
  </si>
  <si>
    <t>EMP-100280</t>
  </si>
  <si>
    <t>EMP-100281</t>
  </si>
  <si>
    <t>EMP-100282</t>
  </si>
  <si>
    <t>EMP-100283</t>
  </si>
  <si>
    <t>EMP-100284</t>
  </si>
  <si>
    <t>EMP-100285</t>
  </si>
  <si>
    <t>EMP-100286</t>
  </si>
  <si>
    <t>EMP-100287</t>
  </si>
  <si>
    <t>EMP-100288</t>
  </si>
  <si>
    <t>EMP-100289</t>
  </si>
  <si>
    <t>EMP-100290</t>
  </si>
  <si>
    <t>EMP-100291</t>
  </si>
  <si>
    <t>EMP-100292</t>
  </si>
  <si>
    <t>EMP-100293</t>
  </si>
  <si>
    <t>EMP-100294</t>
  </si>
  <si>
    <t>EMP-100295</t>
  </si>
  <si>
    <t>EMP-100296</t>
  </si>
  <si>
    <t>EMP-100297</t>
  </si>
  <si>
    <t>EMP-100298</t>
  </si>
  <si>
    <t>EMP-100299</t>
  </si>
  <si>
    <t>EMP-100300</t>
  </si>
  <si>
    <t>EMP-100301</t>
  </si>
  <si>
    <t>EMP-100302</t>
  </si>
  <si>
    <t>EMP-100303</t>
  </si>
  <si>
    <t>EMP-100304</t>
  </si>
  <si>
    <t>EMP-100305</t>
  </si>
  <si>
    <t>EMP-100306</t>
  </si>
  <si>
    <t>EMP-100307</t>
  </si>
  <si>
    <t>EMP-100308</t>
  </si>
  <si>
    <t>EMP-100309</t>
  </si>
  <si>
    <t>EMP-100310</t>
  </si>
  <si>
    <t>EMP-100311</t>
  </si>
  <si>
    <t>EMP-100312</t>
  </si>
  <si>
    <t>EMP-100313</t>
  </si>
  <si>
    <t>EMP-100314</t>
  </si>
  <si>
    <t>EMP-100315</t>
  </si>
  <si>
    <t>EMP-100316</t>
  </si>
  <si>
    <t>EMP-100317</t>
  </si>
  <si>
    <t>EMP-100318</t>
  </si>
  <si>
    <t>EMP-100319</t>
  </si>
  <si>
    <t>EMP-100320</t>
  </si>
  <si>
    <t>EMP-100321</t>
  </si>
  <si>
    <t>EMP-100322</t>
  </si>
  <si>
    <t>EMP-100323</t>
  </si>
  <si>
    <t>EMP-100324</t>
  </si>
  <si>
    <t>EMP-100325</t>
  </si>
  <si>
    <t>EMP-100326</t>
  </si>
  <si>
    <t>EMP-100327</t>
  </si>
  <si>
    <t>EMP-100328</t>
  </si>
  <si>
    <t>EMP-100329</t>
  </si>
  <si>
    <t>EMP-100330</t>
  </si>
  <si>
    <t>EMP-100331</t>
  </si>
  <si>
    <t>EMP-100332</t>
  </si>
  <si>
    <t>EMP-100333</t>
  </si>
  <si>
    <t>EMP-100334</t>
  </si>
  <si>
    <t>EMP-100335</t>
  </si>
  <si>
    <t>EMP-100336</t>
  </si>
  <si>
    <t>EMP-100337</t>
  </si>
  <si>
    <t>EMP-100338</t>
  </si>
  <si>
    <t>EMP-100339</t>
  </si>
  <si>
    <t>EMP-100340</t>
  </si>
  <si>
    <t>EMP-100341</t>
  </si>
  <si>
    <t>EMP-100342</t>
  </si>
  <si>
    <t>EMP-100343</t>
  </si>
  <si>
    <t>EMP-100344</t>
  </si>
  <si>
    <t>EMP-100345</t>
  </si>
  <si>
    <t>EMP-100346</t>
  </si>
  <si>
    <t>EMP-100347</t>
  </si>
  <si>
    <t>EMP-100348</t>
  </si>
  <si>
    <t>EMP-100349</t>
  </si>
  <si>
    <t>EMP-100350</t>
  </si>
  <si>
    <t>EMP-100351</t>
  </si>
  <si>
    <t>EMP-100352</t>
  </si>
  <si>
    <t>EMP-100353</t>
  </si>
  <si>
    <t>EMP-100354</t>
  </si>
  <si>
    <t>EMP-100355</t>
  </si>
  <si>
    <t>EMP-100356</t>
  </si>
  <si>
    <t>EMP-100357</t>
  </si>
  <si>
    <t>EMP-100358</t>
  </si>
  <si>
    <t>EMP-100359</t>
  </si>
  <si>
    <t>EMP-100360</t>
  </si>
  <si>
    <t>EMP-100361</t>
  </si>
  <si>
    <t>EMP-100362</t>
  </si>
  <si>
    <t>EMP-100363</t>
  </si>
  <si>
    <t>EMP-100364</t>
  </si>
  <si>
    <t>EMP-100365</t>
  </si>
  <si>
    <t>EMP-100366</t>
  </si>
  <si>
    <t>EMP-100367</t>
  </si>
  <si>
    <t>EMP-100368</t>
  </si>
  <si>
    <t>EMP-100369</t>
  </si>
  <si>
    <t>EMP-100370</t>
  </si>
  <si>
    <t>EMP-100371</t>
  </si>
  <si>
    <t>EMP-100372</t>
  </si>
  <si>
    <t>EMP-100373</t>
  </si>
  <si>
    <t>EMP-100374</t>
  </si>
  <si>
    <t>EMP-100375</t>
  </si>
  <si>
    <t>EMP-100376</t>
  </si>
  <si>
    <t>EMP-100377</t>
  </si>
  <si>
    <t>EMP-100378</t>
  </si>
  <si>
    <t>EMP-100379</t>
  </si>
  <si>
    <t>EMP-100380</t>
  </si>
  <si>
    <t>EMP-100381</t>
  </si>
  <si>
    <t>EMP-100382</t>
  </si>
  <si>
    <t>EMP-100383</t>
  </si>
  <si>
    <t>EMP-100384</t>
  </si>
  <si>
    <t>EMP-100385</t>
  </si>
  <si>
    <t>EMP-100386</t>
  </si>
  <si>
    <t>EMP-100387</t>
  </si>
  <si>
    <t>EMP-100388</t>
  </si>
  <si>
    <t>EMP-100389</t>
  </si>
  <si>
    <t>EMP-100390</t>
  </si>
  <si>
    <t>EMP-100391</t>
  </si>
  <si>
    <t>EMP-100392</t>
  </si>
  <si>
    <t>EMP-100393</t>
  </si>
  <si>
    <t>EMP-100394</t>
  </si>
  <si>
    <t>EMP-100395</t>
  </si>
  <si>
    <t>EMP-100396</t>
  </si>
  <si>
    <t>EMP-100397</t>
  </si>
  <si>
    <t>EMP-100398</t>
  </si>
  <si>
    <t>EMP-100399</t>
  </si>
  <si>
    <t>EMP-100400</t>
  </si>
  <si>
    <t>EMP-100401</t>
  </si>
  <si>
    <t>EMP-100402</t>
  </si>
  <si>
    <t>EMP-100403</t>
  </si>
  <si>
    <t>EMP-100404</t>
  </si>
  <si>
    <t>EMP-100405</t>
  </si>
  <si>
    <t>EMP-100406</t>
  </si>
  <si>
    <t>EMP-100407</t>
  </si>
  <si>
    <t>EMP-100408</t>
  </si>
  <si>
    <t>EMP-100409</t>
  </si>
  <si>
    <t>EMP-100410</t>
  </si>
  <si>
    <t>EMP-100411</t>
  </si>
  <si>
    <t>EMP-100412</t>
  </si>
  <si>
    <t>EMP-100413</t>
  </si>
  <si>
    <t>EMP-100414</t>
  </si>
  <si>
    <t>EMP-100415</t>
  </si>
  <si>
    <t>EMP-100416</t>
  </si>
  <si>
    <t>EMP-100417</t>
  </si>
  <si>
    <t>EMP-100418</t>
  </si>
  <si>
    <t>EMP-100419</t>
  </si>
  <si>
    <t>EMP-100420</t>
  </si>
  <si>
    <t>EMP-100421</t>
  </si>
  <si>
    <t>EMP-100422</t>
  </si>
  <si>
    <t>EMP-100423</t>
  </si>
  <si>
    <t>EMP-100424</t>
  </si>
  <si>
    <t>EMP-100425</t>
  </si>
  <si>
    <t>EMP-100426</t>
  </si>
  <si>
    <t>EMP-100427</t>
  </si>
  <si>
    <t>EMP-100428</t>
  </si>
  <si>
    <t>EMP-100429</t>
  </si>
  <si>
    <t>EMP-100430</t>
  </si>
  <si>
    <t>EMP-100431</t>
  </si>
  <si>
    <t>EMP-100432</t>
  </si>
  <si>
    <t>EMP-100433</t>
  </si>
  <si>
    <t>EMP-100434</t>
  </si>
  <si>
    <t>EMP-100435</t>
  </si>
  <si>
    <t>EMP-100436</t>
  </si>
  <si>
    <t>EMP-100437</t>
  </si>
  <si>
    <t>EMP-100438</t>
  </si>
  <si>
    <t>EMP-100439</t>
  </si>
  <si>
    <t>EMP-100440</t>
  </si>
  <si>
    <t>EMP-100441</t>
  </si>
  <si>
    <t>EMP-100442</t>
  </si>
  <si>
    <t>EMP-100443</t>
  </si>
  <si>
    <t>EMP-100444</t>
  </si>
  <si>
    <t>EMP-100445</t>
  </si>
  <si>
    <t>EMP-100446</t>
  </si>
  <si>
    <t>EMP-100447</t>
  </si>
  <si>
    <t>EMP-100448</t>
  </si>
  <si>
    <t>EMP-100449</t>
  </si>
  <si>
    <t>EMP-100450</t>
  </si>
  <si>
    <t>EMP-100451</t>
  </si>
  <si>
    <t>EMP-100452</t>
  </si>
  <si>
    <t>EMP-100453</t>
  </si>
  <si>
    <t>EMP-100454</t>
  </si>
  <si>
    <t>EMP-100455</t>
  </si>
  <si>
    <t>EMP-100456</t>
  </si>
  <si>
    <t>EMP-100457</t>
  </si>
  <si>
    <t>EMP-100458</t>
  </si>
  <si>
    <t>EMP-100459</t>
  </si>
  <si>
    <t>EMP-100460</t>
  </si>
  <si>
    <t>EMP-100461</t>
  </si>
  <si>
    <t>EMP-100462</t>
  </si>
  <si>
    <t>EMP-100463</t>
  </si>
  <si>
    <t>EMP-100464</t>
  </si>
  <si>
    <t>EMP-100465</t>
  </si>
  <si>
    <t>EMP-100466</t>
  </si>
  <si>
    <t>EMP-100467</t>
  </si>
  <si>
    <t>EMP-100468</t>
  </si>
  <si>
    <t>EMP-100469</t>
  </si>
  <si>
    <t>EMP-100470</t>
  </si>
  <si>
    <t>EMP-100471</t>
  </si>
  <si>
    <t>EMP-100472</t>
  </si>
  <si>
    <t>EMP-100473</t>
  </si>
  <si>
    <t>EMP-100474</t>
  </si>
  <si>
    <t>EMP-100475</t>
  </si>
  <si>
    <t>EMP-100476</t>
  </si>
  <si>
    <t>EMP-100477</t>
  </si>
  <si>
    <t>EMP-100478</t>
  </si>
  <si>
    <t>EMP-100479</t>
  </si>
  <si>
    <t>EMP-100480</t>
  </si>
  <si>
    <t>EMP-100481</t>
  </si>
  <si>
    <t>EMP-100482</t>
  </si>
  <si>
    <t>EMP-100483</t>
  </si>
  <si>
    <t>EMP-100484</t>
  </si>
  <si>
    <t>EMP-100485</t>
  </si>
  <si>
    <t>EMP-100486</t>
  </si>
  <si>
    <t>EMP-100487</t>
  </si>
  <si>
    <t>EMP-100488</t>
  </si>
  <si>
    <t>EMP-100489</t>
  </si>
  <si>
    <t>EMP-100490</t>
  </si>
  <si>
    <t>EMP-100491</t>
  </si>
  <si>
    <t>EMP-100492</t>
  </si>
  <si>
    <t>EMP-100493</t>
  </si>
  <si>
    <t>EMP-100494</t>
  </si>
  <si>
    <t>EMP-100495</t>
  </si>
  <si>
    <t>EMP-100496</t>
  </si>
  <si>
    <t>EMP-100497</t>
  </si>
  <si>
    <t>EMP-100498</t>
  </si>
  <si>
    <t>EMP-100499</t>
  </si>
  <si>
    <t>EMP-100500</t>
  </si>
  <si>
    <t>EMP-100501</t>
  </si>
  <si>
    <t>EMP-100502</t>
  </si>
  <si>
    <t>EMP-100503</t>
  </si>
  <si>
    <t>EMP-100504</t>
  </si>
  <si>
    <t>EMP-100505</t>
  </si>
  <si>
    <t>EMP-100506</t>
  </si>
  <si>
    <t>EMP-100507</t>
  </si>
  <si>
    <t>EMP-100508</t>
  </si>
  <si>
    <t>EMP-100509</t>
  </si>
  <si>
    <t>EMP-100510</t>
  </si>
  <si>
    <t>EMP-100511</t>
  </si>
  <si>
    <t>EMP-100512</t>
  </si>
  <si>
    <t>EMP-100513</t>
  </si>
  <si>
    <t>EMP-100514</t>
  </si>
  <si>
    <t>EMP-100515</t>
  </si>
  <si>
    <t>EMP-100516</t>
  </si>
  <si>
    <t>EMP-100517</t>
  </si>
  <si>
    <t>EMP-100518</t>
  </si>
  <si>
    <t>EMP-100519</t>
  </si>
  <si>
    <t>EMP-100520</t>
  </si>
  <si>
    <t>EMP-100521</t>
  </si>
  <si>
    <t>EMP-100522</t>
  </si>
  <si>
    <t>EMP-100523</t>
  </si>
  <si>
    <t>EMP-100524</t>
  </si>
  <si>
    <t>EMP-100525</t>
  </si>
  <si>
    <t>EMP-100526</t>
  </si>
  <si>
    <t>EMP-100527</t>
  </si>
  <si>
    <t>EMP-100528</t>
  </si>
  <si>
    <t>EMP-100529</t>
  </si>
  <si>
    <t>EMP-100530</t>
  </si>
  <si>
    <t>EMP-100531</t>
  </si>
  <si>
    <t>EMP-100532</t>
  </si>
  <si>
    <t>EMP-100533</t>
  </si>
  <si>
    <t>EMP-100534</t>
  </si>
  <si>
    <t>EMP-100535</t>
  </si>
  <si>
    <t>EMP-100536</t>
  </si>
  <si>
    <t>EMP-100537</t>
  </si>
  <si>
    <t>EMP-100538</t>
  </si>
  <si>
    <t>EMP-100539</t>
  </si>
  <si>
    <t>EMP-100540</t>
  </si>
  <si>
    <t>EMP-100541</t>
  </si>
  <si>
    <t>EMP-100542</t>
  </si>
  <si>
    <t>EMP-100543</t>
  </si>
  <si>
    <t>EMP-100544</t>
  </si>
  <si>
    <t>EMP-100545</t>
  </si>
  <si>
    <t>EMP-100546</t>
  </si>
  <si>
    <t>EMP-100547</t>
  </si>
  <si>
    <t>EMP-100548</t>
  </si>
  <si>
    <t>EMP-100549</t>
  </si>
  <si>
    <t>EMP-100550</t>
  </si>
  <si>
    <t>EMP-100551</t>
  </si>
  <si>
    <t>EMP-100552</t>
  </si>
  <si>
    <t>EMP-100553</t>
  </si>
  <si>
    <t>EMP-100554</t>
  </si>
  <si>
    <t>EMP-100555</t>
  </si>
  <si>
    <t>EMP-100556</t>
  </si>
  <si>
    <t>EMP-100557</t>
  </si>
  <si>
    <t>EMP-100558</t>
  </si>
  <si>
    <t>EMP-100559</t>
  </si>
  <si>
    <t>EMP-100560</t>
  </si>
  <si>
    <t>EMP-100561</t>
  </si>
  <si>
    <t>EMP-100562</t>
  </si>
  <si>
    <t>EMP-100563</t>
  </si>
  <si>
    <t>EMP-100564</t>
  </si>
  <si>
    <t>EMP-100565</t>
  </si>
  <si>
    <t>EMP-100566</t>
  </si>
  <si>
    <t>EMP-100567</t>
  </si>
  <si>
    <t>EMP-100568</t>
  </si>
  <si>
    <t>EMP-100569</t>
  </si>
  <si>
    <t>EMP-100570</t>
  </si>
  <si>
    <t>EMP-100571</t>
  </si>
  <si>
    <t>EMP-100572</t>
  </si>
  <si>
    <t>EMP-100573</t>
  </si>
  <si>
    <t>EMP-100574</t>
  </si>
  <si>
    <t>EMP-100575</t>
  </si>
  <si>
    <t>EMP-100576</t>
  </si>
  <si>
    <t>EMP-100577</t>
  </si>
  <si>
    <t>EMP-100578</t>
  </si>
  <si>
    <t>EMP-100579</t>
  </si>
  <si>
    <t>EMP-100580</t>
  </si>
  <si>
    <t>EMP-100581</t>
  </si>
  <si>
    <t>EMP-100582</t>
  </si>
  <si>
    <t>EMP-100583</t>
  </si>
  <si>
    <t>EMP-100584</t>
  </si>
  <si>
    <t>EMP-100585</t>
  </si>
  <si>
    <t>EMP-100586</t>
  </si>
  <si>
    <t>EMP-100587</t>
  </si>
  <si>
    <t>EMP-100588</t>
  </si>
  <si>
    <t>EMP-100589</t>
  </si>
  <si>
    <t>EMP-100590</t>
  </si>
  <si>
    <t>EMP-100591</t>
  </si>
  <si>
    <t>EMP-100592</t>
  </si>
  <si>
    <t>EMP-100593</t>
  </si>
  <si>
    <t>EMP-100594</t>
  </si>
  <si>
    <t>EMP-100595</t>
  </si>
  <si>
    <t>EMP-100596</t>
  </si>
  <si>
    <t>EMP-100597</t>
  </si>
  <si>
    <t>EMP-100598</t>
  </si>
  <si>
    <t>EMP-100599</t>
  </si>
  <si>
    <t>EMP-100600</t>
  </si>
  <si>
    <t>EMP-100601</t>
  </si>
  <si>
    <t>EMP-100602</t>
  </si>
  <si>
    <t>EMP-100603</t>
  </si>
  <si>
    <t>EMP-100604</t>
  </si>
  <si>
    <t>EMP-100605</t>
  </si>
  <si>
    <t>EMP-100606</t>
  </si>
  <si>
    <t>EMP-100607</t>
  </si>
  <si>
    <t>EMP-100608</t>
  </si>
  <si>
    <t>EMP-100609</t>
  </si>
  <si>
    <t>EMP-100610</t>
  </si>
  <si>
    <t>EMP-100611</t>
  </si>
  <si>
    <t>EMP-100612</t>
  </si>
  <si>
    <t>EMP-100613</t>
  </si>
  <si>
    <t>EMP-100614</t>
  </si>
  <si>
    <t>EMP-100615</t>
  </si>
  <si>
    <t>EMP-100616</t>
  </si>
  <si>
    <t>EMP-100617</t>
  </si>
  <si>
    <t>EMP-100618</t>
  </si>
  <si>
    <t>EMP-100619</t>
  </si>
  <si>
    <t>EMP-100620</t>
  </si>
  <si>
    <t>EMP-100621</t>
  </si>
  <si>
    <t>EMP-100622</t>
  </si>
  <si>
    <t>EMP-100623</t>
  </si>
  <si>
    <t>EMP-100624</t>
  </si>
  <si>
    <t>EMP-100625</t>
  </si>
  <si>
    <t>EMP-100626</t>
  </si>
  <si>
    <t>EMP-100627</t>
  </si>
  <si>
    <t>EMP-100628</t>
  </si>
  <si>
    <t>EMP-100629</t>
  </si>
  <si>
    <t>EMP-100630</t>
  </si>
  <si>
    <t>EMP-100631</t>
  </si>
  <si>
    <t>EMP-100632</t>
  </si>
  <si>
    <t>EMP-100633</t>
  </si>
  <si>
    <t>EMP-100634</t>
  </si>
  <si>
    <t>EMP-100635</t>
  </si>
  <si>
    <t>EMP-100636</t>
  </si>
  <si>
    <t>EMP-100637</t>
  </si>
  <si>
    <t>EMP-100638</t>
  </si>
  <si>
    <t>EMP-100639</t>
  </si>
  <si>
    <t>EMP-100640</t>
  </si>
  <si>
    <t>EMP-100641</t>
  </si>
  <si>
    <t>EMP-100642</t>
  </si>
  <si>
    <t>EMP-100643</t>
  </si>
  <si>
    <t>EMP-100644</t>
  </si>
  <si>
    <t>EMP-100645</t>
  </si>
  <si>
    <t>EMP-100646</t>
  </si>
  <si>
    <t>EMP-100647</t>
  </si>
  <si>
    <t>EMP-100648</t>
  </si>
  <si>
    <t>EMP-100649</t>
  </si>
  <si>
    <t>EMP-100650</t>
  </si>
  <si>
    <t>EMP-100651</t>
  </si>
  <si>
    <t>EMP-100652</t>
  </si>
  <si>
    <t>EMP-100653</t>
  </si>
  <si>
    <t>EMP-100654</t>
  </si>
  <si>
    <t>EMP-100655</t>
  </si>
  <si>
    <t>EMP-100656</t>
  </si>
  <si>
    <t>EMP-100657</t>
  </si>
  <si>
    <t>EMP-100658</t>
  </si>
  <si>
    <t>EMP-100659</t>
  </si>
  <si>
    <t>EMP-100660</t>
  </si>
  <si>
    <t>EMP-100661</t>
  </si>
  <si>
    <t>EMP-100662</t>
  </si>
  <si>
    <t>EMP-100663</t>
  </si>
  <si>
    <t>EMP-100664</t>
  </si>
  <si>
    <t>EMP-100665</t>
  </si>
  <si>
    <t>EMP-100666</t>
  </si>
  <si>
    <t>EMP-100667</t>
  </si>
  <si>
    <t>EMP-100668</t>
  </si>
  <si>
    <t>EMP-100669</t>
  </si>
  <si>
    <t>EMP-100670</t>
  </si>
  <si>
    <t>EMP-100671</t>
  </si>
  <si>
    <t>EMP-100672</t>
  </si>
  <si>
    <t>EMP-100673</t>
  </si>
  <si>
    <t>EMP-100674</t>
  </si>
  <si>
    <t>EMP-100675</t>
  </si>
  <si>
    <t>EMP-100676</t>
  </si>
  <si>
    <t>EMP-100677</t>
  </si>
  <si>
    <t>EMP-100678</t>
  </si>
  <si>
    <t>EMP-100679</t>
  </si>
  <si>
    <t>EMP-100680</t>
  </si>
  <si>
    <t>EMP-100681</t>
  </si>
  <si>
    <t>EMP-100682</t>
  </si>
  <si>
    <t>EMP-100683</t>
  </si>
  <si>
    <t>EMP-100684</t>
  </si>
  <si>
    <t>EMP-100685</t>
  </si>
  <si>
    <t>EMP-100686</t>
  </si>
  <si>
    <t>EMP-100687</t>
  </si>
  <si>
    <t>EMP-100688</t>
  </si>
  <si>
    <t>EMP-100689</t>
  </si>
  <si>
    <t>EMP-100690</t>
  </si>
  <si>
    <t>EMP-100691</t>
  </si>
  <si>
    <t>EMP-100692</t>
  </si>
  <si>
    <t>EMP-100693</t>
  </si>
  <si>
    <t>EMP-100694</t>
  </si>
  <si>
    <t>EMP-100695</t>
  </si>
  <si>
    <t>EMP-100696</t>
  </si>
  <si>
    <t>EMP-100697</t>
  </si>
  <si>
    <t>EMP-100698</t>
  </si>
  <si>
    <t>EMP-100699</t>
  </si>
  <si>
    <t>EMP-100700</t>
  </si>
  <si>
    <t>EMP-100701</t>
  </si>
  <si>
    <t>EMP-100702</t>
  </si>
  <si>
    <t>EMP-100703</t>
  </si>
  <si>
    <t>EMP-100704</t>
  </si>
  <si>
    <t>EMP-100705</t>
  </si>
  <si>
    <t>EMP-100706</t>
  </si>
  <si>
    <t>EMP-100707</t>
  </si>
  <si>
    <t>EMP-100708</t>
  </si>
  <si>
    <t>EMP-100709</t>
  </si>
  <si>
    <t>EMP-100710</t>
  </si>
  <si>
    <t>EMP-100711</t>
  </si>
  <si>
    <t>EMP-100712</t>
  </si>
  <si>
    <t>EMP-100713</t>
  </si>
  <si>
    <t>EMP-100714</t>
  </si>
  <si>
    <t>EMP-100715</t>
  </si>
  <si>
    <t>EMP-100716</t>
  </si>
  <si>
    <t>EMP-100717</t>
  </si>
  <si>
    <t>EMP-100718</t>
  </si>
  <si>
    <t>EMP-100719</t>
  </si>
  <si>
    <t>EMP-100720</t>
  </si>
  <si>
    <t>EMP-100721</t>
  </si>
  <si>
    <t>EMP-100722</t>
  </si>
  <si>
    <t>EMP-100723</t>
  </si>
  <si>
    <t>EMP-100724</t>
  </si>
  <si>
    <t>EMP-100725</t>
  </si>
  <si>
    <t>EMP-100726</t>
  </si>
  <si>
    <t>EMP-100727</t>
  </si>
  <si>
    <t>EMP-100728</t>
  </si>
  <si>
    <t>EMP-100729</t>
  </si>
  <si>
    <t>EMP-100730</t>
  </si>
  <si>
    <t>EMP-100731</t>
  </si>
  <si>
    <t>EMP-100732</t>
  </si>
  <si>
    <t>EMP-100733</t>
  </si>
  <si>
    <t>EMP-100734</t>
  </si>
  <si>
    <t>EMP-100735</t>
  </si>
  <si>
    <t>EMP-100736</t>
  </si>
  <si>
    <t>EMP-100737</t>
  </si>
  <si>
    <t>EMP-100738</t>
  </si>
  <si>
    <t>EMP-100739</t>
  </si>
  <si>
    <t>EMP-100740</t>
  </si>
  <si>
    <t>EMP-100741</t>
  </si>
  <si>
    <t>EMP-100742</t>
  </si>
  <si>
    <t>EMP-100743</t>
  </si>
  <si>
    <t>EMP-100744</t>
  </si>
  <si>
    <t>EMP-100745</t>
  </si>
  <si>
    <t>EMP-100746</t>
  </si>
  <si>
    <t>EMP-100747</t>
  </si>
  <si>
    <t>EMP-100748</t>
  </si>
  <si>
    <t>EMP-100749</t>
  </si>
  <si>
    <t>EMP-100750</t>
  </si>
  <si>
    <t>EMP-100751</t>
  </si>
  <si>
    <t>EMP-100752</t>
  </si>
  <si>
    <t>EMP-100753</t>
  </si>
  <si>
    <t>EMP-100754</t>
  </si>
  <si>
    <t>EMP-100755</t>
  </si>
  <si>
    <t>EMP-100756</t>
  </si>
  <si>
    <t>EMP-100757</t>
  </si>
  <si>
    <t>EMP-100758</t>
  </si>
  <si>
    <t>EMP-100759</t>
  </si>
  <si>
    <t>EMP-100760</t>
  </si>
  <si>
    <t>EMP-100761</t>
  </si>
  <si>
    <t>EMP-100762</t>
  </si>
  <si>
    <t>EMP-100763</t>
  </si>
  <si>
    <t>EMP-100764</t>
  </si>
  <si>
    <t>EMP-100765</t>
  </si>
  <si>
    <t>EMP-100766</t>
  </si>
  <si>
    <t>EMP-100767</t>
  </si>
  <si>
    <t>EMP-100768</t>
  </si>
  <si>
    <t>EMP-100769</t>
  </si>
  <si>
    <t>EMP-100770</t>
  </si>
  <si>
    <t>EMP-100771</t>
  </si>
  <si>
    <t>EMP-100772</t>
  </si>
  <si>
    <t>EMP-100773</t>
  </si>
  <si>
    <t>EMP-100774</t>
  </si>
  <si>
    <t>EMP-100775</t>
  </si>
  <si>
    <t>EMP-100776</t>
  </si>
  <si>
    <t>EMP-100777</t>
  </si>
  <si>
    <t>EMP-100778</t>
  </si>
  <si>
    <t>EMP-100779</t>
  </si>
  <si>
    <t>EMP-100780</t>
  </si>
  <si>
    <t>EMP-100781</t>
  </si>
  <si>
    <t>EMP-100782</t>
  </si>
  <si>
    <t>EMP-100783</t>
  </si>
  <si>
    <t>EMP-100784</t>
  </si>
  <si>
    <t>EMP-100785</t>
  </si>
  <si>
    <t>EMP-100786</t>
  </si>
  <si>
    <t>EMP-100787</t>
  </si>
  <si>
    <t>EMP-100788</t>
  </si>
  <si>
    <t>EMP-100789</t>
  </si>
  <si>
    <t>EMP-100790</t>
  </si>
  <si>
    <t>EMP-100791</t>
  </si>
  <si>
    <t>EMP-100792</t>
  </si>
  <si>
    <t>EMP-100793</t>
  </si>
  <si>
    <t>EMP-100794</t>
  </si>
  <si>
    <t>EMP-100795</t>
  </si>
  <si>
    <t>EMP-100796</t>
  </si>
  <si>
    <t>EMP-100797</t>
  </si>
  <si>
    <t>EMP-100798</t>
  </si>
  <si>
    <t>EMP-100799</t>
  </si>
  <si>
    <t>EMP-100800</t>
  </si>
  <si>
    <t>EMP-100801</t>
  </si>
  <si>
    <t>EMP-100802</t>
  </si>
  <si>
    <t>EMP-100803</t>
  </si>
  <si>
    <t>EMP-100804</t>
  </si>
  <si>
    <t>EMP-100805</t>
  </si>
  <si>
    <t>EMP-100806</t>
  </si>
  <si>
    <t>EMP-100807</t>
  </si>
  <si>
    <t>EMP-100808</t>
  </si>
  <si>
    <t>EMP-100809</t>
  </si>
  <si>
    <t>EMP-100810</t>
  </si>
  <si>
    <t>EMP-100811</t>
  </si>
  <si>
    <t>EMP-100812</t>
  </si>
  <si>
    <t>EMP-100813</t>
  </si>
  <si>
    <t>EMP-100814</t>
  </si>
  <si>
    <t>EMP-100815</t>
  </si>
  <si>
    <t>EMP-100816</t>
  </si>
  <si>
    <t>EMP-100817</t>
  </si>
  <si>
    <t>EMP-100818</t>
  </si>
  <si>
    <t>EMP-100819</t>
  </si>
  <si>
    <t>EMP-100820</t>
  </si>
  <si>
    <t>EMP-100821</t>
  </si>
  <si>
    <t>EMP-100822</t>
  </si>
  <si>
    <t>EMP-100823</t>
  </si>
  <si>
    <t>EMP-100824</t>
  </si>
  <si>
    <t>EMP-100825</t>
  </si>
  <si>
    <t>EMP-100826</t>
  </si>
  <si>
    <t>EMP-100827</t>
  </si>
  <si>
    <t>EMP-100828</t>
  </si>
  <si>
    <t>EMP-100829</t>
  </si>
  <si>
    <t>EMP-100830</t>
  </si>
  <si>
    <t>EMP-100831</t>
  </si>
  <si>
    <t>EMP-100832</t>
  </si>
  <si>
    <t>EMP-100833</t>
  </si>
  <si>
    <t>EMP-100834</t>
  </si>
  <si>
    <t>EMP-100835</t>
  </si>
  <si>
    <t>EMP-100836</t>
  </si>
  <si>
    <t>EMP-100837</t>
  </si>
  <si>
    <t>EMP-100838</t>
  </si>
  <si>
    <t>EMP-100839</t>
  </si>
  <si>
    <t>EMP-100840</t>
  </si>
  <si>
    <t>EMP-100841</t>
  </si>
  <si>
    <t>EMP-100842</t>
  </si>
  <si>
    <t>EMP-100843</t>
  </si>
  <si>
    <t>EMP-100844</t>
  </si>
  <si>
    <t>EMP-100845</t>
  </si>
  <si>
    <t>EMP-100846</t>
  </si>
  <si>
    <t>EMP-100847</t>
  </si>
  <si>
    <t>EMP-100848</t>
  </si>
  <si>
    <t>EMP-100849</t>
  </si>
  <si>
    <t>EMP-100850</t>
  </si>
  <si>
    <t>EMP-100851</t>
  </si>
  <si>
    <t>EMP-100852</t>
  </si>
  <si>
    <t>EMP-100853</t>
  </si>
  <si>
    <t>EMP-100854</t>
  </si>
  <si>
    <t>EMP-100855</t>
  </si>
  <si>
    <t>EMP-100856</t>
  </si>
  <si>
    <t>EMP-100857</t>
  </si>
  <si>
    <t>EMP-100858</t>
  </si>
  <si>
    <t>EMP-100859</t>
  </si>
  <si>
    <t>EMP-100860</t>
  </si>
  <si>
    <t>EMP-100861</t>
  </si>
  <si>
    <t>EMP-100862</t>
  </si>
  <si>
    <t>EMP-100863</t>
  </si>
  <si>
    <t>EMP-100864</t>
  </si>
  <si>
    <t>EMP-100865</t>
  </si>
  <si>
    <t>EMP-100866</t>
  </si>
  <si>
    <t>EMP-100867</t>
  </si>
  <si>
    <t>EMP-100868</t>
  </si>
  <si>
    <t>EMP-100869</t>
  </si>
  <si>
    <t>EMP-100870</t>
  </si>
  <si>
    <t>EMP-100871</t>
  </si>
  <si>
    <t>EMP-100872</t>
  </si>
  <si>
    <t>EMP-100873</t>
  </si>
  <si>
    <t>EMP-100874</t>
  </si>
  <si>
    <t>EMP-100875</t>
  </si>
  <si>
    <t>EMP-100876</t>
  </si>
  <si>
    <t>EMP-100877</t>
  </si>
  <si>
    <t>EMP-100878</t>
  </si>
  <si>
    <t>EMP-100879</t>
  </si>
  <si>
    <t>EMP-100880</t>
  </si>
  <si>
    <t>EMP-100881</t>
  </si>
  <si>
    <t>EMP-100882</t>
  </si>
  <si>
    <t>EMP-100883</t>
  </si>
  <si>
    <t>EMP-100884</t>
  </si>
  <si>
    <t>EMP-100885</t>
  </si>
  <si>
    <t>EMP-100886</t>
  </si>
  <si>
    <t>EMP-100887</t>
  </si>
  <si>
    <t>EMP-100888</t>
  </si>
  <si>
    <t>EMP-100889</t>
  </si>
  <si>
    <t>EMP-100890</t>
  </si>
  <si>
    <t>EMP-100891</t>
  </si>
  <si>
    <t>EMP-100892</t>
  </si>
  <si>
    <t>EMP-100893</t>
  </si>
  <si>
    <t>EMP-100894</t>
  </si>
  <si>
    <t>EMP-100895</t>
  </si>
  <si>
    <t>EMP-100896</t>
  </si>
  <si>
    <t>EMP-100897</t>
  </si>
  <si>
    <t>EMP-100898</t>
  </si>
  <si>
    <t>EMP-100899</t>
  </si>
  <si>
    <t>EMP-100900</t>
  </si>
  <si>
    <t>EMP-100901</t>
  </si>
  <si>
    <t>EMP-100902</t>
  </si>
  <si>
    <t>EMP-100903</t>
  </si>
  <si>
    <t>EMP-100904</t>
  </si>
  <si>
    <t>EMP-100905</t>
  </si>
  <si>
    <t>EMP-100906</t>
  </si>
  <si>
    <t>EMP-100907</t>
  </si>
  <si>
    <t>EMP-100908</t>
  </si>
  <si>
    <t>EMP-100909</t>
  </si>
  <si>
    <t>EMP-100910</t>
  </si>
  <si>
    <t>EMP-100911</t>
  </si>
  <si>
    <t>EMP-100912</t>
  </si>
  <si>
    <t>EMP-100913</t>
  </si>
  <si>
    <t>EMP-100914</t>
  </si>
  <si>
    <t>EMP-100915</t>
  </si>
  <si>
    <t>EMP-100916</t>
  </si>
  <si>
    <t>EMP-100917</t>
  </si>
  <si>
    <t>EMP-100918</t>
  </si>
  <si>
    <t>EMP-100919</t>
  </si>
  <si>
    <t>EMP-100920</t>
  </si>
  <si>
    <t>EMP-100921</t>
  </si>
  <si>
    <t>EMP-100922</t>
  </si>
  <si>
    <t>EMP-100923</t>
  </si>
  <si>
    <t>EMP-100924</t>
  </si>
  <si>
    <t>EMP-100925</t>
  </si>
  <si>
    <t>EMP-100926</t>
  </si>
  <si>
    <t>EMP-100927</t>
  </si>
  <si>
    <t>EMP-100928</t>
  </si>
  <si>
    <t>EMP-100929</t>
  </si>
  <si>
    <t>EMP-100930</t>
  </si>
  <si>
    <t>EMP-100931</t>
  </si>
  <si>
    <t>EMP-100932</t>
  </si>
  <si>
    <t>EMP-100933</t>
  </si>
  <si>
    <t>EMP-100934</t>
  </si>
  <si>
    <t>EMP-100935</t>
  </si>
  <si>
    <t>EMP-100936</t>
  </si>
  <si>
    <t>EMP-100937</t>
  </si>
  <si>
    <t>EMP-100938</t>
  </si>
  <si>
    <t>EMP-100939</t>
  </si>
  <si>
    <t>EMP-100940</t>
  </si>
  <si>
    <t>EMP-100941</t>
  </si>
  <si>
    <t>EMP-100942</t>
  </si>
  <si>
    <t>EMP-100943</t>
  </si>
  <si>
    <t>EMP-100944</t>
  </si>
  <si>
    <t>EMP-100945</t>
  </si>
  <si>
    <t>EMP-100946</t>
  </si>
  <si>
    <t>EMP-100947</t>
  </si>
  <si>
    <t>EMP-100948</t>
  </si>
  <si>
    <t>EMP-100949</t>
  </si>
  <si>
    <t>EMP-100950</t>
  </si>
  <si>
    <t>EMP-100951</t>
  </si>
  <si>
    <t>EMP-100952</t>
  </si>
  <si>
    <t>EMP-100953</t>
  </si>
  <si>
    <t>EMP-100954</t>
  </si>
  <si>
    <t>EMP-100955</t>
  </si>
  <si>
    <t>EMP-100956</t>
  </si>
  <si>
    <t>EMP-100957</t>
  </si>
  <si>
    <t>EMP-100958</t>
  </si>
  <si>
    <t>EMP-100959</t>
  </si>
  <si>
    <t>EMP-100960</t>
  </si>
  <si>
    <t>EMP-100961</t>
  </si>
  <si>
    <t>EMP-100962</t>
  </si>
  <si>
    <t>EMP-100963</t>
  </si>
  <si>
    <t>EMP-100964</t>
  </si>
  <si>
    <t>EMP-100965</t>
  </si>
  <si>
    <t>EMP-100966</t>
  </si>
  <si>
    <t>EMP-100967</t>
  </si>
  <si>
    <t>EMP-100968</t>
  </si>
  <si>
    <t>EMP-100969</t>
  </si>
  <si>
    <t>EMP-100970</t>
  </si>
  <si>
    <t>EMP-100971</t>
  </si>
  <si>
    <t>EMP-100972</t>
  </si>
  <si>
    <t>EMP-100973</t>
  </si>
  <si>
    <t>EMP-100974</t>
  </si>
  <si>
    <t>EMP-100975</t>
  </si>
  <si>
    <t>EMP-100976</t>
  </si>
  <si>
    <t>EMP-100977</t>
  </si>
  <si>
    <t>EMP-100978</t>
  </si>
  <si>
    <t>EMP-100979</t>
  </si>
  <si>
    <t>EMP-100980</t>
  </si>
  <si>
    <t>EMP-100981</t>
  </si>
  <si>
    <t>EMP-100982</t>
  </si>
  <si>
    <t>EMP-100983</t>
  </si>
  <si>
    <t>EMP-100984</t>
  </si>
  <si>
    <t>EMP-100985</t>
  </si>
  <si>
    <t>EMP-100986</t>
  </si>
  <si>
    <t>EMP-100987</t>
  </si>
  <si>
    <t>EMP-100988</t>
  </si>
  <si>
    <t>EMP-100989</t>
  </si>
  <si>
    <t>EMP-100990</t>
  </si>
  <si>
    <t>EMP-100991</t>
  </si>
  <si>
    <t>EMP-100992</t>
  </si>
  <si>
    <t>EMP-100993</t>
  </si>
  <si>
    <t>EMP-100994</t>
  </si>
  <si>
    <t>EMP-100995</t>
  </si>
  <si>
    <t>EMP-100996</t>
  </si>
  <si>
    <t>EMP-100997</t>
  </si>
  <si>
    <t>EMP-100998</t>
  </si>
  <si>
    <t>EMP-100999</t>
  </si>
  <si>
    <t>EMP-101000</t>
  </si>
  <si>
    <t>EMP-101001</t>
  </si>
  <si>
    <t>EMP-101002</t>
  </si>
  <si>
    <t>EMP-101003</t>
  </si>
  <si>
    <t>EMP-101004</t>
  </si>
  <si>
    <t>EMP-101005</t>
  </si>
  <si>
    <t>EMP-101006</t>
  </si>
  <si>
    <t>EMP-101007</t>
  </si>
  <si>
    <t>EMP-101008</t>
  </si>
  <si>
    <t>EMP-101009</t>
  </si>
  <si>
    <t>EMP-101010</t>
  </si>
  <si>
    <t>EMP-101011</t>
  </si>
  <si>
    <t>EMP-101012</t>
  </si>
  <si>
    <t>EMP-101013</t>
  </si>
  <si>
    <t>EMP-101014</t>
  </si>
  <si>
    <t>EMP-101015</t>
  </si>
  <si>
    <t>EMP-101016</t>
  </si>
  <si>
    <t>EMP-101017</t>
  </si>
  <si>
    <t>EMP-101018</t>
  </si>
  <si>
    <t>EMP-101019</t>
  </si>
  <si>
    <t>EMP-101020</t>
  </si>
  <si>
    <t>EMP-101021</t>
  </si>
  <si>
    <t>EMP-101022</t>
  </si>
  <si>
    <t>EMP-101023</t>
  </si>
  <si>
    <t>EMP-101024</t>
  </si>
  <si>
    <t>EMP-101025</t>
  </si>
  <si>
    <t>EMP-101026</t>
  </si>
  <si>
    <t>EMP-101027</t>
  </si>
  <si>
    <t>EMP-101028</t>
  </si>
  <si>
    <t>EMP-101029</t>
  </si>
  <si>
    <t>EMP-101030</t>
  </si>
  <si>
    <t>EMP-101031</t>
  </si>
  <si>
    <t>EMP-101032</t>
  </si>
  <si>
    <t>EMP-101033</t>
  </si>
  <si>
    <t>EMP-101034</t>
  </si>
  <si>
    <t>EMP-101035</t>
  </si>
  <si>
    <t>EMP-101036</t>
  </si>
  <si>
    <t>EMP-101037</t>
  </si>
  <si>
    <t>EMP-101038</t>
  </si>
  <si>
    <t>EMP-101039</t>
  </si>
  <si>
    <t>EMP-101040</t>
  </si>
  <si>
    <t>EMP-101041</t>
  </si>
  <si>
    <t>EMP-101042</t>
  </si>
  <si>
    <t>EMP-101043</t>
  </si>
  <si>
    <t>EMP-101044</t>
  </si>
  <si>
    <t>EMP-101045</t>
  </si>
  <si>
    <t>EMP-101046</t>
  </si>
  <si>
    <t>EMP-101047</t>
  </si>
  <si>
    <t>EMP-101048</t>
  </si>
  <si>
    <t>EMP-101049</t>
  </si>
  <si>
    <t>EMP-101050</t>
  </si>
  <si>
    <t>EMP-101051</t>
  </si>
  <si>
    <t>EMP-101052</t>
  </si>
  <si>
    <t>EMP-101053</t>
  </si>
  <si>
    <t>EMP-101054</t>
  </si>
  <si>
    <t>EMP-101055</t>
  </si>
  <si>
    <t>EMP-101056</t>
  </si>
  <si>
    <t>EMP-101057</t>
  </si>
  <si>
    <t>EMP-101058</t>
  </si>
  <si>
    <t>EMP-101059</t>
  </si>
  <si>
    <t>EMP-101060</t>
  </si>
  <si>
    <t>EMP-101061</t>
  </si>
  <si>
    <t>EMP-101062</t>
  </si>
  <si>
    <t>EMP-101063</t>
  </si>
  <si>
    <t>EMP-101064</t>
  </si>
  <si>
    <t>EMP-101065</t>
  </si>
  <si>
    <t>EMP-101066</t>
  </si>
  <si>
    <t>EMP-101067</t>
  </si>
  <si>
    <t>EMP-101068</t>
  </si>
  <si>
    <t>EMP-101069</t>
  </si>
  <si>
    <t>EMP-101070</t>
  </si>
  <si>
    <t>EMP-101071</t>
  </si>
  <si>
    <t>EMP-101072</t>
  </si>
  <si>
    <t>EMP-101073</t>
  </si>
  <si>
    <t>EMP-101074</t>
  </si>
  <si>
    <t>EMP-101075</t>
  </si>
  <si>
    <t>EMP-101076</t>
  </si>
  <si>
    <t>EMP-101077</t>
  </si>
  <si>
    <t>EMP-101078</t>
  </si>
  <si>
    <t>EMP-101079</t>
  </si>
  <si>
    <t>EMP-101080</t>
  </si>
  <si>
    <t>EMP-101081</t>
  </si>
  <si>
    <t>EMP-101082</t>
  </si>
  <si>
    <t>EMP-101083</t>
  </si>
  <si>
    <t>EMP-101084</t>
  </si>
  <si>
    <t>EMP-101085</t>
  </si>
  <si>
    <t>EMP-101086</t>
  </si>
  <si>
    <t>EMP-101087</t>
  </si>
  <si>
    <t>EMP-101088</t>
  </si>
  <si>
    <t>EMP-101089</t>
  </si>
  <si>
    <t>EMP-101090</t>
  </si>
  <si>
    <t>EMP-101091</t>
  </si>
  <si>
    <t>EMP-101092</t>
  </si>
  <si>
    <t>EMP-101093</t>
  </si>
  <si>
    <t>EMP-101094</t>
  </si>
  <si>
    <t>EMP-101095</t>
  </si>
  <si>
    <t>EMP-101096</t>
  </si>
  <si>
    <t>EMP-101097</t>
  </si>
  <si>
    <t>EMP-101098</t>
  </si>
  <si>
    <t>EMP-101099</t>
  </si>
  <si>
    <t>EMP-101100</t>
  </si>
  <si>
    <t>EMP-101101</t>
  </si>
  <si>
    <t>EMP-101102</t>
  </si>
  <si>
    <t>EMP-101103</t>
  </si>
  <si>
    <t>EMP-101104</t>
  </si>
  <si>
    <t>EMP-101105</t>
  </si>
  <si>
    <t>EMP-101106</t>
  </si>
  <si>
    <t>EMP-101107</t>
  </si>
  <si>
    <t>EMP-101108</t>
  </si>
  <si>
    <t>EMP-101109</t>
  </si>
  <si>
    <t>EMP-101110</t>
  </si>
  <si>
    <t>EMP-101111</t>
  </si>
  <si>
    <t>EMP-101112</t>
  </si>
  <si>
    <t>EMP-101113</t>
  </si>
  <si>
    <t>EMP-101114</t>
  </si>
  <si>
    <t>EMP-101115</t>
  </si>
  <si>
    <t>EMP-101116</t>
  </si>
  <si>
    <t>EMP-101117</t>
  </si>
  <si>
    <t>EMP-101118</t>
  </si>
  <si>
    <t>EMP-101119</t>
  </si>
  <si>
    <t>EMP-101120</t>
  </si>
  <si>
    <t>EMP-101121</t>
  </si>
  <si>
    <t>EMP-101122</t>
  </si>
  <si>
    <t>EMP-101123</t>
  </si>
  <si>
    <t>EMP-101124</t>
  </si>
  <si>
    <t>EMP-101125</t>
  </si>
  <si>
    <t>EMP-101126</t>
  </si>
  <si>
    <t>EMP-101127</t>
  </si>
  <si>
    <t>EMP-101128</t>
  </si>
  <si>
    <t>EMP-101129</t>
  </si>
  <si>
    <t>EMP-101130</t>
  </si>
  <si>
    <t>EMP-101131</t>
  </si>
  <si>
    <t>EMP-101132</t>
  </si>
  <si>
    <t>EMP-101133</t>
  </si>
  <si>
    <t>EMP-101134</t>
  </si>
  <si>
    <t>EMP-101135</t>
  </si>
  <si>
    <t>EMP-101136</t>
  </si>
  <si>
    <t>EMP-101137</t>
  </si>
  <si>
    <t>EMP-101138</t>
  </si>
  <si>
    <t>EMP-101139</t>
  </si>
  <si>
    <t>EMP-101140</t>
  </si>
  <si>
    <t>EMP-101141</t>
  </si>
  <si>
    <t>EMP-101142</t>
  </si>
  <si>
    <t>EMP-101143</t>
  </si>
  <si>
    <t>EMP-101144</t>
  </si>
  <si>
    <t>EMP-101145</t>
  </si>
  <si>
    <t>EMP-101146</t>
  </si>
  <si>
    <t>EMP-101147</t>
  </si>
  <si>
    <t>EMP-101148</t>
  </si>
  <si>
    <t>EMP-101149</t>
  </si>
  <si>
    <t>EMP-101150</t>
  </si>
  <si>
    <t>EMP-101151</t>
  </si>
  <si>
    <t>EMP-101152</t>
  </si>
  <si>
    <t>EMP-101153</t>
  </si>
  <si>
    <t>EMP-101154</t>
  </si>
  <si>
    <t>EMP-101155</t>
  </si>
  <si>
    <t>EMP-101156</t>
  </si>
  <si>
    <t>EMP-101157</t>
  </si>
  <si>
    <t>EMP-101158</t>
  </si>
  <si>
    <t>EMP-101159</t>
  </si>
  <si>
    <t>EMP-101160</t>
  </si>
  <si>
    <t>EMP-101161</t>
  </si>
  <si>
    <t>EMP-101162</t>
  </si>
  <si>
    <t>EMP-101163</t>
  </si>
  <si>
    <t>EMP-101164</t>
  </si>
  <si>
    <t>EMP-101165</t>
  </si>
  <si>
    <t>EMP-101166</t>
  </si>
  <si>
    <t>EMP-101167</t>
  </si>
  <si>
    <t>EMP-101168</t>
  </si>
  <si>
    <t>EMP-101169</t>
  </si>
  <si>
    <t>EMP-101170</t>
  </si>
  <si>
    <t>EMP-101171</t>
  </si>
  <si>
    <t>EMP-101172</t>
  </si>
  <si>
    <t>EMP-101173</t>
  </si>
  <si>
    <t>EMP-101174</t>
  </si>
  <si>
    <t>EMP-101175</t>
  </si>
  <si>
    <t>EMP-101176</t>
  </si>
  <si>
    <t>EMP-101177</t>
  </si>
  <si>
    <t>EMP-101178</t>
  </si>
  <si>
    <t>EMP-101179</t>
  </si>
  <si>
    <t>EMP-101180</t>
  </si>
  <si>
    <t>EMP-101181</t>
  </si>
  <si>
    <t>EMP-101182</t>
  </si>
  <si>
    <t>EMP-101183</t>
  </si>
  <si>
    <t>EMP-101184</t>
  </si>
  <si>
    <t>EMP-101185</t>
  </si>
  <si>
    <t>EMP-101186</t>
  </si>
  <si>
    <t>EMP-101187</t>
  </si>
  <si>
    <t>EMP-101188</t>
  </si>
  <si>
    <t>EMP-101189</t>
  </si>
  <si>
    <t>EMP-101190</t>
  </si>
  <si>
    <t>EMP-101191</t>
  </si>
  <si>
    <t>EMP-101192</t>
  </si>
  <si>
    <t>EMP-101193</t>
  </si>
  <si>
    <t>EMP-101194</t>
  </si>
  <si>
    <t>EMP-101195</t>
  </si>
  <si>
    <t>EMP-101196</t>
  </si>
  <si>
    <t>EMP-101197</t>
  </si>
  <si>
    <t>EMP-101198</t>
  </si>
  <si>
    <t>EMP-101199</t>
  </si>
  <si>
    <t>EMP-101200</t>
  </si>
  <si>
    <t>EMP-101201</t>
  </si>
  <si>
    <t>EMP-101202</t>
  </si>
  <si>
    <t>EMP-101203</t>
  </si>
  <si>
    <t>EMP-101204</t>
  </si>
  <si>
    <t>EMP-101205</t>
  </si>
  <si>
    <t>EMP-101206</t>
  </si>
  <si>
    <t>EMP-101207</t>
  </si>
  <si>
    <t>EMP-101208</t>
  </si>
  <si>
    <t>EMP-101209</t>
  </si>
  <si>
    <t>EMP-101210</t>
  </si>
  <si>
    <t>EMP-101211</t>
  </si>
  <si>
    <t>EMP-101212</t>
  </si>
  <si>
    <t>EMP-101213</t>
  </si>
  <si>
    <t>EMP-101214</t>
  </si>
  <si>
    <t>EMP-101215</t>
  </si>
  <si>
    <t>EMP-101216</t>
  </si>
  <si>
    <t>EMP-101217</t>
  </si>
  <si>
    <t>EMP-101218</t>
  </si>
  <si>
    <t>EMP-101219</t>
  </si>
  <si>
    <t>EMP-101220</t>
  </si>
  <si>
    <t>EMP-101221</t>
  </si>
  <si>
    <t>EMP-101222</t>
  </si>
  <si>
    <t>EMP-101223</t>
  </si>
  <si>
    <t>EMP-101224</t>
  </si>
  <si>
    <t>EMP-101225</t>
  </si>
  <si>
    <t>EMP-101226</t>
  </si>
  <si>
    <t>EMP-101227</t>
  </si>
  <si>
    <t>EMP-101228</t>
  </si>
  <si>
    <t>EMP-101229</t>
  </si>
  <si>
    <t>EMP-101230</t>
  </si>
  <si>
    <t>EMP-101231</t>
  </si>
  <si>
    <t>EMP-101232</t>
  </si>
  <si>
    <t>EMP-101233</t>
  </si>
  <si>
    <t>EMP-101234</t>
  </si>
  <si>
    <t>EMP-101235</t>
  </si>
  <si>
    <t>EMP-101236</t>
  </si>
  <si>
    <t>EMP-101237</t>
  </si>
  <si>
    <t>EMP-101238</t>
  </si>
  <si>
    <t>EMP-101239</t>
  </si>
  <si>
    <t>EMP-101240</t>
  </si>
  <si>
    <t>EMP-101241</t>
  </si>
  <si>
    <t>EMP-101242</t>
  </si>
  <si>
    <t>EMP-101243</t>
  </si>
  <si>
    <t>EMP-101244</t>
  </si>
  <si>
    <t>EMP-101245</t>
  </si>
  <si>
    <t>EMP-101246</t>
  </si>
  <si>
    <t>EMP-101247</t>
  </si>
  <si>
    <t>EMP-101248</t>
  </si>
  <si>
    <t>EMP-101249</t>
  </si>
  <si>
    <t>EMP-101250</t>
  </si>
  <si>
    <t>EMP-101251</t>
  </si>
  <si>
    <t>EMP-101252</t>
  </si>
  <si>
    <t>EMP-101253</t>
  </si>
  <si>
    <t>EMP-101254</t>
  </si>
  <si>
    <t>EMP-101255</t>
  </si>
  <si>
    <t>EMP-101256</t>
  </si>
  <si>
    <t>EMP-101257</t>
  </si>
  <si>
    <t>EMP-101258</t>
  </si>
  <si>
    <t>EMP-101259</t>
  </si>
  <si>
    <t>EMP-101260</t>
  </si>
  <si>
    <t>EMP-101261</t>
  </si>
  <si>
    <t>EMP-101262</t>
  </si>
  <si>
    <t>EMP-101263</t>
  </si>
  <si>
    <t>EMP-101264</t>
  </si>
  <si>
    <t>EMP-101265</t>
  </si>
  <si>
    <t>EMP-101266</t>
  </si>
  <si>
    <t>EMP-101267</t>
  </si>
  <si>
    <t>EMP-101268</t>
  </si>
  <si>
    <t>EMP-101269</t>
  </si>
  <si>
    <t>EMP-101270</t>
  </si>
  <si>
    <t>EMP-101271</t>
  </si>
  <si>
    <t>EMP-101272</t>
  </si>
  <si>
    <t>EMP-101273</t>
  </si>
  <si>
    <t>EMP-101274</t>
  </si>
  <si>
    <t>EMP-101275</t>
  </si>
  <si>
    <t>EMP-101276</t>
  </si>
  <si>
    <t>EMP-101277</t>
  </si>
  <si>
    <t>EMP-101278</t>
  </si>
  <si>
    <t>EMP-101279</t>
  </si>
  <si>
    <t>EMP-101280</t>
  </si>
  <si>
    <t>EMP-101281</t>
  </si>
  <si>
    <t>EMP-101282</t>
  </si>
  <si>
    <t>EMP-101283</t>
  </si>
  <si>
    <t>EMP-101284</t>
  </si>
  <si>
    <t>EMP-101285</t>
  </si>
  <si>
    <t>EMP-101286</t>
  </si>
  <si>
    <t>EMP-101287</t>
  </si>
  <si>
    <t>EMP-101288</t>
  </si>
  <si>
    <t>EMP-101289</t>
  </si>
  <si>
    <t>EMP-101290</t>
  </si>
  <si>
    <t>EMP-101291</t>
  </si>
  <si>
    <t>EMP-101292</t>
  </si>
  <si>
    <t>EMP-101293</t>
  </si>
  <si>
    <t>EMP-101294</t>
  </si>
  <si>
    <t>EMP-101295</t>
  </si>
  <si>
    <t>EMP-101296</t>
  </si>
  <si>
    <t>EMP-101297</t>
  </si>
  <si>
    <t>EMP-101298</t>
  </si>
  <si>
    <t>EMP-101299</t>
  </si>
  <si>
    <t>EMP-101300</t>
  </si>
  <si>
    <t>EMP-101301</t>
  </si>
  <si>
    <t>EMP-101302</t>
  </si>
  <si>
    <t>EMP-101303</t>
  </si>
  <si>
    <t>EMP-101304</t>
  </si>
  <si>
    <t>EMP-101305</t>
  </si>
  <si>
    <t>EMP-101306</t>
  </si>
  <si>
    <t>EMP-101307</t>
  </si>
  <si>
    <t>EMP-101308</t>
  </si>
  <si>
    <t>EMP-101309</t>
  </si>
  <si>
    <t>EMP-101310</t>
  </si>
  <si>
    <t>EMP-101311</t>
  </si>
  <si>
    <t>EMP-101312</t>
  </si>
  <si>
    <t>EMP-101313</t>
  </si>
  <si>
    <t>EMP-101314</t>
  </si>
  <si>
    <t>EMP-101315</t>
  </si>
  <si>
    <t>EMP-101316</t>
  </si>
  <si>
    <t>EMP-101317</t>
  </si>
  <si>
    <t>EMP-101318</t>
  </si>
  <si>
    <t>EMP-101319</t>
  </si>
  <si>
    <t>EMP-101320</t>
  </si>
  <si>
    <t>EMP-101321</t>
  </si>
  <si>
    <t>EMP-101322</t>
  </si>
  <si>
    <t>EMP-101323</t>
  </si>
  <si>
    <t>EMP-101324</t>
  </si>
  <si>
    <t>EMP-101325</t>
  </si>
  <si>
    <t>EMP-101326</t>
  </si>
  <si>
    <t>EMP-101327</t>
  </si>
  <si>
    <t>EMP-101328</t>
  </si>
  <si>
    <t>EMP-101329</t>
  </si>
  <si>
    <t>EMP-101330</t>
  </si>
  <si>
    <t>EMP-101331</t>
  </si>
  <si>
    <t>EMP-101332</t>
  </si>
  <si>
    <t>EMP-101333</t>
  </si>
  <si>
    <t>EMP-101334</t>
  </si>
  <si>
    <t>EMP-101335</t>
  </si>
  <si>
    <t>EMP-101336</t>
  </si>
  <si>
    <t>EMP-101337</t>
  </si>
  <si>
    <t>EMP-101338</t>
  </si>
  <si>
    <t>EMP-101339</t>
  </si>
  <si>
    <t>EMP-101340</t>
  </si>
  <si>
    <t>EMP-101341</t>
  </si>
  <si>
    <t>EMP-101342</t>
  </si>
  <si>
    <t>EMP-101343</t>
  </si>
  <si>
    <t>EMP-101344</t>
  </si>
  <si>
    <t>EMP-101345</t>
  </si>
  <si>
    <t>EMP-101346</t>
  </si>
  <si>
    <t>EMP-101347</t>
  </si>
  <si>
    <t>EMP-101348</t>
  </si>
  <si>
    <t>EMP-101349</t>
  </si>
  <si>
    <t>EMP-101350</t>
  </si>
  <si>
    <t>EMP-101351</t>
  </si>
  <si>
    <t>EMP-101352</t>
  </si>
  <si>
    <t>EMP-101353</t>
  </si>
  <si>
    <t>EMP-101354</t>
  </si>
  <si>
    <t>EMP-101355</t>
  </si>
  <si>
    <t>EMP-101356</t>
  </si>
  <si>
    <t>EMP-101357</t>
  </si>
  <si>
    <t>EMP-101358</t>
  </si>
  <si>
    <t>EMP-101359</t>
  </si>
  <si>
    <t>EMP-101360</t>
  </si>
  <si>
    <t>EMP-101361</t>
  </si>
  <si>
    <t>EMP-101362</t>
  </si>
  <si>
    <t>EMP-101363</t>
  </si>
  <si>
    <t>EMP-101364</t>
  </si>
  <si>
    <t>EMP-101365</t>
  </si>
  <si>
    <t>EMP-101366</t>
  </si>
  <si>
    <t>EMP-101367</t>
  </si>
  <si>
    <t>EMP-101368</t>
  </si>
  <si>
    <t>EMP-101369</t>
  </si>
  <si>
    <t>EMP-101370</t>
  </si>
  <si>
    <t>EMP-101371</t>
  </si>
  <si>
    <t>EMP-101372</t>
  </si>
  <si>
    <t>EMP-101373</t>
  </si>
  <si>
    <t>EMP-101374</t>
  </si>
  <si>
    <t>EMP-101375</t>
  </si>
  <si>
    <t>EMP-101376</t>
  </si>
  <si>
    <t>EMP-101377</t>
  </si>
  <si>
    <t>EMP-101378</t>
  </si>
  <si>
    <t>EMP-101379</t>
  </si>
  <si>
    <t>EMP-101380</t>
  </si>
  <si>
    <t>EMP-101381</t>
  </si>
  <si>
    <t>EMP-101382</t>
  </si>
  <si>
    <t>EMP-101383</t>
  </si>
  <si>
    <t>EMP-101384</t>
  </si>
  <si>
    <t>EMP-101385</t>
  </si>
  <si>
    <t>EMP-101386</t>
  </si>
  <si>
    <t>EMP-101387</t>
  </si>
  <si>
    <t>EMP-101388</t>
  </si>
  <si>
    <t>EMP-101389</t>
  </si>
  <si>
    <t>EMP-101390</t>
  </si>
  <si>
    <t>EMP-101391</t>
  </si>
  <si>
    <t>EMP-101392</t>
  </si>
  <si>
    <t>EMP-101393</t>
  </si>
  <si>
    <t>EMP-101394</t>
  </si>
  <si>
    <t>EMP-101395</t>
  </si>
  <si>
    <t>EMP-101396</t>
  </si>
  <si>
    <t>EMP-101397</t>
  </si>
  <si>
    <t>EMP-101398</t>
  </si>
  <si>
    <t>EMP-101399</t>
  </si>
  <si>
    <t>EMP-101400</t>
  </si>
  <si>
    <t>EMP-101401</t>
  </si>
  <si>
    <t>EMP-101402</t>
  </si>
  <si>
    <t>EMP-101403</t>
  </si>
  <si>
    <t>EMP-101404</t>
  </si>
  <si>
    <t>EMP-101405</t>
  </si>
  <si>
    <t>EMP-101406</t>
  </si>
  <si>
    <t>EMP-101407</t>
  </si>
  <si>
    <t>EMP-101408</t>
  </si>
  <si>
    <t>EMP-101409</t>
  </si>
  <si>
    <t>EMP-101410</t>
  </si>
  <si>
    <t>EMP-101411</t>
  </si>
  <si>
    <t>EMP-101412</t>
  </si>
  <si>
    <t>EMP-101413</t>
  </si>
  <si>
    <t>EMP-101414</t>
  </si>
  <si>
    <t>EMP-101415</t>
  </si>
  <si>
    <t>EMP-101416</t>
  </si>
  <si>
    <t>EMP-101417</t>
  </si>
  <si>
    <t>EMP-101418</t>
  </si>
  <si>
    <t>EMP-101419</t>
  </si>
  <si>
    <t>EMP-101420</t>
  </si>
  <si>
    <t>EMP-101421</t>
  </si>
  <si>
    <t>EMP-101422</t>
  </si>
  <si>
    <t>EMP-101423</t>
  </si>
  <si>
    <t>EMP-101424</t>
  </si>
  <si>
    <t>EMP-101425</t>
  </si>
  <si>
    <t>EMP-101426</t>
  </si>
  <si>
    <t>EMP-101427</t>
  </si>
  <si>
    <t>EMP-101428</t>
  </si>
  <si>
    <t>EMP-101429</t>
  </si>
  <si>
    <t>EMP-101430</t>
  </si>
  <si>
    <t>EMP-101431</t>
  </si>
  <si>
    <t>EMP-101432</t>
  </si>
  <si>
    <t>EMP-101433</t>
  </si>
  <si>
    <t>EMP-101434</t>
  </si>
  <si>
    <t>EMP-101435</t>
  </si>
  <si>
    <t>EMP-101436</t>
  </si>
  <si>
    <t>EMP-101437</t>
  </si>
  <si>
    <t>EMP-101438</t>
  </si>
  <si>
    <t>EMP-101439</t>
  </si>
  <si>
    <t>EMP-101440</t>
  </si>
  <si>
    <t>EMP-101441</t>
  </si>
  <si>
    <t>EMP-101442</t>
  </si>
  <si>
    <t>EMP-101443</t>
  </si>
  <si>
    <t>EMP-101444</t>
  </si>
  <si>
    <t>EMP-101445</t>
  </si>
  <si>
    <t>EMP-101446</t>
  </si>
  <si>
    <t>EMP-101447</t>
  </si>
  <si>
    <t>EMP-101448</t>
  </si>
  <si>
    <t>EMP-101449</t>
  </si>
  <si>
    <t>EMP-101450</t>
  </si>
  <si>
    <t>EMP-101451</t>
  </si>
  <si>
    <t>EMP-101452</t>
  </si>
  <si>
    <t>EMP-101453</t>
  </si>
  <si>
    <t>EMP-101454</t>
  </si>
  <si>
    <t>EMP-101455</t>
  </si>
  <si>
    <t>EMP-101456</t>
  </si>
  <si>
    <t>EMP-101457</t>
  </si>
  <si>
    <t>EMP-101458</t>
  </si>
  <si>
    <t>EMP-101459</t>
  </si>
  <si>
    <t>EMP-101460</t>
  </si>
  <si>
    <t>EMP-101461</t>
  </si>
  <si>
    <t>EMP-101462</t>
  </si>
  <si>
    <t>EMP-101463</t>
  </si>
  <si>
    <t>EMP-101464</t>
  </si>
  <si>
    <t>EMP-101465</t>
  </si>
  <si>
    <t>EMP-101466</t>
  </si>
  <si>
    <t>EMP-101467</t>
  </si>
  <si>
    <t>EMP-101468</t>
  </si>
  <si>
    <t>EMP-101469</t>
  </si>
  <si>
    <t>EMP-101470</t>
  </si>
  <si>
    <t>EmployeeID</t>
  </si>
  <si>
    <t>Non-Travel</t>
  </si>
  <si>
    <t>Gender_Code</t>
  </si>
  <si>
    <t>Travel_Code</t>
  </si>
  <si>
    <t>Marital_Code</t>
  </si>
  <si>
    <t>Factor</t>
  </si>
  <si>
    <t>Raw Correlation</t>
  </si>
  <si>
    <t>Strength (Absolute)</t>
  </si>
  <si>
    <t>Final Weight (1-10)</t>
  </si>
  <si>
    <t>Weight (1-10)</t>
  </si>
  <si>
    <t>Description</t>
  </si>
  <si>
    <t>Overtime</t>
  </si>
  <si>
    <t>Low Job Satisfaction</t>
  </si>
  <si>
    <t>Distance From Home</t>
  </si>
  <si>
    <t>Low Monthly Income</t>
  </si>
  <si>
    <t>Travel Frequency</t>
  </si>
  <si>
    <t>Highest impact on attrition</t>
  </si>
  <si>
    <t>High travel = higher risk</t>
  </si>
  <si>
    <t>Disengaged employees leave faster</t>
  </si>
  <si>
    <t>Long commutes contribute to burnout</t>
  </si>
  <si>
    <t>Compensation is a key driver</t>
  </si>
  <si>
    <t>Flag_OT</t>
  </si>
  <si>
    <t>Flag_Distance</t>
  </si>
  <si>
    <t>Flag_Satisfaction</t>
  </si>
  <si>
    <t>Flag_Income</t>
  </si>
  <si>
    <t>Flag_Travel</t>
  </si>
  <si>
    <t>Median income</t>
  </si>
  <si>
    <t>Risk_Score_Raw</t>
  </si>
  <si>
    <t>Attrition_Risk_Percentage</t>
  </si>
  <si>
    <t>Risk_Category</t>
  </si>
  <si>
    <t>Count of EmployeeID</t>
  </si>
  <si>
    <t>Sum of Attrition</t>
  </si>
  <si>
    <t>Average of Attrition_Risk_Percentage</t>
  </si>
  <si>
    <t>Row Labels</t>
  </si>
  <si>
    <t>Grand Total</t>
  </si>
  <si>
    <t>Critical</t>
  </si>
  <si>
    <t>High</t>
  </si>
  <si>
    <t>Low</t>
  </si>
  <si>
    <t>Medium</t>
  </si>
  <si>
    <t>Column Labels</t>
  </si>
  <si>
    <t>Income Group</t>
  </si>
  <si>
    <t>Age Group</t>
  </si>
  <si>
    <t>Department_Role</t>
  </si>
  <si>
    <t>Risk Category</t>
  </si>
  <si>
    <t>Total Average of Attrition_Risk_Percentage</t>
  </si>
  <si>
    <t>Total Count of EmployeeID</t>
  </si>
  <si>
    <t>18-27</t>
  </si>
  <si>
    <t>28-37</t>
  </si>
  <si>
    <t>38-47</t>
  </si>
  <si>
    <t>48-57</t>
  </si>
  <si>
    <t>58-67</t>
  </si>
  <si>
    <t>0-4</t>
  </si>
  <si>
    <t>30-34</t>
  </si>
  <si>
    <t>5-9</t>
  </si>
  <si>
    <t>15-19</t>
  </si>
  <si>
    <t>10-14</t>
  </si>
  <si>
    <t>25-29</t>
  </si>
  <si>
    <t>20-24</t>
  </si>
  <si>
    <t>35-40</t>
  </si>
  <si>
    <t>1000-3499</t>
  </si>
  <si>
    <t>3500-5999</t>
  </si>
  <si>
    <t>6000-8499</t>
  </si>
  <si>
    <t>8500-10999</t>
  </si>
  <si>
    <t>11000-13499</t>
  </si>
  <si>
    <t>13500-15999</t>
  </si>
  <si>
    <t>16000-18499</t>
  </si>
  <si>
    <t>18500-20999</t>
  </si>
  <si>
    <t>Education Field</t>
  </si>
  <si>
    <t>Average of Attrition</t>
  </si>
  <si>
    <t>Average of MonthlyIncome</t>
  </si>
  <si>
    <t>Employee ID</t>
  </si>
  <si>
    <t>Performance Rating</t>
  </si>
  <si>
    <t>Risk (%)</t>
  </si>
  <si>
    <t>(All)</t>
  </si>
  <si>
    <t>Job Role</t>
  </si>
  <si>
    <r>
      <t>Perfomance</t>
    </r>
    <r>
      <rPr>
        <b/>
        <sz val="11"/>
        <color theme="1"/>
        <rFont val="Segoe UI"/>
        <family val="2"/>
      </rPr>
      <t>★</t>
    </r>
  </si>
  <si>
    <t>Risk Breakdown</t>
  </si>
  <si>
    <t>Active category:</t>
  </si>
  <si>
    <t>Logic for Donut Scorecard</t>
  </si>
  <si>
    <t>Attrition by Department</t>
  </si>
  <si>
    <t>Risk by Tenure</t>
  </si>
  <si>
    <t/>
  </si>
  <si>
    <t>Risk by Monthly Income</t>
  </si>
  <si>
    <t>Top High Risk Employees</t>
  </si>
  <si>
    <t>IncomeAtRisk</t>
  </si>
  <si>
    <t>Sum of IncomeAtRisk</t>
  </si>
  <si>
    <t>HR Predictive Attrition Analytics &amp; BI Dashboard</t>
  </si>
  <si>
    <t>Project Documentation: HR Predictive Attrition Dashboard</t>
  </si>
  <si>
    <t>1. Project Objective</t>
  </si>
  <si>
    <r>
      <t xml:space="preserve">To transition from descriptive HR reporting to </t>
    </r>
    <r>
      <rPr>
        <b/>
        <sz val="11"/>
        <color theme="1"/>
        <rFont val="Calibri"/>
        <family val="2"/>
        <scheme val="minor"/>
      </rPr>
      <t>Predictive Workforce Analytics</t>
    </r>
    <r>
      <rPr>
        <sz val="11"/>
        <color theme="1"/>
        <rFont val="Calibri"/>
        <family val="2"/>
        <scheme val="minor"/>
      </rPr>
      <t xml:space="preserve">. This tool identifies high-risk employees by quantifying qualitative and quantitative "attrition drivers" into a single </t>
    </r>
    <r>
      <rPr>
        <b/>
        <sz val="11"/>
        <color theme="1"/>
        <rFont val="Calibri"/>
        <family val="2"/>
        <scheme val="minor"/>
      </rPr>
      <t>Predictive Risk Score</t>
    </r>
    <r>
      <rPr>
        <sz val="11"/>
        <color theme="1"/>
        <rFont val="Calibri"/>
        <family val="2"/>
        <scheme val="minor"/>
      </rPr>
      <t>.</t>
    </r>
  </si>
  <si>
    <t>2. The ETL Process (Extract, Transform, Load)</t>
  </si>
  <si>
    <t>The raw data was transformed into a structured "Logic Layer" using the following steps:</t>
  </si>
  <si>
    <r>
      <t>Table Conversion:</t>
    </r>
    <r>
      <rPr>
        <sz val="11"/>
        <color theme="1"/>
        <rFont val="Calibri"/>
        <family val="2"/>
        <scheme val="minor"/>
      </rPr>
      <t xml:space="preserve"> Raw data converted to </t>
    </r>
    <r>
      <rPr>
        <sz val="10"/>
        <color theme="1"/>
        <rFont val="Arial Unicode MS"/>
        <family val="2"/>
      </rPr>
      <t>tbl_HR_Data</t>
    </r>
    <r>
      <rPr>
        <sz val="11"/>
        <color theme="1"/>
        <rFont val="Calibri"/>
        <family val="2"/>
        <scheme val="minor"/>
      </rPr>
      <t xml:space="preserve"> for dynamic formula range expansion.</t>
    </r>
  </si>
  <si>
    <r>
      <t>Categorical Encoding:</t>
    </r>
    <r>
      <rPr>
        <sz val="11"/>
        <color theme="1"/>
        <rFont val="Calibri"/>
        <family val="2"/>
        <scheme val="minor"/>
      </rPr>
      <t xml:space="preserve"> Text values were mapped to integers (e.g., </t>
    </r>
    <r>
      <rPr>
        <sz val="10"/>
        <color theme="1"/>
        <rFont val="Arial Unicode MS"/>
        <family val="2"/>
      </rPr>
      <t>Travel_Frequently</t>
    </r>
    <r>
      <rPr>
        <sz val="11"/>
        <color theme="1"/>
        <rFont val="Calibri"/>
        <family val="2"/>
        <scheme val="minor"/>
      </rPr>
      <t xml:space="preserve"> = 2) to allow for mathematical correlation.</t>
    </r>
  </si>
  <si>
    <r>
      <t>Data Cleaning:</t>
    </r>
    <r>
      <rPr>
        <sz val="11"/>
        <color theme="1"/>
        <rFont val="Calibri"/>
        <family val="2"/>
        <scheme val="minor"/>
      </rPr>
      <t xml:space="preserve"> Applied </t>
    </r>
    <r>
      <rPr>
        <sz val="10"/>
        <color theme="1"/>
        <rFont val="Arial Unicode MS"/>
        <family val="2"/>
      </rPr>
      <t>TRIM</t>
    </r>
    <r>
      <rPr>
        <sz val="11"/>
        <color theme="1"/>
        <rFont val="Calibri"/>
        <family val="2"/>
        <scheme val="minor"/>
      </rPr>
      <t xml:space="preserve"> and standardized naming conventions to ensure Pivot Table accuracy.</t>
    </r>
  </si>
  <si>
    <t>3. The Predictive Engine (Mathematical Logic)</t>
  </si>
  <si>
    <r>
      <t xml:space="preserve">The </t>
    </r>
    <r>
      <rPr>
        <b/>
        <sz val="11"/>
        <color theme="1"/>
        <rFont val="Calibri"/>
        <family val="2"/>
        <scheme val="minor"/>
      </rPr>
      <t>Attrition Risk Score</t>
    </r>
    <r>
      <rPr>
        <sz val="11"/>
        <color theme="1"/>
        <rFont val="Calibri"/>
        <family val="2"/>
        <scheme val="minor"/>
      </rPr>
      <t xml:space="preserve"> is calculated using a </t>
    </r>
    <r>
      <rPr>
        <b/>
        <sz val="11"/>
        <color theme="1"/>
        <rFont val="Calibri"/>
        <family val="2"/>
        <scheme val="minor"/>
      </rPr>
      <t>Weighted Factor Model</t>
    </r>
    <r>
      <rPr>
        <sz val="11"/>
        <color theme="1"/>
        <rFont val="Calibri"/>
        <family val="2"/>
        <scheme val="minor"/>
      </rPr>
      <t xml:space="preserve"> based on statistical correlation.</t>
    </r>
  </si>
  <si>
    <t>Risk Factors &amp; Weights</t>
  </si>
  <si>
    <r>
      <t>Overtime (Weight: 10.0):</t>
    </r>
    <r>
      <rPr>
        <sz val="11"/>
        <color theme="1"/>
        <rFont val="Calibri"/>
        <family val="2"/>
        <scheme val="minor"/>
      </rPr>
      <t xml:space="preserve"> Identified as the #1 driver of attrition.</t>
    </r>
  </si>
  <si>
    <r>
      <t>Monthly Income (Weight: 6.49):</t>
    </r>
    <r>
      <rPr>
        <sz val="11"/>
        <color theme="1"/>
        <rFont val="Calibri"/>
        <family val="2"/>
        <scheme val="minor"/>
      </rPr>
      <t xml:space="preserve"> High correlation between lower-than-average pay and exit probability.</t>
    </r>
  </si>
  <si>
    <r>
      <t>Business Travel (Weight: 5.16):</t>
    </r>
    <r>
      <rPr>
        <sz val="11"/>
        <color theme="1"/>
        <rFont val="Calibri"/>
        <family val="2"/>
        <scheme val="minor"/>
      </rPr>
      <t xml:space="preserve"> Frequent travel creates a significant risk multiplier.</t>
    </r>
  </si>
  <si>
    <r>
      <t>Job Satisfaction (Weight: 4.20):</t>
    </r>
    <r>
      <rPr>
        <sz val="11"/>
        <color theme="1"/>
        <rFont val="Calibri"/>
        <family val="2"/>
        <scheme val="minor"/>
      </rPr>
      <t xml:space="preserve"> Qualitative engagement levels.</t>
    </r>
  </si>
  <si>
    <r>
      <t>Distance From Home (Weight: 3.17):</t>
    </r>
    <r>
      <rPr>
        <sz val="11"/>
        <color theme="1"/>
        <rFont val="Calibri"/>
        <family val="2"/>
        <scheme val="minor"/>
      </rPr>
      <t xml:space="preserve"> Commute stress factor.</t>
    </r>
  </si>
  <si>
    <t>The Formula</t>
  </si>
  <si>
    <r>
      <t>Risk Score % = (Weighted Flags) / (Sum of All Possible Weights)</t>
    </r>
    <r>
      <rPr>
        <sz val="11"/>
        <color theme="1"/>
        <rFont val="Calibri"/>
        <family val="2"/>
        <scheme val="minor"/>
      </rPr>
      <t xml:space="preserve"> Employees are categorized into four tiers:</t>
    </r>
  </si>
  <si>
    <r>
      <t>Critical (&gt;75%)</t>
    </r>
    <r>
      <rPr>
        <sz val="11"/>
        <color theme="1"/>
        <rFont val="Calibri"/>
        <family val="2"/>
        <scheme val="minor"/>
      </rPr>
      <t xml:space="preserve"> | </t>
    </r>
    <r>
      <rPr>
        <b/>
        <sz val="11"/>
        <color theme="1"/>
        <rFont val="Calibri"/>
        <family val="2"/>
        <scheme val="minor"/>
      </rPr>
      <t>High (50-75%)</t>
    </r>
    <r>
      <rPr>
        <sz val="11"/>
        <color theme="1"/>
        <rFont val="Calibri"/>
        <family val="2"/>
        <scheme val="minor"/>
      </rPr>
      <t xml:space="preserve"> | </t>
    </r>
    <r>
      <rPr>
        <b/>
        <sz val="11"/>
        <color theme="1"/>
        <rFont val="Calibri"/>
        <family val="2"/>
        <scheme val="minor"/>
      </rPr>
      <t>Medium (25-50%)</t>
    </r>
    <r>
      <rPr>
        <sz val="11"/>
        <color theme="1"/>
        <rFont val="Calibri"/>
        <family val="2"/>
        <scheme val="minor"/>
      </rPr>
      <t xml:space="preserve"> | </t>
    </r>
    <r>
      <rPr>
        <b/>
        <sz val="11"/>
        <color theme="1"/>
        <rFont val="Calibri"/>
        <family val="2"/>
        <scheme val="minor"/>
      </rPr>
      <t>Low (&lt;25%)</t>
    </r>
  </si>
  <si>
    <t>4. Dashboard Components</t>
  </si>
  <si>
    <r>
      <t>Headline Panel:</t>
    </r>
    <r>
      <rPr>
        <sz val="11"/>
        <color theme="1"/>
        <rFont val="Calibri"/>
        <family val="2"/>
        <scheme val="minor"/>
      </rPr>
      <t xml:space="preserve"> Real-time KPIs including </t>
    </r>
    <r>
      <rPr>
        <b/>
        <sz val="11"/>
        <color theme="1"/>
        <rFont val="Calibri"/>
        <family val="2"/>
        <scheme val="minor"/>
      </rPr>
      <t>Retention Value at Risk ($)</t>
    </r>
    <r>
      <rPr>
        <sz val="11"/>
        <color theme="1"/>
        <rFont val="Calibri"/>
        <family val="2"/>
        <scheme val="minor"/>
      </rPr>
      <t>, which calculates the financial liability of high-risk talent.</t>
    </r>
  </si>
  <si>
    <r>
      <t>Predictive Watchlist:</t>
    </r>
    <r>
      <rPr>
        <sz val="11"/>
        <color theme="1"/>
        <rFont val="Calibri"/>
        <family val="2"/>
        <scheme val="minor"/>
      </rPr>
      <t xml:space="preserve"> An actionable "Top 10" list of employees at risk, including their </t>
    </r>
    <r>
      <rPr>
        <b/>
        <sz val="11"/>
        <color theme="1"/>
        <rFont val="Calibri"/>
        <family val="2"/>
        <scheme val="minor"/>
      </rPr>
      <t>Performance Star Rating</t>
    </r>
    <r>
      <rPr>
        <sz val="11"/>
        <color theme="1"/>
        <rFont val="Calibri"/>
        <family val="2"/>
        <scheme val="minor"/>
      </rPr>
      <t>.</t>
    </r>
  </si>
  <si>
    <r>
      <t>Work-Life Heatmap:</t>
    </r>
    <r>
      <rPr>
        <sz val="11"/>
        <color theme="1"/>
        <rFont val="Calibri"/>
        <family val="2"/>
        <scheme val="minor"/>
      </rPr>
      <t xml:space="preserve"> A visual diagnostic tool showing the intersection of burnout drivers.</t>
    </r>
  </si>
  <si>
    <r>
      <t>Interactive Slicers:</t>
    </r>
    <r>
      <rPr>
        <sz val="11"/>
        <color theme="1"/>
        <rFont val="Calibri"/>
        <family val="2"/>
        <scheme val="minor"/>
      </rPr>
      <t xml:space="preserve"> Allows filtering by Department, Gender, and Overtime status.</t>
    </r>
  </si>
  <si>
    <t>5. Maintenance Guide</t>
  </si>
  <si>
    <r>
      <t>1. Adding New Data:</t>
    </r>
    <r>
      <rPr>
        <sz val="11"/>
        <color theme="1"/>
        <rFont val="Calibri"/>
        <family val="2"/>
        <scheme val="minor"/>
      </rPr>
      <t xml:space="preserve"> Paste new employee rows at the bottom of </t>
    </r>
    <r>
      <rPr>
        <sz val="10"/>
        <color theme="1"/>
        <rFont val="Arial Unicode MS"/>
        <family val="2"/>
      </rPr>
      <t>tbl_HR_Data</t>
    </r>
    <r>
      <rPr>
        <sz val="11"/>
        <color theme="1"/>
        <rFont val="Calibri"/>
        <family val="2"/>
        <scheme val="minor"/>
      </rPr>
      <t>. The table and formulas will auto-expand.</t>
    </r>
  </si>
  <si>
    <r>
      <t>2. Updating Analytics:</t>
    </r>
    <r>
      <rPr>
        <sz val="11"/>
        <color theme="1"/>
        <rFont val="Calibri"/>
        <family val="2"/>
        <scheme val="minor"/>
      </rPr>
      <t xml:space="preserve"> Go to the </t>
    </r>
    <r>
      <rPr>
        <b/>
        <sz val="11"/>
        <color theme="1"/>
        <rFont val="Calibri"/>
        <family val="2"/>
        <scheme val="minor"/>
      </rPr>
      <t>Data</t>
    </r>
    <r>
      <rPr>
        <sz val="11"/>
        <color theme="1"/>
        <rFont val="Calibri"/>
        <family val="2"/>
        <scheme val="minor"/>
      </rPr>
      <t xml:space="preserve"> tab and click </t>
    </r>
    <r>
      <rPr>
        <b/>
        <sz val="11"/>
        <color theme="1"/>
        <rFont val="Calibri"/>
        <family val="2"/>
        <scheme val="minor"/>
      </rPr>
      <t>Refresh All</t>
    </r>
    <r>
      <rPr>
        <sz val="11"/>
        <color theme="1"/>
        <rFont val="Calibri"/>
        <family val="2"/>
        <scheme val="minor"/>
      </rPr>
      <t>. All Pivot Tables and Dashboard Charts will update instantly.</t>
    </r>
  </si>
  <si>
    <r>
      <t>3. Adjusting Logic:</t>
    </r>
    <r>
      <rPr>
        <sz val="11"/>
        <color theme="1"/>
        <rFont val="Calibri"/>
        <family val="2"/>
        <scheme val="minor"/>
      </rPr>
      <t xml:space="preserve"> If business priorities change, update the "Weights" in the </t>
    </r>
    <r>
      <rPr>
        <sz val="10"/>
        <color theme="1"/>
        <rFont val="Arial Unicode MS"/>
        <family val="2"/>
      </rPr>
      <t>Logic_Parameters</t>
    </r>
    <r>
      <rPr>
        <sz val="11"/>
        <color theme="1"/>
        <rFont val="Calibri"/>
        <family val="2"/>
        <scheme val="minor"/>
      </rPr>
      <t xml:space="preserve"> sheet. The entire dashboard will recalibrate automatically.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</si>
</sst>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24" x14ac:knownFonts="1">
    <font>
      <sz val="11"/>
      <color theme="1"/>
      <name val="Calibri"/>
      <family val="2"/>
      <scheme val="minor"/>
    </font>
    <font>
      <sz val="11"/>
      <name val="Calibri"/>
      <family val="2"/>
      <scheme val="minor"/>
    </font>
    <font>
      <sz val="11"/>
      <color theme="1"/>
      <name val="Calibri"/>
      <family val="2"/>
      <scheme val="minor"/>
    </font>
    <font>
      <b/>
      <sz val="11"/>
      <color theme="1"/>
      <name val="Calibri"/>
      <family val="2"/>
      <scheme val="minor"/>
    </font>
    <font>
      <sz val="10"/>
      <color theme="1"/>
      <name val="Arial Unicode MS"/>
      <family val="2"/>
    </font>
    <font>
      <sz val="8"/>
      <name val="Calibri"/>
      <family val="2"/>
      <scheme val="minor"/>
    </font>
    <font>
      <sz val="11"/>
      <color theme="0" tint="-4.9989318521683403E-2"/>
      <name val="Segoe UI"/>
      <family val="2"/>
    </font>
    <font>
      <sz val="11"/>
      <color theme="1"/>
      <name val="Segoe UI"/>
      <family val="2"/>
    </font>
    <font>
      <b/>
      <sz val="11"/>
      <color theme="1"/>
      <name val="Segoe UI"/>
      <family val="2"/>
    </font>
    <font>
      <b/>
      <i/>
      <sz val="11"/>
      <color theme="1"/>
      <name val="Segoe UI"/>
      <family val="2"/>
    </font>
    <font>
      <sz val="11"/>
      <color theme="1" tint="0.249977111117893"/>
      <name val="Segoe UI"/>
      <family val="2"/>
    </font>
    <font>
      <b/>
      <sz val="8"/>
      <color theme="1"/>
      <name val="Calibri"/>
      <family val="2"/>
      <scheme val="minor"/>
    </font>
    <font>
      <b/>
      <sz val="12"/>
      <color theme="0" tint="-4.9989318521683403E-2"/>
      <name val="Segoe UI"/>
      <family val="2"/>
    </font>
    <font>
      <b/>
      <sz val="16"/>
      <color theme="0" tint="-4.9989318521683403E-2"/>
      <name val="Segoe UI"/>
      <family val="2"/>
    </font>
    <font>
      <b/>
      <sz val="18"/>
      <color theme="0" tint="-4.9989318521683403E-2"/>
      <name val="Segoe UI"/>
      <family val="2"/>
    </font>
    <font>
      <b/>
      <sz val="22"/>
      <color theme="0" tint="-4.9989318521683403E-2"/>
      <name val="Segoe UI"/>
      <family val="2"/>
    </font>
    <font>
      <b/>
      <sz val="24"/>
      <color theme="0" tint="-4.9989318521683403E-2"/>
      <name val="Segoe UI"/>
      <family val="2"/>
    </font>
    <font>
      <sz val="18"/>
      <color theme="0" tint="-4.9989318521683403E-2"/>
      <name val="Segoe UI"/>
      <family val="2"/>
    </font>
    <font>
      <sz val="24"/>
      <color theme="0" tint="-4.9989318521683403E-2"/>
      <name val="Segoe UI"/>
      <family val="2"/>
    </font>
    <font>
      <b/>
      <sz val="18"/>
      <name val="Segoe UI"/>
      <family val="2"/>
    </font>
    <font>
      <sz val="14"/>
      <color theme="0" tint="-4.9989318521683403E-2"/>
      <name val="Segoe UI"/>
      <family val="2"/>
    </font>
    <font>
      <b/>
      <sz val="24"/>
      <color theme="1"/>
      <name val="Calibri"/>
      <family val="2"/>
      <scheme val="minor"/>
    </font>
    <font>
      <b/>
      <sz val="18"/>
      <color theme="1"/>
      <name val="Calibri"/>
      <family val="2"/>
      <scheme val="minor"/>
    </font>
    <font>
      <b/>
      <sz val="13.5"/>
      <color theme="1"/>
      <name val="Calibri"/>
      <family val="2"/>
      <scheme val="minor"/>
    </font>
  </fonts>
  <fills count="10">
    <fill>
      <patternFill patternType="none"/>
    </fill>
    <fill>
      <patternFill patternType="gray125"/>
    </fill>
    <fill>
      <patternFill patternType="solid">
        <fgColor theme="5" tint="0.59999389629810485"/>
        <bgColor indexed="64"/>
      </patternFill>
    </fill>
    <fill>
      <patternFill patternType="solid">
        <fgColor theme="2" tint="-0.249977111117893"/>
        <bgColor indexed="64"/>
      </patternFill>
    </fill>
    <fill>
      <patternFill patternType="solid">
        <fgColor theme="2" tint="-0.749992370372631"/>
        <bgColor indexed="64"/>
      </patternFill>
    </fill>
    <fill>
      <patternFill patternType="solid">
        <fgColor theme="0" tint="-0.249977111117893"/>
        <bgColor indexed="64"/>
      </patternFill>
    </fill>
    <fill>
      <patternFill patternType="solid">
        <fgColor theme="6" tint="0.79998168889431442"/>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rgb="FFFFFF99"/>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s>
  <cellStyleXfs count="2">
    <xf numFmtId="0" fontId="0" fillId="0" borderId="0"/>
    <xf numFmtId="9" fontId="2" fillId="0" borderId="0" applyFont="0" applyFill="0" applyBorder="0" applyAlignment="0" applyProtection="0"/>
  </cellStyleXfs>
  <cellXfs count="91">
    <xf numFmtId="0" fontId="0" fillId="0" borderId="0" xfId="0"/>
    <xf numFmtId="0" fontId="1" fillId="2" borderId="0" xfId="0" applyFont="1" applyFill="1" applyAlignment="1">
      <alignment horizontal="center" vertical="center" wrapText="1"/>
    </xf>
    <xf numFmtId="0" fontId="0" fillId="0" borderId="1" xfId="0" applyBorder="1"/>
    <xf numFmtId="0" fontId="4" fillId="0" borderId="2" xfId="0" applyFont="1" applyBorder="1"/>
    <xf numFmtId="0" fontId="0" fillId="0" borderId="3" xfId="0" applyBorder="1"/>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4" fillId="0" borderId="7" xfId="0" applyFont="1" applyBorder="1"/>
    <xf numFmtId="0" fontId="0" fillId="0" borderId="8" xfId="0" applyBorder="1"/>
    <xf numFmtId="0" fontId="0" fillId="0" borderId="9" xfId="0" applyBorder="1"/>
    <xf numFmtId="0" fontId="0" fillId="0" borderId="7" xfId="0" applyBorder="1"/>
    <xf numFmtId="0" fontId="0" fillId="0" borderId="2" xfId="0" applyBorder="1"/>
    <xf numFmtId="2" fontId="0" fillId="0" borderId="1" xfId="0" applyNumberFormat="1" applyBorder="1"/>
    <xf numFmtId="2" fontId="0" fillId="0" borderId="8" xfId="0" applyNumberFormat="1" applyBorder="1"/>
    <xf numFmtId="9" fontId="0" fillId="0" borderId="0" xfId="1" applyFont="1"/>
    <xf numFmtId="0" fontId="0" fillId="0" borderId="0" xfId="1" applyNumberFormat="1" applyFont="1"/>
    <xf numFmtId="9"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2" fontId="0" fillId="0" borderId="0" xfId="0" applyNumberFormat="1"/>
    <xf numFmtId="0" fontId="6" fillId="4" borderId="0" xfId="0" applyFont="1" applyFill="1"/>
    <xf numFmtId="0" fontId="7" fillId="3" borderId="0" xfId="0" applyFont="1" applyFill="1"/>
    <xf numFmtId="0" fontId="7" fillId="5" borderId="0" xfId="0" applyFont="1" applyFill="1"/>
    <xf numFmtId="0" fontId="7" fillId="6" borderId="11" xfId="0" applyFont="1" applyFill="1" applyBorder="1"/>
    <xf numFmtId="0" fontId="7" fillId="6" borderId="12" xfId="0" applyFont="1" applyFill="1" applyBorder="1"/>
    <xf numFmtId="0" fontId="8" fillId="6" borderId="12" xfId="0" applyFont="1" applyFill="1" applyBorder="1"/>
    <xf numFmtId="0" fontId="7" fillId="6" borderId="13" xfId="0" applyFont="1" applyFill="1" applyBorder="1"/>
    <xf numFmtId="0" fontId="7" fillId="6" borderId="14" xfId="0" applyFont="1" applyFill="1" applyBorder="1"/>
    <xf numFmtId="0" fontId="7" fillId="7" borderId="0" xfId="0" applyFont="1" applyFill="1"/>
    <xf numFmtId="0" fontId="7" fillId="6" borderId="0" xfId="0" applyFont="1" applyFill="1"/>
    <xf numFmtId="0" fontId="9" fillId="6" borderId="22" xfId="0" applyFont="1" applyFill="1" applyBorder="1" applyAlignment="1">
      <alignment horizontal="center" vertical="center"/>
    </xf>
    <xf numFmtId="0" fontId="9" fillId="6" borderId="23" xfId="0" applyFont="1" applyFill="1" applyBorder="1" applyAlignment="1">
      <alignment horizontal="center" vertical="center"/>
    </xf>
    <xf numFmtId="0" fontId="9" fillId="6" borderId="24" xfId="0" applyFont="1" applyFill="1" applyBorder="1" applyAlignment="1">
      <alignment horizontal="center" vertical="center"/>
    </xf>
    <xf numFmtId="0" fontId="9" fillId="6" borderId="13" xfId="0" applyFont="1" applyFill="1" applyBorder="1" applyAlignment="1">
      <alignment horizontal="center" vertical="center"/>
    </xf>
    <xf numFmtId="0" fontId="7" fillId="6" borderId="15" xfId="0" applyFont="1" applyFill="1" applyBorder="1"/>
    <xf numFmtId="0" fontId="7" fillId="6" borderId="25" xfId="0" applyFont="1" applyFill="1" applyBorder="1"/>
    <xf numFmtId="9" fontId="7" fillId="6" borderId="21" xfId="1" applyFont="1" applyFill="1" applyBorder="1" applyAlignment="1">
      <alignment horizontal="center" vertical="center"/>
    </xf>
    <xf numFmtId="9" fontId="7" fillId="6" borderId="10" xfId="1" applyFont="1" applyFill="1" applyBorder="1" applyAlignment="1">
      <alignment horizontal="center" vertical="center"/>
    </xf>
    <xf numFmtId="0" fontId="10" fillId="6" borderId="15" xfId="0" applyFont="1" applyFill="1" applyBorder="1" applyAlignment="1">
      <alignment horizontal="center" vertical="center"/>
    </xf>
    <xf numFmtId="0" fontId="7" fillId="6" borderId="26" xfId="0" applyFont="1" applyFill="1" applyBorder="1"/>
    <xf numFmtId="9" fontId="7" fillId="6" borderId="20" xfId="1" applyFont="1" applyFill="1" applyBorder="1" applyAlignment="1">
      <alignment horizontal="center" vertical="center"/>
    </xf>
    <xf numFmtId="9" fontId="7" fillId="6" borderId="19" xfId="1" applyFont="1" applyFill="1" applyBorder="1" applyAlignment="1">
      <alignment horizontal="center" vertical="center"/>
    </xf>
    <xf numFmtId="0" fontId="10" fillId="6" borderId="18" xfId="0" applyFont="1" applyFill="1" applyBorder="1" applyAlignment="1">
      <alignment horizontal="center" vertical="center"/>
    </xf>
    <xf numFmtId="0" fontId="7" fillId="6" borderId="16" xfId="0" applyFont="1" applyFill="1" applyBorder="1"/>
    <xf numFmtId="0" fontId="7" fillId="6" borderId="17" xfId="0" applyFont="1" applyFill="1" applyBorder="1"/>
    <xf numFmtId="0" fontId="7" fillId="6" borderId="18" xfId="0" applyFont="1" applyFill="1" applyBorder="1"/>
    <xf numFmtId="0" fontId="8" fillId="7" borderId="0" xfId="0" applyFont="1" applyFill="1"/>
    <xf numFmtId="0" fontId="0" fillId="8" borderId="0" xfId="0" applyFill="1" applyAlignment="1">
      <alignment horizontal="center"/>
    </xf>
    <xf numFmtId="0" fontId="0" fillId="0" borderId="0" xfId="0" applyAlignment="1">
      <alignment horizontal="center"/>
    </xf>
    <xf numFmtId="9" fontId="0" fillId="0" borderId="0" xfId="0" applyNumberFormat="1" applyAlignment="1">
      <alignment horizontal="center"/>
    </xf>
    <xf numFmtId="9" fontId="0" fillId="8" borderId="0" xfId="0" applyNumberFormat="1" applyFill="1" applyAlignment="1">
      <alignment horizontal="center"/>
    </xf>
    <xf numFmtId="0" fontId="0" fillId="8" borderId="0" xfId="0" applyFill="1" applyAlignment="1">
      <alignment horizontal="center" vertical="center"/>
    </xf>
    <xf numFmtId="0" fontId="11" fillId="8" borderId="0" xfId="0" applyFont="1" applyFill="1" applyAlignment="1">
      <alignment horizontal="center" vertical="center" wrapText="1"/>
    </xf>
    <xf numFmtId="10" fontId="17" fillId="4" borderId="0" xfId="1" applyNumberFormat="1" applyFont="1" applyFill="1" applyAlignment="1">
      <alignment vertical="center"/>
    </xf>
    <xf numFmtId="0" fontId="17" fillId="4" borderId="0" xfId="0" applyFont="1" applyFill="1" applyAlignment="1">
      <alignment vertical="center"/>
    </xf>
    <xf numFmtId="0" fontId="14" fillId="4" borderId="0" xfId="0" applyFont="1" applyFill="1" applyAlignment="1">
      <alignment vertical="center"/>
    </xf>
    <xf numFmtId="0" fontId="6" fillId="4" borderId="0" xfId="0" applyFont="1" applyFill="1" applyAlignment="1">
      <alignment vertical="center"/>
    </xf>
    <xf numFmtId="0" fontId="16" fillId="4" borderId="0" xfId="0" applyFont="1" applyFill="1" applyAlignment="1">
      <alignment vertical="center"/>
    </xf>
    <xf numFmtId="10" fontId="17" fillId="4" borderId="0" xfId="0" applyNumberFormat="1" applyFont="1" applyFill="1"/>
    <xf numFmtId="0" fontId="17" fillId="4" borderId="0" xfId="0" applyFont="1" applyFill="1"/>
    <xf numFmtId="164" fontId="0" fillId="0" borderId="0" xfId="0" applyNumberFormat="1"/>
    <xf numFmtId="0" fontId="15" fillId="4" borderId="0" xfId="0" applyFont="1" applyFill="1" applyAlignment="1">
      <alignment vertical="center" wrapText="1"/>
    </xf>
    <xf numFmtId="0" fontId="7" fillId="5" borderId="10" xfId="0" applyFont="1" applyFill="1" applyBorder="1"/>
    <xf numFmtId="0" fontId="7" fillId="5" borderId="27" xfId="0" applyFont="1" applyFill="1" applyBorder="1"/>
    <xf numFmtId="0" fontId="20" fillId="4" borderId="0" xfId="0" applyFont="1" applyFill="1" applyAlignment="1">
      <alignment vertical="center"/>
    </xf>
    <xf numFmtId="0" fontId="20" fillId="4" borderId="17" xfId="0" applyFont="1" applyFill="1" applyBorder="1" applyAlignment="1">
      <alignment vertical="center"/>
    </xf>
    <xf numFmtId="0" fontId="21" fillId="0" borderId="0" xfId="0" applyFont="1" applyAlignment="1">
      <alignment vertical="center"/>
    </xf>
    <xf numFmtId="0" fontId="22" fillId="0" borderId="0" xfId="0" applyFont="1" applyAlignment="1">
      <alignment vertical="center"/>
    </xf>
    <xf numFmtId="0" fontId="0" fillId="0" borderId="0" xfId="0" applyAlignment="1">
      <alignment horizontal="left" vertical="center" indent="1"/>
    </xf>
    <xf numFmtId="0" fontId="3" fillId="0" borderId="0" xfId="0" applyFont="1" applyAlignment="1">
      <alignment horizontal="left" vertical="center" indent="1"/>
    </xf>
    <xf numFmtId="0" fontId="23" fillId="0" borderId="0" xfId="0" applyFont="1" applyAlignment="1">
      <alignment vertical="center"/>
    </xf>
    <xf numFmtId="0" fontId="4" fillId="0" borderId="0" xfId="0" applyFont="1"/>
    <xf numFmtId="0" fontId="8" fillId="7" borderId="0" xfId="0" applyFont="1" applyFill="1" applyAlignment="1">
      <alignment horizontal="center"/>
    </xf>
    <xf numFmtId="0" fontId="18" fillId="4" borderId="0" xfId="0" applyFont="1" applyFill="1" applyAlignment="1">
      <alignment horizontal="center" vertical="center"/>
    </xf>
    <xf numFmtId="10" fontId="18" fillId="4" borderId="0" xfId="1" applyNumberFormat="1" applyFont="1" applyFill="1" applyAlignment="1">
      <alignment horizontal="center" vertical="center"/>
    </xf>
    <xf numFmtId="0" fontId="18" fillId="4" borderId="0" xfId="0" applyFont="1" applyFill="1" applyAlignment="1">
      <alignment horizontal="center"/>
    </xf>
    <xf numFmtId="10" fontId="18" fillId="4" borderId="0" xfId="0" applyNumberFormat="1" applyFont="1" applyFill="1" applyAlignment="1">
      <alignment horizontal="center"/>
    </xf>
    <xf numFmtId="0" fontId="20" fillId="4" borderId="0" xfId="0" applyFont="1" applyFill="1" applyAlignment="1">
      <alignment horizontal="center" vertical="center"/>
    </xf>
    <xf numFmtId="0" fontId="20" fillId="4" borderId="17" xfId="0" applyFont="1" applyFill="1" applyBorder="1" applyAlignment="1">
      <alignment horizontal="center" vertical="center"/>
    </xf>
    <xf numFmtId="0" fontId="19" fillId="9" borderId="28" xfId="0" applyFont="1" applyFill="1" applyBorder="1" applyAlignment="1">
      <alignment horizontal="left" vertical="top" wrapText="1"/>
    </xf>
    <xf numFmtId="0" fontId="19" fillId="9" borderId="29" xfId="0" applyFont="1" applyFill="1" applyBorder="1" applyAlignment="1">
      <alignment horizontal="left" vertical="top" wrapText="1"/>
    </xf>
    <xf numFmtId="0" fontId="19" fillId="9" borderId="30" xfId="0" applyFont="1" applyFill="1" applyBorder="1" applyAlignment="1">
      <alignment horizontal="left" vertical="top" wrapText="1"/>
    </xf>
    <xf numFmtId="0" fontId="19" fillId="9" borderId="31" xfId="0" applyFont="1" applyFill="1" applyBorder="1" applyAlignment="1">
      <alignment horizontal="left" vertical="top" wrapText="1"/>
    </xf>
    <xf numFmtId="0" fontId="19" fillId="9" borderId="32" xfId="0" applyFont="1" applyFill="1" applyBorder="1" applyAlignment="1">
      <alignment horizontal="left" vertical="top" wrapText="1"/>
    </xf>
    <xf numFmtId="0" fontId="19" fillId="9" borderId="33" xfId="0" applyFont="1" applyFill="1" applyBorder="1" applyAlignment="1">
      <alignment horizontal="left" vertical="top" wrapText="1"/>
    </xf>
    <xf numFmtId="0" fontId="12" fillId="4" borderId="0" xfId="0" applyFont="1" applyFill="1" applyAlignment="1">
      <alignment vertical="center" wrapText="1"/>
    </xf>
    <xf numFmtId="164" fontId="18" fillId="4" borderId="0" xfId="0" applyNumberFormat="1" applyFont="1" applyFill="1" applyAlignment="1">
      <alignment horizontal="center"/>
    </xf>
    <xf numFmtId="0" fontId="13" fillId="4" borderId="0" xfId="0" applyFont="1" applyFill="1" applyAlignment="1">
      <alignment horizontal="center" vertical="center"/>
    </xf>
  </cellXfs>
  <cellStyles count="2">
    <cellStyle name="Normal" xfId="0" builtinId="0"/>
    <cellStyle name="Percent" xfId="1" builtinId="5"/>
  </cellStyles>
  <dxfs count="56">
    <dxf>
      <numFmt numFmtId="164" formatCode="&quot;$&quot;#,##0.00"/>
    </dxf>
    <dxf>
      <numFmt numFmtId="14" formatCode="0.00%"/>
    </dxf>
    <dxf>
      <font>
        <sz val="8"/>
      </font>
    </dxf>
    <dxf>
      <alignment vertical="center"/>
    </dxf>
    <dxf>
      <alignment vertical="center"/>
    </dxf>
    <dxf>
      <alignment vertical="center"/>
    </dxf>
    <dxf>
      <alignment wrapText="1"/>
    </dxf>
    <dxf>
      <font>
        <sz val="11"/>
      </font>
    </dxf>
    <dxf>
      <font>
        <b/>
      </font>
    </dxf>
    <dxf>
      <alignment horizontal="center"/>
    </dxf>
    <dxf>
      <alignment horizontal="center"/>
    </dxf>
    <dxf>
      <alignment horizontal="center"/>
    </dxf>
    <dxf>
      <alignment horizontal="center"/>
    </dxf>
    <dxf>
      <alignment horizontal="center"/>
    </dxf>
    <dxf>
      <alignment horizontal="cent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border diagonalUp="0" diagonalDown="0" outline="0">
        <left style="thin">
          <color indexed="64"/>
        </left>
        <right/>
        <top style="thin">
          <color indexed="64"/>
        </top>
        <bottom style="thin">
          <color indexed="64"/>
        </bottom>
      </border>
    </dxf>
    <dxf>
      <numFmt numFmtId="2" formatCode="0.00"/>
      <border diagonalUp="0" diagonalDown="0" outline="0">
        <left style="thin">
          <color indexed="64"/>
        </left>
        <right style="thin">
          <color indexed="64"/>
        </right>
        <top style="thin">
          <color indexed="64"/>
        </top>
        <bottom style="thin">
          <color indexed="64"/>
        </bottom>
      </border>
    </dxf>
    <dxf>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font>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border diagonalUp="0" diagonalDown="0" outline="0">
        <left style="thin">
          <color indexed="64"/>
        </left>
        <right/>
        <top style="thin">
          <color indexed="64"/>
        </top>
        <bottom style="thin">
          <color indexed="64"/>
        </bottom>
      </border>
    </dxf>
    <dxf>
      <numFmt numFmtId="0" formatCode="General"/>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Unicode MS"/>
        <family val="2"/>
        <scheme val="none"/>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1"/>
        <color auto="1"/>
        <name val="Calibri"/>
        <family val="2"/>
        <scheme val="minor"/>
      </font>
      <fill>
        <patternFill patternType="solid">
          <fgColor indexed="64"/>
          <bgColor theme="5" tint="0.59999389629810485"/>
        </patternFill>
      </fill>
      <alignment horizontal="center" vertical="center" textRotation="0" wrapText="1" indent="0" justifyLastLine="0" shrinkToFit="0" readingOrder="0"/>
    </dxf>
    <dxf>
      <font>
        <b/>
        <i/>
        <sz val="14"/>
        <color theme="1"/>
        <name val="Segoe UI"/>
        <family val="2"/>
      </font>
      <border>
        <bottom style="thin">
          <color theme="0" tint="-0.34998626667073579"/>
        </bottom>
        <vertical/>
        <horizontal/>
      </border>
    </dxf>
    <dxf>
      <font>
        <b val="0"/>
        <i val="0"/>
        <color theme="1"/>
        <name val="Segoe UI"/>
        <family val="2"/>
      </font>
      <fill>
        <patternFill patternType="solid">
          <fgColor indexed="64"/>
          <bgColor theme="0" tint="-0.24994659260841701"/>
        </patternFill>
      </fill>
      <border diagonalUp="0" diagonalDown="0">
        <left/>
        <right/>
        <top/>
        <bottom/>
        <vertical/>
        <horizontal/>
      </border>
    </dxf>
  </dxfs>
  <tableStyles count="1" defaultTableStyle="TableStyleMedium2" defaultPivotStyle="PivotStyleLight16">
    <tableStyle name="custom1" pivot="0" table="0" count="10" xr9:uid="{9B6987BF-3117-476C-A723-66CE294FF26A}">
      <tableStyleElement type="wholeTable" dxfId="55"/>
      <tableStyleElement type="headerRow" dxfId="54"/>
    </tableStyle>
  </tableStyles>
  <colors>
    <mruColors>
      <color rgb="FFF60000"/>
      <color rgb="FFFFFF99"/>
      <color rgb="FFA9F80C"/>
      <color rgb="FFFF3333"/>
      <color rgb="FFA4F0AD"/>
      <color rgb="FF00C057"/>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A9F80C"/>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A9F80C"/>
            </pattern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3743705557422"/>
              <bgColor rgb="FFFFFF99"/>
            </patternFill>
          </fill>
          <border>
            <left style="thin">
              <color rgb="FFCCCCCC"/>
            </left>
            <right style="thin">
              <color rgb="FFCCCCCC"/>
            </right>
            <top style="thin">
              <color rgb="FFCCCCCC"/>
            </top>
            <bottom style="thin">
              <color rgb="FFCCCCCC"/>
            </bottom>
            <vertical/>
            <horizontal/>
          </border>
        </dxf>
        <dxf>
          <font>
            <b val="0"/>
            <i val="0"/>
            <color rgb="FF000000"/>
            <name val="Segoe UI"/>
            <family val="2"/>
          </font>
          <fill>
            <patternFill patternType="solid">
              <fgColor theme="0" tint="-0.249977111117893"/>
              <bgColor rgb="FFFFFF99"/>
            </patternFill>
          </fill>
          <border>
            <left style="thin">
              <color rgb="FF999999"/>
            </left>
            <right style="thin">
              <color rgb="FF999999"/>
            </right>
            <top style="thin">
              <color rgb="FF999999"/>
            </top>
            <bottom style="thin">
              <color rgb="FF999999"/>
            </bottom>
            <vertical/>
            <horizontal/>
          </border>
        </dxf>
        <dxf>
          <font>
            <color rgb="FF959595"/>
          </font>
          <fill>
            <patternFill patternType="darkGray">
              <fgColor theme="2" tint="-0.499984740745262"/>
              <bgColor theme="6"/>
            </patternFill>
          </fill>
          <border>
            <left style="thin">
              <color rgb="FFE0E0E0"/>
            </left>
            <right style="thin">
              <color rgb="FFE0E0E0"/>
            </right>
            <top style="thin">
              <color rgb="FFE0E0E0"/>
            </top>
            <bottom style="thin">
              <color rgb="FFE0E0E0"/>
            </bottom>
            <vertical/>
            <horizontal/>
          </border>
        </dxf>
        <dxf>
          <font>
            <color rgb="FF000000"/>
          </font>
          <fill>
            <patternFill patternType="darkGray">
              <fgColor theme="2" tint="-0.499984740745262"/>
              <bgColor theme="6"/>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ustom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onnections" Target="connections.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[Predictive_Attrition_Dashboard.xlsx]Pivot_Engine!Pivot_Dept_Role</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311528220978664"/>
          <c:y val="3.5295972397611522E-2"/>
          <c:w val="0.71185775459895906"/>
          <c:h val="0.93756645690116902"/>
        </c:manualLayout>
      </c:layout>
      <c:barChart>
        <c:barDir val="bar"/>
        <c:grouping val="clustered"/>
        <c:varyColors val="0"/>
        <c:ser>
          <c:idx val="0"/>
          <c:order val="0"/>
          <c:tx>
            <c:strRef>
              <c:f>Pivot_Engine!$F$1</c:f>
              <c:strCache>
                <c:ptCount val="1"/>
                <c:pt idx="0">
                  <c:v>Total</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Pivot_Engine!$E$2:$E$16</c:f>
              <c:multiLvlStrCache>
                <c:ptCount val="11"/>
                <c:lvl>
                  <c:pt idx="0">
                    <c:v>Laboratory Technician</c:v>
                  </c:pt>
                  <c:pt idx="1">
                    <c:v>Research Scientist</c:v>
                  </c:pt>
                  <c:pt idx="2">
                    <c:v>Manufacturing Director</c:v>
                  </c:pt>
                  <c:pt idx="3">
                    <c:v>Healthcare Representative</c:v>
                  </c:pt>
                  <c:pt idx="4">
                    <c:v>Manager</c:v>
                  </c:pt>
                  <c:pt idx="5">
                    <c:v>Research Director</c:v>
                  </c:pt>
                  <c:pt idx="6">
                    <c:v>Sales Executive</c:v>
                  </c:pt>
                  <c:pt idx="7">
                    <c:v>Sales Representative</c:v>
                  </c:pt>
                  <c:pt idx="8">
                    <c:v>Manager</c:v>
                  </c:pt>
                  <c:pt idx="9">
                    <c:v>Human Resources</c:v>
                  </c:pt>
                  <c:pt idx="10">
                    <c:v>Manager</c:v>
                  </c:pt>
                </c:lvl>
                <c:lvl>
                  <c:pt idx="0">
                    <c:v>Research &amp; Development</c:v>
                  </c:pt>
                  <c:pt idx="6">
                    <c:v>Sales</c:v>
                  </c:pt>
                  <c:pt idx="9">
                    <c:v>Human Resources</c:v>
                  </c:pt>
                </c:lvl>
              </c:multiLvlStrCache>
            </c:multiLvlStrRef>
          </c:cat>
          <c:val>
            <c:numRef>
              <c:f>Pivot_Engine!$F$2:$F$16</c:f>
              <c:numCache>
                <c:formatCode>General</c:formatCode>
                <c:ptCount val="11"/>
                <c:pt idx="0">
                  <c:v>62</c:v>
                </c:pt>
                <c:pt idx="1">
                  <c:v>47</c:v>
                </c:pt>
                <c:pt idx="2">
                  <c:v>10</c:v>
                </c:pt>
                <c:pt idx="3">
                  <c:v>9</c:v>
                </c:pt>
                <c:pt idx="4">
                  <c:v>3</c:v>
                </c:pt>
                <c:pt idx="5">
                  <c:v>2</c:v>
                </c:pt>
                <c:pt idx="6">
                  <c:v>57</c:v>
                </c:pt>
                <c:pt idx="7">
                  <c:v>33</c:v>
                </c:pt>
                <c:pt idx="8">
                  <c:v>2</c:v>
                </c:pt>
                <c:pt idx="9">
                  <c:v>12</c:v>
                </c:pt>
                <c:pt idx="10">
                  <c:v>0</c:v>
                </c:pt>
              </c:numCache>
            </c:numRef>
          </c:val>
          <c:extLst>
            <c:ext xmlns:c16="http://schemas.microsoft.com/office/drawing/2014/chart" uri="{C3380CC4-5D6E-409C-BE32-E72D297353CC}">
              <c16:uniqueId val="{00000000-FC59-460B-804B-25C13B84BF38}"/>
            </c:ext>
          </c:extLst>
        </c:ser>
        <c:dLbls>
          <c:showLegendKey val="0"/>
          <c:showVal val="1"/>
          <c:showCatName val="0"/>
          <c:showSerName val="0"/>
          <c:showPercent val="0"/>
          <c:showBubbleSize val="0"/>
        </c:dLbls>
        <c:gapWidth val="93"/>
        <c:axId val="915064552"/>
        <c:axId val="915065632"/>
      </c:barChart>
      <c:catAx>
        <c:axId val="915064552"/>
        <c:scaling>
          <c:orientation val="minMax"/>
        </c:scaling>
        <c:delete val="0"/>
        <c:axPos val="l"/>
        <c:numFmt formatCode="General" sourceLinked="1"/>
        <c:majorTickMark val="none"/>
        <c:minorTickMark val="none"/>
        <c:tickLblPos val="nextTo"/>
        <c:spPr>
          <a:noFill/>
          <a:ln w="9525" cap="flat" cmpd="sng" algn="ctr">
            <a:solidFill>
              <a:schemeClr val="tx2">
                <a:lumMod val="60000"/>
                <a:lumOff val="40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915065632"/>
        <c:crosses val="autoZero"/>
        <c:auto val="1"/>
        <c:lblAlgn val="ctr"/>
        <c:lblOffset val="100"/>
        <c:noMultiLvlLbl val="0"/>
      </c:catAx>
      <c:valAx>
        <c:axId val="915065632"/>
        <c:scaling>
          <c:orientation val="minMax"/>
        </c:scaling>
        <c:delete val="1"/>
        <c:axPos val="b"/>
        <c:majorGridlines>
          <c:spPr>
            <a:ln w="9525" cap="flat" cmpd="sng" algn="ctr">
              <a:solidFill>
                <a:schemeClr val="tx2">
                  <a:lumMod val="60000"/>
                  <a:lumOff val="40000"/>
                </a:schemeClr>
              </a:solidFill>
              <a:round/>
            </a:ln>
            <a:effectLst/>
          </c:spPr>
        </c:majorGridlines>
        <c:numFmt formatCode="General" sourceLinked="1"/>
        <c:majorTickMark val="none"/>
        <c:minorTickMark val="none"/>
        <c:tickLblPos val="nextTo"/>
        <c:crossAx val="915064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[Predictive_Attrition_Dashboard.xlsx]Pivot_Engine!Pivot_Tenure_Risk</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85000"/>
              </a:schemeClr>
            </a:solidFill>
            <a:round/>
          </a:ln>
          <a:effectLst/>
        </c:spPr>
        <c:marker>
          <c:symbol val="circle"/>
          <c:size val="5"/>
          <c:spPr>
            <a:solidFill>
              <a:schemeClr val="bg2">
                <a:lumMod val="7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Pivot_Engine!$B$6</c:f>
              <c:strCache>
                <c:ptCount val="1"/>
                <c:pt idx="0">
                  <c:v>Total</c:v>
                </c:pt>
              </c:strCache>
            </c:strRef>
          </c:tx>
          <c:spPr>
            <a:ln w="28575" cap="rnd">
              <a:solidFill>
                <a:schemeClr val="bg1">
                  <a:lumMod val="85000"/>
                </a:schemeClr>
              </a:solidFill>
              <a:round/>
            </a:ln>
            <a:effectLst/>
          </c:spPr>
          <c:marker>
            <c:symbol val="circle"/>
            <c:size val="5"/>
            <c:spPr>
              <a:solidFill>
                <a:schemeClr val="bg2">
                  <a:lumMod val="75000"/>
                </a:schemeClr>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Pivot_Engine!$A$7:$A$15</c:f>
              <c:strCache>
                <c:ptCount val="8"/>
                <c:pt idx="0">
                  <c:v>0-4</c:v>
                </c:pt>
                <c:pt idx="1">
                  <c:v>30-34</c:v>
                </c:pt>
                <c:pt idx="2">
                  <c:v>5-9</c:v>
                </c:pt>
                <c:pt idx="3">
                  <c:v>15-19</c:v>
                </c:pt>
                <c:pt idx="4">
                  <c:v>10-14</c:v>
                </c:pt>
                <c:pt idx="5">
                  <c:v>25-29</c:v>
                </c:pt>
                <c:pt idx="6">
                  <c:v>20-24</c:v>
                </c:pt>
                <c:pt idx="7">
                  <c:v>35-40</c:v>
                </c:pt>
              </c:strCache>
            </c:strRef>
          </c:cat>
          <c:val>
            <c:numRef>
              <c:f>Pivot_Engine!$B$7:$B$15</c:f>
              <c:numCache>
                <c:formatCode>0%</c:formatCode>
                <c:ptCount val="8"/>
                <c:pt idx="0">
                  <c:v>0.37625555948226769</c:v>
                </c:pt>
                <c:pt idx="1">
                  <c:v>0.31857096390963552</c:v>
                </c:pt>
                <c:pt idx="2">
                  <c:v>0.30960815945758796</c:v>
                </c:pt>
                <c:pt idx="3">
                  <c:v>0.27515335351120046</c:v>
                </c:pt>
                <c:pt idx="4">
                  <c:v>0.26251212116733935</c:v>
                </c:pt>
                <c:pt idx="5">
                  <c:v>0.24715292766065086</c:v>
                </c:pt>
                <c:pt idx="6">
                  <c:v>0.22767768444475833</c:v>
                </c:pt>
                <c:pt idx="7">
                  <c:v>0.17688563256679585</c:v>
                </c:pt>
              </c:numCache>
            </c:numRef>
          </c:val>
          <c:smooth val="0"/>
          <c:extLst>
            <c:ext xmlns:c16="http://schemas.microsoft.com/office/drawing/2014/chart" uri="{C3380CC4-5D6E-409C-BE32-E72D297353CC}">
              <c16:uniqueId val="{00000000-B57B-4A75-AB78-9B2AF2C261AA}"/>
            </c:ext>
          </c:extLst>
        </c:ser>
        <c:dLbls>
          <c:showLegendKey val="0"/>
          <c:showVal val="0"/>
          <c:showCatName val="0"/>
          <c:showSerName val="0"/>
          <c:showPercent val="0"/>
          <c:showBubbleSize val="0"/>
        </c:dLbls>
        <c:marker val="1"/>
        <c:smooth val="0"/>
        <c:axId val="531455000"/>
        <c:axId val="921525360"/>
      </c:lineChart>
      <c:catAx>
        <c:axId val="531455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r>
                  <a:rPr lang="en-US" baseline="0"/>
                  <a:t> In Company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60000"/>
                <a:lumOff val="4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525360"/>
        <c:crosses val="autoZero"/>
        <c:auto val="1"/>
        <c:lblAlgn val="ctr"/>
        <c:lblOffset val="100"/>
        <c:noMultiLvlLbl val="0"/>
      </c:catAx>
      <c:valAx>
        <c:axId val="921525360"/>
        <c:scaling>
          <c:orientation val="minMax"/>
        </c:scaling>
        <c:delete val="1"/>
        <c:axPos val="l"/>
        <c:majorGridlines>
          <c:spPr>
            <a:ln w="9525" cap="flat" cmpd="sng" algn="ctr">
              <a:solidFill>
                <a:schemeClr val="tx2">
                  <a:lumMod val="60000"/>
                  <a:lumOff val="40000"/>
                </a:schemeClr>
              </a:solidFill>
              <a:round/>
            </a:ln>
            <a:effectLst/>
          </c:spPr>
        </c:majorGridlines>
        <c:numFmt formatCode="0%" sourceLinked="1"/>
        <c:majorTickMark val="none"/>
        <c:minorTickMark val="none"/>
        <c:tickLblPos val="nextTo"/>
        <c:crossAx val="531455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[Predictive_Attrition_Dashboard.xlsx]Pivot_Engine!Pivot_Income_Risk</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pivotFmt>
    </c:pivotFmts>
    <c:plotArea>
      <c:layout>
        <c:manualLayout>
          <c:layoutTarget val="inner"/>
          <c:xMode val="edge"/>
          <c:yMode val="edge"/>
          <c:x val="2.6977046140117526E-2"/>
          <c:y val="9.461709721965246E-2"/>
          <c:w val="0.9630960209954943"/>
          <c:h val="0.68370802452621937"/>
        </c:manualLayout>
      </c:layout>
      <c:barChart>
        <c:barDir val="col"/>
        <c:grouping val="clustered"/>
        <c:varyColors val="0"/>
        <c:ser>
          <c:idx val="0"/>
          <c:order val="0"/>
          <c:tx>
            <c:strRef>
              <c:f>Pivot_Engine!$F$20</c:f>
              <c:strCache>
                <c:ptCount val="1"/>
                <c:pt idx="0">
                  <c:v>Total</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Pivot_Engine!$E$21:$E$29</c:f>
              <c:strCache>
                <c:ptCount val="8"/>
                <c:pt idx="0">
                  <c:v>1000-3499</c:v>
                </c:pt>
                <c:pt idx="1">
                  <c:v>3500-5999</c:v>
                </c:pt>
                <c:pt idx="2">
                  <c:v>6000-8499</c:v>
                </c:pt>
                <c:pt idx="3">
                  <c:v>8500-10999</c:v>
                </c:pt>
                <c:pt idx="4">
                  <c:v>11000-13499</c:v>
                </c:pt>
                <c:pt idx="5">
                  <c:v>13500-15999</c:v>
                </c:pt>
                <c:pt idx="6">
                  <c:v>16000-18499</c:v>
                </c:pt>
                <c:pt idx="7">
                  <c:v>18500-20999</c:v>
                </c:pt>
              </c:strCache>
            </c:strRef>
          </c:cat>
          <c:val>
            <c:numRef>
              <c:f>Pivot_Engine!$F$21:$F$29</c:f>
              <c:numCache>
                <c:formatCode>0%</c:formatCode>
                <c:ptCount val="8"/>
                <c:pt idx="0">
                  <c:v>0.43351002194999977</c:v>
                </c:pt>
                <c:pt idx="1">
                  <c:v>0.34933705180210212</c:v>
                </c:pt>
                <c:pt idx="2">
                  <c:v>0.19976633923226358</c:v>
                </c:pt>
                <c:pt idx="3">
                  <c:v>0.21801345585910029</c:v>
                </c:pt>
                <c:pt idx="4">
                  <c:v>0.2469756812947369</c:v>
                </c:pt>
                <c:pt idx="5">
                  <c:v>0.24931849236273415</c:v>
                </c:pt>
                <c:pt idx="6">
                  <c:v>0.19587375755241943</c:v>
                </c:pt>
                <c:pt idx="7">
                  <c:v>0.17578045204409048</c:v>
                </c:pt>
              </c:numCache>
            </c:numRef>
          </c:val>
          <c:extLst>
            <c:ext xmlns:c16="http://schemas.microsoft.com/office/drawing/2014/chart" uri="{C3380CC4-5D6E-409C-BE32-E72D297353CC}">
              <c16:uniqueId val="{00000000-C0B4-4B26-8759-AE5F9F661649}"/>
            </c:ext>
          </c:extLst>
        </c:ser>
        <c:dLbls>
          <c:showLegendKey val="0"/>
          <c:showVal val="0"/>
          <c:showCatName val="0"/>
          <c:showSerName val="0"/>
          <c:showPercent val="0"/>
          <c:showBubbleSize val="0"/>
        </c:dLbls>
        <c:gapWidth val="64"/>
        <c:overlap val="-28"/>
        <c:axId val="516472128"/>
        <c:axId val="516464928"/>
      </c:barChart>
      <c:catAx>
        <c:axId val="5164721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138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464928"/>
        <c:crosses val="autoZero"/>
        <c:auto val="1"/>
        <c:lblAlgn val="ctr"/>
        <c:lblOffset val="100"/>
        <c:noMultiLvlLbl val="0"/>
      </c:catAx>
      <c:valAx>
        <c:axId val="516464928"/>
        <c:scaling>
          <c:orientation val="minMax"/>
        </c:scaling>
        <c:delete val="1"/>
        <c:axPos val="l"/>
        <c:majorGridlines>
          <c:spPr>
            <a:ln w="9525" cap="flat" cmpd="sng" algn="ctr">
              <a:solidFill>
                <a:schemeClr val="tx2">
                  <a:lumMod val="60000"/>
                  <a:lumOff val="40000"/>
                </a:schemeClr>
              </a:solidFill>
              <a:round/>
            </a:ln>
            <a:effectLst/>
          </c:spPr>
        </c:majorGridlines>
        <c:numFmt formatCode="0%" sourceLinked="1"/>
        <c:majorTickMark val="out"/>
        <c:minorTickMark val="none"/>
        <c:tickLblPos val="nextTo"/>
        <c:crossAx val="51647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[Predictive_Attrition_Dashboard.xlsx]Pivot_Engine!Pivot_Risk_Check</c:name>
    <c:fmtId val="43"/>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3333"/>
          </a:solidFill>
          <a:ln w="19050">
            <a:solidFill>
              <a:schemeClr val="tx1">
                <a:lumMod val="65000"/>
                <a:lumOff val="35000"/>
              </a:schemeClr>
            </a:solidFill>
          </a:ln>
          <a:effectLst/>
        </c:spPr>
      </c:pivotFmt>
      <c:pivotFmt>
        <c:idx val="14"/>
        <c:spPr>
          <a:solidFill>
            <a:schemeClr val="accent1"/>
          </a:solidFill>
          <a:ln w="19050">
            <a:solidFill>
              <a:schemeClr val="tx1">
                <a:lumMod val="65000"/>
                <a:lumOff val="35000"/>
              </a:schemeClr>
            </a:solidFill>
          </a:ln>
          <a:effectLst/>
        </c:spPr>
      </c:pivotFmt>
      <c:pivotFmt>
        <c:idx val="15"/>
        <c:spPr>
          <a:solidFill>
            <a:schemeClr val="accent6">
              <a:lumMod val="60000"/>
              <a:lumOff val="40000"/>
            </a:schemeClr>
          </a:solidFill>
          <a:ln w="19050">
            <a:solidFill>
              <a:schemeClr val="tx1">
                <a:lumMod val="65000"/>
                <a:lumOff val="35000"/>
              </a:schemeClr>
            </a:solidFill>
          </a:ln>
          <a:effectLst/>
        </c:spPr>
      </c:pivotFmt>
      <c:pivotFmt>
        <c:idx val="16"/>
        <c:spPr>
          <a:solidFill>
            <a:schemeClr val="accent4">
              <a:lumMod val="60000"/>
              <a:lumOff val="40000"/>
            </a:schemeClr>
          </a:solidFill>
          <a:ln w="19050">
            <a:solidFill>
              <a:schemeClr val="tx1">
                <a:lumMod val="65000"/>
                <a:lumOff val="35000"/>
              </a:schemeClr>
            </a:solidFill>
          </a:ln>
          <a:effectLst/>
        </c:spPr>
      </c:pivotFmt>
      <c:pivotFmt>
        <c:idx val="1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8"/>
        <c:spPr>
          <a:solidFill>
            <a:srgbClr val="FF3333"/>
          </a:solidFill>
          <a:ln w="19050">
            <a:solidFill>
              <a:schemeClr val="tx1">
                <a:lumMod val="65000"/>
                <a:lumOff val="35000"/>
              </a:schemeClr>
            </a:solidFill>
          </a:ln>
          <a:effectLst/>
        </c:spPr>
        <c:dLbl>
          <c:idx val="0"/>
          <c:layout>
            <c:manualLayout>
              <c:x val="4.7161788701817919E-2"/>
              <c:y val="-7.2363376480030481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tx1">
                <a:lumMod val="65000"/>
                <a:lumOff val="35000"/>
              </a:schemeClr>
            </a:solidFill>
          </a:ln>
          <a:effectLst/>
        </c:spPr>
        <c:dLbl>
          <c:idx val="0"/>
          <c:layout>
            <c:manualLayout>
              <c:x val="8.960739853345405E-2"/>
              <c:y val="2.3259656725724082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3504759627132215"/>
                  <c:h val="0.14457168858188946"/>
                </c:manualLayout>
              </c15:layout>
            </c:ext>
          </c:extLst>
        </c:dLbl>
      </c:pivotFmt>
      <c:pivotFmt>
        <c:idx val="20"/>
        <c:spPr>
          <a:solidFill>
            <a:schemeClr val="accent6">
              <a:lumMod val="60000"/>
              <a:lumOff val="40000"/>
            </a:schemeClr>
          </a:solidFill>
          <a:ln w="19050">
            <a:solidFill>
              <a:schemeClr val="tx1">
                <a:lumMod val="65000"/>
                <a:lumOff val="35000"/>
              </a:schemeClr>
            </a:solidFill>
          </a:ln>
          <a:effectLst/>
        </c:spPr>
        <c:dLbl>
          <c:idx val="0"/>
          <c:layout>
            <c:manualLayout>
              <c:x val="-7.0742683052726921E-2"/>
              <c:y val="-4.6519313451448177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4">
              <a:lumMod val="60000"/>
              <a:lumOff val="40000"/>
            </a:schemeClr>
          </a:solidFill>
          <a:ln w="19050">
            <a:solidFill>
              <a:schemeClr val="tx1">
                <a:lumMod val="65000"/>
                <a:lumOff val="35000"/>
              </a:schemeClr>
            </a:solidFill>
          </a:ln>
          <a:effectLst/>
        </c:spPr>
        <c:dLbl>
          <c:idx val="0"/>
          <c:layout>
            <c:manualLayout>
              <c:x val="-8.489121966327226E-2"/>
              <c:y val="8.270100169146329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Pivot_Engine!$J$1</c:f>
              <c:strCache>
                <c:ptCount val="1"/>
                <c:pt idx="0">
                  <c:v>Count of EmployeeID</c:v>
                </c:pt>
              </c:strCache>
            </c:strRef>
          </c:tx>
          <c:spPr>
            <a:ln>
              <a:noFill/>
            </a:ln>
          </c:spPr>
          <c:dPt>
            <c:idx val="0"/>
            <c:bubble3D val="0"/>
            <c:spPr>
              <a:solidFill>
                <a:srgbClr val="FF3333"/>
              </a:solidFill>
              <a:ln w="19050">
                <a:solidFill>
                  <a:schemeClr val="tx1">
                    <a:lumMod val="65000"/>
                    <a:lumOff val="35000"/>
                  </a:schemeClr>
                </a:solidFill>
              </a:ln>
              <a:effectLst/>
            </c:spPr>
            <c:extLst>
              <c:ext xmlns:c16="http://schemas.microsoft.com/office/drawing/2014/chart" uri="{C3380CC4-5D6E-409C-BE32-E72D297353CC}">
                <c16:uniqueId val="{00000001-CD77-4791-AE9E-D8D53FAB7737}"/>
              </c:ext>
            </c:extLst>
          </c:dPt>
          <c:dPt>
            <c:idx val="1"/>
            <c:bubble3D val="0"/>
            <c:spPr>
              <a:solidFill>
                <a:schemeClr val="accent2"/>
              </a:solidFill>
              <a:ln w="19050">
                <a:solidFill>
                  <a:schemeClr val="tx1">
                    <a:lumMod val="65000"/>
                    <a:lumOff val="35000"/>
                  </a:schemeClr>
                </a:solidFill>
              </a:ln>
              <a:effectLst/>
            </c:spPr>
            <c:extLst>
              <c:ext xmlns:c16="http://schemas.microsoft.com/office/drawing/2014/chart" uri="{C3380CC4-5D6E-409C-BE32-E72D297353CC}">
                <c16:uniqueId val="{00000003-CD77-4791-AE9E-D8D53FAB7737}"/>
              </c:ext>
            </c:extLst>
          </c:dPt>
          <c:dPt>
            <c:idx val="2"/>
            <c:bubble3D val="0"/>
            <c:spPr>
              <a:solidFill>
                <a:schemeClr val="accent4">
                  <a:lumMod val="60000"/>
                  <a:lumOff val="40000"/>
                </a:schemeClr>
              </a:solidFill>
              <a:ln w="19050">
                <a:solidFill>
                  <a:schemeClr val="tx1">
                    <a:lumMod val="65000"/>
                    <a:lumOff val="35000"/>
                  </a:schemeClr>
                </a:solidFill>
              </a:ln>
              <a:effectLst/>
            </c:spPr>
            <c:extLst>
              <c:ext xmlns:c16="http://schemas.microsoft.com/office/drawing/2014/chart" uri="{C3380CC4-5D6E-409C-BE32-E72D297353CC}">
                <c16:uniqueId val="{00000005-CD77-4791-AE9E-D8D53FAB7737}"/>
              </c:ext>
            </c:extLst>
          </c:dPt>
          <c:dPt>
            <c:idx val="3"/>
            <c:bubble3D val="0"/>
            <c:spPr>
              <a:solidFill>
                <a:schemeClr val="accent6">
                  <a:lumMod val="60000"/>
                  <a:lumOff val="40000"/>
                </a:schemeClr>
              </a:solidFill>
              <a:ln w="19050">
                <a:solidFill>
                  <a:schemeClr val="tx1">
                    <a:lumMod val="65000"/>
                    <a:lumOff val="35000"/>
                  </a:schemeClr>
                </a:solidFill>
              </a:ln>
              <a:effectLst/>
            </c:spPr>
            <c:extLst>
              <c:ext xmlns:c16="http://schemas.microsoft.com/office/drawing/2014/chart" uri="{C3380CC4-5D6E-409C-BE32-E72D297353CC}">
                <c16:uniqueId val="{00000007-CD77-4791-AE9E-D8D53FAB7737}"/>
              </c:ext>
            </c:extLst>
          </c:dPt>
          <c:cat>
            <c:strRef>
              <c:f>Pivot_Engine!$I$2:$I$6</c:f>
              <c:strCache>
                <c:ptCount val="4"/>
                <c:pt idx="0">
                  <c:v>Critical</c:v>
                </c:pt>
                <c:pt idx="1">
                  <c:v>High</c:v>
                </c:pt>
                <c:pt idx="2">
                  <c:v>Medium</c:v>
                </c:pt>
                <c:pt idx="3">
                  <c:v>Low</c:v>
                </c:pt>
              </c:strCache>
            </c:strRef>
          </c:cat>
          <c:val>
            <c:numRef>
              <c:f>Pivot_Engine!$J$2:$J$6</c:f>
              <c:numCache>
                <c:formatCode>General</c:formatCode>
                <c:ptCount val="4"/>
                <c:pt idx="0">
                  <c:v>40</c:v>
                </c:pt>
                <c:pt idx="1">
                  <c:v>276</c:v>
                </c:pt>
                <c:pt idx="2">
                  <c:v>516</c:v>
                </c:pt>
                <c:pt idx="3">
                  <c:v>638</c:v>
                </c:pt>
              </c:numCache>
            </c:numRef>
          </c:val>
          <c:extLst>
            <c:ext xmlns:c16="http://schemas.microsoft.com/office/drawing/2014/chart" uri="{C3380CC4-5D6E-409C-BE32-E72D297353CC}">
              <c16:uniqueId val="{00000008-CD77-4791-AE9E-D8D53FAB7737}"/>
            </c:ext>
          </c:extLst>
        </c:ser>
        <c:ser>
          <c:idx val="1"/>
          <c:order val="1"/>
          <c:tx>
            <c:strRef>
              <c:f>Pivot_Engine!$K$1</c:f>
              <c:strCache>
                <c:ptCount val="1"/>
                <c:pt idx="0">
                  <c:v>Sum of Attrition</c:v>
                </c:pt>
              </c:strCache>
            </c:strRef>
          </c:tx>
          <c:spPr>
            <a:ln>
              <a:noFill/>
            </a:ln>
          </c:spPr>
          <c:dPt>
            <c:idx val="0"/>
            <c:bubble3D val="0"/>
            <c:spPr>
              <a:solidFill>
                <a:srgbClr val="FF3333"/>
              </a:solidFill>
              <a:ln w="19050">
                <a:solidFill>
                  <a:schemeClr val="tx1">
                    <a:lumMod val="65000"/>
                    <a:lumOff val="35000"/>
                  </a:schemeClr>
                </a:solidFill>
              </a:ln>
              <a:effectLst/>
            </c:spPr>
            <c:extLst>
              <c:ext xmlns:c16="http://schemas.microsoft.com/office/drawing/2014/chart" uri="{C3380CC4-5D6E-409C-BE32-E72D297353CC}">
                <c16:uniqueId val="{0000000A-CD77-4791-AE9E-D8D53FAB7737}"/>
              </c:ext>
            </c:extLst>
          </c:dPt>
          <c:dPt>
            <c:idx val="1"/>
            <c:bubble3D val="0"/>
            <c:spPr>
              <a:solidFill>
                <a:schemeClr val="accent2"/>
              </a:solidFill>
              <a:ln w="19050">
                <a:solidFill>
                  <a:schemeClr val="tx1">
                    <a:lumMod val="65000"/>
                    <a:lumOff val="35000"/>
                  </a:schemeClr>
                </a:solidFill>
              </a:ln>
              <a:effectLst/>
            </c:spPr>
            <c:extLst>
              <c:ext xmlns:c16="http://schemas.microsoft.com/office/drawing/2014/chart" uri="{C3380CC4-5D6E-409C-BE32-E72D297353CC}">
                <c16:uniqueId val="{0000000C-CD77-4791-AE9E-D8D53FAB7737}"/>
              </c:ext>
            </c:extLst>
          </c:dPt>
          <c:dPt>
            <c:idx val="2"/>
            <c:bubble3D val="0"/>
            <c:spPr>
              <a:solidFill>
                <a:schemeClr val="accent4">
                  <a:lumMod val="60000"/>
                  <a:lumOff val="40000"/>
                </a:schemeClr>
              </a:solidFill>
              <a:ln w="19050">
                <a:solidFill>
                  <a:schemeClr val="tx1">
                    <a:lumMod val="65000"/>
                    <a:lumOff val="35000"/>
                  </a:schemeClr>
                </a:solidFill>
              </a:ln>
              <a:effectLst/>
            </c:spPr>
            <c:extLst>
              <c:ext xmlns:c16="http://schemas.microsoft.com/office/drawing/2014/chart" uri="{C3380CC4-5D6E-409C-BE32-E72D297353CC}">
                <c16:uniqueId val="{0000000E-CD77-4791-AE9E-D8D53FAB7737}"/>
              </c:ext>
            </c:extLst>
          </c:dPt>
          <c:dPt>
            <c:idx val="3"/>
            <c:bubble3D val="0"/>
            <c:spPr>
              <a:solidFill>
                <a:schemeClr val="accent6">
                  <a:lumMod val="60000"/>
                  <a:lumOff val="40000"/>
                </a:schemeClr>
              </a:solidFill>
              <a:ln w="19050">
                <a:solidFill>
                  <a:schemeClr val="tx1">
                    <a:lumMod val="65000"/>
                    <a:lumOff val="35000"/>
                  </a:schemeClr>
                </a:solidFill>
              </a:ln>
              <a:effectLst/>
            </c:spPr>
            <c:extLst>
              <c:ext xmlns:c16="http://schemas.microsoft.com/office/drawing/2014/chart" uri="{C3380CC4-5D6E-409C-BE32-E72D297353CC}">
                <c16:uniqueId val="{00000010-CD77-4791-AE9E-D8D53FAB7737}"/>
              </c:ext>
            </c:extLst>
          </c:dPt>
          <c:dLbls>
            <c:dLbl>
              <c:idx val="0"/>
              <c:layout>
                <c:manualLayout>
                  <c:x val="4.7161788701817919E-2"/>
                  <c:y val="-7.236337648003048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A-CD77-4791-AE9E-D8D53FAB7737}"/>
                </c:ext>
              </c:extLst>
            </c:dLbl>
            <c:dLbl>
              <c:idx val="1"/>
              <c:layout>
                <c:manualLayout>
                  <c:x val="8.960739853345405E-2"/>
                  <c:y val="2.3259656725724082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3504759627132215"/>
                      <c:h val="0.14457168858188946"/>
                    </c:manualLayout>
                  </c15:layout>
                </c:ext>
                <c:ext xmlns:c16="http://schemas.microsoft.com/office/drawing/2014/chart" uri="{C3380CC4-5D6E-409C-BE32-E72D297353CC}">
                  <c16:uniqueId val="{0000000C-CD77-4791-AE9E-D8D53FAB7737}"/>
                </c:ext>
              </c:extLst>
            </c:dLbl>
            <c:dLbl>
              <c:idx val="2"/>
              <c:layout>
                <c:manualLayout>
                  <c:x val="-8.489121966327226E-2"/>
                  <c:y val="8.270100169146329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E-CD77-4791-AE9E-D8D53FAB7737}"/>
                </c:ext>
              </c:extLst>
            </c:dLbl>
            <c:dLbl>
              <c:idx val="3"/>
              <c:layout>
                <c:manualLayout>
                  <c:x val="-7.0742683052726921E-2"/>
                  <c:y val="-4.651931345144817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0-CD77-4791-AE9E-D8D53FAB7737}"/>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Pivot_Engine!$I$2:$I$6</c:f>
              <c:strCache>
                <c:ptCount val="4"/>
                <c:pt idx="0">
                  <c:v>Critical</c:v>
                </c:pt>
                <c:pt idx="1">
                  <c:v>High</c:v>
                </c:pt>
                <c:pt idx="2">
                  <c:v>Medium</c:v>
                </c:pt>
                <c:pt idx="3">
                  <c:v>Low</c:v>
                </c:pt>
              </c:strCache>
            </c:strRef>
          </c:cat>
          <c:val>
            <c:numRef>
              <c:f>Pivot_Engine!$K$2:$K$6</c:f>
              <c:numCache>
                <c:formatCode>General</c:formatCode>
                <c:ptCount val="4"/>
                <c:pt idx="0">
                  <c:v>26</c:v>
                </c:pt>
                <c:pt idx="1">
                  <c:v>88</c:v>
                </c:pt>
                <c:pt idx="2">
                  <c:v>79</c:v>
                </c:pt>
                <c:pt idx="3">
                  <c:v>44</c:v>
                </c:pt>
              </c:numCache>
            </c:numRef>
          </c:val>
          <c:extLst>
            <c:ext xmlns:c16="http://schemas.microsoft.com/office/drawing/2014/chart" uri="{C3380CC4-5D6E-409C-BE32-E72D297353CC}">
              <c16:uniqueId val="{00000011-CD77-4791-AE9E-D8D53FAB773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image" Target="../media/image3.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image" Target="../media/image1.emf"/><Relationship Id="rId4" Type="http://schemas.openxmlformats.org/officeDocument/2006/relationships/chart" Target="../charts/chart4.xml"/><Relationship Id="rId9"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12</xdr:col>
      <xdr:colOff>21649</xdr:colOff>
      <xdr:row>6</xdr:row>
      <xdr:rowOff>198783</xdr:rowOff>
    </xdr:from>
    <xdr:to>
      <xdr:col>42</xdr:col>
      <xdr:colOff>136072</xdr:colOff>
      <xdr:row>19</xdr:row>
      <xdr:rowOff>9070</xdr:rowOff>
    </xdr:to>
    <xdr:graphicFrame macro="">
      <xdr:nvGraphicFramePr>
        <xdr:cNvPr id="3" name="Chart 2">
          <a:extLst>
            <a:ext uri="{FF2B5EF4-FFF2-40B4-BE49-F238E27FC236}">
              <a16:creationId xmlns:a16="http://schemas.microsoft.com/office/drawing/2014/main" id="{178B2923-82DF-42D3-9492-3E04D2B296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39649</xdr:colOff>
      <xdr:row>21</xdr:row>
      <xdr:rowOff>22539</xdr:rowOff>
    </xdr:from>
    <xdr:to>
      <xdr:col>47</xdr:col>
      <xdr:colOff>72572</xdr:colOff>
      <xdr:row>31</xdr:row>
      <xdr:rowOff>200279</xdr:rowOff>
    </xdr:to>
    <xdr:graphicFrame macro="">
      <xdr:nvGraphicFramePr>
        <xdr:cNvPr id="4" name="Chart 3">
          <a:extLst>
            <a:ext uri="{FF2B5EF4-FFF2-40B4-BE49-F238E27FC236}">
              <a16:creationId xmlns:a16="http://schemas.microsoft.com/office/drawing/2014/main" id="{1CD9BFEE-F917-4ED1-8503-A771D5BE5B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51</xdr:col>
      <xdr:colOff>172358</xdr:colOff>
      <xdr:row>21</xdr:row>
      <xdr:rowOff>9072</xdr:rowOff>
    </xdr:from>
    <xdr:to>
      <xdr:col>67</xdr:col>
      <xdr:colOff>916215</xdr:colOff>
      <xdr:row>31</xdr:row>
      <xdr:rowOff>154214</xdr:rowOff>
    </xdr:to>
    <xdr:graphicFrame macro="">
      <xdr:nvGraphicFramePr>
        <xdr:cNvPr id="5" name="Chart 4">
          <a:extLst>
            <a:ext uri="{FF2B5EF4-FFF2-40B4-BE49-F238E27FC236}">
              <a16:creationId xmlns:a16="http://schemas.microsoft.com/office/drawing/2014/main" id="{1C92D41E-330D-4DF9-A037-6388A685CF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46</xdr:col>
      <xdr:colOff>55828</xdr:colOff>
      <xdr:row>7</xdr:row>
      <xdr:rowOff>69083</xdr:rowOff>
    </xdr:from>
    <xdr:to>
      <xdr:col>60</xdr:col>
      <xdr:colOff>133980</xdr:colOff>
      <xdr:row>19</xdr:row>
      <xdr:rowOff>9072</xdr:rowOff>
    </xdr:to>
    <xdr:graphicFrame macro="">
      <xdr:nvGraphicFramePr>
        <xdr:cNvPr id="18" name="Chart 17">
          <a:extLst>
            <a:ext uri="{FF2B5EF4-FFF2-40B4-BE49-F238E27FC236}">
              <a16:creationId xmlns:a16="http://schemas.microsoft.com/office/drawing/2014/main" id="{85B1B529-3946-4004-964E-F039A96CEF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xdr:colOff>
      <xdr:row>5</xdr:row>
      <xdr:rowOff>54862</xdr:rowOff>
    </xdr:from>
    <xdr:to>
      <xdr:col>10</xdr:col>
      <xdr:colOff>1117600</xdr:colOff>
      <xdr:row>9</xdr:row>
      <xdr:rowOff>190500</xdr:rowOff>
    </xdr:to>
    <mc:AlternateContent xmlns:mc="http://schemas.openxmlformats.org/markup-compatibility/2006" xmlns:a14="http://schemas.microsoft.com/office/drawing/2010/main">
      <mc:Choice Requires="a14">
        <xdr:graphicFrame macro="">
          <xdr:nvGraphicFramePr>
            <xdr:cNvPr id="20" name="Risk_Category">
              <a:extLst>
                <a:ext uri="{FF2B5EF4-FFF2-40B4-BE49-F238E27FC236}">
                  <a16:creationId xmlns:a16="http://schemas.microsoft.com/office/drawing/2014/main" id="{B0C07E08-7CF3-0DA4-3917-2CC1AF176B6F}"/>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isk_Category"/>
            </a:graphicData>
          </a:graphic>
        </xdr:graphicFrame>
      </mc:Choice>
      <mc:Fallback xmlns="">
        <xdr:sp macro="" textlink="">
          <xdr:nvSpPr>
            <xdr:cNvPr id="0" name=""/>
            <xdr:cNvSpPr>
              <a:spLocks noTextEdit="1"/>
            </xdr:cNvSpPr>
          </xdr:nvSpPr>
          <xdr:spPr>
            <a:xfrm>
              <a:off x="1" y="1585212"/>
              <a:ext cx="2959099" cy="9801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37028</xdr:rowOff>
    </xdr:from>
    <xdr:to>
      <xdr:col>10</xdr:col>
      <xdr:colOff>1104900</xdr:colOff>
      <xdr:row>19</xdr:row>
      <xdr:rowOff>43624</xdr:rowOff>
    </xdr:to>
    <mc:AlternateContent xmlns:mc="http://schemas.openxmlformats.org/markup-compatibility/2006" xmlns:a14="http://schemas.microsoft.com/office/drawing/2010/main">
      <mc:Choice Requires="a14">
        <xdr:graphicFrame macro="">
          <xdr:nvGraphicFramePr>
            <xdr:cNvPr id="22" name="Department">
              <a:extLst>
                <a:ext uri="{FF2B5EF4-FFF2-40B4-BE49-F238E27FC236}">
                  <a16:creationId xmlns:a16="http://schemas.microsoft.com/office/drawing/2014/main" id="{09AB4877-1300-4781-8339-F76F46FFC56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0" y="3250128"/>
              <a:ext cx="2946400" cy="12702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185411</xdr:rowOff>
    </xdr:from>
    <xdr:to>
      <xdr:col>10</xdr:col>
      <xdr:colOff>1142999</xdr:colOff>
      <xdr:row>24</xdr:row>
      <xdr:rowOff>190500</xdr:rowOff>
    </xdr:to>
    <mc:AlternateContent xmlns:mc="http://schemas.openxmlformats.org/markup-compatibility/2006" xmlns:a14="http://schemas.microsoft.com/office/drawing/2010/main">
      <mc:Choice Requires="a14">
        <xdr:graphicFrame macro="">
          <xdr:nvGraphicFramePr>
            <xdr:cNvPr id="23" name="EducationField">
              <a:extLst>
                <a:ext uri="{FF2B5EF4-FFF2-40B4-BE49-F238E27FC236}">
                  <a16:creationId xmlns:a16="http://schemas.microsoft.com/office/drawing/2014/main" id="{0C0B7513-3BA4-473D-86A8-AA95542522C1}"/>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mlns="">
        <xdr:sp macro="" textlink="">
          <xdr:nvSpPr>
            <xdr:cNvPr id="0" name=""/>
            <xdr:cNvSpPr>
              <a:spLocks noTextEdit="1"/>
            </xdr:cNvSpPr>
          </xdr:nvSpPr>
          <xdr:spPr>
            <a:xfrm>
              <a:off x="0" y="4452611"/>
              <a:ext cx="2984499" cy="12741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9</xdr:row>
      <xdr:rowOff>128136</xdr:rowOff>
    </xdr:from>
    <xdr:to>
      <xdr:col>7</xdr:col>
      <xdr:colOff>136071</xdr:colOff>
      <xdr:row>12</xdr:row>
      <xdr:rowOff>181429</xdr:rowOff>
    </xdr:to>
    <mc:AlternateContent xmlns:mc="http://schemas.openxmlformats.org/markup-compatibility/2006" xmlns:a14="http://schemas.microsoft.com/office/drawing/2010/main">
      <mc:Choice Requires="a14">
        <xdr:graphicFrame macro="">
          <xdr:nvGraphicFramePr>
            <xdr:cNvPr id="24" name="Gender">
              <a:extLst>
                <a:ext uri="{FF2B5EF4-FFF2-40B4-BE49-F238E27FC236}">
                  <a16:creationId xmlns:a16="http://schemas.microsoft.com/office/drawing/2014/main" id="{5B89155C-F182-43EA-AE0F-F91FBE70401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 y="2503036"/>
              <a:ext cx="1425120" cy="6819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88900</xdr:colOff>
      <xdr:row>9</xdr:row>
      <xdr:rowOff>119495</xdr:rowOff>
    </xdr:from>
    <xdr:to>
      <xdr:col>10</xdr:col>
      <xdr:colOff>1125762</xdr:colOff>
      <xdr:row>12</xdr:row>
      <xdr:rowOff>156688</xdr:rowOff>
    </xdr:to>
    <mc:AlternateContent xmlns:mc="http://schemas.openxmlformats.org/markup-compatibility/2006" xmlns:a14="http://schemas.microsoft.com/office/drawing/2010/main">
      <mc:Choice Requires="a14">
        <xdr:graphicFrame macro="">
          <xdr:nvGraphicFramePr>
            <xdr:cNvPr id="26" name="OverTime">
              <a:extLst>
                <a:ext uri="{FF2B5EF4-FFF2-40B4-BE49-F238E27FC236}">
                  <a16:creationId xmlns:a16="http://schemas.microsoft.com/office/drawing/2014/main" id="{665E1FFF-58E2-F8FC-DC37-D0D91A15982C}"/>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1562100" y="2494395"/>
              <a:ext cx="1405162" cy="6658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49</xdr:col>
      <xdr:colOff>71395</xdr:colOff>
      <xdr:row>11</xdr:row>
      <xdr:rowOff>44886</xdr:rowOff>
    </xdr:from>
    <xdr:to>
      <xdr:col>57</xdr:col>
      <xdr:colOff>39196</xdr:colOff>
      <xdr:row>14</xdr:row>
      <xdr:rowOff>91391</xdr:rowOff>
    </xdr:to>
    <xdr:sp macro="" textlink="Pivot_Engine!J16">
      <xdr:nvSpPr>
        <xdr:cNvPr id="13" name="TextBox 12">
          <a:extLst>
            <a:ext uri="{FF2B5EF4-FFF2-40B4-BE49-F238E27FC236}">
              <a16:creationId xmlns:a16="http://schemas.microsoft.com/office/drawing/2014/main" id="{9B299B57-9E9F-D8F3-936A-B4DE54EF49D6}"/>
            </a:ext>
          </a:extLst>
        </xdr:cNvPr>
        <xdr:cNvSpPr txBox="1"/>
      </xdr:nvSpPr>
      <xdr:spPr>
        <a:xfrm>
          <a:off x="8970466" y="2847957"/>
          <a:ext cx="1546230" cy="681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869E871-1F82-4A45-B4C6-CE8E1045A025}" type="TxLink">
            <a:rPr lang="en-US" sz="1600" b="1" i="0" u="none" strike="noStrike">
              <a:solidFill>
                <a:srgbClr val="000000"/>
              </a:solidFill>
              <a:latin typeface="Calibri"/>
              <a:ea typeface="Calibri"/>
              <a:cs typeface="Calibri"/>
            </a:rPr>
            <a:pPr algn="ctr"/>
            <a:t>114
Total At-Risk</a:t>
          </a:fld>
          <a:endParaRPr lang="en-US" sz="1600" b="1" i="0">
            <a:latin typeface="Segoe UI" panose="020B0502040204020203" pitchFamily="34" charset="0"/>
            <a:cs typeface="Segoe UI" panose="020B0502040204020203" pitchFamily="34" charset="0"/>
          </a:endParaRPr>
        </a:p>
      </xdr:txBody>
    </xdr:sp>
    <xdr:clientData/>
  </xdr:twoCellAnchor>
  <xdr:twoCellAnchor>
    <xdr:from>
      <xdr:col>12</xdr:col>
      <xdr:colOff>63499</xdr:colOff>
      <xdr:row>0</xdr:row>
      <xdr:rowOff>205664</xdr:rowOff>
    </xdr:from>
    <xdr:to>
      <xdr:col>25</xdr:col>
      <xdr:colOff>99787</xdr:colOff>
      <xdr:row>1</xdr:row>
      <xdr:rowOff>366784</xdr:rowOff>
    </xdr:to>
    <xdr:sp macro="" textlink="">
      <xdr:nvSpPr>
        <xdr:cNvPr id="27" name="TextBox 26">
          <a:extLst>
            <a:ext uri="{FF2B5EF4-FFF2-40B4-BE49-F238E27FC236}">
              <a16:creationId xmlns:a16="http://schemas.microsoft.com/office/drawing/2014/main" id="{1637CF90-A377-43BD-DD96-CBED07F7A573}"/>
            </a:ext>
          </a:extLst>
        </xdr:cNvPr>
        <xdr:cNvSpPr txBox="1"/>
      </xdr:nvSpPr>
      <xdr:spPr>
        <a:xfrm>
          <a:off x="3265713" y="205664"/>
          <a:ext cx="2394860" cy="369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lumMod val="95000"/>
                </a:schemeClr>
              </a:solidFill>
              <a:latin typeface="Segoe UI" panose="020B0502040204020203" pitchFamily="34" charset="0"/>
              <a:cs typeface="Segoe UI" panose="020B0502040204020203" pitchFamily="34" charset="0"/>
            </a:rPr>
            <a:t>TOTAL</a:t>
          </a:r>
          <a:r>
            <a:rPr lang="en-US" sz="1800" b="1" baseline="0">
              <a:solidFill>
                <a:schemeClr val="bg1">
                  <a:lumMod val="95000"/>
                </a:schemeClr>
              </a:solidFill>
              <a:latin typeface="Segoe UI" panose="020B0502040204020203" pitchFamily="34" charset="0"/>
              <a:cs typeface="Segoe UI" panose="020B0502040204020203" pitchFamily="34" charset="0"/>
            </a:rPr>
            <a:t> HEADCOUNT</a:t>
          </a:r>
          <a:endParaRPr lang="en-US" sz="1800" b="1">
            <a:solidFill>
              <a:schemeClr val="bg1">
                <a:lumMod val="95000"/>
              </a:schemeClr>
            </a:solidFill>
            <a:latin typeface="Segoe UI" panose="020B0502040204020203" pitchFamily="34" charset="0"/>
            <a:cs typeface="Segoe UI" panose="020B0502040204020203" pitchFamily="34" charset="0"/>
          </a:endParaRPr>
        </a:p>
      </xdr:txBody>
    </xdr:sp>
    <xdr:clientData/>
  </xdr:twoCellAnchor>
  <xdr:twoCellAnchor>
    <xdr:from>
      <xdr:col>28</xdr:col>
      <xdr:colOff>71454</xdr:colOff>
      <xdr:row>0</xdr:row>
      <xdr:rowOff>199572</xdr:rowOff>
    </xdr:from>
    <xdr:to>
      <xdr:col>39</xdr:col>
      <xdr:colOff>118513</xdr:colOff>
      <xdr:row>1</xdr:row>
      <xdr:rowOff>379300</xdr:rowOff>
    </xdr:to>
    <xdr:sp macro="" textlink="">
      <xdr:nvSpPr>
        <xdr:cNvPr id="28" name="TextBox 27">
          <a:extLst>
            <a:ext uri="{FF2B5EF4-FFF2-40B4-BE49-F238E27FC236}">
              <a16:creationId xmlns:a16="http://schemas.microsoft.com/office/drawing/2014/main" id="{E972D0D2-9A5D-9224-6099-5B28AE05FB0C}"/>
            </a:ext>
          </a:extLst>
        </xdr:cNvPr>
        <xdr:cNvSpPr txBox="1"/>
      </xdr:nvSpPr>
      <xdr:spPr>
        <a:xfrm>
          <a:off x="6167454" y="199572"/>
          <a:ext cx="2055247" cy="390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lumMod val="95000"/>
                </a:schemeClr>
              </a:solidFill>
              <a:latin typeface="Segoe UI" panose="020B0502040204020203" pitchFamily="34" charset="0"/>
              <a:cs typeface="Segoe UI" panose="020B0502040204020203" pitchFamily="34" charset="0"/>
            </a:rPr>
            <a:t>ATTRITION</a:t>
          </a:r>
          <a:r>
            <a:rPr lang="en-US" sz="1800" b="1" baseline="0">
              <a:solidFill>
                <a:schemeClr val="bg1">
                  <a:lumMod val="95000"/>
                </a:schemeClr>
              </a:solidFill>
              <a:latin typeface="Segoe UI" panose="020B0502040204020203" pitchFamily="34" charset="0"/>
              <a:cs typeface="Segoe UI" panose="020B0502040204020203" pitchFamily="34" charset="0"/>
            </a:rPr>
            <a:t> RATE</a:t>
          </a:r>
          <a:endParaRPr lang="en-US" sz="1800" b="1">
            <a:solidFill>
              <a:schemeClr val="bg1">
                <a:lumMod val="95000"/>
              </a:schemeClr>
            </a:solidFill>
            <a:latin typeface="Segoe UI" panose="020B0502040204020203" pitchFamily="34" charset="0"/>
            <a:cs typeface="Segoe UI" panose="020B0502040204020203" pitchFamily="34" charset="0"/>
          </a:endParaRPr>
        </a:p>
      </xdr:txBody>
    </xdr:sp>
    <xdr:clientData/>
  </xdr:twoCellAnchor>
  <xdr:twoCellAnchor>
    <xdr:from>
      <xdr:col>42</xdr:col>
      <xdr:colOff>21001</xdr:colOff>
      <xdr:row>1</xdr:row>
      <xdr:rowOff>1701</xdr:rowOff>
    </xdr:from>
    <xdr:to>
      <xdr:col>50</xdr:col>
      <xdr:colOff>176350</xdr:colOff>
      <xdr:row>1</xdr:row>
      <xdr:rowOff>366260</xdr:rowOff>
    </xdr:to>
    <xdr:sp macro="" textlink="">
      <xdr:nvSpPr>
        <xdr:cNvPr id="29" name="TextBox 28">
          <a:extLst>
            <a:ext uri="{FF2B5EF4-FFF2-40B4-BE49-F238E27FC236}">
              <a16:creationId xmlns:a16="http://schemas.microsoft.com/office/drawing/2014/main" id="{C8DC3FE8-B0A7-90C1-AC78-A653B4516114}"/>
            </a:ext>
          </a:extLst>
        </xdr:cNvPr>
        <xdr:cNvSpPr txBox="1"/>
      </xdr:nvSpPr>
      <xdr:spPr>
        <a:xfrm>
          <a:off x="8672876" y="212045"/>
          <a:ext cx="1615849" cy="36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lumMod val="95000"/>
                </a:schemeClr>
              </a:solidFill>
              <a:latin typeface="Segoe UI" panose="020B0502040204020203" pitchFamily="34" charset="0"/>
              <a:cs typeface="Segoe UI" panose="020B0502040204020203" pitchFamily="34" charset="0"/>
            </a:rPr>
            <a:t>RISK SCORE</a:t>
          </a:r>
        </a:p>
      </xdr:txBody>
    </xdr:sp>
    <xdr:clientData/>
  </xdr:twoCellAnchor>
  <xdr:twoCellAnchor>
    <xdr:from>
      <xdr:col>52</xdr:col>
      <xdr:colOff>174635</xdr:colOff>
      <xdr:row>0</xdr:row>
      <xdr:rowOff>205240</xdr:rowOff>
    </xdr:from>
    <xdr:to>
      <xdr:col>63</xdr:col>
      <xdr:colOff>218859</xdr:colOff>
      <xdr:row>1</xdr:row>
      <xdr:rowOff>368526</xdr:rowOff>
    </xdr:to>
    <xdr:sp macro="" textlink="">
      <xdr:nvSpPr>
        <xdr:cNvPr id="30" name="TextBox 29">
          <a:extLst>
            <a:ext uri="{FF2B5EF4-FFF2-40B4-BE49-F238E27FC236}">
              <a16:creationId xmlns:a16="http://schemas.microsoft.com/office/drawing/2014/main" id="{1412EC6C-175A-C8B1-CA44-86AD25D1CDAA}"/>
            </a:ext>
          </a:extLst>
        </xdr:cNvPr>
        <xdr:cNvSpPr txBox="1"/>
      </xdr:nvSpPr>
      <xdr:spPr>
        <a:xfrm>
          <a:off x="10779135" y="205240"/>
          <a:ext cx="2052412" cy="373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lumMod val="95000"/>
                </a:schemeClr>
              </a:solidFill>
              <a:latin typeface="Segoe UI" panose="020B0502040204020203" pitchFamily="34" charset="0"/>
              <a:cs typeface="Segoe UI" panose="020B0502040204020203" pitchFamily="34" charset="0"/>
            </a:rPr>
            <a:t>AT-RISK TALENT</a:t>
          </a:r>
        </a:p>
      </xdr:txBody>
    </xdr:sp>
    <xdr:clientData/>
  </xdr:twoCellAnchor>
  <xdr:twoCellAnchor>
    <xdr:from>
      <xdr:col>64</xdr:col>
      <xdr:colOff>488296</xdr:colOff>
      <xdr:row>0</xdr:row>
      <xdr:rowOff>144514</xdr:rowOff>
    </xdr:from>
    <xdr:to>
      <xdr:col>65</xdr:col>
      <xdr:colOff>1277510</xdr:colOff>
      <xdr:row>2</xdr:row>
      <xdr:rowOff>26273</xdr:rowOff>
    </xdr:to>
    <xdr:sp macro="" textlink="">
      <xdr:nvSpPr>
        <xdr:cNvPr id="31" name="TextBox 30">
          <a:extLst>
            <a:ext uri="{FF2B5EF4-FFF2-40B4-BE49-F238E27FC236}">
              <a16:creationId xmlns:a16="http://schemas.microsoft.com/office/drawing/2014/main" id="{0C1A69E8-1D3A-AB37-93E4-9F6A6E63DEB9}"/>
            </a:ext>
          </a:extLst>
        </xdr:cNvPr>
        <xdr:cNvSpPr txBox="1"/>
      </xdr:nvSpPr>
      <xdr:spPr>
        <a:xfrm>
          <a:off x="13429158" y="144514"/>
          <a:ext cx="1717628" cy="5036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lumMod val="95000"/>
                </a:schemeClr>
              </a:solidFill>
              <a:latin typeface="Segoe UI" panose="020B0502040204020203" pitchFamily="34" charset="0"/>
              <a:cs typeface="Segoe UI" panose="020B0502040204020203" pitchFamily="34" charset="0"/>
            </a:rPr>
            <a:t>RETENTION VALUE AT-RISK</a:t>
          </a:r>
        </a:p>
      </xdr:txBody>
    </xdr:sp>
    <xdr:clientData/>
  </xdr:twoCellAnchor>
  <xdr:twoCellAnchor>
    <xdr:from>
      <xdr:col>65</xdr:col>
      <xdr:colOff>1730139</xdr:colOff>
      <xdr:row>0</xdr:row>
      <xdr:rowOff>206454</xdr:rowOff>
    </xdr:from>
    <xdr:to>
      <xdr:col>68</xdr:col>
      <xdr:colOff>32218</xdr:colOff>
      <xdr:row>1</xdr:row>
      <xdr:rowOff>368176</xdr:rowOff>
    </xdr:to>
    <xdr:sp macro="" textlink="">
      <xdr:nvSpPr>
        <xdr:cNvPr id="1152" name="TextBox 1151">
          <a:extLst>
            <a:ext uri="{FF2B5EF4-FFF2-40B4-BE49-F238E27FC236}">
              <a16:creationId xmlns:a16="http://schemas.microsoft.com/office/drawing/2014/main" id="{9AAF707C-E678-338C-D253-636DA5DDBFF9}"/>
            </a:ext>
          </a:extLst>
        </xdr:cNvPr>
        <xdr:cNvSpPr txBox="1"/>
      </xdr:nvSpPr>
      <xdr:spPr>
        <a:xfrm>
          <a:off x="15599415" y="206454"/>
          <a:ext cx="1976320" cy="371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lumMod val="95000"/>
                </a:schemeClr>
              </a:solidFill>
              <a:latin typeface="Segoe UI" panose="020B0502040204020203" pitchFamily="34" charset="0"/>
              <a:cs typeface="Segoe UI" panose="020B0502040204020203" pitchFamily="34" charset="0"/>
            </a:rPr>
            <a:t>AVG MONTHLY</a:t>
          </a:r>
          <a:r>
            <a:rPr lang="en-US" sz="1200" b="1" baseline="0">
              <a:solidFill>
                <a:schemeClr val="bg1">
                  <a:lumMod val="95000"/>
                </a:schemeClr>
              </a:solidFill>
              <a:latin typeface="Segoe UI" panose="020B0502040204020203" pitchFamily="34" charset="0"/>
              <a:cs typeface="Segoe UI" panose="020B0502040204020203" pitchFamily="34" charset="0"/>
            </a:rPr>
            <a:t> SALARY</a:t>
          </a:r>
          <a:endParaRPr lang="en-US" sz="1200" b="1">
            <a:solidFill>
              <a:schemeClr val="bg1">
                <a:lumMod val="95000"/>
              </a:schemeClr>
            </a:solidFill>
            <a:latin typeface="Segoe UI" panose="020B0502040204020203" pitchFamily="34" charset="0"/>
            <a:cs typeface="Segoe UI" panose="020B0502040204020203"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63</xdr:col>
          <xdr:colOff>208643</xdr:colOff>
          <xdr:row>14</xdr:row>
          <xdr:rowOff>90715</xdr:rowOff>
        </xdr:from>
        <xdr:to>
          <xdr:col>68</xdr:col>
          <xdr:colOff>1</xdr:colOff>
          <xdr:row>19</xdr:row>
          <xdr:rowOff>6351</xdr:rowOff>
        </xdr:to>
        <xdr:pic>
          <xdr:nvPicPr>
            <xdr:cNvPr id="1240" name="Picture 14">
              <a:extLst>
                <a:ext uri="{FF2B5EF4-FFF2-40B4-BE49-F238E27FC236}">
                  <a16:creationId xmlns:a16="http://schemas.microsoft.com/office/drawing/2014/main" id="{528A6E2E-9015-B589-DBE6-319198E26B2F}"/>
                </a:ext>
              </a:extLst>
            </xdr:cNvPr>
            <xdr:cNvPicPr>
              <a:picLocks noChangeAspect="1" noChangeArrowheads="1"/>
              <a:extLst>
                <a:ext uri="{84589F7E-364E-4C9E-8A38-B11213B215E9}">
                  <a14:cameraTool cellRange="Pivot_Engine!$M$2:$Q$5" spid="_x0000_s1427"/>
                </a:ext>
              </a:extLst>
            </xdr:cNvPicPr>
          </xdr:nvPicPr>
          <xdr:blipFill>
            <a:blip xmlns:r="http://schemas.openxmlformats.org/officeDocument/2006/relationships" r:embed="rId5"/>
            <a:srcRect/>
            <a:stretch>
              <a:fillRect/>
            </a:stretch>
          </xdr:blipFill>
          <xdr:spPr bwMode="auto">
            <a:xfrm>
              <a:off x="12754429" y="3519715"/>
              <a:ext cx="4644571" cy="95885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15</xdr:col>
      <xdr:colOff>20601</xdr:colOff>
      <xdr:row>2</xdr:row>
      <xdr:rowOff>404503</xdr:rowOff>
    </xdr:from>
    <xdr:to>
      <xdr:col>17</xdr:col>
      <xdr:colOff>38775</xdr:colOff>
      <xdr:row>4</xdr:row>
      <xdr:rowOff>165789</xdr:rowOff>
    </xdr:to>
    <xdr:pic>
      <xdr:nvPicPr>
        <xdr:cNvPr id="6" name="Graphic 5" descr="Male profile with solid fill">
          <a:extLst>
            <a:ext uri="{FF2B5EF4-FFF2-40B4-BE49-F238E27FC236}">
              <a16:creationId xmlns:a16="http://schemas.microsoft.com/office/drawing/2014/main" id="{48391439-91BC-E479-D735-EF583407D33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769862" y="1061590"/>
          <a:ext cx="404696" cy="423895"/>
        </a:xfrm>
        <a:prstGeom prst="rect">
          <a:avLst/>
        </a:prstGeom>
      </xdr:spPr>
    </xdr:pic>
    <xdr:clientData/>
  </xdr:twoCellAnchor>
  <xdr:twoCellAnchor editAs="oneCell">
    <xdr:from>
      <xdr:col>18</xdr:col>
      <xdr:colOff>166017</xdr:colOff>
      <xdr:row>2</xdr:row>
      <xdr:rowOff>423381</xdr:rowOff>
    </xdr:from>
    <xdr:to>
      <xdr:col>21</xdr:col>
      <xdr:colOff>27459</xdr:colOff>
      <xdr:row>4</xdr:row>
      <xdr:rowOff>183504</xdr:rowOff>
    </xdr:to>
    <xdr:pic>
      <xdr:nvPicPr>
        <xdr:cNvPr id="8" name="Graphic 7" descr="Female Profile with solid fill">
          <a:extLst>
            <a:ext uri="{FF2B5EF4-FFF2-40B4-BE49-F238E27FC236}">
              <a16:creationId xmlns:a16="http://schemas.microsoft.com/office/drawing/2014/main" id="{6E88C44F-298A-94F4-53A8-C46B42DEBFD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655191" y="1080468"/>
          <a:ext cx="408094" cy="422732"/>
        </a:xfrm>
        <a:prstGeom prst="rect">
          <a:avLst/>
        </a:prstGeom>
      </xdr:spPr>
    </xdr:pic>
    <xdr:clientData/>
  </xdr:twoCellAnchor>
  <xdr:twoCellAnchor>
    <xdr:from>
      <xdr:col>18</xdr:col>
      <xdr:colOff>99390</xdr:colOff>
      <xdr:row>2</xdr:row>
      <xdr:rowOff>430696</xdr:rowOff>
    </xdr:from>
    <xdr:to>
      <xdr:col>18</xdr:col>
      <xdr:colOff>99390</xdr:colOff>
      <xdr:row>4</xdr:row>
      <xdr:rowOff>165652</xdr:rowOff>
    </xdr:to>
    <xdr:cxnSp macro="">
      <xdr:nvCxnSpPr>
        <xdr:cNvPr id="10" name="Straight Connector 9">
          <a:extLst>
            <a:ext uri="{FF2B5EF4-FFF2-40B4-BE49-F238E27FC236}">
              <a16:creationId xmlns:a16="http://schemas.microsoft.com/office/drawing/2014/main" id="{7FDB54C0-67A8-ECBD-F47F-A84BA871E475}"/>
            </a:ext>
          </a:extLst>
        </xdr:cNvPr>
        <xdr:cNvCxnSpPr/>
      </xdr:nvCxnSpPr>
      <xdr:spPr>
        <a:xfrm>
          <a:off x="4588564" y="1087783"/>
          <a:ext cx="0" cy="397565"/>
        </a:xfrm>
        <a:prstGeom prst="line">
          <a:avLst/>
        </a:prstGeom>
        <a:ln w="38100">
          <a:solidFill>
            <a:schemeClr val="bg1">
              <a:lumMod val="85000"/>
            </a:schemeClr>
          </a:solidFill>
        </a:ln>
      </xdr:spPr>
      <xdr:style>
        <a:lnRef idx="3">
          <a:schemeClr val="dk1"/>
        </a:lnRef>
        <a:fillRef idx="0">
          <a:schemeClr val="dk1"/>
        </a:fillRef>
        <a:effectRef idx="2">
          <a:schemeClr val="dk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18.719694444444" createdVersion="8" refreshedVersion="8" minRefreshableVersion="3" recordCount="1470" xr:uid="{68418780-06A2-4A8E-BAE7-ECD957A745A9}">
  <cacheSource type="worksheet">
    <worksheetSource name="tbl_HR_Data"/>
  </cacheSource>
  <cacheFields count="44">
    <cacheField name="EmployeeID" numFmtId="0">
      <sharedItems count="1470">
        <s v="EMP-100844"/>
        <s v="EMP-100039"/>
        <s v="EMP-100022"/>
        <s v="EMP-100661"/>
        <s v="EMP-100474"/>
        <s v="EMP-101433"/>
        <s v="EMP-101255"/>
        <s v="EMP-101094"/>
        <s v="EMP-100598"/>
        <s v="EMP-100494"/>
        <s v="EMP-100740"/>
        <s v="EMP-100694"/>
        <s v="EMP-100043"/>
        <s v="EMP-100387"/>
        <s v="EMP-100391"/>
        <s v="EMP-100326"/>
        <s v="EMP-100150"/>
        <s v="EMP-100617"/>
        <s v="EMP-100110"/>
        <s v="EMP-100042"/>
        <s v="EMP-100559"/>
        <s v="EMP-100044"/>
        <s v="EMP-101354"/>
        <s v="EMP-100081"/>
        <s v="EMP-100264"/>
        <s v="EMP-100102"/>
        <s v="EMP-100097"/>
        <s v="EMP-100049"/>
        <s v="EMP-100310"/>
        <s v="EMP-100584"/>
        <s v="EMP-100338"/>
        <s v="EMP-100654"/>
        <s v="EMP-100947"/>
        <s v="EMP-100711"/>
        <s v="EMP-100890"/>
        <s v="EMP-100182"/>
        <s v="EMP-100185"/>
        <s v="EMP-100948"/>
        <s v="EMP-100832"/>
        <s v="EMP-100563"/>
        <s v="EMP-101153"/>
        <s v="EMP-100388"/>
        <s v="EMP-100375"/>
        <s v="EMP-101392"/>
        <s v="EMP-100138"/>
        <s v="EMP-101066"/>
        <s v="EMP-100677"/>
        <s v="EMP-101199"/>
        <s v="EMP-100813"/>
        <s v="EMP-100573"/>
        <s v="EMP-100850"/>
        <s v="EMP-101190"/>
        <s v="EMP-100107"/>
        <s v="EMP-101239"/>
        <s v="EMP-100021"/>
        <s v="EMP-100795"/>
        <s v="EMP-100851"/>
        <s v="EMP-100284"/>
        <s v="EMP-100944"/>
        <s v="EMP-101053"/>
        <s v="EMP-101202"/>
        <s v="EMP-101307"/>
        <s v="EMP-100395"/>
        <s v="EMP-100091"/>
        <s v="EMP-100390"/>
        <s v="EMP-100193"/>
        <s v="EMP-100600"/>
        <s v="EMP-100509"/>
        <s v="EMP-100854"/>
        <s v="EMP-100804"/>
        <s v="EMP-101319"/>
        <s v="EMP-101145"/>
        <s v="EMP-100126"/>
        <s v="EMP-100359"/>
        <s v="EMP-101405"/>
        <s v="EMP-100550"/>
        <s v="EMP-101060"/>
        <s v="EMP-101299"/>
        <s v="EMP-101389"/>
        <s v="EMP-101184"/>
        <s v="EMP-100197"/>
        <s v="EMP-101209"/>
        <s v="EMP-100360"/>
        <s v="EMP-100732"/>
        <s v="EMP-101152"/>
        <s v="EMP-100418"/>
        <s v="EMP-101087"/>
        <s v="EMP-100988"/>
        <s v="EMP-100539"/>
        <s v="EMP-100017"/>
        <s v="EMP-101192"/>
        <s v="EMP-100075"/>
        <s v="EMP-100548"/>
        <s v="EMP-101240"/>
        <s v="EMP-100808"/>
        <s v="EMP-101070"/>
        <s v="EMP-100117"/>
        <s v="EMP-100237"/>
        <s v="EMP-100578"/>
        <s v="EMP-100798"/>
        <s v="EMP-100535"/>
        <s v="EMP-101349"/>
        <s v="EMP-100268"/>
        <s v="EMP-101155"/>
        <s v="EMP-101399"/>
        <s v="EMP-101390"/>
        <s v="EMP-100715"/>
        <s v="EMP-101035"/>
        <s v="EMP-101260"/>
        <s v="EMP-101339"/>
        <s v="EMP-100031"/>
        <s v="EMP-101071"/>
        <s v="EMP-100417"/>
        <s v="EMP-100777"/>
        <s v="EMP-101113"/>
        <s v="EMP-100438"/>
        <s v="EMP-101296"/>
        <s v="EMP-100035"/>
        <s v="EMP-100919"/>
        <s v="EMP-100172"/>
        <s v="EMP-100466"/>
        <s v="EMP-100942"/>
        <s v="EMP-101393"/>
        <s v="EMP-101075"/>
        <s v="EMP-101316"/>
        <s v="EMP-100669"/>
        <s v="EMP-100508"/>
        <s v="EMP-100262"/>
        <s v="EMP-100141"/>
        <s v="EMP-101453"/>
        <s v="EMP-100744"/>
        <s v="EMP-100184"/>
        <s v="EMP-101215"/>
        <s v="EMP-100933"/>
        <s v="EMP-101062"/>
        <s v="EMP-101064"/>
        <s v="EMP-100499"/>
        <s v="EMP-101181"/>
        <s v="EMP-100378"/>
        <s v="EMP-100524"/>
        <s v="EMP-101376"/>
        <s v="EMP-100675"/>
        <s v="EMP-100891"/>
        <s v="EMP-100364"/>
        <s v="EMP-100131"/>
        <s v="EMP-101396"/>
        <s v="EMP-100551"/>
        <s v="EMP-100692"/>
        <s v="EMP-100870"/>
        <s v="EMP-100671"/>
        <s v="EMP-100672"/>
        <s v="EMP-100610"/>
        <s v="EMP-100286"/>
        <s v="EMP-100420"/>
        <s v="EMP-101051"/>
        <s v="EMP-100706"/>
        <s v="EMP-100275"/>
        <s v="EMP-101105"/>
        <s v="EMP-101256"/>
        <s v="EMP-100799"/>
        <s v="EMP-100062"/>
        <s v="EMP-100072"/>
        <s v="EMP-100260"/>
        <s v="EMP-101372"/>
        <s v="EMP-100407"/>
        <s v="EMP-101217"/>
        <s v="EMP-100111"/>
        <s v="EMP-101317"/>
        <s v="EMP-100069"/>
        <s v="EMP-100066"/>
        <s v="EMP-100713"/>
        <s v="EMP-100222"/>
        <s v="EMP-100088"/>
        <s v="EMP-101311"/>
        <s v="EMP-101468"/>
        <s v="EMP-100507"/>
        <s v="EMP-100736"/>
        <s v="EMP-100568"/>
        <s v="EMP-100402"/>
        <s v="EMP-100631"/>
        <s v="EMP-100025"/>
        <s v="EMP-101368"/>
        <s v="EMP-100355"/>
        <s v="EMP-100059"/>
        <s v="EMP-100470"/>
        <s v="EMP-100641"/>
        <s v="EMP-100977"/>
        <s v="EMP-100016"/>
        <s v="EMP-100710"/>
        <s v="EMP-100228"/>
        <s v="EMP-101277"/>
        <s v="EMP-100299"/>
        <s v="EMP-100123"/>
        <s v="EMP-100234"/>
        <s v="EMP-100592"/>
        <s v="EMP-100363"/>
        <s v="EMP-100050"/>
        <s v="EMP-100054"/>
        <s v="EMP-100414"/>
        <s v="EMP-101335"/>
        <s v="EMP-100866"/>
        <s v="EMP-100969"/>
        <s v="EMP-100841"/>
        <s v="EMP-100620"/>
        <s v="EMP-101183"/>
        <s v="EMP-100289"/>
        <s v="EMP-101279"/>
        <s v="EMP-100816"/>
        <s v="EMP-100647"/>
        <s v="EMP-100473"/>
        <s v="EMP-100401"/>
        <s v="EMP-100852"/>
        <s v="EMP-101309"/>
        <s v="EMP-100678"/>
        <s v="EMP-100444"/>
        <s v="EMP-100893"/>
        <s v="EMP-100244"/>
        <s v="EMP-101400"/>
        <s v="EMP-100734"/>
        <s v="EMP-101380"/>
        <s v="EMP-100074"/>
        <s v="EMP-101186"/>
        <s v="EMP-100742"/>
        <s v="EMP-100271"/>
        <s v="EMP-101200"/>
        <s v="EMP-101364"/>
        <s v="EMP-100086"/>
        <s v="EMP-100409"/>
        <s v="EMP-100743"/>
        <s v="EMP-100305"/>
        <s v="EMP-101219"/>
        <s v="EMP-101107"/>
        <s v="EMP-100952"/>
        <s v="EMP-101171"/>
        <s v="EMP-101284"/>
        <s v="EMP-100269"/>
        <s v="EMP-100867"/>
        <s v="EMP-100560"/>
        <s v="EMP-100733"/>
        <s v="EMP-100593"/>
        <s v="EMP-100656"/>
        <s v="EMP-100749"/>
        <s v="EMP-100124"/>
        <s v="EMP-100298"/>
        <s v="EMP-101079"/>
        <s v="EMP-100458"/>
        <s v="EMP-100019"/>
        <s v="EMP-100384"/>
        <s v="EMP-100964"/>
        <s v="EMP-100792"/>
        <s v="EMP-101401"/>
        <s v="EMP-100209"/>
        <s v="EMP-100690"/>
        <s v="EMP-101297"/>
        <s v="EMP-100340"/>
        <s v="EMP-101024"/>
        <s v="EMP-100055"/>
        <s v="EMP-100071"/>
        <s v="EMP-101327"/>
        <s v="EMP-100457"/>
        <s v="EMP-101089"/>
        <s v="EMP-100106"/>
        <s v="EMP-100896"/>
        <s v="EMP-100561"/>
        <s v="EMP-100349"/>
        <s v="EMP-101460"/>
        <s v="EMP-100624"/>
        <s v="EMP-100989"/>
        <s v="EMP-101410"/>
        <s v="EMP-100939"/>
        <s v="EMP-101418"/>
        <s v="EMP-100513"/>
        <s v="EMP-101162"/>
        <s v="EMP-100210"/>
        <s v="EMP-100983"/>
        <s v="EMP-100753"/>
        <s v="EMP-101371"/>
        <s v="EMP-101182"/>
        <s v="EMP-100368"/>
        <s v="EMP-101151"/>
        <s v="EMP-100188"/>
        <s v="EMP-100012"/>
        <s v="EMP-101110"/>
        <s v="EMP-100118"/>
        <s v="EMP-100673"/>
        <s v="EMP-100238"/>
        <s v="EMP-101120"/>
        <s v="EMP-101374"/>
        <s v="EMP-101138"/>
        <s v="EMP-100720"/>
        <s v="EMP-101147"/>
        <s v="EMP-101197"/>
        <s v="EMP-100517"/>
        <s v="EMP-100468"/>
        <s v="EMP-100489"/>
        <s v="EMP-100225"/>
        <s v="EMP-101043"/>
        <s v="EMP-100907"/>
        <s v="EMP-100287"/>
        <s v="EMP-100837"/>
        <s v="EMP-100307"/>
        <s v="EMP-100629"/>
        <s v="EMP-100266"/>
        <s v="EMP-101073"/>
        <s v="EMP-100709"/>
        <s v="EMP-100925"/>
        <s v="EMP-100040"/>
        <s v="EMP-100455"/>
        <s v="EMP-100337"/>
        <s v="EMP-100565"/>
        <s v="EMP-100320"/>
        <s v="EMP-101282"/>
        <s v="EMP-100439"/>
        <s v="EMP-100822"/>
        <s v="EMP-100033"/>
        <s v="EMP-100139"/>
        <s v="EMP-100826"/>
        <s v="EMP-100036"/>
        <s v="EMP-101020"/>
        <s v="EMP-101210"/>
        <s v="EMP-100166"/>
        <s v="EMP-100367"/>
        <s v="EMP-100998"/>
        <s v="EMP-101365"/>
        <s v="EMP-100076"/>
        <s v="EMP-101225"/>
        <s v="EMP-101245"/>
        <s v="EMP-100105"/>
        <s v="EMP-100324"/>
        <s v="EMP-100614"/>
        <s v="EMP-100681"/>
        <s v="EMP-101018"/>
        <s v="EMP-100280"/>
        <s v="EMP-101013"/>
        <s v="EMP-100536"/>
        <s v="EMP-100745"/>
        <s v="EMP-100980"/>
        <s v="EMP-100602"/>
        <s v="EMP-100879"/>
        <s v="EMP-101234"/>
        <s v="EMP-101010"/>
        <s v="EMP-101313"/>
        <s v="EMP-100381"/>
        <s v="EMP-101227"/>
        <s v="EMP-101262"/>
        <s v="EMP-101237"/>
        <s v="EMP-100604"/>
        <s v="EMP-100885"/>
        <s v="EMP-100693"/>
        <s v="EMP-100755"/>
        <s v="EMP-100651"/>
        <s v="EMP-100611"/>
        <s v="EMP-100586"/>
        <s v="EMP-101221"/>
        <s v="EMP-100205"/>
        <s v="EMP-100585"/>
        <s v="EMP-100129"/>
        <s v="EMP-101330"/>
        <s v="EMP-100052"/>
        <s v="EMP-101412"/>
        <s v="EMP-100827"/>
        <s v="EMP-100588"/>
        <s v="EMP-100358"/>
        <s v="EMP-100955"/>
        <s v="EMP-101268"/>
        <s v="EMP-101001"/>
        <s v="EMP-101065"/>
        <s v="EMP-101243"/>
        <s v="EMP-101188"/>
        <s v="EMP-100424"/>
        <s v="EMP-100093"/>
        <s v="EMP-101375"/>
        <s v="EMP-101034"/>
        <s v="EMP-100362"/>
        <s v="EMP-100308"/>
        <s v="EMP-100432"/>
        <s v="EMP-100638"/>
        <s v="EMP-100722"/>
        <s v="EMP-100800"/>
        <s v="EMP-100594"/>
        <s v="EMP-100856"/>
        <s v="EMP-100642"/>
        <s v="EMP-100519"/>
        <s v="EMP-100493"/>
        <s v="EMP-100528"/>
        <s v="EMP-101422"/>
        <s v="EMP-100254"/>
        <s v="EMP-100756"/>
        <s v="EMP-101248"/>
        <s v="EMP-100869"/>
        <s v="EMP-100155"/>
        <s v="EMP-101226"/>
        <s v="EMP-101272"/>
        <s v="EMP-100972"/>
        <s v="EMP-100824"/>
        <s v="EMP-100880"/>
        <s v="EMP-100951"/>
        <s v="EMP-100992"/>
        <s v="EMP-101033"/>
        <s v="EMP-100833"/>
        <s v="EMP-100665"/>
        <s v="EMP-101118"/>
        <s v="EMP-100403"/>
        <s v="EMP-100357"/>
        <s v="EMP-101291"/>
        <s v="EMP-101321"/>
        <s v="EMP-100975"/>
        <s v="EMP-100979"/>
        <s v="EMP-101114"/>
        <s v="EMP-100541"/>
        <s v="EMP-100825"/>
        <s v="EMP-100346"/>
        <s v="EMP-100971"/>
        <s v="EMP-100440"/>
        <s v="EMP-100356"/>
        <s v="EMP-100202"/>
        <s v="EMP-100060"/>
        <s v="EMP-100758"/>
        <s v="EMP-101409"/>
        <s v="EMP-100685"/>
        <s v="EMP-101331"/>
        <s v="EMP-101177"/>
        <s v="EMP-100199"/>
        <s v="EMP-101340"/>
        <s v="EMP-101012"/>
        <s v="EMP-101059"/>
        <s v="EMP-100297"/>
        <s v="EMP-100273"/>
        <s v="EMP-101088"/>
        <s v="EMP-101251"/>
        <s v="EMP-100569"/>
        <s v="EMP-101384"/>
        <s v="EMP-101363"/>
        <s v="EMP-100982"/>
        <s v="EMP-100782"/>
        <s v="EMP-101112"/>
        <s v="EMP-100601"/>
        <s v="EMP-100582"/>
        <s v="EMP-100277"/>
        <s v="EMP-100177"/>
        <s v="EMP-101003"/>
        <s v="EMP-101322"/>
        <s v="EMP-100514"/>
        <s v="EMP-101168"/>
        <s v="EMP-100098"/>
        <s v="EMP-100775"/>
        <s v="EMP-100785"/>
        <s v="EMP-100426"/>
        <s v="EMP-100374"/>
        <s v="EMP-100680"/>
        <s v="EMP-100267"/>
        <s v="EMP-101266"/>
        <s v="EMP-100606"/>
        <s v="EMP-101362"/>
        <s v="EMP-100321"/>
        <s v="EMP-100667"/>
        <s v="EMP-100761"/>
        <s v="EMP-100595"/>
        <s v="EMP-101397"/>
        <s v="EMP-100996"/>
        <s v="EMP-100176"/>
        <s v="EMP-100048"/>
        <s v="EMP-100136"/>
        <s v="EMP-101134"/>
        <s v="EMP-100423"/>
        <s v="EMP-100579"/>
        <s v="EMP-100208"/>
        <s v="EMP-101058"/>
        <s v="EMP-100783"/>
        <s v="EMP-100206"/>
        <s v="EMP-100164"/>
        <s v="EMP-101025"/>
        <s v="EMP-100341"/>
        <s v="EMP-101229"/>
        <s v="EMP-100099"/>
        <s v="EMP-101166"/>
        <s v="EMP-100532"/>
        <s v="EMP-100020"/>
        <s v="EMP-100580"/>
        <s v="EMP-101102"/>
        <s v="EMP-101195"/>
        <s v="EMP-100431"/>
        <s v="EMP-101440"/>
        <s v="EMP-100278"/>
        <s v="EMP-100918"/>
        <s v="EMP-100257"/>
        <s v="EMP-100924"/>
        <s v="EMP-101385"/>
        <s v="EMP-100311"/>
        <s v="EMP-100572"/>
        <s v="EMP-100763"/>
        <s v="EMP-100243"/>
        <s v="EMP-101233"/>
        <s v="EMP-100151"/>
        <s v="EMP-101023"/>
        <s v="EMP-100351"/>
        <s v="EMP-100486"/>
        <s v="EMP-101015"/>
        <s v="EMP-100459"/>
        <s v="EMP-101052"/>
        <s v="EMP-100978"/>
        <s v="EMP-100333"/>
        <s v="EMP-100229"/>
        <s v="EMP-100609"/>
        <s v="EMP-100929"/>
        <s v="EMP-100061"/>
        <s v="EMP-100809"/>
        <s v="EMP-101308"/>
        <s v="EMP-100399"/>
        <s v="EMP-100453"/>
        <s v="EMP-100883"/>
        <s v="EMP-101387"/>
        <s v="EMP-100037"/>
        <s v="EMP-101101"/>
        <s v="EMP-100807"/>
        <s v="EMP-101028"/>
        <s v="EMP-101205"/>
        <s v="EMP-100920"/>
        <s v="EMP-100038"/>
        <s v="EMP-100380"/>
        <s v="EMP-100491"/>
        <s v="EMP-101403"/>
        <s v="EMP-100547"/>
        <s v="EMP-101411"/>
        <s v="EMP-101180"/>
        <s v="EMP-101383"/>
        <s v="EMP-100315"/>
        <s v="EMP-101055"/>
        <s v="EMP-100505"/>
        <s v="EMP-100173"/>
        <s v="EMP-101175"/>
        <s v="EMP-100410"/>
        <s v="EMP-100092"/>
        <s v="EMP-100142"/>
        <s v="EMP-101419"/>
        <s v="EMP-100469"/>
        <s v="EMP-101048"/>
        <s v="EMP-100335"/>
        <s v="EMP-101054"/>
        <s v="EMP-100633"/>
        <s v="EMP-100488"/>
        <s v="EMP-101426"/>
        <s v="EMP-101148"/>
        <s v="EMP-100607"/>
        <s v="EMP-100931"/>
        <s v="EMP-101348"/>
        <s v="EMP-100382"/>
        <s v="EMP-100181"/>
        <s v="EMP-100877"/>
        <s v="EMP-100190"/>
        <s v="EMP-101281"/>
        <s v="EMP-100147"/>
        <s v="EMP-100889"/>
        <s v="EMP-100637"/>
        <s v="EMP-100936"/>
        <s v="EMP-101144"/>
        <s v="EMP-100422"/>
        <s v="EMP-101341"/>
        <s v="EMP-101100"/>
        <s v="EMP-100648"/>
        <s v="EMP-101310"/>
        <s v="EMP-100812"/>
        <s v="EMP-101326"/>
        <s v="EMP-101366"/>
        <s v="EMP-101417"/>
        <s v="EMP-101430"/>
        <s v="EMP-100897"/>
        <s v="EMP-101274"/>
        <s v="EMP-101176"/>
        <s v="EMP-101223"/>
        <s v="EMP-100435"/>
        <s v="EMP-101300"/>
        <s v="EMP-100581"/>
        <s v="EMP-100876"/>
        <s v="EMP-101139"/>
        <s v="EMP-100109"/>
        <s v="EMP-101214"/>
        <s v="EMP-100626"/>
        <s v="EMP-101337"/>
        <s v="EMP-100015"/>
        <s v="EMP-100007"/>
        <s v="EMP-101127"/>
        <s v="EMP-101198"/>
        <s v="EMP-100884"/>
        <s v="EMP-100544"/>
        <s v="EMP-101344"/>
        <s v="EMP-100313"/>
        <s v="EMP-100556"/>
        <s v="EMP-100858"/>
        <s v="EMP-100991"/>
        <s v="EMP-101163"/>
        <s v="EMP-101301"/>
        <s v="EMP-100200"/>
        <s v="EMP-100542"/>
        <s v="EMP-101413"/>
        <s v="EMP-100108"/>
        <s v="EMP-100047"/>
        <s v="EMP-100625"/>
        <s v="EMP-100589"/>
        <s v="EMP-101116"/>
        <s v="EMP-100914"/>
        <s v="EMP-100853"/>
        <s v="EMP-101178"/>
        <s v="EMP-100240"/>
        <s v="EMP-100430"/>
        <s v="EMP-101157"/>
        <s v="EMP-100767"/>
        <s v="EMP-100797"/>
        <s v="EMP-101328"/>
        <s v="EMP-100788"/>
        <s v="EMP-101189"/>
        <s v="EMP-100442"/>
        <s v="EMP-101047"/>
        <s v="EMP-100811"/>
        <s v="EMP-101402"/>
        <s v="EMP-100738"/>
        <s v="EMP-100263"/>
        <s v="EMP-100802"/>
        <s v="EMP-100334"/>
        <s v="EMP-100421"/>
        <s v="EMP-100704"/>
        <s v="EMP-101288"/>
        <s v="EMP-100957"/>
        <s v="EMP-100959"/>
        <s v="EMP-100888"/>
        <s v="EMP-100013"/>
        <s v="EMP-101137"/>
        <s v="EMP-101275"/>
        <s v="EMP-100079"/>
        <s v="EMP-100700"/>
        <s v="EMP-101019"/>
        <s v="EMP-100344"/>
        <s v="EMP-101264"/>
        <s v="EMP-101236"/>
        <s v="EMP-101391"/>
        <s v="EMP-100446"/>
        <s v="EMP-100994"/>
        <s v="EMP-100674"/>
        <s v="EMP-100723"/>
        <s v="EMP-100223"/>
        <s v="EMP-100251"/>
        <s v="EMP-101414"/>
        <s v="EMP-100413"/>
        <s v="EMP-100676"/>
        <s v="EMP-101269"/>
        <s v="EMP-100635"/>
        <s v="EMP-100194"/>
        <s v="EMP-100564"/>
        <s v="EMP-100540"/>
        <s v="EMP-100353"/>
        <s v="EMP-100904"/>
        <s v="EMP-100094"/>
        <s v="EMP-101394"/>
        <s v="EMP-100160"/>
        <s v="EMP-100871"/>
        <s v="EMP-100848"/>
        <s v="EMP-100865"/>
        <s v="EMP-100189"/>
        <s v="EMP-100728"/>
        <s v="EMP-100873"/>
        <s v="EMP-100317"/>
        <s v="EMP-100445"/>
        <s v="EMP-100461"/>
        <s v="EMP-100612"/>
        <s v="EMP-100970"/>
        <s v="EMP-100312"/>
        <s v="EMP-101090"/>
        <s v="EMP-100231"/>
        <s v="EMP-101287"/>
        <s v="EMP-100862"/>
        <s v="EMP-100327"/>
        <s v="EMP-100737"/>
        <s v="EMP-101304"/>
        <s v="EMP-100352"/>
        <s v="EMP-100371"/>
        <s v="EMP-100621"/>
        <s v="EMP-101016"/>
        <s v="EMP-100303"/>
        <s v="EMP-100757"/>
        <s v="EMP-101080"/>
        <s v="EMP-101241"/>
        <s v="EMP-100283"/>
        <s v="EMP-101141"/>
        <s v="EMP-100554"/>
        <s v="EMP-100516"/>
        <s v="EMP-101454"/>
        <s v="EMP-100301"/>
        <s v="EMP-101382"/>
        <s v="EMP-100503"/>
        <s v="EMP-100660"/>
        <s v="EMP-101091"/>
        <s v="EMP-101057"/>
        <s v="EMP-100878"/>
        <s v="EMP-100603"/>
        <s v="EMP-100001"/>
        <s v="EMP-100212"/>
        <s v="EMP-101008"/>
        <s v="EMP-100570"/>
        <s v="EMP-100687"/>
        <s v="EMP-101036"/>
        <s v="EMP-100306"/>
        <s v="EMP-100791"/>
        <s v="EMP-100063"/>
        <s v="EMP-100525"/>
        <s v="EMP-100085"/>
        <s v="EMP-101320"/>
        <s v="EMP-101425"/>
        <s v="EMP-101140"/>
        <s v="EMP-101056"/>
        <s v="EMP-101332"/>
        <s v="EMP-101463"/>
        <s v="EMP-100073"/>
        <s v="EMP-100901"/>
        <s v="EMP-100917"/>
        <s v="EMP-100636"/>
        <s v="EMP-101218"/>
        <s v="EMP-100810"/>
        <s v="EMP-100778"/>
        <s v="EMP-100760"/>
        <s v="EMP-100196"/>
        <s v="EMP-100285"/>
        <s v="EMP-100739"/>
        <s v="EMP-100754"/>
        <s v="EMP-100643"/>
        <s v="EMP-100668"/>
        <s v="EMP-100265"/>
        <s v="EMP-100632"/>
        <s v="EMP-101117"/>
        <s v="EMP-100003"/>
        <s v="EMP-100772"/>
        <s v="EMP-100545"/>
        <s v="EMP-100029"/>
        <s v="EMP-101007"/>
        <s v="EMP-100218"/>
        <s v="EMP-100477"/>
        <s v="EMP-100872"/>
        <s v="EMP-100961"/>
        <s v="EMP-100502"/>
        <s v="EMP-100725"/>
        <s v="EMP-101185"/>
        <s v="EMP-101470"/>
        <s v="EMP-101420"/>
        <s v="EMP-100456"/>
        <s v="EMP-101465"/>
        <s v="EMP-100930"/>
        <s v="EMP-101429"/>
        <s v="EMP-101122"/>
        <s v="EMP-100100"/>
        <s v="EMP-101446"/>
        <s v="EMP-101381"/>
        <s v="EMP-100492"/>
        <s v="EMP-101207"/>
        <s v="EMP-101458"/>
        <s v="EMP-101353"/>
        <s v="EMP-100366"/>
        <s v="EMP-101253"/>
        <s v="EMP-100153"/>
        <s v="EMP-100864"/>
        <s v="EMP-100840"/>
        <s v="EMP-100915"/>
        <s v="EMP-100928"/>
        <s v="EMP-101293"/>
        <s v="EMP-100650"/>
        <s v="EMP-101457"/>
        <s v="EMP-101072"/>
        <s v="EMP-101436"/>
        <s v="EMP-101342"/>
        <s v="EMP-100112"/>
        <s v="EMP-101040"/>
        <s v="EMP-101187"/>
        <s v="EMP-101206"/>
        <s v="EMP-100515"/>
        <s v="EMP-100887"/>
        <s v="EMP-100831"/>
        <s v="EMP-101068"/>
        <s v="EMP-100201"/>
        <s v="EMP-101346"/>
        <s v="EMP-100530"/>
        <s v="EMP-101042"/>
        <s v="EMP-101222"/>
        <s v="EMP-100481"/>
        <s v="EMP-101006"/>
        <s v="EMP-101126"/>
        <s v="EMP-100080"/>
        <s v="EMP-100115"/>
        <s v="EMP-100133"/>
        <s v="EMP-101252"/>
        <s v="EMP-100986"/>
        <s v="EMP-100958"/>
        <s v="EMP-101280"/>
        <s v="EMP-101179"/>
        <s v="EMP-101246"/>
        <s v="EMP-100236"/>
        <s v="EMP-100935"/>
        <s v="EMP-100803"/>
        <s v="EMP-100128"/>
        <s v="EMP-100523"/>
        <s v="EMP-100179"/>
        <s v="EMP-101261"/>
        <s v="EMP-100679"/>
        <s v="EMP-101164"/>
        <s v="EMP-100863"/>
        <s v="EMP-100495"/>
        <s v="EMP-100707"/>
        <s v="EMP-100319"/>
        <s v="EMP-100065"/>
        <s v="EMP-100531"/>
        <s v="EMP-100780"/>
        <s v="EMP-100411"/>
        <s v="EMP-100316"/>
        <s v="EMP-100158"/>
        <s v="EMP-100705"/>
        <s v="EMP-100215"/>
        <s v="EMP-100192"/>
        <s v="EMP-101325"/>
        <s v="EMP-101404"/>
        <s v="EMP-101438"/>
        <s v="EMP-100122"/>
        <s v="EMP-100926"/>
        <s v="EMP-100157"/>
        <s v="EMP-101298"/>
        <s v="EMP-100077"/>
        <s v="EMP-100664"/>
        <s v="EMP-100843"/>
        <s v="EMP-101046"/>
        <s v="EMP-100249"/>
        <s v="EMP-100695"/>
        <s v="EMP-100652"/>
        <s v="EMP-100279"/>
        <s v="EMP-100322"/>
        <s v="EMP-101037"/>
        <s v="EMP-101074"/>
        <s v="EMP-101427"/>
        <s v="EMP-101273"/>
        <s v="EMP-100741"/>
        <s v="EMP-100095"/>
        <s v="EMP-101451"/>
        <s v="EMP-100724"/>
        <s v="EMP-100940"/>
        <s v="EMP-100691"/>
        <s v="EMP-101305"/>
        <s v="EMP-100429"/>
        <s v="EMP-100627"/>
        <s v="EMP-100046"/>
        <s v="EMP-101124"/>
        <s v="EMP-100258"/>
        <s v="EMP-100433"/>
        <s v="EMP-100068"/>
        <s v="EMP-101333"/>
        <s v="EMP-100408"/>
        <s v="EMP-100644"/>
        <s v="EMP-101455"/>
        <s v="EMP-100984"/>
        <s v="EMP-100114"/>
        <s v="EMP-100235"/>
        <s v="EMP-101121"/>
        <s v="EMP-101174"/>
        <s v="EMP-100203"/>
        <s v="EMP-100064"/>
        <s v="EMP-100987"/>
        <s v="EMP-100443"/>
        <s v="EMP-100180"/>
        <s v="EMP-100211"/>
        <s v="EMP-100615"/>
        <s v="EMP-100613"/>
        <s v="EMP-100221"/>
        <s v="EMP-100427"/>
        <s v="EMP-100412"/>
        <s v="EMP-100881"/>
        <s v="EMP-100483"/>
        <s v="EMP-100510"/>
        <s v="EMP-101437"/>
        <s v="EMP-101350"/>
        <s v="EMP-100653"/>
        <s v="EMP-100553"/>
        <s v="EMP-100963"/>
        <s v="EMP-100026"/>
        <s v="EMP-101005"/>
        <s v="EMP-101078"/>
        <s v="EMP-100616"/>
        <s v="EMP-101395"/>
        <s v="EMP-101169"/>
        <s v="EMP-100520"/>
        <s v="EMP-101467"/>
        <s v="EMP-101356"/>
        <s v="EMP-101415"/>
        <s v="EMP-100224"/>
        <s v="EMP-100973"/>
        <s v="EMP-101459"/>
        <s v="EMP-101435"/>
        <s v="EMP-100230"/>
        <s v="EMP-101347"/>
        <s v="EMP-100670"/>
        <s v="EMP-101257"/>
        <s v="EMP-101022"/>
        <s v="EMP-100329"/>
        <s v="EMP-100331"/>
        <s v="EMP-100655"/>
        <s v="EMP-100485"/>
        <s v="EMP-100506"/>
        <s v="EMP-101208"/>
        <s v="EMP-101250"/>
        <s v="EMP-100154"/>
        <s v="EMP-100727"/>
        <s v="EMP-101204"/>
        <s v="EMP-101167"/>
        <s v="EMP-101263"/>
        <s v="EMP-100178"/>
        <s v="EMP-100886"/>
        <s v="EMP-100682"/>
        <s v="EMP-101318"/>
        <s v="EMP-101063"/>
        <s v="EMP-100995"/>
        <s v="EMP-101292"/>
        <s v="EMP-100405"/>
        <s v="EMP-100034"/>
        <s v="EMP-101267"/>
        <s v="EMP-101231"/>
        <s v="EMP-100575"/>
        <s v="EMP-101286"/>
        <s v="EMP-100719"/>
        <s v="EMP-100748"/>
        <s v="EMP-100082"/>
        <s v="EMP-101462"/>
        <s v="EMP-100623"/>
        <s v="EMP-101265"/>
        <s v="EMP-100256"/>
        <s v="EMP-100233"/>
        <s v="EMP-101011"/>
        <s v="EMP-100956"/>
        <s v="EMP-101160"/>
        <s v="EMP-100640"/>
        <s v="EMP-100916"/>
        <s v="EMP-100018"/>
        <s v="EMP-100246"/>
        <s v="EMP-101443"/>
        <s v="EMP-100769"/>
        <s v="EMP-100083"/>
        <s v="EMP-100002"/>
        <s v="EMP-100662"/>
        <s v="EMP-100385"/>
        <s v="EMP-100628"/>
        <s v="EMP-100393"/>
        <s v="EMP-100968"/>
        <s v="EMP-100577"/>
        <s v="EMP-100735"/>
        <s v="EMP-100248"/>
        <s v="EMP-100571"/>
        <s v="EMP-101290"/>
        <s v="EMP-100419"/>
        <s v="EMP-101132"/>
        <s v="EMP-100084"/>
        <s v="EMP-100165"/>
        <s v="EMP-101336"/>
        <s v="EMP-100471"/>
        <s v="EMP-100482"/>
        <s v="EMP-101315"/>
        <s v="EMP-100345"/>
        <s v="EMP-101216"/>
        <s v="EMP-100270"/>
        <s v="EMP-100339"/>
        <s v="EMP-100696"/>
        <s v="EMP-100104"/>
        <s v="EMP-100716"/>
        <s v="EMP-100476"/>
        <s v="EMP-101069"/>
        <s v="EMP-100464"/>
        <s v="EMP-100404"/>
        <s v="EMP-100583"/>
        <s v="EMP-100377"/>
        <s v="EMP-100557"/>
        <s v="EMP-101295"/>
        <s v="EMP-101323"/>
        <s v="EMP-100526"/>
        <s v="EMP-100504"/>
        <s v="EMP-100171"/>
        <s v="EMP-100597"/>
        <s v="EMP-101445"/>
        <s v="EMP-100658"/>
        <s v="EMP-100750"/>
        <s v="EMP-100967"/>
        <s v="EMP-100731"/>
        <s v="EMP-100373"/>
        <s v="EMP-101373"/>
        <s v="EMP-100259"/>
        <s v="EMP-101196"/>
        <s v="EMP-101377"/>
        <s v="EMP-100292"/>
        <s v="EMP-100302"/>
        <s v="EMP-100697"/>
        <s v="EMP-101030"/>
        <s v="EMP-101276"/>
        <s v="EMP-100121"/>
        <s v="EMP-100437"/>
        <s v="EMP-101329"/>
        <s v="EMP-100425"/>
        <s v="EMP-100558"/>
        <s v="EMP-101084"/>
        <s v="EMP-100239"/>
        <s v="EMP-100567"/>
        <s v="EMP-100400"/>
        <s v="EMP-101032"/>
        <s v="EMP-100747"/>
        <s v="EMP-100449"/>
        <s v="EMP-100562"/>
        <s v="EMP-100789"/>
        <s v="EMP-100467"/>
        <s v="EMP-100479"/>
        <s v="EMP-100053"/>
        <s v="EMP-100204"/>
        <s v="EMP-101338"/>
        <s v="EMP-100463"/>
        <s v="EMP-100533"/>
        <s v="EMP-100294"/>
        <s v="EMP-100552"/>
        <s v="EMP-100067"/>
        <s v="EMP-100829"/>
        <s v="EMP-100318"/>
        <s v="EMP-100434"/>
        <s v="EMP-100806"/>
        <s v="EMP-100348"/>
        <s v="EMP-100976"/>
        <s v="EMP-100216"/>
        <s v="EMP-100857"/>
        <s v="EMP-100793"/>
        <s v="EMP-100605"/>
        <s v="EMP-100282"/>
        <s v="EMP-100227"/>
        <s v="EMP-100261"/>
        <s v="EMP-100392"/>
        <s v="EMP-101115"/>
        <s v="EMP-100938"/>
        <s v="EMP-100686"/>
        <s v="EMP-100168"/>
        <s v="EMP-100376"/>
        <s v="EMP-101238"/>
        <s v="EMP-100905"/>
        <s v="EMP-101143"/>
        <s v="EMP-101247"/>
        <s v="EMP-101096"/>
        <s v="EMP-101194"/>
        <s v="EMP-100347"/>
        <s v="EMP-101448"/>
        <s v="EMP-101444"/>
        <s v="EMP-101193"/>
        <s v="EMP-101254"/>
        <s v="EMP-100538"/>
        <s v="EMP-100645"/>
        <s v="EMP-100350"/>
        <s v="EMP-101345"/>
        <s v="EMP-100045"/>
        <s v="EMP-100718"/>
        <s v="EMP-100314"/>
        <s v="EMP-100527"/>
        <s v="EMP-100276"/>
        <s v="EMP-100874"/>
        <s v="EMP-100370"/>
        <s v="EMP-100764"/>
        <s v="EMP-101228"/>
        <s v="EMP-101081"/>
        <s v="EMP-101423"/>
        <s v="EMP-100372"/>
        <s v="EMP-101278"/>
        <s v="EMP-100855"/>
        <s v="EMP-101289"/>
        <s v="EMP-100011"/>
        <s v="EMP-100101"/>
        <s v="EMP-100912"/>
        <s v="EMP-101173"/>
        <s v="EMP-100454"/>
        <s v="EMP-101123"/>
        <s v="EMP-101095"/>
        <s v="EMP-100300"/>
        <s v="EMP-100903"/>
        <s v="EMP-101386"/>
        <s v="EMP-101083"/>
        <s v="EMP-100549"/>
        <s v="EMP-101220"/>
        <s v="EMP-101312"/>
        <s v="EMP-100354"/>
        <s v="EMP-100819"/>
        <s v="EMP-101211"/>
        <s v="EMP-101026"/>
        <s v="EMP-100290"/>
        <s v="EMP-100634"/>
        <s v="EMP-100701"/>
        <s v="EMP-100389"/>
        <s v="EMP-100770"/>
        <s v="EMP-100295"/>
        <s v="EMP-100450"/>
        <s v="EMP-100534"/>
        <s v="EMP-100032"/>
        <s v="EMP-100281"/>
        <s v="EMP-101106"/>
        <s v="EMP-100937"/>
        <s v="EMP-100006"/>
        <s v="EMP-101441"/>
        <s v="EMP-100304"/>
        <s v="EMP-100751"/>
        <s v="EMP-100663"/>
        <s v="EMP-100214"/>
        <s v="EMP-101108"/>
        <s v="EMP-100487"/>
        <s v="EMP-100954"/>
        <s v="EMP-100776"/>
        <s v="EMP-100057"/>
        <s v="EMP-101407"/>
        <s v="EMP-101103"/>
        <s v="EMP-100698"/>
        <s v="EMP-101424"/>
        <s v="EMP-100730"/>
        <s v="EMP-101129"/>
        <s v="EMP-100999"/>
        <s v="EMP-101158"/>
        <s v="EMP-100591"/>
        <s v="EMP-101456"/>
        <s v="EMP-101428"/>
        <s v="EMP-100921"/>
        <s v="EMP-100009"/>
        <s v="EMP-100397"/>
        <s v="EMP-101136"/>
        <s v="EMP-100805"/>
        <s v="EMP-100699"/>
        <s v="EMP-101351"/>
        <s v="EMP-100365"/>
        <s v="EMP-100325"/>
        <s v="EMP-101258"/>
        <s v="EMP-101343"/>
        <s v="EMP-100255"/>
        <s v="EMP-100608"/>
        <s v="EMP-100274"/>
        <s v="EMP-100163"/>
        <s v="EMP-100779"/>
        <s v="EMP-100167"/>
        <s v="EMP-100512"/>
        <s v="EMP-100587"/>
        <s v="EMP-100496"/>
        <s v="EMP-100522"/>
        <s v="EMP-100309"/>
        <s v="EMP-100132"/>
        <s v="EMP-100913"/>
        <s v="EMP-100056"/>
        <s v="EMP-100657"/>
        <s v="EMP-101067"/>
        <s v="EMP-100023"/>
        <s v="EMP-100766"/>
        <s v="EMP-100666"/>
        <s v="EMP-100814"/>
        <s v="EMP-100845"/>
        <s v="EMP-101283"/>
        <s v="EMP-100323"/>
        <s v="EMP-100997"/>
        <s v="EMP-100024"/>
        <s v="EMP-100688"/>
        <s v="EMP-100902"/>
        <s v="EMP-100712"/>
        <s v="EMP-100546"/>
        <s v="EMP-100950"/>
        <s v="EMP-101146"/>
        <s v="EMP-100087"/>
        <s v="EMP-100899"/>
        <s v="EMP-101466"/>
        <s v="EMP-100475"/>
        <s v="EMP-101294"/>
        <s v="EMP-101092"/>
        <s v="EMP-100923"/>
        <s v="EMP-100406"/>
        <s v="EMP-100490"/>
        <s v="EMP-100498"/>
        <s v="EMP-100272"/>
        <s v="EMP-100784"/>
        <s v="EMP-100646"/>
        <s v="EMP-100894"/>
        <s v="EMP-101461"/>
        <s v="EMP-100590"/>
        <s v="EMP-101000"/>
        <s v="EMP-100908"/>
        <s v="EMP-100452"/>
        <s v="EMP-100787"/>
        <s v="EMP-100639"/>
        <s v="EMP-101406"/>
        <s v="EMP-100838"/>
        <s v="EMP-100759"/>
        <s v="EMP-100895"/>
        <s v="EMP-100145"/>
        <s v="EMP-101270"/>
        <s v="EMP-100966"/>
        <s v="EMP-100835"/>
        <s v="EMP-101038"/>
        <s v="EMP-101061"/>
        <s v="EMP-101077"/>
        <s v="EMP-100448"/>
        <s v="EMP-101203"/>
        <s v="EMP-100144"/>
        <s v="EMP-100220"/>
        <s v="EMP-100436"/>
        <s v="EMP-100004"/>
        <s v="EMP-100965"/>
        <s v="EMP-101135"/>
        <s v="EMP-101357"/>
        <s v="EMP-101044"/>
        <s v="EMP-100130"/>
        <s v="EMP-101379"/>
        <s v="EMP-101133"/>
        <s v="EMP-100714"/>
        <s v="EMP-100250"/>
        <s v="EMP-100821"/>
        <s v="EMP-100137"/>
        <s v="EMP-101302"/>
        <s v="EMP-101085"/>
        <s v="EMP-100927"/>
        <s v="EMP-100051"/>
        <s v="EMP-101154"/>
        <s v="EMP-100555"/>
        <s v="EMP-101432"/>
        <s v="EMP-100288"/>
        <s v="EMP-100005"/>
        <s v="EMP-100820"/>
        <s v="EMP-101352"/>
        <s v="EMP-100649"/>
        <s v="EMP-100242"/>
        <s v="EMP-101021"/>
        <s v="EMP-100981"/>
        <s v="EMP-100773"/>
        <s v="EMP-100028"/>
        <s v="EMP-100014"/>
        <s v="EMP-101378"/>
        <s v="EMP-100945"/>
        <s v="EMP-100416"/>
        <s v="EMP-100119"/>
        <s v="EMP-100746"/>
        <s v="EMP-100993"/>
        <s v="EMP-101156"/>
        <s v="EMP-100041"/>
        <s v="EMP-100343"/>
        <s v="EMP-100478"/>
        <s v="EMP-101358"/>
        <s v="EMP-100383"/>
        <s v="EMP-101050"/>
        <s v="EMP-101086"/>
        <s v="EMP-100187"/>
        <s v="EMP-100183"/>
        <s v="EMP-100207"/>
        <s v="EMP-101031"/>
        <s v="EMP-101447"/>
        <s v="EMP-100543"/>
        <s v="EMP-101093"/>
        <s v="EMP-101014"/>
        <s v="EMP-101099"/>
        <s v="EMP-100501"/>
        <s v="EMP-101045"/>
        <s v="EMP-100027"/>
        <s v="EMP-100070"/>
        <s v="EMP-100232"/>
        <s v="EMP-100253"/>
        <s v="EMP-100974"/>
        <s v="EMP-100911"/>
        <s v="EMP-100369"/>
        <s v="EMP-101359"/>
        <s v="EMP-100521"/>
        <s v="EMP-100815"/>
        <s v="EMP-101142"/>
        <s v="EMP-100198"/>
        <s v="EMP-100906"/>
        <s v="EMP-101334"/>
        <s v="EMP-101303"/>
        <s v="EMP-101224"/>
        <s v="EMP-100135"/>
        <s v="EMP-100156"/>
        <s v="EMP-100191"/>
        <s v="EMP-100859"/>
        <s v="EMP-100175"/>
        <s v="EMP-100898"/>
        <s v="EMP-100941"/>
        <s v="EMP-101370"/>
        <s v="EMP-100566"/>
        <s v="EMP-101119"/>
        <s v="EMP-100794"/>
        <s v="EMP-100943"/>
        <s v="EMP-100537"/>
        <s v="EMP-101128"/>
        <s v="EMP-100213"/>
        <s v="EMP-100096"/>
        <s v="EMP-100140"/>
        <s v="EMP-100599"/>
        <s v="EMP-101165"/>
        <s v="EMP-101388"/>
        <s v="EMP-100684"/>
        <s v="EMP-101212"/>
        <s v="EMP-101421"/>
        <s v="EMP-100116"/>
        <s v="EMP-100990"/>
        <s v="EMP-101130"/>
        <s v="EMP-101029"/>
        <s v="EMP-100960"/>
        <s v="EMP-101369"/>
        <s v="EMP-100447"/>
        <s v="EMP-101464"/>
        <s v="EMP-100659"/>
        <s v="EMP-100186"/>
        <s v="EMP-101159"/>
        <s v="EMP-101361"/>
        <s v="EMP-100618"/>
        <s v="EMP-101172"/>
        <s v="EMP-100342"/>
        <s v="EMP-100786"/>
        <s v="EMP-100245"/>
        <s v="EMP-100847"/>
        <s v="EMP-101201"/>
        <s v="EMP-100762"/>
        <s v="EMP-100860"/>
        <s v="EMP-100842"/>
        <s v="EMP-101271"/>
        <s v="EMP-100336"/>
        <s v="EMP-100576"/>
        <s v="EMP-101416"/>
        <s v="EMP-100828"/>
        <s v="EMP-101149"/>
        <s v="EMP-100296"/>
        <s v="EMP-100169"/>
        <s v="EMP-100511"/>
        <s v="EMP-100962"/>
        <s v="EMP-100428"/>
        <s v="EMP-100396"/>
        <s v="EMP-100861"/>
        <s v="EMP-100622"/>
        <s v="EMP-100934"/>
        <s v="EMP-101285"/>
        <s v="EMP-100113"/>
        <s v="EMP-100729"/>
        <s v="EMP-101039"/>
        <s v="EMP-101097"/>
        <s v="EMP-100910"/>
        <s v="EMP-100398"/>
        <s v="EMP-100836"/>
        <s v="EMP-100103"/>
        <s v="EMP-100379"/>
        <s v="EMP-101191"/>
        <s v="EMP-100134"/>
        <s v="EMP-100386"/>
        <s v="EMP-100765"/>
        <s v="EMP-100125"/>
        <s v="EMP-100090"/>
        <s v="EMP-100465"/>
        <s v="EMP-100480"/>
        <s v="EMP-100462"/>
        <s v="EMP-101004"/>
        <s v="EMP-100702"/>
        <s v="EMP-101131"/>
        <s v="EMP-101259"/>
        <s v="EMP-100170"/>
        <s v="EMP-101098"/>
        <s v="EMP-100703"/>
        <s v="EMP-100790"/>
        <s v="EMP-101150"/>
        <s v="EMP-100226"/>
        <s v="EMP-100472"/>
        <s v="EMP-100708"/>
        <s v="EMP-101324"/>
        <s v="EMP-100849"/>
        <s v="EMP-100781"/>
        <s v="EMP-101213"/>
        <s v="EMP-101002"/>
        <s v="EMP-100953"/>
        <s v="EMP-100078"/>
        <s v="EMP-100717"/>
        <s v="EMP-100574"/>
        <s v="EMP-100219"/>
        <s v="EMP-100291"/>
        <s v="EMP-100058"/>
        <s v="EMP-100900"/>
        <s v="EMP-100241"/>
        <s v="EMP-100441"/>
        <s v="EMP-100771"/>
        <s v="EMP-100834"/>
        <s v="EMP-100361"/>
        <s v="EMP-100010"/>
        <s v="EMP-100149"/>
        <s v="EMP-100089"/>
        <s v="EMP-101230"/>
        <s v="EMP-100892"/>
        <s v="EMP-100630"/>
        <s v="EMP-101104"/>
        <s v="EMP-100689"/>
        <s v="EMP-101306"/>
        <s v="EMP-100162"/>
        <s v="EMP-101049"/>
        <s v="EMP-101041"/>
        <s v="EMP-101244"/>
        <s v="EMP-100247"/>
        <s v="EMP-101449"/>
        <s v="EMP-100161"/>
        <s v="EMP-100882"/>
        <s v="EMP-100330"/>
        <s v="EMP-100394"/>
        <s v="EMP-101431"/>
        <s v="EMP-100127"/>
        <s v="EMP-101355"/>
        <s v="EMP-100801"/>
        <s v="EMP-101161"/>
        <s v="EMP-100846"/>
        <s v="EMP-100120"/>
        <s v="EMP-100008"/>
        <s v="EMP-100518"/>
        <s v="EMP-100868"/>
        <s v="EMP-100293"/>
        <s v="EMP-100332"/>
        <s v="EMP-100217"/>
        <s v="EMP-101398"/>
        <s v="EMP-100985"/>
        <s v="EMP-100174"/>
        <s v="EMP-100823"/>
        <s v="EMP-101450"/>
        <s v="EMP-100619"/>
        <s v="EMP-100415"/>
        <s v="EMP-100484"/>
        <s v="EMP-100152"/>
        <s v="EMP-100818"/>
        <s v="EMP-100774"/>
        <s v="EMP-100946"/>
        <s v="EMP-100752"/>
        <s v="EMP-101109"/>
        <s v="EMP-101314"/>
        <s v="EMP-101232"/>
        <s v="EMP-101235"/>
        <s v="EMP-100839"/>
        <s v="EMP-101360"/>
        <s v="EMP-101009"/>
        <s v="EMP-100726"/>
        <s v="EMP-101408"/>
        <s v="EMP-100148"/>
        <s v="EMP-101170"/>
        <s v="EMP-100817"/>
        <s v="EMP-100451"/>
        <s v="EMP-100683"/>
        <s v="EMP-100500"/>
        <s v="EMP-101017"/>
        <s v="EMP-100949"/>
        <s v="EMP-101076"/>
        <s v="EMP-100030"/>
        <s v="EMP-100796"/>
        <s v="EMP-101452"/>
        <s v="EMP-100529"/>
        <s v="EMP-101111"/>
        <s v="EMP-100146"/>
        <s v="EMP-100830"/>
        <s v="EMP-100721"/>
        <s v="EMP-100252"/>
        <s v="EMP-100143"/>
        <s v="EMP-101439"/>
        <s v="EMP-100909"/>
        <s v="EMP-100460"/>
        <s v="EMP-100922"/>
        <s v="EMP-100159"/>
        <s v="EMP-100932"/>
        <s v="EMP-101125"/>
        <s v="EMP-101469"/>
        <s v="EMP-100768"/>
        <s v="EMP-100875"/>
        <s v="EMP-101242"/>
        <s v="EMP-101082"/>
        <s v="EMP-101442"/>
        <s v="EMP-101249"/>
        <s v="EMP-101027"/>
        <s v="EMP-100497"/>
        <s v="EMP-101434"/>
        <s v="EMP-100328"/>
        <s v="EMP-101367"/>
        <s v="EMP-100195"/>
        <s v="EMP-100596"/>
      </sharedItems>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fieldGroup base="1">
        <rangePr startNum="18" endNum="60" groupInterval="10"/>
        <groupItems count="7">
          <s v="&lt;18"/>
          <s v="18-27"/>
          <s v="28-37"/>
          <s v="38-47"/>
          <s v="48-57"/>
          <s v="58-67"/>
          <s v="&gt;68"/>
        </groupItems>
      </fieldGroup>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2950"/>
        <n v="3629"/>
        <n v="9362"/>
        <n v="3229"/>
        <n v="3578"/>
        <n v="7988"/>
        <n v="4284"/>
        <n v="7553"/>
        <n v="19701"/>
        <n v="14732"/>
        <n v="9278"/>
        <n v="1359"/>
        <n v="16422"/>
        <n v="1261"/>
        <n v="2099"/>
        <n v="5810"/>
        <n v="5647"/>
        <n v="3420"/>
        <n v="4400"/>
        <n v="3500"/>
        <n v="2066"/>
        <n v="17169"/>
        <n v="4162"/>
        <n v="9204"/>
        <n v="3975"/>
        <n v="10793"/>
        <n v="3646"/>
        <n v="7446"/>
        <n v="10851"/>
        <n v="2109"/>
        <n v="3722"/>
        <n v="9380"/>
        <n v="5486"/>
        <n v="2742"/>
        <n v="13757"/>
        <n v="8463"/>
        <n v="16598"/>
        <n v="6651"/>
        <n v="2345"/>
        <n v="4373"/>
        <n v="4759"/>
        <n v="5301"/>
        <n v="3673"/>
        <n v="4768"/>
        <n v="1274"/>
        <n v="4900"/>
        <n v="10466"/>
        <n v="17007"/>
        <n v="5765"/>
        <n v="4599"/>
        <n v="3172"/>
        <n v="10209"/>
        <n v="8620"/>
        <n v="2064"/>
        <n v="4035"/>
        <n v="3838"/>
        <n v="4591"/>
        <n v="2561"/>
        <n v="1563"/>
        <n v="4789"/>
        <n v="3180"/>
        <n v="6549"/>
        <n v="6388"/>
        <n v="11244"/>
        <n v="16032"/>
        <n v="16328"/>
        <n v="8376"/>
        <n v="16606"/>
        <n v="8606"/>
        <n v="2272"/>
        <n v="2018"/>
        <n v="7083"/>
        <n v="4084"/>
        <n v="14411"/>
        <n v="2308"/>
        <n v="4841"/>
        <n v="4285"/>
        <n v="9715"/>
        <n v="4320"/>
        <n v="10124"/>
        <n v="5207"/>
        <n v="16437"/>
        <n v="2296"/>
        <n v="4069"/>
        <n v="7441"/>
        <n v="2430"/>
        <n v="5878"/>
        <n v="2644"/>
        <n v="6439"/>
        <n v="6392"/>
        <n v="9714"/>
        <n v="6077"/>
        <n v="9250"/>
        <n v="2074"/>
        <n v="10169"/>
        <n v="4855"/>
        <n v="4087"/>
        <n v="2367"/>
        <n v="2972"/>
        <n v="19586"/>
        <n v="2061"/>
        <n v="9924"/>
        <n v="4198"/>
        <n v="6815"/>
        <n v="4723"/>
        <n v="8237"/>
        <n v="8853"/>
        <n v="19331"/>
        <n v="19613"/>
        <n v="5063"/>
        <n v="2690"/>
        <n v="17567"/>
        <n v="2408"/>
        <n v="2814"/>
        <n v="11245"/>
        <n v="3312"/>
        <n v="19049"/>
        <n v="2141"/>
        <n v="4385"/>
        <n v="5332"/>
        <n v="4663"/>
        <n v="3211"/>
        <n v="5377"/>
        <n v="4066"/>
        <n v="5208"/>
        <n v="4877"/>
        <n v="3117"/>
        <n v="1569"/>
        <n v="19658"/>
        <n v="3069"/>
        <n v="10435"/>
        <n v="5768"/>
        <n v="5042"/>
        <n v="5770"/>
        <n v="10306"/>
        <n v="3936"/>
        <n v="7945"/>
        <n v="5743"/>
        <n v="15202"/>
        <n v="5440"/>
        <n v="3517"/>
        <n v="2580"/>
        <n v="2166"/>
        <n v="5869"/>
        <n v="8008"/>
        <n v="5206"/>
        <n v="5295"/>
        <n v="16413"/>
        <n v="13269"/>
        <n v="2783"/>
        <n v="5433"/>
        <n v="2013"/>
        <n v="13966"/>
        <n v="4374"/>
        <n v="6842"/>
        <n v="17426"/>
        <n v="17603"/>
        <n v="4581"/>
        <n v="4735"/>
        <n v="4187"/>
        <n v="5505"/>
        <n v="5470"/>
        <n v="5476"/>
        <n v="2587"/>
        <n v="2440"/>
        <n v="15972"/>
        <n v="15379"/>
        <n v="7082"/>
        <n v="2728"/>
        <n v="5368"/>
        <n v="5347"/>
        <n v="3195"/>
        <n v="3989"/>
        <n v="3306"/>
        <n v="7005"/>
        <n v="2655"/>
        <n v="1393"/>
        <n v="2570"/>
        <n v="3537"/>
        <n v="3986"/>
        <n v="10883"/>
        <n v="9525"/>
        <n v="2929"/>
        <n v="2275"/>
        <n v="7879"/>
        <n v="4930"/>
        <n v="7847"/>
        <n v="4401"/>
        <n v="9241"/>
        <n v="2974"/>
        <n v="4502"/>
        <n v="10748"/>
        <n v="1555"/>
        <n v="12936"/>
        <n v="2305"/>
        <n v="16704"/>
        <n v="3433"/>
        <n v="3477"/>
        <n v="6430"/>
        <n v="6516"/>
        <n v="3907"/>
        <n v="6883"/>
        <n v="2862"/>
        <n v="4978"/>
        <n v="10368"/>
        <n v="6134"/>
        <n v="6735"/>
        <n v="3295"/>
        <n v="6472"/>
        <n v="9610"/>
        <n v="19833"/>
        <n v="9756"/>
        <n v="2145"/>
        <n v="2180"/>
        <n v="8346"/>
        <n v="3445"/>
        <n v="2760"/>
        <n v="6294"/>
        <n v="7140"/>
        <n v="2932"/>
        <n v="5147"/>
        <n v="4507"/>
        <n v="8564"/>
        <n v="2468"/>
        <n v="8161"/>
        <n v="5294"/>
        <n v="2718"/>
        <n v="5811"/>
        <n v="2437"/>
        <n v="2766"/>
        <n v="19038"/>
        <n v="3055"/>
        <n v="2289"/>
        <n v="4001"/>
        <n v="12965"/>
        <n v="3539"/>
        <n v="6029"/>
        <n v="2679"/>
        <n v="3702"/>
        <n v="2398"/>
        <n v="5468"/>
        <n v="13116"/>
        <n v="4189"/>
        <n v="19328"/>
        <n v="8321"/>
        <n v="4071"/>
        <n v="5813"/>
        <n v="3143"/>
        <n v="13464"/>
        <n v="7991"/>
        <n v="3377"/>
        <n v="5538"/>
        <n v="5762"/>
        <n v="2592"/>
        <n v="4213"/>
        <n v="4127"/>
        <n v="2438"/>
        <n v="6870"/>
        <n v="10447"/>
        <n v="9667"/>
        <n v="2148"/>
        <n v="8926"/>
        <n v="6513"/>
        <n v="6799"/>
        <n v="16291"/>
        <n v="2705"/>
        <n v="10333"/>
        <n v="4448"/>
        <n v="6854"/>
        <n v="9637"/>
        <n v="3591"/>
        <n v="4684"/>
        <n v="15787"/>
        <n v="1514"/>
        <n v="2335"/>
        <n v="5154"/>
        <n v="6962"/>
        <n v="5675"/>
        <n v="2379"/>
        <n v="3812"/>
        <n v="4648"/>
        <n v="2105"/>
        <n v="8578"/>
        <n v="2706"/>
        <n v="6384"/>
        <n v="3968"/>
        <n v="9907"/>
        <n v="13225"/>
        <n v="3540"/>
        <n v="2804"/>
        <n v="19392"/>
        <n v="19665"/>
        <n v="2439"/>
        <n v="7314"/>
        <n v="4774"/>
        <n v="3902"/>
        <n v="2662"/>
        <n v="2856"/>
        <n v="1081"/>
        <n v="2472"/>
        <n v="5673"/>
        <n v="9713"/>
        <n v="2062"/>
        <n v="4788"/>
        <n v="5906"/>
        <n v="3886"/>
        <n v="16823"/>
        <n v="2933"/>
        <n v="17174"/>
        <n v="5033"/>
        <n v="2307"/>
        <n v="5507"/>
        <n v="4393"/>
        <n v="13348"/>
        <n v="6583"/>
        <n v="8103"/>
        <n v="3978"/>
        <n v="2544"/>
        <n v="5399"/>
        <n v="5487"/>
        <n v="6834"/>
        <n v="1091"/>
        <n v="5736"/>
        <n v="2226"/>
        <n v="5747"/>
        <n v="9854"/>
        <n v="5380"/>
        <n v="5151"/>
        <n v="2133"/>
        <n v="17875"/>
        <n v="2432"/>
        <n v="4771"/>
        <n v="19161"/>
        <n v="5087"/>
        <n v="2863"/>
        <n v="2144"/>
        <n v="3065"/>
        <n v="2810"/>
        <n v="9888"/>
        <n v="8628"/>
        <n v="2867"/>
        <n v="5373"/>
        <n v="6667"/>
        <n v="2858"/>
        <n v="4105"/>
        <n v="9679"/>
        <n v="5617"/>
        <n v="10448"/>
        <n v="2897"/>
        <n v="5968"/>
        <n v="7510"/>
        <n v="2991"/>
        <n v="19636"/>
        <n v="1129"/>
        <n v="13341"/>
        <n v="4332"/>
        <n v="11031"/>
        <n v="4440"/>
        <n v="4617"/>
        <n v="2647"/>
        <n v="6323"/>
        <n v="5677"/>
        <n v="3748"/>
        <n v="3977"/>
        <n v="8633"/>
        <n v="3067"/>
        <n v="5321"/>
        <n v="11957"/>
        <n v="2660"/>
        <n v="3375"/>
        <n v="5098"/>
        <n v="4878"/>
        <n v="2837"/>
        <n v="4108"/>
        <n v="13206"/>
        <n v="10422"/>
        <n v="13744"/>
        <n v="3482"/>
        <n v="19431"/>
        <n v="1790"/>
        <n v="7644"/>
        <n v="5131"/>
        <n v="6306"/>
        <n v="4787"/>
        <n v="18880"/>
        <n v="2339"/>
        <n v="13570"/>
        <n v="6712"/>
        <n v="5406"/>
        <n v="8938"/>
        <n v="8837"/>
        <n v="6728"/>
        <n v="6652"/>
        <n v="4850"/>
        <n v="2809"/>
        <n v="5689"/>
        <n v="2001"/>
        <n v="2977"/>
        <n v="3785"/>
        <n v="10854"/>
        <n v="12031"/>
        <n v="9936"/>
        <n v="2966"/>
        <n v="2571"/>
        <n v="9991"/>
        <n v="5390"/>
        <n v="4404"/>
      </sharedItems>
      <fieldGroup base="16">
        <rangePr autoStart="0" autoEnd="0" startNum="1000" endNum="20000" groupInterval="2500"/>
        <groupItems count="10">
          <s v="&lt;1000"/>
          <s v="1000-3499"/>
          <s v="3500-5999"/>
          <s v="6000-8499"/>
          <s v="8500-10999"/>
          <s v="11000-13499"/>
          <s v="13500-15999"/>
          <s v="16000-18499"/>
          <s v="18500-20999"/>
          <s v="&gt;21000"/>
        </groupItems>
      </fieldGroup>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ontainsSemiMixedTypes="0" containsString="0" containsNumber="1" containsInteger="1" minValue="0" maxValue="1" count="2">
        <n v="1"/>
        <n v="0"/>
      </sharedItems>
    </cacheField>
    <cacheField name="PercentSalaryHike" numFmtId="9">
      <sharedItems containsSemiMixedTypes="0" containsString="0" containsNumber="1" minValue="0.11" maxValue="0.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fieldGroup base="27">
        <rangePr startNum="0" endNum="40" groupInterval="5"/>
        <groupItems count="10">
          <s v="&lt;0"/>
          <s v="0-4"/>
          <s v="5-9"/>
          <s v="10-14"/>
          <s v="15-19"/>
          <s v="20-24"/>
          <s v="25-29"/>
          <s v="30-34"/>
          <s v="35-40"/>
          <s v="&gt;40"/>
        </groupItems>
      </fieldGroup>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ttrition" numFmtId="0">
      <sharedItems containsSemiMixedTypes="0" containsString="0" containsNumber="1" containsInteger="1" minValue="0" maxValue="1" count="2">
        <n v="1"/>
        <n v="0"/>
      </sharedItems>
    </cacheField>
    <cacheField name="Gender_Code" numFmtId="0">
      <sharedItems containsSemiMixedTypes="0" containsString="0" containsNumber="1" containsInteger="1" minValue="0" maxValue="1"/>
    </cacheField>
    <cacheField name="Travel_Code" numFmtId="0">
      <sharedItems containsSemiMixedTypes="0" containsString="0" containsNumber="1" containsInteger="1" minValue="0" maxValue="2"/>
    </cacheField>
    <cacheField name="Marital_Code" numFmtId="0">
      <sharedItems containsSemiMixedTypes="0" containsString="0" containsNumber="1" containsInteger="1" minValue="0" maxValue="2"/>
    </cacheField>
    <cacheField name="Flag_OT" numFmtId="0">
      <sharedItems containsSemiMixedTypes="0" containsString="0" containsNumber="1" containsInteger="1" minValue="0" maxValue="1"/>
    </cacheField>
    <cacheField name="Flag_Distance" numFmtId="0">
      <sharedItems containsSemiMixedTypes="0" containsString="0" containsNumber="1" containsInteger="1" minValue="0" maxValue="1"/>
    </cacheField>
    <cacheField name="Flag_Satisfaction" numFmtId="0">
      <sharedItems containsSemiMixedTypes="0" containsString="0" containsNumber="1" containsInteger="1" minValue="0" maxValue="1"/>
    </cacheField>
    <cacheField name="Flag_Income" numFmtId="0">
      <sharedItems containsSemiMixedTypes="0" containsString="0" containsNumber="1" containsInteger="1" minValue="0" maxValue="1"/>
    </cacheField>
    <cacheField name="Flag_Travel" numFmtId="0">
      <sharedItems containsSemiMixedTypes="0" containsString="0" containsNumber="1" containsInteger="1" minValue="0" maxValue="1"/>
    </cacheField>
    <cacheField name="Risk_Score_Raw" numFmtId="0">
      <sharedItems containsSemiMixedTypes="0" containsString="0" containsNumber="1" minValue="0" maxValue="29.025458743764514"/>
    </cacheField>
    <cacheField name="Attrition_Risk_Percentage" numFmtId="9">
      <sharedItems containsSemiMixedTypes="0" containsString="0" containsNumber="1" minValue="0" maxValue="1"/>
    </cacheField>
    <cacheField name="Risk_Category" numFmtId="0">
      <sharedItems count="4">
        <s v="Medium"/>
        <s v="High"/>
        <s v="Low"/>
        <s v="Critical"/>
      </sharedItems>
    </cacheField>
    <cacheField name="IncomeAtRisk" numFmtId="0">
      <sharedItems containsSemiMixedTypes="0" containsString="0" containsNumber="1" minValue="0" maxValue="29770.5"/>
    </cacheField>
  </cacheFields>
  <extLst>
    <ext xmlns:x14="http://schemas.microsoft.com/office/spreadsheetml/2009/9/main" uri="{725AE2AE-9491-48be-B2B4-4EB974FC3084}">
      <x14:pivotCacheDefinition pivotCacheId="206982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x v="0"/>
    <n v="1102"/>
    <x v="0"/>
    <n v="1"/>
    <n v="2"/>
    <x v="0"/>
    <n v="2"/>
    <x v="0"/>
    <n v="94"/>
    <n v="3"/>
    <n v="2"/>
    <x v="0"/>
    <n v="4"/>
    <x v="0"/>
    <x v="0"/>
    <n v="19479"/>
    <n v="8"/>
    <x v="0"/>
    <n v="0.11"/>
    <n v="3"/>
    <n v="1"/>
    <n v="0"/>
    <n v="8"/>
    <n v="0"/>
    <n v="1"/>
    <x v="0"/>
    <n v="4"/>
    <n v="0"/>
    <n v="5"/>
    <x v="0"/>
    <n v="0"/>
    <n v="1"/>
    <n v="0"/>
    <n v="1"/>
    <n v="0"/>
    <n v="0"/>
    <n v="0"/>
    <n v="0"/>
    <n v="10"/>
    <n v="0.3445251318258073"/>
    <x v="0"/>
    <n v="0"/>
  </r>
  <r>
    <x v="1"/>
    <x v="1"/>
    <x v="1"/>
    <n v="279"/>
    <x v="1"/>
    <n v="8"/>
    <n v="1"/>
    <x v="0"/>
    <n v="3"/>
    <x v="1"/>
    <n v="61"/>
    <n v="2"/>
    <n v="2"/>
    <x v="1"/>
    <n v="2"/>
    <x v="1"/>
    <x v="1"/>
    <n v="24907"/>
    <n v="1"/>
    <x v="1"/>
    <n v="0.23"/>
    <n v="4"/>
    <n v="4"/>
    <n v="1"/>
    <n v="10"/>
    <n v="3"/>
    <n v="3"/>
    <x v="1"/>
    <n v="7"/>
    <n v="1"/>
    <n v="7"/>
    <x v="1"/>
    <n v="1"/>
    <n v="2"/>
    <n v="1"/>
    <n v="0"/>
    <n v="0"/>
    <n v="1"/>
    <n v="0"/>
    <n v="1"/>
    <n v="9.3649231104683075"/>
    <n v="0.32264513691726432"/>
    <x v="0"/>
    <n v="0"/>
  </r>
  <r>
    <x v="2"/>
    <x v="2"/>
    <x v="0"/>
    <n v="1373"/>
    <x v="1"/>
    <n v="2"/>
    <n v="2"/>
    <x v="1"/>
    <n v="4"/>
    <x v="1"/>
    <n v="92"/>
    <n v="2"/>
    <n v="1"/>
    <x v="2"/>
    <n v="3"/>
    <x v="0"/>
    <x v="2"/>
    <n v="2396"/>
    <n v="6"/>
    <x v="0"/>
    <n v="0.15"/>
    <n v="3"/>
    <n v="2"/>
    <n v="0"/>
    <n v="7"/>
    <n v="3"/>
    <n v="3"/>
    <x v="2"/>
    <n v="0"/>
    <n v="0"/>
    <n v="0"/>
    <x v="0"/>
    <n v="1"/>
    <n v="1"/>
    <n v="0"/>
    <n v="1"/>
    <n v="0"/>
    <n v="0"/>
    <n v="1"/>
    <n v="0"/>
    <n v="16.494428937420828"/>
    <n v="0.56827453040563214"/>
    <x v="1"/>
    <n v="3135"/>
  </r>
  <r>
    <x v="3"/>
    <x v="3"/>
    <x v="1"/>
    <n v="1392"/>
    <x v="1"/>
    <n v="3"/>
    <n v="4"/>
    <x v="0"/>
    <n v="4"/>
    <x v="0"/>
    <n v="56"/>
    <n v="3"/>
    <n v="1"/>
    <x v="1"/>
    <n v="3"/>
    <x v="1"/>
    <x v="3"/>
    <n v="23159"/>
    <n v="1"/>
    <x v="0"/>
    <n v="0.11"/>
    <n v="3"/>
    <n v="3"/>
    <n v="0"/>
    <n v="8"/>
    <n v="3"/>
    <n v="3"/>
    <x v="3"/>
    <n v="7"/>
    <n v="3"/>
    <n v="0"/>
    <x v="1"/>
    <n v="0"/>
    <n v="2"/>
    <n v="1"/>
    <n v="1"/>
    <n v="0"/>
    <n v="0"/>
    <n v="1"/>
    <n v="1"/>
    <n v="21.654818917911005"/>
    <n v="0.74606293423572745"/>
    <x v="1"/>
    <n v="4363.5"/>
  </r>
  <r>
    <x v="4"/>
    <x v="4"/>
    <x v="0"/>
    <n v="591"/>
    <x v="1"/>
    <n v="2"/>
    <n v="1"/>
    <x v="2"/>
    <n v="1"/>
    <x v="1"/>
    <n v="40"/>
    <n v="3"/>
    <n v="1"/>
    <x v="2"/>
    <n v="2"/>
    <x v="1"/>
    <x v="4"/>
    <n v="16632"/>
    <n v="9"/>
    <x v="1"/>
    <n v="0.12"/>
    <n v="3"/>
    <n v="4"/>
    <n v="1"/>
    <n v="6"/>
    <n v="3"/>
    <n v="3"/>
    <x v="4"/>
    <n v="2"/>
    <n v="2"/>
    <n v="2"/>
    <x v="1"/>
    <n v="1"/>
    <n v="1"/>
    <n v="1"/>
    <n v="0"/>
    <n v="0"/>
    <n v="1"/>
    <n v="1"/>
    <n v="0"/>
    <n v="10.698962067398959"/>
    <n v="0.3686061316669938"/>
    <x v="0"/>
    <n v="0"/>
  </r>
  <r>
    <x v="5"/>
    <x v="5"/>
    <x v="1"/>
    <n v="1005"/>
    <x v="1"/>
    <n v="2"/>
    <n v="2"/>
    <x v="0"/>
    <n v="4"/>
    <x v="1"/>
    <n v="79"/>
    <n v="3"/>
    <n v="1"/>
    <x v="2"/>
    <n v="4"/>
    <x v="0"/>
    <x v="5"/>
    <n v="11864"/>
    <n v="0"/>
    <x v="1"/>
    <n v="0.13"/>
    <n v="3"/>
    <n v="3"/>
    <n v="0"/>
    <n v="8"/>
    <n v="2"/>
    <n v="2"/>
    <x v="5"/>
    <n v="7"/>
    <n v="3"/>
    <n v="6"/>
    <x v="1"/>
    <n v="1"/>
    <n v="2"/>
    <n v="0"/>
    <n v="0"/>
    <n v="0"/>
    <n v="0"/>
    <n v="1"/>
    <n v="1"/>
    <n v="11.654818917911005"/>
    <n v="0.40153780240992015"/>
    <x v="0"/>
    <n v="0"/>
  </r>
  <r>
    <x v="6"/>
    <x v="6"/>
    <x v="0"/>
    <n v="1324"/>
    <x v="1"/>
    <n v="3"/>
    <n v="3"/>
    <x v="2"/>
    <n v="3"/>
    <x v="0"/>
    <n v="81"/>
    <n v="4"/>
    <n v="1"/>
    <x v="2"/>
    <n v="1"/>
    <x v="1"/>
    <x v="6"/>
    <n v="9964"/>
    <n v="4"/>
    <x v="0"/>
    <n v="0.2"/>
    <n v="4"/>
    <n v="1"/>
    <n v="3"/>
    <n v="12"/>
    <n v="3"/>
    <n v="2"/>
    <x v="6"/>
    <n v="0"/>
    <n v="0"/>
    <n v="0"/>
    <x v="1"/>
    <n v="0"/>
    <n v="1"/>
    <n v="1"/>
    <n v="1"/>
    <n v="0"/>
    <n v="1"/>
    <n v="1"/>
    <n v="0"/>
    <n v="20.698962067398959"/>
    <n v="0.71313126349280109"/>
    <x v="1"/>
    <n v="4005"/>
  </r>
  <r>
    <x v="7"/>
    <x v="7"/>
    <x v="0"/>
    <n v="1358"/>
    <x v="1"/>
    <n v="24"/>
    <n v="1"/>
    <x v="0"/>
    <n v="4"/>
    <x v="1"/>
    <n v="67"/>
    <n v="3"/>
    <n v="1"/>
    <x v="2"/>
    <n v="3"/>
    <x v="2"/>
    <x v="7"/>
    <n v="13335"/>
    <n v="1"/>
    <x v="1"/>
    <n v="0.22"/>
    <n v="4"/>
    <n v="2"/>
    <n v="1"/>
    <n v="1"/>
    <n v="2"/>
    <n v="3"/>
    <x v="6"/>
    <n v="0"/>
    <n v="0"/>
    <n v="0"/>
    <x v="1"/>
    <n v="1"/>
    <n v="1"/>
    <n v="2"/>
    <n v="0"/>
    <n v="1"/>
    <n v="0"/>
    <n v="1"/>
    <n v="0"/>
    <n v="9.660535633296206"/>
    <n v="0.33282973125692844"/>
    <x v="0"/>
    <n v="0"/>
  </r>
  <r>
    <x v="8"/>
    <x v="8"/>
    <x v="1"/>
    <n v="216"/>
    <x v="1"/>
    <n v="23"/>
    <n v="3"/>
    <x v="0"/>
    <n v="4"/>
    <x v="1"/>
    <n v="44"/>
    <n v="2"/>
    <n v="3"/>
    <x v="3"/>
    <n v="3"/>
    <x v="0"/>
    <x v="8"/>
    <n v="8787"/>
    <n v="0"/>
    <x v="1"/>
    <n v="0.21"/>
    <n v="4"/>
    <n v="2"/>
    <n v="0"/>
    <n v="10"/>
    <n v="2"/>
    <n v="3"/>
    <x v="7"/>
    <n v="7"/>
    <n v="1"/>
    <n v="8"/>
    <x v="1"/>
    <n v="1"/>
    <n v="2"/>
    <n v="0"/>
    <n v="0"/>
    <n v="1"/>
    <n v="0"/>
    <n v="0"/>
    <n v="1"/>
    <n v="8.3264966763655544"/>
    <n v="0.28686873650719891"/>
    <x v="0"/>
    <n v="0"/>
  </r>
  <r>
    <x v="9"/>
    <x v="9"/>
    <x v="0"/>
    <n v="1299"/>
    <x v="1"/>
    <n v="27"/>
    <n v="3"/>
    <x v="2"/>
    <n v="3"/>
    <x v="1"/>
    <n v="94"/>
    <n v="3"/>
    <n v="2"/>
    <x v="4"/>
    <n v="3"/>
    <x v="1"/>
    <x v="9"/>
    <n v="16577"/>
    <n v="6"/>
    <x v="1"/>
    <n v="0.13"/>
    <n v="3"/>
    <n v="2"/>
    <n v="2"/>
    <n v="17"/>
    <n v="3"/>
    <n v="2"/>
    <x v="5"/>
    <n v="7"/>
    <n v="7"/>
    <n v="7"/>
    <x v="1"/>
    <n v="1"/>
    <n v="1"/>
    <n v="1"/>
    <n v="0"/>
    <n v="1"/>
    <n v="0"/>
    <n v="0"/>
    <n v="0"/>
    <n v="3.1661066958753779"/>
    <n v="0.10908033267710357"/>
    <x v="2"/>
    <n v="0"/>
  </r>
  <r>
    <x v="10"/>
    <x v="10"/>
    <x v="0"/>
    <n v="809"/>
    <x v="1"/>
    <n v="16"/>
    <n v="3"/>
    <x v="2"/>
    <n v="1"/>
    <x v="1"/>
    <n v="84"/>
    <n v="4"/>
    <n v="1"/>
    <x v="2"/>
    <n v="2"/>
    <x v="1"/>
    <x v="10"/>
    <n v="16479"/>
    <n v="0"/>
    <x v="1"/>
    <n v="0.13"/>
    <n v="3"/>
    <n v="3"/>
    <n v="1"/>
    <n v="6"/>
    <n v="5"/>
    <n v="3"/>
    <x v="8"/>
    <n v="4"/>
    <n v="0"/>
    <n v="3"/>
    <x v="1"/>
    <n v="1"/>
    <n v="1"/>
    <n v="1"/>
    <n v="0"/>
    <n v="1"/>
    <n v="1"/>
    <n v="1"/>
    <n v="0"/>
    <n v="13.865068763274337"/>
    <n v="0.47768646434409739"/>
    <x v="0"/>
    <n v="0"/>
  </r>
  <r>
    <x v="11"/>
    <x v="11"/>
    <x v="0"/>
    <n v="153"/>
    <x v="1"/>
    <n v="15"/>
    <n v="2"/>
    <x v="0"/>
    <n v="4"/>
    <x v="0"/>
    <n v="49"/>
    <n v="2"/>
    <n v="2"/>
    <x v="2"/>
    <n v="3"/>
    <x v="0"/>
    <x v="11"/>
    <n v="12682"/>
    <n v="0"/>
    <x v="0"/>
    <n v="0.12"/>
    <n v="3"/>
    <n v="4"/>
    <n v="0"/>
    <n v="10"/>
    <n v="3"/>
    <n v="3"/>
    <x v="7"/>
    <n v="5"/>
    <n v="0"/>
    <n v="8"/>
    <x v="1"/>
    <n v="0"/>
    <n v="1"/>
    <n v="0"/>
    <n v="1"/>
    <n v="0"/>
    <n v="0"/>
    <n v="1"/>
    <n v="0"/>
    <n v="16.494428937420828"/>
    <n v="0.56827453040563214"/>
    <x v="1"/>
    <n v="6289.5"/>
  </r>
  <r>
    <x v="12"/>
    <x v="12"/>
    <x v="0"/>
    <n v="670"/>
    <x v="1"/>
    <n v="26"/>
    <n v="1"/>
    <x v="0"/>
    <n v="1"/>
    <x v="1"/>
    <n v="31"/>
    <n v="3"/>
    <n v="1"/>
    <x v="1"/>
    <n v="3"/>
    <x v="2"/>
    <x v="12"/>
    <n v="15170"/>
    <n v="1"/>
    <x v="1"/>
    <n v="0.17"/>
    <n v="3"/>
    <n v="4"/>
    <n v="1"/>
    <n v="5"/>
    <n v="1"/>
    <n v="2"/>
    <x v="8"/>
    <n v="2"/>
    <n v="4"/>
    <n v="3"/>
    <x v="1"/>
    <n v="1"/>
    <n v="1"/>
    <n v="2"/>
    <n v="0"/>
    <n v="1"/>
    <n v="0"/>
    <n v="1"/>
    <n v="0"/>
    <n v="9.660535633296206"/>
    <n v="0.33282973125692844"/>
    <x v="0"/>
    <n v="0"/>
  </r>
  <r>
    <x v="13"/>
    <x v="13"/>
    <x v="0"/>
    <n v="1346"/>
    <x v="1"/>
    <n v="19"/>
    <n v="2"/>
    <x v="2"/>
    <n v="2"/>
    <x v="1"/>
    <n v="93"/>
    <n v="3"/>
    <n v="1"/>
    <x v="2"/>
    <n v="4"/>
    <x v="2"/>
    <x v="13"/>
    <n v="8758"/>
    <n v="0"/>
    <x v="1"/>
    <n v="0.11"/>
    <n v="3"/>
    <n v="3"/>
    <n v="1"/>
    <n v="3"/>
    <n v="2"/>
    <n v="3"/>
    <x v="4"/>
    <n v="2"/>
    <n v="1"/>
    <n v="2"/>
    <x v="1"/>
    <n v="1"/>
    <n v="1"/>
    <n v="2"/>
    <n v="0"/>
    <n v="1"/>
    <n v="0"/>
    <n v="1"/>
    <n v="0"/>
    <n v="9.660535633296206"/>
    <n v="0.33282973125692844"/>
    <x v="0"/>
    <n v="0"/>
  </r>
  <r>
    <x v="14"/>
    <x v="14"/>
    <x v="0"/>
    <n v="103"/>
    <x v="1"/>
    <n v="24"/>
    <n v="3"/>
    <x v="0"/>
    <n v="3"/>
    <x v="1"/>
    <n v="50"/>
    <n v="2"/>
    <n v="1"/>
    <x v="2"/>
    <n v="3"/>
    <x v="0"/>
    <x v="14"/>
    <n v="12947"/>
    <n v="5"/>
    <x v="0"/>
    <n v="0.14000000000000001"/>
    <n v="3"/>
    <n v="2"/>
    <n v="0"/>
    <n v="6"/>
    <n v="4"/>
    <n v="3"/>
    <x v="9"/>
    <n v="2"/>
    <n v="0"/>
    <n v="3"/>
    <x v="0"/>
    <n v="1"/>
    <n v="1"/>
    <n v="0"/>
    <n v="1"/>
    <n v="1"/>
    <n v="0"/>
    <n v="1"/>
    <n v="0"/>
    <n v="19.660535633296206"/>
    <n v="0.67735486308273574"/>
    <x v="1"/>
    <n v="3042"/>
  </r>
  <r>
    <x v="15"/>
    <x v="11"/>
    <x v="0"/>
    <n v="1389"/>
    <x v="1"/>
    <n v="21"/>
    <n v="4"/>
    <x v="0"/>
    <n v="2"/>
    <x v="0"/>
    <n v="51"/>
    <n v="4"/>
    <n v="3"/>
    <x v="3"/>
    <n v="1"/>
    <x v="2"/>
    <x v="15"/>
    <n v="10195"/>
    <n v="1"/>
    <x v="1"/>
    <n v="0.11"/>
    <n v="3"/>
    <n v="3"/>
    <n v="1"/>
    <n v="10"/>
    <n v="1"/>
    <n v="3"/>
    <x v="1"/>
    <n v="9"/>
    <n v="8"/>
    <n v="8"/>
    <x v="1"/>
    <n v="0"/>
    <n v="1"/>
    <n v="2"/>
    <n v="0"/>
    <n v="1"/>
    <n v="1"/>
    <n v="0"/>
    <n v="0"/>
    <n v="7.3706398258535089"/>
    <n v="0.25393706576427255"/>
    <x v="0"/>
    <n v="0"/>
  </r>
  <r>
    <x v="16"/>
    <x v="5"/>
    <x v="0"/>
    <n v="334"/>
    <x v="1"/>
    <n v="5"/>
    <n v="2"/>
    <x v="0"/>
    <n v="1"/>
    <x v="1"/>
    <n v="80"/>
    <n v="4"/>
    <n v="1"/>
    <x v="1"/>
    <n v="2"/>
    <x v="2"/>
    <x v="16"/>
    <n v="15053"/>
    <n v="0"/>
    <x v="0"/>
    <n v="0.12"/>
    <n v="3"/>
    <n v="4"/>
    <n v="2"/>
    <n v="7"/>
    <n v="5"/>
    <n v="2"/>
    <x v="0"/>
    <n v="2"/>
    <n v="0"/>
    <n v="5"/>
    <x v="1"/>
    <n v="1"/>
    <n v="1"/>
    <n v="2"/>
    <n v="1"/>
    <n v="0"/>
    <n v="1"/>
    <n v="1"/>
    <n v="0"/>
    <n v="20.698962067398959"/>
    <n v="0.71313126349280109"/>
    <x v="1"/>
    <n v="4947"/>
  </r>
  <r>
    <x v="17"/>
    <x v="15"/>
    <x v="2"/>
    <n v="1123"/>
    <x v="1"/>
    <n v="16"/>
    <n v="2"/>
    <x v="2"/>
    <n v="4"/>
    <x v="1"/>
    <n v="96"/>
    <n v="4"/>
    <n v="1"/>
    <x v="2"/>
    <n v="4"/>
    <x v="2"/>
    <x v="17"/>
    <n v="7324"/>
    <n v="1"/>
    <x v="0"/>
    <n v="0.13"/>
    <n v="3"/>
    <n v="2"/>
    <n v="2"/>
    <n v="1"/>
    <n v="2"/>
    <n v="2"/>
    <x v="6"/>
    <n v="0"/>
    <n v="0"/>
    <n v="0"/>
    <x v="1"/>
    <n v="1"/>
    <n v="0"/>
    <n v="2"/>
    <n v="1"/>
    <n v="1"/>
    <n v="0"/>
    <n v="1"/>
    <n v="0"/>
    <n v="19.660535633296206"/>
    <n v="0.67735486308273574"/>
    <x v="1"/>
    <n v="4402.5"/>
  </r>
  <r>
    <x v="18"/>
    <x v="16"/>
    <x v="0"/>
    <n v="1219"/>
    <x v="0"/>
    <n v="2"/>
    <n v="4"/>
    <x v="0"/>
    <n v="1"/>
    <x v="0"/>
    <n v="78"/>
    <n v="2"/>
    <n v="4"/>
    <x v="5"/>
    <n v="4"/>
    <x v="1"/>
    <x v="18"/>
    <n v="22021"/>
    <n v="2"/>
    <x v="1"/>
    <n v="0.16"/>
    <n v="3"/>
    <n v="3"/>
    <n v="0"/>
    <n v="31"/>
    <n v="3"/>
    <n v="3"/>
    <x v="10"/>
    <n v="8"/>
    <n v="3"/>
    <n v="7"/>
    <x v="1"/>
    <n v="0"/>
    <n v="1"/>
    <n v="1"/>
    <n v="0"/>
    <n v="0"/>
    <n v="0"/>
    <n v="0"/>
    <n v="0"/>
    <n v="0"/>
    <n v="0"/>
    <x v="2"/>
    <n v="0"/>
  </r>
  <r>
    <x v="19"/>
    <x v="8"/>
    <x v="0"/>
    <n v="371"/>
    <x v="1"/>
    <n v="2"/>
    <n v="3"/>
    <x v="0"/>
    <n v="4"/>
    <x v="1"/>
    <n v="45"/>
    <n v="3"/>
    <n v="1"/>
    <x v="1"/>
    <n v="4"/>
    <x v="0"/>
    <x v="19"/>
    <n v="4306"/>
    <n v="5"/>
    <x v="0"/>
    <n v="0.11"/>
    <n v="3"/>
    <n v="3"/>
    <n v="0"/>
    <n v="6"/>
    <n v="3"/>
    <n v="3"/>
    <x v="11"/>
    <n v="2"/>
    <n v="1"/>
    <n v="2"/>
    <x v="1"/>
    <n v="1"/>
    <n v="1"/>
    <n v="0"/>
    <n v="1"/>
    <n v="0"/>
    <n v="0"/>
    <n v="1"/>
    <n v="0"/>
    <n v="16.494428937420828"/>
    <n v="0.56827453040563214"/>
    <x v="1"/>
    <n v="5916"/>
  </r>
  <r>
    <x v="20"/>
    <x v="17"/>
    <x v="2"/>
    <n v="673"/>
    <x v="1"/>
    <n v="11"/>
    <n v="2"/>
    <x v="1"/>
    <n v="1"/>
    <x v="0"/>
    <n v="96"/>
    <n v="4"/>
    <n v="2"/>
    <x v="3"/>
    <n v="3"/>
    <x v="2"/>
    <x v="20"/>
    <n v="8232"/>
    <n v="0"/>
    <x v="1"/>
    <n v="0.18"/>
    <n v="3"/>
    <n v="4"/>
    <n v="1"/>
    <n v="5"/>
    <n v="5"/>
    <n v="2"/>
    <x v="9"/>
    <n v="2"/>
    <n v="1"/>
    <n v="3"/>
    <x v="1"/>
    <n v="0"/>
    <n v="0"/>
    <n v="2"/>
    <n v="0"/>
    <n v="0"/>
    <n v="0"/>
    <n v="1"/>
    <n v="0"/>
    <n v="6.4944289374208282"/>
    <n v="0.22374939857982484"/>
    <x v="2"/>
    <n v="0"/>
  </r>
  <r>
    <x v="21"/>
    <x v="9"/>
    <x v="0"/>
    <n v="1218"/>
    <x v="0"/>
    <n v="9"/>
    <n v="4"/>
    <x v="0"/>
    <n v="3"/>
    <x v="1"/>
    <n v="82"/>
    <n v="2"/>
    <n v="1"/>
    <x v="6"/>
    <n v="1"/>
    <x v="0"/>
    <x v="21"/>
    <n v="6986"/>
    <n v="7"/>
    <x v="1"/>
    <n v="0.23"/>
    <n v="4"/>
    <n v="2"/>
    <n v="0"/>
    <n v="10"/>
    <n v="4"/>
    <n v="3"/>
    <x v="8"/>
    <n v="3"/>
    <n v="0"/>
    <n v="3"/>
    <x v="0"/>
    <n v="1"/>
    <n v="1"/>
    <n v="0"/>
    <n v="0"/>
    <n v="0"/>
    <n v="1"/>
    <n v="1"/>
    <n v="0"/>
    <n v="10.698962067398959"/>
    <n v="0.3686061316669938"/>
    <x v="0"/>
    <n v="0"/>
  </r>
  <r>
    <x v="22"/>
    <x v="13"/>
    <x v="0"/>
    <n v="419"/>
    <x v="1"/>
    <n v="7"/>
    <n v="4"/>
    <x v="0"/>
    <n v="1"/>
    <x v="0"/>
    <n v="53"/>
    <n v="3"/>
    <n v="3"/>
    <x v="7"/>
    <n v="2"/>
    <x v="0"/>
    <x v="22"/>
    <n v="21293"/>
    <n v="0"/>
    <x v="1"/>
    <n v="0.11"/>
    <n v="3"/>
    <n v="3"/>
    <n v="0"/>
    <n v="13"/>
    <n v="4"/>
    <n v="3"/>
    <x v="12"/>
    <n v="6"/>
    <n v="2"/>
    <n v="11"/>
    <x v="1"/>
    <n v="0"/>
    <n v="1"/>
    <n v="0"/>
    <n v="0"/>
    <n v="0"/>
    <n v="1"/>
    <n v="0"/>
    <n v="0"/>
    <n v="4.204533129978131"/>
    <n v="0.14485673308716898"/>
    <x v="2"/>
    <n v="0"/>
  </r>
  <r>
    <x v="23"/>
    <x v="18"/>
    <x v="0"/>
    <n v="391"/>
    <x v="1"/>
    <n v="15"/>
    <n v="2"/>
    <x v="0"/>
    <n v="3"/>
    <x v="1"/>
    <n v="96"/>
    <n v="3"/>
    <n v="1"/>
    <x v="1"/>
    <n v="4"/>
    <x v="0"/>
    <x v="23"/>
    <n v="19281"/>
    <n v="1"/>
    <x v="1"/>
    <n v="0.14000000000000001"/>
    <n v="3"/>
    <n v="4"/>
    <n v="0"/>
    <n v="0"/>
    <n v="6"/>
    <n v="3"/>
    <x v="2"/>
    <n v="0"/>
    <n v="0"/>
    <n v="0"/>
    <x v="1"/>
    <n v="1"/>
    <n v="1"/>
    <n v="0"/>
    <n v="0"/>
    <n v="0"/>
    <n v="0"/>
    <n v="1"/>
    <n v="0"/>
    <n v="6.4944289374208282"/>
    <n v="0.22374939857982484"/>
    <x v="2"/>
    <n v="0"/>
  </r>
  <r>
    <x v="24"/>
    <x v="13"/>
    <x v="0"/>
    <n v="699"/>
    <x v="1"/>
    <n v="6"/>
    <n v="1"/>
    <x v="2"/>
    <n v="2"/>
    <x v="1"/>
    <n v="83"/>
    <n v="3"/>
    <n v="1"/>
    <x v="1"/>
    <n v="1"/>
    <x v="0"/>
    <x v="24"/>
    <n v="17102"/>
    <n v="2"/>
    <x v="1"/>
    <n v="0.11"/>
    <n v="3"/>
    <n v="3"/>
    <n v="0"/>
    <n v="8"/>
    <n v="2"/>
    <n v="3"/>
    <x v="9"/>
    <n v="2"/>
    <n v="1"/>
    <n v="3"/>
    <x v="0"/>
    <n v="1"/>
    <n v="1"/>
    <n v="0"/>
    <n v="0"/>
    <n v="0"/>
    <n v="1"/>
    <n v="1"/>
    <n v="0"/>
    <n v="10.698962067398959"/>
    <n v="0.3686061316669938"/>
    <x v="0"/>
    <n v="0"/>
  </r>
  <r>
    <x v="25"/>
    <x v="16"/>
    <x v="0"/>
    <n v="1282"/>
    <x v="1"/>
    <n v="5"/>
    <n v="3"/>
    <x v="1"/>
    <n v="3"/>
    <x v="0"/>
    <n v="58"/>
    <n v="3"/>
    <n v="5"/>
    <x v="5"/>
    <n v="3"/>
    <x v="2"/>
    <x v="25"/>
    <n v="10735"/>
    <n v="4"/>
    <x v="1"/>
    <n v="0.11"/>
    <n v="3"/>
    <n v="4"/>
    <n v="1"/>
    <n v="26"/>
    <n v="3"/>
    <n v="2"/>
    <x v="13"/>
    <n v="13"/>
    <n v="4"/>
    <n v="8"/>
    <x v="1"/>
    <n v="0"/>
    <n v="1"/>
    <n v="2"/>
    <n v="0"/>
    <n v="0"/>
    <n v="0"/>
    <n v="0"/>
    <n v="0"/>
    <n v="0"/>
    <n v="0"/>
    <x v="2"/>
    <n v="0"/>
  </r>
  <r>
    <x v="26"/>
    <x v="5"/>
    <x v="1"/>
    <n v="1125"/>
    <x v="1"/>
    <n v="16"/>
    <n v="1"/>
    <x v="0"/>
    <n v="2"/>
    <x v="0"/>
    <n v="72"/>
    <n v="1"/>
    <n v="1"/>
    <x v="1"/>
    <n v="1"/>
    <x v="0"/>
    <x v="26"/>
    <n v="4681"/>
    <n v="1"/>
    <x v="0"/>
    <n v="0.22"/>
    <n v="4"/>
    <n v="2"/>
    <n v="0"/>
    <n v="10"/>
    <n v="5"/>
    <n v="3"/>
    <x v="1"/>
    <n v="2"/>
    <n v="6"/>
    <n v="7"/>
    <x v="0"/>
    <n v="0"/>
    <n v="2"/>
    <n v="0"/>
    <n v="1"/>
    <n v="1"/>
    <n v="1"/>
    <n v="1"/>
    <n v="1"/>
    <n v="29.025458743764514"/>
    <n v="1"/>
    <x v="3"/>
    <n v="5878.5"/>
  </r>
  <r>
    <x v="27"/>
    <x v="19"/>
    <x v="0"/>
    <n v="691"/>
    <x v="0"/>
    <n v="8"/>
    <n v="4"/>
    <x v="3"/>
    <n v="3"/>
    <x v="1"/>
    <n v="48"/>
    <n v="3"/>
    <n v="2"/>
    <x v="0"/>
    <n v="2"/>
    <x v="1"/>
    <x v="27"/>
    <n v="21173"/>
    <n v="0"/>
    <x v="1"/>
    <n v="0.11"/>
    <n v="3"/>
    <n v="4"/>
    <n v="1"/>
    <n v="10"/>
    <n v="2"/>
    <n v="3"/>
    <x v="7"/>
    <n v="7"/>
    <n v="4"/>
    <n v="2"/>
    <x v="1"/>
    <n v="1"/>
    <n v="1"/>
    <n v="1"/>
    <n v="0"/>
    <n v="0"/>
    <n v="1"/>
    <n v="0"/>
    <n v="0"/>
    <n v="4.204533129978131"/>
    <n v="0.14485673308716898"/>
    <x v="2"/>
    <n v="0"/>
  </r>
  <r>
    <x v="28"/>
    <x v="20"/>
    <x v="0"/>
    <n v="477"/>
    <x v="1"/>
    <n v="7"/>
    <n v="4"/>
    <x v="2"/>
    <n v="1"/>
    <x v="0"/>
    <n v="42"/>
    <n v="2"/>
    <n v="3"/>
    <x v="4"/>
    <n v="4"/>
    <x v="1"/>
    <x v="28"/>
    <n v="2094"/>
    <n v="3"/>
    <x v="1"/>
    <n v="0.14000000000000001"/>
    <n v="3"/>
    <n v="4"/>
    <n v="1"/>
    <n v="24"/>
    <n v="4"/>
    <n v="3"/>
    <x v="14"/>
    <n v="6"/>
    <n v="5"/>
    <n v="17"/>
    <x v="1"/>
    <n v="0"/>
    <n v="1"/>
    <n v="1"/>
    <n v="0"/>
    <n v="0"/>
    <n v="0"/>
    <n v="0"/>
    <n v="0"/>
    <n v="0"/>
    <n v="0"/>
    <x v="2"/>
    <n v="0"/>
  </r>
  <r>
    <x v="29"/>
    <x v="21"/>
    <x v="0"/>
    <n v="705"/>
    <x v="0"/>
    <n v="2"/>
    <n v="4"/>
    <x v="3"/>
    <n v="2"/>
    <x v="0"/>
    <n v="83"/>
    <n v="3"/>
    <n v="5"/>
    <x v="5"/>
    <n v="1"/>
    <x v="0"/>
    <x v="29"/>
    <n v="22822"/>
    <n v="3"/>
    <x v="1"/>
    <n v="0.12"/>
    <n v="3"/>
    <n v="4"/>
    <n v="0"/>
    <n v="22"/>
    <n v="2"/>
    <n v="2"/>
    <x v="4"/>
    <n v="2"/>
    <n v="2"/>
    <n v="1"/>
    <x v="1"/>
    <n v="0"/>
    <n v="1"/>
    <n v="0"/>
    <n v="0"/>
    <n v="0"/>
    <n v="1"/>
    <n v="0"/>
    <n v="0"/>
    <n v="4.204533129978131"/>
    <n v="0.14485673308716898"/>
    <x v="2"/>
    <n v="0"/>
  </r>
  <r>
    <x v="30"/>
    <x v="3"/>
    <x v="0"/>
    <n v="924"/>
    <x v="1"/>
    <n v="2"/>
    <n v="3"/>
    <x v="2"/>
    <n v="3"/>
    <x v="1"/>
    <n v="78"/>
    <n v="3"/>
    <n v="1"/>
    <x v="2"/>
    <n v="4"/>
    <x v="0"/>
    <x v="30"/>
    <n v="6670"/>
    <n v="4"/>
    <x v="1"/>
    <n v="0.11"/>
    <n v="3"/>
    <n v="4"/>
    <n v="0"/>
    <n v="7"/>
    <n v="3"/>
    <n v="3"/>
    <x v="6"/>
    <n v="1"/>
    <n v="0"/>
    <n v="0"/>
    <x v="1"/>
    <n v="1"/>
    <n v="1"/>
    <n v="0"/>
    <n v="0"/>
    <n v="0"/>
    <n v="0"/>
    <n v="1"/>
    <n v="0"/>
    <n v="6.4944289374208282"/>
    <n v="0.22374939857982484"/>
    <x v="2"/>
    <n v="0"/>
  </r>
  <r>
    <x v="31"/>
    <x v="20"/>
    <x v="0"/>
    <n v="1459"/>
    <x v="1"/>
    <n v="10"/>
    <n v="4"/>
    <x v="1"/>
    <n v="4"/>
    <x v="1"/>
    <n v="41"/>
    <n v="3"/>
    <n v="2"/>
    <x v="4"/>
    <n v="4"/>
    <x v="1"/>
    <x v="31"/>
    <n v="19121"/>
    <n v="2"/>
    <x v="0"/>
    <n v="0.13"/>
    <n v="3"/>
    <n v="4"/>
    <n v="0"/>
    <n v="9"/>
    <n v="5"/>
    <n v="4"/>
    <x v="9"/>
    <n v="2"/>
    <n v="1"/>
    <n v="3"/>
    <x v="1"/>
    <n v="1"/>
    <n v="1"/>
    <n v="1"/>
    <n v="1"/>
    <n v="0"/>
    <n v="0"/>
    <n v="0"/>
    <n v="0"/>
    <n v="10"/>
    <n v="0.3445251318258073"/>
    <x v="0"/>
    <n v="0"/>
  </r>
  <r>
    <x v="32"/>
    <x v="7"/>
    <x v="0"/>
    <n v="125"/>
    <x v="1"/>
    <n v="9"/>
    <n v="2"/>
    <x v="2"/>
    <n v="4"/>
    <x v="1"/>
    <n v="83"/>
    <n v="2"/>
    <n v="1"/>
    <x v="2"/>
    <n v="3"/>
    <x v="0"/>
    <x v="32"/>
    <n v="16117"/>
    <n v="1"/>
    <x v="1"/>
    <n v="0.13"/>
    <n v="3"/>
    <n v="1"/>
    <n v="0"/>
    <n v="10"/>
    <n v="5"/>
    <n v="3"/>
    <x v="1"/>
    <n v="0"/>
    <n v="1"/>
    <n v="8"/>
    <x v="1"/>
    <n v="1"/>
    <n v="1"/>
    <n v="0"/>
    <n v="0"/>
    <n v="0"/>
    <n v="0"/>
    <n v="1"/>
    <n v="0"/>
    <n v="6.4944289374208282"/>
    <n v="0.22374939857982484"/>
    <x v="2"/>
    <n v="0"/>
  </r>
  <r>
    <x v="33"/>
    <x v="22"/>
    <x v="0"/>
    <n v="895"/>
    <x v="0"/>
    <n v="5"/>
    <n v="3"/>
    <x v="4"/>
    <n v="4"/>
    <x v="1"/>
    <n v="56"/>
    <n v="3"/>
    <n v="2"/>
    <x v="6"/>
    <n v="4"/>
    <x v="1"/>
    <x v="33"/>
    <n v="3335"/>
    <n v="3"/>
    <x v="1"/>
    <n v="0.14000000000000001"/>
    <n v="3"/>
    <n v="3"/>
    <n v="1"/>
    <n v="19"/>
    <n v="6"/>
    <n v="4"/>
    <x v="6"/>
    <n v="0"/>
    <n v="0"/>
    <n v="0"/>
    <x v="0"/>
    <n v="1"/>
    <n v="1"/>
    <n v="1"/>
    <n v="0"/>
    <n v="0"/>
    <n v="0"/>
    <n v="1"/>
    <n v="0"/>
    <n v="6.4944289374208282"/>
    <n v="0.22374939857982484"/>
    <x v="2"/>
    <n v="0"/>
  </r>
  <r>
    <x v="34"/>
    <x v="17"/>
    <x v="0"/>
    <n v="813"/>
    <x v="1"/>
    <n v="1"/>
    <n v="3"/>
    <x v="2"/>
    <n v="2"/>
    <x v="1"/>
    <n v="61"/>
    <n v="3"/>
    <n v="1"/>
    <x v="1"/>
    <n v="4"/>
    <x v="1"/>
    <x v="34"/>
    <n v="3020"/>
    <n v="2"/>
    <x v="0"/>
    <n v="0.16"/>
    <n v="3"/>
    <n v="1"/>
    <n v="1"/>
    <n v="6"/>
    <n v="2"/>
    <n v="2"/>
    <x v="4"/>
    <n v="0"/>
    <n v="2"/>
    <n v="0"/>
    <x v="0"/>
    <n v="1"/>
    <n v="1"/>
    <n v="1"/>
    <n v="1"/>
    <n v="0"/>
    <n v="0"/>
    <n v="1"/>
    <n v="0"/>
    <n v="16.494428937420828"/>
    <n v="0.56827453040563214"/>
    <x v="1"/>
    <n v="3439.5"/>
  </r>
  <r>
    <x v="35"/>
    <x v="23"/>
    <x v="0"/>
    <n v="1273"/>
    <x v="1"/>
    <n v="2"/>
    <n v="2"/>
    <x v="2"/>
    <n v="4"/>
    <x v="0"/>
    <n v="72"/>
    <n v="4"/>
    <n v="1"/>
    <x v="1"/>
    <n v="3"/>
    <x v="2"/>
    <x v="35"/>
    <n v="21923"/>
    <n v="1"/>
    <x v="1"/>
    <n v="0.12"/>
    <n v="3"/>
    <n v="4"/>
    <n v="2"/>
    <n v="6"/>
    <n v="3"/>
    <n v="2"/>
    <x v="8"/>
    <n v="3"/>
    <n v="1"/>
    <n v="4"/>
    <x v="1"/>
    <n v="0"/>
    <n v="1"/>
    <n v="2"/>
    <n v="0"/>
    <n v="0"/>
    <n v="0"/>
    <n v="1"/>
    <n v="0"/>
    <n v="6.4944289374208282"/>
    <n v="0.22374939857982484"/>
    <x v="2"/>
    <n v="0"/>
  </r>
  <r>
    <x v="36"/>
    <x v="24"/>
    <x v="0"/>
    <n v="869"/>
    <x v="0"/>
    <n v="3"/>
    <n v="2"/>
    <x v="3"/>
    <n v="1"/>
    <x v="1"/>
    <n v="86"/>
    <n v="2"/>
    <n v="1"/>
    <x v="6"/>
    <n v="3"/>
    <x v="1"/>
    <x v="36"/>
    <n v="3810"/>
    <n v="1"/>
    <x v="0"/>
    <n v="0.14000000000000001"/>
    <n v="3"/>
    <n v="3"/>
    <n v="0"/>
    <n v="3"/>
    <n v="2"/>
    <n v="3"/>
    <x v="11"/>
    <n v="2"/>
    <n v="0"/>
    <n v="2"/>
    <x v="0"/>
    <n v="1"/>
    <n v="1"/>
    <n v="1"/>
    <n v="1"/>
    <n v="0"/>
    <n v="0"/>
    <n v="1"/>
    <n v="0"/>
    <n v="16.494428937420828"/>
    <n v="0.56827453040563214"/>
    <x v="1"/>
    <n v="4024.5"/>
  </r>
  <r>
    <x v="37"/>
    <x v="10"/>
    <x v="0"/>
    <n v="890"/>
    <x v="0"/>
    <n v="2"/>
    <n v="3"/>
    <x v="3"/>
    <n v="4"/>
    <x v="0"/>
    <n v="97"/>
    <n v="3"/>
    <n v="1"/>
    <x v="6"/>
    <n v="4"/>
    <x v="1"/>
    <x v="37"/>
    <n v="9687"/>
    <n v="1"/>
    <x v="1"/>
    <n v="0.13"/>
    <n v="3"/>
    <n v="1"/>
    <n v="0"/>
    <n v="2"/>
    <n v="3"/>
    <n v="3"/>
    <x v="4"/>
    <n v="2"/>
    <n v="2"/>
    <n v="2"/>
    <x v="1"/>
    <n v="0"/>
    <n v="1"/>
    <n v="1"/>
    <n v="0"/>
    <n v="0"/>
    <n v="0"/>
    <n v="1"/>
    <n v="0"/>
    <n v="6.4944289374208282"/>
    <n v="0.22374939857982484"/>
    <x v="2"/>
    <n v="0"/>
  </r>
  <r>
    <x v="38"/>
    <x v="9"/>
    <x v="0"/>
    <n v="852"/>
    <x v="1"/>
    <n v="5"/>
    <n v="4"/>
    <x v="0"/>
    <n v="2"/>
    <x v="0"/>
    <n v="82"/>
    <n v="2"/>
    <n v="1"/>
    <x v="1"/>
    <n v="1"/>
    <x v="1"/>
    <x v="38"/>
    <n v="13072"/>
    <n v="9"/>
    <x v="0"/>
    <n v="0.14000000000000001"/>
    <n v="3"/>
    <n v="4"/>
    <n v="1"/>
    <n v="6"/>
    <n v="3"/>
    <n v="4"/>
    <x v="6"/>
    <n v="1"/>
    <n v="0"/>
    <n v="0"/>
    <x v="1"/>
    <n v="0"/>
    <n v="1"/>
    <n v="1"/>
    <n v="1"/>
    <n v="0"/>
    <n v="1"/>
    <n v="1"/>
    <n v="0"/>
    <n v="20.698962067398959"/>
    <n v="0.71313126349280109"/>
    <x v="1"/>
    <n v="5128.5"/>
  </r>
  <r>
    <x v="39"/>
    <x v="3"/>
    <x v="1"/>
    <n v="1141"/>
    <x v="0"/>
    <n v="1"/>
    <n v="3"/>
    <x v="0"/>
    <n v="3"/>
    <x v="0"/>
    <n v="42"/>
    <n v="4"/>
    <n v="2"/>
    <x v="0"/>
    <n v="1"/>
    <x v="1"/>
    <x v="39"/>
    <n v="3193"/>
    <n v="2"/>
    <x v="1"/>
    <n v="0.19"/>
    <n v="3"/>
    <n v="1"/>
    <n v="2"/>
    <n v="10"/>
    <n v="3"/>
    <n v="3"/>
    <x v="8"/>
    <n v="3"/>
    <n v="1"/>
    <n v="3"/>
    <x v="1"/>
    <n v="0"/>
    <n v="2"/>
    <n v="1"/>
    <n v="0"/>
    <n v="0"/>
    <n v="1"/>
    <n v="0"/>
    <n v="1"/>
    <n v="9.3649231104683075"/>
    <n v="0.32264513691726432"/>
    <x v="0"/>
    <n v="0"/>
  </r>
  <r>
    <x v="40"/>
    <x v="10"/>
    <x v="0"/>
    <n v="464"/>
    <x v="1"/>
    <n v="4"/>
    <n v="2"/>
    <x v="1"/>
    <n v="3"/>
    <x v="1"/>
    <n v="75"/>
    <n v="3"/>
    <n v="1"/>
    <x v="2"/>
    <n v="4"/>
    <x v="2"/>
    <x v="40"/>
    <n v="10910"/>
    <n v="1"/>
    <x v="1"/>
    <n v="0.12"/>
    <n v="3"/>
    <n v="3"/>
    <n v="1"/>
    <n v="1"/>
    <n v="3"/>
    <n v="3"/>
    <x v="6"/>
    <n v="0"/>
    <n v="0"/>
    <n v="0"/>
    <x v="1"/>
    <n v="1"/>
    <n v="1"/>
    <n v="2"/>
    <n v="0"/>
    <n v="0"/>
    <n v="0"/>
    <n v="1"/>
    <n v="0"/>
    <n v="6.4944289374208282"/>
    <n v="0.22374939857982484"/>
    <x v="2"/>
    <n v="0"/>
  </r>
  <r>
    <x v="41"/>
    <x v="4"/>
    <x v="0"/>
    <n v="1240"/>
    <x v="1"/>
    <n v="2"/>
    <n v="4"/>
    <x v="0"/>
    <n v="4"/>
    <x v="0"/>
    <n v="33"/>
    <n v="3"/>
    <n v="1"/>
    <x v="2"/>
    <n v="1"/>
    <x v="2"/>
    <x v="41"/>
    <n v="19715"/>
    <n v="1"/>
    <x v="1"/>
    <n v="0.13"/>
    <n v="3"/>
    <n v="4"/>
    <n v="1"/>
    <n v="1"/>
    <n v="6"/>
    <n v="3"/>
    <x v="6"/>
    <n v="0"/>
    <n v="0"/>
    <n v="0"/>
    <x v="1"/>
    <n v="0"/>
    <n v="1"/>
    <n v="2"/>
    <n v="0"/>
    <n v="0"/>
    <n v="1"/>
    <n v="1"/>
    <n v="0"/>
    <n v="10.698962067398959"/>
    <n v="0.3686061316669938"/>
    <x v="0"/>
    <n v="0"/>
  </r>
  <r>
    <x v="42"/>
    <x v="25"/>
    <x v="0"/>
    <n v="1357"/>
    <x v="1"/>
    <n v="25"/>
    <n v="3"/>
    <x v="0"/>
    <n v="1"/>
    <x v="1"/>
    <n v="48"/>
    <n v="1"/>
    <n v="1"/>
    <x v="2"/>
    <n v="3"/>
    <x v="0"/>
    <x v="34"/>
    <n v="10558"/>
    <n v="1"/>
    <x v="1"/>
    <n v="0.12"/>
    <n v="3"/>
    <n v="3"/>
    <n v="0"/>
    <n v="1"/>
    <n v="2"/>
    <n v="2"/>
    <x v="6"/>
    <n v="0"/>
    <n v="0"/>
    <n v="1"/>
    <x v="0"/>
    <n v="1"/>
    <n v="1"/>
    <n v="0"/>
    <n v="0"/>
    <n v="1"/>
    <n v="0"/>
    <n v="1"/>
    <n v="0"/>
    <n v="9.660535633296206"/>
    <n v="0.33282973125692844"/>
    <x v="0"/>
    <n v="0"/>
  </r>
  <r>
    <x v="43"/>
    <x v="4"/>
    <x v="1"/>
    <n v="994"/>
    <x v="0"/>
    <n v="8"/>
    <n v="3"/>
    <x v="0"/>
    <n v="4"/>
    <x v="1"/>
    <n v="37"/>
    <n v="3"/>
    <n v="3"/>
    <x v="0"/>
    <n v="3"/>
    <x v="0"/>
    <x v="42"/>
    <n v="2975"/>
    <n v="1"/>
    <x v="1"/>
    <n v="0.15"/>
    <n v="3"/>
    <n v="4"/>
    <n v="0"/>
    <n v="9"/>
    <n v="0"/>
    <n v="3"/>
    <x v="7"/>
    <n v="8"/>
    <n v="1"/>
    <n v="7"/>
    <x v="1"/>
    <n v="1"/>
    <n v="2"/>
    <n v="0"/>
    <n v="0"/>
    <n v="0"/>
    <n v="0"/>
    <n v="0"/>
    <n v="1"/>
    <n v="5.1603899804901765"/>
    <n v="0.17778840383009531"/>
    <x v="2"/>
    <n v="0"/>
  </r>
  <r>
    <x v="44"/>
    <x v="7"/>
    <x v="1"/>
    <n v="721"/>
    <x v="1"/>
    <n v="1"/>
    <n v="2"/>
    <x v="2"/>
    <n v="3"/>
    <x v="0"/>
    <n v="58"/>
    <n v="3"/>
    <n v="2"/>
    <x v="2"/>
    <n v="4"/>
    <x v="0"/>
    <x v="20"/>
    <n v="10781"/>
    <n v="1"/>
    <x v="1"/>
    <n v="0.23"/>
    <n v="4"/>
    <n v="4"/>
    <n v="0"/>
    <n v="12"/>
    <n v="2"/>
    <n v="3"/>
    <x v="12"/>
    <n v="8"/>
    <n v="3"/>
    <n v="7"/>
    <x v="1"/>
    <n v="0"/>
    <n v="2"/>
    <n v="0"/>
    <n v="0"/>
    <n v="0"/>
    <n v="0"/>
    <n v="1"/>
    <n v="1"/>
    <n v="11.654818917911005"/>
    <n v="0.40153780240992015"/>
    <x v="0"/>
    <n v="0"/>
  </r>
  <r>
    <x v="45"/>
    <x v="0"/>
    <x v="0"/>
    <n v="1360"/>
    <x v="1"/>
    <n v="12"/>
    <n v="3"/>
    <x v="4"/>
    <n v="2"/>
    <x v="0"/>
    <n v="49"/>
    <n v="3"/>
    <n v="5"/>
    <x v="7"/>
    <n v="3"/>
    <x v="1"/>
    <x v="43"/>
    <n v="16280"/>
    <n v="1"/>
    <x v="1"/>
    <n v="0.12"/>
    <n v="3"/>
    <n v="4"/>
    <n v="0"/>
    <n v="23"/>
    <n v="0"/>
    <n v="3"/>
    <x v="14"/>
    <n v="15"/>
    <n v="15"/>
    <n v="8"/>
    <x v="0"/>
    <n v="0"/>
    <n v="1"/>
    <n v="1"/>
    <n v="0"/>
    <n v="0"/>
    <n v="0"/>
    <n v="0"/>
    <n v="0"/>
    <n v="0"/>
    <n v="0"/>
    <x v="2"/>
    <n v="0"/>
  </r>
  <r>
    <x v="46"/>
    <x v="13"/>
    <x v="2"/>
    <n v="1065"/>
    <x v="0"/>
    <n v="23"/>
    <n v="4"/>
    <x v="3"/>
    <n v="2"/>
    <x v="1"/>
    <n v="72"/>
    <n v="3"/>
    <n v="2"/>
    <x v="0"/>
    <n v="3"/>
    <x v="0"/>
    <x v="44"/>
    <n v="10034"/>
    <n v="0"/>
    <x v="1"/>
    <n v="0.2"/>
    <n v="4"/>
    <n v="3"/>
    <n v="0"/>
    <n v="10"/>
    <n v="2"/>
    <n v="3"/>
    <x v="7"/>
    <n v="5"/>
    <n v="8"/>
    <n v="7"/>
    <x v="1"/>
    <n v="1"/>
    <n v="0"/>
    <n v="0"/>
    <n v="0"/>
    <n v="1"/>
    <n v="0"/>
    <n v="1"/>
    <n v="0"/>
    <n v="9.660535633296206"/>
    <n v="0.33282973125692844"/>
    <x v="0"/>
    <n v="0"/>
  </r>
  <r>
    <x v="47"/>
    <x v="2"/>
    <x v="0"/>
    <n v="408"/>
    <x v="1"/>
    <n v="19"/>
    <n v="2"/>
    <x v="0"/>
    <n v="2"/>
    <x v="1"/>
    <n v="73"/>
    <n v="3"/>
    <n v="1"/>
    <x v="1"/>
    <n v="2"/>
    <x v="1"/>
    <x v="45"/>
    <n v="10227"/>
    <n v="4"/>
    <x v="1"/>
    <n v="0.21"/>
    <n v="4"/>
    <n v="1"/>
    <n v="0"/>
    <n v="8"/>
    <n v="1"/>
    <n v="3"/>
    <x v="6"/>
    <n v="0"/>
    <n v="0"/>
    <n v="0"/>
    <x v="1"/>
    <n v="1"/>
    <n v="1"/>
    <n v="1"/>
    <n v="0"/>
    <n v="1"/>
    <n v="1"/>
    <n v="1"/>
    <n v="0"/>
    <n v="13.865068763274337"/>
    <n v="0.47768646434409739"/>
    <x v="0"/>
    <n v="0"/>
  </r>
  <r>
    <x v="48"/>
    <x v="21"/>
    <x v="1"/>
    <n v="1211"/>
    <x v="0"/>
    <n v="5"/>
    <n v="4"/>
    <x v="3"/>
    <n v="1"/>
    <x v="1"/>
    <n v="98"/>
    <n v="3"/>
    <n v="2"/>
    <x v="0"/>
    <n v="4"/>
    <x v="0"/>
    <x v="46"/>
    <n v="20445"/>
    <n v="4"/>
    <x v="0"/>
    <n v="0.21"/>
    <n v="4"/>
    <n v="3"/>
    <n v="0"/>
    <n v="14"/>
    <n v="4"/>
    <n v="3"/>
    <x v="7"/>
    <n v="6"/>
    <n v="0"/>
    <n v="8"/>
    <x v="1"/>
    <n v="1"/>
    <n v="2"/>
    <n v="0"/>
    <n v="1"/>
    <n v="0"/>
    <n v="0"/>
    <n v="0"/>
    <n v="1"/>
    <n v="15.160389980490176"/>
    <n v="0.52231353565590266"/>
    <x v="1"/>
    <n v="8658"/>
  </r>
  <r>
    <x v="49"/>
    <x v="10"/>
    <x v="0"/>
    <n v="1229"/>
    <x v="1"/>
    <n v="8"/>
    <n v="1"/>
    <x v="0"/>
    <n v="4"/>
    <x v="1"/>
    <n v="36"/>
    <n v="4"/>
    <n v="1"/>
    <x v="2"/>
    <n v="4"/>
    <x v="1"/>
    <x v="47"/>
    <n v="4892"/>
    <n v="1"/>
    <x v="1"/>
    <n v="0.19"/>
    <n v="3"/>
    <n v="4"/>
    <n v="0"/>
    <n v="1"/>
    <n v="2"/>
    <n v="3"/>
    <x v="6"/>
    <n v="0"/>
    <n v="0"/>
    <n v="1"/>
    <x v="1"/>
    <n v="1"/>
    <n v="1"/>
    <n v="1"/>
    <n v="0"/>
    <n v="0"/>
    <n v="0"/>
    <n v="1"/>
    <n v="0"/>
    <n v="6.4944289374208282"/>
    <n v="0.22374939857982484"/>
    <x v="2"/>
    <n v="0"/>
  </r>
  <r>
    <x v="50"/>
    <x v="26"/>
    <x v="0"/>
    <n v="626"/>
    <x v="1"/>
    <n v="1"/>
    <n v="2"/>
    <x v="0"/>
    <n v="1"/>
    <x v="1"/>
    <n v="98"/>
    <n v="2"/>
    <n v="3"/>
    <x v="2"/>
    <n v="3"/>
    <x v="0"/>
    <x v="48"/>
    <n v="19294"/>
    <n v="9"/>
    <x v="0"/>
    <n v="0.13"/>
    <n v="3"/>
    <n v="4"/>
    <n v="0"/>
    <n v="23"/>
    <n v="2"/>
    <n v="3"/>
    <x v="6"/>
    <n v="0"/>
    <n v="0"/>
    <n v="0"/>
    <x v="0"/>
    <n v="1"/>
    <n v="1"/>
    <n v="0"/>
    <n v="1"/>
    <n v="0"/>
    <n v="0"/>
    <n v="0"/>
    <n v="0"/>
    <n v="10"/>
    <n v="0.3445251318258073"/>
    <x v="0"/>
    <n v="0"/>
  </r>
  <r>
    <x v="51"/>
    <x v="14"/>
    <x v="0"/>
    <n v="1434"/>
    <x v="1"/>
    <n v="5"/>
    <n v="4"/>
    <x v="4"/>
    <n v="3"/>
    <x v="1"/>
    <n v="50"/>
    <n v="3"/>
    <n v="1"/>
    <x v="2"/>
    <n v="3"/>
    <x v="0"/>
    <x v="49"/>
    <n v="11179"/>
    <n v="1"/>
    <x v="0"/>
    <n v="0.13"/>
    <n v="3"/>
    <n v="3"/>
    <n v="0"/>
    <n v="2"/>
    <n v="3"/>
    <n v="2"/>
    <x v="4"/>
    <n v="2"/>
    <n v="2"/>
    <n v="2"/>
    <x v="0"/>
    <n v="1"/>
    <n v="1"/>
    <n v="0"/>
    <n v="1"/>
    <n v="0"/>
    <n v="0"/>
    <n v="1"/>
    <n v="0"/>
    <n v="16.494428937420828"/>
    <n v="0.56827453040563214"/>
    <x v="1"/>
    <n v="5161.5"/>
  </r>
  <r>
    <x v="52"/>
    <x v="20"/>
    <x v="0"/>
    <n v="1488"/>
    <x v="0"/>
    <n v="1"/>
    <n v="5"/>
    <x v="3"/>
    <n v="2"/>
    <x v="0"/>
    <n v="75"/>
    <n v="3"/>
    <n v="2"/>
    <x v="0"/>
    <n v="1"/>
    <x v="2"/>
    <x v="50"/>
    <n v="4009"/>
    <n v="5"/>
    <x v="0"/>
    <n v="0.21"/>
    <n v="4"/>
    <n v="3"/>
    <n v="1"/>
    <n v="9"/>
    <n v="2"/>
    <n v="2"/>
    <x v="9"/>
    <n v="3"/>
    <n v="1"/>
    <n v="3"/>
    <x v="1"/>
    <n v="0"/>
    <n v="1"/>
    <n v="2"/>
    <n v="1"/>
    <n v="0"/>
    <n v="1"/>
    <n v="0"/>
    <n v="0"/>
    <n v="14.204533129978131"/>
    <n v="0.48938186491297625"/>
    <x v="0"/>
    <n v="0"/>
  </r>
  <r>
    <x v="53"/>
    <x v="10"/>
    <x v="2"/>
    <n v="1097"/>
    <x v="1"/>
    <n v="11"/>
    <n v="2"/>
    <x v="2"/>
    <n v="3"/>
    <x v="1"/>
    <n v="79"/>
    <n v="2"/>
    <n v="3"/>
    <x v="4"/>
    <n v="1"/>
    <x v="1"/>
    <x v="51"/>
    <n v="8302"/>
    <n v="2"/>
    <x v="0"/>
    <n v="0.13"/>
    <n v="3"/>
    <n v="3"/>
    <n v="1"/>
    <n v="10"/>
    <n v="3"/>
    <n v="3"/>
    <x v="9"/>
    <n v="0"/>
    <n v="2"/>
    <n v="3"/>
    <x v="1"/>
    <n v="1"/>
    <n v="0"/>
    <n v="1"/>
    <n v="1"/>
    <n v="0"/>
    <n v="1"/>
    <n v="0"/>
    <n v="0"/>
    <n v="14.204533129978131"/>
    <n v="0.48938186491297625"/>
    <x v="0"/>
    <n v="0"/>
  </r>
  <r>
    <x v="54"/>
    <x v="25"/>
    <x v="0"/>
    <n v="1443"/>
    <x v="0"/>
    <n v="23"/>
    <n v="3"/>
    <x v="3"/>
    <n v="3"/>
    <x v="0"/>
    <n v="47"/>
    <n v="2"/>
    <n v="2"/>
    <x v="0"/>
    <n v="4"/>
    <x v="1"/>
    <x v="52"/>
    <n v="21436"/>
    <n v="7"/>
    <x v="0"/>
    <n v="0.19"/>
    <n v="3"/>
    <n v="3"/>
    <n v="1"/>
    <n v="5"/>
    <n v="2"/>
    <n v="2"/>
    <x v="4"/>
    <n v="2"/>
    <n v="0"/>
    <n v="0"/>
    <x v="1"/>
    <n v="0"/>
    <n v="1"/>
    <n v="1"/>
    <n v="1"/>
    <n v="1"/>
    <n v="0"/>
    <n v="1"/>
    <n v="0"/>
    <n v="19.660535633296206"/>
    <n v="0.67735486308273574"/>
    <x v="1"/>
    <n v="6235.5"/>
  </r>
  <r>
    <x v="55"/>
    <x v="3"/>
    <x v="1"/>
    <n v="515"/>
    <x v="1"/>
    <n v="1"/>
    <n v="2"/>
    <x v="0"/>
    <n v="1"/>
    <x v="0"/>
    <n v="98"/>
    <n v="3"/>
    <n v="3"/>
    <x v="7"/>
    <n v="4"/>
    <x v="0"/>
    <x v="53"/>
    <n v="15146"/>
    <n v="1"/>
    <x v="0"/>
    <n v="0.12"/>
    <n v="3"/>
    <n v="3"/>
    <n v="0"/>
    <n v="15"/>
    <n v="1"/>
    <n v="3"/>
    <x v="15"/>
    <n v="14"/>
    <n v="8"/>
    <n v="12"/>
    <x v="1"/>
    <n v="0"/>
    <n v="2"/>
    <n v="0"/>
    <n v="1"/>
    <n v="0"/>
    <n v="0"/>
    <n v="0"/>
    <n v="1"/>
    <n v="15.160389980490176"/>
    <n v="0.52231353565590266"/>
    <x v="1"/>
    <n v="20187"/>
  </r>
  <r>
    <x v="56"/>
    <x v="10"/>
    <x v="1"/>
    <n v="853"/>
    <x v="0"/>
    <n v="18"/>
    <n v="5"/>
    <x v="0"/>
    <n v="2"/>
    <x v="1"/>
    <n v="71"/>
    <n v="3"/>
    <n v="3"/>
    <x v="0"/>
    <n v="1"/>
    <x v="1"/>
    <x v="54"/>
    <n v="11031"/>
    <n v="1"/>
    <x v="1"/>
    <n v="0.22"/>
    <n v="4"/>
    <n v="4"/>
    <n v="1"/>
    <n v="9"/>
    <n v="3"/>
    <n v="2"/>
    <x v="7"/>
    <n v="8"/>
    <n v="1"/>
    <n v="8"/>
    <x v="1"/>
    <n v="1"/>
    <n v="2"/>
    <n v="1"/>
    <n v="0"/>
    <n v="1"/>
    <n v="1"/>
    <n v="0"/>
    <n v="1"/>
    <n v="12.531029806343685"/>
    <n v="0.43172546959436786"/>
    <x v="0"/>
    <n v="0"/>
  </r>
  <r>
    <x v="57"/>
    <x v="10"/>
    <x v="0"/>
    <n v="1142"/>
    <x v="1"/>
    <n v="23"/>
    <n v="4"/>
    <x v="2"/>
    <n v="3"/>
    <x v="0"/>
    <n v="30"/>
    <n v="3"/>
    <n v="1"/>
    <x v="2"/>
    <n v="1"/>
    <x v="1"/>
    <x v="55"/>
    <n v="16002"/>
    <n v="3"/>
    <x v="0"/>
    <n v="0.15"/>
    <n v="3"/>
    <n v="3"/>
    <n v="1"/>
    <n v="4"/>
    <n v="3"/>
    <n v="3"/>
    <x v="4"/>
    <n v="2"/>
    <n v="2"/>
    <n v="2"/>
    <x v="1"/>
    <n v="0"/>
    <n v="1"/>
    <n v="1"/>
    <n v="1"/>
    <n v="1"/>
    <n v="1"/>
    <n v="1"/>
    <n v="0"/>
    <n v="23.865068763274337"/>
    <n v="0.82221159616990469"/>
    <x v="3"/>
    <n v="6021"/>
  </r>
  <r>
    <x v="58"/>
    <x v="12"/>
    <x v="0"/>
    <n v="655"/>
    <x v="1"/>
    <n v="7"/>
    <n v="4"/>
    <x v="0"/>
    <n v="4"/>
    <x v="1"/>
    <n v="48"/>
    <n v="3"/>
    <n v="2"/>
    <x v="2"/>
    <n v="4"/>
    <x v="2"/>
    <x v="56"/>
    <n v="9528"/>
    <n v="3"/>
    <x v="1"/>
    <n v="0.22"/>
    <n v="4"/>
    <n v="4"/>
    <n v="1"/>
    <n v="10"/>
    <n v="3"/>
    <n v="2"/>
    <x v="5"/>
    <n v="7"/>
    <n v="1"/>
    <n v="7"/>
    <x v="1"/>
    <n v="1"/>
    <n v="1"/>
    <n v="2"/>
    <n v="0"/>
    <n v="0"/>
    <n v="0"/>
    <n v="0"/>
    <n v="0"/>
    <n v="0"/>
    <n v="0"/>
    <x v="2"/>
    <n v="0"/>
  </r>
  <r>
    <x v="59"/>
    <x v="2"/>
    <x v="0"/>
    <n v="1115"/>
    <x v="1"/>
    <n v="1"/>
    <n v="4"/>
    <x v="0"/>
    <n v="1"/>
    <x v="1"/>
    <n v="51"/>
    <n v="2"/>
    <n v="2"/>
    <x v="3"/>
    <n v="3"/>
    <x v="2"/>
    <x v="0"/>
    <n v="2689"/>
    <n v="1"/>
    <x v="1"/>
    <n v="0.18"/>
    <n v="3"/>
    <n v="3"/>
    <n v="1"/>
    <n v="7"/>
    <n v="2"/>
    <n v="4"/>
    <x v="5"/>
    <n v="5"/>
    <n v="0"/>
    <n v="7"/>
    <x v="1"/>
    <n v="1"/>
    <n v="1"/>
    <n v="2"/>
    <n v="0"/>
    <n v="0"/>
    <n v="0"/>
    <n v="0"/>
    <n v="0"/>
    <n v="0"/>
    <n v="0"/>
    <x v="2"/>
    <n v="0"/>
  </r>
  <r>
    <x v="60"/>
    <x v="5"/>
    <x v="0"/>
    <n v="427"/>
    <x v="1"/>
    <n v="1"/>
    <n v="3"/>
    <x v="2"/>
    <n v="1"/>
    <x v="1"/>
    <n v="33"/>
    <n v="3"/>
    <n v="2"/>
    <x v="3"/>
    <n v="4"/>
    <x v="1"/>
    <x v="57"/>
    <n v="10877"/>
    <n v="1"/>
    <x v="0"/>
    <n v="0.22"/>
    <n v="4"/>
    <n v="2"/>
    <n v="1"/>
    <n v="9"/>
    <n v="3"/>
    <n v="3"/>
    <x v="7"/>
    <n v="8"/>
    <n v="7"/>
    <n v="8"/>
    <x v="1"/>
    <n v="1"/>
    <n v="1"/>
    <n v="1"/>
    <n v="1"/>
    <n v="0"/>
    <n v="0"/>
    <n v="0"/>
    <n v="0"/>
    <n v="10"/>
    <n v="0.3445251318258073"/>
    <x v="0"/>
    <n v="0"/>
  </r>
  <r>
    <x v="61"/>
    <x v="8"/>
    <x v="1"/>
    <n v="653"/>
    <x v="1"/>
    <n v="29"/>
    <n v="5"/>
    <x v="0"/>
    <n v="4"/>
    <x v="0"/>
    <n v="50"/>
    <n v="3"/>
    <n v="2"/>
    <x v="2"/>
    <n v="4"/>
    <x v="0"/>
    <x v="58"/>
    <n v="5456"/>
    <n v="1"/>
    <x v="1"/>
    <n v="0.11"/>
    <n v="3"/>
    <n v="4"/>
    <n v="0"/>
    <n v="10"/>
    <n v="2"/>
    <n v="3"/>
    <x v="1"/>
    <n v="3"/>
    <n v="9"/>
    <n v="9"/>
    <x v="1"/>
    <n v="0"/>
    <n v="2"/>
    <n v="0"/>
    <n v="0"/>
    <n v="1"/>
    <n v="0"/>
    <n v="1"/>
    <n v="1"/>
    <n v="14.820925613786383"/>
    <n v="0.51061813508702369"/>
    <x v="1"/>
    <n v="3609"/>
  </r>
  <r>
    <x v="62"/>
    <x v="24"/>
    <x v="0"/>
    <n v="989"/>
    <x v="1"/>
    <n v="7"/>
    <n v="2"/>
    <x v="2"/>
    <n v="2"/>
    <x v="0"/>
    <n v="43"/>
    <n v="2"/>
    <n v="5"/>
    <x v="7"/>
    <n v="3"/>
    <x v="2"/>
    <x v="59"/>
    <n v="16701"/>
    <n v="5"/>
    <x v="0"/>
    <n v="0.12"/>
    <n v="3"/>
    <n v="4"/>
    <n v="1"/>
    <n v="29"/>
    <n v="2"/>
    <n v="2"/>
    <x v="16"/>
    <n v="3"/>
    <n v="13"/>
    <n v="8"/>
    <x v="1"/>
    <n v="0"/>
    <n v="1"/>
    <n v="2"/>
    <n v="1"/>
    <n v="0"/>
    <n v="0"/>
    <n v="0"/>
    <n v="0"/>
    <n v="10"/>
    <n v="0.3445251318258073"/>
    <x v="0"/>
    <n v="0"/>
  </r>
  <r>
    <x v="63"/>
    <x v="6"/>
    <x v="0"/>
    <n v="1435"/>
    <x v="0"/>
    <n v="25"/>
    <n v="3"/>
    <x v="0"/>
    <n v="1"/>
    <x v="0"/>
    <n v="99"/>
    <n v="3"/>
    <n v="3"/>
    <x v="0"/>
    <n v="1"/>
    <x v="0"/>
    <x v="60"/>
    <n v="2354"/>
    <n v="7"/>
    <x v="1"/>
    <n v="0.11"/>
    <n v="3"/>
    <n v="4"/>
    <n v="0"/>
    <n v="28"/>
    <n v="3"/>
    <n v="2"/>
    <x v="17"/>
    <n v="16"/>
    <n v="7"/>
    <n v="9"/>
    <x v="1"/>
    <n v="0"/>
    <n v="1"/>
    <n v="0"/>
    <n v="0"/>
    <n v="1"/>
    <n v="1"/>
    <n v="0"/>
    <n v="0"/>
    <n v="7.3706398258535089"/>
    <n v="0.25393706576427255"/>
    <x v="0"/>
    <n v="0"/>
  </r>
  <r>
    <x v="64"/>
    <x v="9"/>
    <x v="0"/>
    <n v="1223"/>
    <x v="1"/>
    <n v="8"/>
    <n v="3"/>
    <x v="4"/>
    <n v="3"/>
    <x v="0"/>
    <n v="59"/>
    <n v="3"/>
    <n v="3"/>
    <x v="4"/>
    <n v="3"/>
    <x v="2"/>
    <x v="61"/>
    <n v="8202"/>
    <n v="1"/>
    <x v="1"/>
    <n v="0.13"/>
    <n v="3"/>
    <n v="2"/>
    <n v="3"/>
    <n v="17"/>
    <n v="2"/>
    <n v="3"/>
    <x v="18"/>
    <n v="14"/>
    <n v="12"/>
    <n v="8"/>
    <x v="1"/>
    <n v="0"/>
    <n v="1"/>
    <n v="2"/>
    <n v="0"/>
    <n v="0"/>
    <n v="0"/>
    <n v="0"/>
    <n v="0"/>
    <n v="0"/>
    <n v="0"/>
    <x v="2"/>
    <n v="0"/>
  </r>
  <r>
    <x v="65"/>
    <x v="27"/>
    <x v="0"/>
    <n v="836"/>
    <x v="1"/>
    <n v="8"/>
    <n v="3"/>
    <x v="2"/>
    <n v="4"/>
    <x v="0"/>
    <n v="33"/>
    <n v="3"/>
    <n v="4"/>
    <x v="5"/>
    <n v="3"/>
    <x v="2"/>
    <x v="62"/>
    <n v="19730"/>
    <n v="2"/>
    <x v="0"/>
    <n v="0.14000000000000001"/>
    <n v="3"/>
    <n v="3"/>
    <n v="3"/>
    <n v="21"/>
    <n v="2"/>
    <n v="3"/>
    <x v="8"/>
    <n v="0"/>
    <n v="0"/>
    <n v="2"/>
    <x v="1"/>
    <n v="0"/>
    <n v="1"/>
    <n v="2"/>
    <n v="1"/>
    <n v="0"/>
    <n v="0"/>
    <n v="0"/>
    <n v="0"/>
    <n v="10"/>
    <n v="0.3445251318258073"/>
    <x v="0"/>
    <n v="0"/>
  </r>
  <r>
    <x v="66"/>
    <x v="9"/>
    <x v="1"/>
    <n v="1195"/>
    <x v="1"/>
    <n v="11"/>
    <n v="3"/>
    <x v="0"/>
    <n v="2"/>
    <x v="1"/>
    <n v="95"/>
    <n v="2"/>
    <n v="2"/>
    <x v="3"/>
    <n v="2"/>
    <x v="0"/>
    <x v="63"/>
    <n v="22656"/>
    <n v="1"/>
    <x v="1"/>
    <n v="0.13"/>
    <n v="3"/>
    <n v="3"/>
    <n v="0"/>
    <n v="6"/>
    <n v="3"/>
    <n v="3"/>
    <x v="0"/>
    <n v="5"/>
    <n v="0"/>
    <n v="3"/>
    <x v="1"/>
    <n v="1"/>
    <n v="2"/>
    <n v="0"/>
    <n v="0"/>
    <n v="0"/>
    <n v="1"/>
    <n v="0"/>
    <n v="1"/>
    <n v="9.3649231104683075"/>
    <n v="0.32264513691726432"/>
    <x v="0"/>
    <n v="0"/>
  </r>
  <r>
    <x v="67"/>
    <x v="28"/>
    <x v="0"/>
    <n v="1339"/>
    <x v="1"/>
    <n v="7"/>
    <n v="3"/>
    <x v="0"/>
    <n v="2"/>
    <x v="1"/>
    <n v="59"/>
    <n v="3"/>
    <n v="3"/>
    <x v="1"/>
    <n v="1"/>
    <x v="2"/>
    <x v="64"/>
    <n v="18787"/>
    <n v="2"/>
    <x v="1"/>
    <n v="0.17"/>
    <n v="3"/>
    <n v="3"/>
    <n v="1"/>
    <n v="25"/>
    <n v="2"/>
    <n v="3"/>
    <x v="6"/>
    <n v="0"/>
    <n v="0"/>
    <n v="0"/>
    <x v="1"/>
    <n v="1"/>
    <n v="1"/>
    <n v="2"/>
    <n v="0"/>
    <n v="0"/>
    <n v="1"/>
    <n v="0"/>
    <n v="0"/>
    <n v="4.204533129978131"/>
    <n v="0.14485673308716898"/>
    <x v="2"/>
    <n v="0"/>
  </r>
  <r>
    <x v="68"/>
    <x v="10"/>
    <x v="1"/>
    <n v="664"/>
    <x v="1"/>
    <n v="1"/>
    <n v="3"/>
    <x v="2"/>
    <n v="2"/>
    <x v="1"/>
    <n v="79"/>
    <n v="3"/>
    <n v="1"/>
    <x v="1"/>
    <n v="1"/>
    <x v="1"/>
    <x v="65"/>
    <n v="5868"/>
    <n v="4"/>
    <x v="1"/>
    <n v="0.13"/>
    <n v="3"/>
    <n v="4"/>
    <n v="1"/>
    <n v="5"/>
    <n v="2"/>
    <n v="2"/>
    <x v="11"/>
    <n v="2"/>
    <n v="1"/>
    <n v="2"/>
    <x v="1"/>
    <n v="1"/>
    <n v="2"/>
    <n v="1"/>
    <n v="0"/>
    <n v="0"/>
    <n v="1"/>
    <n v="1"/>
    <n v="1"/>
    <n v="15.859352047889136"/>
    <n v="0.54639453549708916"/>
    <x v="1"/>
    <n v="3291"/>
  </r>
  <r>
    <x v="69"/>
    <x v="9"/>
    <x v="0"/>
    <n v="318"/>
    <x v="1"/>
    <n v="9"/>
    <n v="3"/>
    <x v="2"/>
    <n v="4"/>
    <x v="1"/>
    <n v="79"/>
    <n v="2"/>
    <n v="1"/>
    <x v="1"/>
    <n v="3"/>
    <x v="1"/>
    <x v="66"/>
    <n v="21777"/>
    <n v="0"/>
    <x v="0"/>
    <n v="0.17"/>
    <n v="3"/>
    <n v="1"/>
    <n v="1"/>
    <n v="2"/>
    <n v="0"/>
    <n v="2"/>
    <x v="6"/>
    <n v="0"/>
    <n v="0"/>
    <n v="0"/>
    <x v="0"/>
    <n v="1"/>
    <n v="1"/>
    <n v="1"/>
    <n v="1"/>
    <n v="0"/>
    <n v="0"/>
    <n v="1"/>
    <n v="0"/>
    <n v="16.494428937420828"/>
    <n v="0.56827453040563214"/>
    <x v="1"/>
    <n v="5082"/>
  </r>
  <r>
    <x v="70"/>
    <x v="6"/>
    <x v="1"/>
    <n v="1225"/>
    <x v="0"/>
    <n v="1"/>
    <n v="1"/>
    <x v="0"/>
    <n v="1"/>
    <x v="0"/>
    <n v="57"/>
    <n v="2"/>
    <n v="2"/>
    <x v="0"/>
    <n v="3"/>
    <x v="0"/>
    <x v="67"/>
    <n v="24668"/>
    <n v="7"/>
    <x v="1"/>
    <n v="0.11"/>
    <n v="3"/>
    <n v="4"/>
    <n v="0"/>
    <n v="20"/>
    <n v="2"/>
    <n v="2"/>
    <x v="9"/>
    <n v="3"/>
    <n v="1"/>
    <n v="3"/>
    <x v="1"/>
    <n v="0"/>
    <n v="2"/>
    <n v="0"/>
    <n v="0"/>
    <n v="0"/>
    <n v="0"/>
    <n v="0"/>
    <n v="1"/>
    <n v="5.1603899804901765"/>
    <n v="0.17778840383009531"/>
    <x v="2"/>
    <n v="0"/>
  </r>
  <r>
    <x v="71"/>
    <x v="11"/>
    <x v="0"/>
    <n v="1328"/>
    <x v="1"/>
    <n v="2"/>
    <n v="3"/>
    <x v="0"/>
    <n v="3"/>
    <x v="1"/>
    <n v="76"/>
    <n v="3"/>
    <n v="1"/>
    <x v="1"/>
    <n v="2"/>
    <x v="1"/>
    <x v="68"/>
    <n v="4956"/>
    <n v="0"/>
    <x v="1"/>
    <n v="0.23"/>
    <n v="4"/>
    <n v="4"/>
    <n v="1"/>
    <n v="6"/>
    <n v="3"/>
    <n v="3"/>
    <x v="8"/>
    <n v="4"/>
    <n v="0"/>
    <n v="4"/>
    <x v="1"/>
    <n v="1"/>
    <n v="1"/>
    <n v="1"/>
    <n v="0"/>
    <n v="0"/>
    <n v="1"/>
    <n v="1"/>
    <n v="0"/>
    <n v="10.698962067398959"/>
    <n v="0.3686061316669938"/>
    <x v="0"/>
    <n v="0"/>
  </r>
  <r>
    <x v="72"/>
    <x v="12"/>
    <x v="0"/>
    <n v="1082"/>
    <x v="1"/>
    <n v="1"/>
    <n v="4"/>
    <x v="2"/>
    <n v="3"/>
    <x v="1"/>
    <n v="87"/>
    <n v="3"/>
    <n v="1"/>
    <x v="1"/>
    <n v="2"/>
    <x v="0"/>
    <x v="69"/>
    <n v="18775"/>
    <n v="1"/>
    <x v="1"/>
    <n v="0.17"/>
    <n v="3"/>
    <n v="2"/>
    <n v="0"/>
    <n v="1"/>
    <n v="4"/>
    <n v="3"/>
    <x v="6"/>
    <n v="1"/>
    <n v="1"/>
    <n v="0"/>
    <x v="1"/>
    <n v="1"/>
    <n v="1"/>
    <n v="0"/>
    <n v="0"/>
    <n v="0"/>
    <n v="1"/>
    <n v="1"/>
    <n v="0"/>
    <n v="10.698962067398959"/>
    <n v="0.3686061316669938"/>
    <x v="0"/>
    <n v="0"/>
  </r>
  <r>
    <x v="73"/>
    <x v="5"/>
    <x v="0"/>
    <n v="548"/>
    <x v="1"/>
    <n v="1"/>
    <n v="3"/>
    <x v="0"/>
    <n v="2"/>
    <x v="1"/>
    <n v="66"/>
    <n v="3"/>
    <n v="2"/>
    <x v="1"/>
    <n v="2"/>
    <x v="1"/>
    <x v="70"/>
    <n v="7346"/>
    <n v="1"/>
    <x v="1"/>
    <n v="0.17"/>
    <n v="3"/>
    <n v="2"/>
    <n v="2"/>
    <n v="10"/>
    <n v="3"/>
    <n v="3"/>
    <x v="1"/>
    <n v="4"/>
    <n v="0"/>
    <n v="9"/>
    <x v="1"/>
    <n v="1"/>
    <n v="1"/>
    <n v="1"/>
    <n v="0"/>
    <n v="0"/>
    <n v="1"/>
    <n v="0"/>
    <n v="0"/>
    <n v="4.204533129978131"/>
    <n v="0.14485673308716898"/>
    <x v="2"/>
    <n v="0"/>
  </r>
  <r>
    <x v="74"/>
    <x v="9"/>
    <x v="0"/>
    <n v="132"/>
    <x v="1"/>
    <n v="6"/>
    <n v="3"/>
    <x v="0"/>
    <n v="2"/>
    <x v="0"/>
    <n v="55"/>
    <n v="4"/>
    <n v="1"/>
    <x v="2"/>
    <n v="4"/>
    <x v="1"/>
    <x v="71"/>
    <n v="22002"/>
    <n v="3"/>
    <x v="1"/>
    <n v="0.12"/>
    <n v="3"/>
    <n v="2"/>
    <n v="0"/>
    <n v="5"/>
    <n v="3"/>
    <n v="3"/>
    <x v="6"/>
    <n v="0"/>
    <n v="0"/>
    <n v="0"/>
    <x v="1"/>
    <n v="0"/>
    <n v="1"/>
    <n v="1"/>
    <n v="0"/>
    <n v="0"/>
    <n v="0"/>
    <n v="1"/>
    <n v="0"/>
    <n v="6.4944289374208282"/>
    <n v="0.22374939857982484"/>
    <x v="2"/>
    <n v="0"/>
  </r>
  <r>
    <x v="75"/>
    <x v="12"/>
    <x v="0"/>
    <n v="746"/>
    <x v="1"/>
    <n v="8"/>
    <n v="4"/>
    <x v="0"/>
    <n v="3"/>
    <x v="0"/>
    <n v="61"/>
    <n v="3"/>
    <n v="2"/>
    <x v="3"/>
    <n v="4"/>
    <x v="0"/>
    <x v="72"/>
    <n v="20682"/>
    <n v="1"/>
    <x v="1"/>
    <n v="0.23"/>
    <n v="4"/>
    <n v="4"/>
    <n v="0"/>
    <n v="11"/>
    <n v="2"/>
    <n v="3"/>
    <x v="19"/>
    <n v="7"/>
    <n v="1"/>
    <n v="8"/>
    <x v="1"/>
    <n v="0"/>
    <n v="1"/>
    <n v="0"/>
    <n v="0"/>
    <n v="0"/>
    <n v="0"/>
    <n v="1"/>
    <n v="0"/>
    <n v="6.4944289374208282"/>
    <n v="0.22374939857982484"/>
    <x v="2"/>
    <n v="0"/>
  </r>
  <r>
    <x v="76"/>
    <x v="10"/>
    <x v="0"/>
    <n v="776"/>
    <x v="0"/>
    <n v="1"/>
    <n v="4"/>
    <x v="3"/>
    <n v="3"/>
    <x v="1"/>
    <n v="32"/>
    <n v="2"/>
    <n v="2"/>
    <x v="0"/>
    <n v="1"/>
    <x v="0"/>
    <x v="73"/>
    <n v="23016"/>
    <n v="0"/>
    <x v="1"/>
    <n v="0.14000000000000001"/>
    <n v="3"/>
    <n v="2"/>
    <n v="0"/>
    <n v="16"/>
    <n v="2"/>
    <n v="3"/>
    <x v="15"/>
    <n v="13"/>
    <n v="2"/>
    <n v="8"/>
    <x v="1"/>
    <n v="1"/>
    <n v="1"/>
    <n v="0"/>
    <n v="0"/>
    <n v="0"/>
    <n v="1"/>
    <n v="1"/>
    <n v="0"/>
    <n v="10.698962067398959"/>
    <n v="0.3686061316669938"/>
    <x v="0"/>
    <n v="0"/>
  </r>
  <r>
    <x v="77"/>
    <x v="28"/>
    <x v="0"/>
    <n v="193"/>
    <x v="1"/>
    <n v="6"/>
    <n v="4"/>
    <x v="1"/>
    <n v="4"/>
    <x v="1"/>
    <n v="52"/>
    <n v="3"/>
    <n v="3"/>
    <x v="7"/>
    <n v="1"/>
    <x v="1"/>
    <x v="74"/>
    <n v="15067"/>
    <n v="4"/>
    <x v="0"/>
    <n v="0.14000000000000001"/>
    <n v="3"/>
    <n v="2"/>
    <n v="0"/>
    <n v="17"/>
    <n v="3"/>
    <n v="4"/>
    <x v="2"/>
    <n v="0"/>
    <n v="0"/>
    <n v="0"/>
    <x v="1"/>
    <n v="1"/>
    <n v="1"/>
    <n v="1"/>
    <n v="1"/>
    <n v="0"/>
    <n v="1"/>
    <n v="0"/>
    <n v="0"/>
    <n v="14.204533129978131"/>
    <n v="0.48938186491297625"/>
    <x v="0"/>
    <n v="0"/>
  </r>
  <r>
    <x v="78"/>
    <x v="2"/>
    <x v="0"/>
    <n v="397"/>
    <x v="1"/>
    <n v="7"/>
    <n v="4"/>
    <x v="2"/>
    <n v="1"/>
    <x v="1"/>
    <n v="30"/>
    <n v="3"/>
    <n v="3"/>
    <x v="7"/>
    <n v="3"/>
    <x v="0"/>
    <x v="75"/>
    <n v="25258"/>
    <n v="4"/>
    <x v="1"/>
    <n v="0.13"/>
    <n v="3"/>
    <n v="1"/>
    <n v="0"/>
    <n v="16"/>
    <n v="3"/>
    <n v="4"/>
    <x v="8"/>
    <n v="2"/>
    <n v="0"/>
    <n v="2"/>
    <x v="1"/>
    <n v="1"/>
    <n v="1"/>
    <n v="0"/>
    <n v="0"/>
    <n v="0"/>
    <n v="0"/>
    <n v="0"/>
    <n v="0"/>
    <n v="0"/>
    <n v="0"/>
    <x v="2"/>
    <n v="0"/>
  </r>
  <r>
    <x v="79"/>
    <x v="21"/>
    <x v="0"/>
    <n v="945"/>
    <x v="2"/>
    <n v="5"/>
    <n v="2"/>
    <x v="2"/>
    <n v="2"/>
    <x v="1"/>
    <n v="80"/>
    <n v="3"/>
    <n v="2"/>
    <x v="8"/>
    <n v="2"/>
    <x v="2"/>
    <x v="76"/>
    <n v="10425"/>
    <n v="8"/>
    <x v="0"/>
    <n v="0.22"/>
    <n v="4"/>
    <n v="4"/>
    <n v="1"/>
    <n v="16"/>
    <n v="2"/>
    <n v="3"/>
    <x v="9"/>
    <n v="2"/>
    <n v="0"/>
    <n v="2"/>
    <x v="1"/>
    <n v="1"/>
    <n v="1"/>
    <n v="2"/>
    <n v="1"/>
    <n v="0"/>
    <n v="1"/>
    <n v="0"/>
    <n v="0"/>
    <n v="14.204533129978131"/>
    <n v="0.48938186491297625"/>
    <x v="0"/>
    <n v="0"/>
  </r>
  <r>
    <x v="80"/>
    <x v="7"/>
    <x v="0"/>
    <n v="852"/>
    <x v="1"/>
    <n v="1"/>
    <n v="1"/>
    <x v="0"/>
    <n v="4"/>
    <x v="1"/>
    <n v="55"/>
    <n v="2"/>
    <n v="2"/>
    <x v="2"/>
    <n v="4"/>
    <x v="1"/>
    <x v="77"/>
    <n v="15998"/>
    <n v="1"/>
    <x v="0"/>
    <n v="0.12"/>
    <n v="3"/>
    <n v="3"/>
    <n v="2"/>
    <n v="10"/>
    <n v="1"/>
    <n v="2"/>
    <x v="1"/>
    <n v="8"/>
    <n v="3"/>
    <n v="0"/>
    <x v="1"/>
    <n v="1"/>
    <n v="1"/>
    <n v="1"/>
    <n v="1"/>
    <n v="0"/>
    <n v="0"/>
    <n v="0"/>
    <n v="0"/>
    <n v="10"/>
    <n v="0.3445251318258073"/>
    <x v="0"/>
    <n v="0"/>
  </r>
  <r>
    <x v="81"/>
    <x v="10"/>
    <x v="0"/>
    <n v="1214"/>
    <x v="1"/>
    <n v="1"/>
    <n v="3"/>
    <x v="2"/>
    <n v="2"/>
    <x v="1"/>
    <n v="30"/>
    <n v="2"/>
    <n v="1"/>
    <x v="1"/>
    <n v="3"/>
    <x v="0"/>
    <x v="78"/>
    <n v="26278"/>
    <n v="1"/>
    <x v="1"/>
    <n v="0.18"/>
    <n v="3"/>
    <n v="1"/>
    <n v="0"/>
    <n v="6"/>
    <n v="3"/>
    <n v="3"/>
    <x v="0"/>
    <n v="4"/>
    <n v="0"/>
    <n v="4"/>
    <x v="1"/>
    <n v="1"/>
    <n v="1"/>
    <n v="0"/>
    <n v="0"/>
    <n v="0"/>
    <n v="0"/>
    <n v="1"/>
    <n v="0"/>
    <n v="6.4944289374208282"/>
    <n v="0.22374939857982484"/>
    <x v="2"/>
    <n v="0"/>
  </r>
  <r>
    <x v="82"/>
    <x v="27"/>
    <x v="0"/>
    <n v="111"/>
    <x v="0"/>
    <n v="1"/>
    <n v="2"/>
    <x v="0"/>
    <n v="1"/>
    <x v="1"/>
    <n v="70"/>
    <n v="3"/>
    <n v="3"/>
    <x v="0"/>
    <n v="4"/>
    <x v="1"/>
    <x v="79"/>
    <n v="18092"/>
    <n v="3"/>
    <x v="1"/>
    <n v="0.14000000000000001"/>
    <n v="3"/>
    <n v="4"/>
    <n v="1"/>
    <n v="24"/>
    <n v="4"/>
    <n v="3"/>
    <x v="6"/>
    <n v="0"/>
    <n v="1"/>
    <n v="0"/>
    <x v="1"/>
    <n v="1"/>
    <n v="1"/>
    <n v="1"/>
    <n v="0"/>
    <n v="0"/>
    <n v="0"/>
    <n v="0"/>
    <n v="0"/>
    <n v="0"/>
    <n v="0"/>
    <x v="2"/>
    <n v="0"/>
  </r>
  <r>
    <x v="83"/>
    <x v="8"/>
    <x v="2"/>
    <n v="573"/>
    <x v="1"/>
    <n v="6"/>
    <n v="3"/>
    <x v="2"/>
    <n v="2"/>
    <x v="0"/>
    <n v="79"/>
    <n v="1"/>
    <n v="2"/>
    <x v="1"/>
    <n v="4"/>
    <x v="2"/>
    <x v="80"/>
    <n v="15717"/>
    <n v="7"/>
    <x v="0"/>
    <n v="0.12"/>
    <n v="3"/>
    <n v="4"/>
    <n v="3"/>
    <n v="17"/>
    <n v="3"/>
    <n v="3"/>
    <x v="20"/>
    <n v="11"/>
    <n v="1"/>
    <n v="9"/>
    <x v="1"/>
    <n v="0"/>
    <n v="0"/>
    <n v="2"/>
    <n v="1"/>
    <n v="0"/>
    <n v="0"/>
    <n v="0"/>
    <n v="0"/>
    <n v="10"/>
    <n v="0.3445251318258073"/>
    <x v="0"/>
    <n v="0"/>
  </r>
  <r>
    <x v="84"/>
    <x v="13"/>
    <x v="0"/>
    <n v="1153"/>
    <x v="1"/>
    <n v="1"/>
    <n v="2"/>
    <x v="2"/>
    <n v="1"/>
    <x v="1"/>
    <n v="94"/>
    <n v="3"/>
    <n v="2"/>
    <x v="3"/>
    <n v="2"/>
    <x v="1"/>
    <x v="81"/>
    <n v="17736"/>
    <n v="1"/>
    <x v="1"/>
    <n v="0.15"/>
    <n v="3"/>
    <n v="3"/>
    <n v="0"/>
    <n v="5"/>
    <n v="2"/>
    <n v="3"/>
    <x v="8"/>
    <n v="2"/>
    <n v="1"/>
    <n v="3"/>
    <x v="1"/>
    <n v="1"/>
    <n v="1"/>
    <n v="1"/>
    <n v="0"/>
    <n v="0"/>
    <n v="1"/>
    <n v="1"/>
    <n v="0"/>
    <n v="10.698962067398959"/>
    <n v="0.3686061316669938"/>
    <x v="0"/>
    <n v="0"/>
  </r>
  <r>
    <x v="85"/>
    <x v="29"/>
    <x v="0"/>
    <n v="1400"/>
    <x v="1"/>
    <n v="7"/>
    <n v="3"/>
    <x v="0"/>
    <n v="4"/>
    <x v="1"/>
    <n v="49"/>
    <n v="1"/>
    <n v="3"/>
    <x v="3"/>
    <n v="4"/>
    <x v="0"/>
    <x v="82"/>
    <n v="21698"/>
    <n v="4"/>
    <x v="1"/>
    <n v="0.11"/>
    <n v="3"/>
    <n v="1"/>
    <n v="0"/>
    <n v="37"/>
    <n v="3"/>
    <n v="2"/>
    <x v="0"/>
    <n v="4"/>
    <n v="0"/>
    <n v="2"/>
    <x v="1"/>
    <n v="1"/>
    <n v="1"/>
    <n v="0"/>
    <n v="0"/>
    <n v="0"/>
    <n v="0"/>
    <n v="0"/>
    <n v="0"/>
    <n v="0"/>
    <n v="0"/>
    <x v="2"/>
    <n v="0"/>
  </r>
  <r>
    <x v="86"/>
    <x v="30"/>
    <x v="0"/>
    <n v="541"/>
    <x v="0"/>
    <n v="2"/>
    <n v="1"/>
    <x v="4"/>
    <n v="3"/>
    <x v="1"/>
    <n v="62"/>
    <n v="3"/>
    <n v="1"/>
    <x v="6"/>
    <n v="1"/>
    <x v="2"/>
    <x v="83"/>
    <n v="9518"/>
    <n v="3"/>
    <x v="1"/>
    <n v="0.13"/>
    <n v="3"/>
    <n v="3"/>
    <n v="1"/>
    <n v="3"/>
    <n v="3"/>
    <n v="3"/>
    <x v="2"/>
    <n v="0"/>
    <n v="0"/>
    <n v="0"/>
    <x v="1"/>
    <n v="1"/>
    <n v="1"/>
    <n v="2"/>
    <n v="0"/>
    <n v="0"/>
    <n v="1"/>
    <n v="1"/>
    <n v="0"/>
    <n v="10.698962067398959"/>
    <n v="0.3686061316669938"/>
    <x v="0"/>
    <n v="0"/>
  </r>
  <r>
    <x v="87"/>
    <x v="31"/>
    <x v="0"/>
    <n v="432"/>
    <x v="1"/>
    <n v="9"/>
    <n v="4"/>
    <x v="0"/>
    <n v="4"/>
    <x v="1"/>
    <n v="96"/>
    <n v="3"/>
    <n v="1"/>
    <x v="2"/>
    <n v="4"/>
    <x v="1"/>
    <x v="84"/>
    <n v="18725"/>
    <n v="3"/>
    <x v="1"/>
    <n v="0.23"/>
    <n v="4"/>
    <n v="2"/>
    <n v="2"/>
    <n v="10"/>
    <n v="4"/>
    <n v="3"/>
    <x v="9"/>
    <n v="2"/>
    <n v="0"/>
    <n v="3"/>
    <x v="1"/>
    <n v="1"/>
    <n v="1"/>
    <n v="1"/>
    <n v="0"/>
    <n v="0"/>
    <n v="0"/>
    <n v="1"/>
    <n v="0"/>
    <n v="6.4944289374208282"/>
    <n v="0.22374939857982484"/>
    <x v="2"/>
    <n v="0"/>
  </r>
  <r>
    <x v="88"/>
    <x v="7"/>
    <x v="0"/>
    <n v="288"/>
    <x v="1"/>
    <n v="2"/>
    <n v="3"/>
    <x v="0"/>
    <n v="3"/>
    <x v="1"/>
    <n v="99"/>
    <n v="2"/>
    <n v="2"/>
    <x v="4"/>
    <n v="4"/>
    <x v="1"/>
    <x v="85"/>
    <n v="15830"/>
    <n v="1"/>
    <x v="1"/>
    <n v="0.19"/>
    <n v="3"/>
    <n v="1"/>
    <n v="3"/>
    <n v="11"/>
    <n v="3"/>
    <n v="3"/>
    <x v="19"/>
    <n v="10"/>
    <n v="10"/>
    <n v="8"/>
    <x v="1"/>
    <n v="1"/>
    <n v="1"/>
    <n v="1"/>
    <n v="0"/>
    <n v="0"/>
    <n v="0"/>
    <n v="1"/>
    <n v="0"/>
    <n v="6.4944289374208282"/>
    <n v="0.22374939857982484"/>
    <x v="2"/>
    <n v="0"/>
  </r>
  <r>
    <x v="89"/>
    <x v="21"/>
    <x v="0"/>
    <n v="669"/>
    <x v="0"/>
    <n v="9"/>
    <n v="2"/>
    <x v="2"/>
    <n v="3"/>
    <x v="1"/>
    <n v="64"/>
    <n v="2"/>
    <n v="3"/>
    <x v="0"/>
    <n v="4"/>
    <x v="0"/>
    <x v="86"/>
    <n v="13596"/>
    <n v="1"/>
    <x v="1"/>
    <n v="0.16"/>
    <n v="3"/>
    <n v="4"/>
    <n v="0"/>
    <n v="9"/>
    <n v="3"/>
    <n v="3"/>
    <x v="7"/>
    <n v="8"/>
    <n v="4"/>
    <n v="7"/>
    <x v="0"/>
    <n v="1"/>
    <n v="1"/>
    <n v="0"/>
    <n v="0"/>
    <n v="0"/>
    <n v="0"/>
    <n v="0"/>
    <n v="0"/>
    <n v="0"/>
    <n v="0"/>
    <x v="2"/>
    <n v="0"/>
  </r>
  <r>
    <x v="90"/>
    <x v="32"/>
    <x v="1"/>
    <n v="530"/>
    <x v="1"/>
    <n v="1"/>
    <n v="4"/>
    <x v="0"/>
    <n v="3"/>
    <x v="1"/>
    <n v="78"/>
    <n v="2"/>
    <n v="4"/>
    <x v="4"/>
    <n v="2"/>
    <x v="1"/>
    <x v="87"/>
    <n v="14115"/>
    <n v="1"/>
    <x v="1"/>
    <n v="0.22"/>
    <n v="4"/>
    <n v="4"/>
    <n v="1"/>
    <n v="22"/>
    <n v="3"/>
    <n v="2"/>
    <x v="14"/>
    <n v="3"/>
    <n v="11"/>
    <n v="11"/>
    <x v="1"/>
    <n v="1"/>
    <n v="2"/>
    <n v="1"/>
    <n v="0"/>
    <n v="0"/>
    <n v="1"/>
    <n v="0"/>
    <n v="1"/>
    <n v="9.3649231104683075"/>
    <n v="0.32264513691726432"/>
    <x v="0"/>
    <n v="0"/>
  </r>
  <r>
    <x v="91"/>
    <x v="31"/>
    <x v="0"/>
    <n v="632"/>
    <x v="0"/>
    <n v="21"/>
    <n v="4"/>
    <x v="3"/>
    <n v="3"/>
    <x v="1"/>
    <n v="71"/>
    <n v="3"/>
    <n v="2"/>
    <x v="0"/>
    <n v="4"/>
    <x v="0"/>
    <x v="88"/>
    <n v="8423"/>
    <n v="0"/>
    <x v="0"/>
    <n v="0.22"/>
    <n v="4"/>
    <n v="4"/>
    <n v="0"/>
    <n v="11"/>
    <n v="2"/>
    <n v="1"/>
    <x v="1"/>
    <n v="7"/>
    <n v="1"/>
    <n v="0"/>
    <x v="1"/>
    <n v="1"/>
    <n v="1"/>
    <n v="0"/>
    <n v="1"/>
    <n v="1"/>
    <n v="0"/>
    <n v="0"/>
    <n v="0"/>
    <n v="13.166106695875378"/>
    <n v="0.45360546450291089"/>
    <x v="0"/>
    <n v="0"/>
  </r>
  <r>
    <x v="92"/>
    <x v="7"/>
    <x v="0"/>
    <n v="1334"/>
    <x v="0"/>
    <n v="4"/>
    <n v="2"/>
    <x v="2"/>
    <n v="3"/>
    <x v="0"/>
    <n v="63"/>
    <n v="2"/>
    <n v="2"/>
    <x v="0"/>
    <n v="2"/>
    <x v="2"/>
    <x v="89"/>
    <n v="19760"/>
    <n v="1"/>
    <x v="0"/>
    <n v="0.12"/>
    <n v="3"/>
    <n v="2"/>
    <n v="3"/>
    <n v="11"/>
    <n v="4"/>
    <n v="2"/>
    <x v="19"/>
    <n v="8"/>
    <n v="2"/>
    <n v="7"/>
    <x v="1"/>
    <n v="0"/>
    <n v="1"/>
    <n v="2"/>
    <n v="1"/>
    <n v="0"/>
    <n v="1"/>
    <n v="0"/>
    <n v="0"/>
    <n v="14.204533129978131"/>
    <n v="0.48938186491297625"/>
    <x v="0"/>
    <n v="0"/>
  </r>
  <r>
    <x v="93"/>
    <x v="21"/>
    <x v="1"/>
    <n v="638"/>
    <x v="1"/>
    <n v="1"/>
    <n v="3"/>
    <x v="2"/>
    <n v="3"/>
    <x v="1"/>
    <n v="40"/>
    <n v="2"/>
    <n v="3"/>
    <x v="4"/>
    <n v="1"/>
    <x v="1"/>
    <x v="90"/>
    <n v="3142"/>
    <n v="2"/>
    <x v="0"/>
    <n v="0.13"/>
    <n v="3"/>
    <n v="3"/>
    <n v="1"/>
    <n v="21"/>
    <n v="5"/>
    <n v="2"/>
    <x v="1"/>
    <n v="9"/>
    <n v="9"/>
    <n v="5"/>
    <x v="1"/>
    <n v="1"/>
    <n v="2"/>
    <n v="1"/>
    <n v="1"/>
    <n v="0"/>
    <n v="1"/>
    <n v="0"/>
    <n v="1"/>
    <n v="19.364923110468307"/>
    <n v="0.66717026874307161"/>
    <x v="1"/>
    <n v="16009.5"/>
  </r>
  <r>
    <x v="94"/>
    <x v="5"/>
    <x v="0"/>
    <n v="1093"/>
    <x v="0"/>
    <n v="6"/>
    <n v="4"/>
    <x v="2"/>
    <n v="2"/>
    <x v="1"/>
    <n v="87"/>
    <n v="3"/>
    <n v="2"/>
    <x v="0"/>
    <n v="3"/>
    <x v="0"/>
    <x v="91"/>
    <n v="24301"/>
    <n v="1"/>
    <x v="1"/>
    <n v="0.16"/>
    <n v="3"/>
    <n v="1"/>
    <n v="0"/>
    <n v="12"/>
    <n v="0"/>
    <n v="3"/>
    <x v="19"/>
    <n v="8"/>
    <n v="5"/>
    <n v="7"/>
    <x v="1"/>
    <n v="1"/>
    <n v="1"/>
    <n v="0"/>
    <n v="0"/>
    <n v="0"/>
    <n v="0"/>
    <n v="0"/>
    <n v="0"/>
    <n v="0"/>
    <n v="0"/>
    <x v="2"/>
    <n v="0"/>
  </r>
  <r>
    <x v="95"/>
    <x v="33"/>
    <x v="0"/>
    <n v="1217"/>
    <x v="1"/>
    <n v="2"/>
    <n v="4"/>
    <x v="4"/>
    <n v="1"/>
    <x v="0"/>
    <n v="60"/>
    <n v="3"/>
    <n v="3"/>
    <x v="7"/>
    <n v="3"/>
    <x v="1"/>
    <x v="92"/>
    <n v="24001"/>
    <n v="9"/>
    <x v="1"/>
    <n v="0.12"/>
    <n v="3"/>
    <n v="1"/>
    <n v="1"/>
    <n v="16"/>
    <n v="5"/>
    <n v="1"/>
    <x v="9"/>
    <n v="3"/>
    <n v="0"/>
    <n v="3"/>
    <x v="1"/>
    <n v="0"/>
    <n v="1"/>
    <n v="1"/>
    <n v="0"/>
    <n v="0"/>
    <n v="0"/>
    <n v="0"/>
    <n v="0"/>
    <n v="0"/>
    <n v="0"/>
    <x v="2"/>
    <n v="0"/>
  </r>
  <r>
    <x v="96"/>
    <x v="17"/>
    <x v="0"/>
    <n v="1353"/>
    <x v="0"/>
    <n v="3"/>
    <n v="2"/>
    <x v="1"/>
    <n v="1"/>
    <x v="0"/>
    <n v="33"/>
    <n v="3"/>
    <n v="2"/>
    <x v="0"/>
    <n v="3"/>
    <x v="1"/>
    <x v="93"/>
    <n v="17519"/>
    <n v="0"/>
    <x v="1"/>
    <n v="0.21"/>
    <n v="4"/>
    <n v="1"/>
    <n v="1"/>
    <n v="4"/>
    <n v="2"/>
    <n v="2"/>
    <x v="11"/>
    <n v="2"/>
    <n v="0"/>
    <n v="2"/>
    <x v="1"/>
    <n v="0"/>
    <n v="1"/>
    <n v="1"/>
    <n v="0"/>
    <n v="0"/>
    <n v="0"/>
    <n v="0"/>
    <n v="0"/>
    <n v="0"/>
    <n v="0"/>
    <x v="2"/>
    <n v="0"/>
  </r>
  <r>
    <x v="97"/>
    <x v="14"/>
    <x v="2"/>
    <n v="120"/>
    <x v="0"/>
    <n v="4"/>
    <n v="3"/>
    <x v="2"/>
    <n v="2"/>
    <x v="1"/>
    <n v="43"/>
    <n v="3"/>
    <n v="2"/>
    <x v="0"/>
    <n v="3"/>
    <x v="1"/>
    <x v="94"/>
    <n v="8863"/>
    <n v="1"/>
    <x v="1"/>
    <n v="0.15"/>
    <n v="3"/>
    <n v="2"/>
    <n v="0"/>
    <n v="5"/>
    <n v="3"/>
    <n v="4"/>
    <x v="8"/>
    <n v="4"/>
    <n v="0"/>
    <n v="4"/>
    <x v="1"/>
    <n v="1"/>
    <n v="0"/>
    <n v="1"/>
    <n v="0"/>
    <n v="0"/>
    <n v="0"/>
    <n v="1"/>
    <n v="0"/>
    <n v="6.4944289374208282"/>
    <n v="0.22374939857982484"/>
    <x v="2"/>
    <n v="0"/>
  </r>
  <r>
    <x v="98"/>
    <x v="34"/>
    <x v="0"/>
    <n v="682"/>
    <x v="0"/>
    <n v="10"/>
    <n v="4"/>
    <x v="2"/>
    <n v="4"/>
    <x v="1"/>
    <n v="37"/>
    <n v="3"/>
    <n v="4"/>
    <x v="0"/>
    <n v="3"/>
    <x v="0"/>
    <x v="95"/>
    <n v="24409"/>
    <n v="0"/>
    <x v="1"/>
    <n v="0.13"/>
    <n v="3"/>
    <n v="3"/>
    <n v="0"/>
    <n v="38"/>
    <n v="1"/>
    <n v="2"/>
    <x v="21"/>
    <n v="10"/>
    <n v="1"/>
    <n v="8"/>
    <x v="1"/>
    <n v="1"/>
    <n v="1"/>
    <n v="0"/>
    <n v="0"/>
    <n v="0"/>
    <n v="0"/>
    <n v="0"/>
    <n v="0"/>
    <n v="0"/>
    <n v="0"/>
    <x v="2"/>
    <n v="0"/>
  </r>
  <r>
    <x v="99"/>
    <x v="20"/>
    <x v="2"/>
    <n v="489"/>
    <x v="1"/>
    <n v="23"/>
    <n v="3"/>
    <x v="2"/>
    <n v="2"/>
    <x v="1"/>
    <n v="67"/>
    <n v="3"/>
    <n v="2"/>
    <x v="2"/>
    <n v="2"/>
    <x v="1"/>
    <x v="96"/>
    <n v="25043"/>
    <n v="4"/>
    <x v="1"/>
    <n v="0.12"/>
    <n v="3"/>
    <n v="3"/>
    <n v="1"/>
    <n v="17"/>
    <n v="3"/>
    <n v="4"/>
    <x v="11"/>
    <n v="2"/>
    <n v="1"/>
    <n v="2"/>
    <x v="1"/>
    <n v="1"/>
    <n v="0"/>
    <n v="1"/>
    <n v="0"/>
    <n v="1"/>
    <n v="1"/>
    <n v="1"/>
    <n v="0"/>
    <n v="13.865068763274337"/>
    <n v="0.47768646434409739"/>
    <x v="0"/>
    <n v="0"/>
  </r>
  <r>
    <x v="100"/>
    <x v="2"/>
    <x v="0"/>
    <n v="807"/>
    <x v="2"/>
    <n v="6"/>
    <n v="4"/>
    <x v="5"/>
    <n v="3"/>
    <x v="1"/>
    <n v="63"/>
    <n v="3"/>
    <n v="1"/>
    <x v="8"/>
    <n v="1"/>
    <x v="2"/>
    <x v="97"/>
    <n v="23648"/>
    <n v="4"/>
    <x v="0"/>
    <n v="0.22"/>
    <n v="4"/>
    <n v="4"/>
    <n v="0"/>
    <n v="7"/>
    <n v="3"/>
    <n v="3"/>
    <x v="11"/>
    <n v="2"/>
    <n v="0"/>
    <n v="2"/>
    <x v="0"/>
    <n v="1"/>
    <n v="1"/>
    <n v="2"/>
    <n v="1"/>
    <n v="0"/>
    <n v="1"/>
    <n v="1"/>
    <n v="0"/>
    <n v="20.698962067398959"/>
    <n v="0.71313126349280109"/>
    <x v="1"/>
    <n v="3109.5"/>
  </r>
  <r>
    <x v="101"/>
    <x v="5"/>
    <x v="0"/>
    <n v="827"/>
    <x v="1"/>
    <n v="1"/>
    <n v="1"/>
    <x v="0"/>
    <n v="4"/>
    <x v="1"/>
    <n v="71"/>
    <n v="3"/>
    <n v="1"/>
    <x v="1"/>
    <n v="1"/>
    <x v="0"/>
    <x v="98"/>
    <n v="15178"/>
    <n v="1"/>
    <x v="1"/>
    <n v="0.13"/>
    <n v="3"/>
    <n v="4"/>
    <n v="0"/>
    <n v="1"/>
    <n v="2"/>
    <n v="3"/>
    <x v="6"/>
    <n v="0"/>
    <n v="0"/>
    <n v="0"/>
    <x v="1"/>
    <n v="1"/>
    <n v="1"/>
    <n v="0"/>
    <n v="0"/>
    <n v="0"/>
    <n v="1"/>
    <n v="1"/>
    <n v="0"/>
    <n v="10.698962067398959"/>
    <n v="0.3686061316669938"/>
    <x v="0"/>
    <n v="0"/>
  </r>
  <r>
    <x v="102"/>
    <x v="35"/>
    <x v="1"/>
    <n v="871"/>
    <x v="1"/>
    <n v="6"/>
    <n v="3"/>
    <x v="0"/>
    <n v="4"/>
    <x v="0"/>
    <n v="66"/>
    <n v="2"/>
    <n v="1"/>
    <x v="2"/>
    <n v="4"/>
    <x v="0"/>
    <x v="99"/>
    <n v="19783"/>
    <n v="1"/>
    <x v="0"/>
    <n v="0.18"/>
    <n v="3"/>
    <n v="2"/>
    <n v="0"/>
    <n v="1"/>
    <n v="5"/>
    <n v="3"/>
    <x v="6"/>
    <n v="0"/>
    <n v="1"/>
    <n v="0"/>
    <x v="0"/>
    <n v="0"/>
    <n v="2"/>
    <n v="0"/>
    <n v="1"/>
    <n v="0"/>
    <n v="0"/>
    <n v="1"/>
    <n v="1"/>
    <n v="21.654818917911005"/>
    <n v="0.74606293423572745"/>
    <x v="1"/>
    <n v="4389"/>
  </r>
  <r>
    <x v="103"/>
    <x v="13"/>
    <x v="0"/>
    <n v="665"/>
    <x v="1"/>
    <n v="6"/>
    <n v="4"/>
    <x v="1"/>
    <n v="1"/>
    <x v="0"/>
    <n v="41"/>
    <n v="3"/>
    <n v="2"/>
    <x v="1"/>
    <n v="3"/>
    <x v="0"/>
    <x v="100"/>
    <n v="12482"/>
    <n v="1"/>
    <x v="1"/>
    <n v="0.14000000000000001"/>
    <n v="3"/>
    <n v="3"/>
    <n v="0"/>
    <n v="16"/>
    <n v="3"/>
    <n v="3"/>
    <x v="22"/>
    <n v="13"/>
    <n v="2"/>
    <n v="10"/>
    <x v="1"/>
    <n v="0"/>
    <n v="1"/>
    <n v="0"/>
    <n v="0"/>
    <n v="0"/>
    <n v="0"/>
    <n v="1"/>
    <n v="0"/>
    <n v="6.4944289374208282"/>
    <n v="0.22374939857982484"/>
    <x v="2"/>
    <n v="0"/>
  </r>
  <r>
    <x v="104"/>
    <x v="2"/>
    <x v="2"/>
    <n v="1040"/>
    <x v="1"/>
    <n v="2"/>
    <n v="2"/>
    <x v="0"/>
    <n v="3"/>
    <x v="1"/>
    <n v="100"/>
    <n v="2"/>
    <n v="2"/>
    <x v="4"/>
    <n v="4"/>
    <x v="2"/>
    <x v="101"/>
    <n v="15850"/>
    <n v="5"/>
    <x v="1"/>
    <n v="0.14000000000000001"/>
    <n v="3"/>
    <n v="4"/>
    <n v="1"/>
    <n v="17"/>
    <n v="2"/>
    <n v="4"/>
    <x v="6"/>
    <n v="0"/>
    <n v="0"/>
    <n v="0"/>
    <x v="1"/>
    <n v="1"/>
    <n v="0"/>
    <n v="2"/>
    <n v="0"/>
    <n v="0"/>
    <n v="0"/>
    <n v="0"/>
    <n v="0"/>
    <n v="0"/>
    <n v="0"/>
    <x v="2"/>
    <n v="0"/>
  </r>
  <r>
    <x v="105"/>
    <x v="6"/>
    <x v="2"/>
    <n v="1420"/>
    <x v="2"/>
    <n v="2"/>
    <n v="4"/>
    <x v="5"/>
    <n v="3"/>
    <x v="0"/>
    <n v="32"/>
    <n v="2"/>
    <n v="5"/>
    <x v="5"/>
    <n v="4"/>
    <x v="1"/>
    <x v="102"/>
    <n v="21922"/>
    <n v="9"/>
    <x v="1"/>
    <n v="0.21"/>
    <n v="4"/>
    <n v="4"/>
    <n v="1"/>
    <n v="30"/>
    <n v="3"/>
    <n v="3"/>
    <x v="11"/>
    <n v="2"/>
    <n v="2"/>
    <n v="2"/>
    <x v="1"/>
    <n v="0"/>
    <n v="0"/>
    <n v="1"/>
    <n v="0"/>
    <n v="0"/>
    <n v="0"/>
    <n v="0"/>
    <n v="0"/>
    <n v="0"/>
    <n v="0"/>
    <x v="2"/>
    <n v="0"/>
  </r>
  <r>
    <x v="106"/>
    <x v="24"/>
    <x v="1"/>
    <n v="1115"/>
    <x v="1"/>
    <n v="1"/>
    <n v="3"/>
    <x v="0"/>
    <n v="1"/>
    <x v="0"/>
    <n v="73"/>
    <n v="3"/>
    <n v="5"/>
    <x v="7"/>
    <n v="2"/>
    <x v="1"/>
    <x v="103"/>
    <n v="9755"/>
    <n v="3"/>
    <x v="0"/>
    <n v="0.19"/>
    <n v="3"/>
    <n v="1"/>
    <n v="0"/>
    <n v="28"/>
    <n v="1"/>
    <n v="2"/>
    <x v="3"/>
    <n v="3"/>
    <n v="0"/>
    <n v="7"/>
    <x v="1"/>
    <n v="0"/>
    <n v="2"/>
    <n v="1"/>
    <n v="1"/>
    <n v="0"/>
    <n v="1"/>
    <n v="0"/>
    <n v="1"/>
    <n v="19.364923110468307"/>
    <n v="0.66717026874307161"/>
    <x v="1"/>
    <n v="27258"/>
  </r>
  <r>
    <x v="107"/>
    <x v="36"/>
    <x v="0"/>
    <n v="240"/>
    <x v="0"/>
    <n v="5"/>
    <n v="3"/>
    <x v="3"/>
    <n v="3"/>
    <x v="1"/>
    <n v="46"/>
    <n v="2"/>
    <n v="2"/>
    <x v="0"/>
    <n v="3"/>
    <x v="0"/>
    <x v="104"/>
    <n v="26959"/>
    <n v="1"/>
    <x v="0"/>
    <n v="0.11"/>
    <n v="3"/>
    <n v="4"/>
    <n v="0"/>
    <n v="6"/>
    <n v="1"/>
    <n v="3"/>
    <x v="0"/>
    <n v="4"/>
    <n v="0"/>
    <n v="3"/>
    <x v="0"/>
    <n v="1"/>
    <n v="1"/>
    <n v="0"/>
    <n v="1"/>
    <n v="0"/>
    <n v="0"/>
    <n v="0"/>
    <n v="0"/>
    <n v="10"/>
    <n v="0.3445251318258073"/>
    <x v="0"/>
    <n v="0"/>
  </r>
  <r>
    <x v="108"/>
    <x v="36"/>
    <x v="0"/>
    <n v="1280"/>
    <x v="1"/>
    <n v="7"/>
    <n v="1"/>
    <x v="2"/>
    <n v="4"/>
    <x v="1"/>
    <n v="64"/>
    <n v="2"/>
    <n v="1"/>
    <x v="1"/>
    <n v="4"/>
    <x v="1"/>
    <x v="105"/>
    <n v="26897"/>
    <n v="1"/>
    <x v="1"/>
    <n v="0.11"/>
    <n v="3"/>
    <n v="3"/>
    <n v="2"/>
    <n v="2"/>
    <n v="2"/>
    <n v="3"/>
    <x v="4"/>
    <n v="2"/>
    <n v="2"/>
    <n v="1"/>
    <x v="1"/>
    <n v="1"/>
    <n v="1"/>
    <n v="1"/>
    <n v="0"/>
    <n v="0"/>
    <n v="0"/>
    <n v="1"/>
    <n v="0"/>
    <n v="6.4944289374208282"/>
    <n v="0.22374939857982484"/>
    <x v="2"/>
    <n v="0"/>
  </r>
  <r>
    <x v="109"/>
    <x v="15"/>
    <x v="0"/>
    <n v="534"/>
    <x v="1"/>
    <n v="15"/>
    <n v="3"/>
    <x v="2"/>
    <n v="2"/>
    <x v="0"/>
    <n v="59"/>
    <n v="3"/>
    <n v="1"/>
    <x v="2"/>
    <n v="4"/>
    <x v="0"/>
    <x v="106"/>
    <n v="23785"/>
    <n v="1"/>
    <x v="1"/>
    <n v="0.15"/>
    <n v="3"/>
    <n v="3"/>
    <n v="0"/>
    <n v="1"/>
    <n v="5"/>
    <n v="3"/>
    <x v="2"/>
    <n v="0"/>
    <n v="0"/>
    <n v="0"/>
    <x v="1"/>
    <n v="0"/>
    <n v="1"/>
    <n v="0"/>
    <n v="0"/>
    <n v="0"/>
    <n v="0"/>
    <n v="1"/>
    <n v="0"/>
    <n v="6.4944289374208282"/>
    <n v="0.22374939857982484"/>
    <x v="2"/>
    <n v="0"/>
  </r>
  <r>
    <x v="110"/>
    <x v="31"/>
    <x v="1"/>
    <n v="1456"/>
    <x v="1"/>
    <n v="1"/>
    <n v="4"/>
    <x v="2"/>
    <n v="1"/>
    <x v="0"/>
    <n v="30"/>
    <n v="2"/>
    <n v="3"/>
    <x v="4"/>
    <n v="1"/>
    <x v="0"/>
    <x v="107"/>
    <n v="25796"/>
    <n v="3"/>
    <x v="1"/>
    <n v="0.2"/>
    <n v="4"/>
    <n v="3"/>
    <n v="0"/>
    <n v="23"/>
    <n v="1"/>
    <n v="2"/>
    <x v="20"/>
    <n v="12"/>
    <n v="12"/>
    <n v="8"/>
    <x v="1"/>
    <n v="0"/>
    <n v="2"/>
    <n v="0"/>
    <n v="0"/>
    <n v="0"/>
    <n v="1"/>
    <n v="0"/>
    <n v="1"/>
    <n v="9.3649231104683075"/>
    <n v="0.32264513691726432"/>
    <x v="0"/>
    <n v="0"/>
  </r>
  <r>
    <x v="111"/>
    <x v="13"/>
    <x v="1"/>
    <n v="658"/>
    <x v="1"/>
    <n v="7"/>
    <n v="3"/>
    <x v="0"/>
    <n v="1"/>
    <x v="1"/>
    <n v="66"/>
    <n v="1"/>
    <n v="2"/>
    <x v="2"/>
    <n v="3"/>
    <x v="0"/>
    <x v="108"/>
    <n v="22887"/>
    <n v="1"/>
    <x v="0"/>
    <n v="0.24"/>
    <n v="4"/>
    <n v="4"/>
    <n v="0"/>
    <n v="9"/>
    <n v="3"/>
    <n v="3"/>
    <x v="7"/>
    <n v="7"/>
    <n v="0"/>
    <n v="6"/>
    <x v="0"/>
    <n v="1"/>
    <n v="2"/>
    <n v="0"/>
    <n v="1"/>
    <n v="0"/>
    <n v="0"/>
    <n v="0"/>
    <n v="1"/>
    <n v="15.160389980490176"/>
    <n v="0.52231353565590266"/>
    <x v="1"/>
    <n v="9111"/>
  </r>
  <r>
    <x v="112"/>
    <x v="33"/>
    <x v="2"/>
    <n v="142"/>
    <x v="2"/>
    <n v="26"/>
    <n v="3"/>
    <x v="5"/>
    <n v="4"/>
    <x v="0"/>
    <n v="30"/>
    <n v="4"/>
    <n v="4"/>
    <x v="5"/>
    <n v="4"/>
    <x v="0"/>
    <x v="109"/>
    <n v="13871"/>
    <n v="2"/>
    <x v="0"/>
    <n v="0.12"/>
    <n v="3"/>
    <n v="3"/>
    <n v="0"/>
    <n v="23"/>
    <n v="3"/>
    <n v="3"/>
    <x v="8"/>
    <n v="3"/>
    <n v="4"/>
    <n v="4"/>
    <x v="1"/>
    <n v="0"/>
    <n v="0"/>
    <n v="0"/>
    <n v="1"/>
    <n v="1"/>
    <n v="0"/>
    <n v="0"/>
    <n v="0"/>
    <n v="13.166106695875378"/>
    <n v="0.45360546450291089"/>
    <x v="0"/>
    <n v="0"/>
  </r>
  <r>
    <x v="113"/>
    <x v="17"/>
    <x v="0"/>
    <n v="1127"/>
    <x v="1"/>
    <n v="18"/>
    <n v="1"/>
    <x v="0"/>
    <n v="2"/>
    <x v="1"/>
    <n v="52"/>
    <n v="3"/>
    <n v="1"/>
    <x v="2"/>
    <n v="3"/>
    <x v="1"/>
    <x v="110"/>
    <n v="13257"/>
    <n v="0"/>
    <x v="1"/>
    <n v="0.12"/>
    <n v="3"/>
    <n v="3"/>
    <n v="1"/>
    <n v="6"/>
    <n v="2"/>
    <n v="3"/>
    <x v="8"/>
    <n v="3"/>
    <n v="1"/>
    <n v="2"/>
    <x v="1"/>
    <n v="1"/>
    <n v="1"/>
    <n v="1"/>
    <n v="0"/>
    <n v="1"/>
    <n v="0"/>
    <n v="1"/>
    <n v="0"/>
    <n v="9.660535633296206"/>
    <n v="0.33282973125692844"/>
    <x v="0"/>
    <n v="0"/>
  </r>
  <r>
    <x v="114"/>
    <x v="13"/>
    <x v="0"/>
    <n v="1031"/>
    <x v="1"/>
    <n v="6"/>
    <n v="4"/>
    <x v="0"/>
    <n v="3"/>
    <x v="0"/>
    <n v="45"/>
    <n v="2"/>
    <n v="2"/>
    <x v="1"/>
    <n v="2"/>
    <x v="2"/>
    <x v="111"/>
    <n v="15000"/>
    <n v="6"/>
    <x v="1"/>
    <n v="0.15"/>
    <n v="3"/>
    <n v="3"/>
    <n v="1"/>
    <n v="12"/>
    <n v="3"/>
    <n v="3"/>
    <x v="6"/>
    <n v="0"/>
    <n v="0"/>
    <n v="0"/>
    <x v="1"/>
    <n v="0"/>
    <n v="1"/>
    <n v="2"/>
    <n v="0"/>
    <n v="0"/>
    <n v="1"/>
    <n v="1"/>
    <n v="0"/>
    <n v="10.698962067398959"/>
    <n v="0.3686061316669938"/>
    <x v="0"/>
    <n v="0"/>
  </r>
  <r>
    <x v="115"/>
    <x v="2"/>
    <x v="0"/>
    <n v="1189"/>
    <x v="0"/>
    <n v="3"/>
    <n v="3"/>
    <x v="0"/>
    <n v="3"/>
    <x v="1"/>
    <n v="87"/>
    <n v="3"/>
    <n v="3"/>
    <x v="0"/>
    <n v="4"/>
    <x v="0"/>
    <x v="112"/>
    <n v="14506"/>
    <n v="2"/>
    <x v="1"/>
    <n v="0.12"/>
    <n v="3"/>
    <n v="1"/>
    <n v="0"/>
    <n v="12"/>
    <n v="3"/>
    <n v="3"/>
    <x v="8"/>
    <n v="3"/>
    <n v="1"/>
    <n v="3"/>
    <x v="1"/>
    <n v="1"/>
    <n v="1"/>
    <n v="0"/>
    <n v="0"/>
    <n v="0"/>
    <n v="0"/>
    <n v="0"/>
    <n v="0"/>
    <n v="0"/>
    <n v="0"/>
    <x v="2"/>
    <n v="0"/>
  </r>
  <r>
    <x v="116"/>
    <x v="13"/>
    <x v="0"/>
    <n v="1354"/>
    <x v="1"/>
    <n v="5"/>
    <n v="3"/>
    <x v="2"/>
    <n v="3"/>
    <x v="0"/>
    <n v="45"/>
    <n v="2"/>
    <n v="3"/>
    <x v="5"/>
    <n v="1"/>
    <x v="0"/>
    <x v="113"/>
    <n v="5615"/>
    <n v="2"/>
    <x v="1"/>
    <n v="0.12"/>
    <n v="3"/>
    <n v="4"/>
    <n v="0"/>
    <n v="14"/>
    <n v="6"/>
    <n v="3"/>
    <x v="19"/>
    <n v="10"/>
    <n v="5"/>
    <n v="8"/>
    <x v="1"/>
    <n v="0"/>
    <n v="1"/>
    <n v="0"/>
    <n v="0"/>
    <n v="0"/>
    <n v="1"/>
    <n v="0"/>
    <n v="0"/>
    <n v="4.204533129978131"/>
    <n v="0.14485673308716898"/>
    <x v="2"/>
    <n v="0"/>
  </r>
  <r>
    <x v="117"/>
    <x v="9"/>
    <x v="1"/>
    <n v="1467"/>
    <x v="0"/>
    <n v="11"/>
    <n v="2"/>
    <x v="4"/>
    <n v="2"/>
    <x v="0"/>
    <n v="92"/>
    <n v="3"/>
    <n v="3"/>
    <x v="0"/>
    <n v="4"/>
    <x v="1"/>
    <x v="114"/>
    <n v="22952"/>
    <n v="0"/>
    <x v="1"/>
    <n v="0.14000000000000001"/>
    <n v="3"/>
    <n v="3"/>
    <n v="1"/>
    <n v="10"/>
    <n v="6"/>
    <n v="3"/>
    <x v="7"/>
    <n v="7"/>
    <n v="2"/>
    <n v="8"/>
    <x v="1"/>
    <n v="0"/>
    <n v="2"/>
    <n v="1"/>
    <n v="0"/>
    <n v="0"/>
    <n v="0"/>
    <n v="0"/>
    <n v="1"/>
    <n v="5.1603899804901765"/>
    <n v="0.17778840383009531"/>
    <x v="2"/>
    <n v="0"/>
  </r>
  <r>
    <x v="118"/>
    <x v="9"/>
    <x v="0"/>
    <n v="922"/>
    <x v="1"/>
    <n v="3"/>
    <n v="2"/>
    <x v="0"/>
    <n v="1"/>
    <x v="0"/>
    <n v="39"/>
    <n v="3"/>
    <n v="1"/>
    <x v="2"/>
    <n v="4"/>
    <x v="2"/>
    <x v="115"/>
    <n v="2561"/>
    <n v="5"/>
    <x v="1"/>
    <n v="0.22"/>
    <n v="4"/>
    <n v="1"/>
    <n v="1"/>
    <n v="7"/>
    <n v="2"/>
    <n v="3"/>
    <x v="6"/>
    <n v="0"/>
    <n v="0"/>
    <n v="0"/>
    <x v="1"/>
    <n v="0"/>
    <n v="1"/>
    <n v="2"/>
    <n v="0"/>
    <n v="0"/>
    <n v="0"/>
    <n v="1"/>
    <n v="0"/>
    <n v="6.4944289374208282"/>
    <n v="0.22374939857982484"/>
    <x v="2"/>
    <n v="0"/>
  </r>
  <r>
    <x v="119"/>
    <x v="23"/>
    <x v="1"/>
    <n v="394"/>
    <x v="0"/>
    <n v="26"/>
    <n v="2"/>
    <x v="0"/>
    <n v="3"/>
    <x v="1"/>
    <n v="92"/>
    <n v="3"/>
    <n v="4"/>
    <x v="5"/>
    <n v="4"/>
    <x v="1"/>
    <x v="116"/>
    <n v="19494"/>
    <n v="1"/>
    <x v="0"/>
    <n v="0.12"/>
    <n v="3"/>
    <n v="4"/>
    <n v="2"/>
    <n v="25"/>
    <n v="3"/>
    <n v="4"/>
    <x v="10"/>
    <n v="12"/>
    <n v="4"/>
    <n v="12"/>
    <x v="1"/>
    <n v="1"/>
    <n v="2"/>
    <n v="1"/>
    <n v="1"/>
    <n v="1"/>
    <n v="0"/>
    <n v="0"/>
    <n v="1"/>
    <n v="18.326496676365554"/>
    <n v="0.63139386833300615"/>
    <x v="1"/>
    <n v="25438.5"/>
  </r>
  <r>
    <x v="120"/>
    <x v="7"/>
    <x v="1"/>
    <n v="1312"/>
    <x v="1"/>
    <n v="23"/>
    <n v="3"/>
    <x v="0"/>
    <n v="1"/>
    <x v="1"/>
    <n v="96"/>
    <n v="1"/>
    <n v="1"/>
    <x v="1"/>
    <n v="3"/>
    <x v="2"/>
    <x v="117"/>
    <n v="22310"/>
    <n v="1"/>
    <x v="1"/>
    <n v="0.25"/>
    <n v="4"/>
    <n v="3"/>
    <n v="3"/>
    <n v="10"/>
    <n v="2"/>
    <n v="2"/>
    <x v="1"/>
    <n v="7"/>
    <n v="0"/>
    <n v="9"/>
    <x v="1"/>
    <n v="1"/>
    <n v="2"/>
    <n v="2"/>
    <n v="0"/>
    <n v="1"/>
    <n v="0"/>
    <n v="1"/>
    <n v="1"/>
    <n v="14.820925613786383"/>
    <n v="0.51061813508702369"/>
    <x v="1"/>
    <n v="3919.5"/>
  </r>
  <r>
    <x v="121"/>
    <x v="3"/>
    <x v="2"/>
    <n v="750"/>
    <x v="0"/>
    <n v="22"/>
    <n v="2"/>
    <x v="3"/>
    <n v="3"/>
    <x v="1"/>
    <n v="95"/>
    <n v="3"/>
    <n v="2"/>
    <x v="0"/>
    <n v="2"/>
    <x v="1"/>
    <x v="118"/>
    <n v="15480"/>
    <n v="0"/>
    <x v="1"/>
    <n v="0.13"/>
    <n v="3"/>
    <n v="1"/>
    <n v="1"/>
    <n v="8"/>
    <n v="2"/>
    <n v="4"/>
    <x v="5"/>
    <n v="7"/>
    <n v="0"/>
    <n v="7"/>
    <x v="1"/>
    <n v="1"/>
    <n v="0"/>
    <n v="1"/>
    <n v="0"/>
    <n v="1"/>
    <n v="1"/>
    <n v="0"/>
    <n v="0"/>
    <n v="7.3706398258535089"/>
    <n v="0.25393706576427255"/>
    <x v="0"/>
    <n v="0"/>
  </r>
  <r>
    <x v="122"/>
    <x v="29"/>
    <x v="0"/>
    <n v="441"/>
    <x v="1"/>
    <n v="14"/>
    <n v="4"/>
    <x v="0"/>
    <n v="2"/>
    <x v="0"/>
    <n v="72"/>
    <n v="3"/>
    <n v="1"/>
    <x v="1"/>
    <n v="2"/>
    <x v="1"/>
    <x v="119"/>
    <n v="4510"/>
    <n v="9"/>
    <x v="0"/>
    <n v="0.18"/>
    <n v="3"/>
    <n v="1"/>
    <n v="3"/>
    <n v="7"/>
    <n v="2"/>
    <n v="3"/>
    <x v="8"/>
    <n v="4"/>
    <n v="4"/>
    <n v="3"/>
    <x v="0"/>
    <n v="0"/>
    <n v="1"/>
    <n v="1"/>
    <n v="1"/>
    <n v="0"/>
    <n v="1"/>
    <n v="0"/>
    <n v="0"/>
    <n v="14.204533129978131"/>
    <n v="0.48938186491297625"/>
    <x v="0"/>
    <n v="0"/>
  </r>
  <r>
    <x v="123"/>
    <x v="31"/>
    <x v="0"/>
    <n v="684"/>
    <x v="1"/>
    <n v="6"/>
    <n v="3"/>
    <x v="0"/>
    <n v="1"/>
    <x v="1"/>
    <n v="51"/>
    <n v="3"/>
    <n v="5"/>
    <x v="7"/>
    <n v="3"/>
    <x v="0"/>
    <x v="120"/>
    <n v="6462"/>
    <n v="7"/>
    <x v="1"/>
    <n v="0.13"/>
    <n v="3"/>
    <n v="3"/>
    <n v="0"/>
    <n v="23"/>
    <n v="5"/>
    <n v="3"/>
    <x v="23"/>
    <n v="18"/>
    <n v="15"/>
    <n v="15"/>
    <x v="1"/>
    <n v="1"/>
    <n v="1"/>
    <n v="0"/>
    <n v="0"/>
    <n v="0"/>
    <n v="0"/>
    <n v="0"/>
    <n v="0"/>
    <n v="0"/>
    <n v="0"/>
    <x v="2"/>
    <n v="0"/>
  </r>
  <r>
    <x v="124"/>
    <x v="12"/>
    <x v="0"/>
    <n v="249"/>
    <x v="0"/>
    <n v="6"/>
    <n v="4"/>
    <x v="0"/>
    <n v="2"/>
    <x v="1"/>
    <n v="76"/>
    <n v="1"/>
    <n v="2"/>
    <x v="0"/>
    <n v="3"/>
    <x v="1"/>
    <x v="121"/>
    <n v="20739"/>
    <n v="4"/>
    <x v="0"/>
    <n v="0.18"/>
    <n v="3"/>
    <n v="2"/>
    <n v="0"/>
    <n v="12"/>
    <n v="3"/>
    <n v="2"/>
    <x v="5"/>
    <n v="7"/>
    <n v="7"/>
    <n v="7"/>
    <x v="0"/>
    <n v="1"/>
    <n v="1"/>
    <n v="1"/>
    <n v="1"/>
    <n v="0"/>
    <n v="0"/>
    <n v="0"/>
    <n v="0"/>
    <n v="10"/>
    <n v="0.3445251318258073"/>
    <x v="0"/>
    <n v="0"/>
  </r>
  <r>
    <x v="125"/>
    <x v="25"/>
    <x v="0"/>
    <n v="841"/>
    <x v="1"/>
    <n v="6"/>
    <n v="3"/>
    <x v="1"/>
    <n v="3"/>
    <x v="0"/>
    <n v="46"/>
    <n v="2"/>
    <n v="1"/>
    <x v="1"/>
    <n v="2"/>
    <x v="1"/>
    <x v="122"/>
    <n v="23300"/>
    <n v="1"/>
    <x v="1"/>
    <n v="0.19"/>
    <n v="3"/>
    <n v="3"/>
    <n v="0"/>
    <n v="5"/>
    <n v="3"/>
    <n v="2"/>
    <x v="8"/>
    <n v="4"/>
    <n v="4"/>
    <n v="3"/>
    <x v="1"/>
    <n v="0"/>
    <n v="1"/>
    <n v="1"/>
    <n v="0"/>
    <n v="0"/>
    <n v="1"/>
    <n v="1"/>
    <n v="0"/>
    <n v="10.698962067398959"/>
    <n v="0.3686061316669938"/>
    <x v="0"/>
    <n v="0"/>
  </r>
  <r>
    <x v="126"/>
    <x v="34"/>
    <x v="0"/>
    <n v="147"/>
    <x v="1"/>
    <n v="23"/>
    <n v="4"/>
    <x v="2"/>
    <n v="4"/>
    <x v="0"/>
    <n v="94"/>
    <n v="3"/>
    <n v="3"/>
    <x v="4"/>
    <n v="4"/>
    <x v="1"/>
    <x v="123"/>
    <n v="3465"/>
    <n v="1"/>
    <x v="1"/>
    <n v="0.12"/>
    <n v="3"/>
    <n v="4"/>
    <n v="1"/>
    <n v="40"/>
    <n v="3"/>
    <n v="2"/>
    <x v="24"/>
    <n v="10"/>
    <n v="15"/>
    <n v="6"/>
    <x v="0"/>
    <n v="0"/>
    <n v="1"/>
    <n v="1"/>
    <n v="0"/>
    <n v="1"/>
    <n v="0"/>
    <n v="0"/>
    <n v="0"/>
    <n v="3.1661066958753779"/>
    <n v="0.10908033267710357"/>
    <x v="2"/>
    <n v="0"/>
  </r>
  <r>
    <x v="127"/>
    <x v="37"/>
    <x v="0"/>
    <n v="528"/>
    <x v="0"/>
    <n v="22"/>
    <n v="1"/>
    <x v="3"/>
    <n v="4"/>
    <x v="1"/>
    <n v="50"/>
    <n v="3"/>
    <n v="1"/>
    <x v="6"/>
    <n v="3"/>
    <x v="0"/>
    <x v="124"/>
    <n v="26820"/>
    <n v="1"/>
    <x v="0"/>
    <n v="0.19"/>
    <n v="3"/>
    <n v="4"/>
    <n v="0"/>
    <n v="0"/>
    <n v="2"/>
    <n v="2"/>
    <x v="2"/>
    <n v="0"/>
    <n v="0"/>
    <n v="0"/>
    <x v="0"/>
    <n v="1"/>
    <n v="1"/>
    <n v="0"/>
    <n v="1"/>
    <n v="1"/>
    <n v="0"/>
    <n v="1"/>
    <n v="0"/>
    <n v="19.660535633296206"/>
    <n v="0.67735486308273574"/>
    <x v="1"/>
    <n v="2512.5"/>
  </r>
  <r>
    <x v="128"/>
    <x v="15"/>
    <x v="0"/>
    <n v="594"/>
    <x v="1"/>
    <n v="2"/>
    <n v="1"/>
    <x v="4"/>
    <n v="3"/>
    <x v="1"/>
    <n v="100"/>
    <n v="3"/>
    <n v="1"/>
    <x v="2"/>
    <n v="4"/>
    <x v="1"/>
    <x v="125"/>
    <n v="19299"/>
    <n v="0"/>
    <x v="1"/>
    <n v="0.14000000000000001"/>
    <n v="3"/>
    <n v="3"/>
    <n v="1"/>
    <n v="3"/>
    <n v="2"/>
    <n v="3"/>
    <x v="4"/>
    <n v="1"/>
    <n v="2"/>
    <n v="1"/>
    <x v="1"/>
    <n v="1"/>
    <n v="1"/>
    <n v="1"/>
    <n v="0"/>
    <n v="0"/>
    <n v="0"/>
    <n v="1"/>
    <n v="0"/>
    <n v="6.4944289374208282"/>
    <n v="0.22374939857982484"/>
    <x v="2"/>
    <n v="0"/>
  </r>
  <r>
    <x v="129"/>
    <x v="1"/>
    <x v="0"/>
    <n v="470"/>
    <x v="1"/>
    <n v="20"/>
    <n v="4"/>
    <x v="2"/>
    <n v="3"/>
    <x v="0"/>
    <n v="96"/>
    <n v="3"/>
    <n v="2"/>
    <x v="3"/>
    <n v="1"/>
    <x v="1"/>
    <x v="126"/>
    <n v="5549"/>
    <n v="1"/>
    <x v="1"/>
    <n v="0.14000000000000001"/>
    <n v="3"/>
    <n v="3"/>
    <n v="0"/>
    <n v="16"/>
    <n v="2"/>
    <n v="2"/>
    <x v="15"/>
    <n v="11"/>
    <n v="5"/>
    <n v="11"/>
    <x v="1"/>
    <n v="0"/>
    <n v="1"/>
    <n v="1"/>
    <n v="0"/>
    <n v="1"/>
    <n v="1"/>
    <n v="0"/>
    <n v="0"/>
    <n v="7.3706398258535089"/>
    <n v="0.25393706576427255"/>
    <x v="0"/>
    <n v="0"/>
  </r>
  <r>
    <x v="130"/>
    <x v="23"/>
    <x v="1"/>
    <n v="957"/>
    <x v="1"/>
    <n v="28"/>
    <n v="3"/>
    <x v="2"/>
    <n v="2"/>
    <x v="0"/>
    <n v="72"/>
    <n v="4"/>
    <n v="1"/>
    <x v="1"/>
    <n v="3"/>
    <x v="0"/>
    <x v="127"/>
    <n v="16090"/>
    <n v="4"/>
    <x v="1"/>
    <n v="0.12"/>
    <n v="3"/>
    <n v="4"/>
    <n v="0"/>
    <n v="18"/>
    <n v="2"/>
    <n v="3"/>
    <x v="11"/>
    <n v="2"/>
    <n v="1"/>
    <n v="2"/>
    <x v="1"/>
    <n v="0"/>
    <n v="2"/>
    <n v="0"/>
    <n v="0"/>
    <n v="1"/>
    <n v="0"/>
    <n v="1"/>
    <n v="1"/>
    <n v="14.820925613786383"/>
    <n v="0.51061813508702369"/>
    <x v="1"/>
    <n v="7108.5"/>
  </r>
  <r>
    <x v="131"/>
    <x v="24"/>
    <x v="1"/>
    <n v="809"/>
    <x v="0"/>
    <n v="12"/>
    <n v="3"/>
    <x v="3"/>
    <n v="3"/>
    <x v="0"/>
    <n v="77"/>
    <n v="3"/>
    <n v="3"/>
    <x v="0"/>
    <n v="4"/>
    <x v="0"/>
    <x v="128"/>
    <n v="6645"/>
    <n v="4"/>
    <x v="1"/>
    <n v="0.11"/>
    <n v="3"/>
    <n v="4"/>
    <n v="0"/>
    <n v="16"/>
    <n v="3"/>
    <n v="3"/>
    <x v="4"/>
    <n v="2"/>
    <n v="2"/>
    <n v="1"/>
    <x v="1"/>
    <n v="0"/>
    <n v="2"/>
    <n v="0"/>
    <n v="0"/>
    <n v="0"/>
    <n v="0"/>
    <n v="0"/>
    <n v="1"/>
    <n v="5.1603899804901765"/>
    <n v="0.17778840383009531"/>
    <x v="2"/>
    <n v="0"/>
  </r>
  <r>
    <x v="132"/>
    <x v="12"/>
    <x v="0"/>
    <n v="542"/>
    <x v="0"/>
    <n v="20"/>
    <n v="3"/>
    <x v="0"/>
    <n v="2"/>
    <x v="0"/>
    <n v="71"/>
    <n v="1"/>
    <n v="2"/>
    <x v="0"/>
    <n v="3"/>
    <x v="1"/>
    <x v="129"/>
    <n v="24788"/>
    <n v="3"/>
    <x v="0"/>
    <n v="0.11"/>
    <n v="3"/>
    <n v="3"/>
    <n v="1"/>
    <n v="4"/>
    <n v="2"/>
    <n v="3"/>
    <x v="4"/>
    <n v="2"/>
    <n v="2"/>
    <n v="2"/>
    <x v="0"/>
    <n v="0"/>
    <n v="1"/>
    <n v="1"/>
    <n v="1"/>
    <n v="1"/>
    <n v="0"/>
    <n v="1"/>
    <n v="0"/>
    <n v="19.660535633296206"/>
    <n v="0.67735486308273574"/>
    <x v="1"/>
    <n v="6838.5"/>
  </r>
  <r>
    <x v="133"/>
    <x v="0"/>
    <x v="0"/>
    <n v="802"/>
    <x v="0"/>
    <n v="9"/>
    <n v="1"/>
    <x v="0"/>
    <n v="3"/>
    <x v="1"/>
    <n v="96"/>
    <n v="3"/>
    <n v="3"/>
    <x v="0"/>
    <n v="3"/>
    <x v="2"/>
    <x v="130"/>
    <n v="21196"/>
    <n v="3"/>
    <x v="0"/>
    <n v="0.13"/>
    <n v="3"/>
    <n v="3"/>
    <n v="1"/>
    <n v="12"/>
    <n v="2"/>
    <n v="3"/>
    <x v="7"/>
    <n v="7"/>
    <n v="0"/>
    <n v="7"/>
    <x v="1"/>
    <n v="1"/>
    <n v="1"/>
    <n v="2"/>
    <n v="1"/>
    <n v="0"/>
    <n v="0"/>
    <n v="0"/>
    <n v="0"/>
    <n v="10"/>
    <n v="0.3445251318258073"/>
    <x v="0"/>
    <n v="0"/>
  </r>
  <r>
    <x v="134"/>
    <x v="25"/>
    <x v="0"/>
    <n v="1355"/>
    <x v="2"/>
    <n v="25"/>
    <n v="1"/>
    <x v="0"/>
    <n v="3"/>
    <x v="0"/>
    <n v="61"/>
    <n v="3"/>
    <n v="1"/>
    <x v="8"/>
    <n v="3"/>
    <x v="1"/>
    <x v="131"/>
    <n v="8916"/>
    <n v="1"/>
    <x v="1"/>
    <n v="0.23"/>
    <n v="4"/>
    <n v="4"/>
    <n v="1"/>
    <n v="8"/>
    <n v="3"/>
    <n v="3"/>
    <x v="3"/>
    <n v="7"/>
    <n v="5"/>
    <n v="7"/>
    <x v="1"/>
    <n v="0"/>
    <n v="1"/>
    <n v="1"/>
    <n v="0"/>
    <n v="1"/>
    <n v="0"/>
    <n v="1"/>
    <n v="0"/>
    <n v="9.660535633296206"/>
    <n v="0.33282973125692844"/>
    <x v="0"/>
    <n v="0"/>
  </r>
  <r>
    <x v="135"/>
    <x v="9"/>
    <x v="0"/>
    <n v="216"/>
    <x v="1"/>
    <n v="6"/>
    <n v="2"/>
    <x v="2"/>
    <n v="2"/>
    <x v="1"/>
    <n v="84"/>
    <n v="3"/>
    <n v="2"/>
    <x v="3"/>
    <n v="2"/>
    <x v="2"/>
    <x v="132"/>
    <n v="2819"/>
    <n v="6"/>
    <x v="1"/>
    <n v="0.2"/>
    <n v="4"/>
    <n v="4"/>
    <n v="2"/>
    <n v="7"/>
    <n v="0"/>
    <n v="3"/>
    <x v="11"/>
    <n v="2"/>
    <n v="0"/>
    <n v="1"/>
    <x v="1"/>
    <n v="1"/>
    <n v="1"/>
    <n v="2"/>
    <n v="0"/>
    <n v="0"/>
    <n v="1"/>
    <n v="0"/>
    <n v="0"/>
    <n v="4.204533129978131"/>
    <n v="0.14485673308716898"/>
    <x v="2"/>
    <n v="0"/>
  </r>
  <r>
    <x v="136"/>
    <x v="31"/>
    <x v="1"/>
    <n v="1150"/>
    <x v="1"/>
    <n v="8"/>
    <n v="4"/>
    <x v="0"/>
    <n v="1"/>
    <x v="1"/>
    <n v="53"/>
    <n v="1"/>
    <n v="3"/>
    <x v="3"/>
    <n v="4"/>
    <x v="0"/>
    <x v="133"/>
    <n v="25150"/>
    <n v="2"/>
    <x v="1"/>
    <n v="0.15"/>
    <n v="3"/>
    <n v="4"/>
    <n v="0"/>
    <n v="18"/>
    <n v="2"/>
    <n v="3"/>
    <x v="9"/>
    <n v="2"/>
    <n v="0"/>
    <n v="3"/>
    <x v="0"/>
    <n v="1"/>
    <n v="2"/>
    <n v="0"/>
    <n v="0"/>
    <n v="0"/>
    <n v="0"/>
    <n v="0"/>
    <n v="1"/>
    <n v="5.1603899804901765"/>
    <n v="0.17778840383009531"/>
    <x v="2"/>
    <n v="0"/>
  </r>
  <r>
    <x v="137"/>
    <x v="22"/>
    <x v="0"/>
    <n v="1329"/>
    <x v="0"/>
    <n v="4"/>
    <n v="4"/>
    <x v="0"/>
    <n v="4"/>
    <x v="0"/>
    <n v="47"/>
    <n v="2"/>
    <n v="2"/>
    <x v="0"/>
    <n v="3"/>
    <x v="1"/>
    <x v="134"/>
    <n v="14590"/>
    <n v="4"/>
    <x v="1"/>
    <n v="0.14000000000000001"/>
    <n v="3"/>
    <n v="3"/>
    <n v="1"/>
    <n v="17"/>
    <n v="1"/>
    <n v="4"/>
    <x v="15"/>
    <n v="11"/>
    <n v="5"/>
    <n v="9"/>
    <x v="1"/>
    <n v="0"/>
    <n v="1"/>
    <n v="1"/>
    <n v="0"/>
    <n v="0"/>
    <n v="0"/>
    <n v="0"/>
    <n v="0"/>
    <n v="0"/>
    <n v="0"/>
    <x v="2"/>
    <n v="0"/>
  </r>
  <r>
    <x v="138"/>
    <x v="36"/>
    <x v="0"/>
    <n v="959"/>
    <x v="0"/>
    <n v="28"/>
    <n v="3"/>
    <x v="0"/>
    <n v="1"/>
    <x v="1"/>
    <n v="41"/>
    <n v="2"/>
    <n v="2"/>
    <x v="0"/>
    <n v="3"/>
    <x v="1"/>
    <x v="135"/>
    <n v="24835"/>
    <n v="2"/>
    <x v="1"/>
    <n v="0.18"/>
    <n v="3"/>
    <n v="4"/>
    <n v="0"/>
    <n v="6"/>
    <n v="3"/>
    <n v="3"/>
    <x v="4"/>
    <n v="2"/>
    <n v="2"/>
    <n v="2"/>
    <x v="1"/>
    <n v="1"/>
    <n v="1"/>
    <n v="1"/>
    <n v="0"/>
    <n v="1"/>
    <n v="0"/>
    <n v="0"/>
    <n v="0"/>
    <n v="3.1661066958753779"/>
    <n v="0.10908033267710357"/>
    <x v="2"/>
    <n v="0"/>
  </r>
  <r>
    <x v="139"/>
    <x v="7"/>
    <x v="0"/>
    <n v="1240"/>
    <x v="2"/>
    <n v="9"/>
    <n v="3"/>
    <x v="5"/>
    <n v="3"/>
    <x v="1"/>
    <n v="48"/>
    <n v="3"/>
    <n v="2"/>
    <x v="8"/>
    <n v="4"/>
    <x v="1"/>
    <x v="136"/>
    <n v="13982"/>
    <n v="0"/>
    <x v="0"/>
    <n v="0.19"/>
    <n v="3"/>
    <n v="4"/>
    <n v="0"/>
    <n v="12"/>
    <n v="2"/>
    <n v="1"/>
    <x v="19"/>
    <n v="9"/>
    <n v="4"/>
    <n v="7"/>
    <x v="1"/>
    <n v="1"/>
    <n v="1"/>
    <n v="1"/>
    <n v="1"/>
    <n v="0"/>
    <n v="0"/>
    <n v="0"/>
    <n v="0"/>
    <n v="10"/>
    <n v="0.3445251318258073"/>
    <x v="0"/>
    <n v="0"/>
  </r>
  <r>
    <x v="140"/>
    <x v="5"/>
    <x v="0"/>
    <n v="1033"/>
    <x v="1"/>
    <n v="9"/>
    <n v="3"/>
    <x v="2"/>
    <n v="1"/>
    <x v="0"/>
    <n v="41"/>
    <n v="3"/>
    <n v="1"/>
    <x v="2"/>
    <n v="1"/>
    <x v="0"/>
    <x v="137"/>
    <n v="10224"/>
    <n v="7"/>
    <x v="1"/>
    <n v="0.22"/>
    <n v="4"/>
    <n v="1"/>
    <n v="0"/>
    <n v="10"/>
    <n v="2"/>
    <n v="4"/>
    <x v="8"/>
    <n v="4"/>
    <n v="0"/>
    <n v="4"/>
    <x v="0"/>
    <n v="0"/>
    <n v="1"/>
    <n v="0"/>
    <n v="0"/>
    <n v="0"/>
    <n v="1"/>
    <n v="1"/>
    <n v="0"/>
    <n v="10.698962067398959"/>
    <n v="0.3686061316669938"/>
    <x v="0"/>
    <n v="0"/>
  </r>
  <r>
    <x v="141"/>
    <x v="28"/>
    <x v="0"/>
    <n v="1316"/>
    <x v="1"/>
    <n v="29"/>
    <n v="3"/>
    <x v="2"/>
    <n v="3"/>
    <x v="1"/>
    <n v="83"/>
    <n v="3"/>
    <n v="1"/>
    <x v="1"/>
    <n v="4"/>
    <x v="0"/>
    <x v="138"/>
    <n v="9752"/>
    <n v="5"/>
    <x v="1"/>
    <n v="0.13"/>
    <n v="3"/>
    <n v="2"/>
    <n v="0"/>
    <n v="9"/>
    <n v="2"/>
    <n v="2"/>
    <x v="0"/>
    <n v="5"/>
    <n v="0"/>
    <n v="3"/>
    <x v="1"/>
    <n v="1"/>
    <n v="1"/>
    <n v="0"/>
    <n v="0"/>
    <n v="1"/>
    <n v="0"/>
    <n v="1"/>
    <n v="0"/>
    <n v="9.660535633296206"/>
    <n v="0.33282973125692844"/>
    <x v="0"/>
    <n v="0"/>
  </r>
  <r>
    <x v="142"/>
    <x v="8"/>
    <x v="0"/>
    <n v="364"/>
    <x v="1"/>
    <n v="3"/>
    <n v="5"/>
    <x v="4"/>
    <n v="4"/>
    <x v="0"/>
    <n v="32"/>
    <n v="3"/>
    <n v="2"/>
    <x v="1"/>
    <n v="3"/>
    <x v="0"/>
    <x v="139"/>
    <n v="2302"/>
    <n v="3"/>
    <x v="0"/>
    <n v="0.2"/>
    <n v="4"/>
    <n v="2"/>
    <n v="0"/>
    <n v="19"/>
    <n v="2"/>
    <n v="3"/>
    <x v="11"/>
    <n v="2"/>
    <n v="2"/>
    <n v="2"/>
    <x v="1"/>
    <n v="0"/>
    <n v="1"/>
    <n v="0"/>
    <n v="1"/>
    <n v="0"/>
    <n v="0"/>
    <n v="1"/>
    <n v="0"/>
    <n v="16.494428937420828"/>
    <n v="0.56827453040563214"/>
    <x v="1"/>
    <n v="6475.5"/>
  </r>
  <r>
    <x v="143"/>
    <x v="7"/>
    <x v="0"/>
    <n v="438"/>
    <x v="1"/>
    <n v="18"/>
    <n v="3"/>
    <x v="0"/>
    <n v="1"/>
    <x v="0"/>
    <n v="75"/>
    <n v="3"/>
    <n v="1"/>
    <x v="1"/>
    <n v="3"/>
    <x v="0"/>
    <x v="140"/>
    <n v="23910"/>
    <n v="1"/>
    <x v="1"/>
    <n v="0.14000000000000001"/>
    <n v="3"/>
    <n v="3"/>
    <n v="0"/>
    <n v="5"/>
    <n v="4"/>
    <n v="2"/>
    <x v="8"/>
    <n v="4"/>
    <n v="0"/>
    <n v="4"/>
    <x v="1"/>
    <n v="0"/>
    <n v="1"/>
    <n v="0"/>
    <n v="0"/>
    <n v="1"/>
    <n v="0"/>
    <n v="1"/>
    <n v="0"/>
    <n v="9.660535633296206"/>
    <n v="0.33282973125692844"/>
    <x v="0"/>
    <n v="0"/>
  </r>
  <r>
    <x v="144"/>
    <x v="5"/>
    <x v="1"/>
    <n v="689"/>
    <x v="0"/>
    <n v="9"/>
    <n v="2"/>
    <x v="2"/>
    <n v="4"/>
    <x v="1"/>
    <n v="35"/>
    <n v="1"/>
    <n v="2"/>
    <x v="0"/>
    <n v="4"/>
    <x v="2"/>
    <x v="141"/>
    <n v="22812"/>
    <n v="0"/>
    <x v="1"/>
    <n v="0.17"/>
    <n v="3"/>
    <n v="4"/>
    <n v="3"/>
    <n v="9"/>
    <n v="2"/>
    <n v="4"/>
    <x v="3"/>
    <n v="7"/>
    <n v="0"/>
    <n v="7"/>
    <x v="1"/>
    <n v="1"/>
    <n v="2"/>
    <n v="2"/>
    <n v="0"/>
    <n v="0"/>
    <n v="0"/>
    <n v="1"/>
    <n v="1"/>
    <n v="11.654818917911005"/>
    <n v="0.40153780240992015"/>
    <x v="0"/>
    <n v="0"/>
  </r>
  <r>
    <x v="145"/>
    <x v="7"/>
    <x v="0"/>
    <n v="201"/>
    <x v="1"/>
    <n v="5"/>
    <n v="3"/>
    <x v="4"/>
    <n v="4"/>
    <x v="0"/>
    <n v="84"/>
    <n v="3"/>
    <n v="1"/>
    <x v="1"/>
    <n v="1"/>
    <x v="2"/>
    <x v="142"/>
    <n v="10415"/>
    <n v="5"/>
    <x v="1"/>
    <n v="0.14000000000000001"/>
    <n v="3"/>
    <n v="4"/>
    <n v="1"/>
    <n v="8"/>
    <n v="3"/>
    <n v="3"/>
    <x v="11"/>
    <n v="2"/>
    <n v="2"/>
    <n v="2"/>
    <x v="1"/>
    <n v="0"/>
    <n v="1"/>
    <n v="2"/>
    <n v="0"/>
    <n v="0"/>
    <n v="1"/>
    <n v="1"/>
    <n v="0"/>
    <n v="10.698962067398959"/>
    <n v="0.3686061316669938"/>
    <x v="0"/>
    <n v="0"/>
  </r>
  <r>
    <x v="146"/>
    <x v="7"/>
    <x v="0"/>
    <n v="1427"/>
    <x v="1"/>
    <n v="2"/>
    <n v="1"/>
    <x v="2"/>
    <n v="2"/>
    <x v="1"/>
    <n v="35"/>
    <n v="2"/>
    <n v="1"/>
    <x v="2"/>
    <n v="4"/>
    <x v="0"/>
    <x v="143"/>
    <n v="11162"/>
    <n v="0"/>
    <x v="1"/>
    <n v="0.13"/>
    <n v="3"/>
    <n v="4"/>
    <n v="0"/>
    <n v="6"/>
    <n v="3"/>
    <n v="3"/>
    <x v="8"/>
    <n v="3"/>
    <n v="1"/>
    <n v="2"/>
    <x v="1"/>
    <n v="1"/>
    <n v="1"/>
    <n v="0"/>
    <n v="0"/>
    <n v="0"/>
    <n v="0"/>
    <n v="1"/>
    <n v="0"/>
    <n v="6.4944289374208282"/>
    <n v="0.22374939857982484"/>
    <x v="2"/>
    <n v="0"/>
  </r>
  <r>
    <x v="147"/>
    <x v="0"/>
    <x v="1"/>
    <n v="857"/>
    <x v="1"/>
    <n v="10"/>
    <n v="3"/>
    <x v="0"/>
    <n v="4"/>
    <x v="1"/>
    <n v="91"/>
    <n v="2"/>
    <n v="4"/>
    <x v="5"/>
    <n v="1"/>
    <x v="2"/>
    <x v="144"/>
    <n v="12888"/>
    <n v="4"/>
    <x v="1"/>
    <n v="0.13"/>
    <n v="3"/>
    <n v="2"/>
    <n v="1"/>
    <n v="21"/>
    <n v="2"/>
    <n v="2"/>
    <x v="5"/>
    <n v="6"/>
    <n v="7"/>
    <n v="7"/>
    <x v="1"/>
    <n v="1"/>
    <n v="2"/>
    <n v="2"/>
    <n v="0"/>
    <n v="0"/>
    <n v="1"/>
    <n v="0"/>
    <n v="1"/>
    <n v="9.3649231104683075"/>
    <n v="0.32264513691726432"/>
    <x v="0"/>
    <n v="0"/>
  </r>
  <r>
    <x v="148"/>
    <x v="0"/>
    <x v="0"/>
    <n v="933"/>
    <x v="1"/>
    <n v="9"/>
    <n v="4"/>
    <x v="0"/>
    <n v="3"/>
    <x v="1"/>
    <n v="94"/>
    <n v="3"/>
    <n v="1"/>
    <x v="2"/>
    <n v="1"/>
    <x v="1"/>
    <x v="145"/>
    <n v="6961"/>
    <n v="2"/>
    <x v="1"/>
    <n v="0.21"/>
    <n v="4"/>
    <n v="4"/>
    <n v="1"/>
    <n v="7"/>
    <n v="2"/>
    <n v="3"/>
    <x v="8"/>
    <n v="0"/>
    <n v="1"/>
    <n v="4"/>
    <x v="1"/>
    <n v="1"/>
    <n v="1"/>
    <n v="1"/>
    <n v="0"/>
    <n v="0"/>
    <n v="1"/>
    <n v="1"/>
    <n v="0"/>
    <n v="10.698962067398959"/>
    <n v="0.3686061316669938"/>
    <x v="0"/>
    <n v="0"/>
  </r>
  <r>
    <x v="149"/>
    <x v="37"/>
    <x v="0"/>
    <n v="1181"/>
    <x v="1"/>
    <n v="3"/>
    <n v="1"/>
    <x v="2"/>
    <n v="2"/>
    <x v="0"/>
    <n v="79"/>
    <n v="3"/>
    <n v="1"/>
    <x v="2"/>
    <n v="2"/>
    <x v="0"/>
    <x v="146"/>
    <n v="16102"/>
    <n v="1"/>
    <x v="1"/>
    <n v="0.14000000000000001"/>
    <n v="3"/>
    <n v="4"/>
    <n v="0"/>
    <n v="1"/>
    <n v="3"/>
    <n v="3"/>
    <x v="6"/>
    <n v="0"/>
    <n v="0"/>
    <n v="0"/>
    <x v="1"/>
    <n v="0"/>
    <n v="1"/>
    <n v="0"/>
    <n v="0"/>
    <n v="0"/>
    <n v="1"/>
    <n v="1"/>
    <n v="0"/>
    <n v="10.698962067398959"/>
    <n v="0.3686061316669938"/>
    <x v="0"/>
    <n v="0"/>
  </r>
  <r>
    <x v="150"/>
    <x v="32"/>
    <x v="1"/>
    <n v="1395"/>
    <x v="1"/>
    <n v="26"/>
    <n v="3"/>
    <x v="2"/>
    <n v="2"/>
    <x v="0"/>
    <n v="54"/>
    <n v="3"/>
    <n v="2"/>
    <x v="1"/>
    <n v="2"/>
    <x v="2"/>
    <x v="147"/>
    <n v="8504"/>
    <n v="1"/>
    <x v="1"/>
    <n v="0.11"/>
    <n v="3"/>
    <n v="1"/>
    <n v="1"/>
    <n v="20"/>
    <n v="2"/>
    <n v="3"/>
    <x v="23"/>
    <n v="7"/>
    <n v="2"/>
    <n v="13"/>
    <x v="1"/>
    <n v="0"/>
    <n v="2"/>
    <n v="2"/>
    <n v="0"/>
    <n v="1"/>
    <n v="1"/>
    <n v="0"/>
    <n v="1"/>
    <n v="12.531029806343685"/>
    <n v="0.43172546959436786"/>
    <x v="0"/>
    <n v="0"/>
  </r>
  <r>
    <x v="151"/>
    <x v="10"/>
    <x v="0"/>
    <n v="662"/>
    <x v="0"/>
    <n v="1"/>
    <n v="5"/>
    <x v="3"/>
    <n v="3"/>
    <x v="1"/>
    <n v="94"/>
    <n v="3"/>
    <n v="3"/>
    <x v="0"/>
    <n v="2"/>
    <x v="1"/>
    <x v="148"/>
    <n v="11439"/>
    <n v="1"/>
    <x v="1"/>
    <n v="0.13"/>
    <n v="3"/>
    <n v="1"/>
    <n v="2"/>
    <n v="10"/>
    <n v="3"/>
    <n v="3"/>
    <x v="1"/>
    <n v="8"/>
    <n v="0"/>
    <n v="6"/>
    <x v="1"/>
    <n v="1"/>
    <n v="1"/>
    <n v="1"/>
    <n v="0"/>
    <n v="0"/>
    <n v="1"/>
    <n v="0"/>
    <n v="0"/>
    <n v="4.204533129978131"/>
    <n v="0.14485673308716898"/>
    <x v="2"/>
    <n v="0"/>
  </r>
  <r>
    <x v="152"/>
    <x v="16"/>
    <x v="0"/>
    <n v="1436"/>
    <x v="0"/>
    <n v="6"/>
    <n v="2"/>
    <x v="3"/>
    <n v="2"/>
    <x v="1"/>
    <n v="34"/>
    <n v="3"/>
    <n v="2"/>
    <x v="6"/>
    <n v="3"/>
    <x v="1"/>
    <x v="149"/>
    <n v="16047"/>
    <n v="2"/>
    <x v="0"/>
    <n v="0.2"/>
    <n v="4"/>
    <n v="4"/>
    <n v="1"/>
    <n v="13"/>
    <n v="3"/>
    <n v="1"/>
    <x v="5"/>
    <n v="7"/>
    <n v="4"/>
    <n v="5"/>
    <x v="1"/>
    <n v="1"/>
    <n v="1"/>
    <n v="1"/>
    <n v="1"/>
    <n v="0"/>
    <n v="0"/>
    <n v="1"/>
    <n v="0"/>
    <n v="16.494428937420828"/>
    <n v="0.56827453040563214"/>
    <x v="1"/>
    <n v="3459"/>
  </r>
  <r>
    <x v="153"/>
    <x v="28"/>
    <x v="0"/>
    <n v="194"/>
    <x v="1"/>
    <n v="9"/>
    <n v="3"/>
    <x v="0"/>
    <n v="2"/>
    <x v="1"/>
    <n v="60"/>
    <n v="3"/>
    <n v="2"/>
    <x v="2"/>
    <n v="2"/>
    <x v="2"/>
    <x v="150"/>
    <n v="10901"/>
    <n v="8"/>
    <x v="1"/>
    <n v="0.18"/>
    <n v="3"/>
    <n v="3"/>
    <n v="1"/>
    <n v="20"/>
    <n v="2"/>
    <n v="1"/>
    <x v="18"/>
    <n v="9"/>
    <n v="0"/>
    <n v="15"/>
    <x v="1"/>
    <n v="1"/>
    <n v="1"/>
    <n v="2"/>
    <n v="0"/>
    <n v="0"/>
    <n v="1"/>
    <n v="1"/>
    <n v="0"/>
    <n v="10.698962067398959"/>
    <n v="0.3686061316669938"/>
    <x v="0"/>
    <n v="0"/>
  </r>
  <r>
    <x v="154"/>
    <x v="5"/>
    <x v="1"/>
    <n v="967"/>
    <x v="0"/>
    <n v="8"/>
    <n v="3"/>
    <x v="3"/>
    <n v="2"/>
    <x v="0"/>
    <n v="43"/>
    <n v="3"/>
    <n v="3"/>
    <x v="0"/>
    <n v="4"/>
    <x v="0"/>
    <x v="151"/>
    <n v="15589"/>
    <n v="1"/>
    <x v="1"/>
    <n v="0.14000000000000001"/>
    <n v="3"/>
    <n v="4"/>
    <n v="0"/>
    <n v="9"/>
    <n v="2"/>
    <n v="3"/>
    <x v="7"/>
    <n v="8"/>
    <n v="3"/>
    <n v="7"/>
    <x v="1"/>
    <n v="0"/>
    <n v="2"/>
    <n v="0"/>
    <n v="0"/>
    <n v="0"/>
    <n v="0"/>
    <n v="0"/>
    <n v="1"/>
    <n v="5.1603899804901765"/>
    <n v="0.17778840383009531"/>
    <x v="2"/>
    <n v="0"/>
  </r>
  <r>
    <x v="155"/>
    <x v="11"/>
    <x v="2"/>
    <n v="1496"/>
    <x v="1"/>
    <n v="1"/>
    <n v="1"/>
    <x v="4"/>
    <n v="4"/>
    <x v="1"/>
    <n v="41"/>
    <n v="3"/>
    <n v="2"/>
    <x v="3"/>
    <n v="3"/>
    <x v="1"/>
    <x v="152"/>
    <n v="26283"/>
    <n v="1"/>
    <x v="1"/>
    <n v="0.13"/>
    <n v="3"/>
    <n v="1"/>
    <n v="1"/>
    <n v="10"/>
    <n v="1"/>
    <n v="3"/>
    <x v="1"/>
    <n v="7"/>
    <n v="0"/>
    <n v="9"/>
    <x v="1"/>
    <n v="1"/>
    <n v="0"/>
    <n v="1"/>
    <n v="0"/>
    <n v="0"/>
    <n v="0"/>
    <n v="1"/>
    <n v="0"/>
    <n v="6.4944289374208282"/>
    <n v="0.22374939857982484"/>
    <x v="2"/>
    <n v="0"/>
  </r>
  <r>
    <x v="156"/>
    <x v="31"/>
    <x v="0"/>
    <n v="1169"/>
    <x v="1"/>
    <n v="7"/>
    <n v="4"/>
    <x v="2"/>
    <n v="2"/>
    <x v="1"/>
    <n v="34"/>
    <n v="2"/>
    <n v="2"/>
    <x v="3"/>
    <n v="3"/>
    <x v="1"/>
    <x v="153"/>
    <n v="13983"/>
    <n v="2"/>
    <x v="1"/>
    <n v="0.17"/>
    <n v="3"/>
    <n v="3"/>
    <n v="0"/>
    <n v="10"/>
    <n v="2"/>
    <n v="3"/>
    <x v="6"/>
    <n v="0"/>
    <n v="0"/>
    <n v="0"/>
    <x v="1"/>
    <n v="1"/>
    <n v="1"/>
    <n v="1"/>
    <n v="0"/>
    <n v="0"/>
    <n v="0"/>
    <n v="0"/>
    <n v="0"/>
    <n v="0"/>
    <n v="0"/>
    <x v="2"/>
    <n v="0"/>
  </r>
  <r>
    <x v="157"/>
    <x v="34"/>
    <x v="0"/>
    <n v="1145"/>
    <x v="1"/>
    <n v="9"/>
    <n v="3"/>
    <x v="2"/>
    <n v="2"/>
    <x v="0"/>
    <n v="75"/>
    <n v="2"/>
    <n v="1"/>
    <x v="1"/>
    <n v="2"/>
    <x v="1"/>
    <x v="154"/>
    <n v="11873"/>
    <n v="4"/>
    <x v="0"/>
    <n v="0.2"/>
    <n v="4"/>
    <n v="2"/>
    <n v="1"/>
    <n v="9"/>
    <n v="3"/>
    <n v="2"/>
    <x v="6"/>
    <n v="0"/>
    <n v="0"/>
    <n v="0"/>
    <x v="1"/>
    <n v="0"/>
    <n v="1"/>
    <n v="1"/>
    <n v="1"/>
    <n v="0"/>
    <n v="1"/>
    <n v="1"/>
    <n v="0"/>
    <n v="20.698962067398959"/>
    <n v="0.71313126349280109"/>
    <x v="1"/>
    <n v="5019"/>
  </r>
  <r>
    <x v="158"/>
    <x v="32"/>
    <x v="0"/>
    <n v="630"/>
    <x v="0"/>
    <n v="4"/>
    <n v="4"/>
    <x v="3"/>
    <n v="3"/>
    <x v="1"/>
    <n v="67"/>
    <n v="2"/>
    <n v="3"/>
    <x v="0"/>
    <n v="4"/>
    <x v="1"/>
    <x v="155"/>
    <n v="8552"/>
    <n v="7"/>
    <x v="1"/>
    <n v="0.11"/>
    <n v="3"/>
    <n v="1"/>
    <n v="1"/>
    <n v="15"/>
    <n v="2"/>
    <n v="2"/>
    <x v="12"/>
    <n v="11"/>
    <n v="2"/>
    <n v="11"/>
    <x v="1"/>
    <n v="1"/>
    <n v="1"/>
    <n v="1"/>
    <n v="0"/>
    <n v="0"/>
    <n v="0"/>
    <n v="0"/>
    <n v="0"/>
    <n v="0"/>
    <n v="0"/>
    <x v="2"/>
    <n v="0"/>
  </r>
  <r>
    <x v="159"/>
    <x v="13"/>
    <x v="1"/>
    <n v="303"/>
    <x v="0"/>
    <n v="2"/>
    <n v="4"/>
    <x v="3"/>
    <n v="3"/>
    <x v="0"/>
    <n v="75"/>
    <n v="3"/>
    <n v="1"/>
    <x v="6"/>
    <n v="3"/>
    <x v="1"/>
    <x v="156"/>
    <n v="11314"/>
    <n v="6"/>
    <x v="1"/>
    <n v="0.18"/>
    <n v="3"/>
    <n v="4"/>
    <n v="1"/>
    <n v="6"/>
    <n v="3"/>
    <n v="3"/>
    <x v="9"/>
    <n v="3"/>
    <n v="1"/>
    <n v="2"/>
    <x v="1"/>
    <n v="0"/>
    <n v="2"/>
    <n v="1"/>
    <n v="0"/>
    <n v="0"/>
    <n v="0"/>
    <n v="1"/>
    <n v="1"/>
    <n v="11.654818917911005"/>
    <n v="0.40153780240992015"/>
    <x v="0"/>
    <n v="0"/>
  </r>
  <r>
    <x v="160"/>
    <x v="15"/>
    <x v="0"/>
    <n v="1256"/>
    <x v="1"/>
    <n v="19"/>
    <n v="1"/>
    <x v="2"/>
    <n v="3"/>
    <x v="1"/>
    <n v="80"/>
    <n v="3"/>
    <n v="1"/>
    <x v="1"/>
    <n v="4"/>
    <x v="1"/>
    <x v="157"/>
    <n v="11992"/>
    <n v="1"/>
    <x v="1"/>
    <n v="0.24"/>
    <n v="4"/>
    <n v="1"/>
    <n v="2"/>
    <n v="2"/>
    <n v="6"/>
    <n v="3"/>
    <x v="4"/>
    <n v="2"/>
    <n v="2"/>
    <n v="2"/>
    <x v="1"/>
    <n v="1"/>
    <n v="1"/>
    <n v="1"/>
    <n v="0"/>
    <n v="1"/>
    <n v="0"/>
    <n v="1"/>
    <n v="0"/>
    <n v="9.660535633296206"/>
    <n v="0.33282973125692844"/>
    <x v="0"/>
    <n v="0"/>
  </r>
  <r>
    <x v="161"/>
    <x v="4"/>
    <x v="2"/>
    <n v="691"/>
    <x v="1"/>
    <n v="9"/>
    <n v="3"/>
    <x v="2"/>
    <n v="4"/>
    <x v="1"/>
    <n v="57"/>
    <n v="3"/>
    <n v="1"/>
    <x v="1"/>
    <n v="2"/>
    <x v="2"/>
    <x v="158"/>
    <n v="5970"/>
    <n v="6"/>
    <x v="1"/>
    <n v="0.18"/>
    <n v="3"/>
    <n v="4"/>
    <n v="1"/>
    <n v="6"/>
    <n v="1"/>
    <n v="1"/>
    <x v="4"/>
    <n v="2"/>
    <n v="2"/>
    <n v="2"/>
    <x v="1"/>
    <n v="1"/>
    <n v="0"/>
    <n v="2"/>
    <n v="0"/>
    <n v="0"/>
    <n v="1"/>
    <n v="1"/>
    <n v="0"/>
    <n v="10.698962067398959"/>
    <n v="0.3686061316669938"/>
    <x v="0"/>
    <n v="0"/>
  </r>
  <r>
    <x v="162"/>
    <x v="14"/>
    <x v="0"/>
    <n v="440"/>
    <x v="1"/>
    <n v="21"/>
    <n v="3"/>
    <x v="2"/>
    <n v="3"/>
    <x v="1"/>
    <n v="42"/>
    <n v="3"/>
    <n v="1"/>
    <x v="1"/>
    <n v="4"/>
    <x v="1"/>
    <x v="159"/>
    <n v="6672"/>
    <n v="1"/>
    <x v="1"/>
    <n v="0.11"/>
    <n v="3"/>
    <n v="3"/>
    <n v="1"/>
    <n v="5"/>
    <n v="2"/>
    <n v="1"/>
    <x v="8"/>
    <n v="2"/>
    <n v="0"/>
    <n v="2"/>
    <x v="1"/>
    <n v="1"/>
    <n v="1"/>
    <n v="1"/>
    <n v="0"/>
    <n v="1"/>
    <n v="0"/>
    <n v="1"/>
    <n v="0"/>
    <n v="9.660535633296206"/>
    <n v="0.33282973125692844"/>
    <x v="0"/>
    <n v="0"/>
  </r>
  <r>
    <x v="163"/>
    <x v="38"/>
    <x v="0"/>
    <n v="334"/>
    <x v="1"/>
    <n v="24"/>
    <n v="2"/>
    <x v="0"/>
    <n v="3"/>
    <x v="1"/>
    <n v="83"/>
    <n v="4"/>
    <n v="3"/>
    <x v="4"/>
    <n v="4"/>
    <x v="2"/>
    <x v="160"/>
    <n v="23402"/>
    <n v="3"/>
    <x v="0"/>
    <n v="0.16"/>
    <n v="3"/>
    <n v="2"/>
    <n v="1"/>
    <n v="12"/>
    <n v="2"/>
    <n v="1"/>
    <x v="8"/>
    <n v="3"/>
    <n v="1"/>
    <n v="4"/>
    <x v="1"/>
    <n v="1"/>
    <n v="1"/>
    <n v="2"/>
    <n v="1"/>
    <n v="1"/>
    <n v="0"/>
    <n v="0"/>
    <n v="0"/>
    <n v="13.166106695875378"/>
    <n v="0.45360546450291089"/>
    <x v="0"/>
    <n v="0"/>
  </r>
  <r>
    <x v="164"/>
    <x v="4"/>
    <x v="2"/>
    <n v="1450"/>
    <x v="1"/>
    <n v="3"/>
    <n v="3"/>
    <x v="2"/>
    <n v="3"/>
    <x v="1"/>
    <n v="79"/>
    <n v="2"/>
    <n v="1"/>
    <x v="1"/>
    <n v="3"/>
    <x v="2"/>
    <x v="161"/>
    <n v="25326"/>
    <n v="1"/>
    <x v="0"/>
    <n v="0.15"/>
    <n v="3"/>
    <n v="4"/>
    <n v="1"/>
    <n v="1"/>
    <n v="2"/>
    <n v="2"/>
    <x v="6"/>
    <n v="1"/>
    <n v="0"/>
    <n v="1"/>
    <x v="1"/>
    <n v="1"/>
    <n v="0"/>
    <n v="2"/>
    <n v="1"/>
    <n v="0"/>
    <n v="0"/>
    <n v="1"/>
    <n v="0"/>
    <n v="16.494428937420828"/>
    <n v="0.56827453040563214"/>
    <x v="1"/>
    <n v="3849"/>
  </r>
  <r>
    <x v="165"/>
    <x v="24"/>
    <x v="0"/>
    <n v="1452"/>
    <x v="1"/>
    <n v="11"/>
    <n v="3"/>
    <x v="0"/>
    <n v="3"/>
    <x v="0"/>
    <n v="53"/>
    <n v="3"/>
    <n v="5"/>
    <x v="5"/>
    <n v="2"/>
    <x v="0"/>
    <x v="162"/>
    <n v="17053"/>
    <n v="3"/>
    <x v="1"/>
    <n v="0.15"/>
    <n v="3"/>
    <n v="2"/>
    <n v="0"/>
    <n v="21"/>
    <n v="5"/>
    <n v="3"/>
    <x v="8"/>
    <n v="4"/>
    <n v="4"/>
    <n v="4"/>
    <x v="1"/>
    <n v="0"/>
    <n v="1"/>
    <n v="0"/>
    <n v="0"/>
    <n v="0"/>
    <n v="1"/>
    <n v="0"/>
    <n v="0"/>
    <n v="4.204533129978131"/>
    <n v="0.14485673308716898"/>
    <x v="2"/>
    <n v="0"/>
  </r>
  <r>
    <x v="166"/>
    <x v="0"/>
    <x v="0"/>
    <n v="465"/>
    <x v="1"/>
    <n v="14"/>
    <n v="3"/>
    <x v="0"/>
    <n v="1"/>
    <x v="1"/>
    <n v="56"/>
    <n v="3"/>
    <n v="1"/>
    <x v="1"/>
    <n v="3"/>
    <x v="2"/>
    <x v="163"/>
    <n v="4609"/>
    <n v="4"/>
    <x v="1"/>
    <n v="0.12"/>
    <n v="3"/>
    <n v="1"/>
    <n v="1"/>
    <n v="13"/>
    <n v="2"/>
    <n v="3"/>
    <x v="7"/>
    <n v="8"/>
    <n v="1"/>
    <n v="8"/>
    <x v="1"/>
    <n v="1"/>
    <n v="1"/>
    <n v="2"/>
    <n v="0"/>
    <n v="0"/>
    <n v="0"/>
    <n v="1"/>
    <n v="0"/>
    <n v="6.4944289374208282"/>
    <n v="0.22374939857982484"/>
    <x v="2"/>
    <n v="0"/>
  </r>
  <r>
    <x v="167"/>
    <x v="7"/>
    <x v="0"/>
    <n v="1339"/>
    <x v="0"/>
    <n v="5"/>
    <n v="3"/>
    <x v="0"/>
    <n v="2"/>
    <x v="0"/>
    <n v="41"/>
    <n v="3"/>
    <n v="3"/>
    <x v="0"/>
    <n v="4"/>
    <x v="1"/>
    <x v="164"/>
    <n v="8053"/>
    <n v="2"/>
    <x v="1"/>
    <n v="0.12"/>
    <n v="3"/>
    <n v="3"/>
    <n v="1"/>
    <n v="12"/>
    <n v="2"/>
    <n v="3"/>
    <x v="1"/>
    <n v="9"/>
    <n v="7"/>
    <n v="4"/>
    <x v="1"/>
    <n v="0"/>
    <n v="1"/>
    <n v="1"/>
    <n v="0"/>
    <n v="0"/>
    <n v="0"/>
    <n v="0"/>
    <n v="0"/>
    <n v="0"/>
    <n v="0"/>
    <x v="2"/>
    <n v="0"/>
  </r>
  <r>
    <x v="168"/>
    <x v="8"/>
    <x v="0"/>
    <n v="702"/>
    <x v="0"/>
    <n v="1"/>
    <n v="4"/>
    <x v="0"/>
    <n v="1"/>
    <x v="0"/>
    <n v="59"/>
    <n v="2"/>
    <n v="2"/>
    <x v="0"/>
    <n v="4"/>
    <x v="0"/>
    <x v="165"/>
    <n v="12930"/>
    <n v="4"/>
    <x v="1"/>
    <n v="0.22"/>
    <n v="4"/>
    <n v="3"/>
    <n v="0"/>
    <n v="12"/>
    <n v="2"/>
    <n v="4"/>
    <x v="3"/>
    <n v="3"/>
    <n v="0"/>
    <n v="7"/>
    <x v="1"/>
    <n v="0"/>
    <n v="1"/>
    <n v="0"/>
    <n v="0"/>
    <n v="0"/>
    <n v="0"/>
    <n v="0"/>
    <n v="0"/>
    <n v="0"/>
    <n v="0"/>
    <x v="2"/>
    <n v="0"/>
  </r>
  <r>
    <x v="169"/>
    <x v="5"/>
    <x v="0"/>
    <n v="120"/>
    <x v="1"/>
    <n v="6"/>
    <n v="5"/>
    <x v="0"/>
    <n v="3"/>
    <x v="1"/>
    <n v="43"/>
    <n v="3"/>
    <n v="1"/>
    <x v="1"/>
    <n v="3"/>
    <x v="0"/>
    <x v="71"/>
    <n v="12430"/>
    <n v="3"/>
    <x v="1"/>
    <n v="0.2"/>
    <n v="4"/>
    <n v="1"/>
    <n v="0"/>
    <n v="8"/>
    <n v="2"/>
    <n v="3"/>
    <x v="8"/>
    <n v="4"/>
    <n v="1"/>
    <n v="4"/>
    <x v="1"/>
    <n v="1"/>
    <n v="1"/>
    <n v="0"/>
    <n v="0"/>
    <n v="0"/>
    <n v="0"/>
    <n v="1"/>
    <n v="0"/>
    <n v="6.4944289374208282"/>
    <n v="0.22374939857982484"/>
    <x v="2"/>
    <n v="0"/>
  </r>
  <r>
    <x v="170"/>
    <x v="4"/>
    <x v="0"/>
    <n v="1157"/>
    <x v="1"/>
    <n v="17"/>
    <n v="3"/>
    <x v="4"/>
    <n v="3"/>
    <x v="1"/>
    <n v="51"/>
    <n v="3"/>
    <n v="1"/>
    <x v="1"/>
    <n v="2"/>
    <x v="1"/>
    <x v="166"/>
    <n v="13364"/>
    <n v="0"/>
    <x v="0"/>
    <n v="0.16"/>
    <n v="3"/>
    <n v="4"/>
    <n v="1"/>
    <n v="6"/>
    <n v="3"/>
    <n v="2"/>
    <x v="8"/>
    <n v="2"/>
    <n v="1"/>
    <n v="1"/>
    <x v="1"/>
    <n v="1"/>
    <n v="1"/>
    <n v="1"/>
    <n v="1"/>
    <n v="1"/>
    <n v="1"/>
    <n v="1"/>
    <n v="0"/>
    <n v="23.865068763274337"/>
    <n v="0.82221159616990469"/>
    <x v="3"/>
    <n v="4587"/>
  </r>
  <r>
    <x v="171"/>
    <x v="37"/>
    <x v="1"/>
    <n v="602"/>
    <x v="0"/>
    <n v="1"/>
    <n v="1"/>
    <x v="4"/>
    <n v="3"/>
    <x v="0"/>
    <n v="100"/>
    <n v="1"/>
    <n v="1"/>
    <x v="6"/>
    <n v="1"/>
    <x v="0"/>
    <x v="167"/>
    <n v="20989"/>
    <n v="0"/>
    <x v="1"/>
    <n v="0.21"/>
    <n v="4"/>
    <n v="1"/>
    <n v="0"/>
    <n v="1"/>
    <n v="5"/>
    <n v="4"/>
    <x v="2"/>
    <n v="0"/>
    <n v="0"/>
    <n v="0"/>
    <x v="0"/>
    <n v="0"/>
    <n v="2"/>
    <n v="0"/>
    <n v="0"/>
    <n v="0"/>
    <n v="1"/>
    <n v="1"/>
    <n v="1"/>
    <n v="15.859352047889136"/>
    <n v="0.54639453549708916"/>
    <x v="1"/>
    <n v="3487.5"/>
  </r>
  <r>
    <x v="172"/>
    <x v="9"/>
    <x v="1"/>
    <n v="1480"/>
    <x v="1"/>
    <n v="3"/>
    <n v="2"/>
    <x v="2"/>
    <n v="4"/>
    <x v="1"/>
    <n v="30"/>
    <n v="3"/>
    <n v="1"/>
    <x v="2"/>
    <n v="2"/>
    <x v="0"/>
    <x v="168"/>
    <n v="15062"/>
    <n v="4"/>
    <x v="1"/>
    <n v="0.12"/>
    <n v="3"/>
    <n v="3"/>
    <n v="0"/>
    <n v="13"/>
    <n v="3"/>
    <n v="2"/>
    <x v="3"/>
    <n v="7"/>
    <n v="7"/>
    <n v="2"/>
    <x v="1"/>
    <n v="1"/>
    <n v="2"/>
    <n v="0"/>
    <n v="0"/>
    <n v="0"/>
    <n v="1"/>
    <n v="1"/>
    <n v="1"/>
    <n v="15.859352047889136"/>
    <n v="0.54639453549708916"/>
    <x v="1"/>
    <n v="3132"/>
  </r>
  <r>
    <x v="173"/>
    <x v="7"/>
    <x v="2"/>
    <n v="111"/>
    <x v="1"/>
    <n v="9"/>
    <n v="3"/>
    <x v="2"/>
    <n v="3"/>
    <x v="1"/>
    <n v="66"/>
    <n v="3"/>
    <n v="2"/>
    <x v="2"/>
    <n v="1"/>
    <x v="2"/>
    <x v="169"/>
    <n v="11012"/>
    <n v="1"/>
    <x v="1"/>
    <n v="0.11"/>
    <n v="3"/>
    <n v="3"/>
    <n v="2"/>
    <n v="12"/>
    <n v="4"/>
    <n v="3"/>
    <x v="12"/>
    <n v="9"/>
    <n v="6"/>
    <n v="10"/>
    <x v="1"/>
    <n v="1"/>
    <n v="0"/>
    <n v="2"/>
    <n v="0"/>
    <n v="0"/>
    <n v="1"/>
    <n v="1"/>
    <n v="0"/>
    <n v="10.698962067398959"/>
    <n v="0.3686061316669938"/>
    <x v="0"/>
    <n v="0"/>
  </r>
  <r>
    <x v="174"/>
    <x v="28"/>
    <x v="0"/>
    <n v="1268"/>
    <x v="0"/>
    <n v="4"/>
    <n v="2"/>
    <x v="0"/>
    <n v="3"/>
    <x v="0"/>
    <n v="30"/>
    <n v="3"/>
    <n v="2"/>
    <x v="0"/>
    <n v="1"/>
    <x v="2"/>
    <x v="170"/>
    <n v="6319"/>
    <n v="4"/>
    <x v="0"/>
    <n v="0.11"/>
    <n v="3"/>
    <n v="1"/>
    <n v="1"/>
    <n v="9"/>
    <n v="3"/>
    <n v="4"/>
    <x v="8"/>
    <n v="4"/>
    <n v="0"/>
    <n v="3"/>
    <x v="1"/>
    <n v="0"/>
    <n v="1"/>
    <n v="2"/>
    <n v="1"/>
    <n v="0"/>
    <n v="1"/>
    <n v="0"/>
    <n v="0"/>
    <n v="14.204533129978131"/>
    <n v="0.48938186491297625"/>
    <x v="0"/>
    <n v="0"/>
  </r>
  <r>
    <x v="175"/>
    <x v="29"/>
    <x v="0"/>
    <n v="713"/>
    <x v="1"/>
    <n v="8"/>
    <n v="3"/>
    <x v="0"/>
    <n v="3"/>
    <x v="0"/>
    <n v="67"/>
    <n v="3"/>
    <n v="1"/>
    <x v="1"/>
    <n v="1"/>
    <x v="2"/>
    <x v="171"/>
    <n v="13939"/>
    <n v="4"/>
    <x v="0"/>
    <n v="0.18"/>
    <n v="3"/>
    <n v="3"/>
    <n v="1"/>
    <n v="19"/>
    <n v="3"/>
    <n v="3"/>
    <x v="4"/>
    <n v="2"/>
    <n v="2"/>
    <n v="2"/>
    <x v="1"/>
    <n v="0"/>
    <n v="1"/>
    <n v="2"/>
    <n v="1"/>
    <n v="0"/>
    <n v="1"/>
    <n v="1"/>
    <n v="0"/>
    <n v="20.698962067398959"/>
    <n v="0.71313126349280109"/>
    <x v="1"/>
    <n v="6385.5"/>
  </r>
  <r>
    <x v="176"/>
    <x v="3"/>
    <x v="0"/>
    <n v="134"/>
    <x v="1"/>
    <n v="2"/>
    <n v="3"/>
    <x v="0"/>
    <n v="3"/>
    <x v="1"/>
    <n v="90"/>
    <n v="3"/>
    <n v="1"/>
    <x v="1"/>
    <n v="4"/>
    <x v="0"/>
    <x v="172"/>
    <n v="10515"/>
    <n v="0"/>
    <x v="1"/>
    <n v="0.14000000000000001"/>
    <n v="3"/>
    <n v="1"/>
    <n v="0"/>
    <n v="4"/>
    <n v="2"/>
    <n v="4"/>
    <x v="11"/>
    <n v="1"/>
    <n v="0"/>
    <n v="2"/>
    <x v="1"/>
    <n v="1"/>
    <n v="1"/>
    <n v="0"/>
    <n v="0"/>
    <n v="0"/>
    <n v="0"/>
    <n v="1"/>
    <n v="0"/>
    <n v="6.4944289374208282"/>
    <n v="0.22374939857982484"/>
    <x v="2"/>
    <n v="0"/>
  </r>
  <r>
    <x v="177"/>
    <x v="37"/>
    <x v="0"/>
    <n v="303"/>
    <x v="1"/>
    <n v="2"/>
    <n v="3"/>
    <x v="0"/>
    <n v="2"/>
    <x v="1"/>
    <n v="47"/>
    <n v="2"/>
    <n v="1"/>
    <x v="2"/>
    <n v="4"/>
    <x v="0"/>
    <x v="173"/>
    <n v="9241"/>
    <n v="1"/>
    <x v="1"/>
    <n v="0.22"/>
    <n v="4"/>
    <n v="3"/>
    <n v="0"/>
    <n v="1"/>
    <n v="3"/>
    <n v="2"/>
    <x v="6"/>
    <n v="0"/>
    <n v="1"/>
    <n v="0"/>
    <x v="0"/>
    <n v="1"/>
    <n v="1"/>
    <n v="0"/>
    <n v="0"/>
    <n v="0"/>
    <n v="0"/>
    <n v="1"/>
    <n v="0"/>
    <n v="6.4944289374208282"/>
    <n v="0.22374939857982484"/>
    <x v="2"/>
    <n v="0"/>
  </r>
  <r>
    <x v="178"/>
    <x v="21"/>
    <x v="0"/>
    <n v="526"/>
    <x v="0"/>
    <n v="1"/>
    <n v="2"/>
    <x v="3"/>
    <n v="2"/>
    <x v="0"/>
    <n v="92"/>
    <n v="3"/>
    <n v="3"/>
    <x v="0"/>
    <n v="1"/>
    <x v="2"/>
    <x v="174"/>
    <n v="2137"/>
    <n v="1"/>
    <x v="1"/>
    <n v="0.25"/>
    <n v="4"/>
    <n v="3"/>
    <n v="3"/>
    <n v="24"/>
    <n v="2"/>
    <n v="3"/>
    <x v="25"/>
    <n v="13"/>
    <n v="15"/>
    <n v="7"/>
    <x v="1"/>
    <n v="0"/>
    <n v="1"/>
    <n v="2"/>
    <n v="0"/>
    <n v="0"/>
    <n v="1"/>
    <n v="0"/>
    <n v="0"/>
    <n v="4.204533129978131"/>
    <n v="0.14485673308716898"/>
    <x v="2"/>
    <n v="0"/>
  </r>
  <r>
    <x v="179"/>
    <x v="8"/>
    <x v="0"/>
    <n v="1380"/>
    <x v="1"/>
    <n v="9"/>
    <n v="2"/>
    <x v="0"/>
    <n v="3"/>
    <x v="0"/>
    <n v="75"/>
    <n v="3"/>
    <n v="1"/>
    <x v="2"/>
    <n v="4"/>
    <x v="0"/>
    <x v="175"/>
    <n v="6319"/>
    <n v="1"/>
    <x v="1"/>
    <n v="0.12"/>
    <n v="3"/>
    <n v="3"/>
    <n v="0"/>
    <n v="2"/>
    <n v="3"/>
    <n v="3"/>
    <x v="4"/>
    <n v="2"/>
    <n v="2"/>
    <n v="1"/>
    <x v="1"/>
    <n v="0"/>
    <n v="1"/>
    <n v="0"/>
    <n v="0"/>
    <n v="0"/>
    <n v="0"/>
    <n v="1"/>
    <n v="0"/>
    <n v="6.4944289374208282"/>
    <n v="0.22374939857982484"/>
    <x v="2"/>
    <n v="0"/>
  </r>
  <r>
    <x v="180"/>
    <x v="12"/>
    <x v="0"/>
    <n v="140"/>
    <x v="1"/>
    <n v="12"/>
    <n v="1"/>
    <x v="2"/>
    <n v="3"/>
    <x v="0"/>
    <n v="95"/>
    <n v="3"/>
    <n v="1"/>
    <x v="1"/>
    <n v="4"/>
    <x v="1"/>
    <x v="176"/>
    <n v="6984"/>
    <n v="8"/>
    <x v="0"/>
    <n v="0.23"/>
    <n v="4"/>
    <n v="3"/>
    <n v="1"/>
    <n v="7"/>
    <n v="0"/>
    <n v="3"/>
    <x v="9"/>
    <n v="2"/>
    <n v="0"/>
    <n v="2"/>
    <x v="1"/>
    <n v="0"/>
    <n v="1"/>
    <n v="1"/>
    <n v="1"/>
    <n v="0"/>
    <n v="0"/>
    <n v="1"/>
    <n v="0"/>
    <n v="16.494428937420828"/>
    <n v="0.56827453040563214"/>
    <x v="1"/>
    <n v="5893.5"/>
  </r>
  <r>
    <x v="181"/>
    <x v="13"/>
    <x v="0"/>
    <n v="629"/>
    <x v="1"/>
    <n v="27"/>
    <n v="2"/>
    <x v="2"/>
    <n v="4"/>
    <x v="0"/>
    <n v="95"/>
    <n v="3"/>
    <n v="1"/>
    <x v="1"/>
    <n v="2"/>
    <x v="0"/>
    <x v="177"/>
    <n v="5711"/>
    <n v="2"/>
    <x v="1"/>
    <n v="0.15"/>
    <n v="3"/>
    <n v="4"/>
    <n v="0"/>
    <n v="9"/>
    <n v="3"/>
    <n v="3"/>
    <x v="11"/>
    <n v="2"/>
    <n v="1"/>
    <n v="2"/>
    <x v="1"/>
    <n v="0"/>
    <n v="1"/>
    <n v="0"/>
    <n v="0"/>
    <n v="1"/>
    <n v="1"/>
    <n v="1"/>
    <n v="0"/>
    <n v="13.865068763274337"/>
    <n v="0.47768646434409739"/>
    <x v="0"/>
    <n v="0"/>
  </r>
  <r>
    <x v="182"/>
    <x v="0"/>
    <x v="0"/>
    <n v="1356"/>
    <x v="0"/>
    <n v="20"/>
    <n v="2"/>
    <x v="3"/>
    <n v="2"/>
    <x v="0"/>
    <n v="70"/>
    <n v="3"/>
    <n v="1"/>
    <x v="6"/>
    <n v="2"/>
    <x v="0"/>
    <x v="178"/>
    <n v="21728"/>
    <n v="1"/>
    <x v="0"/>
    <n v="0.22"/>
    <n v="4"/>
    <n v="4"/>
    <n v="0"/>
    <n v="4"/>
    <n v="5"/>
    <n v="2"/>
    <x v="9"/>
    <n v="3"/>
    <n v="0"/>
    <n v="2"/>
    <x v="0"/>
    <n v="0"/>
    <n v="1"/>
    <n v="0"/>
    <n v="1"/>
    <n v="1"/>
    <n v="1"/>
    <n v="1"/>
    <n v="0"/>
    <n v="23.865068763274337"/>
    <n v="0.82221159616990469"/>
    <x v="3"/>
    <n v="4710"/>
  </r>
  <r>
    <x v="183"/>
    <x v="24"/>
    <x v="0"/>
    <n v="328"/>
    <x v="1"/>
    <n v="1"/>
    <n v="3"/>
    <x v="2"/>
    <n v="3"/>
    <x v="1"/>
    <n v="86"/>
    <n v="2"/>
    <n v="1"/>
    <x v="2"/>
    <n v="3"/>
    <x v="1"/>
    <x v="179"/>
    <n v="3425"/>
    <n v="2"/>
    <x v="1"/>
    <n v="0.15"/>
    <n v="3"/>
    <n v="4"/>
    <n v="1"/>
    <n v="5"/>
    <n v="2"/>
    <n v="2"/>
    <x v="11"/>
    <n v="2"/>
    <n v="0"/>
    <n v="2"/>
    <x v="1"/>
    <n v="1"/>
    <n v="1"/>
    <n v="1"/>
    <n v="0"/>
    <n v="0"/>
    <n v="0"/>
    <n v="1"/>
    <n v="0"/>
    <n v="6.4944289374208282"/>
    <n v="0.22374939857982484"/>
    <x v="2"/>
    <n v="0"/>
  </r>
  <r>
    <x v="184"/>
    <x v="16"/>
    <x v="0"/>
    <n v="1084"/>
    <x v="1"/>
    <n v="13"/>
    <n v="2"/>
    <x v="2"/>
    <n v="4"/>
    <x v="0"/>
    <n v="57"/>
    <n v="4"/>
    <n v="2"/>
    <x v="3"/>
    <n v="1"/>
    <x v="2"/>
    <x v="180"/>
    <n v="26250"/>
    <n v="1"/>
    <x v="1"/>
    <n v="0.11"/>
    <n v="3"/>
    <n v="3"/>
    <n v="2"/>
    <n v="5"/>
    <n v="3"/>
    <n v="3"/>
    <x v="9"/>
    <n v="2"/>
    <n v="1"/>
    <n v="3"/>
    <x v="1"/>
    <n v="0"/>
    <n v="1"/>
    <n v="2"/>
    <n v="0"/>
    <n v="0"/>
    <n v="1"/>
    <n v="1"/>
    <n v="0"/>
    <n v="10.698962067398959"/>
    <n v="0.3686061316669938"/>
    <x v="0"/>
    <n v="0"/>
  </r>
  <r>
    <x v="185"/>
    <x v="3"/>
    <x v="0"/>
    <n v="931"/>
    <x v="1"/>
    <n v="14"/>
    <n v="3"/>
    <x v="2"/>
    <n v="4"/>
    <x v="0"/>
    <n v="72"/>
    <n v="3"/>
    <n v="1"/>
    <x v="1"/>
    <n v="2"/>
    <x v="1"/>
    <x v="181"/>
    <n v="4673"/>
    <n v="1"/>
    <x v="1"/>
    <n v="0.13"/>
    <n v="3"/>
    <n v="4"/>
    <n v="1"/>
    <n v="8"/>
    <n v="5"/>
    <n v="3"/>
    <x v="3"/>
    <n v="7"/>
    <n v="1"/>
    <n v="6"/>
    <x v="1"/>
    <n v="0"/>
    <n v="1"/>
    <n v="1"/>
    <n v="0"/>
    <n v="0"/>
    <n v="1"/>
    <n v="1"/>
    <n v="0"/>
    <n v="10.698962067398959"/>
    <n v="0.3686061316669938"/>
    <x v="0"/>
    <n v="0"/>
  </r>
  <r>
    <x v="186"/>
    <x v="32"/>
    <x v="0"/>
    <n v="989"/>
    <x v="1"/>
    <n v="4"/>
    <n v="1"/>
    <x v="2"/>
    <n v="4"/>
    <x v="0"/>
    <n v="46"/>
    <n v="3"/>
    <n v="5"/>
    <x v="5"/>
    <n v="3"/>
    <x v="1"/>
    <x v="182"/>
    <n v="6499"/>
    <n v="1"/>
    <x v="1"/>
    <n v="0.14000000000000001"/>
    <n v="3"/>
    <n v="2"/>
    <n v="1"/>
    <n v="21"/>
    <n v="2"/>
    <n v="3"/>
    <x v="23"/>
    <n v="8"/>
    <n v="9"/>
    <n v="9"/>
    <x v="1"/>
    <n v="0"/>
    <n v="1"/>
    <n v="1"/>
    <n v="0"/>
    <n v="0"/>
    <n v="0"/>
    <n v="0"/>
    <n v="0"/>
    <n v="0"/>
    <n v="0"/>
    <x v="2"/>
    <n v="0"/>
  </r>
  <r>
    <x v="187"/>
    <x v="27"/>
    <x v="0"/>
    <n v="692"/>
    <x v="1"/>
    <n v="14"/>
    <n v="4"/>
    <x v="2"/>
    <n v="3"/>
    <x v="1"/>
    <n v="61"/>
    <n v="4"/>
    <n v="5"/>
    <x v="7"/>
    <n v="2"/>
    <x v="0"/>
    <x v="183"/>
    <n v="13339"/>
    <n v="8"/>
    <x v="1"/>
    <n v="0.11"/>
    <n v="3"/>
    <n v="4"/>
    <n v="0"/>
    <n v="36"/>
    <n v="3"/>
    <n v="3"/>
    <x v="25"/>
    <n v="15"/>
    <n v="2"/>
    <n v="15"/>
    <x v="1"/>
    <n v="1"/>
    <n v="1"/>
    <n v="0"/>
    <n v="0"/>
    <n v="0"/>
    <n v="1"/>
    <n v="0"/>
    <n v="0"/>
    <n v="4.204533129978131"/>
    <n v="0.14485673308716898"/>
    <x v="2"/>
    <n v="0"/>
  </r>
  <r>
    <x v="188"/>
    <x v="13"/>
    <x v="1"/>
    <n v="1069"/>
    <x v="1"/>
    <n v="2"/>
    <n v="1"/>
    <x v="0"/>
    <n v="4"/>
    <x v="1"/>
    <n v="45"/>
    <n v="2"/>
    <n v="2"/>
    <x v="3"/>
    <n v="3"/>
    <x v="1"/>
    <x v="184"/>
    <n v="14074"/>
    <n v="1"/>
    <x v="1"/>
    <n v="0.17"/>
    <n v="3"/>
    <n v="3"/>
    <n v="0"/>
    <n v="10"/>
    <n v="2"/>
    <n v="2"/>
    <x v="1"/>
    <n v="9"/>
    <n v="1"/>
    <n v="9"/>
    <x v="1"/>
    <n v="1"/>
    <n v="2"/>
    <n v="1"/>
    <n v="0"/>
    <n v="0"/>
    <n v="0"/>
    <n v="0"/>
    <n v="1"/>
    <n v="5.1603899804901765"/>
    <n v="0.17778840383009531"/>
    <x v="2"/>
    <n v="0"/>
  </r>
  <r>
    <x v="189"/>
    <x v="31"/>
    <x v="0"/>
    <n v="313"/>
    <x v="1"/>
    <n v="3"/>
    <n v="3"/>
    <x v="2"/>
    <n v="4"/>
    <x v="0"/>
    <n v="98"/>
    <n v="3"/>
    <n v="4"/>
    <x v="4"/>
    <n v="2"/>
    <x v="0"/>
    <x v="185"/>
    <n v="7192"/>
    <n v="3"/>
    <x v="1"/>
    <n v="0.18"/>
    <n v="3"/>
    <n v="3"/>
    <n v="0"/>
    <n v="21"/>
    <n v="6"/>
    <n v="3"/>
    <x v="5"/>
    <n v="7"/>
    <n v="1"/>
    <n v="0"/>
    <x v="1"/>
    <n v="0"/>
    <n v="1"/>
    <n v="0"/>
    <n v="0"/>
    <n v="0"/>
    <n v="1"/>
    <n v="0"/>
    <n v="0"/>
    <n v="4.204533129978131"/>
    <n v="0.14485673308716898"/>
    <x v="2"/>
    <n v="0"/>
  </r>
  <r>
    <x v="190"/>
    <x v="39"/>
    <x v="0"/>
    <n v="699"/>
    <x v="1"/>
    <n v="1"/>
    <n v="4"/>
    <x v="0"/>
    <n v="3"/>
    <x v="1"/>
    <n v="65"/>
    <n v="2"/>
    <n v="5"/>
    <x v="5"/>
    <n v="3"/>
    <x v="1"/>
    <x v="186"/>
    <n v="5678"/>
    <n v="0"/>
    <x v="1"/>
    <n v="0.14000000000000001"/>
    <n v="3"/>
    <n v="1"/>
    <n v="1"/>
    <n v="34"/>
    <n v="5"/>
    <n v="3"/>
    <x v="26"/>
    <n v="18"/>
    <n v="11"/>
    <n v="9"/>
    <x v="1"/>
    <n v="1"/>
    <n v="1"/>
    <n v="1"/>
    <n v="0"/>
    <n v="0"/>
    <n v="0"/>
    <n v="0"/>
    <n v="0"/>
    <n v="0"/>
    <n v="0"/>
    <x v="2"/>
    <n v="0"/>
  </r>
  <r>
    <x v="191"/>
    <x v="4"/>
    <x v="0"/>
    <n v="894"/>
    <x v="1"/>
    <n v="9"/>
    <n v="3"/>
    <x v="2"/>
    <n v="4"/>
    <x v="0"/>
    <n v="99"/>
    <n v="3"/>
    <n v="1"/>
    <x v="1"/>
    <n v="2"/>
    <x v="0"/>
    <x v="187"/>
    <n v="11781"/>
    <n v="1"/>
    <x v="1"/>
    <n v="0.16"/>
    <n v="3"/>
    <n v="4"/>
    <n v="0"/>
    <n v="7"/>
    <n v="2"/>
    <n v="2"/>
    <x v="5"/>
    <n v="7"/>
    <n v="0"/>
    <n v="3"/>
    <x v="1"/>
    <n v="0"/>
    <n v="1"/>
    <n v="0"/>
    <n v="0"/>
    <n v="0"/>
    <n v="1"/>
    <n v="1"/>
    <n v="0"/>
    <n v="10.698962067398959"/>
    <n v="0.3686061316669938"/>
    <x v="0"/>
    <n v="0"/>
  </r>
  <r>
    <x v="192"/>
    <x v="10"/>
    <x v="0"/>
    <n v="556"/>
    <x v="1"/>
    <n v="23"/>
    <n v="2"/>
    <x v="0"/>
    <n v="2"/>
    <x v="1"/>
    <n v="50"/>
    <n v="2"/>
    <n v="2"/>
    <x v="3"/>
    <n v="3"/>
    <x v="1"/>
    <x v="188"/>
    <n v="15497"/>
    <n v="3"/>
    <x v="0"/>
    <n v="0.13"/>
    <n v="3"/>
    <n v="1"/>
    <n v="0"/>
    <n v="8"/>
    <n v="1"/>
    <n v="3"/>
    <x v="6"/>
    <n v="0"/>
    <n v="0"/>
    <n v="1"/>
    <x v="0"/>
    <n v="1"/>
    <n v="1"/>
    <n v="1"/>
    <n v="1"/>
    <n v="1"/>
    <n v="0"/>
    <n v="0"/>
    <n v="0"/>
    <n v="13.166106695875378"/>
    <n v="0.45360546450291089"/>
    <x v="0"/>
    <n v="0"/>
  </r>
  <r>
    <x v="193"/>
    <x v="23"/>
    <x v="2"/>
    <n v="1344"/>
    <x v="1"/>
    <n v="7"/>
    <n v="3"/>
    <x v="2"/>
    <n v="4"/>
    <x v="1"/>
    <n v="37"/>
    <n v="4"/>
    <n v="1"/>
    <x v="1"/>
    <n v="4"/>
    <x v="2"/>
    <x v="189"/>
    <n v="5228"/>
    <n v="4"/>
    <x v="1"/>
    <n v="0.14000000000000001"/>
    <n v="3"/>
    <n v="4"/>
    <n v="3"/>
    <n v="7"/>
    <n v="3"/>
    <n v="4"/>
    <x v="8"/>
    <n v="4"/>
    <n v="2"/>
    <n v="2"/>
    <x v="1"/>
    <n v="1"/>
    <n v="0"/>
    <n v="2"/>
    <n v="0"/>
    <n v="0"/>
    <n v="0"/>
    <n v="1"/>
    <n v="0"/>
    <n v="6.4944289374208282"/>
    <n v="0.22374939857982484"/>
    <x v="2"/>
    <n v="0"/>
  </r>
  <r>
    <x v="194"/>
    <x v="28"/>
    <x v="2"/>
    <n v="1195"/>
    <x v="1"/>
    <n v="2"/>
    <n v="2"/>
    <x v="2"/>
    <n v="1"/>
    <x v="1"/>
    <n v="65"/>
    <n v="2"/>
    <n v="4"/>
    <x v="5"/>
    <n v="4"/>
    <x v="1"/>
    <x v="190"/>
    <n v="20462"/>
    <n v="9"/>
    <x v="1"/>
    <n v="0.23"/>
    <n v="4"/>
    <n v="4"/>
    <n v="1"/>
    <n v="22"/>
    <n v="1"/>
    <n v="3"/>
    <x v="23"/>
    <n v="8"/>
    <n v="11"/>
    <n v="8"/>
    <x v="1"/>
    <n v="1"/>
    <n v="0"/>
    <n v="1"/>
    <n v="0"/>
    <n v="0"/>
    <n v="0"/>
    <n v="0"/>
    <n v="0"/>
    <n v="0"/>
    <n v="0"/>
    <x v="2"/>
    <n v="0"/>
  </r>
  <r>
    <x v="195"/>
    <x v="2"/>
    <x v="0"/>
    <n v="290"/>
    <x v="1"/>
    <n v="21"/>
    <n v="3"/>
    <x v="0"/>
    <n v="2"/>
    <x v="1"/>
    <n v="65"/>
    <n v="4"/>
    <n v="1"/>
    <x v="1"/>
    <n v="1"/>
    <x v="1"/>
    <x v="191"/>
    <n v="22977"/>
    <n v="1"/>
    <x v="0"/>
    <n v="0.12"/>
    <n v="3"/>
    <n v="1"/>
    <n v="1"/>
    <n v="8"/>
    <n v="3"/>
    <n v="2"/>
    <x v="3"/>
    <n v="7"/>
    <n v="1"/>
    <n v="7"/>
    <x v="1"/>
    <n v="1"/>
    <n v="1"/>
    <n v="1"/>
    <n v="1"/>
    <n v="1"/>
    <n v="1"/>
    <n v="1"/>
    <n v="0"/>
    <n v="23.865068763274337"/>
    <n v="0.82221159616990469"/>
    <x v="3"/>
    <n v="5346"/>
  </r>
  <r>
    <x v="196"/>
    <x v="10"/>
    <x v="1"/>
    <n v="138"/>
    <x v="1"/>
    <n v="2"/>
    <n v="3"/>
    <x v="2"/>
    <n v="2"/>
    <x v="0"/>
    <n v="37"/>
    <n v="3"/>
    <n v="2"/>
    <x v="2"/>
    <n v="2"/>
    <x v="0"/>
    <x v="192"/>
    <n v="15986"/>
    <n v="5"/>
    <x v="1"/>
    <n v="0.11"/>
    <n v="3"/>
    <n v="4"/>
    <n v="0"/>
    <n v="10"/>
    <n v="5"/>
    <n v="3"/>
    <x v="0"/>
    <n v="2"/>
    <n v="1"/>
    <n v="2"/>
    <x v="1"/>
    <n v="0"/>
    <n v="2"/>
    <n v="0"/>
    <n v="0"/>
    <n v="0"/>
    <n v="1"/>
    <n v="1"/>
    <n v="1"/>
    <n v="15.859352047889136"/>
    <n v="0.54639453549708916"/>
    <x v="1"/>
    <n v="6637.5"/>
  </r>
  <r>
    <x v="197"/>
    <x v="19"/>
    <x v="2"/>
    <n v="926"/>
    <x v="1"/>
    <n v="21"/>
    <n v="2"/>
    <x v="2"/>
    <n v="3"/>
    <x v="0"/>
    <n v="36"/>
    <n v="3"/>
    <n v="2"/>
    <x v="3"/>
    <n v="3"/>
    <x v="2"/>
    <x v="193"/>
    <n v="16439"/>
    <n v="2"/>
    <x v="1"/>
    <n v="0.16"/>
    <n v="3"/>
    <n v="2"/>
    <n v="1"/>
    <n v="11"/>
    <n v="5"/>
    <n v="3"/>
    <x v="8"/>
    <n v="3"/>
    <n v="0"/>
    <n v="2"/>
    <x v="1"/>
    <n v="0"/>
    <n v="0"/>
    <n v="2"/>
    <n v="0"/>
    <n v="1"/>
    <n v="0"/>
    <n v="0"/>
    <n v="0"/>
    <n v="3.1661066958753779"/>
    <n v="0.10908033267710357"/>
    <x v="2"/>
    <n v="0"/>
  </r>
  <r>
    <x v="198"/>
    <x v="8"/>
    <x v="0"/>
    <n v="1261"/>
    <x v="1"/>
    <n v="2"/>
    <n v="4"/>
    <x v="0"/>
    <n v="4"/>
    <x v="1"/>
    <n v="88"/>
    <n v="3"/>
    <n v="2"/>
    <x v="3"/>
    <n v="3"/>
    <x v="1"/>
    <x v="194"/>
    <n v="7259"/>
    <n v="9"/>
    <x v="1"/>
    <n v="0.14000000000000001"/>
    <n v="3"/>
    <n v="2"/>
    <n v="0"/>
    <n v="14"/>
    <n v="3"/>
    <n v="3"/>
    <x v="6"/>
    <n v="0"/>
    <n v="0"/>
    <n v="0"/>
    <x v="1"/>
    <n v="1"/>
    <n v="1"/>
    <n v="1"/>
    <n v="0"/>
    <n v="0"/>
    <n v="0"/>
    <n v="0"/>
    <n v="0"/>
    <n v="0"/>
    <n v="0"/>
    <x v="2"/>
    <n v="0"/>
  </r>
  <r>
    <x v="199"/>
    <x v="8"/>
    <x v="0"/>
    <n v="1084"/>
    <x v="1"/>
    <n v="29"/>
    <n v="3"/>
    <x v="4"/>
    <n v="4"/>
    <x v="1"/>
    <n v="54"/>
    <n v="3"/>
    <n v="2"/>
    <x v="3"/>
    <n v="4"/>
    <x v="1"/>
    <x v="195"/>
    <n v="4185"/>
    <n v="3"/>
    <x v="1"/>
    <n v="0.18"/>
    <n v="3"/>
    <n v="1"/>
    <n v="1"/>
    <n v="9"/>
    <n v="3"/>
    <n v="1"/>
    <x v="5"/>
    <n v="7"/>
    <n v="1"/>
    <n v="7"/>
    <x v="1"/>
    <n v="1"/>
    <n v="1"/>
    <n v="1"/>
    <n v="0"/>
    <n v="1"/>
    <n v="0"/>
    <n v="0"/>
    <n v="0"/>
    <n v="3.1661066958753779"/>
    <n v="0.10908033267710357"/>
    <x v="2"/>
    <n v="0"/>
  </r>
  <r>
    <x v="200"/>
    <x v="4"/>
    <x v="1"/>
    <n v="472"/>
    <x v="1"/>
    <n v="1"/>
    <n v="1"/>
    <x v="4"/>
    <n v="3"/>
    <x v="1"/>
    <n v="60"/>
    <n v="2"/>
    <n v="2"/>
    <x v="3"/>
    <n v="1"/>
    <x v="1"/>
    <x v="196"/>
    <n v="9679"/>
    <n v="5"/>
    <x v="1"/>
    <n v="0.19"/>
    <n v="3"/>
    <n v="3"/>
    <n v="1"/>
    <n v="6"/>
    <n v="1"/>
    <n v="3"/>
    <x v="4"/>
    <n v="2"/>
    <n v="2"/>
    <n v="0"/>
    <x v="1"/>
    <n v="1"/>
    <n v="2"/>
    <n v="1"/>
    <n v="0"/>
    <n v="0"/>
    <n v="1"/>
    <n v="1"/>
    <n v="1"/>
    <n v="15.859352047889136"/>
    <n v="0.54639453549708916"/>
    <x v="1"/>
    <n v="6447"/>
  </r>
  <r>
    <x v="201"/>
    <x v="1"/>
    <x v="2"/>
    <n v="1002"/>
    <x v="1"/>
    <n v="18"/>
    <n v="4"/>
    <x v="0"/>
    <n v="4"/>
    <x v="1"/>
    <n v="92"/>
    <n v="3"/>
    <n v="2"/>
    <x v="3"/>
    <n v="4"/>
    <x v="2"/>
    <x v="197"/>
    <n v="23793"/>
    <n v="1"/>
    <x v="0"/>
    <n v="0.15"/>
    <n v="3"/>
    <n v="1"/>
    <n v="2"/>
    <n v="7"/>
    <n v="0"/>
    <n v="3"/>
    <x v="5"/>
    <n v="7"/>
    <n v="1"/>
    <n v="7"/>
    <x v="1"/>
    <n v="1"/>
    <n v="0"/>
    <n v="2"/>
    <n v="1"/>
    <n v="1"/>
    <n v="0"/>
    <n v="0"/>
    <n v="0"/>
    <n v="13.166106695875378"/>
    <n v="0.45360546450291089"/>
    <x v="0"/>
    <n v="0"/>
  </r>
  <r>
    <x v="202"/>
    <x v="13"/>
    <x v="1"/>
    <n v="878"/>
    <x v="1"/>
    <n v="10"/>
    <n v="4"/>
    <x v="2"/>
    <n v="4"/>
    <x v="1"/>
    <n v="43"/>
    <n v="3"/>
    <n v="1"/>
    <x v="1"/>
    <n v="3"/>
    <x v="2"/>
    <x v="198"/>
    <n v="5972"/>
    <n v="1"/>
    <x v="0"/>
    <n v="0.17"/>
    <n v="3"/>
    <n v="4"/>
    <n v="1"/>
    <n v="5"/>
    <n v="4"/>
    <n v="4"/>
    <x v="8"/>
    <n v="3"/>
    <n v="2"/>
    <n v="0"/>
    <x v="1"/>
    <n v="1"/>
    <n v="2"/>
    <n v="2"/>
    <n v="1"/>
    <n v="0"/>
    <n v="0"/>
    <n v="1"/>
    <n v="1"/>
    <n v="21.654818917911005"/>
    <n v="0.74606293423572745"/>
    <x v="1"/>
    <n v="5722.5"/>
  </r>
  <r>
    <x v="203"/>
    <x v="32"/>
    <x v="0"/>
    <n v="905"/>
    <x v="1"/>
    <n v="19"/>
    <n v="2"/>
    <x v="2"/>
    <n v="3"/>
    <x v="1"/>
    <n v="99"/>
    <n v="3"/>
    <n v="2"/>
    <x v="2"/>
    <n v="4"/>
    <x v="1"/>
    <x v="199"/>
    <n v="16523"/>
    <n v="8"/>
    <x v="0"/>
    <n v="0.15"/>
    <n v="3"/>
    <n v="3"/>
    <n v="1"/>
    <n v="15"/>
    <n v="2"/>
    <n v="4"/>
    <x v="5"/>
    <n v="2"/>
    <n v="3"/>
    <n v="7"/>
    <x v="1"/>
    <n v="1"/>
    <n v="1"/>
    <n v="1"/>
    <n v="1"/>
    <n v="1"/>
    <n v="0"/>
    <n v="1"/>
    <n v="0"/>
    <n v="19.660535633296206"/>
    <n v="0.67735486308273574"/>
    <x v="1"/>
    <n v="4111.5"/>
  </r>
  <r>
    <x v="204"/>
    <x v="8"/>
    <x v="0"/>
    <n v="1180"/>
    <x v="1"/>
    <n v="29"/>
    <n v="1"/>
    <x v="2"/>
    <n v="2"/>
    <x v="1"/>
    <n v="70"/>
    <n v="3"/>
    <n v="2"/>
    <x v="4"/>
    <n v="1"/>
    <x v="1"/>
    <x v="200"/>
    <n v="11354"/>
    <n v="7"/>
    <x v="0"/>
    <n v="0.19"/>
    <n v="3"/>
    <n v="2"/>
    <n v="0"/>
    <n v="17"/>
    <n v="2"/>
    <n v="3"/>
    <x v="6"/>
    <n v="0"/>
    <n v="0"/>
    <n v="0"/>
    <x v="0"/>
    <n v="1"/>
    <n v="1"/>
    <n v="1"/>
    <n v="1"/>
    <n v="1"/>
    <n v="1"/>
    <n v="0"/>
    <n v="0"/>
    <n v="17.370639825853509"/>
    <n v="0.59846219759007979"/>
    <x v="1"/>
    <n v="10009.5"/>
  </r>
  <r>
    <x v="205"/>
    <x v="11"/>
    <x v="0"/>
    <n v="121"/>
    <x v="0"/>
    <n v="27"/>
    <n v="3"/>
    <x v="3"/>
    <n v="2"/>
    <x v="0"/>
    <n v="35"/>
    <n v="3"/>
    <n v="3"/>
    <x v="0"/>
    <n v="4"/>
    <x v="1"/>
    <x v="201"/>
    <n v="24525"/>
    <n v="1"/>
    <x v="1"/>
    <n v="0.22"/>
    <n v="4"/>
    <n v="4"/>
    <n v="3"/>
    <n v="10"/>
    <n v="3"/>
    <n v="2"/>
    <x v="1"/>
    <n v="4"/>
    <n v="1"/>
    <n v="9"/>
    <x v="0"/>
    <n v="0"/>
    <n v="1"/>
    <n v="1"/>
    <n v="0"/>
    <n v="1"/>
    <n v="0"/>
    <n v="0"/>
    <n v="0"/>
    <n v="3.1661066958753779"/>
    <n v="0.10908033267710357"/>
    <x v="2"/>
    <n v="0"/>
  </r>
  <r>
    <x v="206"/>
    <x v="15"/>
    <x v="0"/>
    <n v="1136"/>
    <x v="1"/>
    <n v="5"/>
    <n v="3"/>
    <x v="0"/>
    <n v="4"/>
    <x v="1"/>
    <n v="60"/>
    <n v="4"/>
    <n v="1"/>
    <x v="1"/>
    <n v="2"/>
    <x v="2"/>
    <x v="202"/>
    <n v="12392"/>
    <n v="1"/>
    <x v="0"/>
    <n v="0.16"/>
    <n v="3"/>
    <n v="1"/>
    <n v="1"/>
    <n v="4"/>
    <n v="2"/>
    <n v="2"/>
    <x v="9"/>
    <n v="2"/>
    <n v="2"/>
    <n v="2"/>
    <x v="1"/>
    <n v="1"/>
    <n v="1"/>
    <n v="2"/>
    <n v="1"/>
    <n v="0"/>
    <n v="1"/>
    <n v="1"/>
    <n v="0"/>
    <n v="20.698962067398959"/>
    <n v="0.71313126349280109"/>
    <x v="1"/>
    <n v="3492"/>
  </r>
  <r>
    <x v="207"/>
    <x v="9"/>
    <x v="1"/>
    <n v="635"/>
    <x v="1"/>
    <n v="18"/>
    <n v="1"/>
    <x v="2"/>
    <n v="2"/>
    <x v="0"/>
    <n v="73"/>
    <n v="3"/>
    <n v="1"/>
    <x v="2"/>
    <n v="4"/>
    <x v="0"/>
    <x v="203"/>
    <n v="7703"/>
    <n v="1"/>
    <x v="1"/>
    <n v="0.13"/>
    <n v="3"/>
    <n v="1"/>
    <n v="0"/>
    <n v="8"/>
    <n v="2"/>
    <n v="3"/>
    <x v="3"/>
    <n v="1"/>
    <n v="1"/>
    <n v="7"/>
    <x v="1"/>
    <n v="0"/>
    <n v="2"/>
    <n v="0"/>
    <n v="0"/>
    <n v="1"/>
    <n v="0"/>
    <n v="1"/>
    <n v="1"/>
    <n v="14.820925613786383"/>
    <n v="0.51061813508702369"/>
    <x v="1"/>
    <n v="3229.5"/>
  </r>
  <r>
    <x v="208"/>
    <x v="32"/>
    <x v="2"/>
    <n v="1151"/>
    <x v="1"/>
    <n v="9"/>
    <n v="5"/>
    <x v="0"/>
    <n v="4"/>
    <x v="1"/>
    <n v="63"/>
    <n v="2"/>
    <n v="2"/>
    <x v="4"/>
    <n v="4"/>
    <x v="1"/>
    <x v="204"/>
    <n v="14242"/>
    <n v="9"/>
    <x v="1"/>
    <n v="0.14000000000000001"/>
    <n v="3"/>
    <n v="4"/>
    <n v="1"/>
    <n v="5"/>
    <n v="5"/>
    <n v="1"/>
    <x v="11"/>
    <n v="2"/>
    <n v="0"/>
    <n v="2"/>
    <x v="1"/>
    <n v="1"/>
    <n v="0"/>
    <n v="1"/>
    <n v="0"/>
    <n v="0"/>
    <n v="0"/>
    <n v="1"/>
    <n v="0"/>
    <n v="6.4944289374208282"/>
    <n v="0.22374939857982484"/>
    <x v="2"/>
    <n v="0"/>
  </r>
  <r>
    <x v="209"/>
    <x v="21"/>
    <x v="0"/>
    <n v="644"/>
    <x v="1"/>
    <n v="1"/>
    <n v="4"/>
    <x v="2"/>
    <n v="4"/>
    <x v="1"/>
    <n v="97"/>
    <n v="3"/>
    <n v="3"/>
    <x v="4"/>
    <n v="1"/>
    <x v="2"/>
    <x v="205"/>
    <n v="12368"/>
    <n v="7"/>
    <x v="1"/>
    <n v="0.16"/>
    <n v="3"/>
    <n v="3"/>
    <n v="1"/>
    <n v="17"/>
    <n v="3"/>
    <n v="3"/>
    <x v="9"/>
    <n v="2"/>
    <n v="0"/>
    <n v="3"/>
    <x v="1"/>
    <n v="1"/>
    <n v="1"/>
    <n v="2"/>
    <n v="0"/>
    <n v="0"/>
    <n v="1"/>
    <n v="0"/>
    <n v="0"/>
    <n v="4.204533129978131"/>
    <n v="0.14485673308716898"/>
    <x v="2"/>
    <n v="0"/>
  </r>
  <r>
    <x v="210"/>
    <x v="5"/>
    <x v="0"/>
    <n v="1045"/>
    <x v="0"/>
    <n v="4"/>
    <n v="4"/>
    <x v="2"/>
    <n v="4"/>
    <x v="1"/>
    <n v="32"/>
    <n v="1"/>
    <n v="3"/>
    <x v="0"/>
    <n v="4"/>
    <x v="1"/>
    <x v="206"/>
    <n v="25812"/>
    <n v="1"/>
    <x v="1"/>
    <n v="0.11"/>
    <n v="3"/>
    <n v="3"/>
    <n v="0"/>
    <n v="14"/>
    <n v="2"/>
    <n v="2"/>
    <x v="13"/>
    <n v="8"/>
    <n v="9"/>
    <n v="8"/>
    <x v="0"/>
    <n v="1"/>
    <n v="1"/>
    <n v="1"/>
    <n v="0"/>
    <n v="0"/>
    <n v="0"/>
    <n v="0"/>
    <n v="0"/>
    <n v="0"/>
    <n v="0"/>
    <x v="2"/>
    <n v="0"/>
  </r>
  <r>
    <x v="211"/>
    <x v="7"/>
    <x v="2"/>
    <n v="829"/>
    <x v="1"/>
    <n v="1"/>
    <n v="1"/>
    <x v="0"/>
    <n v="3"/>
    <x v="1"/>
    <n v="88"/>
    <n v="2"/>
    <n v="3"/>
    <x v="3"/>
    <n v="3"/>
    <x v="0"/>
    <x v="207"/>
    <n v="20925"/>
    <n v="1"/>
    <x v="1"/>
    <n v="0.22"/>
    <n v="4"/>
    <n v="3"/>
    <n v="0"/>
    <n v="12"/>
    <n v="2"/>
    <n v="3"/>
    <x v="19"/>
    <n v="8"/>
    <n v="5"/>
    <n v="8"/>
    <x v="1"/>
    <n v="1"/>
    <n v="0"/>
    <n v="0"/>
    <n v="0"/>
    <n v="0"/>
    <n v="0"/>
    <n v="0"/>
    <n v="0"/>
    <n v="0"/>
    <n v="0"/>
    <x v="2"/>
    <n v="0"/>
  </r>
  <r>
    <x v="212"/>
    <x v="4"/>
    <x v="1"/>
    <n v="1242"/>
    <x v="0"/>
    <n v="20"/>
    <n v="3"/>
    <x v="0"/>
    <n v="4"/>
    <x v="0"/>
    <n v="90"/>
    <n v="3"/>
    <n v="2"/>
    <x v="0"/>
    <n v="3"/>
    <x v="0"/>
    <x v="208"/>
    <n v="12916"/>
    <n v="1"/>
    <x v="1"/>
    <n v="0.14000000000000001"/>
    <n v="3"/>
    <n v="4"/>
    <n v="0"/>
    <n v="7"/>
    <n v="2"/>
    <n v="3"/>
    <x v="5"/>
    <n v="7"/>
    <n v="0"/>
    <n v="7"/>
    <x v="1"/>
    <n v="0"/>
    <n v="2"/>
    <n v="0"/>
    <n v="0"/>
    <n v="1"/>
    <n v="0"/>
    <n v="0"/>
    <n v="1"/>
    <n v="8.3264966763655544"/>
    <n v="0.28686873650719891"/>
    <x v="0"/>
    <n v="0"/>
  </r>
  <r>
    <x v="213"/>
    <x v="31"/>
    <x v="0"/>
    <n v="1469"/>
    <x v="1"/>
    <n v="8"/>
    <n v="4"/>
    <x v="0"/>
    <n v="2"/>
    <x v="1"/>
    <n v="81"/>
    <n v="2"/>
    <n v="3"/>
    <x v="7"/>
    <n v="2"/>
    <x v="1"/>
    <x v="209"/>
    <n v="15736"/>
    <n v="5"/>
    <x v="1"/>
    <n v="0.16"/>
    <n v="3"/>
    <n v="4"/>
    <n v="2"/>
    <n v="16"/>
    <n v="5"/>
    <n v="1"/>
    <x v="1"/>
    <n v="9"/>
    <n v="4"/>
    <n v="7"/>
    <x v="1"/>
    <n v="1"/>
    <n v="1"/>
    <n v="1"/>
    <n v="0"/>
    <n v="0"/>
    <n v="1"/>
    <n v="0"/>
    <n v="0"/>
    <n v="4.204533129978131"/>
    <n v="0.14485673308716898"/>
    <x v="2"/>
    <n v="0"/>
  </r>
  <r>
    <x v="214"/>
    <x v="7"/>
    <x v="0"/>
    <n v="1005"/>
    <x v="1"/>
    <n v="3"/>
    <n v="3"/>
    <x v="4"/>
    <n v="4"/>
    <x v="0"/>
    <n v="88"/>
    <n v="3"/>
    <n v="1"/>
    <x v="1"/>
    <n v="1"/>
    <x v="0"/>
    <x v="210"/>
    <n v="8556"/>
    <n v="5"/>
    <x v="0"/>
    <n v="0.11"/>
    <n v="3"/>
    <n v="3"/>
    <n v="0"/>
    <n v="8"/>
    <n v="5"/>
    <n v="3"/>
    <x v="8"/>
    <n v="2"/>
    <n v="0"/>
    <n v="4"/>
    <x v="0"/>
    <n v="0"/>
    <n v="1"/>
    <n v="0"/>
    <n v="1"/>
    <n v="0"/>
    <n v="1"/>
    <n v="1"/>
    <n v="0"/>
    <n v="20.698962067398959"/>
    <n v="0.71313126349280109"/>
    <x v="1"/>
    <n v="3985.5"/>
  </r>
  <r>
    <x v="215"/>
    <x v="0"/>
    <x v="0"/>
    <n v="896"/>
    <x v="0"/>
    <n v="6"/>
    <n v="3"/>
    <x v="0"/>
    <n v="4"/>
    <x v="0"/>
    <n v="75"/>
    <n v="3"/>
    <n v="3"/>
    <x v="5"/>
    <n v="4"/>
    <x v="0"/>
    <x v="211"/>
    <n v="14674"/>
    <n v="3"/>
    <x v="0"/>
    <n v="0.18"/>
    <n v="3"/>
    <n v="3"/>
    <n v="0"/>
    <n v="16"/>
    <n v="3"/>
    <n v="3"/>
    <x v="6"/>
    <n v="0"/>
    <n v="0"/>
    <n v="0"/>
    <x v="1"/>
    <n v="0"/>
    <n v="1"/>
    <n v="0"/>
    <n v="1"/>
    <n v="0"/>
    <n v="0"/>
    <n v="0"/>
    <n v="0"/>
    <n v="10"/>
    <n v="0.3445251318258073"/>
    <x v="0"/>
    <n v="0"/>
  </r>
  <r>
    <x v="216"/>
    <x v="7"/>
    <x v="1"/>
    <n v="334"/>
    <x v="0"/>
    <n v="26"/>
    <n v="4"/>
    <x v="3"/>
    <n v="3"/>
    <x v="0"/>
    <n v="52"/>
    <n v="2"/>
    <n v="2"/>
    <x v="0"/>
    <n v="1"/>
    <x v="0"/>
    <x v="212"/>
    <n v="22967"/>
    <n v="5"/>
    <x v="1"/>
    <n v="0.15"/>
    <n v="3"/>
    <n v="3"/>
    <n v="0"/>
    <n v="9"/>
    <n v="5"/>
    <n v="2"/>
    <x v="0"/>
    <n v="3"/>
    <n v="0"/>
    <n v="1"/>
    <x v="0"/>
    <n v="0"/>
    <n v="2"/>
    <n v="0"/>
    <n v="0"/>
    <n v="1"/>
    <n v="1"/>
    <n v="0"/>
    <n v="1"/>
    <n v="12.531029806343685"/>
    <n v="0.43172546959436786"/>
    <x v="0"/>
    <n v="0"/>
  </r>
  <r>
    <x v="217"/>
    <x v="11"/>
    <x v="0"/>
    <n v="992"/>
    <x v="1"/>
    <n v="1"/>
    <n v="3"/>
    <x v="4"/>
    <n v="3"/>
    <x v="1"/>
    <n v="85"/>
    <n v="3"/>
    <n v="1"/>
    <x v="1"/>
    <n v="3"/>
    <x v="0"/>
    <x v="213"/>
    <n v="19757"/>
    <n v="0"/>
    <x v="1"/>
    <n v="0.14000000000000001"/>
    <n v="3"/>
    <n v="4"/>
    <n v="0"/>
    <n v="7"/>
    <n v="1"/>
    <n v="2"/>
    <x v="0"/>
    <n v="2"/>
    <n v="1"/>
    <n v="5"/>
    <x v="0"/>
    <n v="1"/>
    <n v="1"/>
    <n v="0"/>
    <n v="0"/>
    <n v="0"/>
    <n v="0"/>
    <n v="1"/>
    <n v="0"/>
    <n v="6.4944289374208282"/>
    <n v="0.22374939857982484"/>
    <x v="2"/>
    <n v="0"/>
  </r>
  <r>
    <x v="218"/>
    <x v="28"/>
    <x v="2"/>
    <n v="1052"/>
    <x v="0"/>
    <n v="6"/>
    <n v="3"/>
    <x v="2"/>
    <n v="4"/>
    <x v="0"/>
    <n v="57"/>
    <n v="2"/>
    <n v="3"/>
    <x v="0"/>
    <n v="4"/>
    <x v="0"/>
    <x v="214"/>
    <n v="16840"/>
    <n v="6"/>
    <x v="1"/>
    <n v="0.12"/>
    <n v="3"/>
    <n v="4"/>
    <n v="0"/>
    <n v="23"/>
    <n v="2"/>
    <n v="3"/>
    <x v="27"/>
    <n v="7"/>
    <n v="12"/>
    <n v="8"/>
    <x v="1"/>
    <n v="0"/>
    <n v="0"/>
    <n v="0"/>
    <n v="0"/>
    <n v="0"/>
    <n v="0"/>
    <n v="0"/>
    <n v="0"/>
    <n v="0"/>
    <n v="0"/>
    <x v="2"/>
    <n v="0"/>
  </r>
  <r>
    <x v="219"/>
    <x v="33"/>
    <x v="0"/>
    <n v="1147"/>
    <x v="0"/>
    <n v="3"/>
    <n v="3"/>
    <x v="3"/>
    <n v="4"/>
    <x v="0"/>
    <n v="52"/>
    <n v="3"/>
    <n v="2"/>
    <x v="0"/>
    <n v="1"/>
    <x v="1"/>
    <x v="215"/>
    <n v="17011"/>
    <n v="2"/>
    <x v="1"/>
    <n v="0.14000000000000001"/>
    <n v="3"/>
    <n v="4"/>
    <n v="1"/>
    <n v="16"/>
    <n v="4"/>
    <n v="3"/>
    <x v="0"/>
    <n v="2"/>
    <n v="0"/>
    <n v="5"/>
    <x v="1"/>
    <n v="0"/>
    <n v="1"/>
    <n v="1"/>
    <n v="0"/>
    <n v="0"/>
    <n v="1"/>
    <n v="0"/>
    <n v="0"/>
    <n v="4.204533129978131"/>
    <n v="0.14485673308716898"/>
    <x v="2"/>
    <n v="0"/>
  </r>
  <r>
    <x v="220"/>
    <x v="9"/>
    <x v="0"/>
    <n v="1396"/>
    <x v="1"/>
    <n v="5"/>
    <n v="2"/>
    <x v="0"/>
    <n v="4"/>
    <x v="1"/>
    <n v="62"/>
    <n v="3"/>
    <n v="2"/>
    <x v="2"/>
    <n v="2"/>
    <x v="0"/>
    <x v="216"/>
    <n v="9945"/>
    <n v="8"/>
    <x v="1"/>
    <n v="0.16"/>
    <n v="3"/>
    <n v="4"/>
    <n v="0"/>
    <n v="16"/>
    <n v="3"/>
    <n v="4"/>
    <x v="20"/>
    <n v="11"/>
    <n v="3"/>
    <n v="7"/>
    <x v="1"/>
    <n v="1"/>
    <n v="1"/>
    <n v="0"/>
    <n v="0"/>
    <n v="0"/>
    <n v="1"/>
    <n v="0"/>
    <n v="0"/>
    <n v="4.204533129978131"/>
    <n v="0.14485673308716898"/>
    <x v="2"/>
    <n v="0"/>
  </r>
  <r>
    <x v="221"/>
    <x v="3"/>
    <x v="0"/>
    <n v="147"/>
    <x v="1"/>
    <n v="4"/>
    <n v="4"/>
    <x v="2"/>
    <n v="3"/>
    <x v="0"/>
    <n v="47"/>
    <n v="2"/>
    <n v="1"/>
    <x v="1"/>
    <n v="2"/>
    <x v="1"/>
    <x v="217"/>
    <n v="13248"/>
    <n v="6"/>
    <x v="1"/>
    <n v="0.21"/>
    <n v="4"/>
    <n v="4"/>
    <n v="0"/>
    <n v="7"/>
    <n v="3"/>
    <n v="3"/>
    <x v="11"/>
    <n v="2"/>
    <n v="1"/>
    <n v="1"/>
    <x v="1"/>
    <n v="0"/>
    <n v="1"/>
    <n v="1"/>
    <n v="0"/>
    <n v="0"/>
    <n v="1"/>
    <n v="1"/>
    <n v="0"/>
    <n v="10.698962067398959"/>
    <n v="0.3686061316669938"/>
    <x v="0"/>
    <n v="0"/>
  </r>
  <r>
    <x v="222"/>
    <x v="2"/>
    <x v="1"/>
    <n v="663"/>
    <x v="1"/>
    <n v="11"/>
    <n v="3"/>
    <x v="1"/>
    <n v="2"/>
    <x v="1"/>
    <n v="47"/>
    <n v="3"/>
    <n v="3"/>
    <x v="7"/>
    <n v="4"/>
    <x v="2"/>
    <x v="218"/>
    <n v="10056"/>
    <n v="1"/>
    <x v="0"/>
    <n v="0.14000000000000001"/>
    <n v="3"/>
    <n v="3"/>
    <n v="3"/>
    <n v="10"/>
    <n v="1"/>
    <n v="3"/>
    <x v="1"/>
    <n v="8"/>
    <n v="0"/>
    <n v="7"/>
    <x v="1"/>
    <n v="1"/>
    <n v="2"/>
    <n v="2"/>
    <n v="1"/>
    <n v="0"/>
    <n v="0"/>
    <n v="0"/>
    <n v="1"/>
    <n v="15.160389980490176"/>
    <n v="0.52231353565590266"/>
    <x v="1"/>
    <n v="18277.5"/>
  </r>
  <r>
    <x v="223"/>
    <x v="8"/>
    <x v="0"/>
    <n v="119"/>
    <x v="0"/>
    <n v="3"/>
    <n v="3"/>
    <x v="0"/>
    <n v="1"/>
    <x v="1"/>
    <n v="76"/>
    <n v="3"/>
    <n v="3"/>
    <x v="0"/>
    <n v="3"/>
    <x v="2"/>
    <x v="219"/>
    <n v="9647"/>
    <n v="0"/>
    <x v="1"/>
    <n v="0.12"/>
    <n v="3"/>
    <n v="3"/>
    <n v="2"/>
    <n v="17"/>
    <n v="6"/>
    <n v="2"/>
    <x v="22"/>
    <n v="10"/>
    <n v="5"/>
    <n v="13"/>
    <x v="1"/>
    <n v="1"/>
    <n v="1"/>
    <n v="2"/>
    <n v="0"/>
    <n v="0"/>
    <n v="0"/>
    <n v="0"/>
    <n v="0"/>
    <n v="0"/>
    <n v="0"/>
    <x v="2"/>
    <n v="0"/>
  </r>
  <r>
    <x v="224"/>
    <x v="12"/>
    <x v="2"/>
    <n v="979"/>
    <x v="1"/>
    <n v="1"/>
    <n v="4"/>
    <x v="2"/>
    <n v="3"/>
    <x v="1"/>
    <n v="90"/>
    <n v="1"/>
    <n v="2"/>
    <x v="3"/>
    <n v="3"/>
    <x v="1"/>
    <x v="220"/>
    <n v="4381"/>
    <n v="0"/>
    <x v="1"/>
    <n v="0.12"/>
    <n v="3"/>
    <n v="4"/>
    <n v="1"/>
    <n v="6"/>
    <n v="2"/>
    <n v="3"/>
    <x v="8"/>
    <n v="4"/>
    <n v="1"/>
    <n v="4"/>
    <x v="1"/>
    <n v="1"/>
    <n v="0"/>
    <n v="1"/>
    <n v="0"/>
    <n v="0"/>
    <n v="0"/>
    <n v="1"/>
    <n v="0"/>
    <n v="6.4944289374208282"/>
    <n v="0.22374939857982484"/>
    <x v="2"/>
    <n v="0"/>
  </r>
  <r>
    <x v="225"/>
    <x v="6"/>
    <x v="0"/>
    <n v="142"/>
    <x v="1"/>
    <n v="3"/>
    <n v="3"/>
    <x v="0"/>
    <n v="3"/>
    <x v="1"/>
    <n v="70"/>
    <n v="2"/>
    <n v="1"/>
    <x v="1"/>
    <n v="4"/>
    <x v="1"/>
    <x v="221"/>
    <n v="8456"/>
    <n v="3"/>
    <x v="1"/>
    <n v="0.17"/>
    <n v="3"/>
    <n v="1"/>
    <n v="1"/>
    <n v="7"/>
    <n v="6"/>
    <n v="3"/>
    <x v="6"/>
    <n v="0"/>
    <n v="0"/>
    <n v="0"/>
    <x v="1"/>
    <n v="1"/>
    <n v="1"/>
    <n v="1"/>
    <n v="0"/>
    <n v="0"/>
    <n v="0"/>
    <n v="1"/>
    <n v="0"/>
    <n v="6.4944289374208282"/>
    <n v="0.22374939857982484"/>
    <x v="2"/>
    <n v="0"/>
  </r>
  <r>
    <x v="226"/>
    <x v="2"/>
    <x v="1"/>
    <n v="319"/>
    <x v="0"/>
    <n v="4"/>
    <n v="4"/>
    <x v="3"/>
    <n v="1"/>
    <x v="1"/>
    <n v="41"/>
    <n v="3"/>
    <n v="1"/>
    <x v="6"/>
    <n v="4"/>
    <x v="2"/>
    <x v="222"/>
    <n v="2539"/>
    <n v="4"/>
    <x v="1"/>
    <n v="0.17"/>
    <n v="3"/>
    <n v="3"/>
    <n v="1"/>
    <n v="13"/>
    <n v="2"/>
    <n v="3"/>
    <x v="7"/>
    <n v="8"/>
    <n v="5"/>
    <n v="8"/>
    <x v="1"/>
    <n v="1"/>
    <n v="2"/>
    <n v="2"/>
    <n v="0"/>
    <n v="0"/>
    <n v="0"/>
    <n v="1"/>
    <n v="1"/>
    <n v="11.654818917911005"/>
    <n v="0.40153780240992015"/>
    <x v="0"/>
    <n v="0"/>
  </r>
  <r>
    <x v="227"/>
    <x v="11"/>
    <x v="1"/>
    <n v="1413"/>
    <x v="0"/>
    <n v="1"/>
    <n v="1"/>
    <x v="2"/>
    <n v="2"/>
    <x v="0"/>
    <n v="42"/>
    <n v="3"/>
    <n v="3"/>
    <x v="0"/>
    <n v="4"/>
    <x v="1"/>
    <x v="223"/>
    <n v="6599"/>
    <n v="1"/>
    <x v="1"/>
    <n v="0.14000000000000001"/>
    <n v="3"/>
    <n v="4"/>
    <n v="1"/>
    <n v="11"/>
    <n v="5"/>
    <n v="3"/>
    <x v="19"/>
    <n v="10"/>
    <n v="4"/>
    <n v="1"/>
    <x v="1"/>
    <n v="0"/>
    <n v="2"/>
    <n v="1"/>
    <n v="0"/>
    <n v="0"/>
    <n v="0"/>
    <n v="0"/>
    <n v="1"/>
    <n v="5.1603899804901765"/>
    <n v="0.17778840383009531"/>
    <x v="2"/>
    <n v="0"/>
  </r>
  <r>
    <x v="228"/>
    <x v="10"/>
    <x v="1"/>
    <n v="944"/>
    <x v="0"/>
    <n v="1"/>
    <n v="3"/>
    <x v="3"/>
    <n v="3"/>
    <x v="0"/>
    <n v="92"/>
    <n v="3"/>
    <n v="3"/>
    <x v="0"/>
    <n v="3"/>
    <x v="0"/>
    <x v="224"/>
    <n v="9096"/>
    <n v="1"/>
    <x v="1"/>
    <n v="0.14000000000000001"/>
    <n v="3"/>
    <n v="1"/>
    <n v="0"/>
    <n v="10"/>
    <n v="3"/>
    <n v="4"/>
    <x v="1"/>
    <n v="7"/>
    <n v="0"/>
    <n v="8"/>
    <x v="1"/>
    <n v="0"/>
    <n v="2"/>
    <n v="0"/>
    <n v="0"/>
    <n v="0"/>
    <n v="0"/>
    <n v="0"/>
    <n v="1"/>
    <n v="5.1603899804901765"/>
    <n v="0.17778840383009531"/>
    <x v="2"/>
    <n v="0"/>
  </r>
  <r>
    <x v="229"/>
    <x v="11"/>
    <x v="0"/>
    <n v="896"/>
    <x v="1"/>
    <n v="18"/>
    <n v="1"/>
    <x v="2"/>
    <n v="3"/>
    <x v="1"/>
    <n v="86"/>
    <n v="2"/>
    <n v="1"/>
    <x v="1"/>
    <n v="4"/>
    <x v="0"/>
    <x v="225"/>
    <n v="14961"/>
    <n v="1"/>
    <x v="0"/>
    <n v="0.13"/>
    <n v="3"/>
    <n v="3"/>
    <n v="0"/>
    <n v="4"/>
    <n v="3"/>
    <n v="2"/>
    <x v="9"/>
    <n v="3"/>
    <n v="0"/>
    <n v="1"/>
    <x v="0"/>
    <n v="1"/>
    <n v="1"/>
    <n v="0"/>
    <n v="1"/>
    <n v="1"/>
    <n v="0"/>
    <n v="1"/>
    <n v="0"/>
    <n v="19.660535633296206"/>
    <n v="0.67735486308273574"/>
    <x v="1"/>
    <n v="3583.5"/>
  </r>
  <r>
    <x v="230"/>
    <x v="39"/>
    <x v="0"/>
    <n v="1323"/>
    <x v="1"/>
    <n v="2"/>
    <n v="3"/>
    <x v="0"/>
    <n v="3"/>
    <x v="0"/>
    <n v="89"/>
    <n v="2"/>
    <n v="1"/>
    <x v="2"/>
    <n v="4"/>
    <x v="0"/>
    <x v="226"/>
    <n v="3300"/>
    <n v="7"/>
    <x v="1"/>
    <n v="0.15"/>
    <n v="3"/>
    <n v="2"/>
    <n v="0"/>
    <n v="6"/>
    <n v="3"/>
    <n v="2"/>
    <x v="4"/>
    <n v="2"/>
    <n v="2"/>
    <n v="2"/>
    <x v="1"/>
    <n v="0"/>
    <n v="1"/>
    <n v="0"/>
    <n v="0"/>
    <n v="0"/>
    <n v="0"/>
    <n v="1"/>
    <n v="0"/>
    <n v="6.4944289374208282"/>
    <n v="0.22374939857982484"/>
    <x v="2"/>
    <n v="0"/>
  </r>
  <r>
    <x v="231"/>
    <x v="19"/>
    <x v="0"/>
    <n v="532"/>
    <x v="1"/>
    <n v="4"/>
    <n v="2"/>
    <x v="4"/>
    <n v="3"/>
    <x v="1"/>
    <n v="58"/>
    <n v="3"/>
    <n v="5"/>
    <x v="5"/>
    <n v="4"/>
    <x v="1"/>
    <x v="227"/>
    <n v="4933"/>
    <n v="1"/>
    <x v="1"/>
    <n v="0.11"/>
    <n v="3"/>
    <n v="4"/>
    <n v="0"/>
    <n v="22"/>
    <n v="3"/>
    <n v="3"/>
    <x v="14"/>
    <n v="17"/>
    <n v="11"/>
    <n v="15"/>
    <x v="1"/>
    <n v="1"/>
    <n v="1"/>
    <n v="1"/>
    <n v="0"/>
    <n v="0"/>
    <n v="0"/>
    <n v="0"/>
    <n v="0"/>
    <n v="0"/>
    <n v="0"/>
    <x v="2"/>
    <n v="0"/>
  </r>
  <r>
    <x v="232"/>
    <x v="6"/>
    <x v="0"/>
    <n v="818"/>
    <x v="2"/>
    <n v="6"/>
    <n v="2"/>
    <x v="2"/>
    <n v="2"/>
    <x v="1"/>
    <n v="52"/>
    <n v="3"/>
    <n v="1"/>
    <x v="8"/>
    <n v="3"/>
    <x v="1"/>
    <x v="228"/>
    <n v="25657"/>
    <n v="8"/>
    <x v="1"/>
    <n v="0.17"/>
    <n v="3"/>
    <n v="4"/>
    <n v="0"/>
    <n v="7"/>
    <n v="2"/>
    <n v="2"/>
    <x v="4"/>
    <n v="2"/>
    <n v="2"/>
    <n v="2"/>
    <x v="1"/>
    <n v="1"/>
    <n v="1"/>
    <n v="1"/>
    <n v="0"/>
    <n v="0"/>
    <n v="0"/>
    <n v="1"/>
    <n v="0"/>
    <n v="6.4944289374208282"/>
    <n v="0.22374939857982484"/>
    <x v="2"/>
    <n v="0"/>
  </r>
  <r>
    <x v="233"/>
    <x v="24"/>
    <x v="0"/>
    <n v="854"/>
    <x v="0"/>
    <n v="1"/>
    <n v="4"/>
    <x v="2"/>
    <n v="4"/>
    <x v="0"/>
    <n v="68"/>
    <n v="3"/>
    <n v="5"/>
    <x v="5"/>
    <n v="4"/>
    <x v="2"/>
    <x v="229"/>
    <n v="24118"/>
    <n v="3"/>
    <x v="1"/>
    <n v="0.11"/>
    <n v="3"/>
    <n v="3"/>
    <n v="1"/>
    <n v="32"/>
    <n v="3"/>
    <n v="2"/>
    <x v="5"/>
    <n v="0"/>
    <n v="0"/>
    <n v="6"/>
    <x v="1"/>
    <n v="0"/>
    <n v="1"/>
    <n v="2"/>
    <n v="0"/>
    <n v="0"/>
    <n v="0"/>
    <n v="0"/>
    <n v="0"/>
    <n v="0"/>
    <n v="0"/>
    <x v="2"/>
    <n v="0"/>
  </r>
  <r>
    <x v="234"/>
    <x v="3"/>
    <x v="0"/>
    <n v="813"/>
    <x v="1"/>
    <n v="14"/>
    <n v="3"/>
    <x v="2"/>
    <n v="3"/>
    <x v="1"/>
    <n v="58"/>
    <n v="3"/>
    <n v="1"/>
    <x v="2"/>
    <n v="4"/>
    <x v="1"/>
    <x v="230"/>
    <n v="22149"/>
    <n v="5"/>
    <x v="0"/>
    <n v="0.13"/>
    <n v="3"/>
    <n v="3"/>
    <n v="1"/>
    <n v="8"/>
    <n v="2"/>
    <n v="1"/>
    <x v="8"/>
    <n v="4"/>
    <n v="0"/>
    <n v="4"/>
    <x v="0"/>
    <n v="1"/>
    <n v="1"/>
    <n v="1"/>
    <n v="1"/>
    <n v="0"/>
    <n v="0"/>
    <n v="1"/>
    <n v="0"/>
    <n v="16.494428937420828"/>
    <n v="0.56827453040563214"/>
    <x v="1"/>
    <n v="3654"/>
  </r>
  <r>
    <x v="235"/>
    <x v="23"/>
    <x v="0"/>
    <n v="1034"/>
    <x v="0"/>
    <n v="16"/>
    <n v="3"/>
    <x v="3"/>
    <n v="4"/>
    <x v="0"/>
    <n v="80"/>
    <n v="3"/>
    <n v="4"/>
    <x v="5"/>
    <n v="4"/>
    <x v="1"/>
    <x v="231"/>
    <n v="7744"/>
    <n v="5"/>
    <x v="0"/>
    <n v="0.22"/>
    <n v="4"/>
    <n v="3"/>
    <n v="1"/>
    <n v="22"/>
    <n v="3"/>
    <n v="3"/>
    <x v="18"/>
    <n v="13"/>
    <n v="1"/>
    <n v="9"/>
    <x v="1"/>
    <n v="0"/>
    <n v="1"/>
    <n v="1"/>
    <n v="1"/>
    <n v="1"/>
    <n v="0"/>
    <n v="0"/>
    <n v="0"/>
    <n v="13.166106695875378"/>
    <n v="0.45360546450291089"/>
    <x v="0"/>
    <n v="0"/>
  </r>
  <r>
    <x v="236"/>
    <x v="3"/>
    <x v="0"/>
    <n v="465"/>
    <x v="1"/>
    <n v="2"/>
    <n v="2"/>
    <x v="0"/>
    <n v="1"/>
    <x v="0"/>
    <n v="39"/>
    <n v="3"/>
    <n v="1"/>
    <x v="2"/>
    <n v="1"/>
    <x v="1"/>
    <x v="232"/>
    <n v="21509"/>
    <n v="7"/>
    <x v="1"/>
    <n v="0.2"/>
    <n v="4"/>
    <n v="1"/>
    <n v="0"/>
    <n v="13"/>
    <n v="3"/>
    <n v="4"/>
    <x v="7"/>
    <n v="7"/>
    <n v="1"/>
    <n v="7"/>
    <x v="0"/>
    <n v="0"/>
    <n v="1"/>
    <n v="1"/>
    <n v="0"/>
    <n v="0"/>
    <n v="1"/>
    <n v="1"/>
    <n v="0"/>
    <n v="10.698962067398959"/>
    <n v="0.3686061316669938"/>
    <x v="0"/>
    <n v="0"/>
  </r>
  <r>
    <x v="237"/>
    <x v="39"/>
    <x v="2"/>
    <n v="771"/>
    <x v="0"/>
    <n v="2"/>
    <n v="4"/>
    <x v="0"/>
    <n v="1"/>
    <x v="1"/>
    <n v="79"/>
    <n v="2"/>
    <n v="5"/>
    <x v="5"/>
    <n v="3"/>
    <x v="0"/>
    <x v="233"/>
    <n v="21030"/>
    <n v="1"/>
    <x v="0"/>
    <n v="0.18"/>
    <n v="3"/>
    <n v="4"/>
    <n v="0"/>
    <n v="33"/>
    <n v="2"/>
    <n v="4"/>
    <x v="26"/>
    <n v="7"/>
    <n v="15"/>
    <n v="12"/>
    <x v="1"/>
    <n v="1"/>
    <n v="0"/>
    <n v="0"/>
    <n v="1"/>
    <n v="0"/>
    <n v="0"/>
    <n v="0"/>
    <n v="0"/>
    <n v="10"/>
    <n v="0.3445251318258073"/>
    <x v="0"/>
    <n v="0"/>
  </r>
  <r>
    <x v="238"/>
    <x v="5"/>
    <x v="0"/>
    <n v="1401"/>
    <x v="0"/>
    <n v="4"/>
    <n v="2"/>
    <x v="0"/>
    <n v="3"/>
    <x v="0"/>
    <n v="56"/>
    <n v="3"/>
    <n v="1"/>
    <x v="6"/>
    <n v="2"/>
    <x v="1"/>
    <x v="234"/>
    <n v="20990"/>
    <n v="2"/>
    <x v="1"/>
    <n v="0.11"/>
    <n v="3"/>
    <n v="1"/>
    <n v="1"/>
    <n v="6"/>
    <n v="5"/>
    <n v="3"/>
    <x v="9"/>
    <n v="3"/>
    <n v="1"/>
    <n v="2"/>
    <x v="1"/>
    <n v="0"/>
    <n v="1"/>
    <n v="1"/>
    <n v="0"/>
    <n v="0"/>
    <n v="1"/>
    <n v="1"/>
    <n v="0"/>
    <n v="10.698962067398959"/>
    <n v="0.3686061316669938"/>
    <x v="0"/>
    <n v="0"/>
  </r>
  <r>
    <x v="239"/>
    <x v="5"/>
    <x v="0"/>
    <n v="515"/>
    <x v="1"/>
    <n v="1"/>
    <n v="3"/>
    <x v="0"/>
    <n v="4"/>
    <x v="1"/>
    <n v="62"/>
    <n v="2"/>
    <n v="1"/>
    <x v="2"/>
    <n v="3"/>
    <x v="0"/>
    <x v="235"/>
    <n v="9571"/>
    <n v="0"/>
    <x v="0"/>
    <n v="0.14000000000000001"/>
    <n v="3"/>
    <n v="4"/>
    <n v="0"/>
    <n v="4"/>
    <n v="2"/>
    <n v="1"/>
    <x v="11"/>
    <n v="2"/>
    <n v="1"/>
    <n v="2"/>
    <x v="0"/>
    <n v="1"/>
    <n v="1"/>
    <n v="0"/>
    <n v="1"/>
    <n v="0"/>
    <n v="0"/>
    <n v="1"/>
    <n v="0"/>
    <n v="16.494428937420828"/>
    <n v="0.56827453040563214"/>
    <x v="1"/>
    <n v="5595"/>
  </r>
  <r>
    <x v="240"/>
    <x v="22"/>
    <x v="0"/>
    <n v="1431"/>
    <x v="1"/>
    <n v="1"/>
    <n v="4"/>
    <x v="2"/>
    <n v="3"/>
    <x v="0"/>
    <n v="96"/>
    <n v="3"/>
    <n v="1"/>
    <x v="2"/>
    <n v="3"/>
    <x v="2"/>
    <x v="236"/>
    <n v="15417"/>
    <n v="7"/>
    <x v="1"/>
    <n v="0.14000000000000001"/>
    <n v="3"/>
    <n v="3"/>
    <n v="3"/>
    <n v="7"/>
    <n v="1"/>
    <n v="3"/>
    <x v="11"/>
    <n v="2"/>
    <n v="1"/>
    <n v="2"/>
    <x v="1"/>
    <n v="0"/>
    <n v="1"/>
    <n v="2"/>
    <n v="0"/>
    <n v="0"/>
    <n v="0"/>
    <n v="1"/>
    <n v="0"/>
    <n v="6.4944289374208282"/>
    <n v="0.22374939857982484"/>
    <x v="2"/>
    <n v="0"/>
  </r>
  <r>
    <x v="241"/>
    <x v="5"/>
    <x v="2"/>
    <n v="976"/>
    <x v="0"/>
    <n v="26"/>
    <n v="4"/>
    <x v="3"/>
    <n v="3"/>
    <x v="1"/>
    <n v="100"/>
    <n v="3"/>
    <n v="2"/>
    <x v="0"/>
    <n v="4"/>
    <x v="1"/>
    <x v="237"/>
    <n v="12069"/>
    <n v="0"/>
    <x v="1"/>
    <n v="0.18"/>
    <n v="3"/>
    <n v="1"/>
    <n v="0"/>
    <n v="4"/>
    <n v="2"/>
    <n v="3"/>
    <x v="11"/>
    <n v="2"/>
    <n v="2"/>
    <n v="2"/>
    <x v="1"/>
    <n v="1"/>
    <n v="0"/>
    <n v="1"/>
    <n v="0"/>
    <n v="1"/>
    <n v="0"/>
    <n v="1"/>
    <n v="0"/>
    <n v="9.660535633296206"/>
    <n v="0.33282973125692844"/>
    <x v="0"/>
    <n v="0"/>
  </r>
  <r>
    <x v="242"/>
    <x v="0"/>
    <x v="0"/>
    <n v="1411"/>
    <x v="1"/>
    <n v="19"/>
    <n v="2"/>
    <x v="0"/>
    <n v="3"/>
    <x v="1"/>
    <n v="36"/>
    <n v="3"/>
    <n v="2"/>
    <x v="1"/>
    <n v="1"/>
    <x v="2"/>
    <x v="169"/>
    <n v="19877"/>
    <n v="2"/>
    <x v="1"/>
    <n v="0.16"/>
    <n v="3"/>
    <n v="1"/>
    <n v="2"/>
    <n v="17"/>
    <n v="2"/>
    <n v="2"/>
    <x v="6"/>
    <n v="0"/>
    <n v="0"/>
    <n v="0"/>
    <x v="1"/>
    <n v="1"/>
    <n v="1"/>
    <n v="2"/>
    <n v="0"/>
    <n v="1"/>
    <n v="1"/>
    <n v="1"/>
    <n v="0"/>
    <n v="13.865068763274337"/>
    <n v="0.47768646434409739"/>
    <x v="0"/>
    <n v="0"/>
  </r>
  <r>
    <x v="243"/>
    <x v="32"/>
    <x v="0"/>
    <n v="1300"/>
    <x v="1"/>
    <n v="24"/>
    <n v="2"/>
    <x v="4"/>
    <n v="1"/>
    <x v="1"/>
    <n v="62"/>
    <n v="3"/>
    <n v="2"/>
    <x v="1"/>
    <n v="4"/>
    <x v="2"/>
    <x v="238"/>
    <n v="24447"/>
    <n v="1"/>
    <x v="1"/>
    <n v="0.17"/>
    <n v="3"/>
    <n v="1"/>
    <n v="2"/>
    <n v="9"/>
    <n v="3"/>
    <n v="3"/>
    <x v="7"/>
    <n v="8"/>
    <n v="4"/>
    <n v="7"/>
    <x v="1"/>
    <n v="1"/>
    <n v="1"/>
    <n v="2"/>
    <n v="0"/>
    <n v="1"/>
    <n v="0"/>
    <n v="1"/>
    <n v="0"/>
    <n v="9.660535633296206"/>
    <n v="0.33282973125692844"/>
    <x v="0"/>
    <n v="0"/>
  </r>
  <r>
    <x v="244"/>
    <x v="28"/>
    <x v="0"/>
    <n v="252"/>
    <x v="1"/>
    <n v="1"/>
    <n v="3"/>
    <x v="1"/>
    <n v="3"/>
    <x v="1"/>
    <n v="70"/>
    <n v="4"/>
    <n v="5"/>
    <x v="5"/>
    <n v="4"/>
    <x v="1"/>
    <x v="239"/>
    <n v="15970"/>
    <n v="0"/>
    <x v="1"/>
    <n v="0.11"/>
    <n v="3"/>
    <n v="3"/>
    <n v="1"/>
    <n v="25"/>
    <n v="2"/>
    <n v="3"/>
    <x v="25"/>
    <n v="0"/>
    <n v="1"/>
    <n v="7"/>
    <x v="1"/>
    <n v="1"/>
    <n v="1"/>
    <n v="1"/>
    <n v="0"/>
    <n v="0"/>
    <n v="0"/>
    <n v="0"/>
    <n v="0"/>
    <n v="0"/>
    <n v="0"/>
    <x v="2"/>
    <n v="0"/>
  </r>
  <r>
    <x v="245"/>
    <x v="12"/>
    <x v="1"/>
    <n v="1327"/>
    <x v="1"/>
    <n v="3"/>
    <n v="4"/>
    <x v="2"/>
    <n v="2"/>
    <x v="1"/>
    <n v="73"/>
    <n v="3"/>
    <n v="3"/>
    <x v="7"/>
    <n v="3"/>
    <x v="2"/>
    <x v="240"/>
    <n v="13523"/>
    <n v="9"/>
    <x v="1"/>
    <n v="0.12"/>
    <n v="3"/>
    <n v="1"/>
    <n v="1"/>
    <n v="9"/>
    <n v="3"/>
    <n v="3"/>
    <x v="4"/>
    <n v="2"/>
    <n v="2"/>
    <n v="2"/>
    <x v="1"/>
    <n v="1"/>
    <n v="2"/>
    <n v="2"/>
    <n v="0"/>
    <n v="0"/>
    <n v="0"/>
    <n v="0"/>
    <n v="1"/>
    <n v="5.1603899804901765"/>
    <n v="0.17778840383009531"/>
    <x v="2"/>
    <n v="0"/>
  </r>
  <r>
    <x v="246"/>
    <x v="3"/>
    <x v="0"/>
    <n v="832"/>
    <x v="1"/>
    <n v="5"/>
    <n v="4"/>
    <x v="0"/>
    <n v="3"/>
    <x v="0"/>
    <n v="63"/>
    <n v="2"/>
    <n v="1"/>
    <x v="1"/>
    <n v="4"/>
    <x v="1"/>
    <x v="12"/>
    <n v="14776"/>
    <n v="1"/>
    <x v="1"/>
    <n v="0.13"/>
    <n v="3"/>
    <n v="3"/>
    <n v="1"/>
    <n v="2"/>
    <n v="2"/>
    <n v="2"/>
    <x v="4"/>
    <n v="2"/>
    <n v="0"/>
    <n v="2"/>
    <x v="1"/>
    <n v="0"/>
    <n v="1"/>
    <n v="1"/>
    <n v="0"/>
    <n v="0"/>
    <n v="0"/>
    <n v="1"/>
    <n v="0"/>
    <n v="6.4944289374208282"/>
    <n v="0.22374939857982484"/>
    <x v="2"/>
    <n v="0"/>
  </r>
  <r>
    <x v="247"/>
    <x v="13"/>
    <x v="0"/>
    <n v="470"/>
    <x v="1"/>
    <n v="2"/>
    <n v="4"/>
    <x v="0"/>
    <n v="4"/>
    <x v="1"/>
    <n v="84"/>
    <n v="2"/>
    <n v="2"/>
    <x v="3"/>
    <n v="1"/>
    <x v="1"/>
    <x v="241"/>
    <n v="23687"/>
    <n v="6"/>
    <x v="1"/>
    <n v="0.13"/>
    <n v="3"/>
    <n v="2"/>
    <n v="1"/>
    <n v="13"/>
    <n v="3"/>
    <n v="3"/>
    <x v="19"/>
    <n v="9"/>
    <n v="5"/>
    <n v="9"/>
    <x v="1"/>
    <n v="1"/>
    <n v="1"/>
    <n v="1"/>
    <n v="0"/>
    <n v="0"/>
    <n v="1"/>
    <n v="0"/>
    <n v="0"/>
    <n v="4.204533129978131"/>
    <n v="0.14485673308716898"/>
    <x v="2"/>
    <n v="0"/>
  </r>
  <r>
    <x v="248"/>
    <x v="2"/>
    <x v="0"/>
    <n v="1017"/>
    <x v="1"/>
    <n v="1"/>
    <n v="2"/>
    <x v="2"/>
    <n v="3"/>
    <x v="0"/>
    <n v="83"/>
    <n v="2"/>
    <n v="1"/>
    <x v="1"/>
    <n v="1"/>
    <x v="1"/>
    <x v="242"/>
    <n v="18697"/>
    <n v="2"/>
    <x v="1"/>
    <n v="0.14000000000000001"/>
    <n v="3"/>
    <n v="1"/>
    <n v="1"/>
    <n v="17"/>
    <n v="2"/>
    <n v="2"/>
    <x v="11"/>
    <n v="1"/>
    <n v="0"/>
    <n v="2"/>
    <x v="1"/>
    <n v="0"/>
    <n v="1"/>
    <n v="1"/>
    <n v="0"/>
    <n v="0"/>
    <n v="1"/>
    <n v="1"/>
    <n v="0"/>
    <n v="10.698962067398959"/>
    <n v="0.3686061316669938"/>
    <x v="0"/>
    <n v="0"/>
  </r>
  <r>
    <x v="249"/>
    <x v="28"/>
    <x v="1"/>
    <n v="1199"/>
    <x v="1"/>
    <n v="7"/>
    <n v="4"/>
    <x v="0"/>
    <n v="1"/>
    <x v="1"/>
    <n v="77"/>
    <n v="4"/>
    <n v="2"/>
    <x v="3"/>
    <n v="3"/>
    <x v="1"/>
    <x v="243"/>
    <n v="5118"/>
    <n v="4"/>
    <x v="1"/>
    <n v="0.17"/>
    <n v="3"/>
    <n v="4"/>
    <n v="1"/>
    <n v="9"/>
    <n v="1"/>
    <n v="3"/>
    <x v="11"/>
    <n v="2"/>
    <n v="0"/>
    <n v="2"/>
    <x v="1"/>
    <n v="1"/>
    <n v="2"/>
    <n v="1"/>
    <n v="0"/>
    <n v="0"/>
    <n v="0"/>
    <n v="0"/>
    <n v="1"/>
    <n v="5.1603899804901765"/>
    <n v="0.17778840383009531"/>
    <x v="2"/>
    <n v="0"/>
  </r>
  <r>
    <x v="250"/>
    <x v="2"/>
    <x v="1"/>
    <n v="504"/>
    <x v="1"/>
    <n v="10"/>
    <n v="3"/>
    <x v="2"/>
    <n v="1"/>
    <x v="1"/>
    <n v="61"/>
    <n v="3"/>
    <n v="3"/>
    <x v="3"/>
    <n v="3"/>
    <x v="2"/>
    <x v="244"/>
    <n v="22573"/>
    <n v="6"/>
    <x v="1"/>
    <n v="0.11"/>
    <n v="3"/>
    <n v="2"/>
    <n v="2"/>
    <n v="17"/>
    <n v="5"/>
    <n v="3"/>
    <x v="6"/>
    <n v="0"/>
    <n v="0"/>
    <n v="0"/>
    <x v="0"/>
    <n v="1"/>
    <n v="2"/>
    <n v="2"/>
    <n v="0"/>
    <n v="0"/>
    <n v="0"/>
    <n v="0"/>
    <n v="1"/>
    <n v="5.1603899804901765"/>
    <n v="0.17778840383009531"/>
    <x v="2"/>
    <n v="0"/>
  </r>
  <r>
    <x v="251"/>
    <x v="22"/>
    <x v="1"/>
    <n v="505"/>
    <x v="1"/>
    <n v="2"/>
    <n v="4"/>
    <x v="4"/>
    <n v="3"/>
    <x v="0"/>
    <n v="64"/>
    <n v="3"/>
    <n v="3"/>
    <x v="4"/>
    <n v="3"/>
    <x v="0"/>
    <x v="245"/>
    <n v="6420"/>
    <n v="0"/>
    <x v="1"/>
    <n v="0.25"/>
    <n v="4"/>
    <n v="4"/>
    <n v="0"/>
    <n v="20"/>
    <n v="1"/>
    <n v="3"/>
    <x v="27"/>
    <n v="6"/>
    <n v="11"/>
    <n v="8"/>
    <x v="1"/>
    <n v="0"/>
    <n v="2"/>
    <n v="0"/>
    <n v="0"/>
    <n v="0"/>
    <n v="0"/>
    <n v="0"/>
    <n v="1"/>
    <n v="5.1603899804901765"/>
    <n v="0.17778840383009531"/>
    <x v="2"/>
    <n v="0"/>
  </r>
  <r>
    <x v="252"/>
    <x v="11"/>
    <x v="0"/>
    <n v="665"/>
    <x v="1"/>
    <n v="15"/>
    <n v="3"/>
    <x v="0"/>
    <n v="3"/>
    <x v="1"/>
    <n v="60"/>
    <n v="3"/>
    <n v="1"/>
    <x v="1"/>
    <n v="4"/>
    <x v="0"/>
    <x v="246"/>
    <n v="22673"/>
    <n v="1"/>
    <x v="1"/>
    <n v="0.19"/>
    <n v="3"/>
    <n v="1"/>
    <n v="0"/>
    <n v="6"/>
    <n v="1"/>
    <n v="3"/>
    <x v="0"/>
    <n v="5"/>
    <n v="1"/>
    <n v="5"/>
    <x v="1"/>
    <n v="1"/>
    <n v="1"/>
    <n v="0"/>
    <n v="0"/>
    <n v="0"/>
    <n v="0"/>
    <n v="1"/>
    <n v="0"/>
    <n v="6.4944289374208282"/>
    <n v="0.22374939857982484"/>
    <x v="2"/>
    <n v="0"/>
  </r>
  <r>
    <x v="253"/>
    <x v="19"/>
    <x v="0"/>
    <n v="916"/>
    <x v="1"/>
    <n v="17"/>
    <n v="2"/>
    <x v="0"/>
    <n v="4"/>
    <x v="0"/>
    <n v="82"/>
    <n v="4"/>
    <n v="2"/>
    <x v="1"/>
    <n v="1"/>
    <x v="0"/>
    <x v="247"/>
    <n v="23016"/>
    <n v="3"/>
    <x v="0"/>
    <n v="0.13"/>
    <n v="3"/>
    <n v="3"/>
    <n v="0"/>
    <n v="10"/>
    <n v="1"/>
    <n v="3"/>
    <x v="11"/>
    <n v="2"/>
    <n v="0"/>
    <n v="2"/>
    <x v="1"/>
    <n v="0"/>
    <n v="1"/>
    <n v="0"/>
    <n v="1"/>
    <n v="1"/>
    <n v="1"/>
    <n v="0"/>
    <n v="0"/>
    <n v="17.370639825853509"/>
    <n v="0.59846219759007979"/>
    <x v="1"/>
    <n v="9817.5"/>
  </r>
  <r>
    <x v="254"/>
    <x v="11"/>
    <x v="0"/>
    <n v="1247"/>
    <x v="0"/>
    <n v="20"/>
    <n v="2"/>
    <x v="3"/>
    <n v="4"/>
    <x v="1"/>
    <n v="45"/>
    <n v="3"/>
    <n v="2"/>
    <x v="0"/>
    <n v="4"/>
    <x v="2"/>
    <x v="248"/>
    <n v="10732"/>
    <n v="2"/>
    <x v="1"/>
    <n v="0.14000000000000001"/>
    <n v="3"/>
    <n v="4"/>
    <n v="1"/>
    <n v="10"/>
    <n v="2"/>
    <n v="3"/>
    <x v="11"/>
    <n v="2"/>
    <n v="0"/>
    <n v="2"/>
    <x v="1"/>
    <n v="1"/>
    <n v="1"/>
    <n v="2"/>
    <n v="0"/>
    <n v="1"/>
    <n v="0"/>
    <n v="0"/>
    <n v="0"/>
    <n v="3.1661066958753779"/>
    <n v="0.10908033267710357"/>
    <x v="2"/>
    <n v="0"/>
  </r>
  <r>
    <x v="255"/>
    <x v="36"/>
    <x v="0"/>
    <n v="685"/>
    <x v="1"/>
    <n v="1"/>
    <n v="3"/>
    <x v="0"/>
    <n v="1"/>
    <x v="0"/>
    <n v="62"/>
    <n v="3"/>
    <n v="2"/>
    <x v="3"/>
    <n v="3"/>
    <x v="1"/>
    <x v="249"/>
    <n v="7505"/>
    <n v="0"/>
    <x v="1"/>
    <n v="0.12"/>
    <n v="3"/>
    <n v="4"/>
    <n v="2"/>
    <n v="5"/>
    <n v="3"/>
    <n v="3"/>
    <x v="9"/>
    <n v="2"/>
    <n v="1"/>
    <n v="2"/>
    <x v="1"/>
    <n v="0"/>
    <n v="1"/>
    <n v="1"/>
    <n v="0"/>
    <n v="0"/>
    <n v="0"/>
    <n v="1"/>
    <n v="0"/>
    <n v="6.4944289374208282"/>
    <n v="0.22374939857982484"/>
    <x v="2"/>
    <n v="0"/>
  </r>
  <r>
    <x v="256"/>
    <x v="19"/>
    <x v="0"/>
    <n v="269"/>
    <x v="1"/>
    <n v="2"/>
    <n v="3"/>
    <x v="2"/>
    <n v="4"/>
    <x v="0"/>
    <n v="56"/>
    <n v="2"/>
    <n v="1"/>
    <x v="2"/>
    <n v="1"/>
    <x v="2"/>
    <x v="250"/>
    <n v="8007"/>
    <n v="0"/>
    <x v="0"/>
    <n v="0.11"/>
    <n v="3"/>
    <n v="3"/>
    <n v="1"/>
    <n v="10"/>
    <n v="4"/>
    <n v="3"/>
    <x v="7"/>
    <n v="6"/>
    <n v="7"/>
    <n v="8"/>
    <x v="1"/>
    <n v="0"/>
    <n v="1"/>
    <n v="2"/>
    <n v="1"/>
    <n v="0"/>
    <n v="1"/>
    <n v="1"/>
    <n v="0"/>
    <n v="20.698962067398959"/>
    <n v="0.71313126349280109"/>
    <x v="1"/>
    <n v="3889.5"/>
  </r>
  <r>
    <x v="257"/>
    <x v="32"/>
    <x v="0"/>
    <n v="1416"/>
    <x v="1"/>
    <n v="2"/>
    <n v="2"/>
    <x v="2"/>
    <n v="1"/>
    <x v="1"/>
    <n v="49"/>
    <n v="3"/>
    <n v="5"/>
    <x v="7"/>
    <n v="3"/>
    <x v="2"/>
    <x v="251"/>
    <n v="5949"/>
    <n v="0"/>
    <x v="1"/>
    <n v="0.19"/>
    <n v="3"/>
    <n v="4"/>
    <n v="1"/>
    <n v="22"/>
    <n v="5"/>
    <n v="3"/>
    <x v="17"/>
    <n v="7"/>
    <n v="3"/>
    <n v="9"/>
    <x v="1"/>
    <n v="1"/>
    <n v="1"/>
    <n v="2"/>
    <n v="0"/>
    <n v="0"/>
    <n v="0"/>
    <n v="0"/>
    <n v="0"/>
    <n v="0"/>
    <n v="0"/>
    <x v="2"/>
    <n v="0"/>
  </r>
  <r>
    <x v="258"/>
    <x v="31"/>
    <x v="0"/>
    <n v="833"/>
    <x v="1"/>
    <n v="1"/>
    <n v="3"/>
    <x v="0"/>
    <n v="3"/>
    <x v="1"/>
    <n v="96"/>
    <n v="3"/>
    <n v="1"/>
    <x v="1"/>
    <n v="4"/>
    <x v="1"/>
    <x v="252"/>
    <n v="23231"/>
    <n v="1"/>
    <x v="1"/>
    <n v="0.11"/>
    <n v="3"/>
    <n v="2"/>
    <n v="0"/>
    <n v="1"/>
    <n v="0"/>
    <n v="2"/>
    <x v="6"/>
    <n v="0"/>
    <n v="0"/>
    <n v="0"/>
    <x v="1"/>
    <n v="1"/>
    <n v="1"/>
    <n v="1"/>
    <n v="0"/>
    <n v="0"/>
    <n v="0"/>
    <n v="1"/>
    <n v="0"/>
    <n v="6.4944289374208282"/>
    <n v="0.22374939857982484"/>
    <x v="2"/>
    <n v="0"/>
  </r>
  <r>
    <x v="259"/>
    <x v="12"/>
    <x v="1"/>
    <n v="307"/>
    <x v="1"/>
    <n v="29"/>
    <n v="2"/>
    <x v="2"/>
    <n v="3"/>
    <x v="1"/>
    <n v="71"/>
    <n v="2"/>
    <n v="1"/>
    <x v="2"/>
    <n v="2"/>
    <x v="0"/>
    <x v="253"/>
    <n v="11652"/>
    <n v="0"/>
    <x v="1"/>
    <n v="0.11"/>
    <n v="3"/>
    <n v="2"/>
    <n v="0"/>
    <n v="6"/>
    <n v="2"/>
    <n v="4"/>
    <x v="8"/>
    <n v="4"/>
    <n v="1"/>
    <n v="4"/>
    <x v="0"/>
    <n v="1"/>
    <n v="2"/>
    <n v="0"/>
    <n v="0"/>
    <n v="1"/>
    <n v="1"/>
    <n v="1"/>
    <n v="1"/>
    <n v="19.025458743764514"/>
    <n v="0.65547486817419276"/>
    <x v="1"/>
    <n v="5218.5"/>
  </r>
  <r>
    <x v="260"/>
    <x v="5"/>
    <x v="1"/>
    <n v="1311"/>
    <x v="1"/>
    <n v="7"/>
    <n v="3"/>
    <x v="0"/>
    <n v="2"/>
    <x v="1"/>
    <n v="100"/>
    <n v="4"/>
    <n v="1"/>
    <x v="2"/>
    <n v="2"/>
    <x v="1"/>
    <x v="254"/>
    <n v="26062"/>
    <n v="1"/>
    <x v="1"/>
    <n v="0.2"/>
    <n v="4"/>
    <n v="3"/>
    <n v="0"/>
    <n v="5"/>
    <n v="3"/>
    <n v="1"/>
    <x v="8"/>
    <n v="1"/>
    <n v="0"/>
    <n v="3"/>
    <x v="1"/>
    <n v="1"/>
    <n v="2"/>
    <n v="1"/>
    <n v="0"/>
    <n v="0"/>
    <n v="1"/>
    <n v="1"/>
    <n v="1"/>
    <n v="15.859352047889136"/>
    <n v="0.54639453549708916"/>
    <x v="1"/>
    <n v="4191"/>
  </r>
  <r>
    <x v="261"/>
    <x v="8"/>
    <x v="2"/>
    <n v="1327"/>
    <x v="0"/>
    <n v="2"/>
    <n v="2"/>
    <x v="0"/>
    <n v="4"/>
    <x v="1"/>
    <n v="39"/>
    <n v="2"/>
    <n v="2"/>
    <x v="0"/>
    <n v="4"/>
    <x v="1"/>
    <x v="255"/>
    <n v="19682"/>
    <n v="3"/>
    <x v="1"/>
    <n v="0.18"/>
    <n v="3"/>
    <n v="4"/>
    <n v="1"/>
    <n v="13"/>
    <n v="0"/>
    <n v="3"/>
    <x v="3"/>
    <n v="7"/>
    <n v="7"/>
    <n v="5"/>
    <x v="1"/>
    <n v="1"/>
    <n v="0"/>
    <n v="1"/>
    <n v="0"/>
    <n v="0"/>
    <n v="0"/>
    <n v="0"/>
    <n v="0"/>
    <n v="0"/>
    <n v="0"/>
    <x v="2"/>
    <n v="0"/>
  </r>
  <r>
    <x v="262"/>
    <x v="5"/>
    <x v="0"/>
    <n v="128"/>
    <x v="1"/>
    <n v="2"/>
    <n v="1"/>
    <x v="4"/>
    <n v="4"/>
    <x v="1"/>
    <n v="84"/>
    <n v="2"/>
    <n v="2"/>
    <x v="2"/>
    <n v="1"/>
    <x v="0"/>
    <x v="256"/>
    <n v="19737"/>
    <n v="4"/>
    <x v="1"/>
    <n v="0.13"/>
    <n v="3"/>
    <n v="4"/>
    <n v="0"/>
    <n v="9"/>
    <n v="5"/>
    <n v="3"/>
    <x v="0"/>
    <n v="2"/>
    <n v="0"/>
    <n v="4"/>
    <x v="1"/>
    <n v="1"/>
    <n v="1"/>
    <n v="0"/>
    <n v="0"/>
    <n v="0"/>
    <n v="1"/>
    <n v="1"/>
    <n v="0"/>
    <n v="10.698962067398959"/>
    <n v="0.3686061316669938"/>
    <x v="0"/>
    <n v="0"/>
  </r>
  <r>
    <x v="263"/>
    <x v="21"/>
    <x v="0"/>
    <n v="488"/>
    <x v="0"/>
    <n v="2"/>
    <n v="3"/>
    <x v="4"/>
    <n v="3"/>
    <x v="0"/>
    <n v="75"/>
    <n v="1"/>
    <n v="4"/>
    <x v="5"/>
    <n v="2"/>
    <x v="1"/>
    <x v="257"/>
    <n v="14977"/>
    <n v="3"/>
    <x v="0"/>
    <n v="0.12"/>
    <n v="3"/>
    <n v="2"/>
    <n v="1"/>
    <n v="28"/>
    <n v="2"/>
    <n v="2"/>
    <x v="5"/>
    <n v="7"/>
    <n v="7"/>
    <n v="7"/>
    <x v="1"/>
    <n v="0"/>
    <n v="1"/>
    <n v="1"/>
    <n v="1"/>
    <n v="0"/>
    <n v="1"/>
    <n v="0"/>
    <n v="0"/>
    <n v="14.204533129978131"/>
    <n v="0.48938186491297625"/>
    <x v="0"/>
    <n v="0"/>
  </r>
  <r>
    <x v="264"/>
    <x v="14"/>
    <x v="0"/>
    <n v="529"/>
    <x v="1"/>
    <n v="2"/>
    <n v="4"/>
    <x v="0"/>
    <n v="1"/>
    <x v="1"/>
    <n v="79"/>
    <n v="3"/>
    <n v="1"/>
    <x v="2"/>
    <n v="3"/>
    <x v="0"/>
    <x v="258"/>
    <n v="14935"/>
    <n v="2"/>
    <x v="1"/>
    <n v="0.11"/>
    <n v="3"/>
    <n v="3"/>
    <n v="0"/>
    <n v="5"/>
    <n v="5"/>
    <n v="1"/>
    <x v="2"/>
    <n v="0"/>
    <n v="0"/>
    <n v="0"/>
    <x v="0"/>
    <n v="1"/>
    <n v="1"/>
    <n v="0"/>
    <n v="0"/>
    <n v="0"/>
    <n v="0"/>
    <n v="1"/>
    <n v="0"/>
    <n v="6.4944289374208282"/>
    <n v="0.22374939857982484"/>
    <x v="2"/>
    <n v="0"/>
  </r>
  <r>
    <x v="265"/>
    <x v="11"/>
    <x v="0"/>
    <n v="1210"/>
    <x v="0"/>
    <n v="2"/>
    <n v="3"/>
    <x v="2"/>
    <n v="1"/>
    <x v="1"/>
    <n v="78"/>
    <n v="2"/>
    <n v="2"/>
    <x v="0"/>
    <n v="2"/>
    <x v="1"/>
    <x v="259"/>
    <n v="3687"/>
    <n v="2"/>
    <x v="1"/>
    <n v="0.19"/>
    <n v="3"/>
    <n v="2"/>
    <n v="2"/>
    <n v="10"/>
    <n v="2"/>
    <n v="3"/>
    <x v="2"/>
    <n v="0"/>
    <n v="0"/>
    <n v="0"/>
    <x v="1"/>
    <n v="1"/>
    <n v="1"/>
    <n v="1"/>
    <n v="0"/>
    <n v="0"/>
    <n v="1"/>
    <n v="0"/>
    <n v="0"/>
    <n v="4.204533129978131"/>
    <n v="0.14485673308716898"/>
    <x v="2"/>
    <n v="0"/>
  </r>
  <r>
    <x v="266"/>
    <x v="12"/>
    <x v="0"/>
    <n v="1463"/>
    <x v="1"/>
    <n v="23"/>
    <n v="3"/>
    <x v="2"/>
    <n v="2"/>
    <x v="1"/>
    <n v="64"/>
    <n v="2"/>
    <n v="2"/>
    <x v="4"/>
    <n v="4"/>
    <x v="1"/>
    <x v="260"/>
    <n v="14408"/>
    <n v="0"/>
    <x v="1"/>
    <n v="0.21"/>
    <n v="4"/>
    <n v="2"/>
    <n v="1"/>
    <n v="10"/>
    <n v="2"/>
    <n v="3"/>
    <x v="7"/>
    <n v="0"/>
    <n v="7"/>
    <n v="8"/>
    <x v="1"/>
    <n v="1"/>
    <n v="1"/>
    <n v="1"/>
    <n v="0"/>
    <n v="1"/>
    <n v="0"/>
    <n v="0"/>
    <n v="0"/>
    <n v="3.1661066958753779"/>
    <n v="0.10908033267710357"/>
    <x v="2"/>
    <n v="0"/>
  </r>
  <r>
    <x v="267"/>
    <x v="36"/>
    <x v="2"/>
    <n v="675"/>
    <x v="1"/>
    <n v="5"/>
    <n v="2"/>
    <x v="0"/>
    <n v="2"/>
    <x v="1"/>
    <n v="85"/>
    <n v="4"/>
    <n v="2"/>
    <x v="4"/>
    <n v="1"/>
    <x v="2"/>
    <x v="261"/>
    <n v="18384"/>
    <n v="1"/>
    <x v="1"/>
    <n v="0.12"/>
    <n v="3"/>
    <n v="4"/>
    <n v="2"/>
    <n v="6"/>
    <n v="2"/>
    <n v="3"/>
    <x v="0"/>
    <n v="3"/>
    <n v="1"/>
    <n v="5"/>
    <x v="1"/>
    <n v="1"/>
    <n v="0"/>
    <n v="2"/>
    <n v="0"/>
    <n v="0"/>
    <n v="1"/>
    <n v="1"/>
    <n v="0"/>
    <n v="10.698962067398959"/>
    <n v="0.3686061316669938"/>
    <x v="0"/>
    <n v="0"/>
  </r>
  <r>
    <x v="268"/>
    <x v="28"/>
    <x v="0"/>
    <n v="1385"/>
    <x v="1"/>
    <n v="20"/>
    <n v="2"/>
    <x v="2"/>
    <n v="3"/>
    <x v="1"/>
    <n v="79"/>
    <n v="3"/>
    <n v="4"/>
    <x v="4"/>
    <n v="4"/>
    <x v="1"/>
    <x v="262"/>
    <n v="7501"/>
    <n v="0"/>
    <x v="0"/>
    <n v="0.14000000000000001"/>
    <n v="3"/>
    <n v="2"/>
    <n v="0"/>
    <n v="21"/>
    <n v="2"/>
    <n v="3"/>
    <x v="23"/>
    <n v="7"/>
    <n v="4"/>
    <n v="10"/>
    <x v="1"/>
    <n v="1"/>
    <n v="1"/>
    <n v="1"/>
    <n v="1"/>
    <n v="1"/>
    <n v="0"/>
    <n v="0"/>
    <n v="0"/>
    <n v="13.166106695875378"/>
    <n v="0.45360546450291089"/>
    <x v="0"/>
    <n v="0"/>
  </r>
  <r>
    <x v="269"/>
    <x v="9"/>
    <x v="0"/>
    <n v="1403"/>
    <x v="1"/>
    <n v="6"/>
    <n v="3"/>
    <x v="0"/>
    <n v="4"/>
    <x v="1"/>
    <n v="47"/>
    <n v="3"/>
    <n v="1"/>
    <x v="2"/>
    <n v="4"/>
    <x v="1"/>
    <x v="263"/>
    <n v="20251"/>
    <n v="0"/>
    <x v="1"/>
    <n v="0.11"/>
    <n v="3"/>
    <n v="3"/>
    <n v="1"/>
    <n v="16"/>
    <n v="4"/>
    <n v="3"/>
    <x v="15"/>
    <n v="13"/>
    <n v="10"/>
    <n v="11"/>
    <x v="1"/>
    <n v="1"/>
    <n v="1"/>
    <n v="1"/>
    <n v="0"/>
    <n v="0"/>
    <n v="0"/>
    <n v="1"/>
    <n v="0"/>
    <n v="6.4944289374208282"/>
    <n v="0.22374939857982484"/>
    <x v="2"/>
    <n v="0"/>
  </r>
  <r>
    <x v="270"/>
    <x v="27"/>
    <x v="0"/>
    <n v="452"/>
    <x v="1"/>
    <n v="1"/>
    <n v="3"/>
    <x v="2"/>
    <n v="4"/>
    <x v="1"/>
    <n v="81"/>
    <n v="3"/>
    <n v="5"/>
    <x v="5"/>
    <n v="1"/>
    <x v="0"/>
    <x v="264"/>
    <n v="18938"/>
    <n v="0"/>
    <x v="0"/>
    <n v="0.14000000000000001"/>
    <n v="3"/>
    <n v="3"/>
    <n v="0"/>
    <n v="37"/>
    <n v="2"/>
    <n v="3"/>
    <x v="28"/>
    <n v="10"/>
    <n v="4"/>
    <n v="13"/>
    <x v="1"/>
    <n v="1"/>
    <n v="1"/>
    <n v="0"/>
    <n v="1"/>
    <n v="0"/>
    <n v="1"/>
    <n v="0"/>
    <n v="0"/>
    <n v="14.204533129978131"/>
    <n v="0.48938186491297625"/>
    <x v="0"/>
    <n v="0"/>
  </r>
  <r>
    <x v="271"/>
    <x v="40"/>
    <x v="2"/>
    <n v="666"/>
    <x v="1"/>
    <n v="29"/>
    <n v="4"/>
    <x v="0"/>
    <n v="1"/>
    <x v="1"/>
    <n v="88"/>
    <n v="3"/>
    <n v="3"/>
    <x v="5"/>
    <n v="2"/>
    <x v="1"/>
    <x v="265"/>
    <n v="10268"/>
    <n v="1"/>
    <x v="0"/>
    <n v="0.12"/>
    <n v="3"/>
    <n v="4"/>
    <n v="1"/>
    <n v="10"/>
    <n v="2"/>
    <n v="2"/>
    <x v="1"/>
    <n v="7"/>
    <n v="9"/>
    <n v="9"/>
    <x v="0"/>
    <n v="1"/>
    <n v="0"/>
    <n v="1"/>
    <n v="1"/>
    <n v="1"/>
    <n v="1"/>
    <n v="0"/>
    <n v="0"/>
    <n v="17.370639825853509"/>
    <n v="0.59846219759007979"/>
    <x v="1"/>
    <n v="17773.5"/>
  </r>
  <r>
    <x v="272"/>
    <x v="14"/>
    <x v="0"/>
    <n v="1158"/>
    <x v="1"/>
    <n v="9"/>
    <n v="3"/>
    <x v="2"/>
    <n v="4"/>
    <x v="1"/>
    <n v="94"/>
    <n v="3"/>
    <n v="1"/>
    <x v="1"/>
    <n v="4"/>
    <x v="1"/>
    <x v="266"/>
    <n v="2613"/>
    <n v="1"/>
    <x v="1"/>
    <n v="0.23"/>
    <n v="4"/>
    <n v="4"/>
    <n v="1"/>
    <n v="5"/>
    <n v="3"/>
    <n v="2"/>
    <x v="8"/>
    <n v="2"/>
    <n v="0"/>
    <n v="4"/>
    <x v="1"/>
    <n v="1"/>
    <n v="1"/>
    <n v="1"/>
    <n v="0"/>
    <n v="0"/>
    <n v="0"/>
    <n v="1"/>
    <n v="0"/>
    <n v="6.4944289374208282"/>
    <n v="0.22374939857982484"/>
    <x v="2"/>
    <n v="0"/>
  </r>
  <r>
    <x v="273"/>
    <x v="2"/>
    <x v="0"/>
    <n v="228"/>
    <x v="0"/>
    <n v="6"/>
    <n v="4"/>
    <x v="2"/>
    <n v="3"/>
    <x v="1"/>
    <n v="98"/>
    <n v="3"/>
    <n v="2"/>
    <x v="0"/>
    <n v="4"/>
    <x v="1"/>
    <x v="267"/>
    <n v="22825"/>
    <n v="4"/>
    <x v="1"/>
    <n v="0.14000000000000001"/>
    <n v="3"/>
    <n v="2"/>
    <n v="1"/>
    <n v="7"/>
    <n v="5"/>
    <n v="4"/>
    <x v="8"/>
    <n v="4"/>
    <n v="0"/>
    <n v="1"/>
    <x v="1"/>
    <n v="1"/>
    <n v="1"/>
    <n v="1"/>
    <n v="0"/>
    <n v="0"/>
    <n v="0"/>
    <n v="0"/>
    <n v="0"/>
    <n v="0"/>
    <n v="0"/>
    <x v="2"/>
    <n v="0"/>
  </r>
  <r>
    <x v="274"/>
    <x v="18"/>
    <x v="0"/>
    <n v="996"/>
    <x v="1"/>
    <n v="3"/>
    <n v="2"/>
    <x v="2"/>
    <n v="4"/>
    <x v="1"/>
    <n v="100"/>
    <n v="2"/>
    <n v="1"/>
    <x v="1"/>
    <n v="3"/>
    <x v="0"/>
    <x v="268"/>
    <n v="10531"/>
    <n v="1"/>
    <x v="1"/>
    <n v="0.17"/>
    <n v="3"/>
    <n v="1"/>
    <n v="0"/>
    <n v="3"/>
    <n v="4"/>
    <n v="4"/>
    <x v="11"/>
    <n v="2"/>
    <n v="1"/>
    <n v="0"/>
    <x v="1"/>
    <n v="1"/>
    <n v="1"/>
    <n v="0"/>
    <n v="0"/>
    <n v="0"/>
    <n v="0"/>
    <n v="1"/>
    <n v="0"/>
    <n v="6.4944289374208282"/>
    <n v="0.22374939857982484"/>
    <x v="2"/>
    <n v="0"/>
  </r>
  <r>
    <x v="275"/>
    <x v="2"/>
    <x v="2"/>
    <n v="728"/>
    <x v="1"/>
    <n v="1"/>
    <n v="4"/>
    <x v="2"/>
    <n v="1"/>
    <x v="0"/>
    <n v="80"/>
    <n v="3"/>
    <n v="3"/>
    <x v="7"/>
    <n v="4"/>
    <x v="2"/>
    <x v="269"/>
    <n v="11677"/>
    <n v="2"/>
    <x v="0"/>
    <n v="0.18"/>
    <n v="3"/>
    <n v="1"/>
    <n v="2"/>
    <n v="15"/>
    <n v="2"/>
    <n v="3"/>
    <x v="8"/>
    <n v="2"/>
    <n v="0"/>
    <n v="2"/>
    <x v="1"/>
    <n v="0"/>
    <n v="0"/>
    <n v="2"/>
    <n v="1"/>
    <n v="0"/>
    <n v="0"/>
    <n v="0"/>
    <n v="0"/>
    <n v="10"/>
    <n v="0.3445251318258073"/>
    <x v="0"/>
    <n v="0"/>
  </r>
  <r>
    <x v="276"/>
    <x v="10"/>
    <x v="0"/>
    <n v="1315"/>
    <x v="1"/>
    <n v="22"/>
    <n v="3"/>
    <x v="0"/>
    <n v="2"/>
    <x v="0"/>
    <n v="71"/>
    <n v="4"/>
    <n v="3"/>
    <x v="5"/>
    <n v="2"/>
    <x v="2"/>
    <x v="270"/>
    <n v="19100"/>
    <n v="7"/>
    <x v="1"/>
    <n v="0.18"/>
    <n v="3"/>
    <n v="2"/>
    <n v="1"/>
    <n v="10"/>
    <n v="6"/>
    <n v="2"/>
    <x v="5"/>
    <n v="7"/>
    <n v="6"/>
    <n v="2"/>
    <x v="1"/>
    <n v="0"/>
    <n v="1"/>
    <n v="2"/>
    <n v="0"/>
    <n v="1"/>
    <n v="1"/>
    <n v="0"/>
    <n v="0"/>
    <n v="7.3706398258535089"/>
    <n v="0.25393706576427255"/>
    <x v="0"/>
    <n v="0"/>
  </r>
  <r>
    <x v="277"/>
    <x v="8"/>
    <x v="0"/>
    <n v="322"/>
    <x v="0"/>
    <n v="7"/>
    <n v="2"/>
    <x v="2"/>
    <n v="1"/>
    <x v="0"/>
    <n v="44"/>
    <n v="4"/>
    <n v="2"/>
    <x v="0"/>
    <n v="1"/>
    <x v="2"/>
    <x v="147"/>
    <n v="19191"/>
    <n v="1"/>
    <x v="0"/>
    <n v="0.24"/>
    <n v="4"/>
    <n v="3"/>
    <n v="1"/>
    <n v="8"/>
    <n v="3"/>
    <n v="3"/>
    <x v="3"/>
    <n v="0"/>
    <n v="7"/>
    <n v="7"/>
    <x v="1"/>
    <n v="0"/>
    <n v="1"/>
    <n v="2"/>
    <n v="1"/>
    <n v="0"/>
    <n v="1"/>
    <n v="0"/>
    <n v="0"/>
    <n v="14.204533129978131"/>
    <n v="0.48938186491297625"/>
    <x v="0"/>
    <n v="0"/>
  </r>
  <r>
    <x v="278"/>
    <x v="25"/>
    <x v="1"/>
    <n v="1479"/>
    <x v="1"/>
    <n v="1"/>
    <n v="3"/>
    <x v="0"/>
    <n v="3"/>
    <x v="0"/>
    <n v="84"/>
    <n v="3"/>
    <n v="2"/>
    <x v="3"/>
    <n v="2"/>
    <x v="2"/>
    <x v="271"/>
    <n v="26767"/>
    <n v="1"/>
    <x v="1"/>
    <n v="0.2"/>
    <n v="4"/>
    <n v="1"/>
    <n v="1"/>
    <n v="6"/>
    <n v="6"/>
    <n v="1"/>
    <x v="0"/>
    <n v="5"/>
    <n v="1"/>
    <n v="4"/>
    <x v="1"/>
    <n v="0"/>
    <n v="2"/>
    <n v="2"/>
    <n v="0"/>
    <n v="0"/>
    <n v="1"/>
    <n v="0"/>
    <n v="1"/>
    <n v="9.3649231104683075"/>
    <n v="0.32264513691726432"/>
    <x v="0"/>
    <n v="0"/>
  </r>
  <r>
    <x v="279"/>
    <x v="24"/>
    <x v="0"/>
    <n v="797"/>
    <x v="1"/>
    <n v="4"/>
    <n v="1"/>
    <x v="0"/>
    <n v="1"/>
    <x v="1"/>
    <n v="96"/>
    <n v="3"/>
    <n v="5"/>
    <x v="7"/>
    <n v="2"/>
    <x v="2"/>
    <x v="272"/>
    <n v="15815"/>
    <n v="3"/>
    <x v="1"/>
    <n v="0.14000000000000001"/>
    <n v="3"/>
    <n v="1"/>
    <n v="2"/>
    <n v="28"/>
    <n v="4"/>
    <n v="2"/>
    <x v="1"/>
    <n v="4"/>
    <n v="1"/>
    <n v="6"/>
    <x v="1"/>
    <n v="1"/>
    <n v="1"/>
    <n v="2"/>
    <n v="0"/>
    <n v="0"/>
    <n v="1"/>
    <n v="0"/>
    <n v="0"/>
    <n v="4.204533129978131"/>
    <n v="0.14485673308716898"/>
    <x v="2"/>
    <n v="0"/>
  </r>
  <r>
    <x v="280"/>
    <x v="16"/>
    <x v="0"/>
    <n v="1070"/>
    <x v="1"/>
    <n v="3"/>
    <n v="4"/>
    <x v="2"/>
    <n v="3"/>
    <x v="1"/>
    <n v="45"/>
    <n v="3"/>
    <n v="4"/>
    <x v="7"/>
    <n v="3"/>
    <x v="1"/>
    <x v="273"/>
    <n v="21016"/>
    <n v="3"/>
    <x v="0"/>
    <n v="0.16"/>
    <n v="3"/>
    <n v="4"/>
    <n v="3"/>
    <n v="21"/>
    <n v="5"/>
    <n v="2"/>
    <x v="8"/>
    <n v="3"/>
    <n v="1"/>
    <n v="3"/>
    <x v="1"/>
    <n v="1"/>
    <n v="1"/>
    <n v="1"/>
    <n v="1"/>
    <n v="0"/>
    <n v="0"/>
    <n v="0"/>
    <n v="0"/>
    <n v="10"/>
    <n v="0.3445251318258073"/>
    <x v="0"/>
    <n v="0"/>
  </r>
  <r>
    <x v="281"/>
    <x v="19"/>
    <x v="0"/>
    <n v="635"/>
    <x v="0"/>
    <n v="1"/>
    <n v="1"/>
    <x v="0"/>
    <n v="2"/>
    <x v="1"/>
    <n v="99"/>
    <n v="3"/>
    <n v="2"/>
    <x v="0"/>
    <n v="3"/>
    <x v="1"/>
    <x v="274"/>
    <n v="24532"/>
    <n v="1"/>
    <x v="1"/>
    <n v="0.25"/>
    <n v="4"/>
    <n v="3"/>
    <n v="0"/>
    <n v="20"/>
    <n v="3"/>
    <n v="3"/>
    <x v="23"/>
    <n v="16"/>
    <n v="11"/>
    <n v="6"/>
    <x v="1"/>
    <n v="1"/>
    <n v="1"/>
    <n v="1"/>
    <n v="0"/>
    <n v="0"/>
    <n v="0"/>
    <n v="1"/>
    <n v="0"/>
    <n v="6.4944289374208282"/>
    <n v="0.22374939857982484"/>
    <x v="2"/>
    <n v="0"/>
  </r>
  <r>
    <x v="282"/>
    <x v="11"/>
    <x v="1"/>
    <n v="442"/>
    <x v="0"/>
    <n v="2"/>
    <n v="2"/>
    <x v="0"/>
    <n v="2"/>
    <x v="1"/>
    <n v="44"/>
    <n v="3"/>
    <n v="2"/>
    <x v="0"/>
    <n v="4"/>
    <x v="0"/>
    <x v="275"/>
    <n v="20260"/>
    <n v="1"/>
    <x v="1"/>
    <n v="0.18"/>
    <n v="3"/>
    <n v="1"/>
    <n v="0"/>
    <n v="10"/>
    <n v="3"/>
    <n v="2"/>
    <x v="1"/>
    <n v="7"/>
    <n v="0"/>
    <n v="9"/>
    <x v="1"/>
    <n v="1"/>
    <n v="2"/>
    <n v="0"/>
    <n v="0"/>
    <n v="0"/>
    <n v="0"/>
    <n v="1"/>
    <n v="1"/>
    <n v="11.654818917911005"/>
    <n v="0.40153780240992015"/>
    <x v="0"/>
    <n v="0"/>
  </r>
  <r>
    <x v="283"/>
    <x v="27"/>
    <x v="0"/>
    <n v="147"/>
    <x v="1"/>
    <n v="20"/>
    <n v="2"/>
    <x v="4"/>
    <n v="2"/>
    <x v="1"/>
    <n v="37"/>
    <n v="3"/>
    <n v="2"/>
    <x v="2"/>
    <n v="4"/>
    <x v="1"/>
    <x v="276"/>
    <n v="15972"/>
    <n v="3"/>
    <x v="0"/>
    <n v="0.19"/>
    <n v="3"/>
    <n v="4"/>
    <n v="1"/>
    <n v="12"/>
    <n v="4"/>
    <n v="3"/>
    <x v="1"/>
    <n v="7"/>
    <n v="0"/>
    <n v="8"/>
    <x v="1"/>
    <n v="1"/>
    <n v="1"/>
    <n v="1"/>
    <n v="1"/>
    <n v="1"/>
    <n v="0"/>
    <n v="0"/>
    <n v="0"/>
    <n v="13.166106695875378"/>
    <n v="0.45360546450291089"/>
    <x v="0"/>
    <n v="0"/>
  </r>
  <r>
    <x v="284"/>
    <x v="25"/>
    <x v="1"/>
    <n v="496"/>
    <x v="1"/>
    <n v="11"/>
    <n v="2"/>
    <x v="2"/>
    <n v="1"/>
    <x v="1"/>
    <n v="60"/>
    <n v="3"/>
    <n v="2"/>
    <x v="4"/>
    <n v="1"/>
    <x v="1"/>
    <x v="277"/>
    <n v="22722"/>
    <n v="1"/>
    <x v="0"/>
    <n v="0.13"/>
    <n v="3"/>
    <n v="3"/>
    <n v="1"/>
    <n v="5"/>
    <n v="3"/>
    <n v="3"/>
    <x v="8"/>
    <n v="3"/>
    <n v="3"/>
    <n v="3"/>
    <x v="1"/>
    <n v="1"/>
    <n v="2"/>
    <n v="1"/>
    <n v="1"/>
    <n v="0"/>
    <n v="1"/>
    <n v="1"/>
    <n v="1"/>
    <n v="25.859352047889136"/>
    <n v="0.8909196673228964"/>
    <x v="3"/>
    <n v="7111.5"/>
  </r>
  <r>
    <x v="285"/>
    <x v="2"/>
    <x v="0"/>
    <n v="1372"/>
    <x v="1"/>
    <n v="1"/>
    <n v="3"/>
    <x v="0"/>
    <n v="4"/>
    <x v="0"/>
    <n v="42"/>
    <n v="3"/>
    <n v="1"/>
    <x v="1"/>
    <n v="4"/>
    <x v="0"/>
    <x v="278"/>
    <n v="15881"/>
    <n v="1"/>
    <x v="1"/>
    <n v="0.12"/>
    <n v="3"/>
    <n v="2"/>
    <n v="0"/>
    <n v="17"/>
    <n v="3"/>
    <n v="3"/>
    <x v="18"/>
    <n v="12"/>
    <n v="5"/>
    <n v="7"/>
    <x v="1"/>
    <n v="0"/>
    <n v="1"/>
    <n v="0"/>
    <n v="0"/>
    <n v="0"/>
    <n v="0"/>
    <n v="1"/>
    <n v="0"/>
    <n v="6.4944289374208282"/>
    <n v="0.22374939857982484"/>
    <x v="2"/>
    <n v="0"/>
  </r>
  <r>
    <x v="286"/>
    <x v="20"/>
    <x v="1"/>
    <n v="920"/>
    <x v="1"/>
    <n v="24"/>
    <n v="3"/>
    <x v="0"/>
    <n v="4"/>
    <x v="1"/>
    <n v="43"/>
    <n v="3"/>
    <n v="1"/>
    <x v="2"/>
    <n v="3"/>
    <x v="2"/>
    <x v="279"/>
    <n v="19920"/>
    <n v="3"/>
    <x v="0"/>
    <n v="0.22"/>
    <n v="4"/>
    <n v="4"/>
    <n v="1"/>
    <n v="19"/>
    <n v="0"/>
    <n v="1"/>
    <x v="6"/>
    <n v="0"/>
    <n v="0"/>
    <n v="0"/>
    <x v="0"/>
    <n v="1"/>
    <n v="2"/>
    <n v="2"/>
    <n v="1"/>
    <n v="1"/>
    <n v="0"/>
    <n v="1"/>
    <n v="1"/>
    <n v="24.820925613786383"/>
    <n v="0.85514326691283105"/>
    <x v="3"/>
    <n v="4741.5"/>
  </r>
  <r>
    <x v="287"/>
    <x v="8"/>
    <x v="0"/>
    <n v="688"/>
    <x v="1"/>
    <n v="23"/>
    <n v="4"/>
    <x v="0"/>
    <n v="4"/>
    <x v="1"/>
    <n v="82"/>
    <n v="3"/>
    <n v="2"/>
    <x v="4"/>
    <n v="4"/>
    <x v="2"/>
    <x v="280"/>
    <n v="18899"/>
    <n v="9"/>
    <x v="1"/>
    <n v="0.14000000000000001"/>
    <n v="3"/>
    <n v="2"/>
    <n v="1"/>
    <n v="10"/>
    <n v="2"/>
    <n v="3"/>
    <x v="4"/>
    <n v="2"/>
    <n v="1"/>
    <n v="2"/>
    <x v="1"/>
    <n v="1"/>
    <n v="1"/>
    <n v="2"/>
    <n v="0"/>
    <n v="1"/>
    <n v="0"/>
    <n v="0"/>
    <n v="0"/>
    <n v="3.1661066958753779"/>
    <n v="0.10908033267710357"/>
    <x v="2"/>
    <n v="0"/>
  </r>
  <r>
    <x v="288"/>
    <x v="25"/>
    <x v="0"/>
    <n v="1449"/>
    <x v="1"/>
    <n v="16"/>
    <n v="4"/>
    <x v="2"/>
    <n v="1"/>
    <x v="1"/>
    <n v="45"/>
    <n v="3"/>
    <n v="1"/>
    <x v="2"/>
    <n v="2"/>
    <x v="2"/>
    <x v="281"/>
    <n v="14180"/>
    <n v="2"/>
    <x v="0"/>
    <n v="0.13"/>
    <n v="3"/>
    <n v="4"/>
    <n v="1"/>
    <n v="5"/>
    <n v="2"/>
    <n v="3"/>
    <x v="11"/>
    <n v="2"/>
    <n v="0"/>
    <n v="2"/>
    <x v="0"/>
    <n v="1"/>
    <n v="1"/>
    <n v="2"/>
    <n v="1"/>
    <n v="1"/>
    <n v="1"/>
    <n v="1"/>
    <n v="0"/>
    <n v="23.865068763274337"/>
    <n v="0.82221159616990469"/>
    <x v="3"/>
    <n v="3559.5"/>
  </r>
  <r>
    <x v="289"/>
    <x v="14"/>
    <x v="0"/>
    <n v="1117"/>
    <x v="1"/>
    <n v="8"/>
    <n v="2"/>
    <x v="0"/>
    <n v="4"/>
    <x v="0"/>
    <n v="66"/>
    <n v="3"/>
    <n v="1"/>
    <x v="1"/>
    <n v="4"/>
    <x v="0"/>
    <x v="282"/>
    <n v="4488"/>
    <n v="1"/>
    <x v="1"/>
    <n v="0.21"/>
    <n v="4"/>
    <n v="4"/>
    <n v="0"/>
    <n v="5"/>
    <n v="3"/>
    <n v="3"/>
    <x v="8"/>
    <n v="3"/>
    <n v="0"/>
    <n v="2"/>
    <x v="1"/>
    <n v="0"/>
    <n v="1"/>
    <n v="0"/>
    <n v="0"/>
    <n v="0"/>
    <n v="0"/>
    <n v="1"/>
    <n v="0"/>
    <n v="6.4944289374208282"/>
    <n v="0.22374939857982484"/>
    <x v="2"/>
    <n v="0"/>
  </r>
  <r>
    <x v="290"/>
    <x v="1"/>
    <x v="1"/>
    <n v="636"/>
    <x v="1"/>
    <n v="10"/>
    <n v="4"/>
    <x v="0"/>
    <n v="3"/>
    <x v="0"/>
    <n v="35"/>
    <n v="3"/>
    <n v="5"/>
    <x v="7"/>
    <n v="1"/>
    <x v="0"/>
    <x v="283"/>
    <n v="25594"/>
    <n v="9"/>
    <x v="0"/>
    <n v="0.11"/>
    <n v="3"/>
    <n v="4"/>
    <n v="0"/>
    <n v="22"/>
    <n v="4"/>
    <n v="3"/>
    <x v="11"/>
    <n v="2"/>
    <n v="1"/>
    <n v="2"/>
    <x v="1"/>
    <n v="0"/>
    <n v="2"/>
    <n v="0"/>
    <n v="1"/>
    <n v="0"/>
    <n v="1"/>
    <n v="0"/>
    <n v="1"/>
    <n v="19.364923110468307"/>
    <n v="0.66717026874307161"/>
    <x v="1"/>
    <n v="27997.5"/>
  </r>
  <r>
    <x v="291"/>
    <x v="9"/>
    <x v="0"/>
    <n v="506"/>
    <x v="1"/>
    <n v="3"/>
    <n v="3"/>
    <x v="4"/>
    <n v="3"/>
    <x v="1"/>
    <n v="30"/>
    <n v="3"/>
    <n v="2"/>
    <x v="1"/>
    <n v="2"/>
    <x v="0"/>
    <x v="284"/>
    <n v="26285"/>
    <n v="4"/>
    <x v="1"/>
    <n v="0.12"/>
    <n v="3"/>
    <n v="4"/>
    <n v="0"/>
    <n v="10"/>
    <n v="2"/>
    <n v="3"/>
    <x v="3"/>
    <n v="0"/>
    <n v="7"/>
    <n v="7"/>
    <x v="1"/>
    <n v="1"/>
    <n v="1"/>
    <n v="0"/>
    <n v="0"/>
    <n v="0"/>
    <n v="1"/>
    <n v="1"/>
    <n v="0"/>
    <n v="10.698962067398959"/>
    <n v="0.3686061316669938"/>
    <x v="0"/>
    <n v="0"/>
  </r>
  <r>
    <x v="292"/>
    <x v="12"/>
    <x v="1"/>
    <n v="444"/>
    <x v="0"/>
    <n v="5"/>
    <n v="3"/>
    <x v="3"/>
    <n v="4"/>
    <x v="0"/>
    <n v="84"/>
    <n v="3"/>
    <n v="1"/>
    <x v="6"/>
    <n v="2"/>
    <x v="2"/>
    <x v="285"/>
    <n v="3909"/>
    <n v="1"/>
    <x v="1"/>
    <n v="0.11"/>
    <n v="3"/>
    <n v="3"/>
    <n v="1"/>
    <n v="2"/>
    <n v="5"/>
    <n v="2"/>
    <x v="4"/>
    <n v="2"/>
    <n v="2"/>
    <n v="2"/>
    <x v="1"/>
    <n v="0"/>
    <n v="2"/>
    <n v="2"/>
    <n v="0"/>
    <n v="0"/>
    <n v="1"/>
    <n v="1"/>
    <n v="1"/>
    <n v="15.859352047889136"/>
    <n v="0.54639453549708916"/>
    <x v="1"/>
    <n v="4183.5"/>
  </r>
  <r>
    <x v="293"/>
    <x v="25"/>
    <x v="0"/>
    <n v="950"/>
    <x v="0"/>
    <n v="4"/>
    <n v="4"/>
    <x v="3"/>
    <n v="4"/>
    <x v="1"/>
    <n v="48"/>
    <n v="2"/>
    <n v="2"/>
    <x v="0"/>
    <n v="4"/>
    <x v="0"/>
    <x v="286"/>
    <n v="8450"/>
    <n v="1"/>
    <x v="0"/>
    <n v="0.12"/>
    <n v="3"/>
    <n v="2"/>
    <n v="0"/>
    <n v="8"/>
    <n v="0"/>
    <n v="3"/>
    <x v="3"/>
    <n v="7"/>
    <n v="7"/>
    <n v="4"/>
    <x v="0"/>
    <n v="1"/>
    <n v="1"/>
    <n v="0"/>
    <n v="1"/>
    <n v="0"/>
    <n v="0"/>
    <n v="0"/>
    <n v="0"/>
    <n v="10"/>
    <n v="0.3445251318258073"/>
    <x v="0"/>
    <n v="0"/>
  </r>
  <r>
    <x v="294"/>
    <x v="2"/>
    <x v="1"/>
    <n v="889"/>
    <x v="1"/>
    <n v="9"/>
    <n v="3"/>
    <x v="2"/>
    <n v="2"/>
    <x v="1"/>
    <n v="53"/>
    <n v="3"/>
    <n v="1"/>
    <x v="1"/>
    <n v="4"/>
    <x v="1"/>
    <x v="287"/>
    <n v="11411"/>
    <n v="1"/>
    <x v="0"/>
    <n v="0.12"/>
    <n v="3"/>
    <n v="3"/>
    <n v="3"/>
    <n v="4"/>
    <n v="3"/>
    <n v="2"/>
    <x v="9"/>
    <n v="2"/>
    <n v="1"/>
    <n v="2"/>
    <x v="1"/>
    <n v="1"/>
    <n v="2"/>
    <n v="1"/>
    <n v="1"/>
    <n v="0"/>
    <n v="0"/>
    <n v="1"/>
    <n v="1"/>
    <n v="21.654818917911005"/>
    <n v="0.74606293423572745"/>
    <x v="1"/>
    <n v="3489"/>
  </r>
  <r>
    <x v="295"/>
    <x v="19"/>
    <x v="1"/>
    <n v="555"/>
    <x v="0"/>
    <n v="26"/>
    <n v="3"/>
    <x v="3"/>
    <n v="3"/>
    <x v="0"/>
    <n v="77"/>
    <n v="3"/>
    <n v="4"/>
    <x v="0"/>
    <n v="2"/>
    <x v="1"/>
    <x v="288"/>
    <n v="14864"/>
    <n v="5"/>
    <x v="1"/>
    <n v="0.14000000000000001"/>
    <n v="3"/>
    <n v="4"/>
    <n v="1"/>
    <n v="23"/>
    <n v="2"/>
    <n v="4"/>
    <x v="23"/>
    <n v="4"/>
    <n v="4"/>
    <n v="8"/>
    <x v="1"/>
    <n v="0"/>
    <n v="2"/>
    <n v="1"/>
    <n v="0"/>
    <n v="1"/>
    <n v="1"/>
    <n v="0"/>
    <n v="1"/>
    <n v="12.531029806343685"/>
    <n v="0.43172546959436786"/>
    <x v="0"/>
    <n v="0"/>
  </r>
  <r>
    <x v="296"/>
    <x v="41"/>
    <x v="0"/>
    <n v="230"/>
    <x v="1"/>
    <n v="3"/>
    <n v="3"/>
    <x v="0"/>
    <n v="3"/>
    <x v="1"/>
    <n v="54"/>
    <n v="3"/>
    <n v="1"/>
    <x v="2"/>
    <n v="3"/>
    <x v="0"/>
    <x v="289"/>
    <n v="25233"/>
    <n v="1"/>
    <x v="1"/>
    <n v="0.13"/>
    <n v="3"/>
    <n v="3"/>
    <n v="0"/>
    <n v="0"/>
    <n v="2"/>
    <n v="3"/>
    <x v="2"/>
    <n v="0"/>
    <n v="0"/>
    <n v="0"/>
    <x v="0"/>
    <n v="1"/>
    <n v="1"/>
    <n v="0"/>
    <n v="0"/>
    <n v="0"/>
    <n v="0"/>
    <n v="1"/>
    <n v="0"/>
    <n v="6.4944289374208282"/>
    <n v="0.22374939857982484"/>
    <x v="2"/>
    <n v="0"/>
  </r>
  <r>
    <x v="297"/>
    <x v="10"/>
    <x v="0"/>
    <n v="1232"/>
    <x v="0"/>
    <n v="16"/>
    <n v="3"/>
    <x v="3"/>
    <n v="3"/>
    <x v="1"/>
    <n v="96"/>
    <n v="3"/>
    <n v="3"/>
    <x v="0"/>
    <n v="2"/>
    <x v="1"/>
    <x v="290"/>
    <n v="5100"/>
    <n v="0"/>
    <x v="1"/>
    <n v="0.15"/>
    <n v="3"/>
    <n v="3"/>
    <n v="2"/>
    <n v="12"/>
    <n v="3"/>
    <n v="2"/>
    <x v="19"/>
    <n v="9"/>
    <n v="6"/>
    <n v="9"/>
    <x v="1"/>
    <n v="1"/>
    <n v="1"/>
    <n v="1"/>
    <n v="0"/>
    <n v="1"/>
    <n v="1"/>
    <n v="0"/>
    <n v="0"/>
    <n v="7.3706398258535089"/>
    <n v="0.25393706576427255"/>
    <x v="0"/>
    <n v="0"/>
  </r>
  <r>
    <x v="298"/>
    <x v="9"/>
    <x v="1"/>
    <n v="566"/>
    <x v="1"/>
    <n v="18"/>
    <n v="4"/>
    <x v="0"/>
    <n v="3"/>
    <x v="1"/>
    <n v="81"/>
    <n v="4"/>
    <n v="1"/>
    <x v="2"/>
    <n v="4"/>
    <x v="1"/>
    <x v="291"/>
    <n v="7122"/>
    <n v="4"/>
    <x v="1"/>
    <n v="0.18"/>
    <n v="3"/>
    <n v="4"/>
    <n v="2"/>
    <n v="4"/>
    <n v="2"/>
    <n v="3"/>
    <x v="6"/>
    <n v="0"/>
    <n v="0"/>
    <n v="0"/>
    <x v="1"/>
    <n v="1"/>
    <n v="2"/>
    <n v="1"/>
    <n v="0"/>
    <n v="1"/>
    <n v="0"/>
    <n v="1"/>
    <n v="1"/>
    <n v="14.820925613786383"/>
    <n v="0.51061813508702369"/>
    <x v="1"/>
    <n v="5532"/>
  </r>
  <r>
    <x v="299"/>
    <x v="31"/>
    <x v="0"/>
    <n v="1302"/>
    <x v="1"/>
    <n v="2"/>
    <n v="3"/>
    <x v="2"/>
    <n v="4"/>
    <x v="1"/>
    <n v="84"/>
    <n v="1"/>
    <n v="2"/>
    <x v="3"/>
    <n v="2"/>
    <x v="2"/>
    <x v="292"/>
    <n v="16321"/>
    <n v="5"/>
    <x v="1"/>
    <n v="0.18"/>
    <n v="3"/>
    <n v="4"/>
    <n v="1"/>
    <n v="13"/>
    <n v="3"/>
    <n v="3"/>
    <x v="9"/>
    <n v="1"/>
    <n v="1"/>
    <n v="2"/>
    <x v="1"/>
    <n v="1"/>
    <n v="1"/>
    <n v="2"/>
    <n v="0"/>
    <n v="0"/>
    <n v="1"/>
    <n v="0"/>
    <n v="0"/>
    <n v="4.204533129978131"/>
    <n v="0.14485673308716898"/>
    <x v="2"/>
    <n v="0"/>
  </r>
  <r>
    <x v="300"/>
    <x v="0"/>
    <x v="0"/>
    <n v="334"/>
    <x v="0"/>
    <n v="2"/>
    <n v="4"/>
    <x v="0"/>
    <n v="4"/>
    <x v="1"/>
    <n v="88"/>
    <n v="3"/>
    <n v="4"/>
    <x v="5"/>
    <n v="2"/>
    <x v="0"/>
    <x v="293"/>
    <n v="15896"/>
    <n v="1"/>
    <x v="1"/>
    <n v="0.19"/>
    <n v="3"/>
    <n v="2"/>
    <n v="0"/>
    <n v="22"/>
    <n v="2"/>
    <n v="3"/>
    <x v="14"/>
    <n v="10"/>
    <n v="0"/>
    <n v="4"/>
    <x v="1"/>
    <n v="1"/>
    <n v="1"/>
    <n v="0"/>
    <n v="0"/>
    <n v="0"/>
    <n v="1"/>
    <n v="0"/>
    <n v="0"/>
    <n v="4.204533129978131"/>
    <n v="0.14485673308716898"/>
    <x v="2"/>
    <n v="0"/>
  </r>
  <r>
    <x v="301"/>
    <x v="41"/>
    <x v="0"/>
    <n v="812"/>
    <x v="0"/>
    <n v="10"/>
    <n v="3"/>
    <x v="2"/>
    <n v="4"/>
    <x v="0"/>
    <n v="69"/>
    <n v="2"/>
    <n v="1"/>
    <x v="6"/>
    <n v="3"/>
    <x v="0"/>
    <x v="294"/>
    <n v="9724"/>
    <n v="1"/>
    <x v="1"/>
    <n v="0.12"/>
    <n v="3"/>
    <n v="1"/>
    <n v="0"/>
    <n v="0"/>
    <n v="2"/>
    <n v="3"/>
    <x v="2"/>
    <n v="0"/>
    <n v="0"/>
    <n v="0"/>
    <x v="1"/>
    <n v="0"/>
    <n v="1"/>
    <n v="0"/>
    <n v="0"/>
    <n v="0"/>
    <n v="0"/>
    <n v="1"/>
    <n v="0"/>
    <n v="6.4944289374208282"/>
    <n v="0.22374939857982484"/>
    <x v="2"/>
    <n v="0"/>
  </r>
  <r>
    <x v="302"/>
    <x v="14"/>
    <x v="0"/>
    <n v="1476"/>
    <x v="1"/>
    <n v="16"/>
    <n v="2"/>
    <x v="2"/>
    <n v="2"/>
    <x v="1"/>
    <n v="68"/>
    <n v="4"/>
    <n v="2"/>
    <x v="4"/>
    <n v="1"/>
    <x v="0"/>
    <x v="295"/>
    <n v="4824"/>
    <n v="0"/>
    <x v="1"/>
    <n v="0.19"/>
    <n v="3"/>
    <n v="3"/>
    <n v="0"/>
    <n v="9"/>
    <n v="2"/>
    <n v="3"/>
    <x v="3"/>
    <n v="3"/>
    <n v="0"/>
    <n v="7"/>
    <x v="1"/>
    <n v="1"/>
    <n v="1"/>
    <n v="0"/>
    <n v="0"/>
    <n v="1"/>
    <n v="1"/>
    <n v="0"/>
    <n v="0"/>
    <n v="7.3706398258535089"/>
    <n v="0.25393706576427255"/>
    <x v="0"/>
    <n v="0"/>
  </r>
  <r>
    <x v="303"/>
    <x v="12"/>
    <x v="0"/>
    <n v="218"/>
    <x v="0"/>
    <n v="7"/>
    <n v="3"/>
    <x v="4"/>
    <n v="2"/>
    <x v="1"/>
    <n v="100"/>
    <n v="4"/>
    <n v="2"/>
    <x v="0"/>
    <n v="4"/>
    <x v="1"/>
    <x v="296"/>
    <n v="12241"/>
    <n v="4"/>
    <x v="1"/>
    <n v="0.11"/>
    <n v="3"/>
    <n v="2"/>
    <n v="1"/>
    <n v="10"/>
    <n v="3"/>
    <n v="2"/>
    <x v="3"/>
    <n v="7"/>
    <n v="7"/>
    <n v="7"/>
    <x v="1"/>
    <n v="1"/>
    <n v="1"/>
    <n v="1"/>
    <n v="0"/>
    <n v="0"/>
    <n v="0"/>
    <n v="0"/>
    <n v="0"/>
    <n v="0"/>
    <n v="0"/>
    <x v="2"/>
    <n v="0"/>
  </r>
  <r>
    <x v="304"/>
    <x v="22"/>
    <x v="0"/>
    <n v="1132"/>
    <x v="1"/>
    <n v="1"/>
    <n v="3"/>
    <x v="2"/>
    <n v="3"/>
    <x v="1"/>
    <n v="48"/>
    <n v="4"/>
    <n v="3"/>
    <x v="4"/>
    <n v="4"/>
    <x v="2"/>
    <x v="297"/>
    <n v="10942"/>
    <n v="0"/>
    <x v="1"/>
    <n v="0.17"/>
    <n v="3"/>
    <n v="1"/>
    <n v="3"/>
    <n v="19"/>
    <n v="5"/>
    <n v="2"/>
    <x v="29"/>
    <n v="10"/>
    <n v="3"/>
    <n v="7"/>
    <x v="1"/>
    <n v="1"/>
    <n v="1"/>
    <n v="2"/>
    <n v="0"/>
    <n v="0"/>
    <n v="0"/>
    <n v="0"/>
    <n v="0"/>
    <n v="0"/>
    <n v="0"/>
    <x v="2"/>
    <n v="0"/>
  </r>
  <r>
    <x v="305"/>
    <x v="9"/>
    <x v="2"/>
    <n v="1105"/>
    <x v="1"/>
    <n v="24"/>
    <n v="4"/>
    <x v="0"/>
    <n v="2"/>
    <x v="0"/>
    <n v="47"/>
    <n v="3"/>
    <n v="2"/>
    <x v="2"/>
    <n v="2"/>
    <x v="1"/>
    <x v="298"/>
    <n v="6927"/>
    <n v="7"/>
    <x v="1"/>
    <n v="0.15"/>
    <n v="3"/>
    <n v="3"/>
    <n v="1"/>
    <n v="11"/>
    <n v="3"/>
    <n v="3"/>
    <x v="7"/>
    <n v="8"/>
    <n v="0"/>
    <n v="8"/>
    <x v="1"/>
    <n v="0"/>
    <n v="0"/>
    <n v="1"/>
    <n v="0"/>
    <n v="1"/>
    <n v="1"/>
    <n v="0"/>
    <n v="0"/>
    <n v="7.3706398258535089"/>
    <n v="0.25393706576427255"/>
    <x v="0"/>
    <n v="0"/>
  </r>
  <r>
    <x v="306"/>
    <x v="5"/>
    <x v="0"/>
    <n v="906"/>
    <x v="0"/>
    <n v="7"/>
    <n v="3"/>
    <x v="0"/>
    <n v="4"/>
    <x v="1"/>
    <n v="91"/>
    <n v="2"/>
    <n v="2"/>
    <x v="0"/>
    <n v="3"/>
    <x v="1"/>
    <x v="299"/>
    <n v="16985"/>
    <n v="1"/>
    <x v="1"/>
    <n v="0.14000000000000001"/>
    <n v="3"/>
    <n v="3"/>
    <n v="1"/>
    <n v="13"/>
    <n v="3"/>
    <n v="2"/>
    <x v="20"/>
    <n v="8"/>
    <n v="4"/>
    <n v="8"/>
    <x v="1"/>
    <n v="1"/>
    <n v="1"/>
    <n v="1"/>
    <n v="0"/>
    <n v="0"/>
    <n v="0"/>
    <n v="0"/>
    <n v="0"/>
    <n v="0"/>
    <n v="0"/>
    <x v="2"/>
    <n v="0"/>
  </r>
  <r>
    <x v="307"/>
    <x v="8"/>
    <x v="0"/>
    <n v="849"/>
    <x v="1"/>
    <n v="25"/>
    <n v="2"/>
    <x v="0"/>
    <n v="1"/>
    <x v="0"/>
    <n v="81"/>
    <n v="2"/>
    <n v="3"/>
    <x v="7"/>
    <n v="2"/>
    <x v="1"/>
    <x v="300"/>
    <n v="26707"/>
    <n v="3"/>
    <x v="1"/>
    <n v="0.17"/>
    <n v="3"/>
    <n v="3"/>
    <n v="1"/>
    <n v="19"/>
    <n v="2"/>
    <n v="3"/>
    <x v="1"/>
    <n v="8"/>
    <n v="0"/>
    <n v="1"/>
    <x v="1"/>
    <n v="0"/>
    <n v="1"/>
    <n v="1"/>
    <n v="0"/>
    <n v="1"/>
    <n v="1"/>
    <n v="0"/>
    <n v="0"/>
    <n v="7.3706398258535089"/>
    <n v="0.25393706576427255"/>
    <x v="0"/>
    <n v="0"/>
  </r>
  <r>
    <x v="308"/>
    <x v="34"/>
    <x v="2"/>
    <n v="390"/>
    <x v="1"/>
    <n v="1"/>
    <n v="4"/>
    <x v="0"/>
    <n v="4"/>
    <x v="1"/>
    <n v="32"/>
    <n v="1"/>
    <n v="2"/>
    <x v="4"/>
    <n v="3"/>
    <x v="2"/>
    <x v="301"/>
    <n v="17056"/>
    <n v="2"/>
    <x v="0"/>
    <n v="0.13"/>
    <n v="3"/>
    <n v="4"/>
    <n v="1"/>
    <n v="12"/>
    <n v="2"/>
    <n v="3"/>
    <x v="8"/>
    <n v="3"/>
    <n v="1"/>
    <n v="2"/>
    <x v="1"/>
    <n v="1"/>
    <n v="0"/>
    <n v="2"/>
    <n v="1"/>
    <n v="0"/>
    <n v="0"/>
    <n v="0"/>
    <n v="0"/>
    <n v="10"/>
    <n v="0.3445251318258073"/>
    <x v="0"/>
    <n v="0"/>
  </r>
  <r>
    <x v="309"/>
    <x v="12"/>
    <x v="0"/>
    <n v="691"/>
    <x v="1"/>
    <n v="5"/>
    <n v="4"/>
    <x v="4"/>
    <n v="3"/>
    <x v="1"/>
    <n v="86"/>
    <n v="3"/>
    <n v="1"/>
    <x v="1"/>
    <n v="4"/>
    <x v="1"/>
    <x v="302"/>
    <n v="10077"/>
    <n v="0"/>
    <x v="0"/>
    <n v="0.12"/>
    <n v="3"/>
    <n v="3"/>
    <n v="1"/>
    <n v="6"/>
    <n v="4"/>
    <n v="3"/>
    <x v="8"/>
    <n v="2"/>
    <n v="0"/>
    <n v="3"/>
    <x v="1"/>
    <n v="1"/>
    <n v="1"/>
    <n v="1"/>
    <n v="1"/>
    <n v="0"/>
    <n v="0"/>
    <n v="1"/>
    <n v="0"/>
    <n v="16.494428937420828"/>
    <n v="0.56827453040563214"/>
    <x v="1"/>
    <n v="7231.5"/>
  </r>
  <r>
    <x v="310"/>
    <x v="12"/>
    <x v="0"/>
    <n v="106"/>
    <x v="2"/>
    <n v="2"/>
    <n v="3"/>
    <x v="5"/>
    <n v="1"/>
    <x v="1"/>
    <n v="62"/>
    <n v="2"/>
    <n v="2"/>
    <x v="8"/>
    <n v="1"/>
    <x v="1"/>
    <x v="303"/>
    <n v="17822"/>
    <n v="3"/>
    <x v="1"/>
    <n v="0.12"/>
    <n v="3"/>
    <n v="4"/>
    <n v="0"/>
    <n v="9"/>
    <n v="1"/>
    <n v="3"/>
    <x v="4"/>
    <n v="2"/>
    <n v="1"/>
    <n v="0"/>
    <x v="1"/>
    <n v="1"/>
    <n v="1"/>
    <n v="1"/>
    <n v="0"/>
    <n v="0"/>
    <n v="1"/>
    <n v="0"/>
    <n v="0"/>
    <n v="4.204533129978131"/>
    <n v="0.14485673308716898"/>
    <x v="2"/>
    <n v="0"/>
  </r>
  <r>
    <x v="311"/>
    <x v="28"/>
    <x v="1"/>
    <n v="1249"/>
    <x v="1"/>
    <n v="7"/>
    <n v="3"/>
    <x v="0"/>
    <n v="1"/>
    <x v="1"/>
    <n v="97"/>
    <n v="3"/>
    <n v="3"/>
    <x v="2"/>
    <n v="1"/>
    <x v="2"/>
    <x v="304"/>
    <n v="20308"/>
    <n v="1"/>
    <x v="1"/>
    <n v="0.18"/>
    <n v="3"/>
    <n v="1"/>
    <n v="1"/>
    <n v="24"/>
    <n v="2"/>
    <n v="3"/>
    <x v="25"/>
    <n v="9"/>
    <n v="9"/>
    <n v="11"/>
    <x v="1"/>
    <n v="1"/>
    <n v="2"/>
    <n v="2"/>
    <n v="0"/>
    <n v="0"/>
    <n v="1"/>
    <n v="0"/>
    <n v="1"/>
    <n v="9.3649231104683075"/>
    <n v="0.32264513691726432"/>
    <x v="0"/>
    <n v="0"/>
  </r>
  <r>
    <x v="312"/>
    <x v="12"/>
    <x v="0"/>
    <n v="192"/>
    <x v="1"/>
    <n v="2"/>
    <n v="4"/>
    <x v="0"/>
    <n v="3"/>
    <x v="1"/>
    <n v="32"/>
    <n v="3"/>
    <n v="1"/>
    <x v="1"/>
    <n v="4"/>
    <x v="2"/>
    <x v="305"/>
    <n v="7747"/>
    <n v="0"/>
    <x v="0"/>
    <n v="0.18"/>
    <n v="3"/>
    <n v="2"/>
    <n v="1"/>
    <n v="3"/>
    <n v="2"/>
    <n v="1"/>
    <x v="4"/>
    <n v="2"/>
    <n v="2"/>
    <n v="2"/>
    <x v="1"/>
    <n v="1"/>
    <n v="1"/>
    <n v="2"/>
    <n v="1"/>
    <n v="0"/>
    <n v="0"/>
    <n v="1"/>
    <n v="0"/>
    <n v="16.494428937420828"/>
    <n v="0.56827453040563214"/>
    <x v="1"/>
    <n v="4042.5"/>
  </r>
  <r>
    <x v="313"/>
    <x v="3"/>
    <x v="1"/>
    <n v="553"/>
    <x v="1"/>
    <n v="5"/>
    <n v="4"/>
    <x v="0"/>
    <n v="4"/>
    <x v="0"/>
    <n v="74"/>
    <n v="3"/>
    <n v="3"/>
    <x v="5"/>
    <n v="2"/>
    <x v="1"/>
    <x v="306"/>
    <n v="23364"/>
    <n v="6"/>
    <x v="1"/>
    <n v="0.11"/>
    <n v="3"/>
    <n v="2"/>
    <n v="2"/>
    <n v="12"/>
    <n v="2"/>
    <n v="3"/>
    <x v="1"/>
    <n v="6"/>
    <n v="8"/>
    <n v="8"/>
    <x v="1"/>
    <n v="0"/>
    <n v="2"/>
    <n v="1"/>
    <n v="0"/>
    <n v="0"/>
    <n v="1"/>
    <n v="0"/>
    <n v="1"/>
    <n v="9.3649231104683075"/>
    <n v="0.32264513691726432"/>
    <x v="0"/>
    <n v="0"/>
  </r>
  <r>
    <x v="314"/>
    <x v="22"/>
    <x v="0"/>
    <n v="117"/>
    <x v="1"/>
    <n v="10"/>
    <n v="1"/>
    <x v="2"/>
    <n v="3"/>
    <x v="1"/>
    <n v="99"/>
    <n v="3"/>
    <n v="4"/>
    <x v="5"/>
    <n v="1"/>
    <x v="1"/>
    <x v="307"/>
    <n v="5355"/>
    <n v="1"/>
    <x v="0"/>
    <n v="0.14000000000000001"/>
    <n v="3"/>
    <n v="4"/>
    <n v="0"/>
    <n v="21"/>
    <n v="3"/>
    <n v="3"/>
    <x v="17"/>
    <n v="9"/>
    <n v="11"/>
    <n v="10"/>
    <x v="1"/>
    <n v="1"/>
    <n v="1"/>
    <n v="1"/>
    <n v="1"/>
    <n v="0"/>
    <n v="1"/>
    <n v="0"/>
    <n v="0"/>
    <n v="14.204533129978131"/>
    <n v="0.48938186491297625"/>
    <x v="0"/>
    <n v="0"/>
  </r>
  <r>
    <x v="315"/>
    <x v="23"/>
    <x v="1"/>
    <n v="185"/>
    <x v="1"/>
    <n v="10"/>
    <n v="4"/>
    <x v="0"/>
    <n v="3"/>
    <x v="0"/>
    <n v="33"/>
    <n v="3"/>
    <n v="1"/>
    <x v="2"/>
    <n v="4"/>
    <x v="0"/>
    <x v="308"/>
    <n v="10675"/>
    <n v="0"/>
    <x v="1"/>
    <n v="0.19"/>
    <n v="3"/>
    <n v="1"/>
    <n v="0"/>
    <n v="9"/>
    <n v="5"/>
    <n v="3"/>
    <x v="3"/>
    <n v="7"/>
    <n v="1"/>
    <n v="7"/>
    <x v="1"/>
    <n v="0"/>
    <n v="2"/>
    <n v="0"/>
    <n v="0"/>
    <n v="0"/>
    <n v="0"/>
    <n v="1"/>
    <n v="1"/>
    <n v="11.654818917911005"/>
    <n v="0.40153780240992015"/>
    <x v="0"/>
    <n v="0"/>
  </r>
  <r>
    <x v="316"/>
    <x v="1"/>
    <x v="0"/>
    <n v="1091"/>
    <x v="1"/>
    <n v="1"/>
    <n v="2"/>
    <x v="4"/>
    <n v="3"/>
    <x v="0"/>
    <n v="90"/>
    <n v="2"/>
    <n v="4"/>
    <x v="4"/>
    <n v="3"/>
    <x v="0"/>
    <x v="309"/>
    <n v="17810"/>
    <n v="7"/>
    <x v="0"/>
    <n v="0.12"/>
    <n v="3"/>
    <n v="4"/>
    <n v="0"/>
    <n v="25"/>
    <n v="2"/>
    <n v="3"/>
    <x v="5"/>
    <n v="1"/>
    <n v="0"/>
    <n v="7"/>
    <x v="1"/>
    <n v="0"/>
    <n v="1"/>
    <n v="0"/>
    <n v="1"/>
    <n v="0"/>
    <n v="0"/>
    <n v="0"/>
    <n v="0"/>
    <n v="10"/>
    <n v="0.3445251318258073"/>
    <x v="0"/>
    <n v="0"/>
  </r>
  <r>
    <x v="317"/>
    <x v="39"/>
    <x v="0"/>
    <n v="723"/>
    <x v="1"/>
    <n v="8"/>
    <n v="4"/>
    <x v="2"/>
    <n v="3"/>
    <x v="1"/>
    <n v="85"/>
    <n v="2"/>
    <n v="2"/>
    <x v="1"/>
    <n v="2"/>
    <x v="1"/>
    <x v="132"/>
    <n v="17747"/>
    <n v="2"/>
    <x v="1"/>
    <n v="0.15"/>
    <n v="3"/>
    <n v="1"/>
    <n v="0"/>
    <n v="11"/>
    <n v="3"/>
    <n v="2"/>
    <x v="3"/>
    <n v="2"/>
    <n v="7"/>
    <n v="7"/>
    <x v="0"/>
    <n v="1"/>
    <n v="1"/>
    <n v="1"/>
    <n v="0"/>
    <n v="0"/>
    <n v="1"/>
    <n v="0"/>
    <n v="0"/>
    <n v="4.204533129978131"/>
    <n v="0.14485673308716898"/>
    <x v="2"/>
    <n v="0"/>
  </r>
  <r>
    <x v="318"/>
    <x v="4"/>
    <x v="0"/>
    <n v="1220"/>
    <x v="1"/>
    <n v="5"/>
    <n v="3"/>
    <x v="0"/>
    <n v="3"/>
    <x v="0"/>
    <n v="85"/>
    <n v="3"/>
    <n v="1"/>
    <x v="1"/>
    <n v="2"/>
    <x v="0"/>
    <x v="310"/>
    <n v="20938"/>
    <n v="1"/>
    <x v="0"/>
    <n v="0.12"/>
    <n v="3"/>
    <n v="2"/>
    <n v="0"/>
    <n v="4"/>
    <n v="2"/>
    <n v="2"/>
    <x v="9"/>
    <n v="3"/>
    <n v="1"/>
    <n v="2"/>
    <x v="1"/>
    <n v="0"/>
    <n v="1"/>
    <n v="0"/>
    <n v="1"/>
    <n v="0"/>
    <n v="1"/>
    <n v="1"/>
    <n v="0"/>
    <n v="20.698962067398959"/>
    <n v="0.71313126349280109"/>
    <x v="1"/>
    <n v="3717"/>
  </r>
  <r>
    <x v="319"/>
    <x v="5"/>
    <x v="0"/>
    <n v="588"/>
    <x v="0"/>
    <n v="8"/>
    <n v="2"/>
    <x v="4"/>
    <n v="3"/>
    <x v="0"/>
    <n v="65"/>
    <n v="2"/>
    <n v="2"/>
    <x v="0"/>
    <n v="2"/>
    <x v="1"/>
    <x v="311"/>
    <n v="24624"/>
    <n v="1"/>
    <x v="0"/>
    <n v="0.11"/>
    <n v="3"/>
    <n v="4"/>
    <n v="0"/>
    <n v="13"/>
    <n v="2"/>
    <n v="3"/>
    <x v="20"/>
    <n v="12"/>
    <n v="11"/>
    <n v="9"/>
    <x v="1"/>
    <n v="0"/>
    <n v="1"/>
    <n v="1"/>
    <n v="1"/>
    <n v="0"/>
    <n v="1"/>
    <n v="0"/>
    <n v="0"/>
    <n v="14.204533129978131"/>
    <n v="0.48938186491297625"/>
    <x v="0"/>
    <n v="0"/>
  </r>
  <r>
    <x v="320"/>
    <x v="4"/>
    <x v="0"/>
    <n v="1377"/>
    <x v="0"/>
    <n v="2"/>
    <n v="3"/>
    <x v="0"/>
    <n v="4"/>
    <x v="1"/>
    <n v="74"/>
    <n v="3"/>
    <n v="2"/>
    <x v="0"/>
    <n v="3"/>
    <x v="0"/>
    <x v="312"/>
    <n v="5242"/>
    <n v="1"/>
    <x v="0"/>
    <n v="0.11"/>
    <n v="3"/>
    <n v="1"/>
    <n v="0"/>
    <n v="5"/>
    <n v="3"/>
    <n v="3"/>
    <x v="8"/>
    <n v="4"/>
    <n v="0"/>
    <n v="4"/>
    <x v="1"/>
    <n v="1"/>
    <n v="1"/>
    <n v="0"/>
    <n v="1"/>
    <n v="0"/>
    <n v="0"/>
    <n v="1"/>
    <n v="0"/>
    <n v="16.494428937420828"/>
    <n v="0.56827453040563214"/>
    <x v="1"/>
    <n v="6717"/>
  </r>
  <r>
    <x v="321"/>
    <x v="12"/>
    <x v="0"/>
    <n v="691"/>
    <x v="0"/>
    <n v="7"/>
    <n v="3"/>
    <x v="3"/>
    <n v="4"/>
    <x v="1"/>
    <n v="73"/>
    <n v="3"/>
    <n v="2"/>
    <x v="0"/>
    <n v="4"/>
    <x v="2"/>
    <x v="313"/>
    <n v="7143"/>
    <n v="4"/>
    <x v="1"/>
    <n v="0.12"/>
    <n v="3"/>
    <n v="4"/>
    <n v="3"/>
    <n v="13"/>
    <n v="3"/>
    <n v="3"/>
    <x v="5"/>
    <n v="7"/>
    <n v="1"/>
    <n v="7"/>
    <x v="1"/>
    <n v="1"/>
    <n v="1"/>
    <n v="2"/>
    <n v="0"/>
    <n v="0"/>
    <n v="0"/>
    <n v="0"/>
    <n v="0"/>
    <n v="0"/>
    <n v="0"/>
    <x v="2"/>
    <n v="0"/>
  </r>
  <r>
    <x v="322"/>
    <x v="5"/>
    <x v="0"/>
    <n v="1018"/>
    <x v="1"/>
    <n v="2"/>
    <n v="4"/>
    <x v="2"/>
    <n v="1"/>
    <x v="0"/>
    <n v="74"/>
    <n v="4"/>
    <n v="2"/>
    <x v="1"/>
    <n v="4"/>
    <x v="0"/>
    <x v="314"/>
    <n v="10557"/>
    <n v="7"/>
    <x v="1"/>
    <n v="0.16"/>
    <n v="3"/>
    <n v="3"/>
    <n v="0"/>
    <n v="10"/>
    <n v="0"/>
    <n v="2"/>
    <x v="5"/>
    <n v="7"/>
    <n v="0"/>
    <n v="7"/>
    <x v="1"/>
    <n v="0"/>
    <n v="1"/>
    <n v="0"/>
    <n v="0"/>
    <n v="0"/>
    <n v="0"/>
    <n v="0"/>
    <n v="0"/>
    <n v="0"/>
    <n v="0"/>
    <x v="2"/>
    <n v="0"/>
  </r>
  <r>
    <x v="323"/>
    <x v="14"/>
    <x v="0"/>
    <n v="1157"/>
    <x v="1"/>
    <n v="2"/>
    <n v="4"/>
    <x v="2"/>
    <n v="1"/>
    <x v="1"/>
    <n v="84"/>
    <n v="1"/>
    <n v="1"/>
    <x v="1"/>
    <n v="4"/>
    <x v="1"/>
    <x v="315"/>
    <n v="24737"/>
    <n v="5"/>
    <x v="0"/>
    <n v="0.13"/>
    <n v="3"/>
    <n v="4"/>
    <n v="0"/>
    <n v="5"/>
    <n v="4"/>
    <n v="2"/>
    <x v="11"/>
    <n v="2"/>
    <n v="2"/>
    <n v="2"/>
    <x v="0"/>
    <n v="1"/>
    <n v="1"/>
    <n v="1"/>
    <n v="1"/>
    <n v="0"/>
    <n v="0"/>
    <n v="1"/>
    <n v="0"/>
    <n v="16.494428937420828"/>
    <n v="0.56827453040563214"/>
    <x v="1"/>
    <n v="5196"/>
  </r>
  <r>
    <x v="324"/>
    <x v="7"/>
    <x v="0"/>
    <n v="1275"/>
    <x v="1"/>
    <n v="28"/>
    <n v="2"/>
    <x v="2"/>
    <n v="4"/>
    <x v="0"/>
    <n v="64"/>
    <n v="3"/>
    <n v="2"/>
    <x v="1"/>
    <n v="4"/>
    <x v="1"/>
    <x v="316"/>
    <n v="11934"/>
    <n v="1"/>
    <x v="1"/>
    <n v="0.13"/>
    <n v="3"/>
    <n v="4"/>
    <n v="2"/>
    <n v="11"/>
    <n v="2"/>
    <n v="3"/>
    <x v="1"/>
    <n v="8"/>
    <n v="1"/>
    <n v="9"/>
    <x v="1"/>
    <n v="0"/>
    <n v="1"/>
    <n v="1"/>
    <n v="0"/>
    <n v="1"/>
    <n v="0"/>
    <n v="0"/>
    <n v="0"/>
    <n v="3.1661066958753779"/>
    <n v="0.10908033267710357"/>
    <x v="2"/>
    <n v="0"/>
  </r>
  <r>
    <x v="325"/>
    <x v="12"/>
    <x v="1"/>
    <n v="798"/>
    <x v="1"/>
    <n v="7"/>
    <n v="2"/>
    <x v="0"/>
    <n v="3"/>
    <x v="0"/>
    <n v="48"/>
    <n v="2"/>
    <n v="3"/>
    <x v="3"/>
    <n v="3"/>
    <x v="1"/>
    <x v="317"/>
    <n v="14034"/>
    <n v="1"/>
    <x v="1"/>
    <n v="0.24"/>
    <n v="4"/>
    <n v="1"/>
    <n v="1"/>
    <n v="10"/>
    <n v="2"/>
    <n v="3"/>
    <x v="1"/>
    <n v="9"/>
    <n v="8"/>
    <n v="9"/>
    <x v="1"/>
    <n v="0"/>
    <n v="2"/>
    <n v="1"/>
    <n v="0"/>
    <n v="0"/>
    <n v="0"/>
    <n v="0"/>
    <n v="1"/>
    <n v="5.1603899804901765"/>
    <n v="0.17778840383009531"/>
    <x v="2"/>
    <n v="0"/>
  </r>
  <r>
    <x v="326"/>
    <x v="22"/>
    <x v="1"/>
    <n v="672"/>
    <x v="1"/>
    <n v="7"/>
    <n v="2"/>
    <x v="2"/>
    <n v="3"/>
    <x v="1"/>
    <n v="54"/>
    <n v="2"/>
    <n v="5"/>
    <x v="5"/>
    <n v="4"/>
    <x v="1"/>
    <x v="318"/>
    <n v="21141"/>
    <n v="1"/>
    <x v="1"/>
    <n v="0.15"/>
    <n v="3"/>
    <n v="1"/>
    <n v="1"/>
    <n v="21"/>
    <n v="2"/>
    <n v="3"/>
    <x v="17"/>
    <n v="9"/>
    <n v="13"/>
    <n v="3"/>
    <x v="1"/>
    <n v="1"/>
    <n v="2"/>
    <n v="1"/>
    <n v="0"/>
    <n v="0"/>
    <n v="0"/>
    <n v="0"/>
    <n v="1"/>
    <n v="5.1603899804901765"/>
    <n v="0.17778840383009531"/>
    <x v="2"/>
    <n v="0"/>
  </r>
  <r>
    <x v="327"/>
    <x v="22"/>
    <x v="0"/>
    <n v="1162"/>
    <x v="0"/>
    <n v="3"/>
    <n v="2"/>
    <x v="2"/>
    <n v="4"/>
    <x v="0"/>
    <n v="41"/>
    <n v="3"/>
    <n v="2"/>
    <x v="0"/>
    <n v="3"/>
    <x v="1"/>
    <x v="319"/>
    <n v="17778"/>
    <n v="4"/>
    <x v="0"/>
    <n v="0.18"/>
    <n v="3"/>
    <n v="1"/>
    <n v="0"/>
    <n v="12"/>
    <n v="3"/>
    <n v="2"/>
    <x v="6"/>
    <n v="0"/>
    <n v="0"/>
    <n v="0"/>
    <x v="0"/>
    <n v="0"/>
    <n v="1"/>
    <n v="1"/>
    <n v="1"/>
    <n v="0"/>
    <n v="0"/>
    <n v="0"/>
    <n v="0"/>
    <n v="10"/>
    <n v="0.3445251318258073"/>
    <x v="0"/>
    <n v="0"/>
  </r>
  <r>
    <x v="328"/>
    <x v="3"/>
    <x v="1"/>
    <n v="508"/>
    <x v="0"/>
    <n v="10"/>
    <n v="3"/>
    <x v="3"/>
    <n v="2"/>
    <x v="1"/>
    <n v="46"/>
    <n v="2"/>
    <n v="2"/>
    <x v="0"/>
    <n v="4"/>
    <x v="0"/>
    <x v="320"/>
    <n v="4317"/>
    <n v="3"/>
    <x v="1"/>
    <n v="0.14000000000000001"/>
    <n v="3"/>
    <n v="3"/>
    <n v="0"/>
    <n v="9"/>
    <n v="6"/>
    <n v="2"/>
    <x v="5"/>
    <n v="7"/>
    <n v="0"/>
    <n v="1"/>
    <x v="1"/>
    <n v="1"/>
    <n v="2"/>
    <n v="0"/>
    <n v="0"/>
    <n v="0"/>
    <n v="0"/>
    <n v="1"/>
    <n v="1"/>
    <n v="11.654818917911005"/>
    <n v="0.40153780240992015"/>
    <x v="0"/>
    <n v="0"/>
  </r>
  <r>
    <x v="329"/>
    <x v="40"/>
    <x v="0"/>
    <n v="1482"/>
    <x v="1"/>
    <n v="5"/>
    <n v="5"/>
    <x v="0"/>
    <n v="4"/>
    <x v="1"/>
    <n v="42"/>
    <n v="3"/>
    <n v="5"/>
    <x v="7"/>
    <n v="3"/>
    <x v="1"/>
    <x v="321"/>
    <n v="16375"/>
    <n v="4"/>
    <x v="1"/>
    <n v="0.11"/>
    <n v="3"/>
    <n v="2"/>
    <n v="1"/>
    <n v="21"/>
    <n v="2"/>
    <n v="3"/>
    <x v="11"/>
    <n v="2"/>
    <n v="1"/>
    <n v="1"/>
    <x v="1"/>
    <n v="1"/>
    <n v="1"/>
    <n v="1"/>
    <n v="0"/>
    <n v="0"/>
    <n v="0"/>
    <n v="0"/>
    <n v="0"/>
    <n v="0"/>
    <n v="0"/>
    <x v="2"/>
    <n v="0"/>
  </r>
  <r>
    <x v="330"/>
    <x v="23"/>
    <x v="1"/>
    <n v="559"/>
    <x v="1"/>
    <n v="10"/>
    <n v="4"/>
    <x v="0"/>
    <n v="3"/>
    <x v="0"/>
    <n v="82"/>
    <n v="2"/>
    <n v="2"/>
    <x v="2"/>
    <n v="3"/>
    <x v="2"/>
    <x v="322"/>
    <n v="6227"/>
    <n v="1"/>
    <x v="1"/>
    <n v="0.11"/>
    <n v="3"/>
    <n v="2"/>
    <n v="1"/>
    <n v="9"/>
    <n v="3"/>
    <n v="4"/>
    <x v="7"/>
    <n v="7"/>
    <n v="0"/>
    <n v="0"/>
    <x v="1"/>
    <n v="0"/>
    <n v="2"/>
    <n v="2"/>
    <n v="0"/>
    <n v="0"/>
    <n v="0"/>
    <n v="0"/>
    <n v="1"/>
    <n v="5.1603899804901765"/>
    <n v="0.17778840383009531"/>
    <x v="2"/>
    <n v="0"/>
  </r>
  <r>
    <x v="331"/>
    <x v="4"/>
    <x v="2"/>
    <n v="210"/>
    <x v="0"/>
    <n v="1"/>
    <n v="1"/>
    <x v="3"/>
    <n v="3"/>
    <x v="1"/>
    <n v="73"/>
    <n v="3"/>
    <n v="2"/>
    <x v="0"/>
    <n v="2"/>
    <x v="1"/>
    <x v="323"/>
    <n v="22107"/>
    <n v="0"/>
    <x v="0"/>
    <n v="0.13"/>
    <n v="3"/>
    <n v="4"/>
    <n v="1"/>
    <n v="6"/>
    <n v="0"/>
    <n v="3"/>
    <x v="8"/>
    <n v="4"/>
    <n v="1"/>
    <n v="4"/>
    <x v="1"/>
    <n v="1"/>
    <n v="0"/>
    <n v="1"/>
    <n v="1"/>
    <n v="0"/>
    <n v="1"/>
    <n v="0"/>
    <n v="0"/>
    <n v="14.204533129978131"/>
    <n v="0.48938186491297625"/>
    <x v="0"/>
    <n v="0"/>
  </r>
  <r>
    <x v="332"/>
    <x v="33"/>
    <x v="1"/>
    <n v="928"/>
    <x v="1"/>
    <n v="20"/>
    <n v="4"/>
    <x v="0"/>
    <n v="4"/>
    <x v="0"/>
    <n v="31"/>
    <n v="3"/>
    <n v="2"/>
    <x v="1"/>
    <n v="3"/>
    <x v="0"/>
    <x v="324"/>
    <n v="16885"/>
    <n v="3"/>
    <x v="1"/>
    <n v="0.12"/>
    <n v="3"/>
    <n v="4"/>
    <n v="0"/>
    <n v="20"/>
    <n v="4"/>
    <n v="2"/>
    <x v="9"/>
    <n v="3"/>
    <n v="0"/>
    <n v="3"/>
    <x v="1"/>
    <n v="0"/>
    <n v="2"/>
    <n v="0"/>
    <n v="0"/>
    <n v="1"/>
    <n v="0"/>
    <n v="1"/>
    <n v="1"/>
    <n v="14.820925613786383"/>
    <n v="0.51061813508702369"/>
    <x v="1"/>
    <n v="7303.5"/>
  </r>
  <r>
    <x v="333"/>
    <x v="23"/>
    <x v="0"/>
    <n v="1001"/>
    <x v="1"/>
    <n v="7"/>
    <n v="3"/>
    <x v="0"/>
    <n v="3"/>
    <x v="0"/>
    <n v="43"/>
    <n v="3"/>
    <n v="3"/>
    <x v="4"/>
    <n v="1"/>
    <x v="1"/>
    <x v="325"/>
    <n v="9262"/>
    <n v="8"/>
    <x v="1"/>
    <n v="0.16"/>
    <n v="3"/>
    <n v="1"/>
    <n v="1"/>
    <n v="10"/>
    <n v="1"/>
    <n v="2"/>
    <x v="6"/>
    <n v="0"/>
    <n v="0"/>
    <n v="0"/>
    <x v="1"/>
    <n v="0"/>
    <n v="1"/>
    <n v="1"/>
    <n v="0"/>
    <n v="0"/>
    <n v="1"/>
    <n v="0"/>
    <n v="0"/>
    <n v="4.204533129978131"/>
    <n v="0.14485673308716898"/>
    <x v="2"/>
    <n v="0"/>
  </r>
  <r>
    <x v="334"/>
    <x v="28"/>
    <x v="0"/>
    <n v="549"/>
    <x v="1"/>
    <n v="8"/>
    <n v="4"/>
    <x v="1"/>
    <n v="4"/>
    <x v="1"/>
    <n v="75"/>
    <n v="3"/>
    <n v="2"/>
    <x v="1"/>
    <n v="4"/>
    <x v="1"/>
    <x v="326"/>
    <n v="9278"/>
    <n v="9"/>
    <x v="1"/>
    <n v="0.14000000000000001"/>
    <n v="3"/>
    <n v="1"/>
    <n v="2"/>
    <n v="12"/>
    <n v="3"/>
    <n v="3"/>
    <x v="1"/>
    <n v="9"/>
    <n v="9"/>
    <n v="8"/>
    <x v="1"/>
    <n v="1"/>
    <n v="1"/>
    <n v="1"/>
    <n v="0"/>
    <n v="0"/>
    <n v="0"/>
    <n v="1"/>
    <n v="0"/>
    <n v="6.4944289374208282"/>
    <n v="0.22374939857982484"/>
    <x v="2"/>
    <n v="0"/>
  </r>
  <r>
    <x v="335"/>
    <x v="32"/>
    <x v="0"/>
    <n v="1124"/>
    <x v="0"/>
    <n v="1"/>
    <n v="2"/>
    <x v="2"/>
    <n v="2"/>
    <x v="1"/>
    <n v="57"/>
    <n v="1"/>
    <n v="2"/>
    <x v="0"/>
    <n v="4"/>
    <x v="1"/>
    <x v="327"/>
    <n v="13273"/>
    <n v="2"/>
    <x v="0"/>
    <n v="0.22"/>
    <n v="4"/>
    <n v="3"/>
    <n v="3"/>
    <n v="6"/>
    <n v="2"/>
    <n v="2"/>
    <x v="9"/>
    <n v="3"/>
    <n v="0"/>
    <n v="2"/>
    <x v="1"/>
    <n v="1"/>
    <n v="1"/>
    <n v="1"/>
    <n v="1"/>
    <n v="0"/>
    <n v="0"/>
    <n v="0"/>
    <n v="0"/>
    <n v="10"/>
    <n v="0.3445251318258073"/>
    <x v="0"/>
    <n v="0"/>
  </r>
  <r>
    <x v="336"/>
    <x v="11"/>
    <x v="0"/>
    <n v="318"/>
    <x v="1"/>
    <n v="8"/>
    <n v="4"/>
    <x v="1"/>
    <n v="2"/>
    <x v="1"/>
    <n v="77"/>
    <n v="1"/>
    <n v="1"/>
    <x v="2"/>
    <n v="1"/>
    <x v="1"/>
    <x v="328"/>
    <n v="4759"/>
    <n v="1"/>
    <x v="0"/>
    <n v="0.11"/>
    <n v="3"/>
    <n v="4"/>
    <n v="0"/>
    <n v="7"/>
    <n v="4"/>
    <n v="2"/>
    <x v="5"/>
    <n v="7"/>
    <n v="0"/>
    <n v="7"/>
    <x v="0"/>
    <n v="1"/>
    <n v="1"/>
    <n v="1"/>
    <n v="1"/>
    <n v="0"/>
    <n v="1"/>
    <n v="1"/>
    <n v="0"/>
    <n v="20.698962067398959"/>
    <n v="0.71313126349280109"/>
    <x v="1"/>
    <n v="3178.5"/>
  </r>
  <r>
    <x v="337"/>
    <x v="11"/>
    <x v="0"/>
    <n v="738"/>
    <x v="1"/>
    <n v="9"/>
    <n v="5"/>
    <x v="1"/>
    <n v="2"/>
    <x v="1"/>
    <n v="30"/>
    <n v="2"/>
    <n v="1"/>
    <x v="2"/>
    <n v="4"/>
    <x v="0"/>
    <x v="329"/>
    <n v="7621"/>
    <n v="0"/>
    <x v="1"/>
    <n v="0.17"/>
    <n v="3"/>
    <n v="3"/>
    <n v="0"/>
    <n v="4"/>
    <n v="2"/>
    <n v="3"/>
    <x v="11"/>
    <n v="2"/>
    <n v="2"/>
    <n v="2"/>
    <x v="1"/>
    <n v="1"/>
    <n v="1"/>
    <n v="0"/>
    <n v="0"/>
    <n v="0"/>
    <n v="0"/>
    <n v="1"/>
    <n v="0"/>
    <n v="6.4944289374208282"/>
    <n v="0.22374939857982484"/>
    <x v="2"/>
    <n v="0"/>
  </r>
  <r>
    <x v="338"/>
    <x v="7"/>
    <x v="0"/>
    <n v="570"/>
    <x v="0"/>
    <n v="5"/>
    <n v="3"/>
    <x v="3"/>
    <n v="4"/>
    <x v="0"/>
    <n v="30"/>
    <n v="2"/>
    <n v="2"/>
    <x v="0"/>
    <n v="3"/>
    <x v="2"/>
    <x v="330"/>
    <n v="5431"/>
    <n v="1"/>
    <x v="1"/>
    <n v="0.13"/>
    <n v="3"/>
    <n v="3"/>
    <n v="3"/>
    <n v="10"/>
    <n v="2"/>
    <n v="3"/>
    <x v="1"/>
    <n v="9"/>
    <n v="1"/>
    <n v="2"/>
    <x v="1"/>
    <n v="0"/>
    <n v="1"/>
    <n v="2"/>
    <n v="0"/>
    <n v="0"/>
    <n v="0"/>
    <n v="0"/>
    <n v="0"/>
    <n v="0"/>
    <n v="0"/>
    <x v="2"/>
    <n v="0"/>
  </r>
  <r>
    <x v="339"/>
    <x v="4"/>
    <x v="0"/>
    <n v="1130"/>
    <x v="0"/>
    <n v="8"/>
    <n v="4"/>
    <x v="3"/>
    <n v="2"/>
    <x v="0"/>
    <n v="56"/>
    <n v="3"/>
    <n v="2"/>
    <x v="0"/>
    <n v="2"/>
    <x v="1"/>
    <x v="331"/>
    <n v="3415"/>
    <n v="1"/>
    <x v="1"/>
    <n v="0.18"/>
    <n v="3"/>
    <n v="1"/>
    <n v="1"/>
    <n v="8"/>
    <n v="3"/>
    <n v="3"/>
    <x v="3"/>
    <n v="7"/>
    <n v="0"/>
    <n v="7"/>
    <x v="1"/>
    <n v="0"/>
    <n v="1"/>
    <n v="1"/>
    <n v="0"/>
    <n v="0"/>
    <n v="1"/>
    <n v="0"/>
    <n v="0"/>
    <n v="4.204533129978131"/>
    <n v="0.14485673308716898"/>
    <x v="2"/>
    <n v="0"/>
  </r>
  <r>
    <x v="340"/>
    <x v="2"/>
    <x v="0"/>
    <n v="1192"/>
    <x v="1"/>
    <n v="5"/>
    <n v="2"/>
    <x v="2"/>
    <n v="4"/>
    <x v="1"/>
    <n v="61"/>
    <n v="3"/>
    <n v="2"/>
    <x v="3"/>
    <n v="4"/>
    <x v="2"/>
    <x v="136"/>
    <n v="23177"/>
    <n v="7"/>
    <x v="1"/>
    <n v="0.16"/>
    <n v="3"/>
    <n v="3"/>
    <n v="2"/>
    <n v="8"/>
    <n v="2"/>
    <n v="2"/>
    <x v="0"/>
    <n v="2"/>
    <n v="0"/>
    <n v="4"/>
    <x v="1"/>
    <n v="1"/>
    <n v="1"/>
    <n v="2"/>
    <n v="0"/>
    <n v="0"/>
    <n v="0"/>
    <n v="0"/>
    <n v="0"/>
    <n v="0"/>
    <n v="0"/>
    <x v="2"/>
    <n v="0"/>
  </r>
  <r>
    <x v="341"/>
    <x v="8"/>
    <x v="0"/>
    <n v="343"/>
    <x v="1"/>
    <n v="15"/>
    <n v="2"/>
    <x v="0"/>
    <n v="3"/>
    <x v="1"/>
    <n v="92"/>
    <n v="2"/>
    <n v="3"/>
    <x v="7"/>
    <n v="4"/>
    <x v="2"/>
    <x v="332"/>
    <n v="15682"/>
    <n v="0"/>
    <x v="0"/>
    <n v="0.14000000000000001"/>
    <n v="3"/>
    <n v="2"/>
    <n v="1"/>
    <n v="12"/>
    <n v="3"/>
    <n v="3"/>
    <x v="19"/>
    <n v="10"/>
    <n v="2"/>
    <n v="9"/>
    <x v="1"/>
    <n v="1"/>
    <n v="1"/>
    <n v="2"/>
    <n v="1"/>
    <n v="0"/>
    <n v="0"/>
    <n v="0"/>
    <n v="0"/>
    <n v="10"/>
    <n v="0.3445251318258073"/>
    <x v="0"/>
    <n v="0"/>
  </r>
  <r>
    <x v="342"/>
    <x v="12"/>
    <x v="0"/>
    <n v="1232"/>
    <x v="1"/>
    <n v="7"/>
    <n v="4"/>
    <x v="2"/>
    <n v="3"/>
    <x v="0"/>
    <n v="39"/>
    <n v="3"/>
    <n v="3"/>
    <x v="3"/>
    <n v="4"/>
    <x v="0"/>
    <x v="333"/>
    <n v="25713"/>
    <n v="1"/>
    <x v="0"/>
    <n v="0.14000000000000001"/>
    <n v="3"/>
    <n v="3"/>
    <n v="0"/>
    <n v="11"/>
    <n v="2"/>
    <n v="2"/>
    <x v="19"/>
    <n v="9"/>
    <n v="4"/>
    <n v="10"/>
    <x v="1"/>
    <n v="0"/>
    <n v="1"/>
    <n v="0"/>
    <n v="1"/>
    <n v="0"/>
    <n v="0"/>
    <n v="0"/>
    <n v="0"/>
    <n v="10"/>
    <n v="0.3445251318258073"/>
    <x v="0"/>
    <n v="0"/>
  </r>
  <r>
    <x v="343"/>
    <x v="11"/>
    <x v="0"/>
    <n v="144"/>
    <x v="0"/>
    <n v="10"/>
    <n v="1"/>
    <x v="3"/>
    <n v="4"/>
    <x v="0"/>
    <n v="39"/>
    <n v="2"/>
    <n v="2"/>
    <x v="0"/>
    <n v="2"/>
    <x v="2"/>
    <x v="334"/>
    <n v="11866"/>
    <n v="1"/>
    <x v="0"/>
    <n v="0.14000000000000001"/>
    <n v="3"/>
    <n v="1"/>
    <n v="2"/>
    <n v="7"/>
    <n v="2"/>
    <n v="3"/>
    <x v="5"/>
    <n v="7"/>
    <n v="1"/>
    <n v="7"/>
    <x v="1"/>
    <n v="0"/>
    <n v="1"/>
    <n v="2"/>
    <n v="1"/>
    <n v="0"/>
    <n v="1"/>
    <n v="0"/>
    <n v="0"/>
    <n v="14.204533129978131"/>
    <n v="0.48938186491297625"/>
    <x v="0"/>
    <n v="0"/>
  </r>
  <r>
    <x v="344"/>
    <x v="10"/>
    <x v="0"/>
    <n v="1296"/>
    <x v="1"/>
    <n v="5"/>
    <n v="4"/>
    <x v="4"/>
    <n v="3"/>
    <x v="1"/>
    <n v="62"/>
    <n v="3"/>
    <n v="3"/>
    <x v="3"/>
    <n v="2"/>
    <x v="0"/>
    <x v="335"/>
    <n v="18264"/>
    <n v="0"/>
    <x v="1"/>
    <n v="0.13"/>
    <n v="3"/>
    <n v="4"/>
    <n v="0"/>
    <n v="17"/>
    <n v="5"/>
    <n v="3"/>
    <x v="22"/>
    <n v="6"/>
    <n v="0"/>
    <n v="13"/>
    <x v="1"/>
    <n v="1"/>
    <n v="1"/>
    <n v="0"/>
    <n v="0"/>
    <n v="0"/>
    <n v="1"/>
    <n v="0"/>
    <n v="0"/>
    <n v="4.204533129978131"/>
    <n v="0.14485673308716898"/>
    <x v="2"/>
    <n v="0"/>
  </r>
  <r>
    <x v="345"/>
    <x v="30"/>
    <x v="0"/>
    <n v="1309"/>
    <x v="1"/>
    <n v="26"/>
    <n v="1"/>
    <x v="0"/>
    <n v="3"/>
    <x v="1"/>
    <n v="83"/>
    <n v="3"/>
    <n v="1"/>
    <x v="1"/>
    <n v="4"/>
    <x v="2"/>
    <x v="336"/>
    <n v="16092"/>
    <n v="1"/>
    <x v="1"/>
    <n v="0.12"/>
    <n v="3"/>
    <n v="3"/>
    <n v="2"/>
    <n v="4"/>
    <n v="2"/>
    <n v="2"/>
    <x v="9"/>
    <n v="2"/>
    <n v="0"/>
    <n v="2"/>
    <x v="1"/>
    <n v="1"/>
    <n v="1"/>
    <n v="2"/>
    <n v="0"/>
    <n v="1"/>
    <n v="0"/>
    <n v="1"/>
    <n v="0"/>
    <n v="9.660535633296206"/>
    <n v="0.33282973125692844"/>
    <x v="0"/>
    <n v="0"/>
  </r>
  <r>
    <x v="346"/>
    <x v="0"/>
    <x v="0"/>
    <n v="483"/>
    <x v="1"/>
    <n v="6"/>
    <n v="3"/>
    <x v="2"/>
    <n v="4"/>
    <x v="1"/>
    <n v="95"/>
    <n v="2"/>
    <n v="2"/>
    <x v="3"/>
    <n v="2"/>
    <x v="0"/>
    <x v="337"/>
    <n v="10110"/>
    <n v="6"/>
    <x v="0"/>
    <n v="0.15"/>
    <n v="3"/>
    <n v="4"/>
    <n v="0"/>
    <n v="8"/>
    <n v="3"/>
    <n v="3"/>
    <x v="8"/>
    <n v="4"/>
    <n v="1"/>
    <n v="2"/>
    <x v="1"/>
    <n v="1"/>
    <n v="1"/>
    <n v="0"/>
    <n v="1"/>
    <n v="0"/>
    <n v="1"/>
    <n v="0"/>
    <n v="0"/>
    <n v="14.204533129978131"/>
    <n v="0.48938186491297625"/>
    <x v="0"/>
    <n v="0"/>
  </r>
  <r>
    <x v="347"/>
    <x v="40"/>
    <x v="1"/>
    <n v="1309"/>
    <x v="0"/>
    <n v="4"/>
    <n v="1"/>
    <x v="2"/>
    <n v="2"/>
    <x v="1"/>
    <n v="99"/>
    <n v="3"/>
    <n v="2"/>
    <x v="6"/>
    <n v="3"/>
    <x v="0"/>
    <x v="338"/>
    <n v="25751"/>
    <n v="3"/>
    <x v="1"/>
    <n v="0.19"/>
    <n v="3"/>
    <n v="1"/>
    <n v="0"/>
    <n v="5"/>
    <n v="3"/>
    <n v="3"/>
    <x v="2"/>
    <n v="0"/>
    <n v="0"/>
    <n v="0"/>
    <x v="1"/>
    <n v="1"/>
    <n v="2"/>
    <n v="0"/>
    <n v="0"/>
    <n v="0"/>
    <n v="0"/>
    <n v="1"/>
    <n v="1"/>
    <n v="11.654818917911005"/>
    <n v="0.40153780240992015"/>
    <x v="0"/>
    <n v="0"/>
  </r>
  <r>
    <x v="348"/>
    <x v="19"/>
    <x v="0"/>
    <n v="810"/>
    <x v="1"/>
    <n v="23"/>
    <n v="5"/>
    <x v="0"/>
    <n v="1"/>
    <x v="0"/>
    <n v="44"/>
    <n v="3"/>
    <n v="4"/>
    <x v="7"/>
    <n v="4"/>
    <x v="0"/>
    <x v="339"/>
    <n v="15901"/>
    <n v="2"/>
    <x v="1"/>
    <n v="0.14000000000000001"/>
    <n v="3"/>
    <n v="2"/>
    <n v="0"/>
    <n v="16"/>
    <n v="2"/>
    <n v="3"/>
    <x v="6"/>
    <n v="0"/>
    <n v="0"/>
    <n v="0"/>
    <x v="1"/>
    <n v="0"/>
    <n v="1"/>
    <n v="0"/>
    <n v="0"/>
    <n v="1"/>
    <n v="0"/>
    <n v="0"/>
    <n v="0"/>
    <n v="3.1661066958753779"/>
    <n v="0.10908033267710357"/>
    <x v="2"/>
    <n v="0"/>
  </r>
  <r>
    <x v="349"/>
    <x v="11"/>
    <x v="2"/>
    <n v="746"/>
    <x v="0"/>
    <n v="2"/>
    <n v="3"/>
    <x v="0"/>
    <n v="4"/>
    <x v="1"/>
    <n v="61"/>
    <n v="3"/>
    <n v="2"/>
    <x v="0"/>
    <n v="3"/>
    <x v="1"/>
    <x v="340"/>
    <n v="16928"/>
    <n v="1"/>
    <x v="1"/>
    <n v="0.14000000000000001"/>
    <n v="3"/>
    <n v="1"/>
    <n v="1"/>
    <n v="4"/>
    <n v="3"/>
    <n v="2"/>
    <x v="9"/>
    <n v="3"/>
    <n v="0"/>
    <n v="2"/>
    <x v="1"/>
    <n v="1"/>
    <n v="0"/>
    <n v="1"/>
    <n v="0"/>
    <n v="0"/>
    <n v="0"/>
    <n v="1"/>
    <n v="0"/>
    <n v="6.4944289374208282"/>
    <n v="0.22374939857982484"/>
    <x v="2"/>
    <n v="0"/>
  </r>
  <r>
    <x v="350"/>
    <x v="19"/>
    <x v="0"/>
    <n v="544"/>
    <x v="2"/>
    <n v="2"/>
    <n v="1"/>
    <x v="4"/>
    <n v="3"/>
    <x v="1"/>
    <n v="52"/>
    <n v="3"/>
    <n v="1"/>
    <x v="8"/>
    <n v="3"/>
    <x v="2"/>
    <x v="341"/>
    <n v="24017"/>
    <n v="0"/>
    <x v="0"/>
    <n v="0.11"/>
    <n v="3"/>
    <n v="3"/>
    <n v="1"/>
    <n v="4"/>
    <n v="5"/>
    <n v="3"/>
    <x v="11"/>
    <n v="2"/>
    <n v="1"/>
    <n v="0"/>
    <x v="1"/>
    <n v="1"/>
    <n v="1"/>
    <n v="2"/>
    <n v="1"/>
    <n v="0"/>
    <n v="0"/>
    <n v="1"/>
    <n v="0"/>
    <n v="16.494428937420828"/>
    <n v="0.56827453040563214"/>
    <x v="1"/>
    <n v="4044"/>
  </r>
  <r>
    <x v="351"/>
    <x v="5"/>
    <x v="0"/>
    <n v="1062"/>
    <x v="1"/>
    <n v="2"/>
    <n v="3"/>
    <x v="2"/>
    <n v="3"/>
    <x v="0"/>
    <n v="75"/>
    <n v="3"/>
    <n v="1"/>
    <x v="2"/>
    <n v="2"/>
    <x v="1"/>
    <x v="342"/>
    <n v="3956"/>
    <n v="1"/>
    <x v="1"/>
    <n v="0.13"/>
    <n v="3"/>
    <n v="3"/>
    <n v="1"/>
    <n v="8"/>
    <n v="4"/>
    <n v="3"/>
    <x v="3"/>
    <n v="0"/>
    <n v="0"/>
    <n v="7"/>
    <x v="1"/>
    <n v="0"/>
    <n v="1"/>
    <n v="1"/>
    <n v="0"/>
    <n v="0"/>
    <n v="1"/>
    <n v="1"/>
    <n v="0"/>
    <n v="10.698962067398959"/>
    <n v="0.3686061316669938"/>
    <x v="0"/>
    <n v="0"/>
  </r>
  <r>
    <x v="352"/>
    <x v="26"/>
    <x v="0"/>
    <n v="530"/>
    <x v="0"/>
    <n v="29"/>
    <n v="1"/>
    <x v="2"/>
    <n v="1"/>
    <x v="0"/>
    <n v="91"/>
    <n v="3"/>
    <n v="3"/>
    <x v="5"/>
    <n v="3"/>
    <x v="1"/>
    <x v="343"/>
    <n v="23978"/>
    <n v="3"/>
    <x v="1"/>
    <n v="0.21"/>
    <n v="4"/>
    <n v="2"/>
    <n v="1"/>
    <n v="15"/>
    <n v="3"/>
    <n v="1"/>
    <x v="2"/>
    <n v="0"/>
    <n v="0"/>
    <n v="0"/>
    <x v="1"/>
    <n v="0"/>
    <n v="1"/>
    <n v="1"/>
    <n v="0"/>
    <n v="1"/>
    <n v="0"/>
    <n v="0"/>
    <n v="0"/>
    <n v="3.1661066958753779"/>
    <n v="0.10908033267710357"/>
    <x v="2"/>
    <n v="0"/>
  </r>
  <r>
    <x v="353"/>
    <x v="2"/>
    <x v="0"/>
    <n v="1319"/>
    <x v="1"/>
    <n v="6"/>
    <n v="3"/>
    <x v="2"/>
    <n v="3"/>
    <x v="1"/>
    <n v="51"/>
    <n v="4"/>
    <n v="2"/>
    <x v="1"/>
    <n v="1"/>
    <x v="2"/>
    <x v="344"/>
    <n v="17001"/>
    <n v="4"/>
    <x v="0"/>
    <n v="0.13"/>
    <n v="3"/>
    <n v="1"/>
    <n v="2"/>
    <n v="13"/>
    <n v="2"/>
    <n v="3"/>
    <x v="5"/>
    <n v="7"/>
    <n v="6"/>
    <n v="7"/>
    <x v="1"/>
    <n v="1"/>
    <n v="1"/>
    <n v="2"/>
    <n v="1"/>
    <n v="0"/>
    <n v="1"/>
    <n v="0"/>
    <n v="0"/>
    <n v="14.204533129978131"/>
    <n v="0.48938186491297625"/>
    <x v="0"/>
    <n v="0"/>
  </r>
  <r>
    <x v="354"/>
    <x v="7"/>
    <x v="2"/>
    <n v="641"/>
    <x v="0"/>
    <n v="25"/>
    <n v="2"/>
    <x v="4"/>
    <n v="4"/>
    <x v="0"/>
    <n v="85"/>
    <n v="3"/>
    <n v="2"/>
    <x v="0"/>
    <n v="3"/>
    <x v="1"/>
    <x v="345"/>
    <n v="6069"/>
    <n v="7"/>
    <x v="0"/>
    <n v="0.12"/>
    <n v="3"/>
    <n v="2"/>
    <n v="1"/>
    <n v="4"/>
    <n v="2"/>
    <n v="4"/>
    <x v="4"/>
    <n v="2"/>
    <n v="2"/>
    <n v="2"/>
    <x v="1"/>
    <n v="0"/>
    <n v="0"/>
    <n v="1"/>
    <n v="1"/>
    <n v="1"/>
    <n v="0"/>
    <n v="1"/>
    <n v="0"/>
    <n v="19.660535633296206"/>
    <n v="0.67735486308273574"/>
    <x v="1"/>
    <n v="7104"/>
  </r>
  <r>
    <x v="355"/>
    <x v="25"/>
    <x v="0"/>
    <n v="933"/>
    <x v="0"/>
    <n v="1"/>
    <n v="3"/>
    <x v="0"/>
    <n v="3"/>
    <x v="1"/>
    <n v="57"/>
    <n v="3"/>
    <n v="2"/>
    <x v="0"/>
    <n v="3"/>
    <x v="1"/>
    <x v="346"/>
    <n v="20156"/>
    <n v="1"/>
    <x v="1"/>
    <n v="0.17"/>
    <n v="3"/>
    <n v="2"/>
    <n v="1"/>
    <n v="8"/>
    <n v="3"/>
    <n v="3"/>
    <x v="3"/>
    <n v="7"/>
    <n v="7"/>
    <n v="7"/>
    <x v="1"/>
    <n v="1"/>
    <n v="1"/>
    <n v="1"/>
    <n v="0"/>
    <n v="0"/>
    <n v="0"/>
    <n v="0"/>
    <n v="0"/>
    <n v="0"/>
    <n v="0"/>
    <x v="2"/>
    <n v="0"/>
  </r>
  <r>
    <x v="356"/>
    <x v="19"/>
    <x v="0"/>
    <n v="1332"/>
    <x v="1"/>
    <n v="2"/>
    <n v="4"/>
    <x v="1"/>
    <n v="1"/>
    <x v="1"/>
    <n v="98"/>
    <n v="2"/>
    <n v="2"/>
    <x v="4"/>
    <n v="4"/>
    <x v="0"/>
    <x v="347"/>
    <n v="17078"/>
    <n v="3"/>
    <x v="1"/>
    <n v="0.23"/>
    <n v="4"/>
    <n v="2"/>
    <n v="0"/>
    <n v="14"/>
    <n v="6"/>
    <n v="3"/>
    <x v="6"/>
    <n v="0"/>
    <n v="0"/>
    <n v="0"/>
    <x v="1"/>
    <n v="1"/>
    <n v="1"/>
    <n v="0"/>
    <n v="0"/>
    <n v="0"/>
    <n v="0"/>
    <n v="0"/>
    <n v="0"/>
    <n v="0"/>
    <n v="0"/>
    <x v="2"/>
    <n v="0"/>
  </r>
  <r>
    <x v="357"/>
    <x v="18"/>
    <x v="1"/>
    <n v="756"/>
    <x v="0"/>
    <n v="1"/>
    <n v="1"/>
    <x v="4"/>
    <n v="1"/>
    <x v="0"/>
    <n v="99"/>
    <n v="2"/>
    <n v="1"/>
    <x v="6"/>
    <n v="2"/>
    <x v="0"/>
    <x v="348"/>
    <n v="9150"/>
    <n v="1"/>
    <x v="0"/>
    <n v="0.11"/>
    <n v="3"/>
    <n v="3"/>
    <n v="0"/>
    <n v="3"/>
    <n v="3"/>
    <n v="3"/>
    <x v="11"/>
    <n v="2"/>
    <n v="1"/>
    <n v="2"/>
    <x v="0"/>
    <n v="0"/>
    <n v="2"/>
    <n v="0"/>
    <n v="1"/>
    <n v="0"/>
    <n v="1"/>
    <n v="1"/>
    <n v="1"/>
    <n v="25.859352047889136"/>
    <n v="0.8909196673228964"/>
    <x v="3"/>
    <n v="3261"/>
  </r>
  <r>
    <x v="358"/>
    <x v="9"/>
    <x v="2"/>
    <n v="845"/>
    <x v="0"/>
    <n v="1"/>
    <n v="5"/>
    <x v="2"/>
    <n v="4"/>
    <x v="0"/>
    <n v="45"/>
    <n v="3"/>
    <n v="2"/>
    <x v="0"/>
    <n v="4"/>
    <x v="0"/>
    <x v="349"/>
    <n v="15276"/>
    <n v="4"/>
    <x v="1"/>
    <n v="0.15"/>
    <n v="3"/>
    <n v="2"/>
    <n v="0"/>
    <n v="7"/>
    <n v="6"/>
    <n v="3"/>
    <x v="6"/>
    <n v="0"/>
    <n v="0"/>
    <n v="0"/>
    <x v="1"/>
    <n v="0"/>
    <n v="0"/>
    <n v="0"/>
    <n v="0"/>
    <n v="0"/>
    <n v="0"/>
    <n v="0"/>
    <n v="0"/>
    <n v="0"/>
    <n v="0"/>
    <x v="2"/>
    <n v="0"/>
  </r>
  <r>
    <x v="359"/>
    <x v="9"/>
    <x v="1"/>
    <n v="541"/>
    <x v="0"/>
    <n v="3"/>
    <n v="4"/>
    <x v="2"/>
    <n v="1"/>
    <x v="1"/>
    <n v="48"/>
    <n v="2"/>
    <n v="3"/>
    <x v="0"/>
    <n v="4"/>
    <x v="1"/>
    <x v="350"/>
    <n v="7246"/>
    <n v="4"/>
    <x v="1"/>
    <n v="0.11"/>
    <n v="3"/>
    <n v="1"/>
    <n v="1"/>
    <n v="16"/>
    <n v="2"/>
    <n v="3"/>
    <x v="20"/>
    <n v="9"/>
    <n v="1"/>
    <n v="12"/>
    <x v="1"/>
    <n v="1"/>
    <n v="2"/>
    <n v="1"/>
    <n v="0"/>
    <n v="0"/>
    <n v="0"/>
    <n v="0"/>
    <n v="1"/>
    <n v="5.1603899804901765"/>
    <n v="0.17778840383009531"/>
    <x v="2"/>
    <n v="0"/>
  </r>
  <r>
    <x v="360"/>
    <x v="38"/>
    <x v="0"/>
    <n v="593"/>
    <x v="1"/>
    <n v="1"/>
    <n v="4"/>
    <x v="2"/>
    <n v="4"/>
    <x v="1"/>
    <n v="88"/>
    <n v="3"/>
    <n v="2"/>
    <x v="4"/>
    <n v="3"/>
    <x v="1"/>
    <x v="351"/>
    <n v="2967"/>
    <n v="2"/>
    <x v="1"/>
    <n v="0.11"/>
    <n v="3"/>
    <n v="3"/>
    <n v="0"/>
    <n v="15"/>
    <n v="2"/>
    <n v="3"/>
    <x v="11"/>
    <n v="2"/>
    <n v="1"/>
    <n v="2"/>
    <x v="1"/>
    <n v="1"/>
    <n v="1"/>
    <n v="1"/>
    <n v="0"/>
    <n v="0"/>
    <n v="0"/>
    <n v="0"/>
    <n v="0"/>
    <n v="0"/>
    <n v="0"/>
    <x v="2"/>
    <n v="0"/>
  </r>
  <r>
    <x v="361"/>
    <x v="32"/>
    <x v="0"/>
    <n v="1171"/>
    <x v="1"/>
    <n v="10"/>
    <n v="4"/>
    <x v="0"/>
    <n v="4"/>
    <x v="0"/>
    <n v="46"/>
    <n v="4"/>
    <n v="1"/>
    <x v="2"/>
    <n v="3"/>
    <x v="1"/>
    <x v="352"/>
    <n v="22495"/>
    <n v="3"/>
    <x v="0"/>
    <n v="0.13"/>
    <n v="3"/>
    <n v="3"/>
    <n v="1"/>
    <n v="10"/>
    <n v="3"/>
    <n v="3"/>
    <x v="5"/>
    <n v="7"/>
    <n v="1"/>
    <n v="7"/>
    <x v="1"/>
    <n v="0"/>
    <n v="1"/>
    <n v="1"/>
    <n v="1"/>
    <n v="0"/>
    <n v="0"/>
    <n v="1"/>
    <n v="0"/>
    <n v="16.494428937420828"/>
    <n v="0.56827453040563214"/>
    <x v="1"/>
    <n v="3319.5"/>
  </r>
  <r>
    <x v="362"/>
    <x v="18"/>
    <x v="2"/>
    <n v="895"/>
    <x v="0"/>
    <n v="9"/>
    <n v="2"/>
    <x v="2"/>
    <n v="1"/>
    <x v="1"/>
    <n v="39"/>
    <n v="3"/>
    <n v="1"/>
    <x v="6"/>
    <n v="4"/>
    <x v="0"/>
    <x v="353"/>
    <n v="2851"/>
    <n v="1"/>
    <x v="1"/>
    <n v="0.24"/>
    <n v="4"/>
    <n v="3"/>
    <n v="0"/>
    <n v="3"/>
    <n v="3"/>
    <n v="2"/>
    <x v="11"/>
    <n v="2"/>
    <n v="2"/>
    <n v="2"/>
    <x v="1"/>
    <n v="1"/>
    <n v="0"/>
    <n v="0"/>
    <n v="0"/>
    <n v="0"/>
    <n v="0"/>
    <n v="1"/>
    <n v="0"/>
    <n v="6.4944289374208282"/>
    <n v="0.22374939857982484"/>
    <x v="2"/>
    <n v="0"/>
  </r>
  <r>
    <x v="363"/>
    <x v="3"/>
    <x v="0"/>
    <n v="350"/>
    <x v="0"/>
    <n v="5"/>
    <n v="3"/>
    <x v="3"/>
    <n v="4"/>
    <x v="0"/>
    <n v="34"/>
    <n v="3"/>
    <n v="1"/>
    <x v="6"/>
    <n v="3"/>
    <x v="0"/>
    <x v="354"/>
    <n v="9150"/>
    <n v="1"/>
    <x v="0"/>
    <n v="0.13"/>
    <n v="3"/>
    <n v="2"/>
    <n v="0"/>
    <n v="1"/>
    <n v="2"/>
    <n v="3"/>
    <x v="6"/>
    <n v="0"/>
    <n v="0"/>
    <n v="0"/>
    <x v="0"/>
    <n v="0"/>
    <n v="1"/>
    <n v="0"/>
    <n v="1"/>
    <n v="0"/>
    <n v="0"/>
    <n v="1"/>
    <n v="0"/>
    <n v="16.494428937420828"/>
    <n v="0.56827453040563214"/>
    <x v="1"/>
    <n v="4276.5"/>
  </r>
  <r>
    <x v="364"/>
    <x v="2"/>
    <x v="0"/>
    <n v="921"/>
    <x v="1"/>
    <n v="10"/>
    <n v="3"/>
    <x v="2"/>
    <n v="3"/>
    <x v="0"/>
    <n v="98"/>
    <n v="3"/>
    <n v="1"/>
    <x v="2"/>
    <n v="1"/>
    <x v="1"/>
    <x v="138"/>
    <n v="17663"/>
    <n v="6"/>
    <x v="1"/>
    <n v="0.2"/>
    <n v="4"/>
    <n v="2"/>
    <n v="1"/>
    <n v="17"/>
    <n v="3"/>
    <n v="3"/>
    <x v="8"/>
    <n v="4"/>
    <n v="0"/>
    <n v="3"/>
    <x v="1"/>
    <n v="0"/>
    <n v="1"/>
    <n v="1"/>
    <n v="0"/>
    <n v="0"/>
    <n v="1"/>
    <n v="1"/>
    <n v="0"/>
    <n v="10.698962067398959"/>
    <n v="0.3686061316669938"/>
    <x v="0"/>
    <n v="0"/>
  </r>
  <r>
    <x v="365"/>
    <x v="21"/>
    <x v="2"/>
    <n v="1144"/>
    <x v="1"/>
    <n v="7"/>
    <n v="4"/>
    <x v="2"/>
    <n v="3"/>
    <x v="0"/>
    <n v="30"/>
    <n v="3"/>
    <n v="2"/>
    <x v="3"/>
    <n v="3"/>
    <x v="1"/>
    <x v="355"/>
    <n v="16044"/>
    <n v="2"/>
    <x v="1"/>
    <n v="0.14000000000000001"/>
    <n v="3"/>
    <n v="3"/>
    <n v="0"/>
    <n v="7"/>
    <n v="2"/>
    <n v="4"/>
    <x v="6"/>
    <n v="0"/>
    <n v="0"/>
    <n v="0"/>
    <x v="1"/>
    <n v="0"/>
    <n v="0"/>
    <n v="1"/>
    <n v="0"/>
    <n v="0"/>
    <n v="0"/>
    <n v="0"/>
    <n v="0"/>
    <n v="0"/>
    <n v="0"/>
    <x v="2"/>
    <n v="0"/>
  </r>
  <r>
    <x v="366"/>
    <x v="0"/>
    <x v="1"/>
    <n v="143"/>
    <x v="0"/>
    <n v="4"/>
    <n v="3"/>
    <x v="3"/>
    <n v="1"/>
    <x v="1"/>
    <n v="56"/>
    <n v="3"/>
    <n v="2"/>
    <x v="0"/>
    <n v="2"/>
    <x v="0"/>
    <x v="356"/>
    <n v="9558"/>
    <n v="1"/>
    <x v="1"/>
    <n v="0.18"/>
    <n v="3"/>
    <n v="3"/>
    <n v="0"/>
    <n v="8"/>
    <n v="5"/>
    <n v="3"/>
    <x v="3"/>
    <n v="7"/>
    <n v="7"/>
    <n v="7"/>
    <x v="0"/>
    <n v="1"/>
    <n v="2"/>
    <n v="0"/>
    <n v="0"/>
    <n v="0"/>
    <n v="1"/>
    <n v="0"/>
    <n v="1"/>
    <n v="9.3649231104683075"/>
    <n v="0.32264513691726432"/>
    <x v="0"/>
    <n v="0"/>
  </r>
  <r>
    <x v="367"/>
    <x v="24"/>
    <x v="0"/>
    <n v="1046"/>
    <x v="1"/>
    <n v="10"/>
    <n v="3"/>
    <x v="4"/>
    <n v="4"/>
    <x v="1"/>
    <n v="100"/>
    <n v="2"/>
    <n v="3"/>
    <x v="4"/>
    <n v="4"/>
    <x v="0"/>
    <x v="357"/>
    <n v="2755"/>
    <n v="6"/>
    <x v="1"/>
    <n v="0.15"/>
    <n v="3"/>
    <n v="4"/>
    <n v="0"/>
    <n v="20"/>
    <n v="2"/>
    <n v="3"/>
    <x v="9"/>
    <n v="3"/>
    <n v="1"/>
    <n v="3"/>
    <x v="1"/>
    <n v="1"/>
    <n v="1"/>
    <n v="0"/>
    <n v="0"/>
    <n v="0"/>
    <n v="0"/>
    <n v="0"/>
    <n v="0"/>
    <n v="0"/>
    <n v="0"/>
    <x v="2"/>
    <n v="0"/>
  </r>
  <r>
    <x v="368"/>
    <x v="32"/>
    <x v="0"/>
    <n v="575"/>
    <x v="0"/>
    <n v="22"/>
    <n v="2"/>
    <x v="3"/>
    <n v="3"/>
    <x v="1"/>
    <n v="68"/>
    <n v="2"/>
    <n v="2"/>
    <x v="0"/>
    <n v="3"/>
    <x v="1"/>
    <x v="358"/>
    <n v="6110"/>
    <n v="2"/>
    <x v="0"/>
    <n v="0.12"/>
    <n v="3"/>
    <n v="1"/>
    <n v="2"/>
    <n v="8"/>
    <n v="6"/>
    <n v="3"/>
    <x v="0"/>
    <n v="4"/>
    <n v="1"/>
    <n v="0"/>
    <x v="0"/>
    <n v="1"/>
    <n v="1"/>
    <n v="1"/>
    <n v="1"/>
    <n v="1"/>
    <n v="0"/>
    <n v="0"/>
    <n v="0"/>
    <n v="13.166106695875378"/>
    <n v="0.45360546450291089"/>
    <x v="0"/>
    <n v="0"/>
  </r>
  <r>
    <x v="369"/>
    <x v="12"/>
    <x v="0"/>
    <n v="408"/>
    <x v="1"/>
    <n v="9"/>
    <n v="4"/>
    <x v="0"/>
    <n v="3"/>
    <x v="1"/>
    <n v="42"/>
    <n v="2"/>
    <n v="1"/>
    <x v="1"/>
    <n v="2"/>
    <x v="0"/>
    <x v="210"/>
    <n v="7551"/>
    <n v="0"/>
    <x v="0"/>
    <n v="0.16"/>
    <n v="3"/>
    <n v="4"/>
    <n v="0"/>
    <n v="3"/>
    <n v="5"/>
    <n v="3"/>
    <x v="4"/>
    <n v="2"/>
    <n v="2"/>
    <n v="2"/>
    <x v="1"/>
    <n v="1"/>
    <n v="1"/>
    <n v="0"/>
    <n v="1"/>
    <n v="0"/>
    <n v="1"/>
    <n v="1"/>
    <n v="0"/>
    <n v="20.698962067398959"/>
    <n v="0.71313126349280109"/>
    <x v="1"/>
    <n v="3985.5"/>
  </r>
  <r>
    <x v="370"/>
    <x v="18"/>
    <x v="0"/>
    <n v="156"/>
    <x v="0"/>
    <n v="12"/>
    <n v="3"/>
    <x v="0"/>
    <n v="3"/>
    <x v="0"/>
    <n v="90"/>
    <n v="4"/>
    <n v="1"/>
    <x v="6"/>
    <n v="2"/>
    <x v="0"/>
    <x v="359"/>
    <n v="25422"/>
    <n v="1"/>
    <x v="1"/>
    <n v="0.15"/>
    <n v="3"/>
    <n v="4"/>
    <n v="0"/>
    <n v="1"/>
    <n v="0"/>
    <n v="3"/>
    <x v="6"/>
    <n v="0"/>
    <n v="0"/>
    <n v="0"/>
    <x v="0"/>
    <n v="0"/>
    <n v="1"/>
    <n v="0"/>
    <n v="0"/>
    <n v="0"/>
    <n v="1"/>
    <n v="1"/>
    <n v="0"/>
    <n v="10.698962067398959"/>
    <n v="0.3686061316669938"/>
    <x v="0"/>
    <n v="0"/>
  </r>
  <r>
    <x v="371"/>
    <x v="11"/>
    <x v="0"/>
    <n v="1283"/>
    <x v="1"/>
    <n v="23"/>
    <n v="3"/>
    <x v="0"/>
    <n v="4"/>
    <x v="1"/>
    <n v="54"/>
    <n v="3"/>
    <n v="1"/>
    <x v="1"/>
    <n v="4"/>
    <x v="0"/>
    <x v="360"/>
    <n v="18168"/>
    <n v="9"/>
    <x v="1"/>
    <n v="0.16"/>
    <n v="3"/>
    <n v="4"/>
    <n v="0"/>
    <n v="6"/>
    <n v="4"/>
    <n v="3"/>
    <x v="11"/>
    <n v="2"/>
    <n v="1"/>
    <n v="2"/>
    <x v="1"/>
    <n v="1"/>
    <n v="1"/>
    <n v="0"/>
    <n v="0"/>
    <n v="1"/>
    <n v="0"/>
    <n v="1"/>
    <n v="0"/>
    <n v="9.660535633296206"/>
    <n v="0.33282973125692844"/>
    <x v="0"/>
    <n v="0"/>
  </r>
  <r>
    <x v="372"/>
    <x v="10"/>
    <x v="0"/>
    <n v="755"/>
    <x v="1"/>
    <n v="9"/>
    <n v="4"/>
    <x v="0"/>
    <n v="3"/>
    <x v="1"/>
    <n v="97"/>
    <n v="2"/>
    <n v="2"/>
    <x v="4"/>
    <n v="2"/>
    <x v="0"/>
    <x v="361"/>
    <n v="19394"/>
    <n v="9"/>
    <x v="1"/>
    <n v="0.19"/>
    <n v="3"/>
    <n v="3"/>
    <n v="0"/>
    <n v="10"/>
    <n v="5"/>
    <n v="3"/>
    <x v="6"/>
    <n v="1"/>
    <n v="0"/>
    <n v="0"/>
    <x v="1"/>
    <n v="1"/>
    <n v="1"/>
    <n v="0"/>
    <n v="0"/>
    <n v="0"/>
    <n v="1"/>
    <n v="0"/>
    <n v="0"/>
    <n v="4.204533129978131"/>
    <n v="0.14485673308716898"/>
    <x v="2"/>
    <n v="0"/>
  </r>
  <r>
    <x v="373"/>
    <x v="4"/>
    <x v="0"/>
    <n v="1469"/>
    <x v="1"/>
    <n v="1"/>
    <n v="2"/>
    <x v="2"/>
    <n v="4"/>
    <x v="1"/>
    <n v="82"/>
    <n v="3"/>
    <n v="1"/>
    <x v="2"/>
    <n v="2"/>
    <x v="2"/>
    <x v="362"/>
    <n v="17881"/>
    <n v="1"/>
    <x v="1"/>
    <n v="0.11"/>
    <n v="3"/>
    <n v="2"/>
    <n v="1"/>
    <n v="5"/>
    <n v="2"/>
    <n v="3"/>
    <x v="8"/>
    <n v="2"/>
    <n v="0"/>
    <n v="4"/>
    <x v="1"/>
    <n v="1"/>
    <n v="1"/>
    <n v="2"/>
    <n v="0"/>
    <n v="0"/>
    <n v="1"/>
    <n v="1"/>
    <n v="0"/>
    <n v="10.698962067398959"/>
    <n v="0.3686061316669938"/>
    <x v="0"/>
    <n v="0"/>
  </r>
  <r>
    <x v="374"/>
    <x v="14"/>
    <x v="0"/>
    <n v="304"/>
    <x v="0"/>
    <n v="9"/>
    <n v="4"/>
    <x v="0"/>
    <n v="2"/>
    <x v="1"/>
    <n v="92"/>
    <n v="3"/>
    <n v="2"/>
    <x v="0"/>
    <n v="4"/>
    <x v="0"/>
    <x v="363"/>
    <n v="20750"/>
    <n v="1"/>
    <x v="1"/>
    <n v="0.16"/>
    <n v="3"/>
    <n v="4"/>
    <n v="0"/>
    <n v="7"/>
    <n v="1"/>
    <n v="3"/>
    <x v="5"/>
    <n v="5"/>
    <n v="0"/>
    <n v="7"/>
    <x v="1"/>
    <n v="1"/>
    <n v="1"/>
    <n v="0"/>
    <n v="0"/>
    <n v="0"/>
    <n v="0"/>
    <n v="0"/>
    <n v="0"/>
    <n v="0"/>
    <n v="0"/>
    <x v="2"/>
    <n v="0"/>
  </r>
  <r>
    <x v="375"/>
    <x v="1"/>
    <x v="0"/>
    <n v="1261"/>
    <x v="1"/>
    <n v="7"/>
    <n v="3"/>
    <x v="1"/>
    <n v="2"/>
    <x v="1"/>
    <n v="31"/>
    <n v="2"/>
    <n v="3"/>
    <x v="4"/>
    <n v="3"/>
    <x v="0"/>
    <x v="364"/>
    <n v="12066"/>
    <n v="8"/>
    <x v="1"/>
    <n v="0.24"/>
    <n v="4"/>
    <n v="3"/>
    <n v="0"/>
    <n v="26"/>
    <n v="2"/>
    <n v="3"/>
    <x v="8"/>
    <n v="2"/>
    <n v="0"/>
    <n v="0"/>
    <x v="1"/>
    <n v="1"/>
    <n v="1"/>
    <n v="0"/>
    <n v="0"/>
    <n v="0"/>
    <n v="0"/>
    <n v="0"/>
    <n v="0"/>
    <n v="0"/>
    <n v="0"/>
    <x v="2"/>
    <n v="0"/>
  </r>
  <r>
    <x v="376"/>
    <x v="31"/>
    <x v="0"/>
    <n v="1178"/>
    <x v="0"/>
    <n v="14"/>
    <n v="2"/>
    <x v="0"/>
    <n v="3"/>
    <x v="0"/>
    <n v="87"/>
    <n v="3"/>
    <n v="2"/>
    <x v="0"/>
    <n v="4"/>
    <x v="1"/>
    <x v="365"/>
    <n v="14862"/>
    <n v="4"/>
    <x v="1"/>
    <n v="0.11"/>
    <n v="3"/>
    <n v="3"/>
    <n v="1"/>
    <n v="18"/>
    <n v="2"/>
    <n v="2"/>
    <x v="5"/>
    <n v="7"/>
    <n v="0"/>
    <n v="7"/>
    <x v="1"/>
    <n v="0"/>
    <n v="1"/>
    <n v="1"/>
    <n v="0"/>
    <n v="0"/>
    <n v="0"/>
    <n v="0"/>
    <n v="0"/>
    <n v="0"/>
    <n v="0"/>
    <x v="2"/>
    <n v="0"/>
  </r>
  <r>
    <x v="377"/>
    <x v="9"/>
    <x v="0"/>
    <n v="329"/>
    <x v="1"/>
    <n v="2"/>
    <n v="3"/>
    <x v="0"/>
    <n v="4"/>
    <x v="0"/>
    <n v="96"/>
    <n v="3"/>
    <n v="1"/>
    <x v="1"/>
    <n v="3"/>
    <x v="1"/>
    <x v="366"/>
    <n v="11868"/>
    <n v="4"/>
    <x v="1"/>
    <n v="0.13"/>
    <n v="3"/>
    <n v="2"/>
    <n v="1"/>
    <n v="6"/>
    <n v="3"/>
    <n v="3"/>
    <x v="4"/>
    <n v="2"/>
    <n v="2"/>
    <n v="2"/>
    <x v="1"/>
    <n v="0"/>
    <n v="1"/>
    <n v="1"/>
    <n v="0"/>
    <n v="0"/>
    <n v="0"/>
    <n v="1"/>
    <n v="0"/>
    <n v="6.4944289374208282"/>
    <n v="0.22374939857982484"/>
    <x v="2"/>
    <n v="0"/>
  </r>
  <r>
    <x v="378"/>
    <x v="13"/>
    <x v="2"/>
    <n v="1362"/>
    <x v="0"/>
    <n v="19"/>
    <n v="3"/>
    <x v="3"/>
    <n v="1"/>
    <x v="1"/>
    <n v="67"/>
    <n v="4"/>
    <n v="2"/>
    <x v="0"/>
    <n v="4"/>
    <x v="0"/>
    <x v="367"/>
    <n v="4652"/>
    <n v="8"/>
    <x v="0"/>
    <n v="0.13"/>
    <n v="3"/>
    <n v="2"/>
    <n v="0"/>
    <n v="9"/>
    <n v="3"/>
    <n v="2"/>
    <x v="8"/>
    <n v="2"/>
    <n v="0"/>
    <n v="4"/>
    <x v="0"/>
    <n v="1"/>
    <n v="0"/>
    <n v="0"/>
    <n v="1"/>
    <n v="1"/>
    <n v="0"/>
    <n v="0"/>
    <n v="0"/>
    <n v="13.166106695875378"/>
    <n v="0.45360546450291089"/>
    <x v="0"/>
    <n v="0"/>
  </r>
  <r>
    <x v="379"/>
    <x v="27"/>
    <x v="0"/>
    <n v="1311"/>
    <x v="1"/>
    <n v="2"/>
    <n v="3"/>
    <x v="0"/>
    <n v="3"/>
    <x v="0"/>
    <n v="97"/>
    <n v="3"/>
    <n v="4"/>
    <x v="5"/>
    <n v="4"/>
    <x v="0"/>
    <x v="368"/>
    <n v="23258"/>
    <n v="2"/>
    <x v="0"/>
    <n v="0.13"/>
    <n v="3"/>
    <n v="3"/>
    <n v="0"/>
    <n v="30"/>
    <n v="2"/>
    <n v="3"/>
    <x v="8"/>
    <n v="4"/>
    <n v="1"/>
    <n v="2"/>
    <x v="1"/>
    <n v="0"/>
    <n v="1"/>
    <n v="0"/>
    <n v="1"/>
    <n v="0"/>
    <n v="0"/>
    <n v="0"/>
    <n v="0"/>
    <n v="10"/>
    <n v="0.3445251318258073"/>
    <x v="0"/>
    <n v="0"/>
  </r>
  <r>
    <x v="380"/>
    <x v="17"/>
    <x v="0"/>
    <n v="1371"/>
    <x v="0"/>
    <n v="10"/>
    <n v="4"/>
    <x v="3"/>
    <n v="4"/>
    <x v="0"/>
    <n v="77"/>
    <n v="3"/>
    <n v="2"/>
    <x v="0"/>
    <n v="3"/>
    <x v="2"/>
    <x v="369"/>
    <n v="5915"/>
    <n v="1"/>
    <x v="0"/>
    <n v="0.12"/>
    <n v="3"/>
    <n v="4"/>
    <n v="1"/>
    <n v="5"/>
    <n v="2"/>
    <n v="4"/>
    <x v="8"/>
    <n v="2"/>
    <n v="0"/>
    <n v="3"/>
    <x v="1"/>
    <n v="0"/>
    <n v="1"/>
    <n v="2"/>
    <n v="1"/>
    <n v="0"/>
    <n v="0"/>
    <n v="1"/>
    <n v="0"/>
    <n v="16.494428937420828"/>
    <n v="0.56827453040563214"/>
    <x v="1"/>
    <n v="6390"/>
  </r>
  <r>
    <x v="381"/>
    <x v="7"/>
    <x v="0"/>
    <n v="202"/>
    <x v="0"/>
    <n v="2"/>
    <n v="1"/>
    <x v="4"/>
    <n v="3"/>
    <x v="1"/>
    <n v="72"/>
    <n v="3"/>
    <n v="1"/>
    <x v="6"/>
    <n v="2"/>
    <x v="1"/>
    <x v="370"/>
    <n v="17434"/>
    <n v="1"/>
    <x v="1"/>
    <n v="0.18"/>
    <n v="3"/>
    <n v="1"/>
    <n v="1"/>
    <n v="1"/>
    <n v="3"/>
    <n v="3"/>
    <x v="6"/>
    <n v="0"/>
    <n v="0"/>
    <n v="0"/>
    <x v="1"/>
    <n v="1"/>
    <n v="1"/>
    <n v="1"/>
    <n v="0"/>
    <n v="0"/>
    <n v="1"/>
    <n v="1"/>
    <n v="0"/>
    <n v="10.698962067398959"/>
    <n v="0.3686061316669938"/>
    <x v="0"/>
    <n v="0"/>
  </r>
  <r>
    <x v="382"/>
    <x v="25"/>
    <x v="1"/>
    <n v="575"/>
    <x v="1"/>
    <n v="3"/>
    <n v="1"/>
    <x v="4"/>
    <n v="3"/>
    <x v="1"/>
    <n v="73"/>
    <n v="3"/>
    <n v="1"/>
    <x v="1"/>
    <n v="1"/>
    <x v="0"/>
    <x v="371"/>
    <n v="6582"/>
    <n v="0"/>
    <x v="1"/>
    <n v="0.22"/>
    <n v="4"/>
    <n v="3"/>
    <n v="0"/>
    <n v="7"/>
    <n v="2"/>
    <n v="3"/>
    <x v="0"/>
    <n v="4"/>
    <n v="0"/>
    <n v="4"/>
    <x v="0"/>
    <n v="1"/>
    <n v="2"/>
    <n v="0"/>
    <n v="0"/>
    <n v="0"/>
    <n v="1"/>
    <n v="1"/>
    <n v="1"/>
    <n v="15.859352047889136"/>
    <n v="0.54639453549708916"/>
    <x v="1"/>
    <n v="4653"/>
  </r>
  <r>
    <x v="383"/>
    <x v="15"/>
    <x v="0"/>
    <n v="253"/>
    <x v="1"/>
    <n v="11"/>
    <n v="3"/>
    <x v="2"/>
    <n v="1"/>
    <x v="0"/>
    <n v="43"/>
    <n v="3"/>
    <n v="1"/>
    <x v="1"/>
    <n v="2"/>
    <x v="1"/>
    <x v="372"/>
    <n v="24440"/>
    <n v="1"/>
    <x v="1"/>
    <n v="0.13"/>
    <n v="3"/>
    <n v="4"/>
    <n v="1"/>
    <n v="2"/>
    <n v="1"/>
    <n v="3"/>
    <x v="4"/>
    <n v="1"/>
    <n v="1"/>
    <n v="2"/>
    <x v="1"/>
    <n v="0"/>
    <n v="1"/>
    <n v="1"/>
    <n v="0"/>
    <n v="0"/>
    <n v="1"/>
    <n v="1"/>
    <n v="0"/>
    <n v="10.698962067398959"/>
    <n v="0.3686061316669938"/>
    <x v="0"/>
    <n v="0"/>
  </r>
  <r>
    <x v="384"/>
    <x v="9"/>
    <x v="0"/>
    <n v="164"/>
    <x v="0"/>
    <n v="2"/>
    <n v="2"/>
    <x v="2"/>
    <n v="2"/>
    <x v="1"/>
    <n v="61"/>
    <n v="2"/>
    <n v="3"/>
    <x v="0"/>
    <n v="3"/>
    <x v="1"/>
    <x v="373"/>
    <n v="3809"/>
    <n v="1"/>
    <x v="1"/>
    <n v="0.13"/>
    <n v="3"/>
    <n v="2"/>
    <n v="2"/>
    <n v="10"/>
    <n v="2"/>
    <n v="3"/>
    <x v="1"/>
    <n v="9"/>
    <n v="9"/>
    <n v="0"/>
    <x v="1"/>
    <n v="1"/>
    <n v="1"/>
    <n v="1"/>
    <n v="0"/>
    <n v="0"/>
    <n v="0"/>
    <n v="0"/>
    <n v="0"/>
    <n v="0"/>
    <n v="0"/>
    <x v="2"/>
    <n v="0"/>
  </r>
  <r>
    <x v="385"/>
    <x v="7"/>
    <x v="1"/>
    <n v="464"/>
    <x v="1"/>
    <n v="4"/>
    <n v="3"/>
    <x v="4"/>
    <n v="3"/>
    <x v="1"/>
    <n v="40"/>
    <n v="3"/>
    <n v="1"/>
    <x v="1"/>
    <n v="4"/>
    <x v="0"/>
    <x v="374"/>
    <n v="3427"/>
    <n v="9"/>
    <x v="0"/>
    <n v="0.23"/>
    <n v="4"/>
    <n v="3"/>
    <n v="0"/>
    <n v="3"/>
    <n v="4"/>
    <n v="3"/>
    <x v="6"/>
    <n v="0"/>
    <n v="0"/>
    <n v="0"/>
    <x v="0"/>
    <n v="1"/>
    <n v="2"/>
    <n v="0"/>
    <n v="1"/>
    <n v="0"/>
    <n v="0"/>
    <n v="1"/>
    <n v="1"/>
    <n v="21.654818917911005"/>
    <n v="0.74606293423572745"/>
    <x v="1"/>
    <n v="3427.5"/>
  </r>
  <r>
    <x v="386"/>
    <x v="2"/>
    <x v="0"/>
    <n v="1107"/>
    <x v="1"/>
    <n v="14"/>
    <n v="3"/>
    <x v="0"/>
    <n v="4"/>
    <x v="0"/>
    <n v="95"/>
    <n v="3"/>
    <n v="1"/>
    <x v="2"/>
    <n v="1"/>
    <x v="2"/>
    <x v="375"/>
    <n v="26914"/>
    <n v="1"/>
    <x v="1"/>
    <n v="0.12"/>
    <n v="3"/>
    <n v="3"/>
    <n v="1"/>
    <n v="18"/>
    <n v="2"/>
    <n v="2"/>
    <x v="29"/>
    <n v="7"/>
    <n v="12"/>
    <n v="17"/>
    <x v="1"/>
    <n v="0"/>
    <n v="1"/>
    <n v="2"/>
    <n v="0"/>
    <n v="0"/>
    <n v="1"/>
    <n v="1"/>
    <n v="0"/>
    <n v="10.698962067398959"/>
    <n v="0.3686061316669938"/>
    <x v="0"/>
    <n v="0"/>
  </r>
  <r>
    <x v="387"/>
    <x v="32"/>
    <x v="0"/>
    <n v="759"/>
    <x v="0"/>
    <n v="2"/>
    <n v="2"/>
    <x v="3"/>
    <n v="4"/>
    <x v="0"/>
    <n v="46"/>
    <n v="3"/>
    <n v="2"/>
    <x v="0"/>
    <n v="2"/>
    <x v="2"/>
    <x v="376"/>
    <n v="22553"/>
    <n v="7"/>
    <x v="1"/>
    <n v="0.12"/>
    <n v="3"/>
    <n v="3"/>
    <n v="2"/>
    <n v="8"/>
    <n v="5"/>
    <n v="3"/>
    <x v="8"/>
    <n v="4"/>
    <n v="1"/>
    <n v="3"/>
    <x v="1"/>
    <n v="0"/>
    <n v="1"/>
    <n v="2"/>
    <n v="0"/>
    <n v="0"/>
    <n v="1"/>
    <n v="0"/>
    <n v="0"/>
    <n v="4.204533129978131"/>
    <n v="0.14485673308716898"/>
    <x v="2"/>
    <n v="0"/>
  </r>
  <r>
    <x v="388"/>
    <x v="19"/>
    <x v="0"/>
    <n v="201"/>
    <x v="1"/>
    <n v="1"/>
    <n v="4"/>
    <x v="0"/>
    <n v="2"/>
    <x v="0"/>
    <n v="95"/>
    <n v="3"/>
    <n v="1"/>
    <x v="2"/>
    <n v="1"/>
    <x v="2"/>
    <x v="377"/>
    <n v="20490"/>
    <n v="3"/>
    <x v="1"/>
    <n v="0.16"/>
    <n v="3"/>
    <n v="2"/>
    <n v="1"/>
    <n v="8"/>
    <n v="5"/>
    <n v="3"/>
    <x v="8"/>
    <n v="2"/>
    <n v="1"/>
    <n v="2"/>
    <x v="1"/>
    <n v="0"/>
    <n v="1"/>
    <n v="2"/>
    <n v="0"/>
    <n v="0"/>
    <n v="1"/>
    <n v="1"/>
    <n v="0"/>
    <n v="10.698962067398959"/>
    <n v="0.3686061316669938"/>
    <x v="0"/>
    <n v="0"/>
  </r>
  <r>
    <x v="389"/>
    <x v="2"/>
    <x v="0"/>
    <n v="1305"/>
    <x v="1"/>
    <n v="10"/>
    <n v="4"/>
    <x v="0"/>
    <n v="3"/>
    <x v="1"/>
    <n v="49"/>
    <n v="3"/>
    <n v="2"/>
    <x v="3"/>
    <n v="2"/>
    <x v="0"/>
    <x v="378"/>
    <n v="21123"/>
    <n v="2"/>
    <x v="0"/>
    <n v="0.12"/>
    <n v="3"/>
    <n v="4"/>
    <n v="0"/>
    <n v="18"/>
    <n v="2"/>
    <n v="2"/>
    <x v="6"/>
    <n v="0"/>
    <n v="0"/>
    <n v="1"/>
    <x v="1"/>
    <n v="1"/>
    <n v="1"/>
    <n v="0"/>
    <n v="1"/>
    <n v="0"/>
    <n v="1"/>
    <n v="1"/>
    <n v="0"/>
    <n v="20.698962067398959"/>
    <n v="0.71313126349280109"/>
    <x v="1"/>
    <n v="6295.5"/>
  </r>
  <r>
    <x v="390"/>
    <x v="23"/>
    <x v="0"/>
    <n v="982"/>
    <x v="1"/>
    <n v="12"/>
    <n v="3"/>
    <x v="0"/>
    <n v="1"/>
    <x v="1"/>
    <n v="59"/>
    <n v="2"/>
    <n v="4"/>
    <x v="7"/>
    <n v="2"/>
    <x v="2"/>
    <x v="379"/>
    <n v="4345"/>
    <n v="1"/>
    <x v="1"/>
    <n v="0.11"/>
    <n v="3"/>
    <n v="3"/>
    <n v="1"/>
    <n v="25"/>
    <n v="3"/>
    <n v="3"/>
    <x v="10"/>
    <n v="10"/>
    <n v="3"/>
    <n v="9"/>
    <x v="1"/>
    <n v="1"/>
    <n v="1"/>
    <n v="2"/>
    <n v="0"/>
    <n v="0"/>
    <n v="1"/>
    <n v="0"/>
    <n v="0"/>
    <n v="4.204533129978131"/>
    <n v="0.14485673308716898"/>
    <x v="2"/>
    <n v="0"/>
  </r>
  <r>
    <x v="391"/>
    <x v="32"/>
    <x v="0"/>
    <n v="555"/>
    <x v="1"/>
    <n v="2"/>
    <n v="3"/>
    <x v="2"/>
    <n v="2"/>
    <x v="0"/>
    <n v="78"/>
    <n v="2"/>
    <n v="2"/>
    <x v="2"/>
    <n v="3"/>
    <x v="1"/>
    <x v="380"/>
    <n v="13436"/>
    <n v="6"/>
    <x v="1"/>
    <n v="0.22"/>
    <n v="4"/>
    <n v="2"/>
    <n v="1"/>
    <n v="20"/>
    <n v="3"/>
    <n v="3"/>
    <x v="6"/>
    <n v="0"/>
    <n v="0"/>
    <n v="0"/>
    <x v="1"/>
    <n v="0"/>
    <n v="1"/>
    <n v="1"/>
    <n v="0"/>
    <n v="0"/>
    <n v="0"/>
    <n v="1"/>
    <n v="0"/>
    <n v="6.4944289374208282"/>
    <n v="0.22374939857982484"/>
    <x v="2"/>
    <n v="0"/>
  </r>
  <r>
    <x v="392"/>
    <x v="33"/>
    <x v="0"/>
    <n v="821"/>
    <x v="1"/>
    <n v="5"/>
    <n v="2"/>
    <x v="2"/>
    <n v="1"/>
    <x v="1"/>
    <n v="86"/>
    <n v="3"/>
    <n v="5"/>
    <x v="7"/>
    <n v="1"/>
    <x v="1"/>
    <x v="381"/>
    <n v="8509"/>
    <n v="4"/>
    <x v="1"/>
    <n v="0.11"/>
    <n v="3"/>
    <n v="3"/>
    <n v="1"/>
    <n v="24"/>
    <n v="4"/>
    <n v="2"/>
    <x v="9"/>
    <n v="2"/>
    <n v="1"/>
    <n v="2"/>
    <x v="1"/>
    <n v="1"/>
    <n v="1"/>
    <n v="1"/>
    <n v="0"/>
    <n v="0"/>
    <n v="1"/>
    <n v="0"/>
    <n v="0"/>
    <n v="4.204533129978131"/>
    <n v="0.14485673308716898"/>
    <x v="2"/>
    <n v="0"/>
  </r>
  <r>
    <x v="393"/>
    <x v="13"/>
    <x v="2"/>
    <n v="1381"/>
    <x v="0"/>
    <n v="4"/>
    <n v="4"/>
    <x v="3"/>
    <n v="3"/>
    <x v="0"/>
    <n v="72"/>
    <n v="3"/>
    <n v="2"/>
    <x v="0"/>
    <n v="3"/>
    <x v="1"/>
    <x v="382"/>
    <n v="12740"/>
    <n v="9"/>
    <x v="1"/>
    <n v="0.15"/>
    <n v="3"/>
    <n v="1"/>
    <n v="1"/>
    <n v="6"/>
    <n v="3"/>
    <n v="3"/>
    <x v="11"/>
    <n v="2"/>
    <n v="1"/>
    <n v="2"/>
    <x v="1"/>
    <n v="0"/>
    <n v="0"/>
    <n v="1"/>
    <n v="0"/>
    <n v="0"/>
    <n v="0"/>
    <n v="0"/>
    <n v="0"/>
    <n v="0"/>
    <n v="0"/>
    <x v="2"/>
    <n v="0"/>
  </r>
  <r>
    <x v="394"/>
    <x v="12"/>
    <x v="0"/>
    <n v="480"/>
    <x v="1"/>
    <n v="7"/>
    <n v="2"/>
    <x v="2"/>
    <n v="2"/>
    <x v="0"/>
    <n v="31"/>
    <n v="3"/>
    <n v="2"/>
    <x v="3"/>
    <n v="1"/>
    <x v="1"/>
    <x v="383"/>
    <n v="4156"/>
    <n v="1"/>
    <x v="1"/>
    <n v="0.12"/>
    <n v="3"/>
    <n v="2"/>
    <n v="1"/>
    <n v="13"/>
    <n v="5"/>
    <n v="1"/>
    <x v="20"/>
    <n v="10"/>
    <n v="3"/>
    <n v="12"/>
    <x v="1"/>
    <n v="0"/>
    <n v="1"/>
    <n v="1"/>
    <n v="0"/>
    <n v="0"/>
    <n v="1"/>
    <n v="1"/>
    <n v="0"/>
    <n v="10.698962067398959"/>
    <n v="0.3686061316669938"/>
    <x v="0"/>
    <n v="0"/>
  </r>
  <r>
    <x v="395"/>
    <x v="23"/>
    <x v="1"/>
    <n v="313"/>
    <x v="1"/>
    <n v="21"/>
    <n v="3"/>
    <x v="2"/>
    <n v="4"/>
    <x v="1"/>
    <n v="61"/>
    <n v="3"/>
    <n v="1"/>
    <x v="2"/>
    <n v="4"/>
    <x v="1"/>
    <x v="384"/>
    <n v="15238"/>
    <n v="7"/>
    <x v="1"/>
    <n v="0.2"/>
    <n v="4"/>
    <n v="1"/>
    <n v="1"/>
    <n v="8"/>
    <n v="1"/>
    <n v="3"/>
    <x v="11"/>
    <n v="2"/>
    <n v="1"/>
    <n v="2"/>
    <x v="1"/>
    <n v="1"/>
    <n v="2"/>
    <n v="1"/>
    <n v="0"/>
    <n v="1"/>
    <n v="0"/>
    <n v="1"/>
    <n v="1"/>
    <n v="14.820925613786383"/>
    <n v="0.51061813508702369"/>
    <x v="1"/>
    <n v="3387"/>
  </r>
  <r>
    <x v="396"/>
    <x v="23"/>
    <x v="0"/>
    <n v="1473"/>
    <x v="1"/>
    <n v="8"/>
    <n v="4"/>
    <x v="1"/>
    <n v="3"/>
    <x v="0"/>
    <n v="74"/>
    <n v="3"/>
    <n v="2"/>
    <x v="4"/>
    <n v="3"/>
    <x v="2"/>
    <x v="385"/>
    <n v="2227"/>
    <n v="4"/>
    <x v="0"/>
    <n v="0.14000000000000001"/>
    <n v="3"/>
    <n v="4"/>
    <n v="0"/>
    <n v="8"/>
    <n v="3"/>
    <n v="3"/>
    <x v="8"/>
    <n v="2"/>
    <n v="0"/>
    <n v="2"/>
    <x v="1"/>
    <n v="0"/>
    <n v="1"/>
    <n v="2"/>
    <n v="1"/>
    <n v="0"/>
    <n v="0"/>
    <n v="1"/>
    <n v="0"/>
    <n v="16.494428937420828"/>
    <n v="0.56827453040563214"/>
    <x v="1"/>
    <n v="6783"/>
  </r>
  <r>
    <x v="397"/>
    <x v="36"/>
    <x v="0"/>
    <n v="891"/>
    <x v="0"/>
    <n v="4"/>
    <n v="2"/>
    <x v="0"/>
    <n v="2"/>
    <x v="0"/>
    <n v="99"/>
    <n v="2"/>
    <n v="2"/>
    <x v="0"/>
    <n v="4"/>
    <x v="0"/>
    <x v="386"/>
    <n v="12090"/>
    <n v="1"/>
    <x v="0"/>
    <n v="0.11"/>
    <n v="3"/>
    <n v="2"/>
    <n v="0"/>
    <n v="5"/>
    <n v="3"/>
    <n v="3"/>
    <x v="8"/>
    <n v="4"/>
    <n v="1"/>
    <n v="3"/>
    <x v="1"/>
    <n v="0"/>
    <n v="1"/>
    <n v="0"/>
    <n v="1"/>
    <n v="0"/>
    <n v="0"/>
    <n v="1"/>
    <n v="0"/>
    <n v="16.494428937420828"/>
    <n v="0.56827453040563214"/>
    <x v="1"/>
    <n v="6730.5"/>
  </r>
  <r>
    <x v="398"/>
    <x v="2"/>
    <x v="2"/>
    <n v="1063"/>
    <x v="1"/>
    <n v="25"/>
    <n v="5"/>
    <x v="2"/>
    <n v="2"/>
    <x v="0"/>
    <n v="72"/>
    <n v="3"/>
    <n v="2"/>
    <x v="1"/>
    <n v="3"/>
    <x v="1"/>
    <x v="387"/>
    <n v="23866"/>
    <n v="3"/>
    <x v="0"/>
    <n v="0.15"/>
    <n v="3"/>
    <n v="1"/>
    <n v="2"/>
    <n v="15"/>
    <n v="2"/>
    <n v="3"/>
    <x v="20"/>
    <n v="11"/>
    <n v="10"/>
    <n v="7"/>
    <x v="1"/>
    <n v="0"/>
    <n v="0"/>
    <n v="1"/>
    <n v="1"/>
    <n v="1"/>
    <n v="0"/>
    <n v="1"/>
    <n v="0"/>
    <n v="19.660535633296206"/>
    <n v="0.67735486308273574"/>
    <x v="1"/>
    <n v="6673.5"/>
  </r>
  <r>
    <x v="399"/>
    <x v="12"/>
    <x v="0"/>
    <n v="329"/>
    <x v="1"/>
    <n v="1"/>
    <n v="2"/>
    <x v="0"/>
    <n v="4"/>
    <x v="1"/>
    <n v="98"/>
    <n v="2"/>
    <n v="1"/>
    <x v="2"/>
    <n v="1"/>
    <x v="1"/>
    <x v="388"/>
    <n v="16193"/>
    <n v="1"/>
    <x v="1"/>
    <n v="0.12"/>
    <n v="3"/>
    <n v="3"/>
    <n v="1"/>
    <n v="4"/>
    <n v="3"/>
    <n v="3"/>
    <x v="9"/>
    <n v="2"/>
    <n v="3"/>
    <n v="2"/>
    <x v="1"/>
    <n v="1"/>
    <n v="1"/>
    <n v="1"/>
    <n v="0"/>
    <n v="0"/>
    <n v="1"/>
    <n v="1"/>
    <n v="0"/>
    <n v="10.698962067398959"/>
    <n v="0.3686061316669938"/>
    <x v="0"/>
    <n v="0"/>
  </r>
  <r>
    <x v="400"/>
    <x v="22"/>
    <x v="1"/>
    <n v="1218"/>
    <x v="1"/>
    <n v="1"/>
    <n v="1"/>
    <x v="0"/>
    <n v="2"/>
    <x v="1"/>
    <n v="52"/>
    <n v="3"/>
    <n v="5"/>
    <x v="5"/>
    <n v="3"/>
    <x v="2"/>
    <x v="389"/>
    <n v="8213"/>
    <n v="1"/>
    <x v="0"/>
    <n v="0.14000000000000001"/>
    <n v="3"/>
    <n v="3"/>
    <n v="1"/>
    <n v="21"/>
    <n v="3"/>
    <n v="3"/>
    <x v="17"/>
    <n v="8"/>
    <n v="1"/>
    <n v="6"/>
    <x v="1"/>
    <n v="1"/>
    <n v="2"/>
    <n v="2"/>
    <n v="1"/>
    <n v="0"/>
    <n v="0"/>
    <n v="0"/>
    <n v="1"/>
    <n v="15.160389980490176"/>
    <n v="0.52231353565590266"/>
    <x v="1"/>
    <n v="28795.5"/>
  </r>
  <r>
    <x v="401"/>
    <x v="29"/>
    <x v="1"/>
    <n v="906"/>
    <x v="0"/>
    <n v="6"/>
    <n v="3"/>
    <x v="0"/>
    <n v="3"/>
    <x v="0"/>
    <n v="86"/>
    <n v="4"/>
    <n v="4"/>
    <x v="0"/>
    <n v="1"/>
    <x v="1"/>
    <x v="390"/>
    <n v="18256"/>
    <n v="9"/>
    <x v="1"/>
    <n v="0.11"/>
    <n v="3"/>
    <n v="4"/>
    <n v="3"/>
    <n v="36"/>
    <n v="0"/>
    <n v="2"/>
    <x v="5"/>
    <n v="7"/>
    <n v="7"/>
    <n v="7"/>
    <x v="1"/>
    <n v="0"/>
    <n v="2"/>
    <n v="1"/>
    <n v="0"/>
    <n v="0"/>
    <n v="1"/>
    <n v="0"/>
    <n v="1"/>
    <n v="9.3649231104683075"/>
    <n v="0.32264513691726432"/>
    <x v="0"/>
    <n v="0"/>
  </r>
  <r>
    <x v="402"/>
    <x v="7"/>
    <x v="0"/>
    <n v="1082"/>
    <x v="0"/>
    <n v="12"/>
    <n v="3"/>
    <x v="4"/>
    <n v="2"/>
    <x v="0"/>
    <n v="83"/>
    <n v="3"/>
    <n v="2"/>
    <x v="0"/>
    <n v="3"/>
    <x v="0"/>
    <x v="391"/>
    <n v="19558"/>
    <n v="0"/>
    <x v="1"/>
    <n v="0.11"/>
    <n v="3"/>
    <n v="2"/>
    <n v="0"/>
    <n v="6"/>
    <n v="6"/>
    <n v="3"/>
    <x v="8"/>
    <n v="4"/>
    <n v="4"/>
    <n v="4"/>
    <x v="1"/>
    <n v="0"/>
    <n v="1"/>
    <n v="0"/>
    <n v="0"/>
    <n v="0"/>
    <n v="0"/>
    <n v="0"/>
    <n v="0"/>
    <n v="0"/>
    <n v="0"/>
    <x v="2"/>
    <n v="0"/>
  </r>
  <r>
    <x v="403"/>
    <x v="0"/>
    <x v="0"/>
    <n v="645"/>
    <x v="0"/>
    <n v="1"/>
    <n v="3"/>
    <x v="3"/>
    <n v="2"/>
    <x v="1"/>
    <n v="49"/>
    <n v="4"/>
    <n v="3"/>
    <x v="0"/>
    <n v="1"/>
    <x v="1"/>
    <x v="392"/>
    <n v="19566"/>
    <n v="1"/>
    <x v="1"/>
    <n v="0.16"/>
    <n v="3"/>
    <n v="3"/>
    <n v="1"/>
    <n v="10"/>
    <n v="2"/>
    <n v="3"/>
    <x v="1"/>
    <n v="7"/>
    <n v="0"/>
    <n v="7"/>
    <x v="1"/>
    <n v="1"/>
    <n v="1"/>
    <n v="1"/>
    <n v="0"/>
    <n v="0"/>
    <n v="1"/>
    <n v="0"/>
    <n v="0"/>
    <n v="4.204533129978131"/>
    <n v="0.14485673308716898"/>
    <x v="2"/>
    <n v="0"/>
  </r>
  <r>
    <x v="404"/>
    <x v="14"/>
    <x v="0"/>
    <n v="1300"/>
    <x v="1"/>
    <n v="17"/>
    <n v="2"/>
    <x v="2"/>
    <n v="3"/>
    <x v="1"/>
    <n v="79"/>
    <n v="3"/>
    <n v="2"/>
    <x v="2"/>
    <n v="1"/>
    <x v="2"/>
    <x v="393"/>
    <n v="13535"/>
    <n v="1"/>
    <x v="1"/>
    <n v="0.12"/>
    <n v="3"/>
    <n v="4"/>
    <n v="1"/>
    <n v="10"/>
    <n v="2"/>
    <n v="3"/>
    <x v="1"/>
    <n v="0"/>
    <n v="1"/>
    <n v="8"/>
    <x v="1"/>
    <n v="1"/>
    <n v="1"/>
    <n v="2"/>
    <n v="0"/>
    <n v="1"/>
    <n v="1"/>
    <n v="1"/>
    <n v="0"/>
    <n v="13.865068763274337"/>
    <n v="0.47768646434409739"/>
    <x v="0"/>
    <n v="0"/>
  </r>
  <r>
    <x v="405"/>
    <x v="36"/>
    <x v="0"/>
    <n v="688"/>
    <x v="1"/>
    <n v="3"/>
    <n v="3"/>
    <x v="2"/>
    <n v="1"/>
    <x v="1"/>
    <n v="91"/>
    <n v="3"/>
    <n v="1"/>
    <x v="2"/>
    <n v="1"/>
    <x v="1"/>
    <x v="394"/>
    <n v="9396"/>
    <n v="5"/>
    <x v="1"/>
    <n v="0.13"/>
    <n v="3"/>
    <n v="3"/>
    <n v="1"/>
    <n v="6"/>
    <n v="5"/>
    <n v="3"/>
    <x v="4"/>
    <n v="2"/>
    <n v="0"/>
    <n v="2"/>
    <x v="0"/>
    <n v="1"/>
    <n v="1"/>
    <n v="1"/>
    <n v="0"/>
    <n v="0"/>
    <n v="1"/>
    <n v="1"/>
    <n v="0"/>
    <n v="10.698962067398959"/>
    <n v="0.3686061316669938"/>
    <x v="0"/>
    <n v="0"/>
  </r>
  <r>
    <x v="406"/>
    <x v="39"/>
    <x v="0"/>
    <n v="319"/>
    <x v="1"/>
    <n v="3"/>
    <n v="3"/>
    <x v="2"/>
    <n v="4"/>
    <x v="1"/>
    <n v="39"/>
    <n v="2"/>
    <n v="3"/>
    <x v="3"/>
    <n v="3"/>
    <x v="1"/>
    <x v="395"/>
    <n v="19609"/>
    <n v="2"/>
    <x v="0"/>
    <n v="0.14000000000000001"/>
    <n v="3"/>
    <n v="3"/>
    <n v="0"/>
    <n v="28"/>
    <n v="4"/>
    <n v="3"/>
    <x v="8"/>
    <n v="4"/>
    <n v="0"/>
    <n v="4"/>
    <x v="1"/>
    <n v="1"/>
    <n v="1"/>
    <n v="1"/>
    <n v="1"/>
    <n v="0"/>
    <n v="0"/>
    <n v="0"/>
    <n v="0"/>
    <n v="10"/>
    <n v="0.3445251318258073"/>
    <x v="0"/>
    <n v="0"/>
  </r>
  <r>
    <x v="407"/>
    <x v="28"/>
    <x v="0"/>
    <n v="192"/>
    <x v="1"/>
    <n v="10"/>
    <n v="2"/>
    <x v="0"/>
    <n v="1"/>
    <x v="1"/>
    <n v="69"/>
    <n v="3"/>
    <n v="1"/>
    <x v="1"/>
    <n v="4"/>
    <x v="1"/>
    <x v="396"/>
    <n v="9655"/>
    <n v="3"/>
    <x v="1"/>
    <n v="0.21"/>
    <n v="4"/>
    <n v="4"/>
    <n v="2"/>
    <n v="8"/>
    <n v="3"/>
    <n v="2"/>
    <x v="4"/>
    <n v="2"/>
    <n v="0"/>
    <n v="2"/>
    <x v="1"/>
    <n v="1"/>
    <n v="1"/>
    <n v="1"/>
    <n v="0"/>
    <n v="0"/>
    <n v="0"/>
    <n v="1"/>
    <n v="0"/>
    <n v="6.4944289374208282"/>
    <n v="0.22374939857982484"/>
    <x v="2"/>
    <n v="0"/>
  </r>
  <r>
    <x v="408"/>
    <x v="39"/>
    <x v="0"/>
    <n v="1490"/>
    <x v="1"/>
    <n v="4"/>
    <n v="2"/>
    <x v="0"/>
    <n v="4"/>
    <x v="0"/>
    <n v="30"/>
    <n v="3"/>
    <n v="4"/>
    <x v="5"/>
    <n v="4"/>
    <x v="1"/>
    <x v="397"/>
    <n v="10310"/>
    <n v="2"/>
    <x v="1"/>
    <n v="0.13"/>
    <n v="3"/>
    <n v="4"/>
    <n v="0"/>
    <n v="31"/>
    <n v="2"/>
    <n v="1"/>
    <x v="8"/>
    <n v="2"/>
    <n v="1"/>
    <n v="4"/>
    <x v="1"/>
    <n v="0"/>
    <n v="1"/>
    <n v="1"/>
    <n v="0"/>
    <n v="0"/>
    <n v="0"/>
    <n v="0"/>
    <n v="0"/>
    <n v="0"/>
    <n v="0"/>
    <x v="2"/>
    <n v="0"/>
  </r>
  <r>
    <x v="409"/>
    <x v="19"/>
    <x v="1"/>
    <n v="532"/>
    <x v="1"/>
    <n v="29"/>
    <n v="2"/>
    <x v="0"/>
    <n v="1"/>
    <x v="0"/>
    <n v="92"/>
    <n v="3"/>
    <n v="2"/>
    <x v="1"/>
    <n v="3"/>
    <x v="2"/>
    <x v="398"/>
    <n v="12932"/>
    <n v="2"/>
    <x v="1"/>
    <n v="0.11"/>
    <n v="3"/>
    <n v="2"/>
    <n v="1"/>
    <n v="19"/>
    <n v="3"/>
    <n v="3"/>
    <x v="8"/>
    <n v="4"/>
    <n v="0"/>
    <n v="2"/>
    <x v="1"/>
    <n v="0"/>
    <n v="2"/>
    <n v="2"/>
    <n v="0"/>
    <n v="1"/>
    <n v="0"/>
    <n v="1"/>
    <n v="1"/>
    <n v="14.820925613786383"/>
    <n v="0.51061813508702369"/>
    <x v="1"/>
    <n v="6834"/>
  </r>
  <r>
    <x v="410"/>
    <x v="7"/>
    <x v="0"/>
    <n v="317"/>
    <x v="1"/>
    <n v="2"/>
    <n v="3"/>
    <x v="0"/>
    <n v="3"/>
    <x v="0"/>
    <n v="43"/>
    <n v="1"/>
    <n v="2"/>
    <x v="3"/>
    <n v="4"/>
    <x v="0"/>
    <x v="399"/>
    <n v="24793"/>
    <n v="2"/>
    <x v="1"/>
    <n v="0.2"/>
    <n v="4"/>
    <n v="3"/>
    <n v="0"/>
    <n v="11"/>
    <n v="2"/>
    <n v="3"/>
    <x v="8"/>
    <n v="4"/>
    <n v="0"/>
    <n v="2"/>
    <x v="1"/>
    <n v="0"/>
    <n v="1"/>
    <n v="0"/>
    <n v="0"/>
    <n v="0"/>
    <n v="0"/>
    <n v="0"/>
    <n v="0"/>
    <n v="0"/>
    <n v="0"/>
    <x v="2"/>
    <n v="0"/>
  </r>
  <r>
    <x v="411"/>
    <x v="42"/>
    <x v="0"/>
    <n v="422"/>
    <x v="1"/>
    <n v="7"/>
    <n v="3"/>
    <x v="0"/>
    <n v="1"/>
    <x v="0"/>
    <n v="41"/>
    <n v="3"/>
    <n v="5"/>
    <x v="5"/>
    <n v="1"/>
    <x v="1"/>
    <x v="400"/>
    <n v="3854"/>
    <n v="5"/>
    <x v="1"/>
    <n v="0.11"/>
    <n v="3"/>
    <n v="4"/>
    <n v="0"/>
    <n v="33"/>
    <n v="5"/>
    <n v="1"/>
    <x v="30"/>
    <n v="8"/>
    <n v="11"/>
    <n v="10"/>
    <x v="1"/>
    <n v="0"/>
    <n v="1"/>
    <n v="1"/>
    <n v="0"/>
    <n v="0"/>
    <n v="1"/>
    <n v="0"/>
    <n v="0"/>
    <n v="4.204533129978131"/>
    <n v="0.14485673308716898"/>
    <x v="2"/>
    <n v="0"/>
  </r>
  <r>
    <x v="412"/>
    <x v="21"/>
    <x v="0"/>
    <n v="1485"/>
    <x v="1"/>
    <n v="18"/>
    <n v="3"/>
    <x v="2"/>
    <n v="3"/>
    <x v="0"/>
    <n v="87"/>
    <n v="3"/>
    <n v="2"/>
    <x v="3"/>
    <n v="3"/>
    <x v="2"/>
    <x v="401"/>
    <n v="26314"/>
    <n v="2"/>
    <x v="1"/>
    <n v="0.14000000000000001"/>
    <n v="3"/>
    <n v="3"/>
    <n v="1"/>
    <n v="19"/>
    <n v="5"/>
    <n v="2"/>
    <x v="1"/>
    <n v="7"/>
    <n v="0"/>
    <n v="8"/>
    <x v="1"/>
    <n v="0"/>
    <n v="1"/>
    <n v="2"/>
    <n v="0"/>
    <n v="1"/>
    <n v="0"/>
    <n v="1"/>
    <n v="0"/>
    <n v="9.660535633296206"/>
    <n v="0.33282973125692844"/>
    <x v="0"/>
    <n v="0"/>
  </r>
  <r>
    <x v="413"/>
    <x v="19"/>
    <x v="1"/>
    <n v="1368"/>
    <x v="1"/>
    <n v="28"/>
    <n v="4"/>
    <x v="4"/>
    <n v="4"/>
    <x v="0"/>
    <n v="88"/>
    <n v="2"/>
    <n v="2"/>
    <x v="4"/>
    <n v="4"/>
    <x v="1"/>
    <x v="402"/>
    <n v="4386"/>
    <n v="0"/>
    <x v="1"/>
    <n v="0.11"/>
    <n v="3"/>
    <n v="4"/>
    <n v="3"/>
    <n v="7"/>
    <n v="4"/>
    <n v="4"/>
    <x v="0"/>
    <n v="5"/>
    <n v="0"/>
    <n v="4"/>
    <x v="1"/>
    <n v="0"/>
    <n v="2"/>
    <n v="1"/>
    <n v="0"/>
    <n v="1"/>
    <n v="0"/>
    <n v="1"/>
    <n v="1"/>
    <n v="14.820925613786383"/>
    <n v="0.51061813508702369"/>
    <x v="1"/>
    <n v="6784.5"/>
  </r>
  <r>
    <x v="414"/>
    <x v="17"/>
    <x v="0"/>
    <n v="1448"/>
    <x v="0"/>
    <n v="1"/>
    <n v="1"/>
    <x v="4"/>
    <n v="1"/>
    <x v="0"/>
    <n v="62"/>
    <n v="3"/>
    <n v="1"/>
    <x v="6"/>
    <n v="2"/>
    <x v="0"/>
    <x v="403"/>
    <n v="21972"/>
    <n v="1"/>
    <x v="0"/>
    <n v="0.16"/>
    <n v="3"/>
    <n v="2"/>
    <n v="0"/>
    <n v="6"/>
    <n v="4"/>
    <n v="3"/>
    <x v="8"/>
    <n v="3"/>
    <n v="1"/>
    <n v="4"/>
    <x v="0"/>
    <n v="0"/>
    <n v="1"/>
    <n v="0"/>
    <n v="1"/>
    <n v="0"/>
    <n v="1"/>
    <n v="1"/>
    <n v="0"/>
    <n v="20.698962067398959"/>
    <n v="0.71313126349280109"/>
    <x v="1"/>
    <n v="4803"/>
  </r>
  <r>
    <x v="415"/>
    <x v="13"/>
    <x v="1"/>
    <n v="296"/>
    <x v="0"/>
    <n v="6"/>
    <n v="2"/>
    <x v="3"/>
    <n v="4"/>
    <x v="0"/>
    <n v="33"/>
    <n v="1"/>
    <n v="1"/>
    <x v="6"/>
    <n v="3"/>
    <x v="2"/>
    <x v="404"/>
    <n v="12253"/>
    <n v="0"/>
    <x v="1"/>
    <n v="0.16"/>
    <n v="3"/>
    <n v="4"/>
    <n v="1"/>
    <n v="3"/>
    <n v="3"/>
    <n v="2"/>
    <x v="4"/>
    <n v="2"/>
    <n v="1"/>
    <n v="0"/>
    <x v="0"/>
    <n v="0"/>
    <n v="2"/>
    <n v="2"/>
    <n v="0"/>
    <n v="0"/>
    <n v="0"/>
    <n v="1"/>
    <n v="1"/>
    <n v="11.654818917911005"/>
    <n v="0.40153780240992015"/>
    <x v="0"/>
    <n v="0"/>
  </r>
  <r>
    <x v="416"/>
    <x v="8"/>
    <x v="1"/>
    <n v="1490"/>
    <x v="1"/>
    <n v="2"/>
    <n v="2"/>
    <x v="0"/>
    <n v="4"/>
    <x v="1"/>
    <n v="42"/>
    <n v="3"/>
    <n v="1"/>
    <x v="2"/>
    <n v="4"/>
    <x v="1"/>
    <x v="405"/>
    <n v="12106"/>
    <n v="1"/>
    <x v="0"/>
    <n v="0.23"/>
    <n v="4"/>
    <n v="3"/>
    <n v="1"/>
    <n v="1"/>
    <n v="3"/>
    <n v="3"/>
    <x v="6"/>
    <n v="0"/>
    <n v="0"/>
    <n v="0"/>
    <x v="1"/>
    <n v="1"/>
    <n v="2"/>
    <n v="1"/>
    <n v="1"/>
    <n v="0"/>
    <n v="0"/>
    <n v="1"/>
    <n v="1"/>
    <n v="21.654818917911005"/>
    <n v="0.74606293423572745"/>
    <x v="1"/>
    <n v="2553"/>
  </r>
  <r>
    <x v="417"/>
    <x v="32"/>
    <x v="0"/>
    <n v="1398"/>
    <x v="0"/>
    <n v="2"/>
    <n v="4"/>
    <x v="0"/>
    <n v="3"/>
    <x v="0"/>
    <n v="79"/>
    <n v="3"/>
    <n v="5"/>
    <x v="5"/>
    <n v="3"/>
    <x v="1"/>
    <x v="406"/>
    <n v="13022"/>
    <n v="0"/>
    <x v="1"/>
    <n v="0.14000000000000001"/>
    <n v="3"/>
    <n v="4"/>
    <n v="0"/>
    <n v="21"/>
    <n v="2"/>
    <n v="3"/>
    <x v="23"/>
    <n v="15"/>
    <n v="1"/>
    <n v="12"/>
    <x v="1"/>
    <n v="0"/>
    <n v="1"/>
    <n v="1"/>
    <n v="0"/>
    <n v="0"/>
    <n v="0"/>
    <n v="0"/>
    <n v="0"/>
    <n v="0"/>
    <n v="0"/>
    <x v="2"/>
    <n v="0"/>
  </r>
  <r>
    <x v="418"/>
    <x v="25"/>
    <x v="0"/>
    <n v="1349"/>
    <x v="1"/>
    <n v="23"/>
    <n v="3"/>
    <x v="0"/>
    <n v="1"/>
    <x v="0"/>
    <n v="90"/>
    <n v="3"/>
    <n v="1"/>
    <x v="1"/>
    <n v="4"/>
    <x v="2"/>
    <x v="407"/>
    <n v="3032"/>
    <n v="1"/>
    <x v="1"/>
    <n v="0.22"/>
    <n v="4"/>
    <n v="2"/>
    <n v="2"/>
    <n v="3"/>
    <n v="3"/>
    <n v="1"/>
    <x v="11"/>
    <n v="2"/>
    <n v="0"/>
    <n v="2"/>
    <x v="1"/>
    <n v="0"/>
    <n v="1"/>
    <n v="2"/>
    <n v="0"/>
    <n v="1"/>
    <n v="0"/>
    <n v="1"/>
    <n v="0"/>
    <n v="9.660535633296206"/>
    <n v="0.33282973125692844"/>
    <x v="0"/>
    <n v="0"/>
  </r>
  <r>
    <x v="419"/>
    <x v="7"/>
    <x v="2"/>
    <n v="1400"/>
    <x v="1"/>
    <n v="3"/>
    <n v="3"/>
    <x v="0"/>
    <n v="3"/>
    <x v="1"/>
    <n v="53"/>
    <n v="3"/>
    <n v="1"/>
    <x v="2"/>
    <n v="4"/>
    <x v="1"/>
    <x v="408"/>
    <n v="16734"/>
    <n v="4"/>
    <x v="1"/>
    <n v="0.15"/>
    <n v="3"/>
    <n v="3"/>
    <n v="1"/>
    <n v="9"/>
    <n v="3"/>
    <n v="1"/>
    <x v="8"/>
    <n v="3"/>
    <n v="1"/>
    <n v="4"/>
    <x v="1"/>
    <n v="1"/>
    <n v="0"/>
    <n v="1"/>
    <n v="0"/>
    <n v="0"/>
    <n v="0"/>
    <n v="1"/>
    <n v="0"/>
    <n v="6.4944289374208282"/>
    <n v="0.22374939857982484"/>
    <x v="2"/>
    <n v="0"/>
  </r>
  <r>
    <x v="420"/>
    <x v="11"/>
    <x v="0"/>
    <n v="986"/>
    <x v="1"/>
    <n v="3"/>
    <n v="4"/>
    <x v="2"/>
    <n v="2"/>
    <x v="1"/>
    <n v="93"/>
    <n v="2"/>
    <n v="3"/>
    <x v="7"/>
    <n v="3"/>
    <x v="1"/>
    <x v="409"/>
    <n v="21526"/>
    <n v="1"/>
    <x v="1"/>
    <n v="0.18"/>
    <n v="3"/>
    <n v="3"/>
    <n v="0"/>
    <n v="10"/>
    <n v="2"/>
    <n v="3"/>
    <x v="1"/>
    <n v="2"/>
    <n v="0"/>
    <n v="7"/>
    <x v="1"/>
    <n v="1"/>
    <n v="1"/>
    <n v="1"/>
    <n v="0"/>
    <n v="0"/>
    <n v="0"/>
    <n v="0"/>
    <n v="0"/>
    <n v="0"/>
    <n v="0"/>
    <x v="2"/>
    <n v="0"/>
  </r>
  <r>
    <x v="421"/>
    <x v="11"/>
    <x v="0"/>
    <n v="408"/>
    <x v="1"/>
    <n v="25"/>
    <n v="5"/>
    <x v="4"/>
    <n v="3"/>
    <x v="0"/>
    <n v="71"/>
    <n v="2"/>
    <n v="1"/>
    <x v="1"/>
    <n v="2"/>
    <x v="1"/>
    <x v="410"/>
    <n v="18300"/>
    <n v="5"/>
    <x v="1"/>
    <n v="0.16"/>
    <n v="3"/>
    <n v="2"/>
    <n v="0"/>
    <n v="6"/>
    <n v="2"/>
    <n v="4"/>
    <x v="4"/>
    <n v="2"/>
    <n v="1"/>
    <n v="1"/>
    <x v="0"/>
    <n v="0"/>
    <n v="1"/>
    <n v="1"/>
    <n v="0"/>
    <n v="1"/>
    <n v="1"/>
    <n v="1"/>
    <n v="0"/>
    <n v="13.865068763274337"/>
    <n v="0.47768646434409739"/>
    <x v="0"/>
    <n v="0"/>
  </r>
  <r>
    <x v="422"/>
    <x v="37"/>
    <x v="0"/>
    <n v="489"/>
    <x v="2"/>
    <n v="2"/>
    <n v="2"/>
    <x v="4"/>
    <n v="1"/>
    <x v="1"/>
    <n v="52"/>
    <n v="2"/>
    <n v="1"/>
    <x v="8"/>
    <n v="4"/>
    <x v="0"/>
    <x v="411"/>
    <n v="18437"/>
    <n v="1"/>
    <x v="1"/>
    <n v="0.12"/>
    <n v="3"/>
    <n v="3"/>
    <n v="0"/>
    <n v="1"/>
    <n v="3"/>
    <n v="4"/>
    <x v="6"/>
    <n v="0"/>
    <n v="0"/>
    <n v="0"/>
    <x v="0"/>
    <n v="1"/>
    <n v="1"/>
    <n v="0"/>
    <n v="0"/>
    <n v="0"/>
    <n v="0"/>
    <n v="1"/>
    <n v="0"/>
    <n v="6.4944289374208282"/>
    <n v="0.22374939857982484"/>
    <x v="2"/>
    <n v="0"/>
  </r>
  <r>
    <x v="423"/>
    <x v="7"/>
    <x v="2"/>
    <n v="1398"/>
    <x v="0"/>
    <n v="22"/>
    <n v="4"/>
    <x v="1"/>
    <n v="3"/>
    <x v="0"/>
    <n v="69"/>
    <n v="3"/>
    <n v="3"/>
    <x v="0"/>
    <n v="1"/>
    <x v="1"/>
    <x v="412"/>
    <n v="2890"/>
    <n v="0"/>
    <x v="1"/>
    <n v="0.11"/>
    <n v="3"/>
    <n v="3"/>
    <n v="0"/>
    <n v="10"/>
    <n v="3"/>
    <n v="3"/>
    <x v="7"/>
    <n v="8"/>
    <n v="7"/>
    <n v="8"/>
    <x v="1"/>
    <n v="0"/>
    <n v="0"/>
    <n v="1"/>
    <n v="0"/>
    <n v="1"/>
    <n v="1"/>
    <n v="0"/>
    <n v="0"/>
    <n v="7.3706398258535089"/>
    <n v="0.25393706576427255"/>
    <x v="0"/>
    <n v="0"/>
  </r>
  <r>
    <x v="424"/>
    <x v="38"/>
    <x v="0"/>
    <n v="210"/>
    <x v="0"/>
    <n v="29"/>
    <n v="3"/>
    <x v="3"/>
    <n v="1"/>
    <x v="1"/>
    <n v="56"/>
    <n v="2"/>
    <n v="4"/>
    <x v="5"/>
    <n v="4"/>
    <x v="2"/>
    <x v="413"/>
    <n v="22102"/>
    <n v="3"/>
    <x v="1"/>
    <n v="0.12"/>
    <n v="3"/>
    <n v="3"/>
    <n v="1"/>
    <n v="32"/>
    <n v="3"/>
    <n v="2"/>
    <x v="6"/>
    <n v="0"/>
    <n v="0"/>
    <n v="0"/>
    <x v="1"/>
    <n v="1"/>
    <n v="1"/>
    <n v="2"/>
    <n v="0"/>
    <n v="1"/>
    <n v="0"/>
    <n v="0"/>
    <n v="0"/>
    <n v="3.1661066958753779"/>
    <n v="0.10908033267710357"/>
    <x v="2"/>
    <n v="0"/>
  </r>
  <r>
    <x v="425"/>
    <x v="24"/>
    <x v="0"/>
    <n v="1099"/>
    <x v="1"/>
    <n v="29"/>
    <n v="4"/>
    <x v="0"/>
    <n v="2"/>
    <x v="1"/>
    <n v="88"/>
    <n v="2"/>
    <n v="4"/>
    <x v="5"/>
    <n v="3"/>
    <x v="1"/>
    <x v="414"/>
    <n v="9314"/>
    <n v="0"/>
    <x v="1"/>
    <n v="0.15"/>
    <n v="3"/>
    <n v="2"/>
    <n v="1"/>
    <n v="28"/>
    <n v="2"/>
    <n v="3"/>
    <x v="16"/>
    <n v="10"/>
    <n v="15"/>
    <n v="7"/>
    <x v="1"/>
    <n v="1"/>
    <n v="1"/>
    <n v="1"/>
    <n v="0"/>
    <n v="1"/>
    <n v="0"/>
    <n v="0"/>
    <n v="0"/>
    <n v="3.1661066958753779"/>
    <n v="0.10908033267710357"/>
    <x v="2"/>
    <n v="0"/>
  </r>
  <r>
    <x v="426"/>
    <x v="7"/>
    <x v="2"/>
    <n v="1116"/>
    <x v="1"/>
    <n v="2"/>
    <n v="3"/>
    <x v="2"/>
    <n v="3"/>
    <x v="0"/>
    <n v="49"/>
    <n v="3"/>
    <n v="1"/>
    <x v="2"/>
    <n v="4"/>
    <x v="0"/>
    <x v="411"/>
    <n v="7181"/>
    <n v="0"/>
    <x v="1"/>
    <n v="0.14000000000000001"/>
    <n v="3"/>
    <n v="3"/>
    <n v="0"/>
    <n v="12"/>
    <n v="2"/>
    <n v="2"/>
    <x v="19"/>
    <n v="7"/>
    <n v="6"/>
    <n v="7"/>
    <x v="1"/>
    <n v="0"/>
    <n v="0"/>
    <n v="0"/>
    <n v="0"/>
    <n v="0"/>
    <n v="0"/>
    <n v="1"/>
    <n v="0"/>
    <n v="6.4944289374208282"/>
    <n v="0.22374939857982484"/>
    <x v="2"/>
    <n v="0"/>
  </r>
  <r>
    <x v="427"/>
    <x v="42"/>
    <x v="1"/>
    <n v="1499"/>
    <x v="0"/>
    <n v="28"/>
    <n v="3"/>
    <x v="3"/>
    <n v="3"/>
    <x v="0"/>
    <n v="80"/>
    <n v="2"/>
    <n v="3"/>
    <x v="0"/>
    <n v="1"/>
    <x v="1"/>
    <x v="415"/>
    <n v="2845"/>
    <n v="4"/>
    <x v="1"/>
    <n v="0.19"/>
    <n v="3"/>
    <n v="4"/>
    <n v="0"/>
    <n v="22"/>
    <n v="5"/>
    <n v="4"/>
    <x v="29"/>
    <n v="13"/>
    <n v="13"/>
    <n v="11"/>
    <x v="1"/>
    <n v="0"/>
    <n v="2"/>
    <n v="1"/>
    <n v="0"/>
    <n v="1"/>
    <n v="1"/>
    <n v="0"/>
    <n v="1"/>
    <n v="12.531029806343685"/>
    <n v="0.43172546959436786"/>
    <x v="0"/>
    <n v="0"/>
  </r>
  <r>
    <x v="428"/>
    <x v="40"/>
    <x v="0"/>
    <n v="983"/>
    <x v="1"/>
    <n v="2"/>
    <n v="2"/>
    <x v="2"/>
    <n v="1"/>
    <x v="0"/>
    <n v="65"/>
    <n v="3"/>
    <n v="2"/>
    <x v="3"/>
    <n v="4"/>
    <x v="2"/>
    <x v="416"/>
    <n v="7389"/>
    <n v="5"/>
    <x v="1"/>
    <n v="0.13"/>
    <n v="3"/>
    <n v="3"/>
    <n v="3"/>
    <n v="20"/>
    <n v="2"/>
    <n v="3"/>
    <x v="8"/>
    <n v="0"/>
    <n v="0"/>
    <n v="4"/>
    <x v="1"/>
    <n v="0"/>
    <n v="1"/>
    <n v="2"/>
    <n v="0"/>
    <n v="0"/>
    <n v="0"/>
    <n v="0"/>
    <n v="0"/>
    <n v="0"/>
    <n v="0"/>
    <x v="2"/>
    <n v="0"/>
  </r>
  <r>
    <x v="429"/>
    <x v="21"/>
    <x v="0"/>
    <n v="1009"/>
    <x v="1"/>
    <n v="2"/>
    <n v="3"/>
    <x v="0"/>
    <n v="1"/>
    <x v="1"/>
    <n v="51"/>
    <n v="3"/>
    <n v="4"/>
    <x v="7"/>
    <n v="3"/>
    <x v="1"/>
    <x v="417"/>
    <n v="2288"/>
    <n v="6"/>
    <x v="1"/>
    <n v="0.13"/>
    <n v="3"/>
    <n v="3"/>
    <n v="0"/>
    <n v="26"/>
    <n v="2"/>
    <n v="1"/>
    <x v="11"/>
    <n v="2"/>
    <n v="0"/>
    <n v="1"/>
    <x v="1"/>
    <n v="1"/>
    <n v="1"/>
    <n v="1"/>
    <n v="0"/>
    <n v="0"/>
    <n v="0"/>
    <n v="0"/>
    <n v="0"/>
    <n v="0"/>
    <n v="0"/>
    <x v="2"/>
    <n v="0"/>
  </r>
  <r>
    <x v="430"/>
    <x v="10"/>
    <x v="0"/>
    <n v="144"/>
    <x v="1"/>
    <n v="22"/>
    <n v="3"/>
    <x v="0"/>
    <n v="4"/>
    <x v="1"/>
    <n v="46"/>
    <n v="1"/>
    <n v="1"/>
    <x v="2"/>
    <n v="3"/>
    <x v="0"/>
    <x v="418"/>
    <n v="19225"/>
    <n v="0"/>
    <x v="1"/>
    <n v="0.15"/>
    <n v="3"/>
    <n v="3"/>
    <n v="0"/>
    <n v="6"/>
    <n v="2"/>
    <n v="3"/>
    <x v="8"/>
    <n v="4"/>
    <n v="4"/>
    <n v="3"/>
    <x v="1"/>
    <n v="1"/>
    <n v="1"/>
    <n v="0"/>
    <n v="0"/>
    <n v="1"/>
    <n v="0"/>
    <n v="1"/>
    <n v="0"/>
    <n v="9.660535633296206"/>
    <n v="0.33282973125692844"/>
    <x v="0"/>
    <n v="0"/>
  </r>
  <r>
    <x v="431"/>
    <x v="33"/>
    <x v="0"/>
    <n v="548"/>
    <x v="1"/>
    <n v="8"/>
    <n v="4"/>
    <x v="0"/>
    <n v="3"/>
    <x v="0"/>
    <n v="42"/>
    <n v="3"/>
    <n v="2"/>
    <x v="2"/>
    <n v="3"/>
    <x v="0"/>
    <x v="419"/>
    <n v="23428"/>
    <n v="7"/>
    <x v="1"/>
    <n v="0.11"/>
    <n v="3"/>
    <n v="3"/>
    <n v="0"/>
    <n v="19"/>
    <n v="3"/>
    <n v="3"/>
    <x v="6"/>
    <n v="0"/>
    <n v="0"/>
    <n v="0"/>
    <x v="1"/>
    <n v="0"/>
    <n v="1"/>
    <n v="0"/>
    <n v="0"/>
    <n v="0"/>
    <n v="0"/>
    <n v="1"/>
    <n v="0"/>
    <n v="6.4944289374208282"/>
    <n v="0.22374939857982484"/>
    <x v="2"/>
    <n v="0"/>
  </r>
  <r>
    <x v="432"/>
    <x v="13"/>
    <x v="0"/>
    <n v="1303"/>
    <x v="1"/>
    <n v="2"/>
    <n v="4"/>
    <x v="0"/>
    <n v="4"/>
    <x v="1"/>
    <n v="62"/>
    <n v="2"/>
    <n v="1"/>
    <x v="1"/>
    <n v="3"/>
    <x v="2"/>
    <x v="420"/>
    <n v="8416"/>
    <n v="3"/>
    <x v="1"/>
    <n v="0.12"/>
    <n v="3"/>
    <n v="3"/>
    <n v="1"/>
    <n v="14"/>
    <n v="3"/>
    <n v="3"/>
    <x v="5"/>
    <n v="3"/>
    <n v="5"/>
    <n v="7"/>
    <x v="1"/>
    <n v="1"/>
    <n v="1"/>
    <n v="2"/>
    <n v="0"/>
    <n v="0"/>
    <n v="0"/>
    <n v="1"/>
    <n v="0"/>
    <n v="6.4944289374208282"/>
    <n v="0.22374939857982484"/>
    <x v="2"/>
    <n v="0"/>
  </r>
  <r>
    <x v="433"/>
    <x v="21"/>
    <x v="0"/>
    <n v="1125"/>
    <x v="0"/>
    <n v="10"/>
    <n v="3"/>
    <x v="3"/>
    <n v="3"/>
    <x v="0"/>
    <n v="94"/>
    <n v="2"/>
    <n v="3"/>
    <x v="0"/>
    <n v="4"/>
    <x v="1"/>
    <x v="421"/>
    <n v="11563"/>
    <n v="2"/>
    <x v="0"/>
    <n v="0.19"/>
    <n v="3"/>
    <n v="3"/>
    <n v="1"/>
    <n v="15"/>
    <n v="3"/>
    <n v="3"/>
    <x v="11"/>
    <n v="2"/>
    <n v="1"/>
    <n v="2"/>
    <x v="1"/>
    <n v="0"/>
    <n v="1"/>
    <n v="1"/>
    <n v="1"/>
    <n v="0"/>
    <n v="0"/>
    <n v="0"/>
    <n v="0"/>
    <n v="10"/>
    <n v="0.3445251318258073"/>
    <x v="0"/>
    <n v="0"/>
  </r>
  <r>
    <x v="434"/>
    <x v="12"/>
    <x v="0"/>
    <n v="1274"/>
    <x v="1"/>
    <n v="9"/>
    <n v="1"/>
    <x v="0"/>
    <n v="3"/>
    <x v="1"/>
    <n v="33"/>
    <n v="3"/>
    <n v="3"/>
    <x v="3"/>
    <n v="2"/>
    <x v="2"/>
    <x v="422"/>
    <n v="14394"/>
    <n v="1"/>
    <x v="1"/>
    <n v="0.25"/>
    <n v="4"/>
    <n v="4"/>
    <n v="1"/>
    <n v="13"/>
    <n v="6"/>
    <n v="4"/>
    <x v="20"/>
    <n v="8"/>
    <n v="0"/>
    <n v="8"/>
    <x v="1"/>
    <n v="1"/>
    <n v="1"/>
    <n v="2"/>
    <n v="0"/>
    <n v="0"/>
    <n v="1"/>
    <n v="0"/>
    <n v="0"/>
    <n v="4.204533129978131"/>
    <n v="0.14485673308716898"/>
    <x v="2"/>
    <n v="0"/>
  </r>
  <r>
    <x v="435"/>
    <x v="3"/>
    <x v="0"/>
    <n v="1277"/>
    <x v="1"/>
    <n v="15"/>
    <n v="1"/>
    <x v="2"/>
    <n v="2"/>
    <x v="1"/>
    <n v="56"/>
    <n v="3"/>
    <n v="3"/>
    <x v="5"/>
    <n v="3"/>
    <x v="1"/>
    <x v="423"/>
    <n v="24619"/>
    <n v="7"/>
    <x v="0"/>
    <n v="0.12"/>
    <n v="3"/>
    <n v="4"/>
    <n v="0"/>
    <n v="15"/>
    <n v="2"/>
    <n v="4"/>
    <x v="5"/>
    <n v="6"/>
    <n v="7"/>
    <n v="7"/>
    <x v="0"/>
    <n v="1"/>
    <n v="1"/>
    <n v="1"/>
    <n v="1"/>
    <n v="0"/>
    <n v="0"/>
    <n v="0"/>
    <n v="0"/>
    <n v="10"/>
    <n v="0.3445251318258073"/>
    <x v="0"/>
    <n v="0"/>
  </r>
  <r>
    <x v="436"/>
    <x v="3"/>
    <x v="0"/>
    <n v="587"/>
    <x v="1"/>
    <n v="10"/>
    <n v="1"/>
    <x v="2"/>
    <n v="1"/>
    <x v="1"/>
    <n v="38"/>
    <n v="1"/>
    <n v="1"/>
    <x v="2"/>
    <n v="4"/>
    <x v="2"/>
    <x v="424"/>
    <n v="6705"/>
    <n v="7"/>
    <x v="1"/>
    <n v="0.13"/>
    <n v="3"/>
    <n v="1"/>
    <n v="3"/>
    <n v="8"/>
    <n v="2"/>
    <n v="3"/>
    <x v="9"/>
    <n v="3"/>
    <n v="1"/>
    <n v="3"/>
    <x v="0"/>
    <n v="1"/>
    <n v="1"/>
    <n v="2"/>
    <n v="0"/>
    <n v="0"/>
    <n v="0"/>
    <n v="1"/>
    <n v="0"/>
    <n v="6.4944289374208282"/>
    <n v="0.22374939857982484"/>
    <x v="2"/>
    <n v="0"/>
  </r>
  <r>
    <x v="437"/>
    <x v="7"/>
    <x v="0"/>
    <n v="413"/>
    <x v="0"/>
    <n v="7"/>
    <n v="1"/>
    <x v="3"/>
    <n v="4"/>
    <x v="1"/>
    <n v="57"/>
    <n v="3"/>
    <n v="1"/>
    <x v="6"/>
    <n v="2"/>
    <x v="0"/>
    <x v="425"/>
    <n v="18398"/>
    <n v="0"/>
    <x v="1"/>
    <n v="0.14000000000000001"/>
    <n v="3"/>
    <n v="1"/>
    <n v="0"/>
    <n v="4"/>
    <n v="3"/>
    <n v="3"/>
    <x v="11"/>
    <n v="2"/>
    <n v="1"/>
    <n v="2"/>
    <x v="1"/>
    <n v="1"/>
    <n v="1"/>
    <n v="0"/>
    <n v="0"/>
    <n v="0"/>
    <n v="1"/>
    <n v="1"/>
    <n v="0"/>
    <n v="10.698962067398959"/>
    <n v="0.3686061316669938"/>
    <x v="0"/>
    <n v="0"/>
  </r>
  <r>
    <x v="438"/>
    <x v="10"/>
    <x v="0"/>
    <n v="1276"/>
    <x v="1"/>
    <n v="16"/>
    <n v="3"/>
    <x v="0"/>
    <n v="4"/>
    <x v="1"/>
    <n v="72"/>
    <n v="3"/>
    <n v="3"/>
    <x v="4"/>
    <n v="3"/>
    <x v="1"/>
    <x v="426"/>
    <n v="14295"/>
    <n v="4"/>
    <x v="0"/>
    <n v="0.12"/>
    <n v="3"/>
    <n v="3"/>
    <n v="0"/>
    <n v="10"/>
    <n v="2"/>
    <n v="3"/>
    <x v="3"/>
    <n v="7"/>
    <n v="0"/>
    <n v="0"/>
    <x v="1"/>
    <n v="1"/>
    <n v="1"/>
    <n v="1"/>
    <n v="1"/>
    <n v="1"/>
    <n v="0"/>
    <n v="0"/>
    <n v="0"/>
    <n v="13.166106695875378"/>
    <n v="0.45360546450291089"/>
    <x v="0"/>
    <n v="0"/>
  </r>
  <r>
    <x v="439"/>
    <x v="12"/>
    <x v="1"/>
    <n v="534"/>
    <x v="1"/>
    <n v="20"/>
    <n v="3"/>
    <x v="0"/>
    <n v="1"/>
    <x v="1"/>
    <n v="66"/>
    <n v="3"/>
    <n v="3"/>
    <x v="4"/>
    <n v="3"/>
    <x v="1"/>
    <x v="427"/>
    <n v="22908"/>
    <n v="3"/>
    <x v="1"/>
    <n v="0.12"/>
    <n v="3"/>
    <n v="1"/>
    <n v="0"/>
    <n v="12"/>
    <n v="2"/>
    <n v="3"/>
    <x v="6"/>
    <n v="0"/>
    <n v="0"/>
    <n v="0"/>
    <x v="0"/>
    <n v="1"/>
    <n v="2"/>
    <n v="1"/>
    <n v="0"/>
    <n v="1"/>
    <n v="0"/>
    <n v="0"/>
    <n v="1"/>
    <n v="8.3264966763655544"/>
    <n v="0.28686873650719891"/>
    <x v="0"/>
    <n v="0"/>
  </r>
  <r>
    <x v="440"/>
    <x v="13"/>
    <x v="1"/>
    <n v="988"/>
    <x v="2"/>
    <n v="23"/>
    <n v="3"/>
    <x v="5"/>
    <n v="2"/>
    <x v="0"/>
    <n v="43"/>
    <n v="3"/>
    <n v="3"/>
    <x v="8"/>
    <n v="1"/>
    <x v="2"/>
    <x v="428"/>
    <n v="11533"/>
    <n v="9"/>
    <x v="0"/>
    <n v="0.15"/>
    <n v="3"/>
    <n v="3"/>
    <n v="3"/>
    <n v="11"/>
    <n v="2"/>
    <n v="3"/>
    <x v="11"/>
    <n v="2"/>
    <n v="0"/>
    <n v="2"/>
    <x v="0"/>
    <n v="0"/>
    <n v="2"/>
    <n v="2"/>
    <n v="1"/>
    <n v="1"/>
    <n v="1"/>
    <n v="0"/>
    <n v="1"/>
    <n v="22.531029806343685"/>
    <n v="0.77625060142017521"/>
    <x v="3"/>
    <n v="14925"/>
  </r>
  <r>
    <x v="441"/>
    <x v="19"/>
    <x v="1"/>
    <n v="1474"/>
    <x v="1"/>
    <n v="5"/>
    <n v="2"/>
    <x v="1"/>
    <n v="2"/>
    <x v="1"/>
    <n v="97"/>
    <n v="3"/>
    <n v="1"/>
    <x v="2"/>
    <n v="3"/>
    <x v="1"/>
    <x v="429"/>
    <n v="9260"/>
    <n v="4"/>
    <x v="1"/>
    <n v="0.17"/>
    <n v="3"/>
    <n v="4"/>
    <n v="1"/>
    <n v="8"/>
    <n v="4"/>
    <n v="3"/>
    <x v="4"/>
    <n v="2"/>
    <n v="2"/>
    <n v="0"/>
    <x v="1"/>
    <n v="1"/>
    <n v="2"/>
    <n v="1"/>
    <n v="0"/>
    <n v="0"/>
    <n v="0"/>
    <n v="1"/>
    <n v="1"/>
    <n v="11.654818917911005"/>
    <n v="0.40153780240992015"/>
    <x v="0"/>
    <n v="0"/>
  </r>
  <r>
    <x v="442"/>
    <x v="9"/>
    <x v="2"/>
    <n v="635"/>
    <x v="0"/>
    <n v="10"/>
    <n v="4"/>
    <x v="2"/>
    <n v="2"/>
    <x v="1"/>
    <n v="32"/>
    <n v="3"/>
    <n v="3"/>
    <x v="0"/>
    <n v="4"/>
    <x v="0"/>
    <x v="15"/>
    <n v="15318"/>
    <n v="1"/>
    <x v="1"/>
    <n v="0.14000000000000001"/>
    <n v="3"/>
    <n v="4"/>
    <n v="0"/>
    <n v="10"/>
    <n v="3"/>
    <n v="2"/>
    <x v="1"/>
    <n v="3"/>
    <n v="9"/>
    <n v="7"/>
    <x v="1"/>
    <n v="1"/>
    <n v="0"/>
    <n v="0"/>
    <n v="0"/>
    <n v="0"/>
    <n v="0"/>
    <n v="0"/>
    <n v="0"/>
    <n v="0"/>
    <n v="0"/>
    <x v="2"/>
    <n v="0"/>
  </r>
  <r>
    <x v="443"/>
    <x v="15"/>
    <x v="1"/>
    <n v="1368"/>
    <x v="1"/>
    <n v="4"/>
    <n v="1"/>
    <x v="4"/>
    <n v="3"/>
    <x v="1"/>
    <n v="99"/>
    <n v="2"/>
    <n v="1"/>
    <x v="2"/>
    <n v="3"/>
    <x v="0"/>
    <x v="430"/>
    <n v="9129"/>
    <n v="5"/>
    <x v="1"/>
    <n v="0.16"/>
    <n v="3"/>
    <n v="3"/>
    <n v="0"/>
    <n v="4"/>
    <n v="3"/>
    <n v="3"/>
    <x v="4"/>
    <n v="2"/>
    <n v="1"/>
    <n v="2"/>
    <x v="0"/>
    <n v="1"/>
    <n v="2"/>
    <n v="0"/>
    <n v="0"/>
    <n v="0"/>
    <n v="0"/>
    <n v="1"/>
    <n v="1"/>
    <n v="11.654818917911005"/>
    <n v="0.40153780240992015"/>
    <x v="0"/>
    <n v="0"/>
  </r>
  <r>
    <x v="444"/>
    <x v="26"/>
    <x v="0"/>
    <n v="163"/>
    <x v="0"/>
    <n v="2"/>
    <n v="5"/>
    <x v="3"/>
    <n v="2"/>
    <x v="0"/>
    <n v="37"/>
    <n v="3"/>
    <n v="2"/>
    <x v="0"/>
    <n v="4"/>
    <x v="1"/>
    <x v="431"/>
    <n v="19658"/>
    <n v="2"/>
    <x v="1"/>
    <n v="0.14000000000000001"/>
    <n v="3"/>
    <n v="1"/>
    <n v="1"/>
    <n v="14"/>
    <n v="2"/>
    <n v="3"/>
    <x v="7"/>
    <n v="7"/>
    <n v="6"/>
    <n v="7"/>
    <x v="1"/>
    <n v="0"/>
    <n v="1"/>
    <n v="1"/>
    <n v="0"/>
    <n v="0"/>
    <n v="0"/>
    <n v="1"/>
    <n v="0"/>
    <n v="6.4944289374208282"/>
    <n v="0.22374939857982484"/>
    <x v="2"/>
    <n v="0"/>
  </r>
  <r>
    <x v="445"/>
    <x v="27"/>
    <x v="0"/>
    <n v="1117"/>
    <x v="0"/>
    <n v="18"/>
    <n v="5"/>
    <x v="0"/>
    <n v="1"/>
    <x v="0"/>
    <n v="83"/>
    <n v="3"/>
    <n v="4"/>
    <x v="5"/>
    <n v="2"/>
    <x v="0"/>
    <x v="432"/>
    <n v="9873"/>
    <n v="3"/>
    <x v="1"/>
    <n v="0.23"/>
    <n v="4"/>
    <n v="4"/>
    <n v="0"/>
    <n v="37"/>
    <n v="2"/>
    <n v="3"/>
    <x v="1"/>
    <n v="9"/>
    <n v="7"/>
    <n v="7"/>
    <x v="1"/>
    <n v="0"/>
    <n v="1"/>
    <n v="0"/>
    <n v="0"/>
    <n v="1"/>
    <n v="1"/>
    <n v="0"/>
    <n v="0"/>
    <n v="7.3706398258535089"/>
    <n v="0.25393706576427255"/>
    <x v="0"/>
    <n v="0"/>
  </r>
  <r>
    <x v="446"/>
    <x v="0"/>
    <x v="2"/>
    <n v="267"/>
    <x v="0"/>
    <n v="10"/>
    <n v="2"/>
    <x v="0"/>
    <n v="4"/>
    <x v="1"/>
    <n v="56"/>
    <n v="3"/>
    <n v="2"/>
    <x v="0"/>
    <n v="4"/>
    <x v="0"/>
    <x v="433"/>
    <n v="13430"/>
    <n v="7"/>
    <x v="1"/>
    <n v="0.14000000000000001"/>
    <n v="3"/>
    <n v="4"/>
    <n v="0"/>
    <n v="16"/>
    <n v="3"/>
    <n v="3"/>
    <x v="13"/>
    <n v="3"/>
    <n v="1"/>
    <n v="10"/>
    <x v="1"/>
    <n v="1"/>
    <n v="0"/>
    <n v="0"/>
    <n v="0"/>
    <n v="0"/>
    <n v="0"/>
    <n v="0"/>
    <n v="0"/>
    <n v="0"/>
    <n v="0"/>
    <x v="2"/>
    <n v="0"/>
  </r>
  <r>
    <x v="447"/>
    <x v="10"/>
    <x v="0"/>
    <n v="619"/>
    <x v="0"/>
    <n v="1"/>
    <n v="3"/>
    <x v="3"/>
    <n v="2"/>
    <x v="1"/>
    <n v="85"/>
    <n v="3"/>
    <n v="2"/>
    <x v="0"/>
    <n v="3"/>
    <x v="1"/>
    <x v="434"/>
    <n v="18659"/>
    <n v="9"/>
    <x v="1"/>
    <n v="0.11"/>
    <n v="3"/>
    <n v="3"/>
    <n v="0"/>
    <n v="15"/>
    <n v="2"/>
    <n v="3"/>
    <x v="19"/>
    <n v="9"/>
    <n v="6"/>
    <n v="9"/>
    <x v="1"/>
    <n v="1"/>
    <n v="1"/>
    <n v="1"/>
    <n v="0"/>
    <n v="0"/>
    <n v="0"/>
    <n v="1"/>
    <n v="0"/>
    <n v="6.4944289374208282"/>
    <n v="0.22374939857982484"/>
    <x v="2"/>
    <n v="0"/>
  </r>
  <r>
    <x v="448"/>
    <x v="32"/>
    <x v="0"/>
    <n v="302"/>
    <x v="1"/>
    <n v="6"/>
    <n v="3"/>
    <x v="0"/>
    <n v="2"/>
    <x v="0"/>
    <n v="75"/>
    <n v="3"/>
    <n v="4"/>
    <x v="3"/>
    <n v="3"/>
    <x v="0"/>
    <x v="435"/>
    <n v="20364"/>
    <n v="7"/>
    <x v="1"/>
    <n v="0.15"/>
    <n v="3"/>
    <n v="3"/>
    <n v="0"/>
    <n v="22"/>
    <n v="3"/>
    <n v="3"/>
    <x v="23"/>
    <n v="6"/>
    <n v="5"/>
    <n v="13"/>
    <x v="1"/>
    <n v="0"/>
    <n v="1"/>
    <n v="0"/>
    <n v="0"/>
    <n v="0"/>
    <n v="0"/>
    <n v="0"/>
    <n v="0"/>
    <n v="0"/>
    <n v="0"/>
    <x v="2"/>
    <n v="0"/>
  </r>
  <r>
    <x v="449"/>
    <x v="22"/>
    <x v="1"/>
    <n v="443"/>
    <x v="1"/>
    <n v="8"/>
    <n v="1"/>
    <x v="0"/>
    <n v="3"/>
    <x v="0"/>
    <n v="48"/>
    <n v="3"/>
    <n v="1"/>
    <x v="2"/>
    <n v="3"/>
    <x v="1"/>
    <x v="436"/>
    <n v="17872"/>
    <n v="1"/>
    <x v="1"/>
    <n v="0.11"/>
    <n v="3"/>
    <n v="1"/>
    <n v="1"/>
    <n v="8"/>
    <n v="3"/>
    <n v="3"/>
    <x v="3"/>
    <n v="3"/>
    <n v="0"/>
    <n v="7"/>
    <x v="1"/>
    <n v="0"/>
    <n v="2"/>
    <n v="1"/>
    <n v="0"/>
    <n v="0"/>
    <n v="0"/>
    <n v="1"/>
    <n v="1"/>
    <n v="11.654818917911005"/>
    <n v="0.40153780240992015"/>
    <x v="0"/>
    <n v="0"/>
  </r>
  <r>
    <x v="450"/>
    <x v="12"/>
    <x v="0"/>
    <n v="828"/>
    <x v="0"/>
    <n v="2"/>
    <n v="1"/>
    <x v="0"/>
    <n v="2"/>
    <x v="1"/>
    <n v="77"/>
    <n v="3"/>
    <n v="2"/>
    <x v="0"/>
    <n v="4"/>
    <x v="0"/>
    <x v="437"/>
    <n v="8346"/>
    <n v="4"/>
    <x v="0"/>
    <n v="0.13"/>
    <n v="3"/>
    <n v="3"/>
    <n v="0"/>
    <n v="10"/>
    <n v="2"/>
    <n v="4"/>
    <x v="0"/>
    <n v="5"/>
    <n v="0"/>
    <n v="5"/>
    <x v="1"/>
    <n v="1"/>
    <n v="1"/>
    <n v="0"/>
    <n v="1"/>
    <n v="0"/>
    <n v="0"/>
    <n v="0"/>
    <n v="0"/>
    <n v="10"/>
    <n v="0.3445251318258073"/>
    <x v="0"/>
    <n v="0"/>
  </r>
  <r>
    <x v="451"/>
    <x v="19"/>
    <x v="0"/>
    <n v="319"/>
    <x v="1"/>
    <n v="24"/>
    <n v="3"/>
    <x v="2"/>
    <n v="4"/>
    <x v="1"/>
    <n v="56"/>
    <n v="3"/>
    <n v="3"/>
    <x v="3"/>
    <n v="1"/>
    <x v="1"/>
    <x v="438"/>
    <n v="6950"/>
    <n v="1"/>
    <x v="0"/>
    <n v="0.21"/>
    <n v="4"/>
    <n v="4"/>
    <n v="1"/>
    <n v="10"/>
    <n v="5"/>
    <n v="2"/>
    <x v="1"/>
    <n v="9"/>
    <n v="5"/>
    <n v="8"/>
    <x v="1"/>
    <n v="1"/>
    <n v="1"/>
    <n v="1"/>
    <n v="1"/>
    <n v="1"/>
    <n v="1"/>
    <n v="0"/>
    <n v="0"/>
    <n v="17.370639825853509"/>
    <n v="0.59846219759007979"/>
    <x v="1"/>
    <n v="11109"/>
  </r>
  <r>
    <x v="452"/>
    <x v="28"/>
    <x v="0"/>
    <n v="561"/>
    <x v="0"/>
    <n v="2"/>
    <n v="3"/>
    <x v="1"/>
    <n v="4"/>
    <x v="1"/>
    <n v="61"/>
    <n v="3"/>
    <n v="2"/>
    <x v="0"/>
    <n v="2"/>
    <x v="1"/>
    <x v="439"/>
    <n v="16177"/>
    <n v="0"/>
    <x v="1"/>
    <n v="0.19"/>
    <n v="3"/>
    <n v="2"/>
    <n v="1"/>
    <n v="9"/>
    <n v="3"/>
    <n v="4"/>
    <x v="3"/>
    <n v="7"/>
    <n v="3"/>
    <n v="7"/>
    <x v="1"/>
    <n v="1"/>
    <n v="1"/>
    <n v="1"/>
    <n v="0"/>
    <n v="0"/>
    <n v="1"/>
    <n v="1"/>
    <n v="0"/>
    <n v="10.698962067398959"/>
    <n v="0.3686061316669938"/>
    <x v="0"/>
    <n v="0"/>
  </r>
  <r>
    <x v="453"/>
    <x v="25"/>
    <x v="1"/>
    <n v="426"/>
    <x v="2"/>
    <n v="17"/>
    <n v="4"/>
    <x v="0"/>
    <n v="2"/>
    <x v="0"/>
    <n v="58"/>
    <n v="3"/>
    <n v="1"/>
    <x v="8"/>
    <n v="3"/>
    <x v="2"/>
    <x v="199"/>
    <n v="22808"/>
    <n v="0"/>
    <x v="0"/>
    <n v="0.11"/>
    <n v="3"/>
    <n v="2"/>
    <n v="1"/>
    <n v="8"/>
    <n v="2"/>
    <n v="2"/>
    <x v="5"/>
    <n v="7"/>
    <n v="1"/>
    <n v="0"/>
    <x v="0"/>
    <n v="0"/>
    <n v="2"/>
    <n v="2"/>
    <n v="1"/>
    <n v="1"/>
    <n v="0"/>
    <n v="1"/>
    <n v="1"/>
    <n v="24.820925613786383"/>
    <n v="0.85514326691283105"/>
    <x v="3"/>
    <n v="4111.5"/>
  </r>
  <r>
    <x v="454"/>
    <x v="11"/>
    <x v="0"/>
    <n v="232"/>
    <x v="1"/>
    <n v="19"/>
    <n v="3"/>
    <x v="4"/>
    <n v="4"/>
    <x v="1"/>
    <n v="34"/>
    <n v="3"/>
    <n v="2"/>
    <x v="3"/>
    <n v="4"/>
    <x v="2"/>
    <x v="440"/>
    <n v="22645"/>
    <n v="4"/>
    <x v="1"/>
    <n v="0.12"/>
    <n v="3"/>
    <n v="2"/>
    <n v="2"/>
    <n v="8"/>
    <n v="2"/>
    <n v="4"/>
    <x v="11"/>
    <n v="2"/>
    <n v="1"/>
    <n v="2"/>
    <x v="1"/>
    <n v="1"/>
    <n v="1"/>
    <n v="2"/>
    <n v="0"/>
    <n v="1"/>
    <n v="0"/>
    <n v="1"/>
    <n v="0"/>
    <n v="9.660535633296206"/>
    <n v="0.33282973125692844"/>
    <x v="0"/>
    <n v="0"/>
  </r>
  <r>
    <x v="455"/>
    <x v="3"/>
    <x v="0"/>
    <n v="922"/>
    <x v="1"/>
    <n v="1"/>
    <n v="5"/>
    <x v="2"/>
    <n v="1"/>
    <x v="0"/>
    <n v="95"/>
    <n v="4"/>
    <n v="4"/>
    <x v="7"/>
    <n v="3"/>
    <x v="2"/>
    <x v="441"/>
    <n v="22578"/>
    <n v="4"/>
    <x v="1"/>
    <n v="0.19"/>
    <n v="3"/>
    <n v="3"/>
    <n v="1"/>
    <n v="10"/>
    <n v="2"/>
    <n v="3"/>
    <x v="0"/>
    <n v="1"/>
    <n v="0"/>
    <n v="5"/>
    <x v="1"/>
    <n v="0"/>
    <n v="1"/>
    <n v="2"/>
    <n v="0"/>
    <n v="0"/>
    <n v="0"/>
    <n v="0"/>
    <n v="0"/>
    <n v="0"/>
    <n v="0"/>
    <x v="2"/>
    <n v="0"/>
  </r>
  <r>
    <x v="456"/>
    <x v="12"/>
    <x v="0"/>
    <n v="688"/>
    <x v="0"/>
    <n v="7"/>
    <n v="3"/>
    <x v="0"/>
    <n v="3"/>
    <x v="1"/>
    <n v="44"/>
    <n v="2"/>
    <n v="3"/>
    <x v="5"/>
    <n v="4"/>
    <x v="2"/>
    <x v="442"/>
    <n v="25291"/>
    <n v="9"/>
    <x v="1"/>
    <n v="0.21"/>
    <n v="4"/>
    <n v="3"/>
    <n v="1"/>
    <n v="10"/>
    <n v="3"/>
    <n v="2"/>
    <x v="8"/>
    <n v="4"/>
    <n v="0"/>
    <n v="1"/>
    <x v="1"/>
    <n v="1"/>
    <n v="1"/>
    <n v="2"/>
    <n v="0"/>
    <n v="0"/>
    <n v="0"/>
    <n v="0"/>
    <n v="0"/>
    <n v="0"/>
    <n v="0"/>
    <x v="2"/>
    <n v="0"/>
  </r>
  <r>
    <x v="457"/>
    <x v="41"/>
    <x v="1"/>
    <n v="1306"/>
    <x v="0"/>
    <n v="5"/>
    <n v="3"/>
    <x v="3"/>
    <n v="2"/>
    <x v="1"/>
    <n v="69"/>
    <n v="3"/>
    <n v="1"/>
    <x v="6"/>
    <n v="2"/>
    <x v="0"/>
    <x v="443"/>
    <n v="8059"/>
    <n v="1"/>
    <x v="0"/>
    <n v="0.14000000000000001"/>
    <n v="3"/>
    <n v="4"/>
    <n v="0"/>
    <n v="0"/>
    <n v="3"/>
    <n v="3"/>
    <x v="2"/>
    <n v="0"/>
    <n v="0"/>
    <n v="0"/>
    <x v="0"/>
    <n v="1"/>
    <n v="2"/>
    <n v="0"/>
    <n v="1"/>
    <n v="0"/>
    <n v="1"/>
    <n v="1"/>
    <n v="1"/>
    <n v="25.859352047889136"/>
    <n v="0.8909196673228964"/>
    <x v="3"/>
    <n v="2817"/>
  </r>
  <r>
    <x v="458"/>
    <x v="32"/>
    <x v="2"/>
    <n v="1094"/>
    <x v="0"/>
    <n v="28"/>
    <n v="3"/>
    <x v="1"/>
    <n v="3"/>
    <x v="1"/>
    <n v="58"/>
    <n v="1"/>
    <n v="3"/>
    <x v="0"/>
    <n v="1"/>
    <x v="2"/>
    <x v="444"/>
    <n v="11373"/>
    <n v="3"/>
    <x v="1"/>
    <n v="0.15"/>
    <n v="3"/>
    <n v="3"/>
    <n v="1"/>
    <n v="20"/>
    <n v="2"/>
    <n v="3"/>
    <x v="6"/>
    <n v="0"/>
    <n v="0"/>
    <n v="1"/>
    <x v="1"/>
    <n v="1"/>
    <n v="0"/>
    <n v="2"/>
    <n v="0"/>
    <n v="1"/>
    <n v="1"/>
    <n v="0"/>
    <n v="0"/>
    <n v="7.3706398258535089"/>
    <n v="0.25393706576427255"/>
    <x v="0"/>
    <n v="0"/>
  </r>
  <r>
    <x v="459"/>
    <x v="0"/>
    <x v="2"/>
    <n v="509"/>
    <x v="1"/>
    <n v="2"/>
    <n v="4"/>
    <x v="1"/>
    <n v="1"/>
    <x v="0"/>
    <n v="62"/>
    <n v="2"/>
    <n v="2"/>
    <x v="4"/>
    <n v="3"/>
    <x v="0"/>
    <x v="445"/>
    <n v="2112"/>
    <n v="2"/>
    <x v="0"/>
    <n v="0.17"/>
    <n v="3"/>
    <n v="1"/>
    <n v="0"/>
    <n v="10"/>
    <n v="3"/>
    <n v="3"/>
    <x v="3"/>
    <n v="7"/>
    <n v="0"/>
    <n v="7"/>
    <x v="1"/>
    <n v="0"/>
    <n v="0"/>
    <n v="0"/>
    <n v="1"/>
    <n v="0"/>
    <n v="0"/>
    <n v="0"/>
    <n v="0"/>
    <n v="10"/>
    <n v="0.3445251318258073"/>
    <x v="0"/>
    <n v="0"/>
  </r>
  <r>
    <x v="460"/>
    <x v="25"/>
    <x v="0"/>
    <n v="775"/>
    <x v="0"/>
    <n v="29"/>
    <n v="2"/>
    <x v="2"/>
    <n v="1"/>
    <x v="1"/>
    <n v="45"/>
    <n v="3"/>
    <n v="2"/>
    <x v="0"/>
    <n v="3"/>
    <x v="2"/>
    <x v="383"/>
    <n v="4267"/>
    <n v="5"/>
    <x v="1"/>
    <n v="0.12"/>
    <n v="3"/>
    <n v="1"/>
    <n v="2"/>
    <n v="8"/>
    <n v="5"/>
    <n v="3"/>
    <x v="2"/>
    <n v="0"/>
    <n v="0"/>
    <n v="0"/>
    <x v="1"/>
    <n v="1"/>
    <n v="1"/>
    <n v="2"/>
    <n v="0"/>
    <n v="1"/>
    <n v="0"/>
    <n v="1"/>
    <n v="0"/>
    <n v="9.660535633296206"/>
    <n v="0.33282973125692844"/>
    <x v="0"/>
    <n v="0"/>
  </r>
  <r>
    <x v="461"/>
    <x v="10"/>
    <x v="0"/>
    <n v="195"/>
    <x v="0"/>
    <n v="1"/>
    <n v="3"/>
    <x v="2"/>
    <n v="1"/>
    <x v="0"/>
    <n v="80"/>
    <n v="3"/>
    <n v="2"/>
    <x v="0"/>
    <n v="3"/>
    <x v="0"/>
    <x v="446"/>
    <n v="6698"/>
    <n v="1"/>
    <x v="1"/>
    <n v="0.16"/>
    <n v="3"/>
    <n v="4"/>
    <n v="0"/>
    <n v="5"/>
    <n v="3"/>
    <n v="3"/>
    <x v="8"/>
    <n v="4"/>
    <n v="0"/>
    <n v="3"/>
    <x v="1"/>
    <n v="0"/>
    <n v="1"/>
    <n v="0"/>
    <n v="0"/>
    <n v="0"/>
    <n v="0"/>
    <n v="1"/>
    <n v="0"/>
    <n v="6.4944289374208282"/>
    <n v="0.22374939857982484"/>
    <x v="2"/>
    <n v="0"/>
  </r>
  <r>
    <x v="462"/>
    <x v="13"/>
    <x v="0"/>
    <n v="258"/>
    <x v="0"/>
    <n v="21"/>
    <n v="4"/>
    <x v="0"/>
    <n v="4"/>
    <x v="1"/>
    <n v="74"/>
    <n v="4"/>
    <n v="2"/>
    <x v="0"/>
    <n v="4"/>
    <x v="0"/>
    <x v="447"/>
    <n v="19921"/>
    <n v="1"/>
    <x v="1"/>
    <n v="0.12"/>
    <n v="3"/>
    <n v="4"/>
    <n v="0"/>
    <n v="10"/>
    <n v="3"/>
    <n v="3"/>
    <x v="1"/>
    <n v="7"/>
    <n v="5"/>
    <n v="7"/>
    <x v="1"/>
    <n v="1"/>
    <n v="1"/>
    <n v="0"/>
    <n v="0"/>
    <n v="1"/>
    <n v="0"/>
    <n v="0"/>
    <n v="0"/>
    <n v="3.1661066958753779"/>
    <n v="0.10908033267710357"/>
    <x v="2"/>
    <n v="0"/>
  </r>
  <r>
    <x v="463"/>
    <x v="25"/>
    <x v="0"/>
    <n v="471"/>
    <x v="1"/>
    <n v="24"/>
    <n v="3"/>
    <x v="4"/>
    <n v="3"/>
    <x v="1"/>
    <n v="66"/>
    <n v="1"/>
    <n v="1"/>
    <x v="2"/>
    <n v="4"/>
    <x v="0"/>
    <x v="246"/>
    <n v="23213"/>
    <n v="1"/>
    <x v="0"/>
    <n v="0.18"/>
    <n v="3"/>
    <n v="2"/>
    <n v="0"/>
    <n v="1"/>
    <n v="3"/>
    <n v="1"/>
    <x v="6"/>
    <n v="0"/>
    <n v="0"/>
    <n v="0"/>
    <x v="0"/>
    <n v="1"/>
    <n v="1"/>
    <n v="0"/>
    <n v="1"/>
    <n v="1"/>
    <n v="0"/>
    <n v="1"/>
    <n v="0"/>
    <n v="19.660535633296206"/>
    <n v="0.67735486308273574"/>
    <x v="1"/>
    <n v="3510"/>
  </r>
  <r>
    <x v="464"/>
    <x v="2"/>
    <x v="0"/>
    <n v="799"/>
    <x v="1"/>
    <n v="1"/>
    <n v="3"/>
    <x v="4"/>
    <n v="2"/>
    <x v="0"/>
    <n v="59"/>
    <n v="3"/>
    <n v="3"/>
    <x v="3"/>
    <n v="4"/>
    <x v="0"/>
    <x v="448"/>
    <n v="23848"/>
    <n v="4"/>
    <x v="1"/>
    <n v="0.17"/>
    <n v="3"/>
    <n v="4"/>
    <n v="0"/>
    <n v="12"/>
    <n v="3"/>
    <n v="4"/>
    <x v="0"/>
    <n v="5"/>
    <n v="1"/>
    <n v="2"/>
    <x v="1"/>
    <n v="0"/>
    <n v="1"/>
    <n v="0"/>
    <n v="0"/>
    <n v="0"/>
    <n v="0"/>
    <n v="0"/>
    <n v="0"/>
    <n v="0"/>
    <n v="0"/>
    <x v="2"/>
    <n v="0"/>
  </r>
  <r>
    <x v="465"/>
    <x v="21"/>
    <x v="1"/>
    <n v="1034"/>
    <x v="1"/>
    <n v="18"/>
    <n v="1"/>
    <x v="2"/>
    <n v="1"/>
    <x v="0"/>
    <n v="86"/>
    <n v="3"/>
    <n v="3"/>
    <x v="4"/>
    <n v="3"/>
    <x v="1"/>
    <x v="449"/>
    <n v="8984"/>
    <n v="5"/>
    <x v="1"/>
    <n v="0.11"/>
    <n v="3"/>
    <n v="4"/>
    <n v="0"/>
    <n v="28"/>
    <n v="3"/>
    <n v="2"/>
    <x v="4"/>
    <n v="2"/>
    <n v="1"/>
    <n v="2"/>
    <x v="1"/>
    <n v="0"/>
    <n v="2"/>
    <n v="1"/>
    <n v="0"/>
    <n v="1"/>
    <n v="0"/>
    <n v="0"/>
    <n v="1"/>
    <n v="8.3264966763655544"/>
    <n v="0.28686873650719891"/>
    <x v="0"/>
    <n v="0"/>
  </r>
  <r>
    <x v="466"/>
    <x v="0"/>
    <x v="0"/>
    <n v="1276"/>
    <x v="0"/>
    <n v="2"/>
    <n v="5"/>
    <x v="0"/>
    <n v="2"/>
    <x v="0"/>
    <n v="91"/>
    <n v="3"/>
    <n v="4"/>
    <x v="5"/>
    <n v="1"/>
    <x v="1"/>
    <x v="450"/>
    <n v="5626"/>
    <n v="7"/>
    <x v="1"/>
    <n v="0.16"/>
    <n v="3"/>
    <n v="2"/>
    <n v="1"/>
    <n v="22"/>
    <n v="2"/>
    <n v="3"/>
    <x v="29"/>
    <n v="16"/>
    <n v="11"/>
    <n v="8"/>
    <x v="1"/>
    <n v="0"/>
    <n v="1"/>
    <n v="1"/>
    <n v="0"/>
    <n v="0"/>
    <n v="1"/>
    <n v="0"/>
    <n v="0"/>
    <n v="4.204533129978131"/>
    <n v="0.14485673308716898"/>
    <x v="2"/>
    <n v="0"/>
  </r>
  <r>
    <x v="467"/>
    <x v="2"/>
    <x v="2"/>
    <n v="142"/>
    <x v="0"/>
    <n v="9"/>
    <n v="4"/>
    <x v="2"/>
    <n v="1"/>
    <x v="1"/>
    <n v="69"/>
    <n v="3"/>
    <n v="3"/>
    <x v="0"/>
    <n v="2"/>
    <x v="2"/>
    <x v="451"/>
    <n v="24666"/>
    <n v="1"/>
    <x v="1"/>
    <n v="0.13"/>
    <n v="3"/>
    <n v="4"/>
    <n v="1"/>
    <n v="9"/>
    <n v="6"/>
    <n v="3"/>
    <x v="7"/>
    <n v="5"/>
    <n v="7"/>
    <n v="7"/>
    <x v="1"/>
    <n v="1"/>
    <n v="0"/>
    <n v="2"/>
    <n v="0"/>
    <n v="0"/>
    <n v="1"/>
    <n v="0"/>
    <n v="0"/>
    <n v="4.204533129978131"/>
    <n v="0.14485673308716898"/>
    <x v="2"/>
    <n v="0"/>
  </r>
  <r>
    <x v="468"/>
    <x v="39"/>
    <x v="0"/>
    <n v="956"/>
    <x v="1"/>
    <n v="6"/>
    <n v="2"/>
    <x v="4"/>
    <n v="4"/>
    <x v="1"/>
    <n v="78"/>
    <n v="3"/>
    <n v="2"/>
    <x v="1"/>
    <n v="1"/>
    <x v="2"/>
    <x v="452"/>
    <n v="22087"/>
    <n v="3"/>
    <x v="0"/>
    <n v="0.12"/>
    <n v="3"/>
    <n v="2"/>
    <n v="2"/>
    <n v="18"/>
    <n v="3"/>
    <n v="3"/>
    <x v="1"/>
    <n v="9"/>
    <n v="6"/>
    <n v="9"/>
    <x v="1"/>
    <n v="1"/>
    <n v="1"/>
    <n v="2"/>
    <n v="1"/>
    <n v="0"/>
    <n v="1"/>
    <n v="0"/>
    <n v="0"/>
    <n v="14.204533129978131"/>
    <n v="0.48938186491297625"/>
    <x v="0"/>
    <n v="0"/>
  </r>
  <r>
    <x v="469"/>
    <x v="5"/>
    <x v="2"/>
    <n v="1474"/>
    <x v="0"/>
    <n v="11"/>
    <n v="4"/>
    <x v="1"/>
    <n v="4"/>
    <x v="1"/>
    <n v="60"/>
    <n v="4"/>
    <n v="2"/>
    <x v="0"/>
    <n v="3"/>
    <x v="1"/>
    <x v="453"/>
    <n v="23914"/>
    <n v="8"/>
    <x v="1"/>
    <n v="0.12"/>
    <n v="3"/>
    <n v="4"/>
    <n v="0"/>
    <n v="6"/>
    <n v="2"/>
    <n v="3"/>
    <x v="9"/>
    <n v="2"/>
    <n v="1"/>
    <n v="2"/>
    <x v="0"/>
    <n v="1"/>
    <n v="0"/>
    <n v="1"/>
    <n v="0"/>
    <n v="0"/>
    <n v="0"/>
    <n v="1"/>
    <n v="0"/>
    <n v="6.4944289374208282"/>
    <n v="0.22374939857982484"/>
    <x v="2"/>
    <n v="0"/>
  </r>
  <r>
    <x v="470"/>
    <x v="17"/>
    <x v="1"/>
    <n v="535"/>
    <x v="0"/>
    <n v="24"/>
    <n v="3"/>
    <x v="2"/>
    <n v="4"/>
    <x v="1"/>
    <n v="38"/>
    <n v="3"/>
    <n v="1"/>
    <x v="6"/>
    <n v="4"/>
    <x v="1"/>
    <x v="454"/>
    <n v="5530"/>
    <n v="0"/>
    <x v="1"/>
    <n v="0.13"/>
    <n v="3"/>
    <n v="3"/>
    <n v="2"/>
    <n v="3"/>
    <n v="3"/>
    <n v="3"/>
    <x v="4"/>
    <n v="2"/>
    <n v="2"/>
    <n v="1"/>
    <x v="1"/>
    <n v="1"/>
    <n v="2"/>
    <n v="1"/>
    <n v="0"/>
    <n v="1"/>
    <n v="0"/>
    <n v="1"/>
    <n v="1"/>
    <n v="14.820925613786383"/>
    <n v="0.51061813508702369"/>
    <x v="1"/>
    <n v="3600"/>
  </r>
  <r>
    <x v="471"/>
    <x v="8"/>
    <x v="0"/>
    <n v="1495"/>
    <x v="1"/>
    <n v="10"/>
    <n v="3"/>
    <x v="2"/>
    <n v="3"/>
    <x v="0"/>
    <n v="76"/>
    <n v="3"/>
    <n v="2"/>
    <x v="4"/>
    <n v="3"/>
    <x v="1"/>
    <x v="427"/>
    <n v="22174"/>
    <n v="3"/>
    <x v="1"/>
    <n v="0.19"/>
    <n v="3"/>
    <n v="3"/>
    <n v="1"/>
    <n v="18"/>
    <n v="4"/>
    <n v="3"/>
    <x v="6"/>
    <n v="0"/>
    <n v="0"/>
    <n v="0"/>
    <x v="1"/>
    <n v="0"/>
    <n v="1"/>
    <n v="1"/>
    <n v="0"/>
    <n v="0"/>
    <n v="0"/>
    <n v="0"/>
    <n v="0"/>
    <n v="0"/>
    <n v="0"/>
    <x v="2"/>
    <n v="0"/>
  </r>
  <r>
    <x v="472"/>
    <x v="2"/>
    <x v="0"/>
    <n v="446"/>
    <x v="1"/>
    <n v="1"/>
    <n v="4"/>
    <x v="0"/>
    <n v="2"/>
    <x v="0"/>
    <n v="65"/>
    <n v="3"/>
    <n v="2"/>
    <x v="3"/>
    <n v="2"/>
    <x v="1"/>
    <x v="455"/>
    <n v="15701"/>
    <n v="6"/>
    <x v="1"/>
    <n v="0.12"/>
    <n v="3"/>
    <n v="2"/>
    <n v="1"/>
    <n v="8"/>
    <n v="2"/>
    <n v="2"/>
    <x v="0"/>
    <n v="5"/>
    <n v="4"/>
    <n v="3"/>
    <x v="1"/>
    <n v="0"/>
    <n v="1"/>
    <n v="1"/>
    <n v="0"/>
    <n v="0"/>
    <n v="1"/>
    <n v="0"/>
    <n v="0"/>
    <n v="4.204533129978131"/>
    <n v="0.14485673308716898"/>
    <x v="2"/>
    <n v="0"/>
  </r>
  <r>
    <x v="473"/>
    <x v="1"/>
    <x v="0"/>
    <n v="1245"/>
    <x v="1"/>
    <n v="18"/>
    <n v="4"/>
    <x v="0"/>
    <n v="4"/>
    <x v="1"/>
    <n v="58"/>
    <n v="2"/>
    <n v="5"/>
    <x v="7"/>
    <n v="3"/>
    <x v="2"/>
    <x v="456"/>
    <n v="2125"/>
    <n v="1"/>
    <x v="0"/>
    <n v="0.17"/>
    <n v="3"/>
    <n v="3"/>
    <n v="1"/>
    <n v="31"/>
    <n v="5"/>
    <n v="3"/>
    <x v="31"/>
    <n v="9"/>
    <n v="0"/>
    <n v="9"/>
    <x v="1"/>
    <n v="1"/>
    <n v="1"/>
    <n v="2"/>
    <n v="1"/>
    <n v="1"/>
    <n v="0"/>
    <n v="0"/>
    <n v="0"/>
    <n v="13.166106695875378"/>
    <n v="0.45360546450291089"/>
    <x v="0"/>
    <n v="0"/>
  </r>
  <r>
    <x v="474"/>
    <x v="17"/>
    <x v="0"/>
    <n v="691"/>
    <x v="1"/>
    <n v="23"/>
    <n v="3"/>
    <x v="2"/>
    <n v="2"/>
    <x v="1"/>
    <n v="89"/>
    <n v="4"/>
    <n v="1"/>
    <x v="1"/>
    <n v="4"/>
    <x v="1"/>
    <x v="457"/>
    <n v="21630"/>
    <n v="1"/>
    <x v="0"/>
    <n v="0.11"/>
    <n v="3"/>
    <n v="2"/>
    <n v="2"/>
    <n v="6"/>
    <n v="3"/>
    <n v="3"/>
    <x v="0"/>
    <n v="5"/>
    <n v="1"/>
    <n v="4"/>
    <x v="1"/>
    <n v="1"/>
    <n v="1"/>
    <n v="1"/>
    <n v="1"/>
    <n v="1"/>
    <n v="0"/>
    <n v="1"/>
    <n v="0"/>
    <n v="19.660535633296206"/>
    <n v="0.67735486308273574"/>
    <x v="1"/>
    <n v="4087.5"/>
  </r>
  <r>
    <x v="475"/>
    <x v="25"/>
    <x v="0"/>
    <n v="703"/>
    <x v="0"/>
    <n v="28"/>
    <n v="2"/>
    <x v="3"/>
    <n v="1"/>
    <x v="1"/>
    <n v="66"/>
    <n v="3"/>
    <n v="2"/>
    <x v="0"/>
    <n v="2"/>
    <x v="1"/>
    <x v="458"/>
    <n v="7428"/>
    <n v="1"/>
    <x v="1"/>
    <n v="0.2"/>
    <n v="4"/>
    <n v="4"/>
    <n v="2"/>
    <n v="6"/>
    <n v="5"/>
    <n v="4"/>
    <x v="8"/>
    <n v="3"/>
    <n v="1"/>
    <n v="4"/>
    <x v="1"/>
    <n v="1"/>
    <n v="1"/>
    <n v="1"/>
    <n v="0"/>
    <n v="1"/>
    <n v="1"/>
    <n v="0"/>
    <n v="0"/>
    <n v="7.3706398258535089"/>
    <n v="0.25393706576427255"/>
    <x v="0"/>
    <n v="0"/>
  </r>
  <r>
    <x v="476"/>
    <x v="17"/>
    <x v="0"/>
    <n v="823"/>
    <x v="1"/>
    <n v="17"/>
    <n v="2"/>
    <x v="1"/>
    <n v="4"/>
    <x v="1"/>
    <n v="94"/>
    <n v="2"/>
    <n v="1"/>
    <x v="2"/>
    <n v="2"/>
    <x v="1"/>
    <x v="459"/>
    <n v="9100"/>
    <n v="1"/>
    <x v="1"/>
    <n v="0.21"/>
    <n v="4"/>
    <n v="4"/>
    <n v="1"/>
    <n v="1"/>
    <n v="2"/>
    <n v="3"/>
    <x v="6"/>
    <n v="0"/>
    <n v="0"/>
    <n v="0"/>
    <x v="1"/>
    <n v="1"/>
    <n v="1"/>
    <n v="1"/>
    <n v="0"/>
    <n v="1"/>
    <n v="1"/>
    <n v="1"/>
    <n v="0"/>
    <n v="13.865068763274337"/>
    <n v="0.47768646434409739"/>
    <x v="0"/>
    <n v="0"/>
  </r>
  <r>
    <x v="477"/>
    <x v="24"/>
    <x v="1"/>
    <n v="1246"/>
    <x v="2"/>
    <n v="3"/>
    <n v="3"/>
    <x v="2"/>
    <n v="1"/>
    <x v="1"/>
    <n v="99"/>
    <n v="3"/>
    <n v="5"/>
    <x v="5"/>
    <n v="2"/>
    <x v="1"/>
    <x v="460"/>
    <n v="7999"/>
    <n v="1"/>
    <x v="1"/>
    <n v="0.11"/>
    <n v="3"/>
    <n v="3"/>
    <n v="1"/>
    <n v="32"/>
    <n v="2"/>
    <n v="3"/>
    <x v="32"/>
    <n v="5"/>
    <n v="10"/>
    <n v="7"/>
    <x v="1"/>
    <n v="1"/>
    <n v="2"/>
    <n v="1"/>
    <n v="0"/>
    <n v="0"/>
    <n v="1"/>
    <n v="0"/>
    <n v="1"/>
    <n v="9.3649231104683075"/>
    <n v="0.32264513691726432"/>
    <x v="0"/>
    <n v="0"/>
  </r>
  <r>
    <x v="478"/>
    <x v="36"/>
    <x v="0"/>
    <n v="622"/>
    <x v="0"/>
    <n v="13"/>
    <n v="1"/>
    <x v="2"/>
    <n v="2"/>
    <x v="1"/>
    <n v="40"/>
    <n v="3"/>
    <n v="1"/>
    <x v="6"/>
    <n v="3"/>
    <x v="1"/>
    <x v="461"/>
    <n v="26376"/>
    <n v="1"/>
    <x v="1"/>
    <n v="0.11"/>
    <n v="3"/>
    <n v="3"/>
    <n v="0"/>
    <n v="7"/>
    <n v="1"/>
    <n v="3"/>
    <x v="5"/>
    <n v="4"/>
    <n v="0"/>
    <n v="6"/>
    <x v="1"/>
    <n v="1"/>
    <n v="1"/>
    <n v="1"/>
    <n v="0"/>
    <n v="0"/>
    <n v="0"/>
    <n v="1"/>
    <n v="0"/>
    <n v="6.4944289374208282"/>
    <n v="0.22374939857982484"/>
    <x v="2"/>
    <n v="0"/>
  </r>
  <r>
    <x v="479"/>
    <x v="17"/>
    <x v="1"/>
    <n v="1287"/>
    <x v="1"/>
    <n v="7"/>
    <n v="3"/>
    <x v="0"/>
    <n v="1"/>
    <x v="0"/>
    <n v="55"/>
    <n v="3"/>
    <n v="1"/>
    <x v="2"/>
    <n v="3"/>
    <x v="1"/>
    <x v="407"/>
    <n v="14168"/>
    <n v="1"/>
    <x v="0"/>
    <n v="0.16"/>
    <n v="3"/>
    <n v="4"/>
    <n v="1"/>
    <n v="6"/>
    <n v="4"/>
    <n v="3"/>
    <x v="0"/>
    <n v="3"/>
    <n v="1"/>
    <n v="2"/>
    <x v="0"/>
    <n v="0"/>
    <n v="2"/>
    <n v="1"/>
    <n v="1"/>
    <n v="0"/>
    <n v="0"/>
    <n v="1"/>
    <n v="1"/>
    <n v="21.654818917911005"/>
    <n v="0.74606293423572745"/>
    <x v="1"/>
    <n v="4329"/>
  </r>
  <r>
    <x v="480"/>
    <x v="7"/>
    <x v="1"/>
    <n v="448"/>
    <x v="0"/>
    <n v="12"/>
    <n v="4"/>
    <x v="0"/>
    <n v="2"/>
    <x v="1"/>
    <n v="74"/>
    <n v="2"/>
    <n v="1"/>
    <x v="6"/>
    <n v="1"/>
    <x v="1"/>
    <x v="462"/>
    <n v="14470"/>
    <n v="1"/>
    <x v="1"/>
    <n v="0.18"/>
    <n v="3"/>
    <n v="3"/>
    <n v="1"/>
    <n v="1"/>
    <n v="2"/>
    <n v="4"/>
    <x v="6"/>
    <n v="0"/>
    <n v="0"/>
    <n v="0"/>
    <x v="0"/>
    <n v="1"/>
    <n v="2"/>
    <n v="1"/>
    <n v="0"/>
    <n v="0"/>
    <n v="1"/>
    <n v="1"/>
    <n v="1"/>
    <n v="15.859352047889136"/>
    <n v="0.54639453549708916"/>
    <x v="1"/>
    <n v="3049.5"/>
  </r>
  <r>
    <x v="481"/>
    <x v="13"/>
    <x v="0"/>
    <n v="254"/>
    <x v="1"/>
    <n v="1"/>
    <n v="2"/>
    <x v="0"/>
    <n v="2"/>
    <x v="1"/>
    <n v="83"/>
    <n v="2"/>
    <n v="1"/>
    <x v="1"/>
    <n v="4"/>
    <x v="1"/>
    <x v="463"/>
    <n v="22794"/>
    <n v="1"/>
    <x v="0"/>
    <n v="0.13"/>
    <n v="3"/>
    <n v="4"/>
    <n v="1"/>
    <n v="6"/>
    <n v="3"/>
    <n v="3"/>
    <x v="0"/>
    <n v="5"/>
    <n v="1"/>
    <n v="3"/>
    <x v="1"/>
    <n v="1"/>
    <n v="1"/>
    <n v="1"/>
    <n v="1"/>
    <n v="0"/>
    <n v="0"/>
    <n v="1"/>
    <n v="0"/>
    <n v="16.494428937420828"/>
    <n v="0.56827453040563214"/>
    <x v="1"/>
    <n v="5433"/>
  </r>
  <r>
    <x v="482"/>
    <x v="12"/>
    <x v="0"/>
    <n v="1365"/>
    <x v="0"/>
    <n v="13"/>
    <n v="4"/>
    <x v="2"/>
    <n v="2"/>
    <x v="1"/>
    <n v="46"/>
    <n v="3"/>
    <n v="2"/>
    <x v="0"/>
    <n v="1"/>
    <x v="2"/>
    <x v="464"/>
    <n v="11512"/>
    <n v="2"/>
    <x v="1"/>
    <n v="0.17"/>
    <n v="3"/>
    <n v="3"/>
    <n v="0"/>
    <n v="9"/>
    <n v="2"/>
    <n v="1"/>
    <x v="11"/>
    <n v="1"/>
    <n v="1"/>
    <n v="2"/>
    <x v="0"/>
    <n v="1"/>
    <n v="1"/>
    <n v="2"/>
    <n v="0"/>
    <n v="0"/>
    <n v="1"/>
    <n v="1"/>
    <n v="0"/>
    <n v="10.698962067398959"/>
    <n v="0.3686061316669938"/>
    <x v="0"/>
    <n v="0"/>
  </r>
  <r>
    <x v="483"/>
    <x v="10"/>
    <x v="0"/>
    <n v="538"/>
    <x v="1"/>
    <n v="25"/>
    <n v="2"/>
    <x v="1"/>
    <n v="1"/>
    <x v="1"/>
    <n v="54"/>
    <n v="2"/>
    <n v="2"/>
    <x v="2"/>
    <n v="4"/>
    <x v="0"/>
    <x v="465"/>
    <n v="14004"/>
    <n v="4"/>
    <x v="1"/>
    <n v="0.14000000000000001"/>
    <n v="3"/>
    <n v="4"/>
    <n v="0"/>
    <n v="9"/>
    <n v="3"/>
    <n v="3"/>
    <x v="11"/>
    <n v="2"/>
    <n v="0"/>
    <n v="2"/>
    <x v="1"/>
    <n v="1"/>
    <n v="1"/>
    <n v="0"/>
    <n v="0"/>
    <n v="1"/>
    <n v="0"/>
    <n v="1"/>
    <n v="0"/>
    <n v="9.660535633296206"/>
    <n v="0.33282973125692844"/>
    <x v="0"/>
    <n v="0"/>
  </r>
  <r>
    <x v="484"/>
    <x v="12"/>
    <x v="0"/>
    <n v="525"/>
    <x v="0"/>
    <n v="6"/>
    <n v="4"/>
    <x v="2"/>
    <n v="1"/>
    <x v="1"/>
    <n v="66"/>
    <n v="4"/>
    <n v="2"/>
    <x v="0"/>
    <n v="4"/>
    <x v="2"/>
    <x v="466"/>
    <n v="6219"/>
    <n v="4"/>
    <x v="1"/>
    <n v="0.22"/>
    <n v="4"/>
    <n v="4"/>
    <n v="2"/>
    <n v="13"/>
    <n v="4"/>
    <n v="4"/>
    <x v="5"/>
    <n v="7"/>
    <n v="5"/>
    <n v="7"/>
    <x v="1"/>
    <n v="1"/>
    <n v="1"/>
    <n v="2"/>
    <n v="0"/>
    <n v="0"/>
    <n v="0"/>
    <n v="0"/>
    <n v="0"/>
    <n v="0"/>
    <n v="0"/>
    <x v="2"/>
    <n v="0"/>
  </r>
  <r>
    <x v="485"/>
    <x v="4"/>
    <x v="0"/>
    <n v="798"/>
    <x v="1"/>
    <n v="6"/>
    <n v="4"/>
    <x v="2"/>
    <n v="1"/>
    <x v="0"/>
    <n v="66"/>
    <n v="2"/>
    <n v="1"/>
    <x v="1"/>
    <n v="3"/>
    <x v="2"/>
    <x v="467"/>
    <n v="5013"/>
    <n v="0"/>
    <x v="1"/>
    <n v="0.12"/>
    <n v="3"/>
    <n v="3"/>
    <n v="2"/>
    <n v="6"/>
    <n v="5"/>
    <n v="2"/>
    <x v="8"/>
    <n v="3"/>
    <n v="0"/>
    <n v="3"/>
    <x v="1"/>
    <n v="0"/>
    <n v="1"/>
    <n v="2"/>
    <n v="0"/>
    <n v="0"/>
    <n v="0"/>
    <n v="1"/>
    <n v="0"/>
    <n v="6.4944289374208282"/>
    <n v="0.22374939857982484"/>
    <x v="2"/>
    <n v="0"/>
  </r>
  <r>
    <x v="486"/>
    <x v="2"/>
    <x v="0"/>
    <n v="558"/>
    <x v="0"/>
    <n v="2"/>
    <n v="3"/>
    <x v="3"/>
    <n v="4"/>
    <x v="1"/>
    <n v="75"/>
    <n v="3"/>
    <n v="2"/>
    <x v="0"/>
    <n v="3"/>
    <x v="1"/>
    <x v="468"/>
    <n v="3010"/>
    <n v="4"/>
    <x v="0"/>
    <n v="0.11"/>
    <n v="3"/>
    <n v="3"/>
    <n v="1"/>
    <n v="17"/>
    <n v="3"/>
    <n v="2"/>
    <x v="11"/>
    <n v="0"/>
    <n v="1"/>
    <n v="0"/>
    <x v="1"/>
    <n v="1"/>
    <n v="1"/>
    <n v="1"/>
    <n v="1"/>
    <n v="0"/>
    <n v="0"/>
    <n v="0"/>
    <n v="0"/>
    <n v="10"/>
    <n v="0.3445251318258073"/>
    <x v="0"/>
    <n v="0"/>
  </r>
  <r>
    <x v="487"/>
    <x v="35"/>
    <x v="0"/>
    <n v="959"/>
    <x v="1"/>
    <n v="1"/>
    <n v="3"/>
    <x v="0"/>
    <n v="4"/>
    <x v="0"/>
    <n v="83"/>
    <n v="2"/>
    <n v="1"/>
    <x v="1"/>
    <n v="2"/>
    <x v="0"/>
    <x v="469"/>
    <n v="11757"/>
    <n v="1"/>
    <x v="1"/>
    <n v="0.13"/>
    <n v="3"/>
    <n v="4"/>
    <n v="0"/>
    <n v="1"/>
    <n v="0"/>
    <n v="4"/>
    <x v="6"/>
    <n v="0"/>
    <n v="0"/>
    <n v="0"/>
    <x v="1"/>
    <n v="0"/>
    <n v="1"/>
    <n v="0"/>
    <n v="0"/>
    <n v="0"/>
    <n v="1"/>
    <n v="1"/>
    <n v="0"/>
    <n v="10.698962067398959"/>
    <n v="0.3686061316669938"/>
    <x v="0"/>
    <n v="0"/>
  </r>
  <r>
    <x v="488"/>
    <x v="19"/>
    <x v="0"/>
    <n v="622"/>
    <x v="1"/>
    <n v="2"/>
    <n v="4"/>
    <x v="0"/>
    <n v="3"/>
    <x v="0"/>
    <n v="81"/>
    <n v="3"/>
    <n v="2"/>
    <x v="4"/>
    <n v="4"/>
    <x v="1"/>
    <x v="470"/>
    <n v="5718"/>
    <n v="1"/>
    <x v="1"/>
    <n v="0.13"/>
    <n v="3"/>
    <n v="2"/>
    <n v="2"/>
    <n v="10"/>
    <n v="4"/>
    <n v="3"/>
    <x v="1"/>
    <n v="2"/>
    <n v="2"/>
    <n v="2"/>
    <x v="1"/>
    <n v="0"/>
    <n v="1"/>
    <n v="1"/>
    <n v="0"/>
    <n v="0"/>
    <n v="0"/>
    <n v="1"/>
    <n v="0"/>
    <n v="6.4944289374208282"/>
    <n v="0.22374939857982484"/>
    <x v="2"/>
    <n v="0"/>
  </r>
  <r>
    <x v="489"/>
    <x v="23"/>
    <x v="0"/>
    <n v="782"/>
    <x v="1"/>
    <n v="6"/>
    <n v="4"/>
    <x v="1"/>
    <n v="2"/>
    <x v="1"/>
    <n v="50"/>
    <n v="2"/>
    <n v="4"/>
    <x v="7"/>
    <n v="4"/>
    <x v="2"/>
    <x v="471"/>
    <n v="2671"/>
    <n v="4"/>
    <x v="0"/>
    <n v="0.14000000000000001"/>
    <n v="3"/>
    <n v="3"/>
    <n v="1"/>
    <n v="21"/>
    <n v="3"/>
    <n v="2"/>
    <x v="6"/>
    <n v="0"/>
    <n v="0"/>
    <n v="0"/>
    <x v="1"/>
    <n v="1"/>
    <n v="1"/>
    <n v="2"/>
    <n v="1"/>
    <n v="0"/>
    <n v="0"/>
    <n v="0"/>
    <n v="0"/>
    <n v="10"/>
    <n v="0.3445251318258073"/>
    <x v="0"/>
    <n v="0"/>
  </r>
  <r>
    <x v="490"/>
    <x v="8"/>
    <x v="0"/>
    <n v="362"/>
    <x v="1"/>
    <n v="1"/>
    <n v="1"/>
    <x v="0"/>
    <n v="3"/>
    <x v="0"/>
    <n v="43"/>
    <n v="3"/>
    <n v="1"/>
    <x v="1"/>
    <n v="1"/>
    <x v="0"/>
    <x v="472"/>
    <n v="14561"/>
    <n v="3"/>
    <x v="1"/>
    <n v="0.17"/>
    <n v="3"/>
    <n v="4"/>
    <n v="0"/>
    <n v="8"/>
    <n v="3"/>
    <n v="2"/>
    <x v="2"/>
    <n v="0"/>
    <n v="0"/>
    <n v="0"/>
    <x v="1"/>
    <n v="0"/>
    <n v="1"/>
    <n v="0"/>
    <n v="0"/>
    <n v="0"/>
    <n v="1"/>
    <n v="1"/>
    <n v="0"/>
    <n v="10.698962067398959"/>
    <n v="0.3686061316669938"/>
    <x v="0"/>
    <n v="0"/>
  </r>
  <r>
    <x v="491"/>
    <x v="23"/>
    <x v="1"/>
    <n v="1001"/>
    <x v="1"/>
    <n v="9"/>
    <n v="5"/>
    <x v="2"/>
    <n v="4"/>
    <x v="1"/>
    <n v="72"/>
    <n v="3"/>
    <n v="2"/>
    <x v="2"/>
    <n v="3"/>
    <x v="2"/>
    <x v="473"/>
    <n v="19627"/>
    <n v="3"/>
    <x v="0"/>
    <n v="0.13"/>
    <n v="3"/>
    <n v="2"/>
    <n v="1"/>
    <n v="10"/>
    <n v="3"/>
    <n v="3"/>
    <x v="3"/>
    <n v="7"/>
    <n v="4"/>
    <n v="7"/>
    <x v="1"/>
    <n v="1"/>
    <n v="2"/>
    <n v="2"/>
    <n v="1"/>
    <n v="0"/>
    <n v="0"/>
    <n v="0"/>
    <n v="1"/>
    <n v="15.160389980490176"/>
    <n v="0.52231353565590266"/>
    <x v="1"/>
    <n v="8518.5"/>
  </r>
  <r>
    <x v="492"/>
    <x v="26"/>
    <x v="0"/>
    <n v="1236"/>
    <x v="1"/>
    <n v="1"/>
    <n v="4"/>
    <x v="0"/>
    <n v="4"/>
    <x v="0"/>
    <n v="40"/>
    <n v="2"/>
    <n v="4"/>
    <x v="5"/>
    <n v="1"/>
    <x v="1"/>
    <x v="474"/>
    <n v="17997"/>
    <n v="7"/>
    <x v="1"/>
    <n v="0.11"/>
    <n v="3"/>
    <n v="1"/>
    <n v="1"/>
    <n v="21"/>
    <n v="3"/>
    <n v="1"/>
    <x v="11"/>
    <n v="2"/>
    <n v="0"/>
    <n v="2"/>
    <x v="1"/>
    <n v="0"/>
    <n v="1"/>
    <n v="1"/>
    <n v="0"/>
    <n v="0"/>
    <n v="1"/>
    <n v="0"/>
    <n v="0"/>
    <n v="4.204533129978131"/>
    <n v="0.14485673308716898"/>
    <x v="2"/>
    <n v="0"/>
  </r>
  <r>
    <x v="493"/>
    <x v="20"/>
    <x v="0"/>
    <n v="1112"/>
    <x v="2"/>
    <n v="1"/>
    <n v="4"/>
    <x v="0"/>
    <n v="1"/>
    <x v="0"/>
    <n v="50"/>
    <n v="2"/>
    <n v="2"/>
    <x v="8"/>
    <n v="3"/>
    <x v="0"/>
    <x v="475"/>
    <n v="26894"/>
    <n v="4"/>
    <x v="1"/>
    <n v="0.11"/>
    <n v="3"/>
    <n v="2"/>
    <n v="0"/>
    <n v="10"/>
    <n v="1"/>
    <n v="4"/>
    <x v="4"/>
    <n v="2"/>
    <n v="0"/>
    <n v="2"/>
    <x v="1"/>
    <n v="0"/>
    <n v="1"/>
    <n v="0"/>
    <n v="0"/>
    <n v="0"/>
    <n v="0"/>
    <n v="0"/>
    <n v="0"/>
    <n v="0"/>
    <n v="0"/>
    <x v="2"/>
    <n v="0"/>
  </r>
  <r>
    <x v="494"/>
    <x v="13"/>
    <x v="0"/>
    <n v="204"/>
    <x v="0"/>
    <n v="14"/>
    <n v="3"/>
    <x v="4"/>
    <n v="3"/>
    <x v="0"/>
    <n v="31"/>
    <n v="3"/>
    <n v="1"/>
    <x v="6"/>
    <n v="3"/>
    <x v="2"/>
    <x v="476"/>
    <n v="2912"/>
    <n v="1"/>
    <x v="0"/>
    <n v="0.18"/>
    <n v="3"/>
    <n v="4"/>
    <n v="2"/>
    <n v="8"/>
    <n v="3"/>
    <n v="3"/>
    <x v="3"/>
    <n v="2"/>
    <n v="0"/>
    <n v="6"/>
    <x v="1"/>
    <n v="0"/>
    <n v="1"/>
    <n v="2"/>
    <n v="1"/>
    <n v="0"/>
    <n v="0"/>
    <n v="1"/>
    <n v="0"/>
    <n v="16.494428937420828"/>
    <n v="0.56827453040563214"/>
    <x v="1"/>
    <n v="3868.5"/>
  </r>
  <r>
    <x v="495"/>
    <x v="4"/>
    <x v="0"/>
    <n v="1420"/>
    <x v="0"/>
    <n v="2"/>
    <n v="1"/>
    <x v="3"/>
    <n v="3"/>
    <x v="1"/>
    <n v="85"/>
    <n v="3"/>
    <n v="1"/>
    <x v="6"/>
    <n v="1"/>
    <x v="2"/>
    <x v="477"/>
    <n v="16346"/>
    <n v="0"/>
    <x v="1"/>
    <n v="0.11"/>
    <n v="3"/>
    <n v="2"/>
    <n v="1"/>
    <n v="5"/>
    <n v="3"/>
    <n v="3"/>
    <x v="9"/>
    <n v="3"/>
    <n v="0"/>
    <n v="2"/>
    <x v="0"/>
    <n v="1"/>
    <n v="1"/>
    <n v="2"/>
    <n v="0"/>
    <n v="0"/>
    <n v="1"/>
    <n v="1"/>
    <n v="0"/>
    <n v="10.698962067398959"/>
    <n v="0.3686061316669938"/>
    <x v="0"/>
    <n v="0"/>
  </r>
  <r>
    <x v="496"/>
    <x v="18"/>
    <x v="0"/>
    <n v="1343"/>
    <x v="0"/>
    <n v="22"/>
    <n v="1"/>
    <x v="4"/>
    <n v="3"/>
    <x v="1"/>
    <n v="49"/>
    <n v="3"/>
    <n v="1"/>
    <x v="6"/>
    <n v="3"/>
    <x v="0"/>
    <x v="478"/>
    <n v="24444"/>
    <n v="1"/>
    <x v="1"/>
    <n v="0.11"/>
    <n v="3"/>
    <n v="3"/>
    <n v="0"/>
    <n v="3"/>
    <n v="2"/>
    <n v="3"/>
    <x v="11"/>
    <n v="2"/>
    <n v="1"/>
    <n v="2"/>
    <x v="1"/>
    <n v="1"/>
    <n v="1"/>
    <n v="0"/>
    <n v="0"/>
    <n v="1"/>
    <n v="0"/>
    <n v="1"/>
    <n v="0"/>
    <n v="9.660535633296206"/>
    <n v="0.33282973125692844"/>
    <x v="0"/>
    <n v="0"/>
  </r>
  <r>
    <x v="497"/>
    <x v="20"/>
    <x v="0"/>
    <n v="1315"/>
    <x v="1"/>
    <n v="3"/>
    <n v="4"/>
    <x v="1"/>
    <n v="4"/>
    <x v="1"/>
    <n v="35"/>
    <n v="3"/>
    <n v="5"/>
    <x v="5"/>
    <n v="4"/>
    <x v="1"/>
    <x v="479"/>
    <n v="9358"/>
    <n v="4"/>
    <x v="0"/>
    <n v="0.12"/>
    <n v="3"/>
    <n v="1"/>
    <n v="1"/>
    <n v="26"/>
    <n v="2"/>
    <n v="4"/>
    <x v="4"/>
    <n v="2"/>
    <n v="0"/>
    <n v="1"/>
    <x v="1"/>
    <n v="1"/>
    <n v="1"/>
    <n v="1"/>
    <n v="1"/>
    <n v="0"/>
    <n v="0"/>
    <n v="0"/>
    <n v="0"/>
    <n v="10"/>
    <n v="0.3445251318258073"/>
    <x v="0"/>
    <n v="0"/>
  </r>
  <r>
    <x v="498"/>
    <x v="15"/>
    <x v="0"/>
    <n v="604"/>
    <x v="1"/>
    <n v="6"/>
    <n v="1"/>
    <x v="2"/>
    <n v="1"/>
    <x v="1"/>
    <n v="69"/>
    <n v="3"/>
    <n v="1"/>
    <x v="1"/>
    <n v="3"/>
    <x v="1"/>
    <x v="480"/>
    <n v="12145"/>
    <n v="0"/>
    <x v="1"/>
    <n v="0.2"/>
    <n v="4"/>
    <n v="4"/>
    <n v="0"/>
    <n v="3"/>
    <n v="3"/>
    <n v="3"/>
    <x v="4"/>
    <n v="2"/>
    <n v="2"/>
    <n v="2"/>
    <x v="1"/>
    <n v="1"/>
    <n v="1"/>
    <n v="1"/>
    <n v="0"/>
    <n v="0"/>
    <n v="0"/>
    <n v="1"/>
    <n v="0"/>
    <n v="6.4944289374208282"/>
    <n v="0.22374939857982484"/>
    <x v="2"/>
    <n v="0"/>
  </r>
  <r>
    <x v="499"/>
    <x v="3"/>
    <x v="0"/>
    <n v="1216"/>
    <x v="0"/>
    <n v="8"/>
    <n v="4"/>
    <x v="3"/>
    <n v="3"/>
    <x v="1"/>
    <n v="39"/>
    <n v="3"/>
    <n v="2"/>
    <x v="0"/>
    <n v="3"/>
    <x v="2"/>
    <x v="481"/>
    <n v="20431"/>
    <n v="0"/>
    <x v="1"/>
    <n v="0.12"/>
    <n v="3"/>
    <n v="4"/>
    <n v="0"/>
    <n v="6"/>
    <n v="3"/>
    <n v="3"/>
    <x v="8"/>
    <n v="0"/>
    <n v="1"/>
    <n v="2"/>
    <x v="1"/>
    <n v="1"/>
    <n v="1"/>
    <n v="2"/>
    <n v="0"/>
    <n v="0"/>
    <n v="0"/>
    <n v="0"/>
    <n v="0"/>
    <n v="0"/>
    <n v="0"/>
    <x v="2"/>
    <n v="0"/>
  </r>
  <r>
    <x v="500"/>
    <x v="5"/>
    <x v="0"/>
    <n v="646"/>
    <x v="1"/>
    <n v="9"/>
    <n v="4"/>
    <x v="0"/>
    <n v="1"/>
    <x v="0"/>
    <n v="92"/>
    <n v="3"/>
    <n v="2"/>
    <x v="1"/>
    <n v="4"/>
    <x v="1"/>
    <x v="482"/>
    <n v="18089"/>
    <n v="1"/>
    <x v="0"/>
    <n v="0.12"/>
    <n v="3"/>
    <n v="4"/>
    <n v="1"/>
    <n v="6"/>
    <n v="2"/>
    <n v="2"/>
    <x v="0"/>
    <n v="4"/>
    <n v="0"/>
    <n v="5"/>
    <x v="1"/>
    <n v="0"/>
    <n v="1"/>
    <n v="1"/>
    <n v="1"/>
    <n v="0"/>
    <n v="0"/>
    <n v="0"/>
    <n v="0"/>
    <n v="10"/>
    <n v="0.3445251318258073"/>
    <x v="0"/>
    <n v="0"/>
  </r>
  <r>
    <x v="501"/>
    <x v="7"/>
    <x v="1"/>
    <n v="160"/>
    <x v="1"/>
    <n v="3"/>
    <n v="3"/>
    <x v="2"/>
    <n v="3"/>
    <x v="0"/>
    <n v="71"/>
    <n v="3"/>
    <n v="1"/>
    <x v="1"/>
    <n v="3"/>
    <x v="2"/>
    <x v="483"/>
    <n v="22653"/>
    <n v="1"/>
    <x v="1"/>
    <n v="0.2"/>
    <n v="4"/>
    <n v="3"/>
    <n v="1"/>
    <n v="1"/>
    <n v="2"/>
    <n v="3"/>
    <x v="6"/>
    <n v="0"/>
    <n v="0"/>
    <n v="0"/>
    <x v="1"/>
    <n v="0"/>
    <n v="2"/>
    <n v="2"/>
    <n v="0"/>
    <n v="0"/>
    <n v="0"/>
    <n v="1"/>
    <n v="1"/>
    <n v="11.654818917911005"/>
    <n v="0.40153780240992015"/>
    <x v="0"/>
    <n v="0"/>
  </r>
  <r>
    <x v="502"/>
    <x v="16"/>
    <x v="0"/>
    <n v="238"/>
    <x v="0"/>
    <n v="1"/>
    <n v="1"/>
    <x v="2"/>
    <n v="4"/>
    <x v="0"/>
    <n v="34"/>
    <n v="3"/>
    <n v="2"/>
    <x v="0"/>
    <n v="1"/>
    <x v="0"/>
    <x v="484"/>
    <n v="7507"/>
    <n v="7"/>
    <x v="1"/>
    <n v="0.2"/>
    <n v="4"/>
    <n v="4"/>
    <n v="0"/>
    <n v="18"/>
    <n v="2"/>
    <n v="4"/>
    <x v="13"/>
    <n v="7"/>
    <n v="8"/>
    <n v="10"/>
    <x v="1"/>
    <n v="0"/>
    <n v="1"/>
    <n v="0"/>
    <n v="0"/>
    <n v="0"/>
    <n v="1"/>
    <n v="0"/>
    <n v="0"/>
    <n v="4.204533129978131"/>
    <n v="0.14485673308716898"/>
    <x v="2"/>
    <n v="0"/>
  </r>
  <r>
    <x v="503"/>
    <x v="13"/>
    <x v="0"/>
    <n v="1397"/>
    <x v="1"/>
    <n v="1"/>
    <n v="5"/>
    <x v="0"/>
    <n v="2"/>
    <x v="1"/>
    <n v="42"/>
    <n v="3"/>
    <n v="1"/>
    <x v="1"/>
    <n v="4"/>
    <x v="1"/>
    <x v="485"/>
    <n v="7660"/>
    <n v="1"/>
    <x v="1"/>
    <n v="0.12"/>
    <n v="3"/>
    <n v="4"/>
    <n v="1"/>
    <n v="10"/>
    <n v="4"/>
    <n v="2"/>
    <x v="1"/>
    <n v="9"/>
    <n v="8"/>
    <n v="8"/>
    <x v="1"/>
    <n v="1"/>
    <n v="1"/>
    <n v="1"/>
    <n v="0"/>
    <n v="0"/>
    <n v="0"/>
    <n v="1"/>
    <n v="0"/>
    <n v="6.4944289374208282"/>
    <n v="0.22374939857982484"/>
    <x v="2"/>
    <n v="0"/>
  </r>
  <r>
    <x v="504"/>
    <x v="28"/>
    <x v="1"/>
    <n v="306"/>
    <x v="0"/>
    <n v="26"/>
    <n v="4"/>
    <x v="0"/>
    <n v="1"/>
    <x v="0"/>
    <n v="100"/>
    <n v="3"/>
    <n v="2"/>
    <x v="0"/>
    <n v="1"/>
    <x v="1"/>
    <x v="486"/>
    <n v="5630"/>
    <n v="2"/>
    <x v="1"/>
    <n v="0.14000000000000001"/>
    <n v="3"/>
    <n v="4"/>
    <n v="2"/>
    <n v="5"/>
    <n v="4"/>
    <n v="3"/>
    <x v="6"/>
    <n v="1"/>
    <n v="0"/>
    <n v="0"/>
    <x v="0"/>
    <n v="0"/>
    <n v="2"/>
    <n v="1"/>
    <n v="0"/>
    <n v="1"/>
    <n v="1"/>
    <n v="1"/>
    <n v="1"/>
    <n v="19.025458743764514"/>
    <n v="0.65547486817419276"/>
    <x v="1"/>
    <n v="6429"/>
  </r>
  <r>
    <x v="505"/>
    <x v="25"/>
    <x v="0"/>
    <n v="991"/>
    <x v="1"/>
    <n v="6"/>
    <n v="3"/>
    <x v="0"/>
    <n v="3"/>
    <x v="0"/>
    <n v="71"/>
    <n v="3"/>
    <n v="1"/>
    <x v="2"/>
    <n v="4"/>
    <x v="1"/>
    <x v="487"/>
    <n v="17759"/>
    <n v="1"/>
    <x v="0"/>
    <n v="0.13"/>
    <n v="3"/>
    <n v="3"/>
    <n v="1"/>
    <n v="3"/>
    <n v="2"/>
    <n v="3"/>
    <x v="11"/>
    <n v="2"/>
    <n v="0"/>
    <n v="2"/>
    <x v="1"/>
    <n v="0"/>
    <n v="1"/>
    <n v="1"/>
    <n v="1"/>
    <n v="0"/>
    <n v="0"/>
    <n v="1"/>
    <n v="0"/>
    <n v="16.494428937420828"/>
    <n v="0.56827453040563214"/>
    <x v="1"/>
    <n v="3988.5"/>
  </r>
  <r>
    <x v="506"/>
    <x v="2"/>
    <x v="0"/>
    <n v="482"/>
    <x v="1"/>
    <n v="3"/>
    <n v="3"/>
    <x v="1"/>
    <n v="3"/>
    <x v="1"/>
    <n v="36"/>
    <n v="3"/>
    <n v="3"/>
    <x v="3"/>
    <n v="3"/>
    <x v="1"/>
    <x v="488"/>
    <n v="9606"/>
    <n v="1"/>
    <x v="1"/>
    <n v="0.15"/>
    <n v="3"/>
    <n v="3"/>
    <n v="1"/>
    <n v="10"/>
    <n v="2"/>
    <n v="3"/>
    <x v="1"/>
    <n v="7"/>
    <n v="7"/>
    <n v="8"/>
    <x v="1"/>
    <n v="1"/>
    <n v="1"/>
    <n v="1"/>
    <n v="0"/>
    <n v="0"/>
    <n v="0"/>
    <n v="0"/>
    <n v="0"/>
    <n v="0"/>
    <n v="0"/>
    <x v="2"/>
    <n v="0"/>
  </r>
  <r>
    <x v="507"/>
    <x v="11"/>
    <x v="0"/>
    <n v="1176"/>
    <x v="0"/>
    <n v="3"/>
    <n v="2"/>
    <x v="2"/>
    <n v="2"/>
    <x v="0"/>
    <n v="62"/>
    <n v="3"/>
    <n v="2"/>
    <x v="0"/>
    <n v="3"/>
    <x v="1"/>
    <x v="489"/>
    <n v="3487"/>
    <n v="1"/>
    <x v="1"/>
    <n v="0.14000000000000001"/>
    <n v="3"/>
    <n v="1"/>
    <n v="1"/>
    <n v="6"/>
    <n v="5"/>
    <n v="2"/>
    <x v="0"/>
    <n v="0"/>
    <n v="1"/>
    <n v="2"/>
    <x v="1"/>
    <n v="0"/>
    <n v="1"/>
    <n v="1"/>
    <n v="0"/>
    <n v="0"/>
    <n v="0"/>
    <n v="0"/>
    <n v="0"/>
    <n v="0"/>
    <n v="0"/>
    <x v="2"/>
    <n v="0"/>
  </r>
  <r>
    <x v="508"/>
    <x v="10"/>
    <x v="0"/>
    <n v="1017"/>
    <x v="1"/>
    <n v="6"/>
    <n v="4"/>
    <x v="0"/>
    <n v="2"/>
    <x v="1"/>
    <n v="82"/>
    <n v="1"/>
    <n v="2"/>
    <x v="1"/>
    <n v="4"/>
    <x v="0"/>
    <x v="490"/>
    <n v="19368"/>
    <n v="1"/>
    <x v="1"/>
    <n v="0.13"/>
    <n v="3"/>
    <n v="2"/>
    <n v="0"/>
    <n v="17"/>
    <n v="3"/>
    <n v="3"/>
    <x v="18"/>
    <n v="11"/>
    <n v="11"/>
    <n v="8"/>
    <x v="1"/>
    <n v="1"/>
    <n v="1"/>
    <n v="0"/>
    <n v="0"/>
    <n v="0"/>
    <n v="0"/>
    <n v="0"/>
    <n v="0"/>
    <n v="0"/>
    <n v="0"/>
    <x v="2"/>
    <n v="0"/>
  </r>
  <r>
    <x v="509"/>
    <x v="3"/>
    <x v="1"/>
    <n v="1296"/>
    <x v="1"/>
    <n v="6"/>
    <n v="3"/>
    <x v="0"/>
    <n v="3"/>
    <x v="1"/>
    <n v="30"/>
    <n v="3"/>
    <n v="2"/>
    <x v="4"/>
    <n v="4"/>
    <x v="2"/>
    <x v="491"/>
    <n v="5335"/>
    <n v="3"/>
    <x v="1"/>
    <n v="0.23"/>
    <n v="4"/>
    <n v="3"/>
    <n v="1"/>
    <n v="15"/>
    <n v="2"/>
    <n v="1"/>
    <x v="20"/>
    <n v="11"/>
    <n v="4"/>
    <n v="7"/>
    <x v="1"/>
    <n v="1"/>
    <n v="2"/>
    <n v="2"/>
    <n v="0"/>
    <n v="0"/>
    <n v="0"/>
    <n v="0"/>
    <n v="1"/>
    <n v="5.1603899804901765"/>
    <n v="0.17778840383009531"/>
    <x v="2"/>
    <n v="0"/>
  </r>
  <r>
    <x v="510"/>
    <x v="33"/>
    <x v="0"/>
    <n v="397"/>
    <x v="2"/>
    <n v="19"/>
    <n v="4"/>
    <x v="2"/>
    <n v="3"/>
    <x v="1"/>
    <n v="88"/>
    <n v="3"/>
    <n v="3"/>
    <x v="8"/>
    <n v="2"/>
    <x v="1"/>
    <x v="492"/>
    <n v="6729"/>
    <n v="2"/>
    <x v="1"/>
    <n v="0.15"/>
    <n v="3"/>
    <n v="3"/>
    <n v="1"/>
    <n v="16"/>
    <n v="1"/>
    <n v="4"/>
    <x v="7"/>
    <n v="7"/>
    <n v="7"/>
    <n v="1"/>
    <x v="1"/>
    <n v="1"/>
    <n v="1"/>
    <n v="1"/>
    <n v="0"/>
    <n v="1"/>
    <n v="1"/>
    <n v="0"/>
    <n v="0"/>
    <n v="7.3706398258535089"/>
    <n v="0.25393706576427255"/>
    <x v="0"/>
    <n v="0"/>
  </r>
  <r>
    <x v="511"/>
    <x v="9"/>
    <x v="0"/>
    <n v="913"/>
    <x v="1"/>
    <n v="9"/>
    <n v="2"/>
    <x v="2"/>
    <n v="2"/>
    <x v="1"/>
    <n v="48"/>
    <n v="2"/>
    <n v="2"/>
    <x v="3"/>
    <n v="2"/>
    <x v="2"/>
    <x v="493"/>
    <n v="13934"/>
    <n v="2"/>
    <x v="0"/>
    <n v="0.11"/>
    <n v="3"/>
    <n v="3"/>
    <n v="1"/>
    <n v="13"/>
    <n v="2"/>
    <n v="3"/>
    <x v="11"/>
    <n v="2"/>
    <n v="0"/>
    <n v="2"/>
    <x v="1"/>
    <n v="1"/>
    <n v="1"/>
    <n v="2"/>
    <n v="1"/>
    <n v="0"/>
    <n v="1"/>
    <n v="0"/>
    <n v="0"/>
    <n v="14.204533129978131"/>
    <n v="0.48938186491297625"/>
    <x v="0"/>
    <n v="0"/>
  </r>
  <r>
    <x v="512"/>
    <x v="4"/>
    <x v="0"/>
    <n v="1115"/>
    <x v="1"/>
    <n v="3"/>
    <n v="4"/>
    <x v="2"/>
    <n v="1"/>
    <x v="1"/>
    <n v="54"/>
    <n v="2"/>
    <n v="1"/>
    <x v="1"/>
    <n v="4"/>
    <x v="0"/>
    <x v="494"/>
    <n v="15174"/>
    <n v="0"/>
    <x v="1"/>
    <n v="0.13"/>
    <n v="3"/>
    <n v="4"/>
    <n v="0"/>
    <n v="5"/>
    <n v="0"/>
    <n v="3"/>
    <x v="9"/>
    <n v="2"/>
    <n v="1"/>
    <n v="1"/>
    <x v="1"/>
    <n v="1"/>
    <n v="1"/>
    <n v="0"/>
    <n v="0"/>
    <n v="0"/>
    <n v="0"/>
    <n v="1"/>
    <n v="0"/>
    <n v="6.4944289374208282"/>
    <n v="0.22374939857982484"/>
    <x v="2"/>
    <n v="0"/>
  </r>
  <r>
    <x v="513"/>
    <x v="35"/>
    <x v="0"/>
    <n v="1362"/>
    <x v="1"/>
    <n v="10"/>
    <n v="1"/>
    <x v="2"/>
    <n v="4"/>
    <x v="1"/>
    <n v="32"/>
    <n v="3"/>
    <n v="1"/>
    <x v="1"/>
    <n v="3"/>
    <x v="0"/>
    <x v="495"/>
    <n v="26999"/>
    <n v="1"/>
    <x v="0"/>
    <n v="0.11"/>
    <n v="3"/>
    <n v="4"/>
    <n v="0"/>
    <n v="1"/>
    <n v="5"/>
    <n v="3"/>
    <x v="6"/>
    <n v="0"/>
    <n v="1"/>
    <n v="1"/>
    <x v="0"/>
    <n v="1"/>
    <n v="1"/>
    <n v="0"/>
    <n v="1"/>
    <n v="0"/>
    <n v="0"/>
    <n v="1"/>
    <n v="0"/>
    <n v="16.494428937420828"/>
    <n v="0.56827453040563214"/>
    <x v="1"/>
    <n v="1513.5"/>
  </r>
  <r>
    <x v="514"/>
    <x v="3"/>
    <x v="1"/>
    <n v="1076"/>
    <x v="1"/>
    <n v="3"/>
    <n v="3"/>
    <x v="0"/>
    <n v="1"/>
    <x v="1"/>
    <n v="70"/>
    <n v="3"/>
    <n v="1"/>
    <x v="1"/>
    <n v="1"/>
    <x v="0"/>
    <x v="496"/>
    <n v="3164"/>
    <n v="1"/>
    <x v="0"/>
    <n v="0.11"/>
    <n v="3"/>
    <n v="1"/>
    <n v="0"/>
    <n v="10"/>
    <n v="3"/>
    <n v="3"/>
    <x v="1"/>
    <n v="8"/>
    <n v="9"/>
    <n v="7"/>
    <x v="0"/>
    <n v="1"/>
    <n v="2"/>
    <n v="0"/>
    <n v="1"/>
    <n v="0"/>
    <n v="1"/>
    <n v="1"/>
    <n v="1"/>
    <n v="25.859352047889136"/>
    <n v="0.8909196673228964"/>
    <x v="3"/>
    <n v="5022"/>
  </r>
  <r>
    <x v="515"/>
    <x v="10"/>
    <x v="2"/>
    <n v="727"/>
    <x v="1"/>
    <n v="3"/>
    <n v="3"/>
    <x v="0"/>
    <n v="3"/>
    <x v="1"/>
    <n v="41"/>
    <n v="2"/>
    <n v="1"/>
    <x v="2"/>
    <n v="3"/>
    <x v="1"/>
    <x v="497"/>
    <n v="16900"/>
    <n v="1"/>
    <x v="1"/>
    <n v="0.18"/>
    <n v="3"/>
    <n v="3"/>
    <n v="2"/>
    <n v="1"/>
    <n v="3"/>
    <n v="3"/>
    <x v="6"/>
    <n v="0"/>
    <n v="0"/>
    <n v="0"/>
    <x v="1"/>
    <n v="1"/>
    <n v="0"/>
    <n v="1"/>
    <n v="0"/>
    <n v="0"/>
    <n v="0"/>
    <n v="1"/>
    <n v="0"/>
    <n v="6.4944289374208282"/>
    <n v="0.22374939857982484"/>
    <x v="2"/>
    <n v="0"/>
  </r>
  <r>
    <x v="516"/>
    <x v="30"/>
    <x v="0"/>
    <n v="885"/>
    <x v="1"/>
    <n v="4"/>
    <n v="3"/>
    <x v="2"/>
    <n v="1"/>
    <x v="1"/>
    <n v="58"/>
    <n v="4"/>
    <n v="1"/>
    <x v="1"/>
    <n v="1"/>
    <x v="1"/>
    <x v="498"/>
    <n v="8544"/>
    <n v="2"/>
    <x v="1"/>
    <n v="0.16"/>
    <n v="3"/>
    <n v="1"/>
    <n v="1"/>
    <n v="5"/>
    <n v="3"/>
    <n v="4"/>
    <x v="11"/>
    <n v="2"/>
    <n v="0"/>
    <n v="2"/>
    <x v="1"/>
    <n v="1"/>
    <n v="1"/>
    <n v="1"/>
    <n v="0"/>
    <n v="0"/>
    <n v="1"/>
    <n v="1"/>
    <n v="0"/>
    <n v="10.698962067398959"/>
    <n v="0.3686061316669938"/>
    <x v="0"/>
    <n v="0"/>
  </r>
  <r>
    <x v="517"/>
    <x v="36"/>
    <x v="0"/>
    <n v="810"/>
    <x v="0"/>
    <n v="8"/>
    <n v="3"/>
    <x v="0"/>
    <n v="4"/>
    <x v="1"/>
    <n v="57"/>
    <n v="4"/>
    <n v="2"/>
    <x v="0"/>
    <n v="2"/>
    <x v="1"/>
    <x v="499"/>
    <n v="15678"/>
    <n v="0"/>
    <x v="1"/>
    <n v="0.22"/>
    <n v="4"/>
    <n v="3"/>
    <n v="1"/>
    <n v="4"/>
    <n v="4"/>
    <n v="3"/>
    <x v="11"/>
    <n v="2"/>
    <n v="1"/>
    <n v="2"/>
    <x v="1"/>
    <n v="1"/>
    <n v="1"/>
    <n v="1"/>
    <n v="0"/>
    <n v="0"/>
    <n v="1"/>
    <n v="1"/>
    <n v="0"/>
    <n v="10.698962067398959"/>
    <n v="0.3686061316669938"/>
    <x v="0"/>
    <n v="0"/>
  </r>
  <r>
    <x v="518"/>
    <x v="8"/>
    <x v="0"/>
    <n v="243"/>
    <x v="0"/>
    <n v="7"/>
    <n v="4"/>
    <x v="3"/>
    <n v="4"/>
    <x v="0"/>
    <n v="46"/>
    <n v="2"/>
    <n v="2"/>
    <x v="0"/>
    <n v="4"/>
    <x v="0"/>
    <x v="500"/>
    <n v="7791"/>
    <n v="0"/>
    <x v="1"/>
    <n v="0.2"/>
    <n v="4"/>
    <n v="1"/>
    <n v="0"/>
    <n v="8"/>
    <n v="2"/>
    <n v="3"/>
    <x v="5"/>
    <n v="7"/>
    <n v="0"/>
    <n v="5"/>
    <x v="1"/>
    <n v="0"/>
    <n v="1"/>
    <n v="0"/>
    <n v="0"/>
    <n v="0"/>
    <n v="0"/>
    <n v="1"/>
    <n v="0"/>
    <n v="6.4944289374208282"/>
    <n v="0.22374939857982484"/>
    <x v="2"/>
    <n v="0"/>
  </r>
  <r>
    <x v="519"/>
    <x v="11"/>
    <x v="1"/>
    <n v="806"/>
    <x v="1"/>
    <n v="1"/>
    <n v="4"/>
    <x v="0"/>
    <n v="2"/>
    <x v="1"/>
    <n v="76"/>
    <n v="1"/>
    <n v="1"/>
    <x v="1"/>
    <n v="4"/>
    <x v="2"/>
    <x v="143"/>
    <n v="18959"/>
    <n v="1"/>
    <x v="1"/>
    <n v="0.18"/>
    <n v="3"/>
    <n v="4"/>
    <n v="1"/>
    <n v="10"/>
    <n v="5"/>
    <n v="3"/>
    <x v="1"/>
    <n v="7"/>
    <n v="2"/>
    <n v="8"/>
    <x v="1"/>
    <n v="1"/>
    <n v="2"/>
    <n v="2"/>
    <n v="0"/>
    <n v="0"/>
    <n v="0"/>
    <n v="1"/>
    <n v="1"/>
    <n v="11.654818917911005"/>
    <n v="0.40153780240992015"/>
    <x v="0"/>
    <n v="0"/>
  </r>
  <r>
    <x v="520"/>
    <x v="26"/>
    <x v="0"/>
    <n v="817"/>
    <x v="0"/>
    <n v="2"/>
    <n v="1"/>
    <x v="3"/>
    <n v="2"/>
    <x v="1"/>
    <n v="56"/>
    <n v="4"/>
    <n v="2"/>
    <x v="0"/>
    <n v="2"/>
    <x v="1"/>
    <x v="501"/>
    <n v="18597"/>
    <n v="3"/>
    <x v="1"/>
    <n v="0.12"/>
    <n v="3"/>
    <n v="4"/>
    <n v="0"/>
    <n v="12"/>
    <n v="3"/>
    <n v="3"/>
    <x v="4"/>
    <n v="2"/>
    <n v="2"/>
    <n v="2"/>
    <x v="1"/>
    <n v="1"/>
    <n v="1"/>
    <n v="1"/>
    <n v="0"/>
    <n v="0"/>
    <n v="1"/>
    <n v="0"/>
    <n v="0"/>
    <n v="4.204533129978131"/>
    <n v="0.14485673308716898"/>
    <x v="2"/>
    <n v="0"/>
  </r>
  <r>
    <x v="521"/>
    <x v="4"/>
    <x v="1"/>
    <n v="1410"/>
    <x v="0"/>
    <n v="3"/>
    <n v="1"/>
    <x v="2"/>
    <n v="4"/>
    <x v="0"/>
    <n v="71"/>
    <n v="4"/>
    <n v="2"/>
    <x v="0"/>
    <n v="4"/>
    <x v="2"/>
    <x v="502"/>
    <n v="16673"/>
    <n v="1"/>
    <x v="0"/>
    <n v="0.2"/>
    <n v="4"/>
    <n v="2"/>
    <n v="2"/>
    <n v="6"/>
    <n v="3"/>
    <n v="3"/>
    <x v="0"/>
    <n v="5"/>
    <n v="0"/>
    <n v="4"/>
    <x v="1"/>
    <n v="0"/>
    <n v="2"/>
    <n v="2"/>
    <n v="1"/>
    <n v="0"/>
    <n v="0"/>
    <n v="1"/>
    <n v="1"/>
    <n v="21.654818917911005"/>
    <n v="0.74606293423572745"/>
    <x v="1"/>
    <n v="6970.5"/>
  </r>
  <r>
    <x v="522"/>
    <x v="2"/>
    <x v="0"/>
    <n v="1225"/>
    <x v="1"/>
    <n v="10"/>
    <n v="2"/>
    <x v="0"/>
    <n v="4"/>
    <x v="1"/>
    <n v="80"/>
    <n v="4"/>
    <n v="1"/>
    <x v="1"/>
    <n v="4"/>
    <x v="0"/>
    <x v="503"/>
    <n v="15232"/>
    <n v="3"/>
    <x v="1"/>
    <n v="0.17"/>
    <n v="3"/>
    <n v="1"/>
    <n v="0"/>
    <n v="4"/>
    <n v="2"/>
    <n v="3"/>
    <x v="6"/>
    <n v="0"/>
    <n v="0"/>
    <n v="0"/>
    <x v="1"/>
    <n v="1"/>
    <n v="1"/>
    <n v="0"/>
    <n v="0"/>
    <n v="0"/>
    <n v="0"/>
    <n v="1"/>
    <n v="0"/>
    <n v="6.4944289374208282"/>
    <n v="0.22374939857982484"/>
    <x v="2"/>
    <n v="0"/>
  </r>
  <r>
    <x v="523"/>
    <x v="24"/>
    <x v="0"/>
    <n v="1207"/>
    <x v="1"/>
    <n v="28"/>
    <n v="1"/>
    <x v="2"/>
    <n v="4"/>
    <x v="1"/>
    <n v="74"/>
    <n v="4"/>
    <n v="1"/>
    <x v="2"/>
    <n v="3"/>
    <x v="1"/>
    <x v="504"/>
    <n v="3297"/>
    <n v="1"/>
    <x v="0"/>
    <n v="0.11"/>
    <n v="3"/>
    <n v="3"/>
    <n v="3"/>
    <n v="20"/>
    <n v="3"/>
    <n v="3"/>
    <x v="23"/>
    <n v="8"/>
    <n v="3"/>
    <n v="8"/>
    <x v="1"/>
    <n v="1"/>
    <n v="1"/>
    <n v="1"/>
    <n v="1"/>
    <n v="1"/>
    <n v="0"/>
    <n v="1"/>
    <n v="0"/>
    <n v="19.660535633296206"/>
    <n v="0.67735486308273574"/>
    <x v="1"/>
    <n v="4831.5"/>
  </r>
  <r>
    <x v="524"/>
    <x v="13"/>
    <x v="0"/>
    <n v="1442"/>
    <x v="1"/>
    <n v="9"/>
    <n v="3"/>
    <x v="2"/>
    <n v="4"/>
    <x v="0"/>
    <n v="46"/>
    <n v="2"/>
    <n v="3"/>
    <x v="4"/>
    <n v="2"/>
    <x v="0"/>
    <x v="505"/>
    <n v="17654"/>
    <n v="1"/>
    <x v="1"/>
    <n v="0.14000000000000001"/>
    <n v="3"/>
    <n v="2"/>
    <n v="0"/>
    <n v="9"/>
    <n v="3"/>
    <n v="4"/>
    <x v="3"/>
    <n v="7"/>
    <n v="7"/>
    <n v="7"/>
    <x v="1"/>
    <n v="0"/>
    <n v="1"/>
    <n v="0"/>
    <n v="0"/>
    <n v="0"/>
    <n v="1"/>
    <n v="0"/>
    <n v="0"/>
    <n v="4.204533129978131"/>
    <n v="0.14485673308716898"/>
    <x v="2"/>
    <n v="0"/>
  </r>
  <r>
    <x v="525"/>
    <x v="17"/>
    <x v="0"/>
    <n v="693"/>
    <x v="0"/>
    <n v="3"/>
    <n v="2"/>
    <x v="0"/>
    <n v="1"/>
    <x v="0"/>
    <n v="65"/>
    <n v="3"/>
    <n v="2"/>
    <x v="0"/>
    <n v="3"/>
    <x v="0"/>
    <x v="506"/>
    <n v="24785"/>
    <n v="9"/>
    <x v="1"/>
    <n v="0.14000000000000001"/>
    <n v="3"/>
    <n v="1"/>
    <n v="0"/>
    <n v="4"/>
    <n v="3"/>
    <n v="3"/>
    <x v="4"/>
    <n v="2"/>
    <n v="2"/>
    <n v="0"/>
    <x v="0"/>
    <n v="0"/>
    <n v="1"/>
    <n v="0"/>
    <n v="0"/>
    <n v="0"/>
    <n v="0"/>
    <n v="1"/>
    <n v="0"/>
    <n v="6.4944289374208282"/>
    <n v="0.22374939857982484"/>
    <x v="2"/>
    <n v="0"/>
  </r>
  <r>
    <x v="526"/>
    <x v="22"/>
    <x v="0"/>
    <n v="408"/>
    <x v="1"/>
    <n v="2"/>
    <n v="4"/>
    <x v="4"/>
    <n v="4"/>
    <x v="0"/>
    <n v="80"/>
    <n v="2"/>
    <n v="2"/>
    <x v="4"/>
    <n v="3"/>
    <x v="0"/>
    <x v="507"/>
    <n v="20978"/>
    <n v="1"/>
    <x v="1"/>
    <n v="0.11"/>
    <n v="3"/>
    <n v="1"/>
    <n v="0"/>
    <n v="20"/>
    <n v="4"/>
    <n v="3"/>
    <x v="23"/>
    <n v="7"/>
    <n v="11"/>
    <n v="10"/>
    <x v="1"/>
    <n v="0"/>
    <n v="1"/>
    <n v="0"/>
    <n v="0"/>
    <n v="0"/>
    <n v="0"/>
    <n v="1"/>
    <n v="0"/>
    <n v="6.4944289374208282"/>
    <n v="0.22374939857982484"/>
    <x v="2"/>
    <n v="0"/>
  </r>
  <r>
    <x v="527"/>
    <x v="5"/>
    <x v="0"/>
    <n v="929"/>
    <x v="0"/>
    <n v="10"/>
    <n v="3"/>
    <x v="3"/>
    <n v="4"/>
    <x v="1"/>
    <n v="55"/>
    <n v="3"/>
    <n v="2"/>
    <x v="0"/>
    <n v="4"/>
    <x v="0"/>
    <x v="508"/>
    <n v="21703"/>
    <n v="1"/>
    <x v="1"/>
    <n v="0.12"/>
    <n v="3"/>
    <n v="4"/>
    <n v="0"/>
    <n v="10"/>
    <n v="2"/>
    <n v="2"/>
    <x v="1"/>
    <n v="7"/>
    <n v="0"/>
    <n v="8"/>
    <x v="1"/>
    <n v="1"/>
    <n v="1"/>
    <n v="0"/>
    <n v="0"/>
    <n v="0"/>
    <n v="0"/>
    <n v="0"/>
    <n v="0"/>
    <n v="0"/>
    <n v="0"/>
    <x v="2"/>
    <n v="0"/>
  </r>
  <r>
    <x v="528"/>
    <x v="24"/>
    <x v="1"/>
    <n v="562"/>
    <x v="0"/>
    <n v="8"/>
    <n v="2"/>
    <x v="4"/>
    <n v="2"/>
    <x v="1"/>
    <n v="50"/>
    <n v="3"/>
    <n v="2"/>
    <x v="0"/>
    <n v="3"/>
    <x v="1"/>
    <x v="509"/>
    <n v="23452"/>
    <n v="3"/>
    <x v="0"/>
    <n v="0.14000000000000001"/>
    <n v="3"/>
    <n v="1"/>
    <n v="1"/>
    <n v="18"/>
    <n v="4"/>
    <n v="3"/>
    <x v="9"/>
    <n v="3"/>
    <n v="1"/>
    <n v="3"/>
    <x v="0"/>
    <n v="1"/>
    <n v="2"/>
    <n v="1"/>
    <n v="1"/>
    <n v="0"/>
    <n v="0"/>
    <n v="0"/>
    <n v="1"/>
    <n v="15.160389980490176"/>
    <n v="0.52231353565590266"/>
    <x v="1"/>
    <n v="10194"/>
  </r>
  <r>
    <x v="529"/>
    <x v="8"/>
    <x v="0"/>
    <n v="827"/>
    <x v="1"/>
    <n v="1"/>
    <n v="4"/>
    <x v="0"/>
    <n v="2"/>
    <x v="0"/>
    <n v="33"/>
    <n v="4"/>
    <n v="2"/>
    <x v="4"/>
    <n v="4"/>
    <x v="0"/>
    <x v="510"/>
    <n v="19383"/>
    <n v="0"/>
    <x v="1"/>
    <n v="0.13"/>
    <n v="3"/>
    <n v="3"/>
    <n v="0"/>
    <n v="10"/>
    <n v="4"/>
    <n v="2"/>
    <x v="7"/>
    <n v="7"/>
    <n v="1"/>
    <n v="8"/>
    <x v="1"/>
    <n v="0"/>
    <n v="1"/>
    <n v="0"/>
    <n v="0"/>
    <n v="0"/>
    <n v="0"/>
    <n v="0"/>
    <n v="0"/>
    <n v="0"/>
    <n v="0"/>
    <x v="2"/>
    <n v="0"/>
  </r>
  <r>
    <x v="530"/>
    <x v="4"/>
    <x v="0"/>
    <n v="608"/>
    <x v="1"/>
    <n v="1"/>
    <n v="2"/>
    <x v="0"/>
    <n v="3"/>
    <x v="0"/>
    <n v="68"/>
    <n v="3"/>
    <n v="3"/>
    <x v="3"/>
    <n v="1"/>
    <x v="1"/>
    <x v="511"/>
    <n v="6009"/>
    <n v="1"/>
    <x v="1"/>
    <n v="0.11"/>
    <n v="3"/>
    <n v="4"/>
    <n v="0"/>
    <n v="9"/>
    <n v="3"/>
    <n v="3"/>
    <x v="7"/>
    <n v="7"/>
    <n v="0"/>
    <n v="7"/>
    <x v="1"/>
    <n v="0"/>
    <n v="1"/>
    <n v="1"/>
    <n v="0"/>
    <n v="0"/>
    <n v="1"/>
    <n v="0"/>
    <n v="0"/>
    <n v="4.204533129978131"/>
    <n v="0.14485673308716898"/>
    <x v="2"/>
    <n v="0"/>
  </r>
  <r>
    <x v="531"/>
    <x v="5"/>
    <x v="0"/>
    <n v="1018"/>
    <x v="1"/>
    <n v="3"/>
    <n v="2"/>
    <x v="0"/>
    <n v="3"/>
    <x v="0"/>
    <n v="39"/>
    <n v="3"/>
    <n v="3"/>
    <x v="7"/>
    <n v="4"/>
    <x v="0"/>
    <x v="512"/>
    <n v="19373"/>
    <n v="3"/>
    <x v="1"/>
    <n v="0.15"/>
    <n v="3"/>
    <n v="4"/>
    <n v="0"/>
    <n v="10"/>
    <n v="6"/>
    <n v="3"/>
    <x v="5"/>
    <n v="7"/>
    <n v="7"/>
    <n v="7"/>
    <x v="1"/>
    <n v="0"/>
    <n v="1"/>
    <n v="0"/>
    <n v="0"/>
    <n v="0"/>
    <n v="0"/>
    <n v="0"/>
    <n v="0"/>
    <n v="0"/>
    <n v="0"/>
    <x v="2"/>
    <n v="0"/>
  </r>
  <r>
    <x v="532"/>
    <x v="40"/>
    <x v="0"/>
    <n v="703"/>
    <x v="0"/>
    <n v="14"/>
    <n v="4"/>
    <x v="3"/>
    <n v="4"/>
    <x v="1"/>
    <n v="42"/>
    <n v="3"/>
    <n v="2"/>
    <x v="0"/>
    <n v="1"/>
    <x v="0"/>
    <x v="513"/>
    <n v="11825"/>
    <n v="2"/>
    <x v="1"/>
    <n v="0.12"/>
    <n v="3"/>
    <n v="4"/>
    <n v="0"/>
    <n v="20"/>
    <n v="2"/>
    <n v="3"/>
    <x v="5"/>
    <n v="7"/>
    <n v="1"/>
    <n v="7"/>
    <x v="1"/>
    <n v="1"/>
    <n v="1"/>
    <n v="0"/>
    <n v="0"/>
    <n v="0"/>
    <n v="1"/>
    <n v="0"/>
    <n v="0"/>
    <n v="4.204533129978131"/>
    <n v="0.14485673308716898"/>
    <x v="2"/>
    <n v="0"/>
  </r>
  <r>
    <x v="533"/>
    <x v="32"/>
    <x v="1"/>
    <n v="580"/>
    <x v="0"/>
    <n v="5"/>
    <n v="4"/>
    <x v="0"/>
    <n v="4"/>
    <x v="1"/>
    <n v="48"/>
    <n v="2"/>
    <n v="3"/>
    <x v="0"/>
    <n v="1"/>
    <x v="1"/>
    <x v="514"/>
    <n v="23772"/>
    <n v="5"/>
    <x v="0"/>
    <n v="0.21"/>
    <n v="4"/>
    <n v="3"/>
    <n v="1"/>
    <n v="20"/>
    <n v="2"/>
    <n v="3"/>
    <x v="29"/>
    <n v="13"/>
    <n v="1"/>
    <n v="12"/>
    <x v="1"/>
    <n v="1"/>
    <n v="2"/>
    <n v="1"/>
    <n v="1"/>
    <n v="0"/>
    <n v="1"/>
    <n v="0"/>
    <n v="1"/>
    <n v="19.364923110468307"/>
    <n v="0.66717026874307161"/>
    <x v="1"/>
    <n v="15712.5"/>
  </r>
  <r>
    <x v="534"/>
    <x v="16"/>
    <x v="0"/>
    <n v="970"/>
    <x v="1"/>
    <n v="7"/>
    <n v="3"/>
    <x v="0"/>
    <n v="3"/>
    <x v="1"/>
    <n v="59"/>
    <n v="4"/>
    <n v="4"/>
    <x v="7"/>
    <n v="3"/>
    <x v="1"/>
    <x v="515"/>
    <n v="13514"/>
    <n v="3"/>
    <x v="1"/>
    <n v="0.19"/>
    <n v="3"/>
    <n v="3"/>
    <n v="0"/>
    <n v="32"/>
    <n v="3"/>
    <n v="3"/>
    <x v="8"/>
    <n v="1"/>
    <n v="1"/>
    <n v="3"/>
    <x v="1"/>
    <n v="1"/>
    <n v="1"/>
    <n v="1"/>
    <n v="0"/>
    <n v="0"/>
    <n v="0"/>
    <n v="0"/>
    <n v="0"/>
    <n v="0"/>
    <n v="0"/>
    <x v="2"/>
    <n v="0"/>
  </r>
  <r>
    <x v="535"/>
    <x v="0"/>
    <x v="0"/>
    <n v="427"/>
    <x v="2"/>
    <n v="10"/>
    <n v="4"/>
    <x v="5"/>
    <n v="2"/>
    <x v="1"/>
    <n v="73"/>
    <n v="2"/>
    <n v="5"/>
    <x v="5"/>
    <n v="4"/>
    <x v="2"/>
    <x v="516"/>
    <n v="8861"/>
    <n v="3"/>
    <x v="1"/>
    <n v="0.15"/>
    <n v="3"/>
    <n v="2"/>
    <n v="3"/>
    <n v="23"/>
    <n v="2"/>
    <n v="2"/>
    <x v="17"/>
    <n v="6"/>
    <n v="12"/>
    <n v="6"/>
    <x v="1"/>
    <n v="1"/>
    <n v="1"/>
    <n v="2"/>
    <n v="0"/>
    <n v="0"/>
    <n v="0"/>
    <n v="0"/>
    <n v="0"/>
    <n v="0"/>
    <n v="0"/>
    <x v="2"/>
    <n v="0"/>
  </r>
  <r>
    <x v="536"/>
    <x v="42"/>
    <x v="0"/>
    <n v="1179"/>
    <x v="0"/>
    <n v="16"/>
    <n v="4"/>
    <x v="3"/>
    <n v="1"/>
    <x v="1"/>
    <n v="84"/>
    <n v="3"/>
    <n v="2"/>
    <x v="0"/>
    <n v="1"/>
    <x v="0"/>
    <x v="517"/>
    <n v="11924"/>
    <n v="8"/>
    <x v="1"/>
    <n v="0.14000000000000001"/>
    <n v="3"/>
    <n v="4"/>
    <n v="0"/>
    <n v="10"/>
    <n v="1"/>
    <n v="3"/>
    <x v="4"/>
    <n v="2"/>
    <n v="2"/>
    <n v="2"/>
    <x v="1"/>
    <n v="1"/>
    <n v="1"/>
    <n v="0"/>
    <n v="0"/>
    <n v="1"/>
    <n v="1"/>
    <n v="0"/>
    <n v="0"/>
    <n v="7.3706398258535089"/>
    <n v="0.25393706576427255"/>
    <x v="0"/>
    <n v="0"/>
  </r>
  <r>
    <x v="537"/>
    <x v="4"/>
    <x v="1"/>
    <n v="294"/>
    <x v="1"/>
    <n v="10"/>
    <n v="2"/>
    <x v="0"/>
    <n v="4"/>
    <x v="1"/>
    <n v="32"/>
    <n v="3"/>
    <n v="3"/>
    <x v="3"/>
    <n v="1"/>
    <x v="2"/>
    <x v="518"/>
    <n v="4809"/>
    <n v="1"/>
    <x v="1"/>
    <n v="0.21"/>
    <n v="4"/>
    <n v="3"/>
    <n v="2"/>
    <n v="9"/>
    <n v="4"/>
    <n v="2"/>
    <x v="7"/>
    <n v="7"/>
    <n v="1"/>
    <n v="7"/>
    <x v="1"/>
    <n v="1"/>
    <n v="2"/>
    <n v="2"/>
    <n v="0"/>
    <n v="0"/>
    <n v="1"/>
    <n v="0"/>
    <n v="1"/>
    <n v="9.3649231104683075"/>
    <n v="0.32264513691726432"/>
    <x v="0"/>
    <n v="0"/>
  </r>
  <r>
    <x v="538"/>
    <x v="0"/>
    <x v="0"/>
    <n v="314"/>
    <x v="2"/>
    <n v="1"/>
    <n v="3"/>
    <x v="5"/>
    <n v="4"/>
    <x v="1"/>
    <n v="59"/>
    <n v="2"/>
    <n v="5"/>
    <x v="5"/>
    <n v="3"/>
    <x v="1"/>
    <x v="519"/>
    <n v="19562"/>
    <n v="1"/>
    <x v="1"/>
    <n v="0.12"/>
    <n v="3"/>
    <n v="2"/>
    <n v="1"/>
    <n v="22"/>
    <n v="3"/>
    <n v="3"/>
    <x v="14"/>
    <n v="7"/>
    <n v="2"/>
    <n v="10"/>
    <x v="1"/>
    <n v="1"/>
    <n v="1"/>
    <n v="1"/>
    <n v="0"/>
    <n v="0"/>
    <n v="0"/>
    <n v="0"/>
    <n v="0"/>
    <n v="0"/>
    <n v="0"/>
    <x v="2"/>
    <n v="0"/>
  </r>
  <r>
    <x v="539"/>
    <x v="24"/>
    <x v="0"/>
    <n v="316"/>
    <x v="0"/>
    <n v="8"/>
    <n v="4"/>
    <x v="3"/>
    <n v="4"/>
    <x v="1"/>
    <n v="54"/>
    <n v="3"/>
    <n v="1"/>
    <x v="6"/>
    <n v="2"/>
    <x v="1"/>
    <x v="520"/>
    <n v="9983"/>
    <n v="7"/>
    <x v="1"/>
    <n v="0.15"/>
    <n v="3"/>
    <n v="4"/>
    <n v="1"/>
    <n v="4"/>
    <n v="2"/>
    <n v="3"/>
    <x v="4"/>
    <n v="2"/>
    <n v="2"/>
    <n v="2"/>
    <x v="1"/>
    <n v="1"/>
    <n v="1"/>
    <n v="1"/>
    <n v="0"/>
    <n v="0"/>
    <n v="1"/>
    <n v="1"/>
    <n v="0"/>
    <n v="10.698962067398959"/>
    <n v="0.3686061316669938"/>
    <x v="0"/>
    <n v="0"/>
  </r>
  <r>
    <x v="540"/>
    <x v="14"/>
    <x v="0"/>
    <n v="654"/>
    <x v="1"/>
    <n v="1"/>
    <n v="2"/>
    <x v="0"/>
    <n v="1"/>
    <x v="0"/>
    <n v="67"/>
    <n v="1"/>
    <n v="1"/>
    <x v="1"/>
    <n v="2"/>
    <x v="0"/>
    <x v="521"/>
    <n v="3872"/>
    <n v="7"/>
    <x v="0"/>
    <n v="0.13"/>
    <n v="3"/>
    <n v="4"/>
    <n v="0"/>
    <n v="10"/>
    <n v="4"/>
    <n v="3"/>
    <x v="5"/>
    <n v="7"/>
    <n v="3"/>
    <n v="7"/>
    <x v="0"/>
    <n v="0"/>
    <n v="1"/>
    <n v="0"/>
    <n v="1"/>
    <n v="0"/>
    <n v="1"/>
    <n v="1"/>
    <n v="0"/>
    <n v="20.698962067398959"/>
    <n v="0.71313126349280109"/>
    <x v="1"/>
    <n v="3324"/>
  </r>
  <r>
    <x v="541"/>
    <x v="9"/>
    <x v="2"/>
    <n v="427"/>
    <x v="1"/>
    <n v="8"/>
    <n v="3"/>
    <x v="0"/>
    <n v="1"/>
    <x v="0"/>
    <n v="63"/>
    <n v="4"/>
    <n v="3"/>
    <x v="7"/>
    <n v="1"/>
    <x v="1"/>
    <x v="522"/>
    <n v="20335"/>
    <n v="9"/>
    <x v="1"/>
    <n v="0.14000000000000001"/>
    <n v="3"/>
    <n v="1"/>
    <n v="1"/>
    <n v="10"/>
    <n v="2"/>
    <n v="3"/>
    <x v="3"/>
    <n v="7"/>
    <n v="0"/>
    <n v="5"/>
    <x v="1"/>
    <n v="0"/>
    <n v="0"/>
    <n v="1"/>
    <n v="0"/>
    <n v="0"/>
    <n v="1"/>
    <n v="0"/>
    <n v="0"/>
    <n v="4.204533129978131"/>
    <n v="0.14485673308716898"/>
    <x v="2"/>
    <n v="0"/>
  </r>
  <r>
    <x v="542"/>
    <x v="8"/>
    <x v="0"/>
    <n v="168"/>
    <x v="1"/>
    <n v="1"/>
    <n v="3"/>
    <x v="0"/>
    <n v="3"/>
    <x v="0"/>
    <n v="81"/>
    <n v="3"/>
    <n v="3"/>
    <x v="3"/>
    <n v="3"/>
    <x v="0"/>
    <x v="523"/>
    <n v="15397"/>
    <n v="4"/>
    <x v="0"/>
    <n v="0.14000000000000001"/>
    <n v="3"/>
    <n v="4"/>
    <n v="0"/>
    <n v="10"/>
    <n v="4"/>
    <n v="4"/>
    <x v="6"/>
    <n v="0"/>
    <n v="0"/>
    <n v="0"/>
    <x v="1"/>
    <n v="0"/>
    <n v="1"/>
    <n v="0"/>
    <n v="1"/>
    <n v="0"/>
    <n v="0"/>
    <n v="0"/>
    <n v="0"/>
    <n v="10"/>
    <n v="0.3445251318258073"/>
    <x v="0"/>
    <n v="0"/>
  </r>
  <r>
    <x v="543"/>
    <x v="20"/>
    <x v="2"/>
    <n v="381"/>
    <x v="1"/>
    <n v="24"/>
    <n v="3"/>
    <x v="2"/>
    <n v="1"/>
    <x v="1"/>
    <n v="49"/>
    <n v="1"/>
    <n v="1"/>
    <x v="2"/>
    <n v="3"/>
    <x v="0"/>
    <x v="524"/>
    <n v="2104"/>
    <n v="2"/>
    <x v="1"/>
    <n v="0.14000000000000001"/>
    <n v="3"/>
    <n v="3"/>
    <n v="0"/>
    <n v="9"/>
    <n v="5"/>
    <n v="3"/>
    <x v="8"/>
    <n v="2"/>
    <n v="1"/>
    <n v="4"/>
    <x v="1"/>
    <n v="1"/>
    <n v="0"/>
    <n v="0"/>
    <n v="0"/>
    <n v="1"/>
    <n v="0"/>
    <n v="1"/>
    <n v="0"/>
    <n v="9.660535633296206"/>
    <n v="0.33282973125692844"/>
    <x v="0"/>
    <n v="0"/>
  </r>
  <r>
    <x v="544"/>
    <x v="40"/>
    <x v="1"/>
    <n v="217"/>
    <x v="0"/>
    <n v="3"/>
    <n v="3"/>
    <x v="2"/>
    <n v="4"/>
    <x v="0"/>
    <n v="49"/>
    <n v="3"/>
    <n v="4"/>
    <x v="0"/>
    <n v="3"/>
    <x v="2"/>
    <x v="525"/>
    <n v="10225"/>
    <n v="9"/>
    <x v="0"/>
    <n v="0.12"/>
    <n v="3"/>
    <n v="4"/>
    <n v="2"/>
    <n v="28"/>
    <n v="2"/>
    <n v="2"/>
    <x v="14"/>
    <n v="2"/>
    <n v="11"/>
    <n v="13"/>
    <x v="1"/>
    <n v="0"/>
    <n v="2"/>
    <n v="2"/>
    <n v="1"/>
    <n v="0"/>
    <n v="0"/>
    <n v="0"/>
    <n v="1"/>
    <n v="15.160389980490176"/>
    <n v="0.52231353565590266"/>
    <x v="1"/>
    <n v="20655"/>
  </r>
  <r>
    <x v="545"/>
    <x v="7"/>
    <x v="0"/>
    <n v="501"/>
    <x v="0"/>
    <n v="27"/>
    <n v="5"/>
    <x v="3"/>
    <n v="3"/>
    <x v="1"/>
    <n v="99"/>
    <n v="3"/>
    <n v="2"/>
    <x v="0"/>
    <n v="4"/>
    <x v="2"/>
    <x v="367"/>
    <n v="25275"/>
    <n v="7"/>
    <x v="1"/>
    <n v="0.23"/>
    <n v="4"/>
    <n v="4"/>
    <n v="1"/>
    <n v="10"/>
    <n v="2"/>
    <n v="2"/>
    <x v="3"/>
    <n v="7"/>
    <n v="7"/>
    <n v="7"/>
    <x v="1"/>
    <n v="1"/>
    <n v="1"/>
    <n v="2"/>
    <n v="0"/>
    <n v="1"/>
    <n v="0"/>
    <n v="0"/>
    <n v="0"/>
    <n v="3.1661066958753779"/>
    <n v="0.10908033267710357"/>
    <x v="2"/>
    <n v="0"/>
  </r>
  <r>
    <x v="546"/>
    <x v="11"/>
    <x v="0"/>
    <n v="1396"/>
    <x v="0"/>
    <n v="10"/>
    <n v="3"/>
    <x v="0"/>
    <n v="3"/>
    <x v="1"/>
    <n v="99"/>
    <n v="3"/>
    <n v="1"/>
    <x v="6"/>
    <n v="3"/>
    <x v="0"/>
    <x v="526"/>
    <n v="2755"/>
    <n v="1"/>
    <x v="1"/>
    <n v="0.11"/>
    <n v="3"/>
    <n v="3"/>
    <n v="0"/>
    <n v="1"/>
    <n v="6"/>
    <n v="3"/>
    <x v="6"/>
    <n v="0"/>
    <n v="0"/>
    <n v="0"/>
    <x v="1"/>
    <n v="1"/>
    <n v="1"/>
    <n v="0"/>
    <n v="0"/>
    <n v="0"/>
    <n v="0"/>
    <n v="1"/>
    <n v="0"/>
    <n v="6.4944289374208282"/>
    <n v="0.22374939857982484"/>
    <x v="2"/>
    <n v="0"/>
  </r>
  <r>
    <x v="547"/>
    <x v="19"/>
    <x v="1"/>
    <n v="933"/>
    <x v="1"/>
    <n v="19"/>
    <n v="3"/>
    <x v="2"/>
    <n v="3"/>
    <x v="1"/>
    <n v="57"/>
    <n v="4"/>
    <n v="1"/>
    <x v="1"/>
    <n v="3"/>
    <x v="2"/>
    <x v="527"/>
    <n v="20366"/>
    <n v="6"/>
    <x v="0"/>
    <n v="0.12"/>
    <n v="3"/>
    <n v="4"/>
    <n v="0"/>
    <n v="7"/>
    <n v="2"/>
    <n v="3"/>
    <x v="4"/>
    <n v="2"/>
    <n v="2"/>
    <n v="2"/>
    <x v="0"/>
    <n v="1"/>
    <n v="2"/>
    <n v="2"/>
    <n v="1"/>
    <n v="1"/>
    <n v="0"/>
    <n v="1"/>
    <n v="1"/>
    <n v="24.820925613786383"/>
    <n v="0.85514326691283105"/>
    <x v="3"/>
    <n v="4138.5"/>
  </r>
  <r>
    <x v="548"/>
    <x v="23"/>
    <x v="1"/>
    <n v="775"/>
    <x v="0"/>
    <n v="15"/>
    <n v="3"/>
    <x v="0"/>
    <n v="4"/>
    <x v="1"/>
    <n v="47"/>
    <n v="2"/>
    <n v="2"/>
    <x v="0"/>
    <n v="4"/>
    <x v="1"/>
    <x v="197"/>
    <n v="23683"/>
    <n v="3"/>
    <x v="1"/>
    <n v="0.18"/>
    <n v="3"/>
    <n v="3"/>
    <n v="1"/>
    <n v="7"/>
    <n v="5"/>
    <n v="3"/>
    <x v="4"/>
    <n v="2"/>
    <n v="2"/>
    <n v="2"/>
    <x v="1"/>
    <n v="1"/>
    <n v="2"/>
    <n v="1"/>
    <n v="0"/>
    <n v="0"/>
    <n v="0"/>
    <n v="0"/>
    <n v="1"/>
    <n v="5.1603899804901765"/>
    <n v="0.17778840383009531"/>
    <x v="2"/>
    <n v="0"/>
  </r>
  <r>
    <x v="549"/>
    <x v="13"/>
    <x v="0"/>
    <n v="970"/>
    <x v="1"/>
    <n v="8"/>
    <n v="2"/>
    <x v="2"/>
    <n v="2"/>
    <x v="0"/>
    <n v="96"/>
    <n v="3"/>
    <n v="2"/>
    <x v="4"/>
    <n v="3"/>
    <x v="0"/>
    <x v="528"/>
    <n v="7360"/>
    <n v="3"/>
    <x v="1"/>
    <n v="0.11"/>
    <n v="3"/>
    <n v="4"/>
    <n v="0"/>
    <n v="10"/>
    <n v="2"/>
    <n v="3"/>
    <x v="8"/>
    <n v="1"/>
    <n v="4"/>
    <n v="3"/>
    <x v="1"/>
    <n v="0"/>
    <n v="1"/>
    <n v="0"/>
    <n v="0"/>
    <n v="0"/>
    <n v="0"/>
    <n v="0"/>
    <n v="0"/>
    <n v="0"/>
    <n v="0"/>
    <x v="2"/>
    <n v="0"/>
  </r>
  <r>
    <x v="550"/>
    <x v="30"/>
    <x v="0"/>
    <n v="650"/>
    <x v="1"/>
    <n v="9"/>
    <n v="1"/>
    <x v="2"/>
    <n v="2"/>
    <x v="1"/>
    <n v="37"/>
    <n v="3"/>
    <n v="1"/>
    <x v="2"/>
    <n v="1"/>
    <x v="1"/>
    <x v="172"/>
    <n v="4344"/>
    <n v="1"/>
    <x v="1"/>
    <n v="0.14000000000000001"/>
    <n v="3"/>
    <n v="4"/>
    <n v="1"/>
    <n v="5"/>
    <n v="2"/>
    <n v="4"/>
    <x v="9"/>
    <n v="3"/>
    <n v="0"/>
    <n v="2"/>
    <x v="1"/>
    <n v="1"/>
    <n v="1"/>
    <n v="1"/>
    <n v="0"/>
    <n v="0"/>
    <n v="1"/>
    <n v="1"/>
    <n v="0"/>
    <n v="10.698962067398959"/>
    <n v="0.3686061316669938"/>
    <x v="0"/>
    <n v="0"/>
  </r>
  <r>
    <x v="551"/>
    <x v="22"/>
    <x v="0"/>
    <n v="141"/>
    <x v="2"/>
    <n v="3"/>
    <n v="3"/>
    <x v="5"/>
    <n v="3"/>
    <x v="0"/>
    <n v="44"/>
    <n v="4"/>
    <n v="2"/>
    <x v="8"/>
    <n v="2"/>
    <x v="1"/>
    <x v="529"/>
    <n v="18767"/>
    <n v="9"/>
    <x v="1"/>
    <n v="0.15"/>
    <n v="3"/>
    <n v="3"/>
    <n v="1"/>
    <n v="12"/>
    <n v="3"/>
    <n v="1"/>
    <x v="3"/>
    <n v="3"/>
    <n v="3"/>
    <n v="6"/>
    <x v="1"/>
    <n v="0"/>
    <n v="1"/>
    <n v="1"/>
    <n v="0"/>
    <n v="0"/>
    <n v="1"/>
    <n v="0"/>
    <n v="0"/>
    <n v="4.204533129978131"/>
    <n v="0.14485673308716898"/>
    <x v="2"/>
    <n v="0"/>
  </r>
  <r>
    <x v="552"/>
    <x v="29"/>
    <x v="0"/>
    <n v="832"/>
    <x v="1"/>
    <n v="9"/>
    <n v="3"/>
    <x v="2"/>
    <n v="3"/>
    <x v="1"/>
    <n v="81"/>
    <n v="3"/>
    <n v="4"/>
    <x v="4"/>
    <n v="4"/>
    <x v="1"/>
    <x v="530"/>
    <n v="20420"/>
    <n v="7"/>
    <x v="1"/>
    <n v="0.11"/>
    <n v="3"/>
    <n v="3"/>
    <n v="0"/>
    <n v="30"/>
    <n v="1"/>
    <n v="2"/>
    <x v="1"/>
    <n v="7"/>
    <n v="1"/>
    <n v="1"/>
    <x v="1"/>
    <n v="1"/>
    <n v="1"/>
    <n v="1"/>
    <n v="0"/>
    <n v="0"/>
    <n v="0"/>
    <n v="0"/>
    <n v="0"/>
    <n v="0"/>
    <n v="0"/>
    <x v="2"/>
    <n v="0"/>
  </r>
  <r>
    <x v="553"/>
    <x v="32"/>
    <x v="0"/>
    <n v="804"/>
    <x v="1"/>
    <n v="2"/>
    <n v="1"/>
    <x v="2"/>
    <n v="4"/>
    <x v="0"/>
    <n v="86"/>
    <n v="2"/>
    <n v="1"/>
    <x v="1"/>
    <n v="4"/>
    <x v="0"/>
    <x v="531"/>
    <n v="22929"/>
    <n v="0"/>
    <x v="0"/>
    <n v="0.2"/>
    <n v="4"/>
    <n v="4"/>
    <n v="0"/>
    <n v="5"/>
    <n v="2"/>
    <n v="2"/>
    <x v="9"/>
    <n v="2"/>
    <n v="2"/>
    <n v="3"/>
    <x v="1"/>
    <n v="0"/>
    <n v="1"/>
    <n v="0"/>
    <n v="1"/>
    <n v="0"/>
    <n v="0"/>
    <n v="1"/>
    <n v="0"/>
    <n v="16.494428937420828"/>
    <n v="0.56827453040563214"/>
    <x v="1"/>
    <n v="3513"/>
  </r>
  <r>
    <x v="554"/>
    <x v="4"/>
    <x v="0"/>
    <n v="975"/>
    <x v="1"/>
    <n v="7"/>
    <n v="3"/>
    <x v="2"/>
    <n v="4"/>
    <x v="0"/>
    <n v="55"/>
    <n v="2"/>
    <n v="2"/>
    <x v="4"/>
    <n v="1"/>
    <x v="0"/>
    <x v="445"/>
    <n v="23398"/>
    <n v="8"/>
    <x v="1"/>
    <n v="0.19"/>
    <n v="3"/>
    <n v="1"/>
    <n v="0"/>
    <n v="9"/>
    <n v="2"/>
    <n v="1"/>
    <x v="5"/>
    <n v="6"/>
    <n v="0"/>
    <n v="7"/>
    <x v="1"/>
    <n v="0"/>
    <n v="1"/>
    <n v="0"/>
    <n v="0"/>
    <n v="0"/>
    <n v="1"/>
    <n v="0"/>
    <n v="0"/>
    <n v="4.204533129978131"/>
    <n v="0.14485673308716898"/>
    <x v="2"/>
    <n v="0"/>
  </r>
  <r>
    <x v="555"/>
    <x v="11"/>
    <x v="0"/>
    <n v="1090"/>
    <x v="0"/>
    <n v="10"/>
    <n v="3"/>
    <x v="3"/>
    <n v="4"/>
    <x v="1"/>
    <n v="83"/>
    <n v="3"/>
    <n v="1"/>
    <x v="6"/>
    <n v="2"/>
    <x v="2"/>
    <x v="532"/>
    <n v="17967"/>
    <n v="1"/>
    <x v="1"/>
    <n v="0.14000000000000001"/>
    <n v="3"/>
    <n v="4"/>
    <n v="2"/>
    <n v="2"/>
    <n v="2"/>
    <n v="3"/>
    <x v="4"/>
    <n v="2"/>
    <n v="2"/>
    <n v="2"/>
    <x v="1"/>
    <n v="1"/>
    <n v="1"/>
    <n v="2"/>
    <n v="0"/>
    <n v="0"/>
    <n v="1"/>
    <n v="1"/>
    <n v="0"/>
    <n v="10.698962067398959"/>
    <n v="0.3686061316669938"/>
    <x v="0"/>
    <n v="0"/>
  </r>
  <r>
    <x v="556"/>
    <x v="16"/>
    <x v="0"/>
    <n v="346"/>
    <x v="1"/>
    <n v="6"/>
    <n v="3"/>
    <x v="0"/>
    <n v="4"/>
    <x v="1"/>
    <n v="86"/>
    <n v="3"/>
    <n v="2"/>
    <x v="2"/>
    <n v="4"/>
    <x v="0"/>
    <x v="533"/>
    <n v="10919"/>
    <n v="2"/>
    <x v="1"/>
    <n v="0.17"/>
    <n v="3"/>
    <n v="4"/>
    <n v="0"/>
    <n v="19"/>
    <n v="4"/>
    <n v="3"/>
    <x v="4"/>
    <n v="2"/>
    <n v="2"/>
    <n v="2"/>
    <x v="1"/>
    <n v="1"/>
    <n v="1"/>
    <n v="0"/>
    <n v="0"/>
    <n v="0"/>
    <n v="0"/>
    <n v="1"/>
    <n v="0"/>
    <n v="6.4944289374208282"/>
    <n v="0.22374939857982484"/>
    <x v="2"/>
    <n v="0"/>
  </r>
  <r>
    <x v="557"/>
    <x v="10"/>
    <x v="2"/>
    <n v="1225"/>
    <x v="1"/>
    <n v="2"/>
    <n v="4"/>
    <x v="0"/>
    <n v="4"/>
    <x v="0"/>
    <n v="61"/>
    <n v="3"/>
    <n v="2"/>
    <x v="4"/>
    <n v="1"/>
    <x v="2"/>
    <x v="534"/>
    <n v="4761"/>
    <n v="2"/>
    <x v="1"/>
    <n v="0.11"/>
    <n v="3"/>
    <n v="1"/>
    <n v="1"/>
    <n v="16"/>
    <n v="2"/>
    <n v="4"/>
    <x v="6"/>
    <n v="0"/>
    <n v="0"/>
    <n v="0"/>
    <x v="1"/>
    <n v="0"/>
    <n v="0"/>
    <n v="2"/>
    <n v="0"/>
    <n v="0"/>
    <n v="1"/>
    <n v="0"/>
    <n v="0"/>
    <n v="4.204533129978131"/>
    <n v="0.14485673308716898"/>
    <x v="2"/>
    <n v="0"/>
  </r>
  <r>
    <x v="558"/>
    <x v="5"/>
    <x v="1"/>
    <n v="430"/>
    <x v="1"/>
    <n v="24"/>
    <n v="4"/>
    <x v="0"/>
    <n v="1"/>
    <x v="1"/>
    <n v="80"/>
    <n v="3"/>
    <n v="2"/>
    <x v="2"/>
    <n v="4"/>
    <x v="1"/>
    <x v="535"/>
    <n v="21146"/>
    <n v="1"/>
    <x v="1"/>
    <n v="0.15"/>
    <n v="3"/>
    <n v="4"/>
    <n v="2"/>
    <n v="10"/>
    <n v="2"/>
    <n v="3"/>
    <x v="1"/>
    <n v="8"/>
    <n v="4"/>
    <n v="7"/>
    <x v="1"/>
    <n v="1"/>
    <n v="2"/>
    <n v="1"/>
    <n v="0"/>
    <n v="1"/>
    <n v="0"/>
    <n v="0"/>
    <n v="1"/>
    <n v="8.3264966763655544"/>
    <n v="0.28686873650719891"/>
    <x v="0"/>
    <n v="0"/>
  </r>
  <r>
    <x v="559"/>
    <x v="8"/>
    <x v="0"/>
    <n v="268"/>
    <x v="1"/>
    <n v="2"/>
    <n v="5"/>
    <x v="2"/>
    <n v="4"/>
    <x v="1"/>
    <n v="92"/>
    <n v="3"/>
    <n v="1"/>
    <x v="1"/>
    <n v="3"/>
    <x v="1"/>
    <x v="536"/>
    <n v="20471"/>
    <n v="6"/>
    <x v="0"/>
    <n v="0.13"/>
    <n v="3"/>
    <n v="2"/>
    <n v="1"/>
    <n v="6"/>
    <n v="0"/>
    <n v="1"/>
    <x v="6"/>
    <n v="0"/>
    <n v="0"/>
    <n v="1"/>
    <x v="1"/>
    <n v="1"/>
    <n v="1"/>
    <n v="1"/>
    <n v="1"/>
    <n v="0"/>
    <n v="0"/>
    <n v="1"/>
    <n v="0"/>
    <n v="16.494428937420828"/>
    <n v="0.56827453040563214"/>
    <x v="1"/>
    <n v="4585.5"/>
  </r>
  <r>
    <x v="560"/>
    <x v="13"/>
    <x v="0"/>
    <n v="167"/>
    <x v="1"/>
    <n v="8"/>
    <n v="5"/>
    <x v="0"/>
    <n v="2"/>
    <x v="0"/>
    <n v="32"/>
    <n v="3"/>
    <n v="2"/>
    <x v="3"/>
    <n v="1"/>
    <x v="2"/>
    <x v="537"/>
    <n v="4187"/>
    <n v="3"/>
    <x v="1"/>
    <n v="0.14000000000000001"/>
    <n v="3"/>
    <n v="3"/>
    <n v="1"/>
    <n v="7"/>
    <n v="3"/>
    <n v="3"/>
    <x v="2"/>
    <n v="0"/>
    <n v="0"/>
    <n v="0"/>
    <x v="1"/>
    <n v="0"/>
    <n v="1"/>
    <n v="2"/>
    <n v="0"/>
    <n v="0"/>
    <n v="1"/>
    <n v="0"/>
    <n v="0"/>
    <n v="4.204533129978131"/>
    <n v="0.14485673308716898"/>
    <x v="2"/>
    <n v="0"/>
  </r>
  <r>
    <x v="561"/>
    <x v="39"/>
    <x v="0"/>
    <n v="621"/>
    <x v="0"/>
    <n v="3"/>
    <n v="4"/>
    <x v="3"/>
    <n v="3"/>
    <x v="1"/>
    <n v="31"/>
    <n v="2"/>
    <n v="4"/>
    <x v="5"/>
    <n v="1"/>
    <x v="1"/>
    <x v="538"/>
    <n v="10084"/>
    <n v="1"/>
    <x v="1"/>
    <n v="0.11"/>
    <n v="3"/>
    <n v="1"/>
    <n v="0"/>
    <n v="34"/>
    <n v="3"/>
    <n v="4"/>
    <x v="33"/>
    <n v="6"/>
    <n v="1"/>
    <n v="16"/>
    <x v="1"/>
    <n v="1"/>
    <n v="1"/>
    <n v="1"/>
    <n v="0"/>
    <n v="0"/>
    <n v="1"/>
    <n v="0"/>
    <n v="0"/>
    <n v="4.204533129978131"/>
    <n v="0.14485673308716898"/>
    <x v="2"/>
    <n v="0"/>
  </r>
  <r>
    <x v="562"/>
    <x v="3"/>
    <x v="0"/>
    <n v="527"/>
    <x v="1"/>
    <n v="1"/>
    <n v="4"/>
    <x v="1"/>
    <n v="4"/>
    <x v="1"/>
    <n v="63"/>
    <n v="3"/>
    <n v="1"/>
    <x v="1"/>
    <n v="4"/>
    <x v="0"/>
    <x v="539"/>
    <n v="5207"/>
    <n v="1"/>
    <x v="0"/>
    <n v="0.13"/>
    <n v="3"/>
    <n v="3"/>
    <n v="0"/>
    <n v="10"/>
    <n v="2"/>
    <n v="2"/>
    <x v="1"/>
    <n v="9"/>
    <n v="7"/>
    <n v="8"/>
    <x v="0"/>
    <n v="1"/>
    <n v="1"/>
    <n v="0"/>
    <n v="1"/>
    <n v="0"/>
    <n v="0"/>
    <n v="1"/>
    <n v="0"/>
    <n v="16.494428937420828"/>
    <n v="0.56827453040563214"/>
    <x v="1"/>
    <n v="4029"/>
  </r>
  <r>
    <x v="563"/>
    <x v="36"/>
    <x v="0"/>
    <n v="883"/>
    <x v="0"/>
    <n v="26"/>
    <n v="1"/>
    <x v="2"/>
    <n v="3"/>
    <x v="0"/>
    <n v="32"/>
    <n v="3"/>
    <n v="2"/>
    <x v="0"/>
    <n v="4"/>
    <x v="0"/>
    <x v="540"/>
    <n v="22807"/>
    <n v="1"/>
    <x v="1"/>
    <n v="0.23"/>
    <n v="4"/>
    <n v="2"/>
    <n v="0"/>
    <n v="6"/>
    <n v="5"/>
    <n v="2"/>
    <x v="0"/>
    <n v="5"/>
    <n v="1"/>
    <n v="4"/>
    <x v="1"/>
    <n v="0"/>
    <n v="1"/>
    <n v="0"/>
    <n v="0"/>
    <n v="1"/>
    <n v="0"/>
    <n v="0"/>
    <n v="0"/>
    <n v="3.1661066958753779"/>
    <n v="0.10908033267710357"/>
    <x v="2"/>
    <n v="0"/>
  </r>
  <r>
    <x v="564"/>
    <x v="28"/>
    <x v="0"/>
    <n v="954"/>
    <x v="0"/>
    <n v="2"/>
    <n v="2"/>
    <x v="4"/>
    <n v="2"/>
    <x v="1"/>
    <n v="46"/>
    <n v="1"/>
    <n v="2"/>
    <x v="6"/>
    <n v="3"/>
    <x v="0"/>
    <x v="541"/>
    <n v="12388"/>
    <n v="0"/>
    <x v="1"/>
    <n v="0.13"/>
    <n v="3"/>
    <n v="1"/>
    <n v="0"/>
    <n v="9"/>
    <n v="3"/>
    <n v="3"/>
    <x v="3"/>
    <n v="7"/>
    <n v="3"/>
    <n v="1"/>
    <x v="1"/>
    <n v="1"/>
    <n v="1"/>
    <n v="0"/>
    <n v="0"/>
    <n v="0"/>
    <n v="0"/>
    <n v="0"/>
    <n v="0"/>
    <n v="0"/>
    <n v="0"/>
    <x v="2"/>
    <n v="0"/>
  </r>
  <r>
    <x v="565"/>
    <x v="30"/>
    <x v="0"/>
    <n v="310"/>
    <x v="1"/>
    <n v="10"/>
    <n v="1"/>
    <x v="2"/>
    <n v="1"/>
    <x v="1"/>
    <n v="79"/>
    <n v="4"/>
    <n v="1"/>
    <x v="1"/>
    <n v="3"/>
    <x v="0"/>
    <x v="542"/>
    <n v="19630"/>
    <n v="1"/>
    <x v="1"/>
    <n v="0.18"/>
    <n v="3"/>
    <n v="4"/>
    <n v="0"/>
    <n v="2"/>
    <n v="3"/>
    <n v="3"/>
    <x v="4"/>
    <n v="2"/>
    <n v="0"/>
    <n v="2"/>
    <x v="1"/>
    <n v="1"/>
    <n v="1"/>
    <n v="0"/>
    <n v="0"/>
    <n v="0"/>
    <n v="0"/>
    <n v="1"/>
    <n v="0"/>
    <n v="6.4944289374208282"/>
    <n v="0.22374939857982484"/>
    <x v="2"/>
    <n v="0"/>
  </r>
  <r>
    <x v="566"/>
    <x v="40"/>
    <x v="1"/>
    <n v="719"/>
    <x v="0"/>
    <n v="27"/>
    <n v="2"/>
    <x v="0"/>
    <n v="2"/>
    <x v="0"/>
    <n v="77"/>
    <n v="4"/>
    <n v="2"/>
    <x v="0"/>
    <n v="3"/>
    <x v="0"/>
    <x v="271"/>
    <n v="10339"/>
    <n v="4"/>
    <x v="0"/>
    <n v="0.12"/>
    <n v="3"/>
    <n v="4"/>
    <n v="0"/>
    <n v="8"/>
    <n v="2"/>
    <n v="3"/>
    <x v="8"/>
    <n v="4"/>
    <n v="1"/>
    <n v="3"/>
    <x v="0"/>
    <n v="0"/>
    <n v="2"/>
    <n v="0"/>
    <n v="1"/>
    <n v="1"/>
    <n v="0"/>
    <n v="0"/>
    <n v="1"/>
    <n v="18.326496676365554"/>
    <n v="0.63139386833300615"/>
    <x v="1"/>
    <n v="9595.5"/>
  </r>
  <r>
    <x v="567"/>
    <x v="13"/>
    <x v="0"/>
    <n v="304"/>
    <x v="0"/>
    <n v="2"/>
    <n v="3"/>
    <x v="1"/>
    <n v="4"/>
    <x v="1"/>
    <n v="60"/>
    <n v="3"/>
    <n v="2"/>
    <x v="0"/>
    <n v="4"/>
    <x v="0"/>
    <x v="543"/>
    <n v="18686"/>
    <n v="1"/>
    <x v="1"/>
    <n v="0.22"/>
    <n v="4"/>
    <n v="3"/>
    <n v="0"/>
    <n v="6"/>
    <n v="5"/>
    <n v="3"/>
    <x v="0"/>
    <n v="5"/>
    <n v="1"/>
    <n v="4"/>
    <x v="1"/>
    <n v="1"/>
    <n v="1"/>
    <n v="0"/>
    <n v="0"/>
    <n v="0"/>
    <n v="0"/>
    <n v="0"/>
    <n v="0"/>
    <n v="0"/>
    <n v="0"/>
    <x v="2"/>
    <n v="0"/>
  </r>
  <r>
    <x v="568"/>
    <x v="27"/>
    <x v="0"/>
    <n v="725"/>
    <x v="1"/>
    <n v="2"/>
    <n v="3"/>
    <x v="2"/>
    <n v="4"/>
    <x v="1"/>
    <n v="78"/>
    <n v="3"/>
    <n v="5"/>
    <x v="5"/>
    <n v="1"/>
    <x v="1"/>
    <x v="544"/>
    <n v="21199"/>
    <n v="5"/>
    <x v="0"/>
    <n v="0.13"/>
    <n v="3"/>
    <n v="4"/>
    <n v="1"/>
    <n v="24"/>
    <n v="2"/>
    <n v="3"/>
    <x v="8"/>
    <n v="2"/>
    <n v="1"/>
    <n v="4"/>
    <x v="0"/>
    <n v="1"/>
    <n v="1"/>
    <n v="1"/>
    <n v="1"/>
    <n v="0"/>
    <n v="1"/>
    <n v="0"/>
    <n v="0"/>
    <n v="14.204533129978131"/>
    <n v="0.48938186491297625"/>
    <x v="0"/>
    <n v="0"/>
  </r>
  <r>
    <x v="569"/>
    <x v="9"/>
    <x v="2"/>
    <n v="1434"/>
    <x v="0"/>
    <n v="8"/>
    <n v="4"/>
    <x v="0"/>
    <n v="1"/>
    <x v="1"/>
    <n v="76"/>
    <n v="2"/>
    <n v="3"/>
    <x v="0"/>
    <n v="1"/>
    <x v="0"/>
    <x v="545"/>
    <n v="14229"/>
    <n v="1"/>
    <x v="1"/>
    <n v="0.15"/>
    <n v="3"/>
    <n v="2"/>
    <n v="0"/>
    <n v="10"/>
    <n v="1"/>
    <n v="3"/>
    <x v="1"/>
    <n v="7"/>
    <n v="0"/>
    <n v="9"/>
    <x v="1"/>
    <n v="1"/>
    <n v="0"/>
    <n v="0"/>
    <n v="0"/>
    <n v="0"/>
    <n v="1"/>
    <n v="0"/>
    <n v="0"/>
    <n v="4.204533129978131"/>
    <n v="0.14485673308716898"/>
    <x v="2"/>
    <n v="0"/>
  </r>
  <r>
    <x v="570"/>
    <x v="39"/>
    <x v="2"/>
    <n v="715"/>
    <x v="1"/>
    <n v="19"/>
    <n v="4"/>
    <x v="2"/>
    <n v="4"/>
    <x v="1"/>
    <n v="41"/>
    <n v="3"/>
    <n v="1"/>
    <x v="1"/>
    <n v="4"/>
    <x v="1"/>
    <x v="546"/>
    <n v="26589"/>
    <n v="0"/>
    <x v="1"/>
    <n v="0.18"/>
    <n v="3"/>
    <n v="1"/>
    <n v="1"/>
    <n v="5"/>
    <n v="3"/>
    <n v="3"/>
    <x v="9"/>
    <n v="3"/>
    <n v="1"/>
    <n v="2"/>
    <x v="1"/>
    <n v="1"/>
    <n v="0"/>
    <n v="1"/>
    <n v="0"/>
    <n v="1"/>
    <n v="0"/>
    <n v="1"/>
    <n v="0"/>
    <n v="9.660535633296206"/>
    <n v="0.33282973125692844"/>
    <x v="0"/>
    <n v="0"/>
  </r>
  <r>
    <x v="571"/>
    <x v="25"/>
    <x v="1"/>
    <n v="575"/>
    <x v="1"/>
    <n v="1"/>
    <n v="2"/>
    <x v="0"/>
    <n v="1"/>
    <x v="0"/>
    <n v="71"/>
    <n v="1"/>
    <n v="1"/>
    <x v="2"/>
    <n v="4"/>
    <x v="2"/>
    <x v="547"/>
    <n v="5288"/>
    <n v="3"/>
    <x v="1"/>
    <n v="0.14000000000000001"/>
    <n v="3"/>
    <n v="1"/>
    <n v="1"/>
    <n v="5"/>
    <n v="2"/>
    <n v="3"/>
    <x v="4"/>
    <n v="2"/>
    <n v="2"/>
    <n v="0"/>
    <x v="1"/>
    <n v="0"/>
    <n v="2"/>
    <n v="2"/>
    <n v="0"/>
    <n v="0"/>
    <n v="0"/>
    <n v="1"/>
    <n v="1"/>
    <n v="11.654818917911005"/>
    <n v="0.40153780240992015"/>
    <x v="0"/>
    <n v="0"/>
  </r>
  <r>
    <x v="572"/>
    <x v="11"/>
    <x v="0"/>
    <n v="657"/>
    <x v="1"/>
    <n v="27"/>
    <n v="3"/>
    <x v="2"/>
    <n v="2"/>
    <x v="0"/>
    <n v="66"/>
    <n v="3"/>
    <n v="2"/>
    <x v="4"/>
    <n v="3"/>
    <x v="1"/>
    <x v="548"/>
    <n v="25549"/>
    <n v="4"/>
    <x v="1"/>
    <n v="0.12"/>
    <n v="3"/>
    <n v="1"/>
    <n v="1"/>
    <n v="11"/>
    <n v="3"/>
    <n v="2"/>
    <x v="3"/>
    <n v="7"/>
    <n v="1"/>
    <n v="1"/>
    <x v="1"/>
    <n v="0"/>
    <n v="1"/>
    <n v="1"/>
    <n v="0"/>
    <n v="1"/>
    <n v="0"/>
    <n v="1"/>
    <n v="0"/>
    <n v="9.660535633296206"/>
    <n v="0.33282973125692844"/>
    <x v="0"/>
    <n v="0"/>
  </r>
  <r>
    <x v="573"/>
    <x v="25"/>
    <x v="0"/>
    <n v="1146"/>
    <x v="0"/>
    <n v="8"/>
    <n v="3"/>
    <x v="4"/>
    <n v="4"/>
    <x v="1"/>
    <n v="38"/>
    <n v="2"/>
    <n v="2"/>
    <x v="0"/>
    <n v="1"/>
    <x v="0"/>
    <x v="549"/>
    <n v="3064"/>
    <n v="6"/>
    <x v="1"/>
    <n v="0.17"/>
    <n v="3"/>
    <n v="3"/>
    <n v="0"/>
    <n v="6"/>
    <n v="2"/>
    <n v="2"/>
    <x v="9"/>
    <n v="3"/>
    <n v="1"/>
    <n v="2"/>
    <x v="0"/>
    <n v="1"/>
    <n v="1"/>
    <n v="0"/>
    <n v="0"/>
    <n v="0"/>
    <n v="1"/>
    <n v="0"/>
    <n v="0"/>
    <n v="4.204533129978131"/>
    <n v="0.14485673308716898"/>
    <x v="2"/>
    <n v="0"/>
  </r>
  <r>
    <x v="574"/>
    <x v="13"/>
    <x v="0"/>
    <n v="182"/>
    <x v="1"/>
    <n v="1"/>
    <n v="4"/>
    <x v="0"/>
    <n v="2"/>
    <x v="0"/>
    <n v="72"/>
    <n v="4"/>
    <n v="1"/>
    <x v="1"/>
    <n v="4"/>
    <x v="0"/>
    <x v="550"/>
    <n v="13551"/>
    <n v="2"/>
    <x v="1"/>
    <n v="0.16"/>
    <n v="3"/>
    <n v="3"/>
    <n v="0"/>
    <n v="10"/>
    <n v="2"/>
    <n v="3"/>
    <x v="9"/>
    <n v="2"/>
    <n v="1"/>
    <n v="3"/>
    <x v="1"/>
    <n v="0"/>
    <n v="1"/>
    <n v="0"/>
    <n v="0"/>
    <n v="0"/>
    <n v="0"/>
    <n v="1"/>
    <n v="0"/>
    <n v="6.4944289374208282"/>
    <n v="0.22374939857982484"/>
    <x v="2"/>
    <n v="0"/>
  </r>
  <r>
    <x v="575"/>
    <x v="33"/>
    <x v="0"/>
    <n v="376"/>
    <x v="1"/>
    <n v="19"/>
    <n v="4"/>
    <x v="2"/>
    <n v="4"/>
    <x v="0"/>
    <n v="95"/>
    <n v="3"/>
    <n v="2"/>
    <x v="3"/>
    <n v="1"/>
    <x v="2"/>
    <x v="551"/>
    <n v="22670"/>
    <n v="9"/>
    <x v="0"/>
    <n v="0.11"/>
    <n v="3"/>
    <n v="2"/>
    <n v="2"/>
    <n v="9"/>
    <n v="4"/>
    <n v="3"/>
    <x v="8"/>
    <n v="3"/>
    <n v="1"/>
    <n v="4"/>
    <x v="1"/>
    <n v="0"/>
    <n v="1"/>
    <n v="2"/>
    <n v="1"/>
    <n v="1"/>
    <n v="1"/>
    <n v="0"/>
    <n v="0"/>
    <n v="17.370639825853509"/>
    <n v="0.59846219759007979"/>
    <x v="1"/>
    <n v="8227.5"/>
  </r>
  <r>
    <x v="576"/>
    <x v="4"/>
    <x v="1"/>
    <n v="829"/>
    <x v="0"/>
    <n v="8"/>
    <n v="1"/>
    <x v="3"/>
    <n v="3"/>
    <x v="1"/>
    <n v="84"/>
    <n v="3"/>
    <n v="2"/>
    <x v="0"/>
    <n v="4"/>
    <x v="1"/>
    <x v="552"/>
    <n v="24008"/>
    <n v="0"/>
    <x v="1"/>
    <n v="0.19"/>
    <n v="3"/>
    <n v="2"/>
    <n v="1"/>
    <n v="5"/>
    <n v="3"/>
    <n v="3"/>
    <x v="9"/>
    <n v="2"/>
    <n v="1"/>
    <n v="1"/>
    <x v="1"/>
    <n v="1"/>
    <n v="2"/>
    <n v="1"/>
    <n v="0"/>
    <n v="0"/>
    <n v="0"/>
    <n v="1"/>
    <n v="1"/>
    <n v="11.654818917911005"/>
    <n v="0.40153780240992015"/>
    <x v="0"/>
    <n v="0"/>
  </r>
  <r>
    <x v="577"/>
    <x v="2"/>
    <x v="0"/>
    <n v="571"/>
    <x v="1"/>
    <n v="10"/>
    <n v="1"/>
    <x v="0"/>
    <n v="4"/>
    <x v="0"/>
    <n v="82"/>
    <n v="3"/>
    <n v="1"/>
    <x v="1"/>
    <n v="1"/>
    <x v="2"/>
    <x v="553"/>
    <n v="19905"/>
    <n v="0"/>
    <x v="0"/>
    <n v="0.13"/>
    <n v="3"/>
    <n v="2"/>
    <n v="2"/>
    <n v="6"/>
    <n v="3"/>
    <n v="2"/>
    <x v="8"/>
    <n v="3"/>
    <n v="4"/>
    <n v="3"/>
    <x v="1"/>
    <n v="0"/>
    <n v="1"/>
    <n v="2"/>
    <n v="1"/>
    <n v="0"/>
    <n v="1"/>
    <n v="1"/>
    <n v="0"/>
    <n v="20.698962067398959"/>
    <n v="0.71313126349280109"/>
    <x v="1"/>
    <n v="4173"/>
  </r>
  <r>
    <x v="578"/>
    <x v="8"/>
    <x v="1"/>
    <n v="240"/>
    <x v="1"/>
    <n v="2"/>
    <n v="4"/>
    <x v="0"/>
    <n v="1"/>
    <x v="0"/>
    <n v="75"/>
    <n v="4"/>
    <n v="2"/>
    <x v="3"/>
    <n v="1"/>
    <x v="0"/>
    <x v="554"/>
    <n v="26085"/>
    <n v="6"/>
    <x v="0"/>
    <n v="0.12"/>
    <n v="3"/>
    <n v="4"/>
    <n v="0"/>
    <n v="17"/>
    <n v="2"/>
    <n v="3"/>
    <x v="15"/>
    <n v="7"/>
    <n v="4"/>
    <n v="12"/>
    <x v="1"/>
    <n v="0"/>
    <n v="2"/>
    <n v="0"/>
    <n v="1"/>
    <n v="0"/>
    <n v="1"/>
    <n v="0"/>
    <n v="1"/>
    <n v="19.364923110468307"/>
    <n v="0.66717026874307161"/>
    <x v="1"/>
    <n v="8970"/>
  </r>
  <r>
    <x v="579"/>
    <x v="13"/>
    <x v="0"/>
    <n v="121"/>
    <x v="1"/>
    <n v="2"/>
    <n v="4"/>
    <x v="2"/>
    <n v="3"/>
    <x v="0"/>
    <n v="86"/>
    <n v="2"/>
    <n v="1"/>
    <x v="1"/>
    <n v="1"/>
    <x v="0"/>
    <x v="555"/>
    <n v="7530"/>
    <n v="1"/>
    <x v="1"/>
    <n v="0.11"/>
    <n v="3"/>
    <n v="3"/>
    <n v="0"/>
    <n v="6"/>
    <n v="3"/>
    <n v="3"/>
    <x v="0"/>
    <n v="5"/>
    <n v="1"/>
    <n v="3"/>
    <x v="1"/>
    <n v="0"/>
    <n v="1"/>
    <n v="0"/>
    <n v="0"/>
    <n v="0"/>
    <n v="1"/>
    <n v="1"/>
    <n v="0"/>
    <n v="10.698962067398959"/>
    <n v="0.3686061316669938"/>
    <x v="0"/>
    <n v="0"/>
  </r>
  <r>
    <x v="580"/>
    <x v="10"/>
    <x v="0"/>
    <n v="384"/>
    <x v="0"/>
    <n v="8"/>
    <n v="4"/>
    <x v="0"/>
    <n v="1"/>
    <x v="0"/>
    <n v="72"/>
    <n v="3"/>
    <n v="1"/>
    <x v="6"/>
    <n v="4"/>
    <x v="1"/>
    <x v="556"/>
    <n v="20317"/>
    <n v="1"/>
    <x v="1"/>
    <n v="0.16"/>
    <n v="3"/>
    <n v="2"/>
    <n v="1"/>
    <n v="3"/>
    <n v="1"/>
    <n v="2"/>
    <x v="11"/>
    <n v="2"/>
    <n v="0"/>
    <n v="2"/>
    <x v="1"/>
    <n v="0"/>
    <n v="1"/>
    <n v="1"/>
    <n v="0"/>
    <n v="0"/>
    <n v="0"/>
    <n v="1"/>
    <n v="0"/>
    <n v="6.4944289374208282"/>
    <n v="0.22374939857982484"/>
    <x v="2"/>
    <n v="0"/>
  </r>
  <r>
    <x v="581"/>
    <x v="7"/>
    <x v="0"/>
    <n v="921"/>
    <x v="1"/>
    <n v="1"/>
    <n v="3"/>
    <x v="0"/>
    <n v="4"/>
    <x v="1"/>
    <n v="38"/>
    <n v="1"/>
    <n v="1"/>
    <x v="2"/>
    <n v="3"/>
    <x v="1"/>
    <x v="557"/>
    <n v="24375"/>
    <n v="3"/>
    <x v="1"/>
    <n v="0.21"/>
    <n v="4"/>
    <n v="3"/>
    <n v="2"/>
    <n v="7"/>
    <n v="2"/>
    <n v="3"/>
    <x v="4"/>
    <n v="2"/>
    <n v="0"/>
    <n v="2"/>
    <x v="1"/>
    <n v="1"/>
    <n v="1"/>
    <n v="1"/>
    <n v="0"/>
    <n v="0"/>
    <n v="0"/>
    <n v="1"/>
    <n v="0"/>
    <n v="6.4944289374208282"/>
    <n v="0.22374939857982484"/>
    <x v="2"/>
    <n v="0"/>
  </r>
  <r>
    <x v="582"/>
    <x v="32"/>
    <x v="1"/>
    <n v="791"/>
    <x v="1"/>
    <n v="2"/>
    <n v="2"/>
    <x v="2"/>
    <n v="3"/>
    <x v="0"/>
    <n v="38"/>
    <n v="4"/>
    <n v="2"/>
    <x v="4"/>
    <n v="2"/>
    <x v="1"/>
    <x v="558"/>
    <n v="9931"/>
    <n v="1"/>
    <x v="1"/>
    <n v="0.24"/>
    <n v="4"/>
    <n v="4"/>
    <n v="1"/>
    <n v="8"/>
    <n v="2"/>
    <n v="3"/>
    <x v="3"/>
    <n v="7"/>
    <n v="3"/>
    <n v="7"/>
    <x v="1"/>
    <n v="0"/>
    <n v="2"/>
    <n v="1"/>
    <n v="0"/>
    <n v="0"/>
    <n v="1"/>
    <n v="1"/>
    <n v="1"/>
    <n v="15.859352047889136"/>
    <n v="0.54639453549708916"/>
    <x v="1"/>
    <n v="6366"/>
  </r>
  <r>
    <x v="583"/>
    <x v="13"/>
    <x v="0"/>
    <n v="1111"/>
    <x v="0"/>
    <n v="8"/>
    <n v="2"/>
    <x v="0"/>
    <n v="3"/>
    <x v="0"/>
    <n v="93"/>
    <n v="3"/>
    <n v="2"/>
    <x v="0"/>
    <n v="1"/>
    <x v="1"/>
    <x v="559"/>
    <n v="13305"/>
    <n v="5"/>
    <x v="1"/>
    <n v="0.17"/>
    <n v="3"/>
    <n v="2"/>
    <n v="1"/>
    <n v="6"/>
    <n v="1"/>
    <n v="3"/>
    <x v="11"/>
    <n v="2"/>
    <n v="1"/>
    <n v="2"/>
    <x v="1"/>
    <n v="0"/>
    <n v="1"/>
    <n v="1"/>
    <n v="0"/>
    <n v="0"/>
    <n v="1"/>
    <n v="0"/>
    <n v="0"/>
    <n v="4.204533129978131"/>
    <n v="0.14485673308716898"/>
    <x v="2"/>
    <n v="0"/>
  </r>
  <r>
    <x v="584"/>
    <x v="19"/>
    <x v="1"/>
    <n v="570"/>
    <x v="1"/>
    <n v="8"/>
    <n v="3"/>
    <x v="0"/>
    <n v="2"/>
    <x v="1"/>
    <n v="66"/>
    <n v="3"/>
    <n v="5"/>
    <x v="5"/>
    <n v="4"/>
    <x v="2"/>
    <x v="560"/>
    <n v="16225"/>
    <n v="1"/>
    <x v="1"/>
    <n v="0.13"/>
    <n v="3"/>
    <n v="2"/>
    <n v="1"/>
    <n v="24"/>
    <n v="4"/>
    <n v="2"/>
    <x v="25"/>
    <n v="7"/>
    <n v="14"/>
    <n v="9"/>
    <x v="1"/>
    <n v="1"/>
    <n v="2"/>
    <n v="2"/>
    <n v="0"/>
    <n v="0"/>
    <n v="0"/>
    <n v="0"/>
    <n v="1"/>
    <n v="5.1603899804901765"/>
    <n v="0.17778840383009531"/>
    <x v="2"/>
    <n v="0"/>
  </r>
  <r>
    <x v="585"/>
    <x v="30"/>
    <x v="0"/>
    <n v="1243"/>
    <x v="1"/>
    <n v="6"/>
    <n v="3"/>
    <x v="0"/>
    <n v="3"/>
    <x v="1"/>
    <n v="63"/>
    <n v="4"/>
    <n v="1"/>
    <x v="2"/>
    <n v="1"/>
    <x v="1"/>
    <x v="561"/>
    <n v="3445"/>
    <n v="1"/>
    <x v="0"/>
    <n v="0.21"/>
    <n v="4"/>
    <n v="3"/>
    <n v="2"/>
    <n v="1"/>
    <n v="2"/>
    <n v="3"/>
    <x v="2"/>
    <n v="0"/>
    <n v="0"/>
    <n v="0"/>
    <x v="0"/>
    <n v="1"/>
    <n v="1"/>
    <n v="1"/>
    <n v="1"/>
    <n v="0"/>
    <n v="1"/>
    <n v="1"/>
    <n v="0"/>
    <n v="20.698962067398959"/>
    <n v="0.71313126349280109"/>
    <x v="1"/>
    <n v="2401.5"/>
  </r>
  <r>
    <x v="586"/>
    <x v="17"/>
    <x v="2"/>
    <n v="1092"/>
    <x v="1"/>
    <n v="9"/>
    <n v="3"/>
    <x v="0"/>
    <n v="3"/>
    <x v="1"/>
    <n v="60"/>
    <n v="2"/>
    <n v="1"/>
    <x v="2"/>
    <n v="2"/>
    <x v="2"/>
    <x v="562"/>
    <n v="26551"/>
    <n v="1"/>
    <x v="1"/>
    <n v="0.11"/>
    <n v="3"/>
    <n v="3"/>
    <n v="3"/>
    <n v="1"/>
    <n v="4"/>
    <n v="3"/>
    <x v="6"/>
    <n v="0"/>
    <n v="0"/>
    <n v="0"/>
    <x v="1"/>
    <n v="1"/>
    <n v="0"/>
    <n v="2"/>
    <n v="0"/>
    <n v="0"/>
    <n v="1"/>
    <n v="1"/>
    <n v="0"/>
    <n v="10.698962067398959"/>
    <n v="0.3686061316669938"/>
    <x v="0"/>
    <n v="0"/>
  </r>
  <r>
    <x v="587"/>
    <x v="39"/>
    <x v="0"/>
    <n v="1325"/>
    <x v="1"/>
    <n v="11"/>
    <n v="4"/>
    <x v="0"/>
    <n v="4"/>
    <x v="0"/>
    <n v="82"/>
    <n v="3"/>
    <n v="2"/>
    <x v="2"/>
    <n v="3"/>
    <x v="1"/>
    <x v="563"/>
    <n v="21821"/>
    <n v="8"/>
    <x v="1"/>
    <n v="0.2"/>
    <n v="4"/>
    <n v="2"/>
    <n v="1"/>
    <n v="9"/>
    <n v="3"/>
    <n v="3"/>
    <x v="8"/>
    <n v="2"/>
    <n v="1"/>
    <n v="4"/>
    <x v="1"/>
    <n v="0"/>
    <n v="1"/>
    <n v="1"/>
    <n v="0"/>
    <n v="0"/>
    <n v="0"/>
    <n v="1"/>
    <n v="0"/>
    <n v="6.4944289374208282"/>
    <n v="0.22374939857982484"/>
    <x v="2"/>
    <n v="0"/>
  </r>
  <r>
    <x v="588"/>
    <x v="24"/>
    <x v="0"/>
    <n v="691"/>
    <x v="1"/>
    <n v="2"/>
    <n v="3"/>
    <x v="2"/>
    <n v="3"/>
    <x v="1"/>
    <n v="64"/>
    <n v="3"/>
    <n v="4"/>
    <x v="7"/>
    <n v="3"/>
    <x v="1"/>
    <x v="564"/>
    <n v="6881"/>
    <n v="5"/>
    <x v="1"/>
    <n v="0.16"/>
    <n v="3"/>
    <n v="4"/>
    <n v="0"/>
    <n v="30"/>
    <n v="3"/>
    <n v="3"/>
    <x v="9"/>
    <n v="3"/>
    <n v="0"/>
    <n v="3"/>
    <x v="1"/>
    <n v="1"/>
    <n v="1"/>
    <n v="1"/>
    <n v="0"/>
    <n v="0"/>
    <n v="0"/>
    <n v="0"/>
    <n v="0"/>
    <n v="0"/>
    <n v="0"/>
    <x v="2"/>
    <n v="0"/>
  </r>
  <r>
    <x v="589"/>
    <x v="11"/>
    <x v="0"/>
    <n v="805"/>
    <x v="1"/>
    <n v="1"/>
    <n v="2"/>
    <x v="0"/>
    <n v="2"/>
    <x v="0"/>
    <n v="36"/>
    <n v="2"/>
    <n v="1"/>
    <x v="2"/>
    <n v="1"/>
    <x v="1"/>
    <x v="565"/>
    <n v="6689"/>
    <n v="1"/>
    <x v="0"/>
    <n v="0.11"/>
    <n v="3"/>
    <n v="4"/>
    <n v="1"/>
    <n v="1"/>
    <n v="1"/>
    <n v="3"/>
    <x v="6"/>
    <n v="0"/>
    <n v="0"/>
    <n v="0"/>
    <x v="0"/>
    <n v="0"/>
    <n v="1"/>
    <n v="1"/>
    <n v="1"/>
    <n v="0"/>
    <n v="1"/>
    <n v="1"/>
    <n v="0"/>
    <n v="20.698962067398959"/>
    <n v="0.71313126349280109"/>
    <x v="1"/>
    <n v="3478.5"/>
  </r>
  <r>
    <x v="590"/>
    <x v="3"/>
    <x v="0"/>
    <n v="213"/>
    <x v="1"/>
    <n v="7"/>
    <n v="3"/>
    <x v="2"/>
    <n v="3"/>
    <x v="1"/>
    <n v="49"/>
    <n v="3"/>
    <n v="3"/>
    <x v="7"/>
    <n v="3"/>
    <x v="1"/>
    <x v="566"/>
    <n v="25995"/>
    <n v="0"/>
    <x v="1"/>
    <n v="0.11"/>
    <n v="3"/>
    <n v="4"/>
    <n v="0"/>
    <n v="14"/>
    <n v="3"/>
    <n v="4"/>
    <x v="20"/>
    <n v="9"/>
    <n v="3"/>
    <n v="7"/>
    <x v="1"/>
    <n v="1"/>
    <n v="1"/>
    <n v="1"/>
    <n v="0"/>
    <n v="0"/>
    <n v="0"/>
    <n v="0"/>
    <n v="0"/>
    <n v="0"/>
    <n v="0"/>
    <x v="2"/>
    <n v="0"/>
  </r>
  <r>
    <x v="591"/>
    <x v="3"/>
    <x v="0"/>
    <n v="118"/>
    <x v="0"/>
    <n v="16"/>
    <n v="3"/>
    <x v="3"/>
    <n v="1"/>
    <x v="0"/>
    <n v="69"/>
    <n v="3"/>
    <n v="2"/>
    <x v="0"/>
    <n v="1"/>
    <x v="0"/>
    <x v="567"/>
    <n v="26507"/>
    <n v="5"/>
    <x v="1"/>
    <n v="0.15"/>
    <n v="3"/>
    <n v="3"/>
    <n v="0"/>
    <n v="6"/>
    <n v="3"/>
    <n v="3"/>
    <x v="11"/>
    <n v="2"/>
    <n v="0"/>
    <n v="2"/>
    <x v="0"/>
    <n v="0"/>
    <n v="1"/>
    <n v="0"/>
    <n v="0"/>
    <n v="1"/>
    <n v="1"/>
    <n v="0"/>
    <n v="0"/>
    <n v="7.3706398258535089"/>
    <n v="0.25393706576427255"/>
    <x v="0"/>
    <n v="0"/>
  </r>
  <r>
    <x v="592"/>
    <x v="40"/>
    <x v="0"/>
    <n v="202"/>
    <x v="1"/>
    <n v="2"/>
    <n v="2"/>
    <x v="1"/>
    <n v="3"/>
    <x v="0"/>
    <n v="33"/>
    <n v="3"/>
    <n v="4"/>
    <x v="5"/>
    <n v="4"/>
    <x v="1"/>
    <x v="568"/>
    <n v="12982"/>
    <n v="1"/>
    <x v="0"/>
    <n v="0.11"/>
    <n v="3"/>
    <n v="3"/>
    <n v="1"/>
    <n v="26"/>
    <n v="3"/>
    <n v="2"/>
    <x v="34"/>
    <n v="14"/>
    <n v="3"/>
    <n v="0"/>
    <x v="1"/>
    <n v="0"/>
    <n v="1"/>
    <n v="1"/>
    <n v="1"/>
    <n v="0"/>
    <n v="0"/>
    <n v="0"/>
    <n v="0"/>
    <n v="10"/>
    <n v="0.3445251318258073"/>
    <x v="0"/>
    <n v="0"/>
  </r>
  <r>
    <x v="593"/>
    <x v="9"/>
    <x v="0"/>
    <n v="676"/>
    <x v="1"/>
    <n v="1"/>
    <n v="3"/>
    <x v="1"/>
    <n v="3"/>
    <x v="0"/>
    <n v="35"/>
    <n v="3"/>
    <n v="2"/>
    <x v="3"/>
    <n v="2"/>
    <x v="1"/>
    <x v="311"/>
    <n v="23361"/>
    <n v="0"/>
    <x v="1"/>
    <n v="0.15"/>
    <n v="3"/>
    <n v="1"/>
    <n v="1"/>
    <n v="10"/>
    <n v="2"/>
    <n v="3"/>
    <x v="7"/>
    <n v="7"/>
    <n v="0"/>
    <n v="5"/>
    <x v="1"/>
    <n v="0"/>
    <n v="1"/>
    <n v="1"/>
    <n v="0"/>
    <n v="0"/>
    <n v="1"/>
    <n v="0"/>
    <n v="0"/>
    <n v="4.204533129978131"/>
    <n v="0.14485673308716898"/>
    <x v="2"/>
    <n v="0"/>
  </r>
  <r>
    <x v="594"/>
    <x v="11"/>
    <x v="0"/>
    <n v="1252"/>
    <x v="1"/>
    <n v="23"/>
    <n v="2"/>
    <x v="0"/>
    <n v="3"/>
    <x v="1"/>
    <n v="81"/>
    <n v="4"/>
    <n v="1"/>
    <x v="1"/>
    <n v="3"/>
    <x v="1"/>
    <x v="569"/>
    <n v="23779"/>
    <n v="1"/>
    <x v="1"/>
    <n v="0.24"/>
    <n v="4"/>
    <n v="3"/>
    <n v="1"/>
    <n v="10"/>
    <n v="3"/>
    <n v="3"/>
    <x v="1"/>
    <n v="7"/>
    <n v="0"/>
    <n v="7"/>
    <x v="1"/>
    <n v="1"/>
    <n v="1"/>
    <n v="1"/>
    <n v="0"/>
    <n v="1"/>
    <n v="0"/>
    <n v="1"/>
    <n v="0"/>
    <n v="9.660535633296206"/>
    <n v="0.33282973125692844"/>
    <x v="0"/>
    <n v="0"/>
  </r>
  <r>
    <x v="595"/>
    <x v="34"/>
    <x v="0"/>
    <n v="286"/>
    <x v="1"/>
    <n v="2"/>
    <n v="4"/>
    <x v="0"/>
    <n v="4"/>
    <x v="1"/>
    <n v="31"/>
    <n v="3"/>
    <n v="5"/>
    <x v="7"/>
    <n v="2"/>
    <x v="0"/>
    <x v="570"/>
    <n v="25761"/>
    <n v="7"/>
    <x v="0"/>
    <n v="0.12"/>
    <n v="3"/>
    <n v="4"/>
    <n v="0"/>
    <n v="40"/>
    <n v="2"/>
    <n v="3"/>
    <x v="31"/>
    <n v="15"/>
    <n v="13"/>
    <n v="8"/>
    <x v="0"/>
    <n v="1"/>
    <n v="1"/>
    <n v="0"/>
    <n v="1"/>
    <n v="0"/>
    <n v="1"/>
    <n v="0"/>
    <n v="0"/>
    <n v="14.204533129978131"/>
    <n v="0.48938186491297625"/>
    <x v="0"/>
    <n v="0"/>
  </r>
  <r>
    <x v="596"/>
    <x v="10"/>
    <x v="0"/>
    <n v="1258"/>
    <x v="1"/>
    <n v="1"/>
    <n v="4"/>
    <x v="0"/>
    <n v="4"/>
    <x v="0"/>
    <n v="40"/>
    <n v="4"/>
    <n v="1"/>
    <x v="1"/>
    <n v="3"/>
    <x v="0"/>
    <x v="571"/>
    <n v="13301"/>
    <n v="3"/>
    <x v="1"/>
    <n v="0.13"/>
    <n v="3"/>
    <n v="3"/>
    <n v="0"/>
    <n v="7"/>
    <n v="0"/>
    <n v="3"/>
    <x v="4"/>
    <n v="2"/>
    <n v="2"/>
    <n v="2"/>
    <x v="1"/>
    <n v="0"/>
    <n v="1"/>
    <n v="0"/>
    <n v="0"/>
    <n v="0"/>
    <n v="0"/>
    <n v="1"/>
    <n v="0"/>
    <n v="6.4944289374208282"/>
    <n v="0.22374939857982484"/>
    <x v="2"/>
    <n v="0"/>
  </r>
  <r>
    <x v="597"/>
    <x v="19"/>
    <x v="0"/>
    <n v="932"/>
    <x v="1"/>
    <n v="1"/>
    <n v="2"/>
    <x v="0"/>
    <n v="4"/>
    <x v="0"/>
    <n v="43"/>
    <n v="2"/>
    <n v="2"/>
    <x v="3"/>
    <n v="4"/>
    <x v="1"/>
    <x v="572"/>
    <n v="4051"/>
    <n v="9"/>
    <x v="0"/>
    <n v="0.13"/>
    <n v="3"/>
    <n v="4"/>
    <n v="1"/>
    <n v="8"/>
    <n v="4"/>
    <n v="3"/>
    <x v="9"/>
    <n v="3"/>
    <n v="0"/>
    <n v="2"/>
    <x v="1"/>
    <n v="0"/>
    <n v="1"/>
    <n v="1"/>
    <n v="1"/>
    <n v="0"/>
    <n v="0"/>
    <n v="0"/>
    <n v="0"/>
    <n v="10"/>
    <n v="0.3445251318258073"/>
    <x v="0"/>
    <n v="0"/>
  </r>
  <r>
    <x v="598"/>
    <x v="14"/>
    <x v="0"/>
    <n v="890"/>
    <x v="1"/>
    <n v="2"/>
    <n v="4"/>
    <x v="2"/>
    <n v="3"/>
    <x v="1"/>
    <n v="46"/>
    <n v="3"/>
    <n v="1"/>
    <x v="1"/>
    <n v="3"/>
    <x v="0"/>
    <x v="573"/>
    <n v="16374"/>
    <n v="6"/>
    <x v="1"/>
    <n v="0.17"/>
    <n v="3"/>
    <n v="4"/>
    <n v="0"/>
    <n v="5"/>
    <n v="3"/>
    <n v="2"/>
    <x v="4"/>
    <n v="2"/>
    <n v="2"/>
    <n v="1"/>
    <x v="0"/>
    <n v="1"/>
    <n v="1"/>
    <n v="0"/>
    <n v="0"/>
    <n v="0"/>
    <n v="0"/>
    <n v="1"/>
    <n v="0"/>
    <n v="6.4944289374208282"/>
    <n v="0.22374939857982484"/>
    <x v="2"/>
    <n v="0"/>
  </r>
  <r>
    <x v="599"/>
    <x v="9"/>
    <x v="0"/>
    <n v="1041"/>
    <x v="2"/>
    <n v="13"/>
    <n v="3"/>
    <x v="5"/>
    <n v="3"/>
    <x v="1"/>
    <n v="36"/>
    <n v="3"/>
    <n v="1"/>
    <x v="8"/>
    <n v="2"/>
    <x v="1"/>
    <x v="574"/>
    <n v="25527"/>
    <n v="4"/>
    <x v="1"/>
    <n v="0.13"/>
    <n v="3"/>
    <n v="2"/>
    <n v="1"/>
    <n v="8"/>
    <n v="2"/>
    <n v="3"/>
    <x v="8"/>
    <n v="2"/>
    <n v="0"/>
    <n v="4"/>
    <x v="1"/>
    <n v="1"/>
    <n v="1"/>
    <n v="1"/>
    <n v="0"/>
    <n v="0"/>
    <n v="1"/>
    <n v="1"/>
    <n v="0"/>
    <n v="10.698962067398959"/>
    <n v="0.3686061316669938"/>
    <x v="0"/>
    <n v="0"/>
  </r>
  <r>
    <x v="600"/>
    <x v="5"/>
    <x v="0"/>
    <n v="859"/>
    <x v="1"/>
    <n v="4"/>
    <n v="3"/>
    <x v="0"/>
    <n v="3"/>
    <x v="0"/>
    <n v="98"/>
    <n v="2"/>
    <n v="2"/>
    <x v="3"/>
    <n v="3"/>
    <x v="1"/>
    <x v="57"/>
    <n v="19124"/>
    <n v="1"/>
    <x v="1"/>
    <n v="0.12"/>
    <n v="3"/>
    <n v="3"/>
    <n v="1"/>
    <n v="14"/>
    <n v="3"/>
    <n v="3"/>
    <x v="13"/>
    <n v="13"/>
    <n v="6"/>
    <n v="8"/>
    <x v="1"/>
    <n v="0"/>
    <n v="1"/>
    <n v="1"/>
    <n v="0"/>
    <n v="0"/>
    <n v="0"/>
    <n v="0"/>
    <n v="0"/>
    <n v="0"/>
    <n v="0"/>
    <x v="2"/>
    <n v="0"/>
  </r>
  <r>
    <x v="601"/>
    <x v="32"/>
    <x v="1"/>
    <n v="720"/>
    <x v="1"/>
    <n v="16"/>
    <n v="4"/>
    <x v="2"/>
    <n v="1"/>
    <x v="1"/>
    <n v="51"/>
    <n v="2"/>
    <n v="2"/>
    <x v="2"/>
    <n v="3"/>
    <x v="0"/>
    <x v="575"/>
    <n v="11983"/>
    <n v="6"/>
    <x v="1"/>
    <n v="0.14000000000000001"/>
    <n v="3"/>
    <n v="4"/>
    <n v="0"/>
    <n v="10"/>
    <n v="6"/>
    <n v="3"/>
    <x v="6"/>
    <n v="0"/>
    <n v="0"/>
    <n v="0"/>
    <x v="1"/>
    <n v="1"/>
    <n v="2"/>
    <n v="0"/>
    <n v="0"/>
    <n v="1"/>
    <n v="0"/>
    <n v="0"/>
    <n v="1"/>
    <n v="8.3264966763655544"/>
    <n v="0.28686873650719891"/>
    <x v="0"/>
    <n v="0"/>
  </r>
  <r>
    <x v="602"/>
    <x v="7"/>
    <x v="0"/>
    <n v="946"/>
    <x v="1"/>
    <n v="2"/>
    <n v="3"/>
    <x v="2"/>
    <n v="3"/>
    <x v="0"/>
    <n v="52"/>
    <n v="2"/>
    <n v="2"/>
    <x v="3"/>
    <n v="4"/>
    <x v="0"/>
    <x v="576"/>
    <n v="20234"/>
    <n v="5"/>
    <x v="0"/>
    <n v="0.24"/>
    <n v="4"/>
    <n v="2"/>
    <n v="0"/>
    <n v="12"/>
    <n v="4"/>
    <n v="2"/>
    <x v="2"/>
    <n v="0"/>
    <n v="0"/>
    <n v="0"/>
    <x v="1"/>
    <n v="0"/>
    <n v="1"/>
    <n v="0"/>
    <n v="1"/>
    <n v="0"/>
    <n v="0"/>
    <n v="0"/>
    <n v="0"/>
    <n v="10"/>
    <n v="0.3445251318258073"/>
    <x v="0"/>
    <n v="0"/>
  </r>
  <r>
    <x v="603"/>
    <x v="28"/>
    <x v="0"/>
    <n v="252"/>
    <x v="1"/>
    <n v="2"/>
    <n v="3"/>
    <x v="0"/>
    <n v="2"/>
    <x v="0"/>
    <n v="95"/>
    <n v="2"/>
    <n v="1"/>
    <x v="1"/>
    <n v="3"/>
    <x v="0"/>
    <x v="577"/>
    <n v="6153"/>
    <n v="1"/>
    <x v="1"/>
    <n v="0.14000000000000001"/>
    <n v="3"/>
    <n v="4"/>
    <n v="0"/>
    <n v="1"/>
    <n v="3"/>
    <n v="3"/>
    <x v="6"/>
    <n v="0"/>
    <n v="0"/>
    <n v="0"/>
    <x v="1"/>
    <n v="0"/>
    <n v="1"/>
    <n v="0"/>
    <n v="0"/>
    <n v="0"/>
    <n v="0"/>
    <n v="1"/>
    <n v="0"/>
    <n v="6.4944289374208282"/>
    <n v="0.22374939857982484"/>
    <x v="2"/>
    <n v="0"/>
  </r>
  <r>
    <x v="604"/>
    <x v="19"/>
    <x v="0"/>
    <n v="933"/>
    <x v="1"/>
    <n v="29"/>
    <n v="3"/>
    <x v="0"/>
    <n v="2"/>
    <x v="1"/>
    <n v="98"/>
    <n v="3"/>
    <n v="2"/>
    <x v="3"/>
    <n v="2"/>
    <x v="1"/>
    <x v="578"/>
    <n v="11806"/>
    <n v="1"/>
    <x v="1"/>
    <n v="0.13"/>
    <n v="3"/>
    <n v="4"/>
    <n v="1"/>
    <n v="10"/>
    <n v="3"/>
    <n v="2"/>
    <x v="7"/>
    <n v="8"/>
    <n v="7"/>
    <n v="8"/>
    <x v="1"/>
    <n v="1"/>
    <n v="1"/>
    <n v="1"/>
    <n v="0"/>
    <n v="1"/>
    <n v="1"/>
    <n v="1"/>
    <n v="0"/>
    <n v="13.865068763274337"/>
    <n v="0.47768646434409739"/>
    <x v="0"/>
    <n v="0"/>
  </r>
  <r>
    <x v="605"/>
    <x v="8"/>
    <x v="1"/>
    <n v="471"/>
    <x v="1"/>
    <n v="12"/>
    <n v="3"/>
    <x v="0"/>
    <n v="1"/>
    <x v="1"/>
    <n v="45"/>
    <n v="2"/>
    <n v="2"/>
    <x v="4"/>
    <n v="1"/>
    <x v="2"/>
    <x v="579"/>
    <n v="4284"/>
    <n v="2"/>
    <x v="1"/>
    <n v="0.15"/>
    <n v="3"/>
    <n v="3"/>
    <n v="1"/>
    <n v="13"/>
    <n v="3"/>
    <n v="2"/>
    <x v="9"/>
    <n v="3"/>
    <n v="1"/>
    <n v="2"/>
    <x v="1"/>
    <n v="1"/>
    <n v="2"/>
    <n v="2"/>
    <n v="0"/>
    <n v="0"/>
    <n v="1"/>
    <n v="0"/>
    <n v="1"/>
    <n v="9.3649231104683075"/>
    <n v="0.32264513691726432"/>
    <x v="0"/>
    <n v="0"/>
  </r>
  <r>
    <x v="606"/>
    <x v="13"/>
    <x v="1"/>
    <n v="702"/>
    <x v="1"/>
    <n v="16"/>
    <n v="4"/>
    <x v="0"/>
    <n v="3"/>
    <x v="0"/>
    <n v="100"/>
    <n v="2"/>
    <n v="1"/>
    <x v="1"/>
    <n v="4"/>
    <x v="0"/>
    <x v="580"/>
    <n v="8306"/>
    <n v="1"/>
    <x v="1"/>
    <n v="0.16"/>
    <n v="3"/>
    <n v="3"/>
    <n v="0"/>
    <n v="6"/>
    <n v="3"/>
    <n v="3"/>
    <x v="8"/>
    <n v="2"/>
    <n v="1"/>
    <n v="3"/>
    <x v="1"/>
    <n v="0"/>
    <n v="2"/>
    <n v="0"/>
    <n v="0"/>
    <n v="1"/>
    <n v="0"/>
    <n v="1"/>
    <n v="1"/>
    <n v="14.820925613786383"/>
    <n v="0.51061813508702369"/>
    <x v="1"/>
    <n v="3829.5"/>
  </r>
  <r>
    <x v="607"/>
    <x v="1"/>
    <x v="0"/>
    <n v="1184"/>
    <x v="0"/>
    <n v="11"/>
    <n v="3"/>
    <x v="3"/>
    <n v="3"/>
    <x v="0"/>
    <n v="43"/>
    <n v="3"/>
    <n v="3"/>
    <x v="0"/>
    <n v="4"/>
    <x v="1"/>
    <x v="581"/>
    <n v="5860"/>
    <n v="1"/>
    <x v="1"/>
    <n v="0.18"/>
    <n v="3"/>
    <n v="1"/>
    <n v="2"/>
    <n v="9"/>
    <n v="3"/>
    <n v="4"/>
    <x v="7"/>
    <n v="8"/>
    <n v="7"/>
    <n v="7"/>
    <x v="0"/>
    <n v="0"/>
    <n v="1"/>
    <n v="1"/>
    <n v="0"/>
    <n v="0"/>
    <n v="0"/>
    <n v="0"/>
    <n v="0"/>
    <n v="0"/>
    <n v="0"/>
    <x v="2"/>
    <n v="0"/>
  </r>
  <r>
    <x v="608"/>
    <x v="27"/>
    <x v="0"/>
    <n v="436"/>
    <x v="0"/>
    <n v="2"/>
    <n v="1"/>
    <x v="2"/>
    <n v="3"/>
    <x v="1"/>
    <n v="37"/>
    <n v="3"/>
    <n v="2"/>
    <x v="0"/>
    <n v="4"/>
    <x v="0"/>
    <x v="582"/>
    <n v="21519"/>
    <n v="4"/>
    <x v="1"/>
    <n v="0.16"/>
    <n v="3"/>
    <n v="3"/>
    <n v="0"/>
    <n v="12"/>
    <n v="3"/>
    <n v="2"/>
    <x v="7"/>
    <n v="7"/>
    <n v="7"/>
    <n v="3"/>
    <x v="0"/>
    <n v="1"/>
    <n v="1"/>
    <n v="0"/>
    <n v="0"/>
    <n v="0"/>
    <n v="0"/>
    <n v="0"/>
    <n v="0"/>
    <n v="0"/>
    <n v="0"/>
    <x v="2"/>
    <n v="0"/>
  </r>
  <r>
    <x v="609"/>
    <x v="23"/>
    <x v="0"/>
    <n v="589"/>
    <x v="1"/>
    <n v="14"/>
    <n v="2"/>
    <x v="0"/>
    <n v="2"/>
    <x v="1"/>
    <n v="94"/>
    <n v="3"/>
    <n v="4"/>
    <x v="7"/>
    <n v="1"/>
    <x v="1"/>
    <x v="583"/>
    <n v="5200"/>
    <n v="6"/>
    <x v="1"/>
    <n v="0.24"/>
    <n v="4"/>
    <n v="3"/>
    <n v="1"/>
    <n v="22"/>
    <n v="3"/>
    <n v="3"/>
    <x v="9"/>
    <n v="1"/>
    <n v="1"/>
    <n v="0"/>
    <x v="1"/>
    <n v="1"/>
    <n v="1"/>
    <n v="1"/>
    <n v="0"/>
    <n v="0"/>
    <n v="1"/>
    <n v="0"/>
    <n v="0"/>
    <n v="4.204533129978131"/>
    <n v="0.14485673308716898"/>
    <x v="2"/>
    <n v="0"/>
  </r>
  <r>
    <x v="610"/>
    <x v="4"/>
    <x v="0"/>
    <n v="269"/>
    <x v="1"/>
    <n v="5"/>
    <n v="1"/>
    <x v="4"/>
    <n v="3"/>
    <x v="1"/>
    <n v="42"/>
    <n v="2"/>
    <n v="3"/>
    <x v="7"/>
    <n v="4"/>
    <x v="2"/>
    <x v="584"/>
    <n v="8842"/>
    <n v="1"/>
    <x v="0"/>
    <n v="0.16"/>
    <n v="3"/>
    <n v="2"/>
    <n v="1"/>
    <n v="9"/>
    <n v="3"/>
    <n v="3"/>
    <x v="7"/>
    <n v="8"/>
    <n v="0"/>
    <n v="8"/>
    <x v="1"/>
    <n v="1"/>
    <n v="1"/>
    <n v="2"/>
    <n v="1"/>
    <n v="0"/>
    <n v="0"/>
    <n v="0"/>
    <n v="0"/>
    <n v="10"/>
    <n v="0.3445251318258073"/>
    <x v="0"/>
    <n v="0"/>
  </r>
  <r>
    <x v="611"/>
    <x v="10"/>
    <x v="0"/>
    <n v="950"/>
    <x v="1"/>
    <n v="7"/>
    <n v="3"/>
    <x v="1"/>
    <n v="3"/>
    <x v="1"/>
    <n v="59"/>
    <n v="3"/>
    <n v="3"/>
    <x v="3"/>
    <n v="3"/>
    <x v="0"/>
    <x v="585"/>
    <n v="18869"/>
    <n v="3"/>
    <x v="1"/>
    <n v="0.21"/>
    <n v="4"/>
    <n v="2"/>
    <n v="0"/>
    <n v="17"/>
    <n v="3"/>
    <n v="4"/>
    <x v="3"/>
    <n v="5"/>
    <n v="1"/>
    <n v="6"/>
    <x v="1"/>
    <n v="1"/>
    <n v="1"/>
    <n v="0"/>
    <n v="0"/>
    <n v="0"/>
    <n v="0"/>
    <n v="0"/>
    <n v="0"/>
    <n v="0"/>
    <n v="0"/>
    <x v="2"/>
    <n v="0"/>
  </r>
  <r>
    <x v="612"/>
    <x v="14"/>
    <x v="0"/>
    <n v="760"/>
    <x v="0"/>
    <n v="2"/>
    <n v="4"/>
    <x v="3"/>
    <n v="2"/>
    <x v="0"/>
    <n v="81"/>
    <n v="3"/>
    <n v="2"/>
    <x v="0"/>
    <n v="2"/>
    <x v="1"/>
    <x v="586"/>
    <n v="3698"/>
    <n v="1"/>
    <x v="0"/>
    <n v="0.2"/>
    <n v="4"/>
    <n v="1"/>
    <n v="0"/>
    <n v="8"/>
    <n v="2"/>
    <n v="3"/>
    <x v="3"/>
    <n v="7"/>
    <n v="7"/>
    <n v="5"/>
    <x v="1"/>
    <n v="0"/>
    <n v="1"/>
    <n v="1"/>
    <n v="1"/>
    <n v="0"/>
    <n v="1"/>
    <n v="1"/>
    <n v="0"/>
    <n v="20.698962067398959"/>
    <n v="0.71313126349280109"/>
    <x v="1"/>
    <n v="7168.5"/>
  </r>
  <r>
    <x v="613"/>
    <x v="13"/>
    <x v="0"/>
    <n v="829"/>
    <x v="2"/>
    <n v="3"/>
    <n v="2"/>
    <x v="5"/>
    <n v="3"/>
    <x v="1"/>
    <n v="88"/>
    <n v="3"/>
    <n v="1"/>
    <x v="8"/>
    <n v="4"/>
    <x v="1"/>
    <x v="587"/>
    <n v="2243"/>
    <n v="0"/>
    <x v="1"/>
    <n v="0.19"/>
    <n v="3"/>
    <n v="3"/>
    <n v="1"/>
    <n v="4"/>
    <n v="1"/>
    <n v="1"/>
    <x v="11"/>
    <n v="2"/>
    <n v="0"/>
    <n v="2"/>
    <x v="1"/>
    <n v="1"/>
    <n v="1"/>
    <n v="1"/>
    <n v="0"/>
    <n v="0"/>
    <n v="0"/>
    <n v="1"/>
    <n v="0"/>
    <n v="6.4944289374208282"/>
    <n v="0.22374939857982484"/>
    <x v="2"/>
    <n v="0"/>
  </r>
  <r>
    <x v="614"/>
    <x v="25"/>
    <x v="1"/>
    <n v="887"/>
    <x v="1"/>
    <n v="5"/>
    <n v="2"/>
    <x v="2"/>
    <n v="3"/>
    <x v="0"/>
    <n v="88"/>
    <n v="2"/>
    <n v="1"/>
    <x v="1"/>
    <n v="3"/>
    <x v="1"/>
    <x v="588"/>
    <n v="20898"/>
    <n v="1"/>
    <x v="0"/>
    <n v="0.14000000000000001"/>
    <n v="3"/>
    <n v="1"/>
    <n v="1"/>
    <n v="8"/>
    <n v="2"/>
    <n v="3"/>
    <x v="3"/>
    <n v="7"/>
    <n v="1"/>
    <n v="7"/>
    <x v="0"/>
    <n v="0"/>
    <n v="2"/>
    <n v="1"/>
    <n v="1"/>
    <n v="0"/>
    <n v="0"/>
    <n v="1"/>
    <n v="1"/>
    <n v="21.654818917911005"/>
    <n v="0.74606293423572745"/>
    <x v="1"/>
    <n v="3549"/>
  </r>
  <r>
    <x v="615"/>
    <x v="4"/>
    <x v="2"/>
    <n v="443"/>
    <x v="1"/>
    <n v="3"/>
    <n v="3"/>
    <x v="2"/>
    <n v="4"/>
    <x v="1"/>
    <n v="50"/>
    <n v="3"/>
    <n v="1"/>
    <x v="1"/>
    <n v="4"/>
    <x v="1"/>
    <x v="589"/>
    <n v="16571"/>
    <n v="1"/>
    <x v="1"/>
    <n v="0.11"/>
    <n v="3"/>
    <n v="3"/>
    <n v="3"/>
    <n v="0"/>
    <n v="6"/>
    <n v="2"/>
    <x v="2"/>
    <n v="0"/>
    <n v="0"/>
    <n v="0"/>
    <x v="1"/>
    <n v="1"/>
    <n v="0"/>
    <n v="1"/>
    <n v="0"/>
    <n v="0"/>
    <n v="0"/>
    <n v="1"/>
    <n v="0"/>
    <n v="6.4944289374208282"/>
    <n v="0.22374939857982484"/>
    <x v="2"/>
    <n v="0"/>
  </r>
  <r>
    <x v="616"/>
    <x v="31"/>
    <x v="0"/>
    <n v="1318"/>
    <x v="0"/>
    <n v="26"/>
    <n v="4"/>
    <x v="3"/>
    <n v="1"/>
    <x v="0"/>
    <n v="66"/>
    <n v="3"/>
    <n v="4"/>
    <x v="5"/>
    <n v="3"/>
    <x v="1"/>
    <x v="590"/>
    <n v="5594"/>
    <n v="2"/>
    <x v="1"/>
    <n v="0.14000000000000001"/>
    <n v="3"/>
    <n v="3"/>
    <n v="1"/>
    <n v="29"/>
    <n v="2"/>
    <n v="2"/>
    <x v="23"/>
    <n v="6"/>
    <n v="4"/>
    <n v="17"/>
    <x v="1"/>
    <n v="0"/>
    <n v="1"/>
    <n v="1"/>
    <n v="0"/>
    <n v="1"/>
    <n v="0"/>
    <n v="0"/>
    <n v="0"/>
    <n v="3.1661066958753779"/>
    <n v="0.10908033267710357"/>
    <x v="2"/>
    <n v="0"/>
  </r>
  <r>
    <x v="617"/>
    <x v="20"/>
    <x v="0"/>
    <n v="625"/>
    <x v="1"/>
    <n v="4"/>
    <n v="3"/>
    <x v="2"/>
    <n v="4"/>
    <x v="1"/>
    <n v="50"/>
    <n v="3"/>
    <n v="2"/>
    <x v="4"/>
    <n v="2"/>
    <x v="0"/>
    <x v="591"/>
    <n v="5197"/>
    <n v="9"/>
    <x v="1"/>
    <n v="0.12"/>
    <n v="3"/>
    <n v="4"/>
    <n v="0"/>
    <n v="10"/>
    <n v="2"/>
    <n v="2"/>
    <x v="8"/>
    <n v="2"/>
    <n v="2"/>
    <n v="3"/>
    <x v="1"/>
    <n v="1"/>
    <n v="1"/>
    <n v="0"/>
    <n v="0"/>
    <n v="0"/>
    <n v="1"/>
    <n v="0"/>
    <n v="0"/>
    <n v="4.204533129978131"/>
    <n v="0.14485673308716898"/>
    <x v="2"/>
    <n v="0"/>
  </r>
  <r>
    <x v="618"/>
    <x v="36"/>
    <x v="0"/>
    <n v="180"/>
    <x v="1"/>
    <n v="2"/>
    <n v="1"/>
    <x v="2"/>
    <n v="1"/>
    <x v="1"/>
    <n v="65"/>
    <n v="4"/>
    <n v="1"/>
    <x v="1"/>
    <n v="1"/>
    <x v="0"/>
    <x v="592"/>
    <n v="21632"/>
    <n v="7"/>
    <x v="1"/>
    <n v="0.13"/>
    <n v="3"/>
    <n v="3"/>
    <n v="0"/>
    <n v="6"/>
    <n v="3"/>
    <n v="2"/>
    <x v="9"/>
    <n v="3"/>
    <n v="0"/>
    <n v="1"/>
    <x v="1"/>
    <n v="1"/>
    <n v="1"/>
    <n v="0"/>
    <n v="0"/>
    <n v="0"/>
    <n v="1"/>
    <n v="1"/>
    <n v="0"/>
    <n v="10.698962067398959"/>
    <n v="0.3686061316669938"/>
    <x v="0"/>
    <n v="0"/>
  </r>
  <r>
    <x v="619"/>
    <x v="3"/>
    <x v="0"/>
    <n v="586"/>
    <x v="0"/>
    <n v="1"/>
    <n v="3"/>
    <x v="2"/>
    <n v="1"/>
    <x v="1"/>
    <n v="48"/>
    <n v="4"/>
    <n v="2"/>
    <x v="0"/>
    <n v="1"/>
    <x v="2"/>
    <x v="593"/>
    <n v="21816"/>
    <n v="1"/>
    <x v="1"/>
    <n v="0.22"/>
    <n v="4"/>
    <n v="1"/>
    <n v="1"/>
    <n v="9"/>
    <n v="5"/>
    <n v="3"/>
    <x v="7"/>
    <n v="8"/>
    <n v="0"/>
    <n v="8"/>
    <x v="1"/>
    <n v="1"/>
    <n v="1"/>
    <n v="2"/>
    <n v="0"/>
    <n v="0"/>
    <n v="1"/>
    <n v="1"/>
    <n v="0"/>
    <n v="10.698962067398959"/>
    <n v="0.3686061316669938"/>
    <x v="0"/>
    <n v="0"/>
  </r>
  <r>
    <x v="620"/>
    <x v="10"/>
    <x v="0"/>
    <n v="1343"/>
    <x v="1"/>
    <n v="27"/>
    <n v="1"/>
    <x v="2"/>
    <n v="3"/>
    <x v="0"/>
    <n v="53"/>
    <n v="2"/>
    <n v="1"/>
    <x v="1"/>
    <n v="1"/>
    <x v="0"/>
    <x v="594"/>
    <n v="17852"/>
    <n v="1"/>
    <x v="1"/>
    <n v="0.11"/>
    <n v="3"/>
    <n v="4"/>
    <n v="0"/>
    <n v="6"/>
    <n v="3"/>
    <n v="2"/>
    <x v="0"/>
    <n v="5"/>
    <n v="1"/>
    <n v="1"/>
    <x v="1"/>
    <n v="0"/>
    <n v="1"/>
    <n v="0"/>
    <n v="0"/>
    <n v="1"/>
    <n v="1"/>
    <n v="1"/>
    <n v="0"/>
    <n v="13.865068763274337"/>
    <n v="0.47768646434409739"/>
    <x v="0"/>
    <n v="0"/>
  </r>
  <r>
    <x v="621"/>
    <x v="9"/>
    <x v="0"/>
    <n v="928"/>
    <x v="0"/>
    <n v="1"/>
    <n v="2"/>
    <x v="0"/>
    <n v="2"/>
    <x v="1"/>
    <n v="56"/>
    <n v="3"/>
    <n v="2"/>
    <x v="0"/>
    <n v="4"/>
    <x v="1"/>
    <x v="595"/>
    <n v="2823"/>
    <n v="1"/>
    <x v="0"/>
    <n v="0.14000000000000001"/>
    <n v="3"/>
    <n v="4"/>
    <n v="1"/>
    <n v="18"/>
    <n v="1"/>
    <n v="2"/>
    <x v="29"/>
    <n v="14"/>
    <n v="4"/>
    <n v="11"/>
    <x v="1"/>
    <n v="1"/>
    <n v="1"/>
    <n v="1"/>
    <n v="1"/>
    <n v="0"/>
    <n v="0"/>
    <n v="0"/>
    <n v="0"/>
    <n v="10"/>
    <n v="0.3445251318258073"/>
    <x v="0"/>
    <n v="0"/>
  </r>
  <r>
    <x v="622"/>
    <x v="5"/>
    <x v="0"/>
    <n v="117"/>
    <x v="0"/>
    <n v="13"/>
    <n v="4"/>
    <x v="0"/>
    <n v="2"/>
    <x v="1"/>
    <n v="73"/>
    <n v="3"/>
    <n v="2"/>
    <x v="0"/>
    <n v="4"/>
    <x v="2"/>
    <x v="596"/>
    <n v="9250"/>
    <n v="2"/>
    <x v="1"/>
    <n v="0.11"/>
    <n v="3"/>
    <n v="3"/>
    <n v="1"/>
    <n v="8"/>
    <n v="3"/>
    <n v="2"/>
    <x v="8"/>
    <n v="2"/>
    <n v="0"/>
    <n v="3"/>
    <x v="1"/>
    <n v="1"/>
    <n v="1"/>
    <n v="2"/>
    <n v="0"/>
    <n v="0"/>
    <n v="0"/>
    <n v="1"/>
    <n v="0"/>
    <n v="6.4944289374208282"/>
    <n v="0.22374939857982484"/>
    <x v="2"/>
    <n v="0"/>
  </r>
  <r>
    <x v="623"/>
    <x v="7"/>
    <x v="1"/>
    <n v="1012"/>
    <x v="1"/>
    <n v="5"/>
    <n v="4"/>
    <x v="0"/>
    <n v="2"/>
    <x v="1"/>
    <n v="75"/>
    <n v="2"/>
    <n v="1"/>
    <x v="1"/>
    <n v="4"/>
    <x v="2"/>
    <x v="597"/>
    <n v="2373"/>
    <n v="9"/>
    <x v="1"/>
    <n v="0.12"/>
    <n v="3"/>
    <n v="2"/>
    <n v="1"/>
    <n v="10"/>
    <n v="3"/>
    <n v="2"/>
    <x v="8"/>
    <n v="4"/>
    <n v="0"/>
    <n v="3"/>
    <x v="1"/>
    <n v="1"/>
    <n v="2"/>
    <n v="2"/>
    <n v="0"/>
    <n v="0"/>
    <n v="0"/>
    <n v="1"/>
    <n v="1"/>
    <n v="11.654818917911005"/>
    <n v="0.40153780240992015"/>
    <x v="0"/>
    <n v="0"/>
  </r>
  <r>
    <x v="624"/>
    <x v="16"/>
    <x v="0"/>
    <n v="661"/>
    <x v="0"/>
    <n v="7"/>
    <n v="2"/>
    <x v="3"/>
    <n v="1"/>
    <x v="0"/>
    <n v="78"/>
    <n v="2"/>
    <n v="3"/>
    <x v="0"/>
    <n v="4"/>
    <x v="1"/>
    <x v="598"/>
    <n v="20715"/>
    <n v="7"/>
    <x v="0"/>
    <n v="0.18"/>
    <n v="3"/>
    <n v="4"/>
    <n v="1"/>
    <n v="35"/>
    <n v="3"/>
    <n v="3"/>
    <x v="8"/>
    <n v="2"/>
    <n v="0"/>
    <n v="4"/>
    <x v="1"/>
    <n v="0"/>
    <n v="1"/>
    <n v="1"/>
    <n v="1"/>
    <n v="0"/>
    <n v="0"/>
    <n v="0"/>
    <n v="0"/>
    <n v="10"/>
    <n v="0.3445251318258073"/>
    <x v="0"/>
    <n v="0"/>
  </r>
  <r>
    <x v="625"/>
    <x v="28"/>
    <x v="0"/>
    <n v="930"/>
    <x v="0"/>
    <n v="9"/>
    <n v="3"/>
    <x v="3"/>
    <n v="4"/>
    <x v="1"/>
    <n v="74"/>
    <n v="3"/>
    <n v="3"/>
    <x v="0"/>
    <n v="1"/>
    <x v="2"/>
    <x v="599"/>
    <n v="19239"/>
    <n v="4"/>
    <x v="0"/>
    <n v="0.12"/>
    <n v="3"/>
    <n v="3"/>
    <n v="1"/>
    <n v="18"/>
    <n v="2"/>
    <n v="3"/>
    <x v="8"/>
    <n v="4"/>
    <n v="0"/>
    <n v="2"/>
    <x v="1"/>
    <n v="1"/>
    <n v="1"/>
    <n v="2"/>
    <n v="1"/>
    <n v="0"/>
    <n v="1"/>
    <n v="0"/>
    <n v="0"/>
    <n v="14.204533129978131"/>
    <n v="0.48938186491297625"/>
    <x v="0"/>
    <n v="0"/>
  </r>
  <r>
    <x v="626"/>
    <x v="5"/>
    <x v="0"/>
    <n v="638"/>
    <x v="1"/>
    <n v="8"/>
    <n v="2"/>
    <x v="2"/>
    <n v="3"/>
    <x v="0"/>
    <n v="91"/>
    <n v="4"/>
    <n v="2"/>
    <x v="1"/>
    <n v="3"/>
    <x v="1"/>
    <x v="600"/>
    <n v="22162"/>
    <n v="5"/>
    <x v="1"/>
    <n v="0.12"/>
    <n v="3"/>
    <n v="3"/>
    <n v="1"/>
    <n v="9"/>
    <n v="3"/>
    <n v="2"/>
    <x v="8"/>
    <n v="3"/>
    <n v="1"/>
    <n v="3"/>
    <x v="1"/>
    <n v="0"/>
    <n v="1"/>
    <n v="1"/>
    <n v="0"/>
    <n v="0"/>
    <n v="0"/>
    <n v="0"/>
    <n v="0"/>
    <n v="0"/>
    <n v="0"/>
    <x v="2"/>
    <n v="0"/>
  </r>
  <r>
    <x v="627"/>
    <x v="39"/>
    <x v="1"/>
    <n v="890"/>
    <x v="1"/>
    <n v="25"/>
    <n v="4"/>
    <x v="2"/>
    <n v="3"/>
    <x v="0"/>
    <n v="81"/>
    <n v="2"/>
    <n v="4"/>
    <x v="3"/>
    <n v="4"/>
    <x v="1"/>
    <x v="601"/>
    <n v="19028"/>
    <n v="3"/>
    <x v="1"/>
    <n v="0.22"/>
    <n v="4"/>
    <n v="3"/>
    <n v="0"/>
    <n v="31"/>
    <n v="3"/>
    <n v="3"/>
    <x v="7"/>
    <n v="8"/>
    <n v="0"/>
    <n v="0"/>
    <x v="1"/>
    <n v="0"/>
    <n v="2"/>
    <n v="1"/>
    <n v="0"/>
    <n v="1"/>
    <n v="0"/>
    <n v="0"/>
    <n v="1"/>
    <n v="8.3264966763655544"/>
    <n v="0.28686873650719891"/>
    <x v="0"/>
    <n v="0"/>
  </r>
  <r>
    <x v="628"/>
    <x v="2"/>
    <x v="0"/>
    <n v="342"/>
    <x v="0"/>
    <n v="16"/>
    <n v="4"/>
    <x v="3"/>
    <n v="4"/>
    <x v="1"/>
    <n v="66"/>
    <n v="2"/>
    <n v="2"/>
    <x v="0"/>
    <n v="3"/>
    <x v="2"/>
    <x v="602"/>
    <n v="24558"/>
    <n v="4"/>
    <x v="1"/>
    <n v="0.19"/>
    <n v="3"/>
    <n v="4"/>
    <n v="2"/>
    <n v="9"/>
    <n v="2"/>
    <n v="3"/>
    <x v="6"/>
    <n v="0"/>
    <n v="0"/>
    <n v="0"/>
    <x v="1"/>
    <n v="1"/>
    <n v="1"/>
    <n v="2"/>
    <n v="0"/>
    <n v="1"/>
    <n v="0"/>
    <n v="0"/>
    <n v="0"/>
    <n v="3.1661066958753779"/>
    <n v="0.10908033267710357"/>
    <x v="2"/>
    <n v="0"/>
  </r>
  <r>
    <x v="629"/>
    <x v="14"/>
    <x v="0"/>
    <n v="1169"/>
    <x v="2"/>
    <n v="8"/>
    <n v="2"/>
    <x v="2"/>
    <n v="2"/>
    <x v="1"/>
    <n v="63"/>
    <n v="2"/>
    <n v="1"/>
    <x v="8"/>
    <n v="4"/>
    <x v="2"/>
    <x v="365"/>
    <n v="23965"/>
    <n v="1"/>
    <x v="1"/>
    <n v="0.13"/>
    <n v="3"/>
    <n v="4"/>
    <n v="1"/>
    <n v="6"/>
    <n v="6"/>
    <n v="3"/>
    <x v="8"/>
    <n v="1"/>
    <n v="0"/>
    <n v="4"/>
    <x v="1"/>
    <n v="1"/>
    <n v="1"/>
    <n v="2"/>
    <n v="0"/>
    <n v="0"/>
    <n v="0"/>
    <n v="0"/>
    <n v="0"/>
    <n v="0"/>
    <n v="0"/>
    <x v="2"/>
    <n v="0"/>
  </r>
  <r>
    <x v="630"/>
    <x v="15"/>
    <x v="0"/>
    <n v="1230"/>
    <x v="1"/>
    <n v="1"/>
    <n v="2"/>
    <x v="0"/>
    <n v="4"/>
    <x v="1"/>
    <n v="33"/>
    <n v="2"/>
    <n v="2"/>
    <x v="3"/>
    <n v="4"/>
    <x v="1"/>
    <x v="603"/>
    <n v="19146"/>
    <n v="6"/>
    <x v="1"/>
    <n v="0.22"/>
    <n v="4"/>
    <n v="1"/>
    <n v="2"/>
    <n v="4"/>
    <n v="2"/>
    <n v="1"/>
    <x v="4"/>
    <n v="2"/>
    <n v="2"/>
    <n v="2"/>
    <x v="1"/>
    <n v="1"/>
    <n v="1"/>
    <n v="1"/>
    <n v="0"/>
    <n v="0"/>
    <n v="0"/>
    <n v="1"/>
    <n v="0"/>
    <n v="6.4944289374208282"/>
    <n v="0.22374939857982484"/>
    <x v="2"/>
    <n v="0"/>
  </r>
  <r>
    <x v="631"/>
    <x v="20"/>
    <x v="0"/>
    <n v="986"/>
    <x v="1"/>
    <n v="8"/>
    <n v="4"/>
    <x v="0"/>
    <n v="1"/>
    <x v="1"/>
    <n v="62"/>
    <n v="4"/>
    <n v="1"/>
    <x v="2"/>
    <n v="4"/>
    <x v="1"/>
    <x v="604"/>
    <n v="5044"/>
    <n v="2"/>
    <x v="0"/>
    <n v="0.24"/>
    <n v="4"/>
    <n v="3"/>
    <n v="1"/>
    <n v="10"/>
    <n v="2"/>
    <n v="2"/>
    <x v="11"/>
    <n v="2"/>
    <n v="0"/>
    <n v="2"/>
    <x v="1"/>
    <n v="1"/>
    <n v="1"/>
    <n v="1"/>
    <n v="1"/>
    <n v="0"/>
    <n v="0"/>
    <n v="1"/>
    <n v="0"/>
    <n v="16.494428937420828"/>
    <n v="0.56827453040563214"/>
    <x v="1"/>
    <n v="4227"/>
  </r>
  <r>
    <x v="632"/>
    <x v="19"/>
    <x v="1"/>
    <n v="1271"/>
    <x v="1"/>
    <n v="2"/>
    <n v="1"/>
    <x v="2"/>
    <n v="2"/>
    <x v="1"/>
    <n v="35"/>
    <n v="3"/>
    <n v="1"/>
    <x v="1"/>
    <n v="4"/>
    <x v="0"/>
    <x v="605"/>
    <n v="9068"/>
    <n v="5"/>
    <x v="0"/>
    <n v="0.14000000000000001"/>
    <n v="3"/>
    <n v="4"/>
    <n v="0"/>
    <n v="8"/>
    <n v="2"/>
    <n v="3"/>
    <x v="4"/>
    <n v="1"/>
    <n v="2"/>
    <n v="2"/>
    <x v="1"/>
    <n v="1"/>
    <n v="2"/>
    <n v="0"/>
    <n v="1"/>
    <n v="0"/>
    <n v="0"/>
    <n v="1"/>
    <n v="1"/>
    <n v="21.654818917911005"/>
    <n v="0.74606293423572745"/>
    <x v="1"/>
    <n v="3772.5"/>
  </r>
  <r>
    <x v="633"/>
    <x v="9"/>
    <x v="0"/>
    <n v="1278"/>
    <x v="2"/>
    <n v="8"/>
    <n v="3"/>
    <x v="0"/>
    <n v="1"/>
    <x v="1"/>
    <n v="77"/>
    <n v="2"/>
    <n v="1"/>
    <x v="8"/>
    <n v="1"/>
    <x v="1"/>
    <x v="531"/>
    <n v="8635"/>
    <n v="0"/>
    <x v="1"/>
    <n v="0.21"/>
    <n v="4"/>
    <n v="3"/>
    <n v="0"/>
    <n v="6"/>
    <n v="3"/>
    <n v="3"/>
    <x v="8"/>
    <n v="4"/>
    <n v="0"/>
    <n v="3"/>
    <x v="1"/>
    <n v="1"/>
    <n v="1"/>
    <n v="1"/>
    <n v="0"/>
    <n v="0"/>
    <n v="1"/>
    <n v="1"/>
    <n v="0"/>
    <n v="10.698962067398959"/>
    <n v="0.3686061316669938"/>
    <x v="0"/>
    <n v="0"/>
  </r>
  <r>
    <x v="634"/>
    <x v="36"/>
    <x v="0"/>
    <n v="141"/>
    <x v="0"/>
    <n v="3"/>
    <n v="1"/>
    <x v="1"/>
    <n v="3"/>
    <x v="1"/>
    <n v="98"/>
    <n v="3"/>
    <n v="2"/>
    <x v="0"/>
    <n v="1"/>
    <x v="1"/>
    <x v="606"/>
    <n v="14363"/>
    <n v="1"/>
    <x v="0"/>
    <n v="0.18"/>
    <n v="3"/>
    <n v="4"/>
    <n v="0"/>
    <n v="5"/>
    <n v="3"/>
    <n v="3"/>
    <x v="8"/>
    <n v="3"/>
    <n v="0"/>
    <n v="3"/>
    <x v="1"/>
    <n v="1"/>
    <n v="1"/>
    <n v="1"/>
    <n v="1"/>
    <n v="0"/>
    <n v="1"/>
    <n v="1"/>
    <n v="0"/>
    <n v="20.698962067398959"/>
    <n v="0.71313126349280109"/>
    <x v="1"/>
    <n v="6291"/>
  </r>
  <r>
    <x v="635"/>
    <x v="10"/>
    <x v="0"/>
    <n v="607"/>
    <x v="1"/>
    <n v="9"/>
    <n v="3"/>
    <x v="0"/>
    <n v="4"/>
    <x v="0"/>
    <n v="66"/>
    <n v="2"/>
    <n v="3"/>
    <x v="3"/>
    <n v="3"/>
    <x v="1"/>
    <x v="607"/>
    <n v="23457"/>
    <n v="1"/>
    <x v="0"/>
    <n v="0.2"/>
    <n v="4"/>
    <n v="2"/>
    <n v="1"/>
    <n v="17"/>
    <n v="2"/>
    <n v="3"/>
    <x v="18"/>
    <n v="14"/>
    <n v="5"/>
    <n v="15"/>
    <x v="1"/>
    <n v="0"/>
    <n v="1"/>
    <n v="1"/>
    <n v="1"/>
    <n v="0"/>
    <n v="0"/>
    <n v="0"/>
    <n v="0"/>
    <n v="10"/>
    <n v="0.3445251318258073"/>
    <x v="0"/>
    <n v="0"/>
  </r>
  <r>
    <x v="636"/>
    <x v="10"/>
    <x v="1"/>
    <n v="130"/>
    <x v="1"/>
    <n v="25"/>
    <n v="4"/>
    <x v="0"/>
    <n v="4"/>
    <x v="0"/>
    <n v="96"/>
    <n v="3"/>
    <n v="1"/>
    <x v="1"/>
    <n v="2"/>
    <x v="2"/>
    <x v="608"/>
    <n v="16612"/>
    <n v="1"/>
    <x v="0"/>
    <n v="0.19"/>
    <n v="3"/>
    <n v="1"/>
    <n v="1"/>
    <n v="10"/>
    <n v="3"/>
    <n v="2"/>
    <x v="1"/>
    <n v="2"/>
    <n v="7"/>
    <n v="8"/>
    <x v="0"/>
    <n v="0"/>
    <n v="2"/>
    <n v="2"/>
    <n v="1"/>
    <n v="1"/>
    <n v="1"/>
    <n v="1"/>
    <n v="1"/>
    <n v="29.025458743764514"/>
    <n v="1"/>
    <x v="3"/>
    <n v="3033"/>
  </r>
  <r>
    <x v="637"/>
    <x v="5"/>
    <x v="2"/>
    <n v="300"/>
    <x v="1"/>
    <n v="1"/>
    <n v="3"/>
    <x v="0"/>
    <n v="4"/>
    <x v="1"/>
    <n v="61"/>
    <n v="3"/>
    <n v="1"/>
    <x v="2"/>
    <n v="4"/>
    <x v="2"/>
    <x v="609"/>
    <n v="9148"/>
    <n v="0"/>
    <x v="1"/>
    <n v="0.12"/>
    <n v="3"/>
    <n v="2"/>
    <n v="1"/>
    <n v="4"/>
    <n v="2"/>
    <n v="3"/>
    <x v="11"/>
    <n v="0"/>
    <n v="0"/>
    <n v="2"/>
    <x v="1"/>
    <n v="1"/>
    <n v="0"/>
    <n v="2"/>
    <n v="0"/>
    <n v="0"/>
    <n v="0"/>
    <n v="1"/>
    <n v="0"/>
    <n v="6.4944289374208282"/>
    <n v="0.22374939857982484"/>
    <x v="2"/>
    <n v="0"/>
  </r>
  <r>
    <x v="638"/>
    <x v="36"/>
    <x v="0"/>
    <n v="583"/>
    <x v="0"/>
    <n v="4"/>
    <n v="1"/>
    <x v="3"/>
    <n v="3"/>
    <x v="1"/>
    <n v="87"/>
    <n v="2"/>
    <n v="2"/>
    <x v="0"/>
    <n v="1"/>
    <x v="1"/>
    <x v="610"/>
    <n v="18154"/>
    <n v="1"/>
    <x v="1"/>
    <n v="0.12"/>
    <n v="3"/>
    <n v="1"/>
    <n v="0"/>
    <n v="5"/>
    <n v="1"/>
    <n v="4"/>
    <x v="8"/>
    <n v="2"/>
    <n v="0"/>
    <n v="3"/>
    <x v="1"/>
    <n v="1"/>
    <n v="1"/>
    <n v="1"/>
    <n v="0"/>
    <n v="0"/>
    <n v="1"/>
    <n v="1"/>
    <n v="0"/>
    <n v="10.698962067398959"/>
    <n v="0.3686061316669938"/>
    <x v="0"/>
    <n v="0"/>
  </r>
  <r>
    <x v="639"/>
    <x v="1"/>
    <x v="0"/>
    <n v="1418"/>
    <x v="1"/>
    <n v="1"/>
    <n v="3"/>
    <x v="4"/>
    <n v="3"/>
    <x v="0"/>
    <n v="36"/>
    <n v="3"/>
    <n v="1"/>
    <x v="1"/>
    <n v="1"/>
    <x v="1"/>
    <x v="611"/>
    <n v="10554"/>
    <n v="2"/>
    <x v="1"/>
    <n v="0.16"/>
    <n v="3"/>
    <n v="2"/>
    <n v="1"/>
    <n v="7"/>
    <n v="2"/>
    <n v="3"/>
    <x v="9"/>
    <n v="2"/>
    <n v="0"/>
    <n v="2"/>
    <x v="1"/>
    <n v="0"/>
    <n v="1"/>
    <n v="1"/>
    <n v="0"/>
    <n v="0"/>
    <n v="1"/>
    <n v="1"/>
    <n v="0"/>
    <n v="10.698962067398959"/>
    <n v="0.3686061316669938"/>
    <x v="0"/>
    <n v="0"/>
  </r>
  <r>
    <x v="640"/>
    <x v="17"/>
    <x v="2"/>
    <n v="1269"/>
    <x v="1"/>
    <n v="4"/>
    <n v="1"/>
    <x v="0"/>
    <n v="1"/>
    <x v="1"/>
    <n v="46"/>
    <n v="2"/>
    <n v="1"/>
    <x v="2"/>
    <n v="4"/>
    <x v="1"/>
    <x v="612"/>
    <n v="10778"/>
    <n v="0"/>
    <x v="1"/>
    <n v="0.17"/>
    <n v="3"/>
    <n v="4"/>
    <n v="0"/>
    <n v="6"/>
    <n v="2"/>
    <n v="2"/>
    <x v="8"/>
    <n v="2"/>
    <n v="3"/>
    <n v="4"/>
    <x v="1"/>
    <n v="1"/>
    <n v="0"/>
    <n v="1"/>
    <n v="0"/>
    <n v="0"/>
    <n v="0"/>
    <n v="1"/>
    <n v="0"/>
    <n v="6.4944289374208282"/>
    <n v="0.22374939857982484"/>
    <x v="2"/>
    <n v="0"/>
  </r>
  <r>
    <x v="641"/>
    <x v="5"/>
    <x v="1"/>
    <n v="379"/>
    <x v="0"/>
    <n v="5"/>
    <n v="2"/>
    <x v="0"/>
    <n v="2"/>
    <x v="1"/>
    <n v="48"/>
    <n v="3"/>
    <n v="2"/>
    <x v="0"/>
    <n v="2"/>
    <x v="1"/>
    <x v="613"/>
    <n v="8891"/>
    <n v="1"/>
    <x v="1"/>
    <n v="0.14000000000000001"/>
    <n v="3"/>
    <n v="4"/>
    <n v="1"/>
    <n v="10"/>
    <n v="3"/>
    <n v="3"/>
    <x v="1"/>
    <n v="8"/>
    <n v="5"/>
    <n v="3"/>
    <x v="1"/>
    <n v="1"/>
    <n v="2"/>
    <n v="1"/>
    <n v="0"/>
    <n v="0"/>
    <n v="1"/>
    <n v="0"/>
    <n v="1"/>
    <n v="9.3649231104683075"/>
    <n v="0.32264513691726432"/>
    <x v="0"/>
    <n v="0"/>
  </r>
  <r>
    <x v="642"/>
    <x v="8"/>
    <x v="0"/>
    <n v="395"/>
    <x v="0"/>
    <n v="9"/>
    <n v="3"/>
    <x v="3"/>
    <n v="2"/>
    <x v="1"/>
    <n v="98"/>
    <n v="2"/>
    <n v="1"/>
    <x v="6"/>
    <n v="2"/>
    <x v="1"/>
    <x v="614"/>
    <n v="12102"/>
    <n v="0"/>
    <x v="1"/>
    <n v="0.19"/>
    <n v="3"/>
    <n v="4"/>
    <n v="1"/>
    <n v="3"/>
    <n v="3"/>
    <n v="3"/>
    <x v="4"/>
    <n v="2"/>
    <n v="1"/>
    <n v="2"/>
    <x v="1"/>
    <n v="1"/>
    <n v="1"/>
    <n v="1"/>
    <n v="0"/>
    <n v="0"/>
    <n v="1"/>
    <n v="1"/>
    <n v="0"/>
    <n v="10.698962067398959"/>
    <n v="0.3686061316669938"/>
    <x v="0"/>
    <n v="0"/>
  </r>
  <r>
    <x v="643"/>
    <x v="19"/>
    <x v="0"/>
    <n v="1265"/>
    <x v="1"/>
    <n v="3"/>
    <n v="3"/>
    <x v="0"/>
    <n v="3"/>
    <x v="0"/>
    <n v="95"/>
    <n v="4"/>
    <n v="2"/>
    <x v="2"/>
    <n v="4"/>
    <x v="1"/>
    <x v="615"/>
    <n v="23726"/>
    <n v="2"/>
    <x v="0"/>
    <n v="0.13"/>
    <n v="3"/>
    <n v="2"/>
    <n v="1"/>
    <n v="17"/>
    <n v="1"/>
    <n v="2"/>
    <x v="8"/>
    <n v="3"/>
    <n v="1"/>
    <n v="3"/>
    <x v="1"/>
    <n v="0"/>
    <n v="1"/>
    <n v="1"/>
    <n v="1"/>
    <n v="0"/>
    <n v="0"/>
    <n v="0"/>
    <n v="0"/>
    <n v="10"/>
    <n v="0.3445251318258073"/>
    <x v="0"/>
    <n v="0"/>
  </r>
  <r>
    <x v="644"/>
    <x v="12"/>
    <x v="0"/>
    <n v="1222"/>
    <x v="1"/>
    <n v="11"/>
    <n v="4"/>
    <x v="0"/>
    <n v="4"/>
    <x v="1"/>
    <n v="48"/>
    <n v="3"/>
    <n v="1"/>
    <x v="1"/>
    <n v="4"/>
    <x v="1"/>
    <x v="616"/>
    <n v="14871"/>
    <n v="3"/>
    <x v="0"/>
    <n v="0.19"/>
    <n v="3"/>
    <n v="2"/>
    <n v="1"/>
    <n v="8"/>
    <n v="2"/>
    <n v="3"/>
    <x v="0"/>
    <n v="4"/>
    <n v="0"/>
    <n v="2"/>
    <x v="1"/>
    <n v="1"/>
    <n v="1"/>
    <n v="1"/>
    <n v="1"/>
    <n v="0"/>
    <n v="0"/>
    <n v="1"/>
    <n v="0"/>
    <n v="16.494428937420828"/>
    <n v="0.56827453040563214"/>
    <x v="1"/>
    <n v="3534"/>
  </r>
  <r>
    <x v="645"/>
    <x v="11"/>
    <x v="0"/>
    <n v="341"/>
    <x v="0"/>
    <n v="1"/>
    <n v="3"/>
    <x v="2"/>
    <n v="2"/>
    <x v="0"/>
    <n v="48"/>
    <n v="2"/>
    <n v="1"/>
    <x v="6"/>
    <n v="3"/>
    <x v="2"/>
    <x v="617"/>
    <n v="23522"/>
    <n v="6"/>
    <x v="0"/>
    <n v="0.19"/>
    <n v="3"/>
    <n v="3"/>
    <n v="3"/>
    <n v="5"/>
    <n v="3"/>
    <n v="3"/>
    <x v="11"/>
    <n v="2"/>
    <n v="0"/>
    <n v="2"/>
    <x v="0"/>
    <n v="0"/>
    <n v="1"/>
    <n v="2"/>
    <n v="1"/>
    <n v="0"/>
    <n v="0"/>
    <n v="1"/>
    <n v="0"/>
    <n v="16.494428937420828"/>
    <n v="0.56827453040563214"/>
    <x v="1"/>
    <n v="4200"/>
  </r>
  <r>
    <x v="646"/>
    <x v="16"/>
    <x v="0"/>
    <n v="868"/>
    <x v="0"/>
    <n v="8"/>
    <n v="3"/>
    <x v="3"/>
    <n v="1"/>
    <x v="1"/>
    <n v="73"/>
    <n v="3"/>
    <n v="4"/>
    <x v="0"/>
    <n v="4"/>
    <x v="1"/>
    <x v="618"/>
    <n v="22789"/>
    <n v="5"/>
    <x v="1"/>
    <n v="0.14000000000000001"/>
    <n v="3"/>
    <n v="3"/>
    <n v="1"/>
    <n v="28"/>
    <n v="3"/>
    <n v="3"/>
    <x v="4"/>
    <n v="0"/>
    <n v="2"/>
    <n v="2"/>
    <x v="1"/>
    <n v="1"/>
    <n v="1"/>
    <n v="1"/>
    <n v="0"/>
    <n v="0"/>
    <n v="0"/>
    <n v="0"/>
    <n v="0"/>
    <n v="0"/>
    <n v="0"/>
    <x v="2"/>
    <n v="0"/>
  </r>
  <r>
    <x v="647"/>
    <x v="10"/>
    <x v="0"/>
    <n v="672"/>
    <x v="1"/>
    <n v="25"/>
    <n v="3"/>
    <x v="4"/>
    <n v="4"/>
    <x v="1"/>
    <n v="78"/>
    <n v="2"/>
    <n v="3"/>
    <x v="3"/>
    <n v="2"/>
    <x v="1"/>
    <x v="619"/>
    <n v="9129"/>
    <n v="3"/>
    <x v="1"/>
    <n v="0.16"/>
    <n v="3"/>
    <n v="1"/>
    <n v="0"/>
    <n v="16"/>
    <n v="2"/>
    <n v="3"/>
    <x v="20"/>
    <n v="10"/>
    <n v="4"/>
    <n v="8"/>
    <x v="1"/>
    <n v="1"/>
    <n v="1"/>
    <n v="1"/>
    <n v="0"/>
    <n v="1"/>
    <n v="1"/>
    <n v="0"/>
    <n v="0"/>
    <n v="7.3706398258535089"/>
    <n v="0.25393706576427255"/>
    <x v="0"/>
    <n v="0"/>
  </r>
  <r>
    <x v="648"/>
    <x v="2"/>
    <x v="1"/>
    <n v="1231"/>
    <x v="0"/>
    <n v="21"/>
    <n v="2"/>
    <x v="2"/>
    <n v="3"/>
    <x v="0"/>
    <n v="54"/>
    <n v="3"/>
    <n v="1"/>
    <x v="6"/>
    <n v="4"/>
    <x v="1"/>
    <x v="620"/>
    <n v="21222"/>
    <n v="5"/>
    <x v="1"/>
    <n v="0.15"/>
    <n v="3"/>
    <n v="2"/>
    <n v="1"/>
    <n v="10"/>
    <n v="3"/>
    <n v="3"/>
    <x v="8"/>
    <n v="4"/>
    <n v="0"/>
    <n v="0"/>
    <x v="1"/>
    <n v="0"/>
    <n v="2"/>
    <n v="1"/>
    <n v="0"/>
    <n v="1"/>
    <n v="0"/>
    <n v="1"/>
    <n v="1"/>
    <n v="14.820925613786383"/>
    <n v="0.51061813508702369"/>
    <x v="1"/>
    <n v="4459.5"/>
  </r>
  <r>
    <x v="649"/>
    <x v="16"/>
    <x v="0"/>
    <n v="102"/>
    <x v="1"/>
    <n v="23"/>
    <n v="4"/>
    <x v="0"/>
    <n v="4"/>
    <x v="0"/>
    <n v="72"/>
    <n v="3"/>
    <n v="4"/>
    <x v="7"/>
    <n v="4"/>
    <x v="0"/>
    <x v="621"/>
    <n v="20206"/>
    <n v="6"/>
    <x v="1"/>
    <n v="0.18"/>
    <n v="3"/>
    <n v="3"/>
    <n v="0"/>
    <n v="33"/>
    <n v="0"/>
    <n v="3"/>
    <x v="12"/>
    <n v="9"/>
    <n v="3"/>
    <n v="8"/>
    <x v="1"/>
    <n v="0"/>
    <n v="1"/>
    <n v="0"/>
    <n v="0"/>
    <n v="1"/>
    <n v="0"/>
    <n v="0"/>
    <n v="0"/>
    <n v="3.1661066958753779"/>
    <n v="0.10908033267710357"/>
    <x v="2"/>
    <n v="0"/>
  </r>
  <r>
    <x v="650"/>
    <x v="23"/>
    <x v="1"/>
    <n v="422"/>
    <x v="1"/>
    <n v="1"/>
    <n v="3"/>
    <x v="0"/>
    <n v="4"/>
    <x v="0"/>
    <n v="33"/>
    <n v="3"/>
    <n v="2"/>
    <x v="4"/>
    <n v="4"/>
    <x v="1"/>
    <x v="622"/>
    <n v="21782"/>
    <n v="4"/>
    <x v="1"/>
    <n v="0.13"/>
    <n v="3"/>
    <n v="2"/>
    <n v="1"/>
    <n v="12"/>
    <n v="2"/>
    <n v="2"/>
    <x v="8"/>
    <n v="2"/>
    <n v="2"/>
    <n v="2"/>
    <x v="1"/>
    <n v="0"/>
    <n v="2"/>
    <n v="1"/>
    <n v="0"/>
    <n v="0"/>
    <n v="0"/>
    <n v="0"/>
    <n v="1"/>
    <n v="5.1603899804901765"/>
    <n v="0.17778840383009531"/>
    <x v="2"/>
    <n v="0"/>
  </r>
  <r>
    <x v="651"/>
    <x v="40"/>
    <x v="0"/>
    <n v="249"/>
    <x v="0"/>
    <n v="2"/>
    <n v="2"/>
    <x v="3"/>
    <n v="3"/>
    <x v="0"/>
    <n v="35"/>
    <n v="3"/>
    <n v="2"/>
    <x v="0"/>
    <n v="4"/>
    <x v="1"/>
    <x v="623"/>
    <n v="17783"/>
    <n v="0"/>
    <x v="0"/>
    <n v="0.22"/>
    <n v="4"/>
    <n v="1"/>
    <n v="1"/>
    <n v="8"/>
    <n v="2"/>
    <n v="3"/>
    <x v="5"/>
    <n v="6"/>
    <n v="7"/>
    <n v="7"/>
    <x v="1"/>
    <n v="0"/>
    <n v="1"/>
    <n v="1"/>
    <n v="1"/>
    <n v="0"/>
    <n v="0"/>
    <n v="1"/>
    <n v="0"/>
    <n v="16.494428937420828"/>
    <n v="0.56827453040563214"/>
    <x v="1"/>
    <n v="6805.5"/>
  </r>
  <r>
    <x v="652"/>
    <x v="2"/>
    <x v="2"/>
    <n v="1252"/>
    <x v="0"/>
    <n v="19"/>
    <n v="2"/>
    <x v="2"/>
    <n v="1"/>
    <x v="1"/>
    <n v="32"/>
    <n v="3"/>
    <n v="3"/>
    <x v="0"/>
    <n v="2"/>
    <x v="0"/>
    <x v="624"/>
    <n v="4814"/>
    <n v="1"/>
    <x v="0"/>
    <n v="0.13"/>
    <n v="3"/>
    <n v="4"/>
    <n v="0"/>
    <n v="10"/>
    <n v="2"/>
    <n v="3"/>
    <x v="1"/>
    <n v="0"/>
    <n v="0"/>
    <n v="9"/>
    <x v="1"/>
    <n v="1"/>
    <n v="0"/>
    <n v="0"/>
    <n v="1"/>
    <n v="1"/>
    <n v="1"/>
    <n v="0"/>
    <n v="0"/>
    <n v="17.370639825853509"/>
    <n v="0.59846219759007979"/>
    <x v="1"/>
    <n v="11463"/>
  </r>
  <r>
    <x v="653"/>
    <x v="24"/>
    <x v="2"/>
    <n v="881"/>
    <x v="1"/>
    <n v="2"/>
    <n v="4"/>
    <x v="0"/>
    <n v="1"/>
    <x v="1"/>
    <n v="98"/>
    <n v="3"/>
    <n v="4"/>
    <x v="5"/>
    <n v="1"/>
    <x v="2"/>
    <x v="625"/>
    <n v="4544"/>
    <n v="1"/>
    <x v="1"/>
    <n v="0.11"/>
    <n v="3"/>
    <n v="4"/>
    <n v="1"/>
    <n v="31"/>
    <n v="3"/>
    <n v="3"/>
    <x v="31"/>
    <n v="6"/>
    <n v="14"/>
    <n v="7"/>
    <x v="1"/>
    <n v="1"/>
    <n v="0"/>
    <n v="2"/>
    <n v="0"/>
    <n v="0"/>
    <n v="1"/>
    <n v="0"/>
    <n v="0"/>
    <n v="4.204533129978131"/>
    <n v="0.14485673308716898"/>
    <x v="2"/>
    <n v="0"/>
  </r>
  <r>
    <x v="654"/>
    <x v="22"/>
    <x v="0"/>
    <n v="1383"/>
    <x v="2"/>
    <n v="2"/>
    <n v="3"/>
    <x v="0"/>
    <n v="4"/>
    <x v="0"/>
    <n v="42"/>
    <n v="2"/>
    <n v="2"/>
    <x v="8"/>
    <n v="4"/>
    <x v="1"/>
    <x v="626"/>
    <n v="7790"/>
    <n v="8"/>
    <x v="1"/>
    <n v="0.11"/>
    <n v="3"/>
    <n v="3"/>
    <n v="2"/>
    <n v="13"/>
    <n v="2"/>
    <n v="3"/>
    <x v="8"/>
    <n v="4"/>
    <n v="0"/>
    <n v="4"/>
    <x v="1"/>
    <n v="0"/>
    <n v="1"/>
    <n v="1"/>
    <n v="0"/>
    <n v="0"/>
    <n v="0"/>
    <n v="0"/>
    <n v="0"/>
    <n v="0"/>
    <n v="0"/>
    <x v="2"/>
    <n v="0"/>
  </r>
  <r>
    <x v="655"/>
    <x v="3"/>
    <x v="0"/>
    <n v="1075"/>
    <x v="2"/>
    <n v="3"/>
    <n v="2"/>
    <x v="5"/>
    <n v="4"/>
    <x v="1"/>
    <n v="57"/>
    <n v="3"/>
    <n v="1"/>
    <x v="8"/>
    <n v="2"/>
    <x v="2"/>
    <x v="627"/>
    <n v="22650"/>
    <n v="3"/>
    <x v="0"/>
    <n v="0.11"/>
    <n v="3"/>
    <n v="3"/>
    <n v="1"/>
    <n v="7"/>
    <n v="4"/>
    <n v="4"/>
    <x v="9"/>
    <n v="3"/>
    <n v="0"/>
    <n v="3"/>
    <x v="1"/>
    <n v="1"/>
    <n v="1"/>
    <n v="2"/>
    <n v="1"/>
    <n v="0"/>
    <n v="1"/>
    <n v="1"/>
    <n v="0"/>
    <n v="20.698962067398959"/>
    <n v="0.71313126349280109"/>
    <x v="1"/>
    <n v="3415.5"/>
  </r>
  <r>
    <x v="656"/>
    <x v="5"/>
    <x v="0"/>
    <n v="374"/>
    <x v="1"/>
    <n v="25"/>
    <n v="4"/>
    <x v="0"/>
    <n v="1"/>
    <x v="1"/>
    <n v="87"/>
    <n v="3"/>
    <n v="1"/>
    <x v="2"/>
    <n v="4"/>
    <x v="0"/>
    <x v="628"/>
    <n v="18016"/>
    <n v="1"/>
    <x v="0"/>
    <n v="0.24"/>
    <n v="4"/>
    <n v="3"/>
    <n v="0"/>
    <n v="1"/>
    <n v="2"/>
    <n v="1"/>
    <x v="6"/>
    <n v="0"/>
    <n v="0"/>
    <n v="1"/>
    <x v="0"/>
    <n v="1"/>
    <n v="1"/>
    <n v="0"/>
    <n v="1"/>
    <n v="1"/>
    <n v="0"/>
    <n v="1"/>
    <n v="0"/>
    <n v="19.660535633296206"/>
    <n v="0.67735486308273574"/>
    <x v="1"/>
    <n v="4192.5"/>
  </r>
  <r>
    <x v="657"/>
    <x v="11"/>
    <x v="0"/>
    <n v="1086"/>
    <x v="1"/>
    <n v="7"/>
    <n v="1"/>
    <x v="2"/>
    <n v="1"/>
    <x v="0"/>
    <n v="62"/>
    <n v="2"/>
    <n v="1"/>
    <x v="2"/>
    <n v="4"/>
    <x v="2"/>
    <x v="629"/>
    <n v="6054"/>
    <n v="6"/>
    <x v="1"/>
    <n v="0.14000000000000001"/>
    <n v="3"/>
    <n v="3"/>
    <n v="3"/>
    <n v="8"/>
    <n v="5"/>
    <n v="3"/>
    <x v="9"/>
    <n v="3"/>
    <n v="0"/>
    <n v="3"/>
    <x v="1"/>
    <n v="0"/>
    <n v="1"/>
    <n v="2"/>
    <n v="0"/>
    <n v="0"/>
    <n v="0"/>
    <n v="1"/>
    <n v="0"/>
    <n v="6.4944289374208282"/>
    <n v="0.22374939857982484"/>
    <x v="2"/>
    <n v="0"/>
  </r>
  <r>
    <x v="658"/>
    <x v="20"/>
    <x v="0"/>
    <n v="661"/>
    <x v="1"/>
    <n v="9"/>
    <n v="2"/>
    <x v="0"/>
    <n v="2"/>
    <x v="1"/>
    <n v="61"/>
    <n v="3"/>
    <n v="1"/>
    <x v="1"/>
    <n v="1"/>
    <x v="1"/>
    <x v="594"/>
    <n v="7508"/>
    <n v="1"/>
    <x v="0"/>
    <n v="0.13"/>
    <n v="3"/>
    <n v="4"/>
    <n v="0"/>
    <n v="8"/>
    <n v="0"/>
    <n v="3"/>
    <x v="3"/>
    <n v="7"/>
    <n v="7"/>
    <n v="1"/>
    <x v="1"/>
    <n v="1"/>
    <n v="1"/>
    <n v="1"/>
    <n v="1"/>
    <n v="0"/>
    <n v="1"/>
    <n v="1"/>
    <n v="0"/>
    <n v="20.698962067398959"/>
    <n v="0.71313126349280109"/>
    <x v="1"/>
    <n v="3838.5"/>
  </r>
  <r>
    <x v="659"/>
    <x v="14"/>
    <x v="0"/>
    <n v="821"/>
    <x v="0"/>
    <n v="5"/>
    <n v="4"/>
    <x v="2"/>
    <n v="1"/>
    <x v="1"/>
    <n v="98"/>
    <n v="3"/>
    <n v="2"/>
    <x v="0"/>
    <n v="4"/>
    <x v="0"/>
    <x v="630"/>
    <n v="24252"/>
    <n v="1"/>
    <x v="1"/>
    <n v="0.14000000000000001"/>
    <n v="3"/>
    <n v="2"/>
    <n v="0"/>
    <n v="4"/>
    <n v="3"/>
    <n v="3"/>
    <x v="9"/>
    <n v="2"/>
    <n v="0"/>
    <n v="2"/>
    <x v="1"/>
    <n v="1"/>
    <n v="1"/>
    <n v="0"/>
    <n v="0"/>
    <n v="0"/>
    <n v="0"/>
    <n v="1"/>
    <n v="0"/>
    <n v="6.4944289374208282"/>
    <n v="0.22374939857982484"/>
    <x v="2"/>
    <n v="0"/>
  </r>
  <r>
    <x v="660"/>
    <x v="34"/>
    <x v="1"/>
    <n v="781"/>
    <x v="1"/>
    <n v="2"/>
    <n v="1"/>
    <x v="0"/>
    <n v="4"/>
    <x v="1"/>
    <n v="57"/>
    <n v="2"/>
    <n v="1"/>
    <x v="2"/>
    <n v="4"/>
    <x v="2"/>
    <x v="631"/>
    <n v="13384"/>
    <n v="9"/>
    <x v="0"/>
    <n v="0.14000000000000001"/>
    <n v="3"/>
    <n v="4"/>
    <n v="1"/>
    <n v="3"/>
    <n v="3"/>
    <n v="2"/>
    <x v="6"/>
    <n v="0"/>
    <n v="0"/>
    <n v="0"/>
    <x v="0"/>
    <n v="1"/>
    <n v="2"/>
    <n v="2"/>
    <n v="1"/>
    <n v="0"/>
    <n v="0"/>
    <n v="1"/>
    <n v="1"/>
    <n v="21.654818917911005"/>
    <n v="0.74606293423572745"/>
    <x v="1"/>
    <n v="3570"/>
  </r>
  <r>
    <x v="661"/>
    <x v="23"/>
    <x v="0"/>
    <n v="177"/>
    <x v="1"/>
    <n v="8"/>
    <n v="3"/>
    <x v="0"/>
    <n v="1"/>
    <x v="0"/>
    <n v="55"/>
    <n v="3"/>
    <n v="2"/>
    <x v="3"/>
    <n v="2"/>
    <x v="2"/>
    <x v="632"/>
    <n v="23814"/>
    <n v="4"/>
    <x v="1"/>
    <n v="0.21"/>
    <n v="4"/>
    <n v="3"/>
    <n v="1"/>
    <n v="4"/>
    <n v="2"/>
    <n v="4"/>
    <x v="6"/>
    <n v="0"/>
    <n v="0"/>
    <n v="0"/>
    <x v="1"/>
    <n v="0"/>
    <n v="1"/>
    <n v="2"/>
    <n v="0"/>
    <n v="0"/>
    <n v="1"/>
    <n v="1"/>
    <n v="0"/>
    <n v="10.698962067398959"/>
    <n v="0.3686061316669938"/>
    <x v="0"/>
    <n v="0"/>
  </r>
  <r>
    <x v="662"/>
    <x v="35"/>
    <x v="0"/>
    <n v="500"/>
    <x v="0"/>
    <n v="2"/>
    <n v="3"/>
    <x v="2"/>
    <n v="3"/>
    <x v="0"/>
    <n v="49"/>
    <n v="2"/>
    <n v="1"/>
    <x v="6"/>
    <n v="3"/>
    <x v="0"/>
    <x v="633"/>
    <n v="22052"/>
    <n v="1"/>
    <x v="1"/>
    <n v="0.13"/>
    <n v="3"/>
    <n v="4"/>
    <n v="0"/>
    <n v="2"/>
    <n v="3"/>
    <n v="2"/>
    <x v="4"/>
    <n v="2"/>
    <n v="0"/>
    <n v="2"/>
    <x v="0"/>
    <n v="0"/>
    <n v="1"/>
    <n v="0"/>
    <n v="0"/>
    <n v="0"/>
    <n v="0"/>
    <n v="1"/>
    <n v="0"/>
    <n v="6.4944289374208282"/>
    <n v="0.22374939857982484"/>
    <x v="2"/>
    <n v="0"/>
  </r>
  <r>
    <x v="663"/>
    <x v="18"/>
    <x v="0"/>
    <n v="1427"/>
    <x v="1"/>
    <n v="18"/>
    <n v="1"/>
    <x v="1"/>
    <n v="4"/>
    <x v="0"/>
    <n v="65"/>
    <n v="3"/>
    <n v="1"/>
    <x v="1"/>
    <n v="4"/>
    <x v="0"/>
    <x v="7"/>
    <n v="8870"/>
    <n v="1"/>
    <x v="1"/>
    <n v="0.19"/>
    <n v="3"/>
    <n v="1"/>
    <n v="0"/>
    <n v="1"/>
    <n v="3"/>
    <n v="2"/>
    <x v="6"/>
    <n v="0"/>
    <n v="0"/>
    <n v="0"/>
    <x v="0"/>
    <n v="0"/>
    <n v="1"/>
    <n v="0"/>
    <n v="0"/>
    <n v="1"/>
    <n v="0"/>
    <n v="1"/>
    <n v="0"/>
    <n v="9.660535633296206"/>
    <n v="0.33282973125692844"/>
    <x v="0"/>
    <n v="0"/>
  </r>
  <r>
    <x v="664"/>
    <x v="9"/>
    <x v="0"/>
    <n v="1425"/>
    <x v="1"/>
    <n v="14"/>
    <n v="1"/>
    <x v="0"/>
    <n v="3"/>
    <x v="1"/>
    <n v="68"/>
    <n v="3"/>
    <n v="2"/>
    <x v="4"/>
    <n v="4"/>
    <x v="1"/>
    <x v="634"/>
    <n v="4821"/>
    <n v="0"/>
    <x v="0"/>
    <n v="0.17"/>
    <n v="3"/>
    <n v="1"/>
    <n v="1"/>
    <n v="17"/>
    <n v="2"/>
    <n v="2"/>
    <x v="22"/>
    <n v="8"/>
    <n v="4"/>
    <n v="11"/>
    <x v="1"/>
    <n v="1"/>
    <n v="1"/>
    <n v="1"/>
    <n v="1"/>
    <n v="0"/>
    <n v="0"/>
    <n v="0"/>
    <n v="0"/>
    <n v="10"/>
    <n v="0.3445251318258073"/>
    <x v="0"/>
    <n v="0"/>
  </r>
  <r>
    <x v="665"/>
    <x v="40"/>
    <x v="0"/>
    <n v="1454"/>
    <x v="0"/>
    <n v="2"/>
    <n v="4"/>
    <x v="0"/>
    <n v="4"/>
    <x v="0"/>
    <n v="65"/>
    <n v="2"/>
    <n v="1"/>
    <x v="6"/>
    <n v="4"/>
    <x v="0"/>
    <x v="635"/>
    <n v="13137"/>
    <n v="1"/>
    <x v="0"/>
    <n v="0.18"/>
    <n v="3"/>
    <n v="1"/>
    <n v="0"/>
    <n v="3"/>
    <n v="3"/>
    <n v="2"/>
    <x v="11"/>
    <n v="2"/>
    <n v="1"/>
    <n v="2"/>
    <x v="1"/>
    <n v="0"/>
    <n v="1"/>
    <n v="0"/>
    <n v="1"/>
    <n v="0"/>
    <n v="0"/>
    <n v="1"/>
    <n v="0"/>
    <n v="16.494428937420828"/>
    <n v="0.56827453040563214"/>
    <x v="1"/>
    <n v="4941"/>
  </r>
  <r>
    <x v="666"/>
    <x v="15"/>
    <x v="0"/>
    <n v="617"/>
    <x v="1"/>
    <n v="3"/>
    <n v="1"/>
    <x v="0"/>
    <n v="2"/>
    <x v="0"/>
    <n v="34"/>
    <n v="3"/>
    <n v="2"/>
    <x v="3"/>
    <n v="3"/>
    <x v="1"/>
    <x v="636"/>
    <n v="10022"/>
    <n v="0"/>
    <x v="0"/>
    <n v="0.19"/>
    <n v="3"/>
    <n v="1"/>
    <n v="1"/>
    <n v="4"/>
    <n v="3"/>
    <n v="4"/>
    <x v="11"/>
    <n v="2"/>
    <n v="0"/>
    <n v="2"/>
    <x v="0"/>
    <n v="0"/>
    <n v="1"/>
    <n v="1"/>
    <n v="1"/>
    <n v="0"/>
    <n v="0"/>
    <n v="1"/>
    <n v="0"/>
    <n v="16.494428937420828"/>
    <n v="0.56827453040563214"/>
    <x v="1"/>
    <n v="6256.5"/>
  </r>
  <r>
    <x v="667"/>
    <x v="0"/>
    <x v="0"/>
    <n v="1085"/>
    <x v="1"/>
    <n v="2"/>
    <n v="4"/>
    <x v="0"/>
    <n v="2"/>
    <x v="0"/>
    <n v="57"/>
    <n v="1"/>
    <n v="1"/>
    <x v="2"/>
    <n v="4"/>
    <x v="2"/>
    <x v="637"/>
    <n v="17725"/>
    <n v="4"/>
    <x v="0"/>
    <n v="0.13"/>
    <n v="3"/>
    <n v="3"/>
    <n v="1"/>
    <n v="10"/>
    <n v="1"/>
    <n v="2"/>
    <x v="5"/>
    <n v="7"/>
    <n v="1"/>
    <n v="0"/>
    <x v="0"/>
    <n v="0"/>
    <n v="1"/>
    <n v="2"/>
    <n v="1"/>
    <n v="0"/>
    <n v="0"/>
    <n v="1"/>
    <n v="0"/>
    <n v="16.494428937420828"/>
    <n v="0.56827453040563214"/>
    <x v="1"/>
    <n v="4167"/>
  </r>
  <r>
    <x v="668"/>
    <x v="14"/>
    <x v="0"/>
    <n v="995"/>
    <x v="1"/>
    <n v="9"/>
    <n v="3"/>
    <x v="2"/>
    <n v="3"/>
    <x v="0"/>
    <n v="77"/>
    <n v="3"/>
    <n v="1"/>
    <x v="1"/>
    <n v="3"/>
    <x v="2"/>
    <x v="638"/>
    <n v="9834"/>
    <n v="5"/>
    <x v="1"/>
    <n v="0.18"/>
    <n v="3"/>
    <n v="2"/>
    <n v="1"/>
    <n v="6"/>
    <n v="2"/>
    <n v="3"/>
    <x v="4"/>
    <n v="2"/>
    <n v="2"/>
    <n v="2"/>
    <x v="1"/>
    <n v="0"/>
    <n v="1"/>
    <n v="2"/>
    <n v="0"/>
    <n v="0"/>
    <n v="0"/>
    <n v="1"/>
    <n v="0"/>
    <n v="6.4944289374208282"/>
    <n v="0.22374939857982484"/>
    <x v="2"/>
    <n v="0"/>
  </r>
  <r>
    <x v="669"/>
    <x v="22"/>
    <x v="0"/>
    <n v="1122"/>
    <x v="1"/>
    <n v="6"/>
    <n v="3"/>
    <x v="2"/>
    <n v="4"/>
    <x v="1"/>
    <n v="70"/>
    <n v="3"/>
    <n v="1"/>
    <x v="2"/>
    <n v="1"/>
    <x v="1"/>
    <x v="639"/>
    <n v="4303"/>
    <n v="7"/>
    <x v="0"/>
    <n v="0.21"/>
    <n v="4"/>
    <n v="4"/>
    <n v="0"/>
    <n v="8"/>
    <n v="2"/>
    <n v="1"/>
    <x v="4"/>
    <n v="2"/>
    <n v="2"/>
    <n v="2"/>
    <x v="0"/>
    <n v="1"/>
    <n v="1"/>
    <n v="1"/>
    <n v="1"/>
    <n v="0"/>
    <n v="1"/>
    <n v="1"/>
    <n v="0"/>
    <n v="20.698962067398959"/>
    <n v="0.71313126349280109"/>
    <x v="1"/>
    <n v="3606"/>
  </r>
  <r>
    <x v="670"/>
    <x v="4"/>
    <x v="0"/>
    <n v="618"/>
    <x v="1"/>
    <n v="4"/>
    <n v="3"/>
    <x v="0"/>
    <n v="2"/>
    <x v="0"/>
    <n v="76"/>
    <n v="3"/>
    <n v="1"/>
    <x v="1"/>
    <n v="3"/>
    <x v="0"/>
    <x v="640"/>
    <n v="17808"/>
    <n v="1"/>
    <x v="1"/>
    <n v="0.19"/>
    <n v="3"/>
    <n v="3"/>
    <n v="0"/>
    <n v="1"/>
    <n v="2"/>
    <n v="3"/>
    <x v="6"/>
    <n v="1"/>
    <n v="0"/>
    <n v="0"/>
    <x v="1"/>
    <n v="0"/>
    <n v="1"/>
    <n v="0"/>
    <n v="0"/>
    <n v="0"/>
    <n v="0"/>
    <n v="1"/>
    <n v="0"/>
    <n v="6.4944289374208282"/>
    <n v="0.22374939857982484"/>
    <x v="2"/>
    <n v="0"/>
  </r>
  <r>
    <x v="671"/>
    <x v="13"/>
    <x v="0"/>
    <n v="546"/>
    <x v="1"/>
    <n v="10"/>
    <n v="3"/>
    <x v="0"/>
    <n v="2"/>
    <x v="1"/>
    <n v="83"/>
    <n v="3"/>
    <n v="1"/>
    <x v="2"/>
    <n v="2"/>
    <x v="2"/>
    <x v="641"/>
    <n v="6896"/>
    <n v="1"/>
    <x v="1"/>
    <n v="0.14000000000000001"/>
    <n v="3"/>
    <n v="2"/>
    <n v="2"/>
    <n v="1"/>
    <n v="3"/>
    <n v="3"/>
    <x v="6"/>
    <n v="0"/>
    <n v="1"/>
    <n v="0"/>
    <x v="1"/>
    <n v="1"/>
    <n v="1"/>
    <n v="2"/>
    <n v="0"/>
    <n v="0"/>
    <n v="1"/>
    <n v="1"/>
    <n v="0"/>
    <n v="10.698962067398959"/>
    <n v="0.3686061316669938"/>
    <x v="0"/>
    <n v="0"/>
  </r>
  <r>
    <x v="672"/>
    <x v="19"/>
    <x v="0"/>
    <n v="462"/>
    <x v="0"/>
    <n v="14"/>
    <n v="2"/>
    <x v="2"/>
    <n v="3"/>
    <x v="0"/>
    <n v="68"/>
    <n v="2"/>
    <n v="2"/>
    <x v="0"/>
    <n v="3"/>
    <x v="0"/>
    <x v="642"/>
    <n v="7824"/>
    <n v="7"/>
    <x v="1"/>
    <n v="0.17"/>
    <n v="3"/>
    <n v="1"/>
    <n v="0"/>
    <n v="10"/>
    <n v="6"/>
    <n v="3"/>
    <x v="8"/>
    <n v="4"/>
    <n v="0"/>
    <n v="3"/>
    <x v="1"/>
    <n v="0"/>
    <n v="1"/>
    <n v="0"/>
    <n v="0"/>
    <n v="0"/>
    <n v="0"/>
    <n v="0"/>
    <n v="0"/>
    <n v="0"/>
    <n v="0"/>
    <x v="2"/>
    <n v="0"/>
  </r>
  <r>
    <x v="673"/>
    <x v="3"/>
    <x v="0"/>
    <n v="1198"/>
    <x v="1"/>
    <n v="1"/>
    <n v="4"/>
    <x v="1"/>
    <n v="3"/>
    <x v="1"/>
    <n v="100"/>
    <n v="2"/>
    <n v="1"/>
    <x v="1"/>
    <n v="1"/>
    <x v="0"/>
    <x v="643"/>
    <n v="3339"/>
    <n v="3"/>
    <x v="0"/>
    <n v="0.11"/>
    <n v="3"/>
    <n v="2"/>
    <n v="0"/>
    <n v="6"/>
    <n v="1"/>
    <n v="3"/>
    <x v="11"/>
    <n v="2"/>
    <n v="0"/>
    <n v="2"/>
    <x v="1"/>
    <n v="1"/>
    <n v="1"/>
    <n v="0"/>
    <n v="1"/>
    <n v="0"/>
    <n v="1"/>
    <n v="1"/>
    <n v="0"/>
    <n v="20.698962067398959"/>
    <n v="0.71313126349280109"/>
    <x v="1"/>
    <n v="4198.5"/>
  </r>
  <r>
    <x v="674"/>
    <x v="34"/>
    <x v="0"/>
    <n v="1272"/>
    <x v="1"/>
    <n v="5"/>
    <n v="3"/>
    <x v="4"/>
    <n v="3"/>
    <x v="0"/>
    <n v="37"/>
    <n v="2"/>
    <n v="3"/>
    <x v="4"/>
    <n v="2"/>
    <x v="2"/>
    <x v="644"/>
    <n v="9255"/>
    <n v="2"/>
    <x v="0"/>
    <n v="0.13"/>
    <n v="3"/>
    <n v="4"/>
    <n v="1"/>
    <n v="24"/>
    <n v="3"/>
    <n v="3"/>
    <x v="0"/>
    <n v="0"/>
    <n v="0"/>
    <n v="4"/>
    <x v="1"/>
    <n v="0"/>
    <n v="1"/>
    <n v="2"/>
    <n v="1"/>
    <n v="0"/>
    <n v="1"/>
    <n v="0"/>
    <n v="0"/>
    <n v="14.204533129978131"/>
    <n v="0.48938186491297625"/>
    <x v="0"/>
    <n v="0"/>
  </r>
  <r>
    <x v="675"/>
    <x v="12"/>
    <x v="0"/>
    <n v="154"/>
    <x v="0"/>
    <n v="7"/>
    <n v="4"/>
    <x v="0"/>
    <n v="2"/>
    <x v="1"/>
    <n v="41"/>
    <n v="2"/>
    <n v="1"/>
    <x v="6"/>
    <n v="3"/>
    <x v="1"/>
    <x v="645"/>
    <n v="11737"/>
    <n v="3"/>
    <x v="1"/>
    <n v="0.15"/>
    <n v="3"/>
    <n v="2"/>
    <n v="0"/>
    <n v="13"/>
    <n v="2"/>
    <n v="4"/>
    <x v="5"/>
    <n v="7"/>
    <n v="5"/>
    <n v="2"/>
    <x v="1"/>
    <n v="1"/>
    <n v="1"/>
    <n v="1"/>
    <n v="0"/>
    <n v="0"/>
    <n v="0"/>
    <n v="1"/>
    <n v="0"/>
    <n v="6.4944289374208282"/>
    <n v="0.22374939857982484"/>
    <x v="2"/>
    <n v="0"/>
  </r>
  <r>
    <x v="676"/>
    <x v="10"/>
    <x v="0"/>
    <n v="1137"/>
    <x v="1"/>
    <n v="21"/>
    <n v="1"/>
    <x v="0"/>
    <n v="4"/>
    <x v="0"/>
    <n v="51"/>
    <n v="3"/>
    <n v="2"/>
    <x v="4"/>
    <n v="4"/>
    <x v="1"/>
    <x v="55"/>
    <n v="19170"/>
    <n v="1"/>
    <x v="0"/>
    <n v="0.25"/>
    <n v="4"/>
    <n v="4"/>
    <n v="1"/>
    <n v="10"/>
    <n v="2"/>
    <n v="1"/>
    <x v="1"/>
    <n v="6"/>
    <n v="0"/>
    <n v="7"/>
    <x v="1"/>
    <n v="0"/>
    <n v="1"/>
    <n v="1"/>
    <n v="1"/>
    <n v="1"/>
    <n v="0"/>
    <n v="1"/>
    <n v="0"/>
    <n v="19.660535633296206"/>
    <n v="0.67735486308273574"/>
    <x v="1"/>
    <n v="6021"/>
  </r>
  <r>
    <x v="677"/>
    <x v="1"/>
    <x v="0"/>
    <n v="527"/>
    <x v="1"/>
    <n v="8"/>
    <n v="2"/>
    <x v="1"/>
    <n v="1"/>
    <x v="0"/>
    <n v="51"/>
    <n v="3"/>
    <n v="3"/>
    <x v="2"/>
    <n v="2"/>
    <x v="1"/>
    <x v="646"/>
    <n v="22477"/>
    <n v="4"/>
    <x v="1"/>
    <n v="0.11"/>
    <n v="3"/>
    <n v="3"/>
    <n v="1"/>
    <n v="29"/>
    <n v="3"/>
    <n v="2"/>
    <x v="34"/>
    <n v="9"/>
    <n v="1"/>
    <n v="7"/>
    <x v="1"/>
    <n v="0"/>
    <n v="1"/>
    <n v="1"/>
    <n v="0"/>
    <n v="0"/>
    <n v="1"/>
    <n v="0"/>
    <n v="0"/>
    <n v="4.204533129978131"/>
    <n v="0.14485673308716898"/>
    <x v="2"/>
    <n v="0"/>
  </r>
  <r>
    <x v="678"/>
    <x v="26"/>
    <x v="0"/>
    <n v="1469"/>
    <x v="1"/>
    <n v="20"/>
    <n v="4"/>
    <x v="2"/>
    <n v="4"/>
    <x v="1"/>
    <n v="51"/>
    <n v="3"/>
    <n v="1"/>
    <x v="1"/>
    <n v="3"/>
    <x v="1"/>
    <x v="647"/>
    <n v="5543"/>
    <n v="4"/>
    <x v="1"/>
    <n v="0.17"/>
    <n v="3"/>
    <n v="1"/>
    <n v="2"/>
    <n v="13"/>
    <n v="2"/>
    <n v="2"/>
    <x v="2"/>
    <n v="0"/>
    <n v="0"/>
    <n v="0"/>
    <x v="1"/>
    <n v="1"/>
    <n v="1"/>
    <n v="1"/>
    <n v="0"/>
    <n v="1"/>
    <n v="0"/>
    <n v="1"/>
    <n v="0"/>
    <n v="9.660535633296206"/>
    <n v="0.33282973125692844"/>
    <x v="0"/>
    <n v="0"/>
  </r>
  <r>
    <x v="679"/>
    <x v="12"/>
    <x v="2"/>
    <n v="1188"/>
    <x v="0"/>
    <n v="20"/>
    <n v="2"/>
    <x v="3"/>
    <n v="4"/>
    <x v="0"/>
    <n v="45"/>
    <n v="3"/>
    <n v="2"/>
    <x v="0"/>
    <n v="3"/>
    <x v="1"/>
    <x v="648"/>
    <n v="24406"/>
    <n v="1"/>
    <x v="1"/>
    <n v="0.13"/>
    <n v="3"/>
    <n v="4"/>
    <n v="1"/>
    <n v="9"/>
    <n v="2"/>
    <n v="2"/>
    <x v="7"/>
    <n v="8"/>
    <n v="0"/>
    <n v="0"/>
    <x v="1"/>
    <n v="0"/>
    <n v="0"/>
    <n v="1"/>
    <n v="0"/>
    <n v="1"/>
    <n v="0"/>
    <n v="0"/>
    <n v="0"/>
    <n v="3.1661066958753779"/>
    <n v="0.10908033267710357"/>
    <x v="2"/>
    <n v="0"/>
  </r>
  <r>
    <x v="680"/>
    <x v="9"/>
    <x v="0"/>
    <n v="188"/>
    <x v="1"/>
    <n v="7"/>
    <n v="4"/>
    <x v="1"/>
    <n v="2"/>
    <x v="1"/>
    <n v="65"/>
    <n v="3"/>
    <n v="1"/>
    <x v="1"/>
    <n v="4"/>
    <x v="0"/>
    <x v="649"/>
    <n v="23293"/>
    <n v="2"/>
    <x v="1"/>
    <n v="0.18"/>
    <n v="3"/>
    <n v="3"/>
    <n v="0"/>
    <n v="8"/>
    <n v="6"/>
    <n v="3"/>
    <x v="0"/>
    <n v="2"/>
    <n v="0"/>
    <n v="1"/>
    <x v="1"/>
    <n v="1"/>
    <n v="1"/>
    <n v="0"/>
    <n v="0"/>
    <n v="0"/>
    <n v="0"/>
    <n v="1"/>
    <n v="0"/>
    <n v="6.4944289374208282"/>
    <n v="0.22374939857982484"/>
    <x v="2"/>
    <n v="0"/>
  </r>
  <r>
    <x v="681"/>
    <x v="8"/>
    <x v="0"/>
    <n v="1333"/>
    <x v="1"/>
    <n v="1"/>
    <n v="3"/>
    <x v="4"/>
    <n v="4"/>
    <x v="0"/>
    <n v="80"/>
    <n v="3"/>
    <n v="3"/>
    <x v="7"/>
    <n v="1"/>
    <x v="1"/>
    <x v="650"/>
    <n v="16292"/>
    <n v="1"/>
    <x v="1"/>
    <n v="0.13"/>
    <n v="3"/>
    <n v="2"/>
    <n v="1"/>
    <n v="15"/>
    <n v="3"/>
    <n v="3"/>
    <x v="15"/>
    <n v="12"/>
    <n v="5"/>
    <n v="11"/>
    <x v="1"/>
    <n v="0"/>
    <n v="1"/>
    <n v="1"/>
    <n v="0"/>
    <n v="0"/>
    <n v="1"/>
    <n v="0"/>
    <n v="0"/>
    <n v="4.204533129978131"/>
    <n v="0.14485673308716898"/>
    <x v="2"/>
    <n v="0"/>
  </r>
  <r>
    <x v="682"/>
    <x v="5"/>
    <x v="2"/>
    <n v="1184"/>
    <x v="1"/>
    <n v="1"/>
    <n v="3"/>
    <x v="0"/>
    <n v="3"/>
    <x v="0"/>
    <n v="70"/>
    <n v="2"/>
    <n v="1"/>
    <x v="2"/>
    <n v="2"/>
    <x v="1"/>
    <x v="651"/>
    <n v="3974"/>
    <n v="6"/>
    <x v="1"/>
    <n v="0.2"/>
    <n v="4"/>
    <n v="3"/>
    <n v="0"/>
    <n v="5"/>
    <n v="3"/>
    <n v="3"/>
    <x v="11"/>
    <n v="0"/>
    <n v="0"/>
    <n v="2"/>
    <x v="1"/>
    <n v="0"/>
    <n v="0"/>
    <n v="1"/>
    <n v="0"/>
    <n v="0"/>
    <n v="1"/>
    <n v="1"/>
    <n v="0"/>
    <n v="10.698962067398959"/>
    <n v="0.3686061316669938"/>
    <x v="0"/>
    <n v="0"/>
  </r>
  <r>
    <x v="683"/>
    <x v="36"/>
    <x v="0"/>
    <n v="867"/>
    <x v="0"/>
    <n v="19"/>
    <n v="2"/>
    <x v="3"/>
    <n v="3"/>
    <x v="1"/>
    <n v="36"/>
    <n v="2"/>
    <n v="1"/>
    <x v="6"/>
    <n v="2"/>
    <x v="1"/>
    <x v="652"/>
    <n v="18798"/>
    <n v="1"/>
    <x v="0"/>
    <n v="0.18"/>
    <n v="3"/>
    <n v="3"/>
    <n v="3"/>
    <n v="1"/>
    <n v="2"/>
    <n v="3"/>
    <x v="6"/>
    <n v="0"/>
    <n v="0"/>
    <n v="0"/>
    <x v="0"/>
    <n v="1"/>
    <n v="1"/>
    <n v="1"/>
    <n v="1"/>
    <n v="1"/>
    <n v="1"/>
    <n v="1"/>
    <n v="0"/>
    <n v="23.865068763274337"/>
    <n v="0.82221159616990469"/>
    <x v="3"/>
    <n v="3619.5"/>
  </r>
  <r>
    <x v="684"/>
    <x v="32"/>
    <x v="0"/>
    <n v="658"/>
    <x v="0"/>
    <n v="10"/>
    <n v="4"/>
    <x v="3"/>
    <n v="1"/>
    <x v="1"/>
    <n v="67"/>
    <n v="2"/>
    <n v="3"/>
    <x v="0"/>
    <n v="2"/>
    <x v="2"/>
    <x v="653"/>
    <n v="20652"/>
    <n v="2"/>
    <x v="1"/>
    <n v="0.12"/>
    <n v="3"/>
    <n v="2"/>
    <n v="1"/>
    <n v="11"/>
    <n v="2"/>
    <n v="2"/>
    <x v="6"/>
    <n v="0"/>
    <n v="0"/>
    <n v="0"/>
    <x v="1"/>
    <n v="1"/>
    <n v="1"/>
    <n v="2"/>
    <n v="0"/>
    <n v="0"/>
    <n v="1"/>
    <n v="0"/>
    <n v="0"/>
    <n v="4.204533129978131"/>
    <n v="0.14485673308716898"/>
    <x v="2"/>
    <n v="0"/>
  </r>
  <r>
    <x v="685"/>
    <x v="25"/>
    <x v="1"/>
    <n v="1283"/>
    <x v="0"/>
    <n v="1"/>
    <n v="3"/>
    <x v="2"/>
    <n v="3"/>
    <x v="1"/>
    <n v="52"/>
    <n v="2"/>
    <n v="2"/>
    <x v="0"/>
    <n v="1"/>
    <x v="0"/>
    <x v="654"/>
    <n v="11148"/>
    <n v="1"/>
    <x v="1"/>
    <n v="0.12"/>
    <n v="3"/>
    <n v="2"/>
    <n v="0"/>
    <n v="7"/>
    <n v="2"/>
    <n v="3"/>
    <x v="5"/>
    <n v="7"/>
    <n v="0"/>
    <n v="7"/>
    <x v="1"/>
    <n v="1"/>
    <n v="2"/>
    <n v="0"/>
    <n v="0"/>
    <n v="0"/>
    <n v="1"/>
    <n v="1"/>
    <n v="1"/>
    <n v="15.859352047889136"/>
    <n v="0.54639453549708916"/>
    <x v="1"/>
    <n v="6441"/>
  </r>
  <r>
    <x v="686"/>
    <x v="0"/>
    <x v="0"/>
    <n v="263"/>
    <x v="1"/>
    <n v="6"/>
    <n v="3"/>
    <x v="2"/>
    <n v="4"/>
    <x v="1"/>
    <n v="59"/>
    <n v="3"/>
    <n v="1"/>
    <x v="2"/>
    <n v="1"/>
    <x v="0"/>
    <x v="655"/>
    <n v="3119"/>
    <n v="2"/>
    <x v="0"/>
    <n v="0.13"/>
    <n v="3"/>
    <n v="3"/>
    <n v="0"/>
    <n v="20"/>
    <n v="3"/>
    <n v="3"/>
    <x v="29"/>
    <n v="13"/>
    <n v="2"/>
    <n v="17"/>
    <x v="1"/>
    <n v="1"/>
    <n v="1"/>
    <n v="0"/>
    <n v="1"/>
    <n v="0"/>
    <n v="1"/>
    <n v="1"/>
    <n v="0"/>
    <n v="20.698962067398959"/>
    <n v="0.71313126349280109"/>
    <x v="1"/>
    <n v="7081.5"/>
  </r>
  <r>
    <x v="687"/>
    <x v="9"/>
    <x v="0"/>
    <n v="938"/>
    <x v="1"/>
    <n v="2"/>
    <n v="4"/>
    <x v="2"/>
    <n v="3"/>
    <x v="1"/>
    <n v="79"/>
    <n v="3"/>
    <n v="1"/>
    <x v="2"/>
    <n v="3"/>
    <x v="0"/>
    <x v="656"/>
    <n v="12287"/>
    <n v="4"/>
    <x v="1"/>
    <n v="0.21"/>
    <n v="4"/>
    <n v="3"/>
    <n v="0"/>
    <n v="16"/>
    <n v="6"/>
    <n v="3"/>
    <x v="19"/>
    <n v="8"/>
    <n v="3"/>
    <n v="9"/>
    <x v="1"/>
    <n v="1"/>
    <n v="1"/>
    <n v="0"/>
    <n v="0"/>
    <n v="0"/>
    <n v="0"/>
    <n v="1"/>
    <n v="0"/>
    <n v="6.4944289374208282"/>
    <n v="0.22374939857982484"/>
    <x v="2"/>
    <n v="0"/>
  </r>
  <r>
    <x v="688"/>
    <x v="37"/>
    <x v="0"/>
    <n v="419"/>
    <x v="0"/>
    <n v="21"/>
    <n v="3"/>
    <x v="1"/>
    <n v="4"/>
    <x v="1"/>
    <n v="37"/>
    <n v="2"/>
    <n v="1"/>
    <x v="6"/>
    <n v="2"/>
    <x v="0"/>
    <x v="657"/>
    <n v="9947"/>
    <n v="1"/>
    <x v="0"/>
    <n v="0.13"/>
    <n v="3"/>
    <n v="2"/>
    <n v="0"/>
    <n v="1"/>
    <n v="3"/>
    <n v="4"/>
    <x v="6"/>
    <n v="0"/>
    <n v="0"/>
    <n v="0"/>
    <x v="0"/>
    <n v="1"/>
    <n v="1"/>
    <n v="0"/>
    <n v="1"/>
    <n v="1"/>
    <n v="1"/>
    <n v="1"/>
    <n v="0"/>
    <n v="23.865068763274337"/>
    <n v="0.82221159616990469"/>
    <x v="3"/>
    <n v="3181.5"/>
  </r>
  <r>
    <x v="689"/>
    <x v="35"/>
    <x v="0"/>
    <n v="129"/>
    <x v="1"/>
    <n v="4"/>
    <n v="3"/>
    <x v="4"/>
    <n v="1"/>
    <x v="1"/>
    <n v="84"/>
    <n v="3"/>
    <n v="1"/>
    <x v="2"/>
    <n v="1"/>
    <x v="0"/>
    <x v="620"/>
    <n v="13008"/>
    <n v="1"/>
    <x v="1"/>
    <n v="0.19"/>
    <n v="3"/>
    <n v="2"/>
    <n v="0"/>
    <n v="1"/>
    <n v="2"/>
    <n v="3"/>
    <x v="6"/>
    <n v="0"/>
    <n v="0"/>
    <n v="0"/>
    <x v="0"/>
    <n v="1"/>
    <n v="1"/>
    <n v="0"/>
    <n v="0"/>
    <n v="0"/>
    <n v="1"/>
    <n v="1"/>
    <n v="0"/>
    <n v="10.698962067398959"/>
    <n v="0.3686061316669938"/>
    <x v="0"/>
    <n v="0"/>
  </r>
  <r>
    <x v="690"/>
    <x v="12"/>
    <x v="0"/>
    <n v="616"/>
    <x v="1"/>
    <n v="12"/>
    <n v="3"/>
    <x v="2"/>
    <n v="4"/>
    <x v="0"/>
    <n v="41"/>
    <n v="3"/>
    <n v="2"/>
    <x v="4"/>
    <n v="4"/>
    <x v="1"/>
    <x v="658"/>
    <n v="17369"/>
    <n v="0"/>
    <x v="0"/>
    <n v="0.11"/>
    <n v="3"/>
    <n v="3"/>
    <n v="2"/>
    <n v="10"/>
    <n v="2"/>
    <n v="1"/>
    <x v="7"/>
    <n v="7"/>
    <n v="8"/>
    <n v="5"/>
    <x v="1"/>
    <n v="0"/>
    <n v="1"/>
    <n v="1"/>
    <n v="1"/>
    <n v="0"/>
    <n v="0"/>
    <n v="0"/>
    <n v="0"/>
    <n v="10"/>
    <n v="0.3445251318258073"/>
    <x v="0"/>
    <n v="0"/>
  </r>
  <r>
    <x v="691"/>
    <x v="32"/>
    <x v="1"/>
    <n v="1469"/>
    <x v="1"/>
    <n v="9"/>
    <n v="4"/>
    <x v="2"/>
    <n v="4"/>
    <x v="1"/>
    <n v="35"/>
    <n v="3"/>
    <n v="1"/>
    <x v="1"/>
    <n v="2"/>
    <x v="2"/>
    <x v="659"/>
    <n v="25063"/>
    <n v="8"/>
    <x v="0"/>
    <n v="0.14000000000000001"/>
    <n v="3"/>
    <n v="4"/>
    <n v="1"/>
    <n v="3"/>
    <n v="2"/>
    <n v="3"/>
    <x v="6"/>
    <n v="1"/>
    <n v="0"/>
    <n v="0"/>
    <x v="1"/>
    <n v="1"/>
    <n v="2"/>
    <n v="2"/>
    <n v="1"/>
    <n v="0"/>
    <n v="1"/>
    <n v="1"/>
    <n v="1"/>
    <n v="25.859352047889136"/>
    <n v="0.8909196673228964"/>
    <x v="3"/>
    <n v="5425.5"/>
  </r>
  <r>
    <x v="692"/>
    <x v="5"/>
    <x v="0"/>
    <n v="498"/>
    <x v="1"/>
    <n v="3"/>
    <n v="4"/>
    <x v="2"/>
    <n v="3"/>
    <x v="0"/>
    <n v="93"/>
    <n v="3"/>
    <n v="2"/>
    <x v="3"/>
    <n v="1"/>
    <x v="1"/>
    <x v="660"/>
    <n v="13554"/>
    <n v="1"/>
    <x v="1"/>
    <n v="0.12"/>
    <n v="3"/>
    <n v="3"/>
    <n v="1"/>
    <n v="8"/>
    <n v="2"/>
    <n v="4"/>
    <x v="3"/>
    <n v="7"/>
    <n v="6"/>
    <n v="3"/>
    <x v="1"/>
    <n v="0"/>
    <n v="1"/>
    <n v="1"/>
    <n v="0"/>
    <n v="0"/>
    <n v="1"/>
    <n v="0"/>
    <n v="0"/>
    <n v="4.204533129978131"/>
    <n v="0.14485673308716898"/>
    <x v="2"/>
    <n v="0"/>
  </r>
  <r>
    <x v="693"/>
    <x v="9"/>
    <x v="0"/>
    <n v="530"/>
    <x v="0"/>
    <n v="3"/>
    <n v="1"/>
    <x v="0"/>
    <n v="3"/>
    <x v="1"/>
    <n v="51"/>
    <n v="2"/>
    <n v="3"/>
    <x v="0"/>
    <n v="4"/>
    <x v="1"/>
    <x v="661"/>
    <n v="5518"/>
    <n v="1"/>
    <x v="0"/>
    <n v="0.11"/>
    <n v="3"/>
    <n v="1"/>
    <n v="1"/>
    <n v="16"/>
    <n v="6"/>
    <n v="3"/>
    <x v="22"/>
    <n v="7"/>
    <n v="3"/>
    <n v="7"/>
    <x v="0"/>
    <n v="1"/>
    <n v="1"/>
    <n v="1"/>
    <n v="1"/>
    <n v="0"/>
    <n v="0"/>
    <n v="0"/>
    <n v="0"/>
    <n v="10"/>
    <n v="0.3445251318258073"/>
    <x v="0"/>
    <n v="0"/>
  </r>
  <r>
    <x v="694"/>
    <x v="3"/>
    <x v="0"/>
    <n v="1069"/>
    <x v="1"/>
    <n v="1"/>
    <n v="3"/>
    <x v="0"/>
    <n v="2"/>
    <x v="0"/>
    <n v="42"/>
    <n v="2"/>
    <n v="2"/>
    <x v="4"/>
    <n v="4"/>
    <x v="0"/>
    <x v="662"/>
    <n v="12291"/>
    <n v="0"/>
    <x v="1"/>
    <n v="0.14000000000000001"/>
    <n v="3"/>
    <n v="1"/>
    <n v="0"/>
    <n v="6"/>
    <n v="3"/>
    <n v="3"/>
    <x v="8"/>
    <n v="0"/>
    <n v="1"/>
    <n v="4"/>
    <x v="1"/>
    <n v="0"/>
    <n v="1"/>
    <n v="0"/>
    <n v="0"/>
    <n v="0"/>
    <n v="0"/>
    <n v="0"/>
    <n v="0"/>
    <n v="0"/>
    <n v="0"/>
    <x v="2"/>
    <n v="0"/>
  </r>
  <r>
    <x v="695"/>
    <x v="2"/>
    <x v="0"/>
    <n v="625"/>
    <x v="0"/>
    <n v="1"/>
    <n v="4"/>
    <x v="0"/>
    <n v="1"/>
    <x v="1"/>
    <n v="46"/>
    <n v="2"/>
    <n v="3"/>
    <x v="0"/>
    <n v="3"/>
    <x v="1"/>
    <x v="219"/>
    <n v="14922"/>
    <n v="5"/>
    <x v="1"/>
    <n v="0.11"/>
    <n v="3"/>
    <n v="3"/>
    <n v="0"/>
    <n v="17"/>
    <n v="2"/>
    <n v="1"/>
    <x v="13"/>
    <n v="1"/>
    <n v="11"/>
    <n v="7"/>
    <x v="0"/>
    <n v="1"/>
    <n v="1"/>
    <n v="1"/>
    <n v="0"/>
    <n v="0"/>
    <n v="0"/>
    <n v="0"/>
    <n v="0"/>
    <n v="0"/>
    <n v="0"/>
    <x v="2"/>
    <n v="0"/>
  </r>
  <r>
    <x v="696"/>
    <x v="28"/>
    <x v="2"/>
    <n v="805"/>
    <x v="1"/>
    <n v="4"/>
    <n v="2"/>
    <x v="0"/>
    <n v="3"/>
    <x v="1"/>
    <n v="57"/>
    <n v="3"/>
    <n v="2"/>
    <x v="2"/>
    <n v="2"/>
    <x v="1"/>
    <x v="663"/>
    <n v="23163"/>
    <n v="1"/>
    <x v="1"/>
    <n v="0.12"/>
    <n v="3"/>
    <n v="2"/>
    <n v="0"/>
    <n v="9"/>
    <n v="5"/>
    <n v="2"/>
    <x v="7"/>
    <n v="7"/>
    <n v="0"/>
    <n v="8"/>
    <x v="1"/>
    <n v="1"/>
    <n v="0"/>
    <n v="1"/>
    <n v="0"/>
    <n v="0"/>
    <n v="1"/>
    <n v="1"/>
    <n v="0"/>
    <n v="10.698962067398959"/>
    <n v="0.3686061316669938"/>
    <x v="0"/>
    <n v="0"/>
  </r>
  <r>
    <x v="697"/>
    <x v="11"/>
    <x v="1"/>
    <n v="1404"/>
    <x v="0"/>
    <n v="20"/>
    <n v="3"/>
    <x v="4"/>
    <n v="3"/>
    <x v="0"/>
    <n v="84"/>
    <n v="3"/>
    <n v="1"/>
    <x v="6"/>
    <n v="4"/>
    <x v="1"/>
    <x v="664"/>
    <n v="18203"/>
    <n v="1"/>
    <x v="1"/>
    <n v="0.15"/>
    <n v="3"/>
    <n v="2"/>
    <n v="1"/>
    <n v="3"/>
    <n v="5"/>
    <n v="3"/>
    <x v="11"/>
    <n v="1"/>
    <n v="0"/>
    <n v="2"/>
    <x v="1"/>
    <n v="0"/>
    <n v="2"/>
    <n v="1"/>
    <n v="0"/>
    <n v="1"/>
    <n v="0"/>
    <n v="1"/>
    <n v="1"/>
    <n v="14.820925613786383"/>
    <n v="0.51061813508702369"/>
    <x v="1"/>
    <n v="3235.5"/>
  </r>
  <r>
    <x v="698"/>
    <x v="10"/>
    <x v="0"/>
    <n v="1219"/>
    <x v="0"/>
    <n v="18"/>
    <n v="3"/>
    <x v="2"/>
    <n v="3"/>
    <x v="0"/>
    <n v="86"/>
    <n v="3"/>
    <n v="2"/>
    <x v="0"/>
    <n v="3"/>
    <x v="1"/>
    <x v="665"/>
    <n v="6179"/>
    <n v="1"/>
    <x v="1"/>
    <n v="0.16"/>
    <n v="3"/>
    <n v="2"/>
    <n v="0"/>
    <n v="5"/>
    <n v="3"/>
    <n v="3"/>
    <x v="8"/>
    <n v="2"/>
    <n v="1"/>
    <n v="0"/>
    <x v="1"/>
    <n v="0"/>
    <n v="1"/>
    <n v="1"/>
    <n v="0"/>
    <n v="1"/>
    <n v="0"/>
    <n v="1"/>
    <n v="0"/>
    <n v="9.660535633296206"/>
    <n v="0.33282973125692844"/>
    <x v="0"/>
    <n v="0"/>
  </r>
  <r>
    <x v="699"/>
    <x v="39"/>
    <x v="0"/>
    <n v="1053"/>
    <x v="1"/>
    <n v="1"/>
    <n v="2"/>
    <x v="0"/>
    <n v="4"/>
    <x v="1"/>
    <n v="70"/>
    <n v="3"/>
    <n v="4"/>
    <x v="5"/>
    <n v="4"/>
    <x v="1"/>
    <x v="666"/>
    <n v="13829"/>
    <n v="2"/>
    <x v="1"/>
    <n v="0.15"/>
    <n v="3"/>
    <n v="2"/>
    <n v="1"/>
    <n v="26"/>
    <n v="2"/>
    <n v="2"/>
    <x v="7"/>
    <n v="8"/>
    <n v="7"/>
    <n v="8"/>
    <x v="1"/>
    <n v="1"/>
    <n v="1"/>
    <n v="1"/>
    <n v="0"/>
    <n v="0"/>
    <n v="0"/>
    <n v="0"/>
    <n v="0"/>
    <n v="0"/>
    <n v="0"/>
    <x v="2"/>
    <n v="0"/>
  </r>
  <r>
    <x v="700"/>
    <x v="34"/>
    <x v="0"/>
    <n v="289"/>
    <x v="1"/>
    <n v="2"/>
    <n v="3"/>
    <x v="4"/>
    <n v="4"/>
    <x v="1"/>
    <n v="51"/>
    <n v="3"/>
    <n v="1"/>
    <x v="1"/>
    <n v="3"/>
    <x v="0"/>
    <x v="667"/>
    <n v="26227"/>
    <n v="4"/>
    <x v="1"/>
    <n v="0.24"/>
    <n v="4"/>
    <n v="1"/>
    <n v="0"/>
    <n v="7"/>
    <n v="4"/>
    <n v="3"/>
    <x v="6"/>
    <n v="0"/>
    <n v="0"/>
    <n v="0"/>
    <x v="0"/>
    <n v="1"/>
    <n v="1"/>
    <n v="0"/>
    <n v="0"/>
    <n v="0"/>
    <n v="0"/>
    <n v="1"/>
    <n v="0"/>
    <n v="6.4944289374208282"/>
    <n v="0.22374939857982484"/>
    <x v="2"/>
    <n v="0"/>
  </r>
  <r>
    <x v="701"/>
    <x v="16"/>
    <x v="0"/>
    <n v="1376"/>
    <x v="0"/>
    <n v="2"/>
    <n v="2"/>
    <x v="2"/>
    <n v="3"/>
    <x v="1"/>
    <n v="45"/>
    <n v="3"/>
    <n v="4"/>
    <x v="5"/>
    <n v="3"/>
    <x v="2"/>
    <x v="668"/>
    <n v="13938"/>
    <n v="6"/>
    <x v="1"/>
    <n v="0.13"/>
    <n v="3"/>
    <n v="3"/>
    <n v="1"/>
    <n v="22"/>
    <n v="3"/>
    <n v="4"/>
    <x v="18"/>
    <n v="13"/>
    <n v="15"/>
    <n v="2"/>
    <x v="1"/>
    <n v="1"/>
    <n v="1"/>
    <n v="2"/>
    <n v="0"/>
    <n v="0"/>
    <n v="0"/>
    <n v="0"/>
    <n v="0"/>
    <n v="0"/>
    <n v="0"/>
    <x v="2"/>
    <n v="0"/>
  </r>
  <r>
    <x v="702"/>
    <x v="7"/>
    <x v="0"/>
    <n v="231"/>
    <x v="0"/>
    <n v="8"/>
    <n v="2"/>
    <x v="1"/>
    <n v="3"/>
    <x v="1"/>
    <n v="62"/>
    <n v="3"/>
    <n v="3"/>
    <x v="0"/>
    <n v="3"/>
    <x v="2"/>
    <x v="669"/>
    <n v="9977"/>
    <n v="5"/>
    <x v="1"/>
    <n v="0.11"/>
    <n v="3"/>
    <n v="1"/>
    <n v="1"/>
    <n v="10"/>
    <n v="2"/>
    <n v="4"/>
    <x v="3"/>
    <n v="4"/>
    <n v="7"/>
    <n v="7"/>
    <x v="1"/>
    <n v="1"/>
    <n v="1"/>
    <n v="2"/>
    <n v="0"/>
    <n v="0"/>
    <n v="0"/>
    <n v="0"/>
    <n v="0"/>
    <n v="0"/>
    <n v="0"/>
    <x v="2"/>
    <n v="0"/>
  </r>
  <r>
    <x v="703"/>
    <x v="8"/>
    <x v="2"/>
    <n v="152"/>
    <x v="0"/>
    <n v="10"/>
    <n v="3"/>
    <x v="4"/>
    <n v="3"/>
    <x v="0"/>
    <n v="85"/>
    <n v="3"/>
    <n v="2"/>
    <x v="0"/>
    <n v="4"/>
    <x v="0"/>
    <x v="670"/>
    <n v="19899"/>
    <n v="1"/>
    <x v="0"/>
    <n v="0.13"/>
    <n v="3"/>
    <n v="2"/>
    <n v="0"/>
    <n v="6"/>
    <n v="1"/>
    <n v="3"/>
    <x v="8"/>
    <n v="3"/>
    <n v="1"/>
    <n v="3"/>
    <x v="1"/>
    <n v="0"/>
    <n v="0"/>
    <n v="0"/>
    <n v="1"/>
    <n v="0"/>
    <n v="0"/>
    <n v="0"/>
    <n v="0"/>
    <n v="10"/>
    <n v="0.3445251318258073"/>
    <x v="0"/>
    <n v="0"/>
  </r>
  <r>
    <x v="704"/>
    <x v="10"/>
    <x v="0"/>
    <n v="882"/>
    <x v="0"/>
    <n v="3"/>
    <n v="4"/>
    <x v="0"/>
    <n v="4"/>
    <x v="1"/>
    <n v="92"/>
    <n v="3"/>
    <n v="3"/>
    <x v="0"/>
    <n v="4"/>
    <x v="2"/>
    <x v="671"/>
    <n v="6812"/>
    <n v="6"/>
    <x v="1"/>
    <n v="0.13"/>
    <n v="3"/>
    <n v="2"/>
    <n v="1"/>
    <n v="12"/>
    <n v="2"/>
    <n v="3"/>
    <x v="1"/>
    <n v="9"/>
    <n v="0"/>
    <n v="8"/>
    <x v="1"/>
    <n v="1"/>
    <n v="1"/>
    <n v="2"/>
    <n v="0"/>
    <n v="0"/>
    <n v="0"/>
    <n v="0"/>
    <n v="0"/>
    <n v="0"/>
    <n v="0"/>
    <x v="2"/>
    <n v="0"/>
  </r>
  <r>
    <x v="705"/>
    <x v="22"/>
    <x v="0"/>
    <n v="903"/>
    <x v="0"/>
    <n v="2"/>
    <n v="5"/>
    <x v="0"/>
    <n v="1"/>
    <x v="1"/>
    <n v="41"/>
    <n v="4"/>
    <n v="3"/>
    <x v="0"/>
    <n v="3"/>
    <x v="0"/>
    <x v="672"/>
    <n v="2560"/>
    <n v="0"/>
    <x v="1"/>
    <n v="0.18"/>
    <n v="3"/>
    <n v="4"/>
    <n v="0"/>
    <n v="9"/>
    <n v="3"/>
    <n v="3"/>
    <x v="3"/>
    <n v="7"/>
    <n v="0"/>
    <n v="7"/>
    <x v="1"/>
    <n v="1"/>
    <n v="1"/>
    <n v="0"/>
    <n v="0"/>
    <n v="0"/>
    <n v="0"/>
    <n v="0"/>
    <n v="0"/>
    <n v="0"/>
    <n v="0"/>
    <x v="2"/>
    <n v="0"/>
  </r>
  <r>
    <x v="706"/>
    <x v="32"/>
    <x v="2"/>
    <n v="1479"/>
    <x v="0"/>
    <n v="24"/>
    <n v="3"/>
    <x v="0"/>
    <n v="2"/>
    <x v="0"/>
    <n v="100"/>
    <n v="4"/>
    <n v="4"/>
    <x v="0"/>
    <n v="2"/>
    <x v="0"/>
    <x v="673"/>
    <n v="17071"/>
    <n v="4"/>
    <x v="0"/>
    <n v="0.16"/>
    <n v="3"/>
    <n v="4"/>
    <n v="0"/>
    <n v="22"/>
    <n v="2"/>
    <n v="2"/>
    <x v="6"/>
    <n v="0"/>
    <n v="0"/>
    <n v="0"/>
    <x v="0"/>
    <n v="0"/>
    <n v="0"/>
    <n v="0"/>
    <n v="1"/>
    <n v="1"/>
    <n v="1"/>
    <n v="0"/>
    <n v="0"/>
    <n v="17.370639825853509"/>
    <n v="0.59846219759007979"/>
    <x v="1"/>
    <n v="19791"/>
  </r>
  <r>
    <x v="707"/>
    <x v="40"/>
    <x v="1"/>
    <n v="1379"/>
    <x v="1"/>
    <n v="16"/>
    <n v="4"/>
    <x v="2"/>
    <n v="3"/>
    <x v="1"/>
    <n v="64"/>
    <n v="4"/>
    <n v="2"/>
    <x v="3"/>
    <n v="3"/>
    <x v="2"/>
    <x v="674"/>
    <n v="6759"/>
    <n v="1"/>
    <x v="0"/>
    <n v="0.19"/>
    <n v="3"/>
    <n v="3"/>
    <n v="0"/>
    <n v="20"/>
    <n v="3"/>
    <n v="4"/>
    <x v="27"/>
    <n v="10"/>
    <n v="2"/>
    <n v="7"/>
    <x v="1"/>
    <n v="1"/>
    <n v="2"/>
    <n v="2"/>
    <n v="1"/>
    <n v="1"/>
    <n v="0"/>
    <n v="0"/>
    <n v="1"/>
    <n v="18.326496676365554"/>
    <n v="0.63139386833300615"/>
    <x v="1"/>
    <n v="7600.5"/>
  </r>
  <r>
    <x v="708"/>
    <x v="9"/>
    <x v="2"/>
    <n v="1229"/>
    <x v="0"/>
    <n v="8"/>
    <n v="4"/>
    <x v="4"/>
    <n v="1"/>
    <x v="1"/>
    <n v="84"/>
    <n v="3"/>
    <n v="2"/>
    <x v="0"/>
    <n v="4"/>
    <x v="2"/>
    <x v="675"/>
    <n v="25952"/>
    <n v="4"/>
    <x v="1"/>
    <n v="0.13"/>
    <n v="3"/>
    <n v="4"/>
    <n v="2"/>
    <n v="12"/>
    <n v="3"/>
    <n v="3"/>
    <x v="5"/>
    <n v="7"/>
    <n v="0"/>
    <n v="7"/>
    <x v="1"/>
    <n v="1"/>
    <n v="0"/>
    <n v="2"/>
    <n v="0"/>
    <n v="0"/>
    <n v="0"/>
    <n v="0"/>
    <n v="0"/>
    <n v="0"/>
    <n v="0"/>
    <x v="2"/>
    <n v="0"/>
  </r>
  <r>
    <x v="709"/>
    <x v="12"/>
    <x v="2"/>
    <n v="335"/>
    <x v="1"/>
    <n v="9"/>
    <n v="2"/>
    <x v="2"/>
    <n v="3"/>
    <x v="1"/>
    <n v="46"/>
    <n v="2"/>
    <n v="1"/>
    <x v="1"/>
    <n v="1"/>
    <x v="0"/>
    <x v="676"/>
    <n v="10322"/>
    <n v="0"/>
    <x v="0"/>
    <n v="0.22"/>
    <n v="4"/>
    <n v="1"/>
    <n v="0"/>
    <n v="4"/>
    <n v="0"/>
    <n v="3"/>
    <x v="11"/>
    <n v="2"/>
    <n v="1"/>
    <n v="2"/>
    <x v="0"/>
    <n v="1"/>
    <n v="0"/>
    <n v="0"/>
    <n v="1"/>
    <n v="0"/>
    <n v="1"/>
    <n v="1"/>
    <n v="0"/>
    <n v="20.698962067398959"/>
    <n v="0.71313126349280109"/>
    <x v="1"/>
    <n v="3481.5"/>
  </r>
  <r>
    <x v="710"/>
    <x v="3"/>
    <x v="2"/>
    <n v="722"/>
    <x v="0"/>
    <n v="17"/>
    <n v="3"/>
    <x v="0"/>
    <n v="4"/>
    <x v="1"/>
    <n v="38"/>
    <n v="3"/>
    <n v="4"/>
    <x v="5"/>
    <n v="3"/>
    <x v="0"/>
    <x v="677"/>
    <n v="20489"/>
    <n v="1"/>
    <x v="1"/>
    <n v="0.11"/>
    <n v="3"/>
    <n v="4"/>
    <n v="0"/>
    <n v="10"/>
    <n v="2"/>
    <n v="3"/>
    <x v="1"/>
    <n v="8"/>
    <n v="6"/>
    <n v="0"/>
    <x v="1"/>
    <n v="1"/>
    <n v="0"/>
    <n v="0"/>
    <n v="0"/>
    <n v="1"/>
    <n v="0"/>
    <n v="0"/>
    <n v="0"/>
    <n v="3.1661066958753779"/>
    <n v="0.10908033267710357"/>
    <x v="2"/>
    <n v="0"/>
  </r>
  <r>
    <x v="711"/>
    <x v="11"/>
    <x v="0"/>
    <n v="906"/>
    <x v="1"/>
    <n v="10"/>
    <n v="3"/>
    <x v="0"/>
    <n v="4"/>
    <x v="0"/>
    <n v="92"/>
    <n v="2"/>
    <n v="1"/>
    <x v="1"/>
    <n v="1"/>
    <x v="0"/>
    <x v="639"/>
    <n v="11479"/>
    <n v="6"/>
    <x v="0"/>
    <n v="0.2"/>
    <n v="4"/>
    <n v="3"/>
    <n v="0"/>
    <n v="3"/>
    <n v="5"/>
    <n v="3"/>
    <x v="2"/>
    <n v="0"/>
    <n v="0"/>
    <n v="0"/>
    <x v="0"/>
    <n v="0"/>
    <n v="1"/>
    <n v="0"/>
    <n v="1"/>
    <n v="0"/>
    <n v="1"/>
    <n v="1"/>
    <n v="0"/>
    <n v="20.698962067398959"/>
    <n v="0.71313126349280109"/>
    <x v="1"/>
    <n v="3606"/>
  </r>
  <r>
    <x v="712"/>
    <x v="3"/>
    <x v="0"/>
    <n v="461"/>
    <x v="1"/>
    <n v="13"/>
    <n v="1"/>
    <x v="0"/>
    <n v="2"/>
    <x v="0"/>
    <n v="53"/>
    <n v="3"/>
    <n v="1"/>
    <x v="1"/>
    <n v="4"/>
    <x v="0"/>
    <x v="138"/>
    <n v="17241"/>
    <n v="3"/>
    <x v="1"/>
    <n v="0.18"/>
    <n v="3"/>
    <n v="1"/>
    <n v="0"/>
    <n v="5"/>
    <n v="4"/>
    <n v="3"/>
    <x v="11"/>
    <n v="2"/>
    <n v="0"/>
    <n v="2"/>
    <x v="1"/>
    <n v="0"/>
    <n v="1"/>
    <n v="0"/>
    <n v="0"/>
    <n v="0"/>
    <n v="0"/>
    <n v="1"/>
    <n v="0"/>
    <n v="6.4944289374208282"/>
    <n v="0.22374939857982484"/>
    <x v="2"/>
    <n v="0"/>
  </r>
  <r>
    <x v="713"/>
    <x v="28"/>
    <x v="0"/>
    <n v="974"/>
    <x v="1"/>
    <n v="1"/>
    <n v="4"/>
    <x v="2"/>
    <n v="4"/>
    <x v="0"/>
    <n v="91"/>
    <n v="3"/>
    <n v="1"/>
    <x v="2"/>
    <n v="4"/>
    <x v="2"/>
    <x v="678"/>
    <n v="11005"/>
    <n v="3"/>
    <x v="1"/>
    <n v="0.14000000000000001"/>
    <n v="3"/>
    <n v="4"/>
    <n v="2"/>
    <n v="8"/>
    <n v="2"/>
    <n v="3"/>
    <x v="8"/>
    <n v="3"/>
    <n v="0"/>
    <n v="2"/>
    <x v="1"/>
    <n v="0"/>
    <n v="1"/>
    <n v="2"/>
    <n v="0"/>
    <n v="0"/>
    <n v="0"/>
    <n v="1"/>
    <n v="0"/>
    <n v="6.4944289374208282"/>
    <n v="0.22374939857982484"/>
    <x v="2"/>
    <n v="0"/>
  </r>
  <r>
    <x v="714"/>
    <x v="24"/>
    <x v="0"/>
    <n v="1126"/>
    <x v="1"/>
    <n v="1"/>
    <n v="2"/>
    <x v="2"/>
    <n v="4"/>
    <x v="1"/>
    <n v="66"/>
    <n v="3"/>
    <n v="4"/>
    <x v="7"/>
    <n v="4"/>
    <x v="2"/>
    <x v="679"/>
    <n v="6615"/>
    <n v="9"/>
    <x v="1"/>
    <n v="0.22"/>
    <n v="4"/>
    <n v="3"/>
    <n v="1"/>
    <n v="32"/>
    <n v="1"/>
    <n v="2"/>
    <x v="8"/>
    <n v="4"/>
    <n v="1"/>
    <n v="3"/>
    <x v="1"/>
    <n v="1"/>
    <n v="1"/>
    <n v="2"/>
    <n v="0"/>
    <n v="0"/>
    <n v="0"/>
    <n v="0"/>
    <n v="0"/>
    <n v="0"/>
    <n v="0"/>
    <x v="2"/>
    <n v="0"/>
  </r>
  <r>
    <x v="715"/>
    <x v="3"/>
    <x v="1"/>
    <n v="827"/>
    <x v="1"/>
    <n v="1"/>
    <n v="4"/>
    <x v="1"/>
    <n v="3"/>
    <x v="0"/>
    <n v="84"/>
    <n v="4"/>
    <n v="2"/>
    <x v="4"/>
    <n v="2"/>
    <x v="1"/>
    <x v="680"/>
    <n v="20161"/>
    <n v="1"/>
    <x v="0"/>
    <n v="0.13"/>
    <n v="3"/>
    <n v="1"/>
    <n v="1"/>
    <n v="6"/>
    <n v="2"/>
    <n v="3"/>
    <x v="0"/>
    <n v="5"/>
    <n v="1"/>
    <n v="2"/>
    <x v="1"/>
    <n v="0"/>
    <n v="2"/>
    <n v="1"/>
    <n v="1"/>
    <n v="0"/>
    <n v="1"/>
    <n v="0"/>
    <n v="1"/>
    <n v="19.364923110468307"/>
    <n v="0.66717026874307161"/>
    <x v="1"/>
    <n v="8232"/>
  </r>
  <r>
    <x v="716"/>
    <x v="0"/>
    <x v="1"/>
    <n v="840"/>
    <x v="1"/>
    <n v="9"/>
    <n v="3"/>
    <x v="2"/>
    <n v="1"/>
    <x v="1"/>
    <n v="64"/>
    <n v="3"/>
    <n v="5"/>
    <x v="7"/>
    <n v="3"/>
    <x v="2"/>
    <x v="681"/>
    <n v="3735"/>
    <n v="2"/>
    <x v="1"/>
    <n v="0.17"/>
    <n v="3"/>
    <n v="2"/>
    <n v="1"/>
    <n v="21"/>
    <n v="2"/>
    <n v="4"/>
    <x v="29"/>
    <n v="16"/>
    <n v="0"/>
    <n v="11"/>
    <x v="1"/>
    <n v="1"/>
    <n v="2"/>
    <n v="2"/>
    <n v="0"/>
    <n v="0"/>
    <n v="0"/>
    <n v="0"/>
    <n v="1"/>
    <n v="5.1603899804901765"/>
    <n v="0.17778840383009531"/>
    <x v="2"/>
    <n v="0"/>
  </r>
  <r>
    <x v="717"/>
    <x v="4"/>
    <x v="0"/>
    <n v="1134"/>
    <x v="1"/>
    <n v="16"/>
    <n v="4"/>
    <x v="4"/>
    <n v="3"/>
    <x v="0"/>
    <n v="37"/>
    <n v="3"/>
    <n v="1"/>
    <x v="2"/>
    <n v="2"/>
    <x v="1"/>
    <x v="682"/>
    <n v="12086"/>
    <n v="9"/>
    <x v="1"/>
    <n v="0.14000000000000001"/>
    <n v="3"/>
    <n v="2"/>
    <n v="1"/>
    <n v="4"/>
    <n v="2"/>
    <n v="3"/>
    <x v="4"/>
    <n v="2"/>
    <n v="2"/>
    <n v="2"/>
    <x v="1"/>
    <n v="0"/>
    <n v="1"/>
    <n v="1"/>
    <n v="0"/>
    <n v="1"/>
    <n v="1"/>
    <n v="1"/>
    <n v="0"/>
    <n v="13.865068763274337"/>
    <n v="0.47768646434409739"/>
    <x v="0"/>
    <n v="0"/>
  </r>
  <r>
    <x v="718"/>
    <x v="28"/>
    <x v="2"/>
    <n v="248"/>
    <x v="1"/>
    <n v="23"/>
    <n v="2"/>
    <x v="0"/>
    <n v="4"/>
    <x v="1"/>
    <n v="42"/>
    <n v="3"/>
    <n v="2"/>
    <x v="2"/>
    <n v="1"/>
    <x v="1"/>
    <x v="683"/>
    <n v="14039"/>
    <n v="1"/>
    <x v="0"/>
    <n v="0.15"/>
    <n v="3"/>
    <n v="3"/>
    <n v="1"/>
    <n v="9"/>
    <n v="2"/>
    <n v="3"/>
    <x v="7"/>
    <n v="8"/>
    <n v="0"/>
    <n v="8"/>
    <x v="1"/>
    <n v="1"/>
    <n v="0"/>
    <n v="1"/>
    <n v="1"/>
    <n v="1"/>
    <n v="1"/>
    <n v="1"/>
    <n v="0"/>
    <n v="23.865068763274337"/>
    <n v="0.82221159616990469"/>
    <x v="3"/>
    <n v="5449.5"/>
  </r>
  <r>
    <x v="719"/>
    <x v="40"/>
    <x v="0"/>
    <n v="955"/>
    <x v="0"/>
    <n v="4"/>
    <n v="2"/>
    <x v="0"/>
    <n v="4"/>
    <x v="0"/>
    <n v="83"/>
    <n v="3"/>
    <n v="2"/>
    <x v="0"/>
    <n v="4"/>
    <x v="0"/>
    <x v="684"/>
    <n v="8571"/>
    <n v="1"/>
    <x v="0"/>
    <n v="0.17"/>
    <n v="3"/>
    <n v="3"/>
    <n v="0"/>
    <n v="9"/>
    <n v="0"/>
    <n v="3"/>
    <x v="7"/>
    <n v="0"/>
    <n v="0"/>
    <n v="7"/>
    <x v="1"/>
    <n v="0"/>
    <n v="1"/>
    <n v="0"/>
    <n v="1"/>
    <n v="0"/>
    <n v="0"/>
    <n v="1"/>
    <n v="0"/>
    <n v="16.494428937420828"/>
    <n v="0.56827453040563214"/>
    <x v="1"/>
    <n v="6244.5"/>
  </r>
  <r>
    <x v="720"/>
    <x v="7"/>
    <x v="0"/>
    <n v="138"/>
    <x v="1"/>
    <n v="22"/>
    <n v="3"/>
    <x v="0"/>
    <n v="1"/>
    <x v="0"/>
    <n v="48"/>
    <n v="3"/>
    <n v="1"/>
    <x v="1"/>
    <n v="3"/>
    <x v="1"/>
    <x v="685"/>
    <n v="11539"/>
    <n v="4"/>
    <x v="0"/>
    <n v="0.11"/>
    <n v="3"/>
    <n v="2"/>
    <n v="0"/>
    <n v="7"/>
    <n v="2"/>
    <n v="3"/>
    <x v="8"/>
    <n v="2"/>
    <n v="0"/>
    <n v="1"/>
    <x v="0"/>
    <n v="0"/>
    <n v="1"/>
    <n v="1"/>
    <n v="1"/>
    <n v="1"/>
    <n v="0"/>
    <n v="1"/>
    <n v="0"/>
    <n v="19.660535633296206"/>
    <n v="0.67735486308273574"/>
    <x v="1"/>
    <n v="3198"/>
  </r>
  <r>
    <x v="721"/>
    <x v="24"/>
    <x v="0"/>
    <n v="939"/>
    <x v="1"/>
    <n v="24"/>
    <n v="3"/>
    <x v="0"/>
    <n v="4"/>
    <x v="1"/>
    <n v="95"/>
    <n v="3"/>
    <n v="4"/>
    <x v="3"/>
    <n v="3"/>
    <x v="1"/>
    <x v="686"/>
    <n v="4161"/>
    <n v="3"/>
    <x v="0"/>
    <n v="0.18"/>
    <n v="3"/>
    <n v="4"/>
    <n v="1"/>
    <n v="22"/>
    <n v="2"/>
    <n v="3"/>
    <x v="12"/>
    <n v="11"/>
    <n v="1"/>
    <n v="5"/>
    <x v="1"/>
    <n v="1"/>
    <n v="1"/>
    <n v="1"/>
    <n v="1"/>
    <n v="1"/>
    <n v="0"/>
    <n v="0"/>
    <n v="0"/>
    <n v="13.166106695875378"/>
    <n v="0.45360546450291089"/>
    <x v="0"/>
    <n v="0"/>
  </r>
  <r>
    <x v="722"/>
    <x v="8"/>
    <x v="1"/>
    <n v="1391"/>
    <x v="1"/>
    <n v="10"/>
    <n v="1"/>
    <x v="2"/>
    <n v="3"/>
    <x v="1"/>
    <n v="66"/>
    <n v="3"/>
    <n v="1"/>
    <x v="1"/>
    <n v="3"/>
    <x v="1"/>
    <x v="687"/>
    <n v="12127"/>
    <n v="0"/>
    <x v="1"/>
    <n v="0.17"/>
    <n v="3"/>
    <n v="2"/>
    <n v="1"/>
    <n v="3"/>
    <n v="0"/>
    <n v="2"/>
    <x v="4"/>
    <n v="1"/>
    <n v="0"/>
    <n v="2"/>
    <x v="1"/>
    <n v="1"/>
    <n v="2"/>
    <n v="1"/>
    <n v="0"/>
    <n v="0"/>
    <n v="0"/>
    <n v="1"/>
    <n v="1"/>
    <n v="11.654818917911005"/>
    <n v="0.40153780240992015"/>
    <x v="0"/>
    <n v="0"/>
  </r>
  <r>
    <x v="723"/>
    <x v="21"/>
    <x v="0"/>
    <n v="566"/>
    <x v="1"/>
    <n v="7"/>
    <n v="2"/>
    <x v="2"/>
    <n v="4"/>
    <x v="1"/>
    <n v="75"/>
    <n v="3"/>
    <n v="3"/>
    <x v="3"/>
    <n v="3"/>
    <x v="2"/>
    <x v="688"/>
    <n v="24208"/>
    <n v="6"/>
    <x v="1"/>
    <n v="0.13"/>
    <n v="3"/>
    <n v="2"/>
    <n v="1"/>
    <n v="13"/>
    <n v="3"/>
    <n v="3"/>
    <x v="3"/>
    <n v="7"/>
    <n v="0"/>
    <n v="7"/>
    <x v="1"/>
    <n v="1"/>
    <n v="1"/>
    <n v="2"/>
    <n v="0"/>
    <n v="0"/>
    <n v="0"/>
    <n v="0"/>
    <n v="0"/>
    <n v="0"/>
    <n v="0"/>
    <x v="2"/>
    <n v="0"/>
  </r>
  <r>
    <x v="724"/>
    <x v="17"/>
    <x v="0"/>
    <n v="1206"/>
    <x v="1"/>
    <n v="17"/>
    <n v="1"/>
    <x v="2"/>
    <n v="4"/>
    <x v="0"/>
    <n v="41"/>
    <n v="2"/>
    <n v="2"/>
    <x v="3"/>
    <n v="3"/>
    <x v="2"/>
    <x v="689"/>
    <n v="24117"/>
    <n v="1"/>
    <x v="1"/>
    <n v="0.15"/>
    <n v="3"/>
    <n v="2"/>
    <n v="2"/>
    <n v="5"/>
    <n v="6"/>
    <n v="3"/>
    <x v="9"/>
    <n v="2"/>
    <n v="3"/>
    <n v="2"/>
    <x v="1"/>
    <n v="0"/>
    <n v="1"/>
    <n v="2"/>
    <n v="0"/>
    <n v="1"/>
    <n v="0"/>
    <n v="1"/>
    <n v="0"/>
    <n v="9.660535633296206"/>
    <n v="0.33282973125692844"/>
    <x v="0"/>
    <n v="0"/>
  </r>
  <r>
    <x v="725"/>
    <x v="10"/>
    <x v="0"/>
    <n v="622"/>
    <x v="1"/>
    <n v="14"/>
    <n v="4"/>
    <x v="1"/>
    <n v="3"/>
    <x v="1"/>
    <n v="39"/>
    <n v="2"/>
    <n v="1"/>
    <x v="2"/>
    <n v="2"/>
    <x v="2"/>
    <x v="690"/>
    <n v="10074"/>
    <n v="1"/>
    <x v="0"/>
    <n v="0.24"/>
    <n v="4"/>
    <n v="4"/>
    <n v="1"/>
    <n v="5"/>
    <n v="2"/>
    <n v="1"/>
    <x v="9"/>
    <n v="2"/>
    <n v="0"/>
    <n v="2"/>
    <x v="0"/>
    <n v="1"/>
    <n v="1"/>
    <n v="2"/>
    <n v="1"/>
    <n v="0"/>
    <n v="1"/>
    <n v="1"/>
    <n v="0"/>
    <n v="20.698962067398959"/>
    <n v="0.71313126349280109"/>
    <x v="1"/>
    <n v="5614.5"/>
  </r>
  <r>
    <x v="726"/>
    <x v="12"/>
    <x v="1"/>
    <n v="853"/>
    <x v="1"/>
    <n v="1"/>
    <n v="1"/>
    <x v="0"/>
    <n v="3"/>
    <x v="0"/>
    <n v="96"/>
    <n v="3"/>
    <n v="2"/>
    <x v="3"/>
    <n v="1"/>
    <x v="1"/>
    <x v="691"/>
    <n v="11275"/>
    <n v="1"/>
    <x v="1"/>
    <n v="0.12"/>
    <n v="3"/>
    <n v="3"/>
    <n v="1"/>
    <n v="4"/>
    <n v="1"/>
    <n v="3"/>
    <x v="9"/>
    <n v="3"/>
    <n v="0"/>
    <n v="3"/>
    <x v="1"/>
    <n v="0"/>
    <n v="2"/>
    <n v="1"/>
    <n v="0"/>
    <n v="0"/>
    <n v="1"/>
    <n v="1"/>
    <n v="1"/>
    <n v="15.859352047889136"/>
    <n v="0.54639453549708916"/>
    <x v="1"/>
    <n v="6222"/>
  </r>
  <r>
    <x v="727"/>
    <x v="41"/>
    <x v="2"/>
    <n v="287"/>
    <x v="1"/>
    <n v="5"/>
    <n v="2"/>
    <x v="0"/>
    <n v="2"/>
    <x v="1"/>
    <n v="73"/>
    <n v="3"/>
    <n v="1"/>
    <x v="1"/>
    <n v="4"/>
    <x v="0"/>
    <x v="692"/>
    <n v="13493"/>
    <n v="1"/>
    <x v="1"/>
    <n v="0.15"/>
    <n v="3"/>
    <n v="4"/>
    <n v="0"/>
    <n v="0"/>
    <n v="2"/>
    <n v="3"/>
    <x v="2"/>
    <n v="0"/>
    <n v="0"/>
    <n v="0"/>
    <x v="1"/>
    <n v="1"/>
    <n v="0"/>
    <n v="0"/>
    <n v="0"/>
    <n v="0"/>
    <n v="0"/>
    <n v="1"/>
    <n v="0"/>
    <n v="6.4944289374208282"/>
    <n v="0.22374939857982484"/>
    <x v="2"/>
    <n v="0"/>
  </r>
  <r>
    <x v="728"/>
    <x v="33"/>
    <x v="0"/>
    <n v="1441"/>
    <x v="1"/>
    <n v="17"/>
    <n v="3"/>
    <x v="4"/>
    <n v="3"/>
    <x v="0"/>
    <n v="56"/>
    <n v="3"/>
    <n v="3"/>
    <x v="3"/>
    <n v="3"/>
    <x v="1"/>
    <x v="693"/>
    <n v="13943"/>
    <n v="8"/>
    <x v="1"/>
    <n v="0.11"/>
    <n v="3"/>
    <n v="3"/>
    <n v="1"/>
    <n v="22"/>
    <n v="2"/>
    <n v="3"/>
    <x v="1"/>
    <n v="7"/>
    <n v="0"/>
    <n v="8"/>
    <x v="1"/>
    <n v="0"/>
    <n v="1"/>
    <n v="1"/>
    <n v="0"/>
    <n v="1"/>
    <n v="0"/>
    <n v="0"/>
    <n v="0"/>
    <n v="3.1661066958753779"/>
    <n v="0.10908033267710357"/>
    <x v="2"/>
    <n v="0"/>
  </r>
  <r>
    <x v="729"/>
    <x v="10"/>
    <x v="0"/>
    <n v="583"/>
    <x v="1"/>
    <n v="25"/>
    <n v="4"/>
    <x v="2"/>
    <n v="3"/>
    <x v="0"/>
    <n v="57"/>
    <n v="3"/>
    <n v="3"/>
    <x v="4"/>
    <n v="3"/>
    <x v="2"/>
    <x v="694"/>
    <n v="6975"/>
    <n v="1"/>
    <x v="0"/>
    <n v="0.11"/>
    <n v="3"/>
    <n v="3"/>
    <n v="1"/>
    <n v="16"/>
    <n v="3"/>
    <n v="2"/>
    <x v="22"/>
    <n v="10"/>
    <n v="10"/>
    <n v="1"/>
    <x v="1"/>
    <n v="0"/>
    <n v="1"/>
    <n v="2"/>
    <n v="1"/>
    <n v="1"/>
    <n v="0"/>
    <n v="0"/>
    <n v="0"/>
    <n v="13.166106695875378"/>
    <n v="0.45360546450291089"/>
    <x v="0"/>
    <n v="0"/>
  </r>
  <r>
    <x v="730"/>
    <x v="7"/>
    <x v="0"/>
    <n v="153"/>
    <x v="1"/>
    <n v="8"/>
    <n v="2"/>
    <x v="0"/>
    <n v="2"/>
    <x v="0"/>
    <n v="73"/>
    <n v="4"/>
    <n v="3"/>
    <x v="7"/>
    <n v="1"/>
    <x v="1"/>
    <x v="695"/>
    <n v="17802"/>
    <n v="0"/>
    <x v="0"/>
    <n v="0.12"/>
    <n v="3"/>
    <n v="3"/>
    <n v="3"/>
    <n v="9"/>
    <n v="4"/>
    <n v="2"/>
    <x v="3"/>
    <n v="7"/>
    <n v="1"/>
    <n v="7"/>
    <x v="1"/>
    <n v="0"/>
    <n v="1"/>
    <n v="1"/>
    <n v="1"/>
    <n v="0"/>
    <n v="1"/>
    <n v="0"/>
    <n v="0"/>
    <n v="14.204533129978131"/>
    <n v="0.48938186491297625"/>
    <x v="0"/>
    <n v="0"/>
  </r>
  <r>
    <x v="731"/>
    <x v="35"/>
    <x v="0"/>
    <n v="1097"/>
    <x v="1"/>
    <n v="11"/>
    <n v="3"/>
    <x v="2"/>
    <n v="4"/>
    <x v="0"/>
    <n v="98"/>
    <n v="2"/>
    <n v="1"/>
    <x v="1"/>
    <n v="1"/>
    <x v="0"/>
    <x v="696"/>
    <n v="18275"/>
    <n v="1"/>
    <x v="0"/>
    <n v="0.15"/>
    <n v="3"/>
    <n v="1"/>
    <n v="0"/>
    <n v="1"/>
    <n v="2"/>
    <n v="3"/>
    <x v="6"/>
    <n v="0"/>
    <n v="0"/>
    <n v="0"/>
    <x v="0"/>
    <n v="0"/>
    <n v="1"/>
    <n v="0"/>
    <n v="1"/>
    <n v="0"/>
    <n v="1"/>
    <n v="1"/>
    <n v="0"/>
    <n v="20.698962067398959"/>
    <n v="0.71313126349280109"/>
    <x v="1"/>
    <n v="3900"/>
  </r>
  <r>
    <x v="732"/>
    <x v="7"/>
    <x v="1"/>
    <n v="109"/>
    <x v="1"/>
    <n v="5"/>
    <n v="3"/>
    <x v="2"/>
    <n v="2"/>
    <x v="0"/>
    <n v="60"/>
    <n v="3"/>
    <n v="1"/>
    <x v="2"/>
    <n v="2"/>
    <x v="0"/>
    <x v="697"/>
    <n v="25725"/>
    <n v="0"/>
    <x v="1"/>
    <n v="0.17"/>
    <n v="3"/>
    <n v="1"/>
    <n v="0"/>
    <n v="4"/>
    <n v="3"/>
    <n v="3"/>
    <x v="11"/>
    <n v="2"/>
    <n v="1"/>
    <n v="2"/>
    <x v="0"/>
    <n v="0"/>
    <n v="2"/>
    <n v="0"/>
    <n v="0"/>
    <n v="0"/>
    <n v="1"/>
    <n v="1"/>
    <n v="1"/>
    <n v="15.859352047889136"/>
    <n v="0.54639453549708916"/>
    <x v="1"/>
    <n v="3633"/>
  </r>
  <r>
    <x v="733"/>
    <x v="25"/>
    <x v="0"/>
    <n v="1066"/>
    <x v="1"/>
    <n v="2"/>
    <n v="2"/>
    <x v="2"/>
    <n v="4"/>
    <x v="1"/>
    <n v="32"/>
    <n v="4"/>
    <n v="2"/>
    <x v="3"/>
    <n v="4"/>
    <x v="1"/>
    <x v="698"/>
    <n v="3334"/>
    <n v="1"/>
    <x v="1"/>
    <n v="0.12"/>
    <n v="3"/>
    <n v="2"/>
    <n v="0"/>
    <n v="8"/>
    <n v="2"/>
    <n v="3"/>
    <x v="3"/>
    <n v="7"/>
    <n v="1"/>
    <n v="3"/>
    <x v="1"/>
    <n v="1"/>
    <n v="1"/>
    <n v="1"/>
    <n v="0"/>
    <n v="0"/>
    <n v="0"/>
    <n v="0"/>
    <n v="0"/>
    <n v="0"/>
    <n v="0"/>
    <x v="2"/>
    <n v="0"/>
  </r>
  <r>
    <x v="734"/>
    <x v="15"/>
    <x v="0"/>
    <n v="217"/>
    <x v="1"/>
    <n v="8"/>
    <n v="1"/>
    <x v="0"/>
    <n v="2"/>
    <x v="1"/>
    <n v="94"/>
    <n v="1"/>
    <n v="1"/>
    <x v="2"/>
    <n v="1"/>
    <x v="1"/>
    <x v="163"/>
    <n v="6881"/>
    <n v="1"/>
    <x v="1"/>
    <n v="0.15"/>
    <n v="3"/>
    <n v="1"/>
    <n v="1"/>
    <n v="4"/>
    <n v="3"/>
    <n v="2"/>
    <x v="9"/>
    <n v="3"/>
    <n v="1"/>
    <n v="1"/>
    <x v="1"/>
    <n v="1"/>
    <n v="1"/>
    <n v="1"/>
    <n v="0"/>
    <n v="0"/>
    <n v="1"/>
    <n v="1"/>
    <n v="0"/>
    <n v="10.698962067398959"/>
    <n v="0.3686061316669938"/>
    <x v="0"/>
    <n v="0"/>
  </r>
  <r>
    <x v="735"/>
    <x v="26"/>
    <x v="0"/>
    <n v="277"/>
    <x v="1"/>
    <n v="6"/>
    <n v="3"/>
    <x v="0"/>
    <n v="1"/>
    <x v="1"/>
    <n v="97"/>
    <n v="2"/>
    <n v="2"/>
    <x v="4"/>
    <n v="3"/>
    <x v="0"/>
    <x v="699"/>
    <n v="13119"/>
    <n v="2"/>
    <x v="1"/>
    <n v="0.13"/>
    <n v="3"/>
    <n v="4"/>
    <n v="0"/>
    <n v="19"/>
    <n v="0"/>
    <n v="3"/>
    <x v="4"/>
    <n v="2"/>
    <n v="2"/>
    <n v="2"/>
    <x v="1"/>
    <n v="1"/>
    <n v="1"/>
    <n v="0"/>
    <n v="0"/>
    <n v="0"/>
    <n v="0"/>
    <n v="1"/>
    <n v="0"/>
    <n v="6.4944289374208282"/>
    <n v="0.22374939857982484"/>
    <x v="2"/>
    <n v="0"/>
  </r>
  <r>
    <x v="736"/>
    <x v="26"/>
    <x v="0"/>
    <n v="1355"/>
    <x v="1"/>
    <n v="4"/>
    <n v="4"/>
    <x v="0"/>
    <n v="3"/>
    <x v="1"/>
    <n v="78"/>
    <n v="2"/>
    <n v="3"/>
    <x v="4"/>
    <n v="3"/>
    <x v="0"/>
    <x v="700"/>
    <n v="22245"/>
    <n v="7"/>
    <x v="1"/>
    <n v="0.14000000000000001"/>
    <n v="3"/>
    <n v="2"/>
    <n v="0"/>
    <n v="27"/>
    <n v="3"/>
    <n v="3"/>
    <x v="15"/>
    <n v="11"/>
    <n v="4"/>
    <n v="8"/>
    <x v="1"/>
    <n v="1"/>
    <n v="1"/>
    <n v="0"/>
    <n v="0"/>
    <n v="0"/>
    <n v="0"/>
    <n v="0"/>
    <n v="0"/>
    <n v="0"/>
    <n v="0"/>
    <x v="2"/>
    <n v="0"/>
  </r>
  <r>
    <x v="737"/>
    <x v="0"/>
    <x v="0"/>
    <n v="549"/>
    <x v="1"/>
    <n v="7"/>
    <n v="2"/>
    <x v="2"/>
    <n v="4"/>
    <x v="0"/>
    <n v="42"/>
    <n v="3"/>
    <n v="2"/>
    <x v="3"/>
    <n v="3"/>
    <x v="0"/>
    <x v="701"/>
    <n v="23371"/>
    <n v="6"/>
    <x v="1"/>
    <n v="0.14000000000000001"/>
    <n v="3"/>
    <n v="2"/>
    <n v="0"/>
    <n v="8"/>
    <n v="6"/>
    <n v="3"/>
    <x v="4"/>
    <n v="2"/>
    <n v="2"/>
    <n v="1"/>
    <x v="1"/>
    <n v="0"/>
    <n v="1"/>
    <n v="0"/>
    <n v="0"/>
    <n v="0"/>
    <n v="0"/>
    <n v="0"/>
    <n v="0"/>
    <n v="0"/>
    <n v="0"/>
    <x v="2"/>
    <n v="0"/>
  </r>
  <r>
    <x v="738"/>
    <x v="22"/>
    <x v="0"/>
    <n v="466"/>
    <x v="1"/>
    <n v="1"/>
    <n v="1"/>
    <x v="0"/>
    <n v="4"/>
    <x v="0"/>
    <n v="65"/>
    <n v="2"/>
    <n v="4"/>
    <x v="3"/>
    <n v="4"/>
    <x v="1"/>
    <x v="702"/>
    <n v="7060"/>
    <n v="1"/>
    <x v="1"/>
    <n v="0.16"/>
    <n v="3"/>
    <n v="3"/>
    <n v="1"/>
    <n v="21"/>
    <n v="3"/>
    <n v="3"/>
    <x v="17"/>
    <n v="6"/>
    <n v="11"/>
    <n v="8"/>
    <x v="1"/>
    <n v="0"/>
    <n v="1"/>
    <n v="1"/>
    <n v="0"/>
    <n v="0"/>
    <n v="0"/>
    <n v="0"/>
    <n v="0"/>
    <n v="0"/>
    <n v="0"/>
    <x v="2"/>
    <n v="0"/>
  </r>
  <r>
    <x v="739"/>
    <x v="4"/>
    <x v="0"/>
    <n v="1055"/>
    <x v="1"/>
    <n v="2"/>
    <n v="4"/>
    <x v="0"/>
    <n v="1"/>
    <x v="0"/>
    <n v="47"/>
    <n v="3"/>
    <n v="2"/>
    <x v="3"/>
    <n v="4"/>
    <x v="1"/>
    <x v="703"/>
    <n v="4658"/>
    <n v="0"/>
    <x v="1"/>
    <n v="0.18"/>
    <n v="3"/>
    <n v="2"/>
    <n v="1"/>
    <n v="4"/>
    <n v="2"/>
    <n v="3"/>
    <x v="11"/>
    <n v="2"/>
    <n v="2"/>
    <n v="2"/>
    <x v="1"/>
    <n v="0"/>
    <n v="1"/>
    <n v="1"/>
    <n v="0"/>
    <n v="0"/>
    <n v="0"/>
    <n v="1"/>
    <n v="0"/>
    <n v="6.4944289374208282"/>
    <n v="0.22374939857982484"/>
    <x v="2"/>
    <n v="0"/>
  </r>
  <r>
    <x v="740"/>
    <x v="10"/>
    <x v="0"/>
    <n v="802"/>
    <x v="1"/>
    <n v="10"/>
    <n v="3"/>
    <x v="1"/>
    <n v="2"/>
    <x v="1"/>
    <n v="45"/>
    <n v="3"/>
    <n v="1"/>
    <x v="2"/>
    <n v="4"/>
    <x v="2"/>
    <x v="704"/>
    <n v="9541"/>
    <n v="1"/>
    <x v="1"/>
    <n v="0.2"/>
    <n v="4"/>
    <n v="1"/>
    <n v="1"/>
    <n v="3"/>
    <n v="4"/>
    <n v="2"/>
    <x v="11"/>
    <n v="2"/>
    <n v="1"/>
    <n v="2"/>
    <x v="1"/>
    <n v="1"/>
    <n v="1"/>
    <n v="2"/>
    <n v="0"/>
    <n v="0"/>
    <n v="0"/>
    <n v="1"/>
    <n v="0"/>
    <n v="6.4944289374208282"/>
    <n v="0.22374939857982484"/>
    <x v="2"/>
    <n v="0"/>
  </r>
  <r>
    <x v="741"/>
    <x v="19"/>
    <x v="0"/>
    <n v="265"/>
    <x v="0"/>
    <n v="5"/>
    <n v="2"/>
    <x v="3"/>
    <n v="4"/>
    <x v="1"/>
    <n v="90"/>
    <n v="3"/>
    <n v="5"/>
    <x v="5"/>
    <n v="3"/>
    <x v="1"/>
    <x v="705"/>
    <n v="7770"/>
    <n v="6"/>
    <x v="1"/>
    <n v="0.13"/>
    <n v="3"/>
    <n v="2"/>
    <n v="0"/>
    <n v="21"/>
    <n v="3"/>
    <n v="4"/>
    <x v="6"/>
    <n v="0"/>
    <n v="0"/>
    <n v="0"/>
    <x v="1"/>
    <n v="1"/>
    <n v="1"/>
    <n v="1"/>
    <n v="0"/>
    <n v="0"/>
    <n v="0"/>
    <n v="0"/>
    <n v="0"/>
    <n v="0"/>
    <n v="0"/>
    <x v="2"/>
    <n v="0"/>
  </r>
  <r>
    <x v="742"/>
    <x v="24"/>
    <x v="0"/>
    <n v="804"/>
    <x v="1"/>
    <n v="9"/>
    <n v="3"/>
    <x v="0"/>
    <n v="1"/>
    <x v="1"/>
    <n v="64"/>
    <n v="3"/>
    <n v="1"/>
    <x v="2"/>
    <n v="4"/>
    <x v="1"/>
    <x v="631"/>
    <n v="20165"/>
    <n v="4"/>
    <x v="1"/>
    <n v="0.18"/>
    <n v="3"/>
    <n v="2"/>
    <n v="0"/>
    <n v="8"/>
    <n v="5"/>
    <n v="3"/>
    <x v="6"/>
    <n v="0"/>
    <n v="0"/>
    <n v="0"/>
    <x v="1"/>
    <n v="1"/>
    <n v="1"/>
    <n v="1"/>
    <n v="0"/>
    <n v="0"/>
    <n v="0"/>
    <n v="1"/>
    <n v="0"/>
    <n v="6.4944289374208282"/>
    <n v="0.22374939857982484"/>
    <x v="2"/>
    <n v="0"/>
  </r>
  <r>
    <x v="743"/>
    <x v="6"/>
    <x v="0"/>
    <n v="715"/>
    <x v="1"/>
    <n v="2"/>
    <n v="3"/>
    <x v="0"/>
    <n v="3"/>
    <x v="0"/>
    <n v="69"/>
    <n v="2"/>
    <n v="4"/>
    <x v="3"/>
    <n v="4"/>
    <x v="0"/>
    <x v="706"/>
    <n v="21829"/>
    <n v="3"/>
    <x v="0"/>
    <n v="0.13"/>
    <n v="3"/>
    <n v="1"/>
    <n v="0"/>
    <n v="30"/>
    <n v="4"/>
    <n v="3"/>
    <x v="8"/>
    <n v="3"/>
    <n v="4"/>
    <n v="3"/>
    <x v="1"/>
    <n v="0"/>
    <n v="1"/>
    <n v="0"/>
    <n v="1"/>
    <n v="0"/>
    <n v="0"/>
    <n v="0"/>
    <n v="0"/>
    <n v="10"/>
    <n v="0.3445251318258073"/>
    <x v="0"/>
    <n v="0"/>
  </r>
  <r>
    <x v="744"/>
    <x v="2"/>
    <x v="0"/>
    <n v="1141"/>
    <x v="1"/>
    <n v="11"/>
    <n v="2"/>
    <x v="2"/>
    <n v="1"/>
    <x v="0"/>
    <n v="61"/>
    <n v="1"/>
    <n v="2"/>
    <x v="4"/>
    <n v="2"/>
    <x v="1"/>
    <x v="707"/>
    <n v="14382"/>
    <n v="5"/>
    <x v="1"/>
    <n v="0.15"/>
    <n v="3"/>
    <n v="1"/>
    <n v="0"/>
    <n v="15"/>
    <n v="2"/>
    <n v="1"/>
    <x v="6"/>
    <n v="0"/>
    <n v="0"/>
    <n v="0"/>
    <x v="0"/>
    <n v="0"/>
    <n v="1"/>
    <n v="1"/>
    <n v="0"/>
    <n v="0"/>
    <n v="1"/>
    <n v="1"/>
    <n v="0"/>
    <n v="10.698962067398959"/>
    <n v="0.3686061316669938"/>
    <x v="0"/>
    <n v="0"/>
  </r>
  <r>
    <x v="745"/>
    <x v="27"/>
    <x v="1"/>
    <n v="135"/>
    <x v="1"/>
    <n v="18"/>
    <n v="4"/>
    <x v="2"/>
    <n v="3"/>
    <x v="1"/>
    <n v="62"/>
    <n v="3"/>
    <n v="2"/>
    <x v="4"/>
    <n v="2"/>
    <x v="1"/>
    <x v="708"/>
    <n v="12992"/>
    <n v="3"/>
    <x v="0"/>
    <n v="0.14000000000000001"/>
    <n v="3"/>
    <n v="4"/>
    <n v="2"/>
    <n v="17"/>
    <n v="3"/>
    <n v="3"/>
    <x v="3"/>
    <n v="7"/>
    <n v="6"/>
    <n v="7"/>
    <x v="1"/>
    <n v="1"/>
    <n v="2"/>
    <n v="1"/>
    <n v="1"/>
    <n v="1"/>
    <n v="1"/>
    <n v="0"/>
    <n v="1"/>
    <n v="22.531029806343685"/>
    <n v="0.77625060142017521"/>
    <x v="3"/>
    <n v="9577.5"/>
  </r>
  <r>
    <x v="746"/>
    <x v="0"/>
    <x v="2"/>
    <n v="247"/>
    <x v="1"/>
    <n v="7"/>
    <n v="1"/>
    <x v="0"/>
    <n v="2"/>
    <x v="0"/>
    <n v="55"/>
    <n v="1"/>
    <n v="5"/>
    <x v="7"/>
    <n v="3"/>
    <x v="2"/>
    <x v="709"/>
    <n v="20284"/>
    <n v="1"/>
    <x v="1"/>
    <n v="0.22"/>
    <n v="4"/>
    <n v="2"/>
    <n v="2"/>
    <n v="21"/>
    <n v="3"/>
    <n v="3"/>
    <x v="17"/>
    <n v="16"/>
    <n v="5"/>
    <n v="10"/>
    <x v="1"/>
    <n v="0"/>
    <n v="0"/>
    <n v="2"/>
    <n v="0"/>
    <n v="0"/>
    <n v="0"/>
    <n v="0"/>
    <n v="0"/>
    <n v="0"/>
    <n v="0"/>
    <x v="2"/>
    <n v="0"/>
  </r>
  <r>
    <x v="747"/>
    <x v="8"/>
    <x v="0"/>
    <n v="1035"/>
    <x v="0"/>
    <n v="3"/>
    <n v="4"/>
    <x v="0"/>
    <n v="2"/>
    <x v="1"/>
    <n v="42"/>
    <n v="3"/>
    <n v="2"/>
    <x v="0"/>
    <n v="4"/>
    <x v="0"/>
    <x v="710"/>
    <n v="4981"/>
    <n v="8"/>
    <x v="0"/>
    <n v="0.12"/>
    <n v="3"/>
    <n v="3"/>
    <n v="0"/>
    <n v="19"/>
    <n v="1"/>
    <n v="3"/>
    <x v="6"/>
    <n v="0"/>
    <n v="0"/>
    <n v="0"/>
    <x v="1"/>
    <n v="1"/>
    <n v="1"/>
    <n v="0"/>
    <n v="1"/>
    <n v="0"/>
    <n v="0"/>
    <n v="0"/>
    <n v="0"/>
    <n v="10"/>
    <n v="0.3445251318258073"/>
    <x v="0"/>
    <n v="0"/>
  </r>
  <r>
    <x v="748"/>
    <x v="25"/>
    <x v="2"/>
    <n v="265"/>
    <x v="0"/>
    <n v="29"/>
    <n v="2"/>
    <x v="2"/>
    <n v="2"/>
    <x v="1"/>
    <n v="79"/>
    <n v="1"/>
    <n v="2"/>
    <x v="0"/>
    <n v="1"/>
    <x v="0"/>
    <x v="711"/>
    <n v="21813"/>
    <n v="8"/>
    <x v="1"/>
    <n v="0.18"/>
    <n v="3"/>
    <n v="4"/>
    <n v="0"/>
    <n v="7"/>
    <n v="6"/>
    <n v="3"/>
    <x v="4"/>
    <n v="2"/>
    <n v="2"/>
    <n v="2"/>
    <x v="0"/>
    <n v="1"/>
    <n v="0"/>
    <n v="0"/>
    <n v="0"/>
    <n v="1"/>
    <n v="1"/>
    <n v="0"/>
    <n v="0"/>
    <n v="7.3706398258535089"/>
    <n v="0.25393706576427255"/>
    <x v="0"/>
    <n v="0"/>
  </r>
  <r>
    <x v="749"/>
    <x v="39"/>
    <x v="0"/>
    <n v="266"/>
    <x v="0"/>
    <n v="2"/>
    <n v="1"/>
    <x v="3"/>
    <n v="1"/>
    <x v="0"/>
    <n v="57"/>
    <n v="1"/>
    <n v="5"/>
    <x v="5"/>
    <n v="4"/>
    <x v="1"/>
    <x v="712"/>
    <n v="25846"/>
    <n v="1"/>
    <x v="1"/>
    <n v="0.15"/>
    <n v="3"/>
    <n v="4"/>
    <n v="1"/>
    <n v="33"/>
    <n v="3"/>
    <n v="3"/>
    <x v="32"/>
    <n v="14"/>
    <n v="6"/>
    <n v="9"/>
    <x v="0"/>
    <n v="0"/>
    <n v="1"/>
    <n v="1"/>
    <n v="0"/>
    <n v="0"/>
    <n v="0"/>
    <n v="0"/>
    <n v="0"/>
    <n v="0"/>
    <n v="0"/>
    <x v="2"/>
    <n v="0"/>
  </r>
  <r>
    <x v="750"/>
    <x v="20"/>
    <x v="0"/>
    <n v="1448"/>
    <x v="0"/>
    <n v="28"/>
    <n v="3"/>
    <x v="2"/>
    <n v="4"/>
    <x v="0"/>
    <n v="53"/>
    <n v="4"/>
    <n v="4"/>
    <x v="0"/>
    <n v="4"/>
    <x v="1"/>
    <x v="713"/>
    <n v="11737"/>
    <n v="3"/>
    <x v="0"/>
    <n v="0.18"/>
    <n v="3"/>
    <n v="3"/>
    <n v="1"/>
    <n v="23"/>
    <n v="2"/>
    <n v="3"/>
    <x v="12"/>
    <n v="11"/>
    <n v="11"/>
    <n v="11"/>
    <x v="1"/>
    <n v="0"/>
    <n v="1"/>
    <n v="1"/>
    <n v="1"/>
    <n v="1"/>
    <n v="0"/>
    <n v="0"/>
    <n v="0"/>
    <n v="13.166106695875378"/>
    <n v="0.45360546450291089"/>
    <x v="0"/>
    <n v="0"/>
  </r>
  <r>
    <x v="751"/>
    <x v="24"/>
    <x v="2"/>
    <n v="145"/>
    <x v="0"/>
    <n v="1"/>
    <n v="3"/>
    <x v="0"/>
    <n v="4"/>
    <x v="0"/>
    <n v="95"/>
    <n v="3"/>
    <n v="2"/>
    <x v="0"/>
    <n v="3"/>
    <x v="1"/>
    <x v="136"/>
    <n v="24920"/>
    <n v="0"/>
    <x v="1"/>
    <n v="0.12"/>
    <n v="3"/>
    <n v="1"/>
    <n v="1"/>
    <n v="19"/>
    <n v="3"/>
    <n v="3"/>
    <x v="29"/>
    <n v="7"/>
    <n v="0"/>
    <n v="13"/>
    <x v="1"/>
    <n v="0"/>
    <n v="0"/>
    <n v="1"/>
    <n v="0"/>
    <n v="0"/>
    <n v="0"/>
    <n v="0"/>
    <n v="0"/>
    <n v="0"/>
    <n v="0"/>
    <x v="2"/>
    <n v="0"/>
  </r>
  <r>
    <x v="752"/>
    <x v="9"/>
    <x v="0"/>
    <n v="885"/>
    <x v="1"/>
    <n v="16"/>
    <n v="4"/>
    <x v="0"/>
    <n v="3"/>
    <x v="0"/>
    <n v="43"/>
    <n v="4"/>
    <n v="1"/>
    <x v="2"/>
    <n v="1"/>
    <x v="0"/>
    <x v="714"/>
    <n v="8269"/>
    <n v="1"/>
    <x v="1"/>
    <n v="0.16"/>
    <n v="3"/>
    <n v="3"/>
    <n v="0"/>
    <n v="18"/>
    <n v="1"/>
    <n v="3"/>
    <x v="18"/>
    <n v="13"/>
    <n v="15"/>
    <n v="14"/>
    <x v="0"/>
    <n v="0"/>
    <n v="1"/>
    <n v="0"/>
    <n v="0"/>
    <n v="1"/>
    <n v="1"/>
    <n v="1"/>
    <n v="0"/>
    <n v="13.865068763274337"/>
    <n v="0.47768646434409739"/>
    <x v="0"/>
    <n v="0"/>
  </r>
  <r>
    <x v="753"/>
    <x v="22"/>
    <x v="1"/>
    <n v="945"/>
    <x v="1"/>
    <n v="22"/>
    <n v="3"/>
    <x v="2"/>
    <n v="4"/>
    <x v="0"/>
    <n v="82"/>
    <n v="3"/>
    <n v="3"/>
    <x v="3"/>
    <n v="1"/>
    <x v="0"/>
    <x v="715"/>
    <n v="5083"/>
    <n v="1"/>
    <x v="0"/>
    <n v="0.13"/>
    <n v="3"/>
    <n v="3"/>
    <n v="0"/>
    <n v="21"/>
    <n v="2"/>
    <n v="3"/>
    <x v="17"/>
    <n v="6"/>
    <n v="2"/>
    <n v="8"/>
    <x v="1"/>
    <n v="0"/>
    <n v="2"/>
    <n v="0"/>
    <n v="1"/>
    <n v="1"/>
    <n v="1"/>
    <n v="0"/>
    <n v="1"/>
    <n v="22.531029806343685"/>
    <n v="0.77625060142017521"/>
    <x v="3"/>
    <n v="16320"/>
  </r>
  <r>
    <x v="754"/>
    <x v="3"/>
    <x v="2"/>
    <n v="1038"/>
    <x v="0"/>
    <n v="8"/>
    <n v="1"/>
    <x v="0"/>
    <n v="2"/>
    <x v="0"/>
    <n v="88"/>
    <n v="2"/>
    <n v="1"/>
    <x v="6"/>
    <n v="4"/>
    <x v="0"/>
    <x v="531"/>
    <n v="21437"/>
    <n v="0"/>
    <x v="1"/>
    <n v="0.19"/>
    <n v="3"/>
    <n v="4"/>
    <n v="0"/>
    <n v="3"/>
    <n v="2"/>
    <n v="2"/>
    <x v="4"/>
    <n v="2"/>
    <n v="2"/>
    <n v="2"/>
    <x v="1"/>
    <n v="0"/>
    <n v="0"/>
    <n v="0"/>
    <n v="0"/>
    <n v="0"/>
    <n v="0"/>
    <n v="1"/>
    <n v="0"/>
    <n v="6.4944289374208282"/>
    <n v="0.22374939857982484"/>
    <x v="2"/>
    <n v="0"/>
  </r>
  <r>
    <x v="755"/>
    <x v="28"/>
    <x v="0"/>
    <n v="1234"/>
    <x v="0"/>
    <n v="11"/>
    <n v="2"/>
    <x v="0"/>
    <n v="4"/>
    <x v="0"/>
    <n v="90"/>
    <n v="3"/>
    <n v="4"/>
    <x v="5"/>
    <n v="4"/>
    <x v="1"/>
    <x v="716"/>
    <n v="5404"/>
    <n v="3"/>
    <x v="1"/>
    <n v="0.13"/>
    <n v="3"/>
    <n v="2"/>
    <n v="1"/>
    <n v="26"/>
    <n v="4"/>
    <n v="4"/>
    <x v="7"/>
    <n v="3"/>
    <n v="1"/>
    <n v="1"/>
    <x v="1"/>
    <n v="0"/>
    <n v="1"/>
    <n v="1"/>
    <n v="0"/>
    <n v="0"/>
    <n v="0"/>
    <n v="0"/>
    <n v="0"/>
    <n v="0"/>
    <n v="0"/>
    <x v="2"/>
    <n v="0"/>
  </r>
  <r>
    <x v="756"/>
    <x v="5"/>
    <x v="2"/>
    <n v="1109"/>
    <x v="1"/>
    <n v="29"/>
    <n v="4"/>
    <x v="2"/>
    <n v="4"/>
    <x v="0"/>
    <n v="69"/>
    <n v="3"/>
    <n v="1"/>
    <x v="2"/>
    <n v="3"/>
    <x v="0"/>
    <x v="717"/>
    <n v="11135"/>
    <n v="9"/>
    <x v="1"/>
    <n v="0.12"/>
    <n v="3"/>
    <n v="2"/>
    <n v="0"/>
    <n v="10"/>
    <n v="2"/>
    <n v="3"/>
    <x v="3"/>
    <n v="7"/>
    <n v="7"/>
    <n v="7"/>
    <x v="1"/>
    <n v="0"/>
    <n v="0"/>
    <n v="0"/>
    <n v="0"/>
    <n v="1"/>
    <n v="0"/>
    <n v="1"/>
    <n v="0"/>
    <n v="9.660535633296206"/>
    <n v="0.33282973125692844"/>
    <x v="0"/>
    <n v="0"/>
  </r>
  <r>
    <x v="757"/>
    <x v="13"/>
    <x v="0"/>
    <n v="216"/>
    <x v="0"/>
    <n v="1"/>
    <n v="4"/>
    <x v="3"/>
    <n v="2"/>
    <x v="1"/>
    <n v="75"/>
    <n v="4"/>
    <n v="2"/>
    <x v="0"/>
    <n v="4"/>
    <x v="2"/>
    <x v="718"/>
    <n v="12278"/>
    <n v="0"/>
    <x v="1"/>
    <n v="0.11"/>
    <n v="3"/>
    <n v="4"/>
    <n v="1"/>
    <n v="16"/>
    <n v="2"/>
    <n v="2"/>
    <x v="15"/>
    <n v="1"/>
    <n v="0"/>
    <n v="9"/>
    <x v="1"/>
    <n v="1"/>
    <n v="1"/>
    <n v="2"/>
    <n v="0"/>
    <n v="0"/>
    <n v="0"/>
    <n v="0"/>
    <n v="0"/>
    <n v="0"/>
    <n v="0"/>
    <x v="2"/>
    <n v="0"/>
  </r>
  <r>
    <x v="758"/>
    <x v="6"/>
    <x v="0"/>
    <n v="1089"/>
    <x v="0"/>
    <n v="1"/>
    <n v="2"/>
    <x v="4"/>
    <n v="2"/>
    <x v="1"/>
    <n v="66"/>
    <n v="3"/>
    <n v="3"/>
    <x v="5"/>
    <n v="4"/>
    <x v="1"/>
    <x v="719"/>
    <n v="11038"/>
    <n v="3"/>
    <x v="0"/>
    <n v="0.14000000000000001"/>
    <n v="3"/>
    <n v="3"/>
    <n v="1"/>
    <n v="14"/>
    <n v="1"/>
    <n v="1"/>
    <x v="0"/>
    <n v="4"/>
    <n v="0"/>
    <n v="4"/>
    <x v="1"/>
    <n v="1"/>
    <n v="1"/>
    <n v="1"/>
    <n v="1"/>
    <n v="0"/>
    <n v="0"/>
    <n v="0"/>
    <n v="0"/>
    <n v="10"/>
    <n v="0.3445251318258073"/>
    <x v="0"/>
    <n v="0"/>
  </r>
  <r>
    <x v="759"/>
    <x v="28"/>
    <x v="0"/>
    <n v="788"/>
    <x v="2"/>
    <n v="24"/>
    <n v="4"/>
    <x v="2"/>
    <n v="2"/>
    <x v="1"/>
    <n v="36"/>
    <n v="3"/>
    <n v="1"/>
    <x v="8"/>
    <n v="2"/>
    <x v="0"/>
    <x v="221"/>
    <n v="8318"/>
    <n v="1"/>
    <x v="1"/>
    <n v="0.16"/>
    <n v="3"/>
    <n v="1"/>
    <n v="0"/>
    <n v="6"/>
    <n v="3"/>
    <n v="3"/>
    <x v="0"/>
    <n v="3"/>
    <n v="0"/>
    <n v="4"/>
    <x v="1"/>
    <n v="1"/>
    <n v="1"/>
    <n v="0"/>
    <n v="0"/>
    <n v="1"/>
    <n v="1"/>
    <n v="1"/>
    <n v="0"/>
    <n v="13.865068763274337"/>
    <n v="0.47768646434409739"/>
    <x v="0"/>
    <n v="0"/>
  </r>
  <r>
    <x v="760"/>
    <x v="16"/>
    <x v="1"/>
    <n v="124"/>
    <x v="0"/>
    <n v="2"/>
    <n v="3"/>
    <x v="3"/>
    <n v="3"/>
    <x v="0"/>
    <n v="38"/>
    <n v="2"/>
    <n v="3"/>
    <x v="0"/>
    <n v="2"/>
    <x v="1"/>
    <x v="720"/>
    <n v="23537"/>
    <n v="2"/>
    <x v="1"/>
    <n v="0.12"/>
    <n v="3"/>
    <n v="1"/>
    <n v="1"/>
    <n v="30"/>
    <n v="2"/>
    <n v="3"/>
    <x v="15"/>
    <n v="7"/>
    <n v="6"/>
    <n v="12"/>
    <x v="1"/>
    <n v="0"/>
    <n v="2"/>
    <n v="1"/>
    <n v="0"/>
    <n v="0"/>
    <n v="1"/>
    <n v="0"/>
    <n v="1"/>
    <n v="9.3649231104683075"/>
    <n v="0.32264513691726432"/>
    <x v="0"/>
    <n v="0"/>
  </r>
  <r>
    <x v="761"/>
    <x v="9"/>
    <x v="0"/>
    <n v="660"/>
    <x v="1"/>
    <n v="15"/>
    <n v="3"/>
    <x v="1"/>
    <n v="1"/>
    <x v="1"/>
    <n v="81"/>
    <n v="3"/>
    <n v="2"/>
    <x v="2"/>
    <n v="3"/>
    <x v="2"/>
    <x v="721"/>
    <n v="7858"/>
    <n v="7"/>
    <x v="1"/>
    <n v="0.14000000000000001"/>
    <n v="3"/>
    <n v="2"/>
    <n v="1"/>
    <n v="9"/>
    <n v="3"/>
    <n v="2"/>
    <x v="6"/>
    <n v="0"/>
    <n v="0"/>
    <n v="0"/>
    <x v="0"/>
    <n v="1"/>
    <n v="1"/>
    <n v="2"/>
    <n v="0"/>
    <n v="0"/>
    <n v="0"/>
    <n v="1"/>
    <n v="0"/>
    <n v="6.4944289374208282"/>
    <n v="0.22374939857982484"/>
    <x v="2"/>
    <n v="0"/>
  </r>
  <r>
    <x v="762"/>
    <x v="25"/>
    <x v="1"/>
    <n v="342"/>
    <x v="1"/>
    <n v="2"/>
    <n v="3"/>
    <x v="0"/>
    <n v="1"/>
    <x v="1"/>
    <n v="57"/>
    <n v="3"/>
    <n v="1"/>
    <x v="1"/>
    <n v="1"/>
    <x v="1"/>
    <x v="96"/>
    <n v="15346"/>
    <n v="6"/>
    <x v="0"/>
    <n v="0.14000000000000001"/>
    <n v="3"/>
    <n v="2"/>
    <n v="1"/>
    <n v="6"/>
    <n v="2"/>
    <n v="3"/>
    <x v="11"/>
    <n v="2"/>
    <n v="1"/>
    <n v="2"/>
    <x v="0"/>
    <n v="1"/>
    <n v="2"/>
    <n v="1"/>
    <n v="1"/>
    <n v="0"/>
    <n v="1"/>
    <n v="1"/>
    <n v="1"/>
    <n v="25.859352047889136"/>
    <n v="0.8909196673228964"/>
    <x v="3"/>
    <n v="3063"/>
  </r>
  <r>
    <x v="763"/>
    <x v="13"/>
    <x v="0"/>
    <n v="1333"/>
    <x v="0"/>
    <n v="10"/>
    <n v="4"/>
    <x v="0"/>
    <n v="3"/>
    <x v="0"/>
    <n v="87"/>
    <n v="3"/>
    <n v="1"/>
    <x v="6"/>
    <n v="3"/>
    <x v="1"/>
    <x v="722"/>
    <n v="18410"/>
    <n v="1"/>
    <x v="0"/>
    <n v="0.19"/>
    <n v="3"/>
    <n v="4"/>
    <n v="1"/>
    <n v="1"/>
    <n v="2"/>
    <n v="3"/>
    <x v="6"/>
    <n v="1"/>
    <n v="0"/>
    <n v="0"/>
    <x v="1"/>
    <n v="0"/>
    <n v="1"/>
    <n v="1"/>
    <n v="1"/>
    <n v="0"/>
    <n v="0"/>
    <n v="1"/>
    <n v="0"/>
    <n v="16.494428937420828"/>
    <n v="0.56827453040563214"/>
    <x v="1"/>
    <n v="3330"/>
  </r>
  <r>
    <x v="764"/>
    <x v="14"/>
    <x v="0"/>
    <n v="1144"/>
    <x v="0"/>
    <n v="10"/>
    <n v="1"/>
    <x v="2"/>
    <n v="4"/>
    <x v="1"/>
    <n v="74"/>
    <n v="3"/>
    <n v="1"/>
    <x v="6"/>
    <n v="2"/>
    <x v="1"/>
    <x v="723"/>
    <n v="23384"/>
    <n v="1"/>
    <x v="1"/>
    <n v="0.22"/>
    <n v="4"/>
    <n v="2"/>
    <n v="0"/>
    <n v="1"/>
    <n v="5"/>
    <n v="3"/>
    <x v="6"/>
    <n v="0"/>
    <n v="0"/>
    <n v="0"/>
    <x v="1"/>
    <n v="1"/>
    <n v="1"/>
    <n v="1"/>
    <n v="0"/>
    <n v="0"/>
    <n v="1"/>
    <n v="1"/>
    <n v="0"/>
    <n v="10.698962067398959"/>
    <n v="0.3686061316669938"/>
    <x v="0"/>
    <n v="0"/>
  </r>
  <r>
    <x v="765"/>
    <x v="8"/>
    <x v="1"/>
    <n v="1186"/>
    <x v="1"/>
    <n v="3"/>
    <n v="4"/>
    <x v="1"/>
    <n v="3"/>
    <x v="1"/>
    <n v="44"/>
    <n v="3"/>
    <n v="1"/>
    <x v="1"/>
    <n v="3"/>
    <x v="1"/>
    <x v="724"/>
    <n v="2997"/>
    <n v="3"/>
    <x v="1"/>
    <n v="0.16"/>
    <n v="3"/>
    <n v="1"/>
    <n v="1"/>
    <n v="8"/>
    <n v="2"/>
    <n v="3"/>
    <x v="4"/>
    <n v="2"/>
    <n v="2"/>
    <n v="2"/>
    <x v="1"/>
    <n v="1"/>
    <n v="2"/>
    <n v="1"/>
    <n v="0"/>
    <n v="0"/>
    <n v="0"/>
    <n v="1"/>
    <n v="1"/>
    <n v="11.654818917911005"/>
    <n v="0.40153780240992015"/>
    <x v="0"/>
    <n v="0"/>
  </r>
  <r>
    <x v="766"/>
    <x v="24"/>
    <x v="0"/>
    <n v="1464"/>
    <x v="1"/>
    <n v="2"/>
    <n v="4"/>
    <x v="2"/>
    <n v="2"/>
    <x v="1"/>
    <n v="62"/>
    <n v="3"/>
    <n v="5"/>
    <x v="7"/>
    <n v="3"/>
    <x v="1"/>
    <x v="725"/>
    <n v="12853"/>
    <n v="2"/>
    <x v="0"/>
    <n v="0.11"/>
    <n v="3"/>
    <n v="4"/>
    <n v="1"/>
    <n v="29"/>
    <n v="2"/>
    <n v="2"/>
    <x v="3"/>
    <n v="1"/>
    <n v="7"/>
    <n v="7"/>
    <x v="1"/>
    <n v="1"/>
    <n v="1"/>
    <n v="1"/>
    <n v="1"/>
    <n v="0"/>
    <n v="0"/>
    <n v="0"/>
    <n v="0"/>
    <n v="10"/>
    <n v="0.3445251318258073"/>
    <x v="0"/>
    <n v="0"/>
  </r>
  <r>
    <x v="767"/>
    <x v="2"/>
    <x v="0"/>
    <n v="124"/>
    <x v="1"/>
    <n v="3"/>
    <n v="3"/>
    <x v="1"/>
    <n v="4"/>
    <x v="0"/>
    <n v="35"/>
    <n v="3"/>
    <n v="2"/>
    <x v="4"/>
    <n v="2"/>
    <x v="0"/>
    <x v="726"/>
    <n v="13848"/>
    <n v="3"/>
    <x v="1"/>
    <n v="0.15"/>
    <n v="3"/>
    <n v="1"/>
    <n v="0"/>
    <n v="8"/>
    <n v="3"/>
    <n v="2"/>
    <x v="9"/>
    <n v="3"/>
    <n v="0"/>
    <n v="1"/>
    <x v="1"/>
    <n v="0"/>
    <n v="1"/>
    <n v="0"/>
    <n v="0"/>
    <n v="0"/>
    <n v="1"/>
    <n v="1"/>
    <n v="0"/>
    <n v="10.698962067398959"/>
    <n v="0.3686061316669938"/>
    <x v="0"/>
    <n v="0"/>
  </r>
  <r>
    <x v="768"/>
    <x v="32"/>
    <x v="0"/>
    <n v="300"/>
    <x v="0"/>
    <n v="26"/>
    <n v="3"/>
    <x v="3"/>
    <n v="3"/>
    <x v="1"/>
    <n v="74"/>
    <n v="3"/>
    <n v="2"/>
    <x v="0"/>
    <n v="1"/>
    <x v="1"/>
    <x v="727"/>
    <n v="22217"/>
    <n v="1"/>
    <x v="1"/>
    <n v="0.14000000000000001"/>
    <n v="3"/>
    <n v="2"/>
    <n v="1"/>
    <n v="8"/>
    <n v="3"/>
    <n v="2"/>
    <x v="5"/>
    <n v="7"/>
    <n v="7"/>
    <n v="5"/>
    <x v="1"/>
    <n v="1"/>
    <n v="1"/>
    <n v="1"/>
    <n v="0"/>
    <n v="1"/>
    <n v="1"/>
    <n v="0"/>
    <n v="0"/>
    <n v="7.3706398258535089"/>
    <n v="0.25393706576427255"/>
    <x v="0"/>
    <n v="0"/>
  </r>
  <r>
    <x v="769"/>
    <x v="25"/>
    <x v="1"/>
    <n v="921"/>
    <x v="1"/>
    <n v="1"/>
    <n v="1"/>
    <x v="2"/>
    <n v="1"/>
    <x v="0"/>
    <n v="66"/>
    <n v="2"/>
    <n v="1"/>
    <x v="1"/>
    <n v="3"/>
    <x v="2"/>
    <x v="728"/>
    <n v="25265"/>
    <n v="1"/>
    <x v="1"/>
    <n v="0.13"/>
    <n v="3"/>
    <n v="3"/>
    <n v="2"/>
    <n v="5"/>
    <n v="5"/>
    <n v="3"/>
    <x v="8"/>
    <n v="3"/>
    <n v="1"/>
    <n v="3"/>
    <x v="1"/>
    <n v="0"/>
    <n v="2"/>
    <n v="2"/>
    <n v="0"/>
    <n v="0"/>
    <n v="0"/>
    <n v="1"/>
    <n v="1"/>
    <n v="11.654818917911005"/>
    <n v="0.40153780240992015"/>
    <x v="0"/>
    <n v="0"/>
  </r>
  <r>
    <x v="770"/>
    <x v="21"/>
    <x v="0"/>
    <n v="430"/>
    <x v="1"/>
    <n v="1"/>
    <n v="4"/>
    <x v="2"/>
    <n v="4"/>
    <x v="1"/>
    <n v="40"/>
    <n v="3"/>
    <n v="5"/>
    <x v="7"/>
    <n v="4"/>
    <x v="2"/>
    <x v="729"/>
    <n v="21445"/>
    <n v="9"/>
    <x v="1"/>
    <n v="0.17"/>
    <n v="3"/>
    <n v="4"/>
    <n v="2"/>
    <n v="23"/>
    <n v="0"/>
    <n v="3"/>
    <x v="4"/>
    <n v="2"/>
    <n v="2"/>
    <n v="2"/>
    <x v="1"/>
    <n v="1"/>
    <n v="1"/>
    <n v="2"/>
    <n v="0"/>
    <n v="0"/>
    <n v="0"/>
    <n v="0"/>
    <n v="0"/>
    <n v="0"/>
    <n v="0"/>
    <x v="2"/>
    <n v="0"/>
  </r>
  <r>
    <x v="771"/>
    <x v="33"/>
    <x v="0"/>
    <n v="1082"/>
    <x v="0"/>
    <n v="2"/>
    <n v="4"/>
    <x v="0"/>
    <n v="3"/>
    <x v="0"/>
    <n v="41"/>
    <n v="2"/>
    <n v="3"/>
    <x v="0"/>
    <n v="3"/>
    <x v="1"/>
    <x v="730"/>
    <n v="8392"/>
    <n v="6"/>
    <x v="1"/>
    <n v="0.11"/>
    <n v="3"/>
    <n v="2"/>
    <n v="1"/>
    <n v="13"/>
    <n v="4"/>
    <n v="3"/>
    <x v="7"/>
    <n v="4"/>
    <n v="7"/>
    <n v="0"/>
    <x v="1"/>
    <n v="0"/>
    <n v="1"/>
    <n v="1"/>
    <n v="0"/>
    <n v="0"/>
    <n v="0"/>
    <n v="0"/>
    <n v="0"/>
    <n v="0"/>
    <n v="0"/>
    <x v="2"/>
    <n v="0"/>
  </r>
  <r>
    <x v="772"/>
    <x v="29"/>
    <x v="1"/>
    <n v="1240"/>
    <x v="1"/>
    <n v="9"/>
    <n v="3"/>
    <x v="2"/>
    <n v="1"/>
    <x v="0"/>
    <n v="63"/>
    <n v="3"/>
    <n v="1"/>
    <x v="1"/>
    <n v="3"/>
    <x v="1"/>
    <x v="131"/>
    <n v="12154"/>
    <n v="2"/>
    <x v="1"/>
    <n v="0.19"/>
    <n v="3"/>
    <n v="2"/>
    <n v="1"/>
    <n v="18"/>
    <n v="4"/>
    <n v="3"/>
    <x v="8"/>
    <n v="4"/>
    <n v="0"/>
    <n v="3"/>
    <x v="1"/>
    <n v="0"/>
    <n v="2"/>
    <n v="1"/>
    <n v="0"/>
    <n v="0"/>
    <n v="0"/>
    <n v="1"/>
    <n v="1"/>
    <n v="11.654818917911005"/>
    <n v="0.40153780240992015"/>
    <x v="0"/>
    <n v="0"/>
  </r>
  <r>
    <x v="773"/>
    <x v="9"/>
    <x v="0"/>
    <n v="796"/>
    <x v="1"/>
    <n v="12"/>
    <n v="5"/>
    <x v="2"/>
    <n v="4"/>
    <x v="0"/>
    <n v="51"/>
    <n v="2"/>
    <n v="3"/>
    <x v="3"/>
    <n v="4"/>
    <x v="0"/>
    <x v="731"/>
    <n v="15669"/>
    <n v="0"/>
    <x v="1"/>
    <n v="0.11"/>
    <n v="3"/>
    <n v="2"/>
    <n v="0"/>
    <n v="15"/>
    <n v="2"/>
    <n v="2"/>
    <x v="13"/>
    <n v="8"/>
    <n v="7"/>
    <n v="8"/>
    <x v="1"/>
    <n v="0"/>
    <n v="1"/>
    <n v="0"/>
    <n v="0"/>
    <n v="0"/>
    <n v="0"/>
    <n v="0"/>
    <n v="0"/>
    <n v="0"/>
    <n v="0"/>
    <x v="2"/>
    <n v="0"/>
  </r>
  <r>
    <x v="774"/>
    <x v="27"/>
    <x v="2"/>
    <n v="444"/>
    <x v="1"/>
    <n v="2"/>
    <n v="1"/>
    <x v="2"/>
    <n v="3"/>
    <x v="1"/>
    <n v="40"/>
    <n v="2"/>
    <n v="4"/>
    <x v="5"/>
    <n v="1"/>
    <x v="0"/>
    <x v="732"/>
    <n v="17323"/>
    <n v="7"/>
    <x v="1"/>
    <n v="0.15"/>
    <n v="3"/>
    <n v="2"/>
    <n v="0"/>
    <n v="31"/>
    <n v="3"/>
    <n v="4"/>
    <x v="7"/>
    <n v="7"/>
    <n v="6"/>
    <n v="2"/>
    <x v="1"/>
    <n v="1"/>
    <n v="0"/>
    <n v="0"/>
    <n v="0"/>
    <n v="0"/>
    <n v="1"/>
    <n v="0"/>
    <n v="0"/>
    <n v="4.204533129978131"/>
    <n v="0.14485673308716898"/>
    <x v="2"/>
    <n v="0"/>
  </r>
  <r>
    <x v="775"/>
    <x v="23"/>
    <x v="0"/>
    <n v="415"/>
    <x v="0"/>
    <n v="25"/>
    <n v="3"/>
    <x v="2"/>
    <n v="3"/>
    <x v="1"/>
    <n v="79"/>
    <n v="2"/>
    <n v="3"/>
    <x v="0"/>
    <n v="4"/>
    <x v="2"/>
    <x v="733"/>
    <n v="5268"/>
    <n v="5"/>
    <x v="1"/>
    <n v="0.13"/>
    <n v="3"/>
    <n v="3"/>
    <n v="1"/>
    <n v="18"/>
    <n v="5"/>
    <n v="3"/>
    <x v="6"/>
    <n v="0"/>
    <n v="0"/>
    <n v="0"/>
    <x v="1"/>
    <n v="1"/>
    <n v="1"/>
    <n v="2"/>
    <n v="0"/>
    <n v="1"/>
    <n v="0"/>
    <n v="0"/>
    <n v="0"/>
    <n v="3.1661066958753779"/>
    <n v="0.10908033267710357"/>
    <x v="2"/>
    <n v="0"/>
  </r>
  <r>
    <x v="776"/>
    <x v="35"/>
    <x v="1"/>
    <n v="769"/>
    <x v="0"/>
    <n v="9"/>
    <n v="3"/>
    <x v="3"/>
    <n v="4"/>
    <x v="0"/>
    <n v="54"/>
    <n v="3"/>
    <n v="1"/>
    <x v="6"/>
    <n v="4"/>
    <x v="0"/>
    <x v="157"/>
    <n v="17205"/>
    <n v="1"/>
    <x v="0"/>
    <n v="0.14000000000000001"/>
    <n v="3"/>
    <n v="2"/>
    <n v="0"/>
    <n v="2"/>
    <n v="3"/>
    <n v="3"/>
    <x v="4"/>
    <n v="2"/>
    <n v="0"/>
    <n v="2"/>
    <x v="0"/>
    <n v="0"/>
    <n v="2"/>
    <n v="0"/>
    <n v="1"/>
    <n v="0"/>
    <n v="0"/>
    <n v="1"/>
    <n v="1"/>
    <n v="21.654818917911005"/>
    <n v="0.74606293423572745"/>
    <x v="1"/>
    <n v="3484.5"/>
  </r>
  <r>
    <x v="777"/>
    <x v="18"/>
    <x v="0"/>
    <n v="1334"/>
    <x v="1"/>
    <n v="10"/>
    <n v="3"/>
    <x v="0"/>
    <n v="3"/>
    <x v="0"/>
    <n v="36"/>
    <n v="2"/>
    <n v="1"/>
    <x v="2"/>
    <n v="1"/>
    <x v="0"/>
    <x v="734"/>
    <n v="17258"/>
    <n v="1"/>
    <x v="1"/>
    <n v="0.13"/>
    <n v="3"/>
    <n v="1"/>
    <n v="0"/>
    <n v="1"/>
    <n v="6"/>
    <n v="2"/>
    <x v="6"/>
    <n v="0"/>
    <n v="1"/>
    <n v="0"/>
    <x v="0"/>
    <n v="0"/>
    <n v="1"/>
    <n v="0"/>
    <n v="0"/>
    <n v="0"/>
    <n v="1"/>
    <n v="1"/>
    <n v="0"/>
    <n v="10.698962067398959"/>
    <n v="0.3686061316669938"/>
    <x v="0"/>
    <n v="0"/>
  </r>
  <r>
    <x v="778"/>
    <x v="21"/>
    <x v="0"/>
    <n v="1003"/>
    <x v="1"/>
    <n v="8"/>
    <n v="4"/>
    <x v="0"/>
    <n v="4"/>
    <x v="0"/>
    <n v="74"/>
    <n v="2"/>
    <n v="2"/>
    <x v="1"/>
    <n v="1"/>
    <x v="2"/>
    <x v="735"/>
    <n v="21029"/>
    <n v="8"/>
    <x v="0"/>
    <n v="0.23"/>
    <n v="4"/>
    <n v="1"/>
    <n v="3"/>
    <n v="19"/>
    <n v="2"/>
    <n v="3"/>
    <x v="22"/>
    <n v="13"/>
    <n v="1"/>
    <n v="7"/>
    <x v="1"/>
    <n v="0"/>
    <n v="1"/>
    <n v="2"/>
    <n v="1"/>
    <n v="0"/>
    <n v="1"/>
    <n v="1"/>
    <n v="0"/>
    <n v="20.698962067398959"/>
    <n v="0.71313126349280109"/>
    <x v="1"/>
    <n v="6922.5"/>
  </r>
  <r>
    <x v="779"/>
    <x v="31"/>
    <x v="0"/>
    <n v="1323"/>
    <x v="1"/>
    <n v="4"/>
    <n v="4"/>
    <x v="0"/>
    <n v="1"/>
    <x v="1"/>
    <n v="34"/>
    <n v="3"/>
    <n v="1"/>
    <x v="1"/>
    <n v="3"/>
    <x v="1"/>
    <x v="736"/>
    <n v="10332"/>
    <n v="9"/>
    <x v="0"/>
    <n v="0.12"/>
    <n v="3"/>
    <n v="3"/>
    <n v="3"/>
    <n v="18"/>
    <n v="2"/>
    <n v="4"/>
    <x v="1"/>
    <n v="0"/>
    <n v="2"/>
    <n v="7"/>
    <x v="0"/>
    <n v="1"/>
    <n v="1"/>
    <n v="1"/>
    <n v="1"/>
    <n v="0"/>
    <n v="0"/>
    <n v="1"/>
    <n v="0"/>
    <n v="16.494428937420828"/>
    <n v="0.56827453040563214"/>
    <x v="1"/>
    <n v="3691.5"/>
  </r>
  <r>
    <x v="780"/>
    <x v="14"/>
    <x v="2"/>
    <n v="1366"/>
    <x v="1"/>
    <n v="24"/>
    <n v="2"/>
    <x v="4"/>
    <n v="2"/>
    <x v="1"/>
    <n v="72"/>
    <n v="2"/>
    <n v="3"/>
    <x v="4"/>
    <n v="1"/>
    <x v="0"/>
    <x v="737"/>
    <n v="12355"/>
    <n v="1"/>
    <x v="1"/>
    <n v="0.12"/>
    <n v="3"/>
    <n v="1"/>
    <n v="0"/>
    <n v="10"/>
    <n v="2"/>
    <n v="2"/>
    <x v="1"/>
    <n v="7"/>
    <n v="1"/>
    <n v="9"/>
    <x v="0"/>
    <n v="1"/>
    <n v="0"/>
    <n v="0"/>
    <n v="0"/>
    <n v="1"/>
    <n v="1"/>
    <n v="0"/>
    <n v="0"/>
    <n v="7.3706398258535089"/>
    <n v="0.25393706576427255"/>
    <x v="0"/>
    <n v="0"/>
  </r>
  <r>
    <x v="781"/>
    <x v="25"/>
    <x v="0"/>
    <n v="192"/>
    <x v="1"/>
    <n v="1"/>
    <n v="2"/>
    <x v="2"/>
    <n v="1"/>
    <x v="1"/>
    <n v="59"/>
    <n v="2"/>
    <n v="1"/>
    <x v="2"/>
    <n v="1"/>
    <x v="1"/>
    <x v="738"/>
    <n v="11141"/>
    <n v="1"/>
    <x v="1"/>
    <n v="0.16"/>
    <n v="3"/>
    <n v="1"/>
    <n v="2"/>
    <n v="6"/>
    <n v="2"/>
    <n v="3"/>
    <x v="8"/>
    <n v="3"/>
    <n v="1"/>
    <n v="3"/>
    <x v="1"/>
    <n v="1"/>
    <n v="1"/>
    <n v="1"/>
    <n v="0"/>
    <n v="0"/>
    <n v="1"/>
    <n v="1"/>
    <n v="0"/>
    <n v="10.698962067398959"/>
    <n v="0.3686061316669938"/>
    <x v="0"/>
    <n v="0"/>
  </r>
  <r>
    <x v="782"/>
    <x v="7"/>
    <x v="0"/>
    <n v="1176"/>
    <x v="1"/>
    <n v="20"/>
    <n v="3"/>
    <x v="1"/>
    <n v="3"/>
    <x v="1"/>
    <n v="85"/>
    <n v="3"/>
    <n v="2"/>
    <x v="3"/>
    <n v="1"/>
    <x v="1"/>
    <x v="739"/>
    <n v="9096"/>
    <n v="0"/>
    <x v="1"/>
    <n v="0.15"/>
    <n v="3"/>
    <n v="3"/>
    <n v="1"/>
    <n v="7"/>
    <n v="1"/>
    <n v="2"/>
    <x v="0"/>
    <n v="2"/>
    <n v="0"/>
    <n v="2"/>
    <x v="1"/>
    <n v="1"/>
    <n v="1"/>
    <n v="1"/>
    <n v="0"/>
    <n v="1"/>
    <n v="1"/>
    <n v="0"/>
    <n v="0"/>
    <n v="7.3706398258535089"/>
    <n v="0.25393706576427255"/>
    <x v="0"/>
    <n v="0"/>
  </r>
  <r>
    <x v="783"/>
    <x v="0"/>
    <x v="0"/>
    <n v="509"/>
    <x v="1"/>
    <n v="7"/>
    <n v="2"/>
    <x v="4"/>
    <n v="2"/>
    <x v="0"/>
    <n v="43"/>
    <n v="4"/>
    <n v="1"/>
    <x v="1"/>
    <n v="3"/>
    <x v="1"/>
    <x v="740"/>
    <n v="18863"/>
    <n v="1"/>
    <x v="1"/>
    <n v="0.13"/>
    <n v="3"/>
    <n v="3"/>
    <n v="0"/>
    <n v="10"/>
    <n v="3"/>
    <n v="3"/>
    <x v="1"/>
    <n v="6"/>
    <n v="0"/>
    <n v="8"/>
    <x v="1"/>
    <n v="0"/>
    <n v="1"/>
    <n v="1"/>
    <n v="0"/>
    <n v="0"/>
    <n v="0"/>
    <n v="1"/>
    <n v="0"/>
    <n v="6.4944289374208282"/>
    <n v="0.22374939857982484"/>
    <x v="2"/>
    <n v="0"/>
  </r>
  <r>
    <x v="784"/>
    <x v="8"/>
    <x v="0"/>
    <n v="330"/>
    <x v="1"/>
    <n v="17"/>
    <n v="1"/>
    <x v="0"/>
    <n v="3"/>
    <x v="0"/>
    <n v="65"/>
    <n v="2"/>
    <n v="3"/>
    <x v="4"/>
    <n v="3"/>
    <x v="1"/>
    <x v="741"/>
    <n v="24608"/>
    <n v="0"/>
    <x v="1"/>
    <n v="0.18"/>
    <n v="3"/>
    <n v="1"/>
    <n v="1"/>
    <n v="20"/>
    <n v="4"/>
    <n v="2"/>
    <x v="27"/>
    <n v="9"/>
    <n v="1"/>
    <n v="9"/>
    <x v="1"/>
    <n v="0"/>
    <n v="1"/>
    <n v="1"/>
    <n v="0"/>
    <n v="1"/>
    <n v="0"/>
    <n v="0"/>
    <n v="0"/>
    <n v="3.1661066958753779"/>
    <n v="0.10908033267710357"/>
    <x v="2"/>
    <n v="0"/>
  </r>
  <r>
    <x v="785"/>
    <x v="32"/>
    <x v="0"/>
    <n v="1492"/>
    <x v="1"/>
    <n v="20"/>
    <n v="4"/>
    <x v="4"/>
    <n v="1"/>
    <x v="1"/>
    <n v="61"/>
    <n v="3"/>
    <n v="3"/>
    <x v="4"/>
    <n v="4"/>
    <x v="1"/>
    <x v="742"/>
    <n v="26542"/>
    <n v="4"/>
    <x v="1"/>
    <n v="0.2"/>
    <n v="4"/>
    <n v="4"/>
    <n v="1"/>
    <n v="14"/>
    <n v="6"/>
    <n v="3"/>
    <x v="19"/>
    <n v="10"/>
    <n v="11"/>
    <n v="1"/>
    <x v="1"/>
    <n v="1"/>
    <n v="1"/>
    <n v="1"/>
    <n v="0"/>
    <n v="1"/>
    <n v="0"/>
    <n v="0"/>
    <n v="0"/>
    <n v="3.1661066958753779"/>
    <n v="0.10908033267710357"/>
    <x v="2"/>
    <n v="0"/>
  </r>
  <r>
    <x v="786"/>
    <x v="4"/>
    <x v="2"/>
    <n v="1277"/>
    <x v="1"/>
    <n v="8"/>
    <n v="5"/>
    <x v="0"/>
    <n v="1"/>
    <x v="1"/>
    <n v="87"/>
    <n v="1"/>
    <n v="1"/>
    <x v="2"/>
    <n v="3"/>
    <x v="1"/>
    <x v="743"/>
    <n v="5869"/>
    <n v="1"/>
    <x v="1"/>
    <n v="0.19"/>
    <n v="3"/>
    <n v="4"/>
    <n v="3"/>
    <n v="3"/>
    <n v="4"/>
    <n v="3"/>
    <x v="11"/>
    <n v="2"/>
    <n v="1"/>
    <n v="2"/>
    <x v="1"/>
    <n v="1"/>
    <n v="0"/>
    <n v="1"/>
    <n v="0"/>
    <n v="0"/>
    <n v="0"/>
    <n v="1"/>
    <n v="0"/>
    <n v="6.4944289374208282"/>
    <n v="0.22374939857982484"/>
    <x v="2"/>
    <n v="0"/>
  </r>
  <r>
    <x v="787"/>
    <x v="27"/>
    <x v="1"/>
    <n v="1091"/>
    <x v="1"/>
    <n v="2"/>
    <n v="1"/>
    <x v="0"/>
    <n v="4"/>
    <x v="1"/>
    <n v="65"/>
    <n v="3"/>
    <n v="3"/>
    <x v="3"/>
    <n v="2"/>
    <x v="1"/>
    <x v="744"/>
    <n v="15813"/>
    <n v="3"/>
    <x v="1"/>
    <n v="0.18"/>
    <n v="3"/>
    <n v="2"/>
    <n v="1"/>
    <n v="23"/>
    <n v="4"/>
    <n v="3"/>
    <x v="11"/>
    <n v="2"/>
    <n v="1"/>
    <n v="2"/>
    <x v="1"/>
    <n v="1"/>
    <n v="2"/>
    <n v="1"/>
    <n v="0"/>
    <n v="0"/>
    <n v="1"/>
    <n v="0"/>
    <n v="1"/>
    <n v="9.3649231104683075"/>
    <n v="0.32264513691726432"/>
    <x v="0"/>
    <n v="0"/>
  </r>
  <r>
    <x v="788"/>
    <x v="14"/>
    <x v="0"/>
    <n v="857"/>
    <x v="1"/>
    <n v="10"/>
    <n v="3"/>
    <x v="1"/>
    <n v="3"/>
    <x v="0"/>
    <n v="59"/>
    <n v="3"/>
    <n v="2"/>
    <x v="1"/>
    <n v="3"/>
    <x v="0"/>
    <x v="745"/>
    <n v="7909"/>
    <n v="3"/>
    <x v="1"/>
    <n v="0.13"/>
    <n v="3"/>
    <n v="4"/>
    <n v="0"/>
    <n v="10"/>
    <n v="4"/>
    <n v="4"/>
    <x v="3"/>
    <n v="7"/>
    <n v="1"/>
    <n v="7"/>
    <x v="1"/>
    <n v="0"/>
    <n v="1"/>
    <n v="0"/>
    <n v="0"/>
    <n v="0"/>
    <n v="0"/>
    <n v="1"/>
    <n v="0"/>
    <n v="6.4944289374208282"/>
    <n v="0.22374939857982484"/>
    <x v="2"/>
    <n v="0"/>
  </r>
  <r>
    <x v="789"/>
    <x v="20"/>
    <x v="0"/>
    <n v="1376"/>
    <x v="2"/>
    <n v="1"/>
    <n v="2"/>
    <x v="2"/>
    <n v="2"/>
    <x v="1"/>
    <n v="91"/>
    <n v="2"/>
    <n v="3"/>
    <x v="8"/>
    <n v="1"/>
    <x v="1"/>
    <x v="746"/>
    <n v="2326"/>
    <n v="9"/>
    <x v="1"/>
    <n v="0.14000000000000001"/>
    <n v="3"/>
    <n v="4"/>
    <n v="1"/>
    <n v="24"/>
    <n v="1"/>
    <n v="3"/>
    <x v="23"/>
    <n v="6"/>
    <n v="3"/>
    <n v="6"/>
    <x v="0"/>
    <n v="1"/>
    <n v="1"/>
    <n v="1"/>
    <n v="0"/>
    <n v="0"/>
    <n v="1"/>
    <n v="0"/>
    <n v="0"/>
    <n v="4.204533129978131"/>
    <n v="0.14485673308716898"/>
    <x v="2"/>
    <n v="0"/>
  </r>
  <r>
    <x v="790"/>
    <x v="3"/>
    <x v="0"/>
    <n v="654"/>
    <x v="1"/>
    <n v="5"/>
    <n v="3"/>
    <x v="0"/>
    <n v="4"/>
    <x v="1"/>
    <n v="34"/>
    <n v="2"/>
    <n v="3"/>
    <x v="4"/>
    <n v="4"/>
    <x v="2"/>
    <x v="747"/>
    <n v="21214"/>
    <n v="4"/>
    <x v="1"/>
    <n v="0.15"/>
    <n v="3"/>
    <n v="3"/>
    <n v="1"/>
    <n v="9"/>
    <n v="2"/>
    <n v="3"/>
    <x v="11"/>
    <n v="2"/>
    <n v="1"/>
    <n v="2"/>
    <x v="1"/>
    <n v="1"/>
    <n v="1"/>
    <n v="2"/>
    <n v="0"/>
    <n v="0"/>
    <n v="0"/>
    <n v="0"/>
    <n v="0"/>
    <n v="0"/>
    <n v="0"/>
    <x v="2"/>
    <n v="0"/>
  </r>
  <r>
    <x v="791"/>
    <x v="10"/>
    <x v="0"/>
    <n v="1204"/>
    <x v="0"/>
    <n v="4"/>
    <n v="3"/>
    <x v="4"/>
    <n v="4"/>
    <x v="1"/>
    <n v="86"/>
    <n v="3"/>
    <n v="3"/>
    <x v="0"/>
    <n v="1"/>
    <x v="0"/>
    <x v="748"/>
    <n v="10333"/>
    <n v="0"/>
    <x v="0"/>
    <n v="0.22"/>
    <n v="4"/>
    <n v="1"/>
    <n v="0"/>
    <n v="9"/>
    <n v="2"/>
    <n v="3"/>
    <x v="3"/>
    <n v="7"/>
    <n v="4"/>
    <n v="7"/>
    <x v="0"/>
    <n v="1"/>
    <n v="1"/>
    <n v="0"/>
    <n v="1"/>
    <n v="0"/>
    <n v="1"/>
    <n v="0"/>
    <n v="0"/>
    <n v="14.204533129978131"/>
    <n v="0.48938186491297625"/>
    <x v="0"/>
    <n v="0"/>
  </r>
  <r>
    <x v="792"/>
    <x v="3"/>
    <x v="1"/>
    <n v="827"/>
    <x v="1"/>
    <n v="29"/>
    <n v="4"/>
    <x v="2"/>
    <n v="1"/>
    <x v="0"/>
    <n v="54"/>
    <n v="2"/>
    <n v="2"/>
    <x v="1"/>
    <n v="3"/>
    <x v="0"/>
    <x v="749"/>
    <n v="3129"/>
    <n v="1"/>
    <x v="1"/>
    <n v="0.22"/>
    <n v="4"/>
    <n v="2"/>
    <n v="0"/>
    <n v="14"/>
    <n v="4"/>
    <n v="3"/>
    <x v="20"/>
    <n v="7"/>
    <n v="3"/>
    <n v="8"/>
    <x v="0"/>
    <n v="0"/>
    <n v="2"/>
    <n v="0"/>
    <n v="0"/>
    <n v="1"/>
    <n v="0"/>
    <n v="1"/>
    <n v="1"/>
    <n v="14.820925613786383"/>
    <n v="0.51061813508702369"/>
    <x v="1"/>
    <n v="6762"/>
  </r>
  <r>
    <x v="793"/>
    <x v="14"/>
    <x v="0"/>
    <n v="895"/>
    <x v="1"/>
    <n v="15"/>
    <n v="2"/>
    <x v="0"/>
    <n v="1"/>
    <x v="1"/>
    <n v="50"/>
    <n v="3"/>
    <n v="1"/>
    <x v="2"/>
    <n v="3"/>
    <x v="2"/>
    <x v="750"/>
    <n v="22482"/>
    <n v="1"/>
    <x v="1"/>
    <n v="0.16"/>
    <n v="3"/>
    <n v="4"/>
    <n v="1"/>
    <n v="4"/>
    <n v="5"/>
    <n v="2"/>
    <x v="9"/>
    <n v="2"/>
    <n v="2"/>
    <n v="2"/>
    <x v="1"/>
    <n v="1"/>
    <n v="1"/>
    <n v="2"/>
    <n v="0"/>
    <n v="0"/>
    <n v="0"/>
    <n v="1"/>
    <n v="0"/>
    <n v="6.4944289374208282"/>
    <n v="0.22374939857982484"/>
    <x v="2"/>
    <n v="0"/>
  </r>
  <r>
    <x v="794"/>
    <x v="13"/>
    <x v="1"/>
    <n v="618"/>
    <x v="1"/>
    <n v="3"/>
    <n v="1"/>
    <x v="0"/>
    <n v="1"/>
    <x v="1"/>
    <n v="45"/>
    <n v="3"/>
    <n v="2"/>
    <x v="4"/>
    <n v="4"/>
    <x v="0"/>
    <x v="751"/>
    <n v="22266"/>
    <n v="0"/>
    <x v="1"/>
    <n v="0.17"/>
    <n v="3"/>
    <n v="3"/>
    <n v="0"/>
    <n v="7"/>
    <n v="1"/>
    <n v="2"/>
    <x v="0"/>
    <n v="2"/>
    <n v="0"/>
    <n v="4"/>
    <x v="1"/>
    <n v="1"/>
    <n v="2"/>
    <n v="0"/>
    <n v="0"/>
    <n v="0"/>
    <n v="0"/>
    <n v="0"/>
    <n v="1"/>
    <n v="5.1603899804901765"/>
    <n v="0.17778840383009531"/>
    <x v="2"/>
    <n v="0"/>
  </r>
  <r>
    <x v="795"/>
    <x v="2"/>
    <x v="0"/>
    <n v="309"/>
    <x v="0"/>
    <n v="10"/>
    <n v="4"/>
    <x v="0"/>
    <n v="4"/>
    <x v="0"/>
    <n v="88"/>
    <n v="2"/>
    <n v="2"/>
    <x v="0"/>
    <n v="4"/>
    <x v="2"/>
    <x v="752"/>
    <n v="24223"/>
    <n v="2"/>
    <x v="0"/>
    <n v="0.14000000000000001"/>
    <n v="3"/>
    <n v="3"/>
    <n v="3"/>
    <n v="8"/>
    <n v="5"/>
    <n v="3"/>
    <x v="6"/>
    <n v="0"/>
    <n v="0"/>
    <n v="0"/>
    <x v="1"/>
    <n v="0"/>
    <n v="1"/>
    <n v="2"/>
    <n v="1"/>
    <n v="0"/>
    <n v="0"/>
    <n v="0"/>
    <n v="0"/>
    <n v="10"/>
    <n v="0.3445251318258073"/>
    <x v="0"/>
    <n v="0"/>
  </r>
  <r>
    <x v="796"/>
    <x v="36"/>
    <x v="0"/>
    <n v="1219"/>
    <x v="1"/>
    <n v="4"/>
    <n v="1"/>
    <x v="4"/>
    <n v="4"/>
    <x v="1"/>
    <n v="32"/>
    <n v="3"/>
    <n v="1"/>
    <x v="2"/>
    <n v="4"/>
    <x v="1"/>
    <x v="753"/>
    <n v="4605"/>
    <n v="1"/>
    <x v="0"/>
    <n v="0.15"/>
    <n v="3"/>
    <n v="2"/>
    <n v="1"/>
    <n v="7"/>
    <n v="3"/>
    <n v="4"/>
    <x v="5"/>
    <n v="7"/>
    <n v="5"/>
    <n v="6"/>
    <x v="0"/>
    <n v="1"/>
    <n v="1"/>
    <n v="1"/>
    <n v="1"/>
    <n v="0"/>
    <n v="0"/>
    <n v="1"/>
    <n v="0"/>
    <n v="16.494428937420828"/>
    <n v="0.56827453040563214"/>
    <x v="1"/>
    <n v="5536.5"/>
  </r>
  <r>
    <x v="797"/>
    <x v="25"/>
    <x v="0"/>
    <n v="1330"/>
    <x v="1"/>
    <n v="21"/>
    <n v="3"/>
    <x v="2"/>
    <n v="1"/>
    <x v="1"/>
    <n v="37"/>
    <n v="3"/>
    <n v="1"/>
    <x v="2"/>
    <n v="3"/>
    <x v="2"/>
    <x v="638"/>
    <n v="19373"/>
    <n v="1"/>
    <x v="1"/>
    <n v="0.2"/>
    <n v="4"/>
    <n v="3"/>
    <n v="1"/>
    <n v="1"/>
    <n v="0"/>
    <n v="2"/>
    <x v="6"/>
    <n v="1"/>
    <n v="0"/>
    <n v="0"/>
    <x v="0"/>
    <n v="1"/>
    <n v="1"/>
    <n v="2"/>
    <n v="0"/>
    <n v="1"/>
    <n v="0"/>
    <n v="1"/>
    <n v="0"/>
    <n v="9.660535633296206"/>
    <n v="0.33282973125692844"/>
    <x v="0"/>
    <n v="0"/>
  </r>
  <r>
    <x v="798"/>
    <x v="3"/>
    <x v="0"/>
    <n v="1017"/>
    <x v="1"/>
    <n v="25"/>
    <n v="3"/>
    <x v="2"/>
    <n v="1"/>
    <x v="1"/>
    <n v="55"/>
    <n v="2"/>
    <n v="1"/>
    <x v="1"/>
    <n v="2"/>
    <x v="0"/>
    <x v="754"/>
    <n v="2993"/>
    <n v="4"/>
    <x v="0"/>
    <n v="0.2"/>
    <n v="4"/>
    <n v="2"/>
    <n v="0"/>
    <n v="5"/>
    <n v="0"/>
    <n v="3"/>
    <x v="4"/>
    <n v="2"/>
    <n v="2"/>
    <n v="2"/>
    <x v="0"/>
    <n v="1"/>
    <n v="1"/>
    <n v="0"/>
    <n v="1"/>
    <n v="1"/>
    <n v="1"/>
    <n v="1"/>
    <n v="0"/>
    <n v="23.865068763274337"/>
    <n v="0.82221159616990469"/>
    <x v="3"/>
    <n v="3469.5"/>
  </r>
  <r>
    <x v="799"/>
    <x v="19"/>
    <x v="0"/>
    <n v="469"/>
    <x v="1"/>
    <n v="2"/>
    <n v="2"/>
    <x v="2"/>
    <n v="4"/>
    <x v="1"/>
    <n v="35"/>
    <n v="3"/>
    <n v="4"/>
    <x v="5"/>
    <n v="1"/>
    <x v="1"/>
    <x v="755"/>
    <n v="14399"/>
    <n v="0"/>
    <x v="1"/>
    <n v="0.17"/>
    <n v="3"/>
    <n v="4"/>
    <n v="1"/>
    <n v="23"/>
    <n v="3"/>
    <n v="3"/>
    <x v="14"/>
    <n v="6"/>
    <n v="13"/>
    <n v="7"/>
    <x v="1"/>
    <n v="1"/>
    <n v="1"/>
    <n v="1"/>
    <n v="0"/>
    <n v="0"/>
    <n v="1"/>
    <n v="0"/>
    <n v="0"/>
    <n v="4.204533129978131"/>
    <n v="0.14485673308716898"/>
    <x v="2"/>
    <n v="0"/>
  </r>
  <r>
    <x v="800"/>
    <x v="14"/>
    <x v="1"/>
    <n v="1009"/>
    <x v="1"/>
    <n v="1"/>
    <n v="3"/>
    <x v="2"/>
    <n v="1"/>
    <x v="1"/>
    <n v="45"/>
    <n v="2"/>
    <n v="1"/>
    <x v="2"/>
    <n v="2"/>
    <x v="2"/>
    <x v="756"/>
    <n v="7160"/>
    <n v="1"/>
    <x v="1"/>
    <n v="0.15"/>
    <n v="3"/>
    <n v="1"/>
    <n v="2"/>
    <n v="1"/>
    <n v="2"/>
    <n v="3"/>
    <x v="6"/>
    <n v="0"/>
    <n v="0"/>
    <n v="0"/>
    <x v="0"/>
    <n v="1"/>
    <n v="2"/>
    <n v="2"/>
    <n v="0"/>
    <n v="0"/>
    <n v="1"/>
    <n v="1"/>
    <n v="1"/>
    <n v="15.859352047889136"/>
    <n v="0.54639453549708916"/>
    <x v="1"/>
    <n v="3894"/>
  </r>
  <r>
    <x v="801"/>
    <x v="24"/>
    <x v="1"/>
    <n v="959"/>
    <x v="0"/>
    <n v="1"/>
    <n v="4"/>
    <x v="1"/>
    <n v="4"/>
    <x v="1"/>
    <n v="81"/>
    <n v="3"/>
    <n v="2"/>
    <x v="0"/>
    <n v="3"/>
    <x v="0"/>
    <x v="757"/>
    <n v="17251"/>
    <n v="3"/>
    <x v="0"/>
    <n v="0.14000000000000001"/>
    <n v="3"/>
    <n v="4"/>
    <n v="0"/>
    <n v="5"/>
    <n v="4"/>
    <n v="3"/>
    <x v="2"/>
    <n v="0"/>
    <n v="0"/>
    <n v="0"/>
    <x v="0"/>
    <n v="1"/>
    <n v="2"/>
    <n v="0"/>
    <n v="1"/>
    <n v="0"/>
    <n v="0"/>
    <n v="1"/>
    <n v="1"/>
    <n v="21.654818917911005"/>
    <n v="0.74606293423572745"/>
    <x v="1"/>
    <n v="7092"/>
  </r>
  <r>
    <x v="802"/>
    <x v="3"/>
    <x v="1"/>
    <n v="970"/>
    <x v="0"/>
    <n v="7"/>
    <n v="3"/>
    <x v="0"/>
    <n v="4"/>
    <x v="0"/>
    <n v="30"/>
    <n v="3"/>
    <n v="2"/>
    <x v="0"/>
    <n v="2"/>
    <x v="1"/>
    <x v="758"/>
    <n v="13401"/>
    <n v="0"/>
    <x v="1"/>
    <n v="0.17"/>
    <n v="3"/>
    <n v="3"/>
    <n v="1"/>
    <n v="4"/>
    <n v="3"/>
    <n v="3"/>
    <x v="11"/>
    <n v="2"/>
    <n v="0"/>
    <n v="2"/>
    <x v="1"/>
    <n v="0"/>
    <n v="2"/>
    <n v="1"/>
    <n v="0"/>
    <n v="0"/>
    <n v="1"/>
    <n v="1"/>
    <n v="1"/>
    <n v="15.859352047889136"/>
    <n v="0.54639453549708916"/>
    <x v="1"/>
    <n v="6453"/>
  </r>
  <r>
    <x v="803"/>
    <x v="13"/>
    <x v="2"/>
    <n v="697"/>
    <x v="1"/>
    <n v="3"/>
    <n v="4"/>
    <x v="0"/>
    <n v="3"/>
    <x v="1"/>
    <n v="40"/>
    <n v="2"/>
    <n v="1"/>
    <x v="1"/>
    <n v="4"/>
    <x v="1"/>
    <x v="759"/>
    <n v="22478"/>
    <n v="3"/>
    <x v="1"/>
    <n v="0.17"/>
    <n v="3"/>
    <n v="4"/>
    <n v="3"/>
    <n v="6"/>
    <n v="2"/>
    <n v="3"/>
    <x v="2"/>
    <n v="0"/>
    <n v="0"/>
    <n v="0"/>
    <x v="1"/>
    <n v="1"/>
    <n v="0"/>
    <n v="1"/>
    <n v="0"/>
    <n v="0"/>
    <n v="0"/>
    <n v="1"/>
    <n v="0"/>
    <n v="6.4944289374208282"/>
    <n v="0.22374939857982484"/>
    <x v="2"/>
    <n v="0"/>
  </r>
  <r>
    <x v="804"/>
    <x v="26"/>
    <x v="2"/>
    <n v="1262"/>
    <x v="1"/>
    <n v="1"/>
    <n v="4"/>
    <x v="2"/>
    <n v="1"/>
    <x v="1"/>
    <n v="35"/>
    <n v="4"/>
    <n v="4"/>
    <x v="5"/>
    <n v="4"/>
    <x v="0"/>
    <x v="760"/>
    <n v="16154"/>
    <n v="2"/>
    <x v="1"/>
    <n v="0.22"/>
    <n v="4"/>
    <n v="3"/>
    <n v="0"/>
    <n v="27"/>
    <n v="3"/>
    <n v="2"/>
    <x v="8"/>
    <n v="4"/>
    <n v="2"/>
    <n v="1"/>
    <x v="1"/>
    <n v="1"/>
    <n v="0"/>
    <n v="0"/>
    <n v="0"/>
    <n v="0"/>
    <n v="0"/>
    <n v="0"/>
    <n v="0"/>
    <n v="0"/>
    <n v="0"/>
    <x v="2"/>
    <n v="0"/>
  </r>
  <r>
    <x v="805"/>
    <x v="28"/>
    <x v="2"/>
    <n v="1050"/>
    <x v="0"/>
    <n v="9"/>
    <n v="4"/>
    <x v="0"/>
    <n v="2"/>
    <x v="0"/>
    <n v="65"/>
    <n v="2"/>
    <n v="2"/>
    <x v="0"/>
    <n v="3"/>
    <x v="1"/>
    <x v="761"/>
    <n v="17970"/>
    <n v="1"/>
    <x v="1"/>
    <n v="0.13"/>
    <n v="3"/>
    <n v="4"/>
    <n v="1"/>
    <n v="15"/>
    <n v="2"/>
    <n v="3"/>
    <x v="15"/>
    <n v="10"/>
    <n v="4"/>
    <n v="12"/>
    <x v="1"/>
    <n v="0"/>
    <n v="0"/>
    <n v="1"/>
    <n v="0"/>
    <n v="0"/>
    <n v="0"/>
    <n v="0"/>
    <n v="0"/>
    <n v="0"/>
    <n v="0"/>
    <x v="2"/>
    <n v="0"/>
  </r>
  <r>
    <x v="806"/>
    <x v="39"/>
    <x v="0"/>
    <n v="994"/>
    <x v="1"/>
    <n v="7"/>
    <n v="4"/>
    <x v="0"/>
    <n v="2"/>
    <x v="1"/>
    <n v="87"/>
    <n v="3"/>
    <n v="3"/>
    <x v="4"/>
    <n v="2"/>
    <x v="0"/>
    <x v="762"/>
    <n v="15322"/>
    <n v="7"/>
    <x v="1"/>
    <n v="0.19"/>
    <n v="3"/>
    <n v="4"/>
    <n v="0"/>
    <n v="18"/>
    <n v="4"/>
    <n v="3"/>
    <x v="3"/>
    <n v="6"/>
    <n v="4"/>
    <n v="0"/>
    <x v="1"/>
    <n v="1"/>
    <n v="1"/>
    <n v="0"/>
    <n v="0"/>
    <n v="0"/>
    <n v="1"/>
    <n v="0"/>
    <n v="0"/>
    <n v="4.204533129978131"/>
    <n v="0.14485673308716898"/>
    <x v="2"/>
    <n v="0"/>
  </r>
  <r>
    <x v="807"/>
    <x v="8"/>
    <x v="0"/>
    <n v="770"/>
    <x v="0"/>
    <n v="10"/>
    <n v="4"/>
    <x v="3"/>
    <n v="3"/>
    <x v="1"/>
    <n v="73"/>
    <n v="2"/>
    <n v="3"/>
    <x v="0"/>
    <n v="3"/>
    <x v="2"/>
    <x v="763"/>
    <n v="5569"/>
    <n v="0"/>
    <x v="0"/>
    <n v="0.14000000000000001"/>
    <n v="3"/>
    <n v="2"/>
    <n v="2"/>
    <n v="9"/>
    <n v="2"/>
    <n v="3"/>
    <x v="3"/>
    <n v="7"/>
    <n v="2"/>
    <n v="7"/>
    <x v="1"/>
    <n v="1"/>
    <n v="1"/>
    <n v="2"/>
    <n v="1"/>
    <n v="0"/>
    <n v="0"/>
    <n v="0"/>
    <n v="0"/>
    <n v="10"/>
    <n v="0.3445251318258073"/>
    <x v="0"/>
    <n v="0"/>
  </r>
  <r>
    <x v="808"/>
    <x v="11"/>
    <x v="0"/>
    <n v="1107"/>
    <x v="1"/>
    <n v="28"/>
    <n v="4"/>
    <x v="0"/>
    <n v="3"/>
    <x v="0"/>
    <n v="93"/>
    <n v="3"/>
    <n v="1"/>
    <x v="1"/>
    <n v="4"/>
    <x v="2"/>
    <x v="764"/>
    <n v="26968"/>
    <n v="4"/>
    <x v="1"/>
    <n v="0.22"/>
    <n v="4"/>
    <n v="1"/>
    <n v="1"/>
    <n v="11"/>
    <n v="1"/>
    <n v="3"/>
    <x v="5"/>
    <n v="5"/>
    <n v="1"/>
    <n v="7"/>
    <x v="1"/>
    <n v="0"/>
    <n v="1"/>
    <n v="2"/>
    <n v="0"/>
    <n v="1"/>
    <n v="0"/>
    <n v="1"/>
    <n v="0"/>
    <n v="9.660535633296206"/>
    <n v="0.33282973125692844"/>
    <x v="0"/>
    <n v="0"/>
  </r>
  <r>
    <x v="809"/>
    <x v="14"/>
    <x v="0"/>
    <n v="950"/>
    <x v="1"/>
    <n v="3"/>
    <n v="3"/>
    <x v="2"/>
    <n v="4"/>
    <x v="0"/>
    <n v="93"/>
    <n v="3"/>
    <n v="3"/>
    <x v="3"/>
    <n v="2"/>
    <x v="2"/>
    <x v="765"/>
    <n v="8039"/>
    <n v="0"/>
    <x v="1"/>
    <n v="0.17"/>
    <n v="3"/>
    <n v="2"/>
    <n v="3"/>
    <n v="10"/>
    <n v="3"/>
    <n v="2"/>
    <x v="7"/>
    <n v="7"/>
    <n v="1"/>
    <n v="7"/>
    <x v="1"/>
    <n v="0"/>
    <n v="1"/>
    <n v="2"/>
    <n v="0"/>
    <n v="0"/>
    <n v="1"/>
    <n v="0"/>
    <n v="0"/>
    <n v="4.204533129978131"/>
    <n v="0.14485673308716898"/>
    <x v="2"/>
    <n v="0"/>
  </r>
  <r>
    <x v="810"/>
    <x v="21"/>
    <x v="0"/>
    <n v="406"/>
    <x v="0"/>
    <n v="3"/>
    <n v="1"/>
    <x v="3"/>
    <n v="1"/>
    <x v="1"/>
    <n v="52"/>
    <n v="3"/>
    <n v="4"/>
    <x v="5"/>
    <n v="3"/>
    <x v="1"/>
    <x v="766"/>
    <n v="15596"/>
    <n v="3"/>
    <x v="1"/>
    <n v="0.12"/>
    <n v="3"/>
    <n v="4"/>
    <n v="1"/>
    <n v="23"/>
    <n v="3"/>
    <n v="3"/>
    <x v="12"/>
    <n v="9"/>
    <n v="4"/>
    <n v="9"/>
    <x v="1"/>
    <n v="1"/>
    <n v="1"/>
    <n v="1"/>
    <n v="0"/>
    <n v="0"/>
    <n v="0"/>
    <n v="0"/>
    <n v="0"/>
    <n v="0"/>
    <n v="0"/>
    <x v="2"/>
    <n v="0"/>
  </r>
  <r>
    <x v="811"/>
    <x v="8"/>
    <x v="0"/>
    <n v="130"/>
    <x v="0"/>
    <n v="2"/>
    <n v="2"/>
    <x v="3"/>
    <n v="4"/>
    <x v="1"/>
    <n v="32"/>
    <n v="3"/>
    <n v="3"/>
    <x v="0"/>
    <n v="2"/>
    <x v="0"/>
    <x v="767"/>
    <n v="20619"/>
    <n v="7"/>
    <x v="1"/>
    <n v="0.16"/>
    <n v="3"/>
    <n v="3"/>
    <n v="0"/>
    <n v="10"/>
    <n v="2"/>
    <n v="3"/>
    <x v="6"/>
    <n v="0"/>
    <n v="0"/>
    <n v="0"/>
    <x v="1"/>
    <n v="1"/>
    <n v="1"/>
    <n v="0"/>
    <n v="0"/>
    <n v="0"/>
    <n v="1"/>
    <n v="0"/>
    <n v="0"/>
    <n v="4.204533129978131"/>
    <n v="0.14485673308716898"/>
    <x v="2"/>
    <n v="0"/>
  </r>
  <r>
    <x v="812"/>
    <x v="23"/>
    <x v="1"/>
    <n v="1082"/>
    <x v="1"/>
    <n v="27"/>
    <n v="3"/>
    <x v="0"/>
    <n v="3"/>
    <x v="0"/>
    <n v="83"/>
    <n v="3"/>
    <n v="3"/>
    <x v="3"/>
    <n v="1"/>
    <x v="1"/>
    <x v="768"/>
    <n v="11535"/>
    <n v="8"/>
    <x v="1"/>
    <n v="0.11"/>
    <n v="3"/>
    <n v="3"/>
    <n v="1"/>
    <n v="18"/>
    <n v="1"/>
    <n v="3"/>
    <x v="3"/>
    <n v="7"/>
    <n v="0"/>
    <n v="1"/>
    <x v="1"/>
    <n v="0"/>
    <n v="2"/>
    <n v="1"/>
    <n v="0"/>
    <n v="1"/>
    <n v="1"/>
    <n v="0"/>
    <n v="1"/>
    <n v="12.531029806343685"/>
    <n v="0.43172546959436786"/>
    <x v="0"/>
    <n v="0"/>
  </r>
  <r>
    <x v="813"/>
    <x v="22"/>
    <x v="1"/>
    <n v="203"/>
    <x v="1"/>
    <n v="2"/>
    <n v="3"/>
    <x v="0"/>
    <n v="1"/>
    <x v="1"/>
    <n v="84"/>
    <n v="3"/>
    <n v="4"/>
    <x v="4"/>
    <n v="4"/>
    <x v="2"/>
    <x v="769"/>
    <n v="13547"/>
    <n v="7"/>
    <x v="1"/>
    <n v="0.11"/>
    <n v="3"/>
    <n v="4"/>
    <n v="3"/>
    <n v="21"/>
    <n v="4"/>
    <n v="3"/>
    <x v="29"/>
    <n v="7"/>
    <n v="11"/>
    <n v="5"/>
    <x v="0"/>
    <n v="1"/>
    <n v="2"/>
    <n v="2"/>
    <n v="0"/>
    <n v="0"/>
    <n v="0"/>
    <n v="0"/>
    <n v="1"/>
    <n v="5.1603899804901765"/>
    <n v="0.17778840383009531"/>
    <x v="2"/>
    <n v="0"/>
  </r>
  <r>
    <x v="814"/>
    <x v="32"/>
    <x v="0"/>
    <n v="1308"/>
    <x v="1"/>
    <n v="14"/>
    <n v="3"/>
    <x v="2"/>
    <n v="3"/>
    <x v="1"/>
    <n v="44"/>
    <n v="2"/>
    <n v="5"/>
    <x v="7"/>
    <n v="3"/>
    <x v="0"/>
    <x v="770"/>
    <n v="17544"/>
    <n v="1"/>
    <x v="1"/>
    <n v="0.14000000000000001"/>
    <n v="3"/>
    <n v="1"/>
    <n v="0"/>
    <n v="21"/>
    <n v="2"/>
    <n v="4"/>
    <x v="23"/>
    <n v="7"/>
    <n v="4"/>
    <n v="9"/>
    <x v="1"/>
    <n v="1"/>
    <n v="1"/>
    <n v="0"/>
    <n v="0"/>
    <n v="0"/>
    <n v="0"/>
    <n v="0"/>
    <n v="0"/>
    <n v="0"/>
    <n v="0"/>
    <x v="2"/>
    <n v="0"/>
  </r>
  <r>
    <x v="815"/>
    <x v="18"/>
    <x v="0"/>
    <n v="984"/>
    <x v="1"/>
    <n v="1"/>
    <n v="1"/>
    <x v="4"/>
    <n v="4"/>
    <x v="0"/>
    <n v="70"/>
    <n v="2"/>
    <n v="1"/>
    <x v="1"/>
    <n v="2"/>
    <x v="0"/>
    <x v="266"/>
    <n v="25326"/>
    <n v="1"/>
    <x v="0"/>
    <n v="0.11"/>
    <n v="3"/>
    <n v="3"/>
    <n v="0"/>
    <n v="2"/>
    <n v="6"/>
    <n v="4"/>
    <x v="4"/>
    <n v="2"/>
    <n v="2"/>
    <n v="2"/>
    <x v="1"/>
    <n v="0"/>
    <n v="1"/>
    <n v="0"/>
    <n v="1"/>
    <n v="0"/>
    <n v="1"/>
    <n v="1"/>
    <n v="0"/>
    <n v="20.698962067398959"/>
    <n v="0.71313126349280109"/>
    <x v="1"/>
    <n v="3105"/>
  </r>
  <r>
    <x v="816"/>
    <x v="22"/>
    <x v="2"/>
    <n v="439"/>
    <x v="1"/>
    <n v="9"/>
    <n v="3"/>
    <x v="0"/>
    <n v="3"/>
    <x v="1"/>
    <n v="70"/>
    <n v="3"/>
    <n v="2"/>
    <x v="2"/>
    <n v="2"/>
    <x v="0"/>
    <x v="771"/>
    <n v="8770"/>
    <n v="9"/>
    <x v="1"/>
    <n v="0.15"/>
    <n v="3"/>
    <n v="3"/>
    <n v="0"/>
    <n v="9"/>
    <n v="2"/>
    <n v="2"/>
    <x v="8"/>
    <n v="4"/>
    <n v="0"/>
    <n v="3"/>
    <x v="1"/>
    <n v="1"/>
    <n v="0"/>
    <n v="0"/>
    <n v="0"/>
    <n v="0"/>
    <n v="1"/>
    <n v="0"/>
    <n v="0"/>
    <n v="4.204533129978131"/>
    <n v="0.14485673308716898"/>
    <x v="2"/>
    <n v="0"/>
  </r>
  <r>
    <x v="817"/>
    <x v="9"/>
    <x v="2"/>
    <n v="217"/>
    <x v="1"/>
    <n v="18"/>
    <n v="4"/>
    <x v="0"/>
    <n v="1"/>
    <x v="1"/>
    <n v="78"/>
    <n v="3"/>
    <n v="2"/>
    <x v="3"/>
    <n v="4"/>
    <x v="0"/>
    <x v="772"/>
    <n v="23238"/>
    <n v="2"/>
    <x v="1"/>
    <n v="0.2"/>
    <n v="4"/>
    <n v="1"/>
    <n v="0"/>
    <n v="18"/>
    <n v="0"/>
    <n v="3"/>
    <x v="19"/>
    <n v="9"/>
    <n v="0"/>
    <n v="9"/>
    <x v="1"/>
    <n v="1"/>
    <n v="0"/>
    <n v="0"/>
    <n v="0"/>
    <n v="1"/>
    <n v="0"/>
    <n v="0"/>
    <n v="0"/>
    <n v="3.1661066958753779"/>
    <n v="0.10908033267710357"/>
    <x v="2"/>
    <n v="0"/>
  </r>
  <r>
    <x v="818"/>
    <x v="12"/>
    <x v="1"/>
    <n v="793"/>
    <x v="0"/>
    <n v="20"/>
    <n v="3"/>
    <x v="0"/>
    <n v="3"/>
    <x v="1"/>
    <n v="67"/>
    <n v="4"/>
    <n v="1"/>
    <x v="6"/>
    <n v="4"/>
    <x v="1"/>
    <x v="773"/>
    <n v="21981"/>
    <n v="0"/>
    <x v="1"/>
    <n v="0.12"/>
    <n v="3"/>
    <n v="1"/>
    <n v="1"/>
    <n v="3"/>
    <n v="4"/>
    <n v="3"/>
    <x v="4"/>
    <n v="2"/>
    <n v="2"/>
    <n v="2"/>
    <x v="1"/>
    <n v="1"/>
    <n v="2"/>
    <n v="1"/>
    <n v="0"/>
    <n v="1"/>
    <n v="0"/>
    <n v="1"/>
    <n v="1"/>
    <n v="14.820925613786383"/>
    <n v="0.51061813508702369"/>
    <x v="1"/>
    <n v="4186.5"/>
  </r>
  <r>
    <x v="819"/>
    <x v="14"/>
    <x v="0"/>
    <n v="1451"/>
    <x v="1"/>
    <n v="2"/>
    <n v="1"/>
    <x v="0"/>
    <n v="1"/>
    <x v="1"/>
    <n v="67"/>
    <n v="2"/>
    <n v="1"/>
    <x v="1"/>
    <n v="2"/>
    <x v="1"/>
    <x v="774"/>
    <n v="19911"/>
    <n v="0"/>
    <x v="1"/>
    <n v="0.17"/>
    <n v="3"/>
    <n v="1"/>
    <n v="0"/>
    <n v="6"/>
    <n v="2"/>
    <n v="1"/>
    <x v="8"/>
    <n v="3"/>
    <n v="0"/>
    <n v="4"/>
    <x v="1"/>
    <n v="1"/>
    <n v="1"/>
    <n v="1"/>
    <n v="0"/>
    <n v="0"/>
    <n v="1"/>
    <n v="1"/>
    <n v="0"/>
    <n v="10.698962067398959"/>
    <n v="0.3686061316669938"/>
    <x v="0"/>
    <n v="0"/>
  </r>
  <r>
    <x v="820"/>
    <x v="10"/>
    <x v="1"/>
    <n v="1182"/>
    <x v="0"/>
    <n v="11"/>
    <n v="2"/>
    <x v="3"/>
    <n v="4"/>
    <x v="1"/>
    <n v="54"/>
    <n v="3"/>
    <n v="2"/>
    <x v="0"/>
    <n v="4"/>
    <x v="2"/>
    <x v="775"/>
    <n v="18500"/>
    <n v="1"/>
    <x v="1"/>
    <n v="0.11"/>
    <n v="3"/>
    <n v="4"/>
    <n v="1"/>
    <n v="5"/>
    <n v="3"/>
    <n v="3"/>
    <x v="8"/>
    <n v="2"/>
    <n v="0"/>
    <n v="2"/>
    <x v="1"/>
    <n v="1"/>
    <n v="2"/>
    <n v="2"/>
    <n v="0"/>
    <n v="0"/>
    <n v="0"/>
    <n v="0"/>
    <n v="1"/>
    <n v="5.1603899804901765"/>
    <n v="0.17778840383009531"/>
    <x v="2"/>
    <n v="0"/>
  </r>
  <r>
    <x v="821"/>
    <x v="1"/>
    <x v="0"/>
    <n v="174"/>
    <x v="0"/>
    <n v="8"/>
    <n v="4"/>
    <x v="4"/>
    <n v="4"/>
    <x v="1"/>
    <n v="56"/>
    <n v="2"/>
    <n v="4"/>
    <x v="0"/>
    <n v="2"/>
    <x v="1"/>
    <x v="776"/>
    <n v="11879"/>
    <n v="6"/>
    <x v="1"/>
    <n v="0.17"/>
    <n v="3"/>
    <n v="2"/>
    <n v="1"/>
    <n v="22"/>
    <n v="3"/>
    <n v="3"/>
    <x v="7"/>
    <n v="8"/>
    <n v="2"/>
    <n v="3"/>
    <x v="1"/>
    <n v="1"/>
    <n v="1"/>
    <n v="1"/>
    <n v="0"/>
    <n v="0"/>
    <n v="1"/>
    <n v="0"/>
    <n v="0"/>
    <n v="4.204533129978131"/>
    <n v="0.14485673308716898"/>
    <x v="2"/>
    <n v="0"/>
  </r>
  <r>
    <x v="822"/>
    <x v="13"/>
    <x v="1"/>
    <n v="1003"/>
    <x v="1"/>
    <n v="2"/>
    <n v="2"/>
    <x v="0"/>
    <n v="4"/>
    <x v="1"/>
    <n v="95"/>
    <n v="3"/>
    <n v="2"/>
    <x v="3"/>
    <n v="3"/>
    <x v="0"/>
    <x v="777"/>
    <n v="15834"/>
    <n v="2"/>
    <x v="1"/>
    <n v="0.11"/>
    <n v="3"/>
    <n v="4"/>
    <n v="0"/>
    <n v="5"/>
    <n v="3"/>
    <n v="2"/>
    <x v="11"/>
    <n v="2"/>
    <n v="0"/>
    <n v="2"/>
    <x v="1"/>
    <n v="1"/>
    <n v="2"/>
    <n v="0"/>
    <n v="0"/>
    <n v="0"/>
    <n v="0"/>
    <n v="1"/>
    <n v="1"/>
    <n v="11.654818917911005"/>
    <n v="0.40153780240992015"/>
    <x v="0"/>
    <n v="0"/>
  </r>
  <r>
    <x v="823"/>
    <x v="11"/>
    <x v="1"/>
    <n v="490"/>
    <x v="1"/>
    <n v="10"/>
    <n v="3"/>
    <x v="0"/>
    <n v="4"/>
    <x v="0"/>
    <n v="61"/>
    <n v="3"/>
    <n v="1"/>
    <x v="1"/>
    <n v="2"/>
    <x v="2"/>
    <x v="778"/>
    <n v="17940"/>
    <n v="0"/>
    <x v="1"/>
    <n v="0.14000000000000001"/>
    <n v="3"/>
    <n v="4"/>
    <n v="2"/>
    <n v="8"/>
    <n v="2"/>
    <n v="2"/>
    <x v="5"/>
    <n v="5"/>
    <n v="1"/>
    <n v="1"/>
    <x v="1"/>
    <n v="0"/>
    <n v="2"/>
    <n v="2"/>
    <n v="0"/>
    <n v="0"/>
    <n v="1"/>
    <n v="1"/>
    <n v="1"/>
    <n v="15.859352047889136"/>
    <n v="0.54639453549708916"/>
    <x v="1"/>
    <n v="4936.5"/>
  </r>
  <r>
    <x v="824"/>
    <x v="19"/>
    <x v="0"/>
    <n v="188"/>
    <x v="1"/>
    <n v="29"/>
    <n v="3"/>
    <x v="2"/>
    <n v="2"/>
    <x v="1"/>
    <n v="56"/>
    <n v="1"/>
    <n v="2"/>
    <x v="2"/>
    <n v="4"/>
    <x v="0"/>
    <x v="779"/>
    <n v="9558"/>
    <n v="4"/>
    <x v="1"/>
    <n v="0.19"/>
    <n v="3"/>
    <n v="1"/>
    <n v="0"/>
    <n v="16"/>
    <n v="3"/>
    <n v="3"/>
    <x v="6"/>
    <n v="0"/>
    <n v="0"/>
    <n v="0"/>
    <x v="1"/>
    <n v="1"/>
    <n v="1"/>
    <n v="0"/>
    <n v="0"/>
    <n v="1"/>
    <n v="0"/>
    <n v="1"/>
    <n v="0"/>
    <n v="9.660535633296206"/>
    <n v="0.33282973125692844"/>
    <x v="0"/>
    <n v="0"/>
  </r>
  <r>
    <x v="825"/>
    <x v="11"/>
    <x v="0"/>
    <n v="718"/>
    <x v="1"/>
    <n v="8"/>
    <n v="1"/>
    <x v="2"/>
    <n v="2"/>
    <x v="1"/>
    <n v="79"/>
    <n v="2"/>
    <n v="2"/>
    <x v="3"/>
    <n v="4"/>
    <x v="1"/>
    <x v="780"/>
    <n v="17689"/>
    <n v="1"/>
    <x v="0"/>
    <n v="0.15"/>
    <n v="3"/>
    <n v="3"/>
    <n v="1"/>
    <n v="10"/>
    <n v="2"/>
    <n v="2"/>
    <x v="1"/>
    <n v="7"/>
    <n v="1"/>
    <n v="2"/>
    <x v="1"/>
    <n v="1"/>
    <n v="1"/>
    <n v="1"/>
    <n v="1"/>
    <n v="0"/>
    <n v="0"/>
    <n v="0"/>
    <n v="0"/>
    <n v="10"/>
    <n v="0.3445251318258073"/>
    <x v="0"/>
    <n v="0"/>
  </r>
  <r>
    <x v="826"/>
    <x v="8"/>
    <x v="0"/>
    <n v="433"/>
    <x v="2"/>
    <n v="1"/>
    <n v="3"/>
    <x v="5"/>
    <n v="3"/>
    <x v="1"/>
    <n v="37"/>
    <n v="4"/>
    <n v="1"/>
    <x v="8"/>
    <n v="3"/>
    <x v="1"/>
    <x v="781"/>
    <n v="6004"/>
    <n v="1"/>
    <x v="1"/>
    <n v="0.13"/>
    <n v="3"/>
    <n v="4"/>
    <n v="1"/>
    <n v="7"/>
    <n v="2"/>
    <n v="4"/>
    <x v="5"/>
    <n v="6"/>
    <n v="5"/>
    <n v="0"/>
    <x v="1"/>
    <n v="1"/>
    <n v="1"/>
    <n v="1"/>
    <n v="0"/>
    <n v="0"/>
    <n v="0"/>
    <n v="1"/>
    <n v="0"/>
    <n v="6.4944289374208282"/>
    <n v="0.22374939857982484"/>
    <x v="2"/>
    <n v="0"/>
  </r>
  <r>
    <x v="827"/>
    <x v="14"/>
    <x v="1"/>
    <n v="773"/>
    <x v="1"/>
    <n v="6"/>
    <n v="3"/>
    <x v="0"/>
    <n v="3"/>
    <x v="1"/>
    <n v="39"/>
    <n v="2"/>
    <n v="1"/>
    <x v="1"/>
    <n v="3"/>
    <x v="2"/>
    <x v="68"/>
    <n v="22088"/>
    <n v="1"/>
    <x v="0"/>
    <n v="0.14000000000000001"/>
    <n v="3"/>
    <n v="4"/>
    <n v="1"/>
    <n v="3"/>
    <n v="2"/>
    <n v="3"/>
    <x v="11"/>
    <n v="1"/>
    <n v="0"/>
    <n v="2"/>
    <x v="1"/>
    <n v="1"/>
    <n v="2"/>
    <n v="2"/>
    <n v="1"/>
    <n v="0"/>
    <n v="0"/>
    <n v="1"/>
    <n v="1"/>
    <n v="21.654818917911005"/>
    <n v="0.74606293423572745"/>
    <x v="1"/>
    <n v="4054.5"/>
  </r>
  <r>
    <x v="828"/>
    <x v="41"/>
    <x v="2"/>
    <n v="247"/>
    <x v="1"/>
    <n v="8"/>
    <n v="1"/>
    <x v="2"/>
    <n v="3"/>
    <x v="1"/>
    <n v="80"/>
    <n v="3"/>
    <n v="1"/>
    <x v="2"/>
    <n v="3"/>
    <x v="0"/>
    <x v="782"/>
    <n v="13556"/>
    <n v="1"/>
    <x v="1"/>
    <n v="0.12"/>
    <n v="3"/>
    <n v="4"/>
    <n v="0"/>
    <n v="0"/>
    <n v="0"/>
    <n v="3"/>
    <x v="2"/>
    <n v="0"/>
    <n v="0"/>
    <n v="0"/>
    <x v="0"/>
    <n v="1"/>
    <n v="0"/>
    <n v="0"/>
    <n v="0"/>
    <n v="0"/>
    <n v="0"/>
    <n v="1"/>
    <n v="0"/>
    <n v="6.4944289374208282"/>
    <n v="0.22374939857982484"/>
    <x v="2"/>
    <n v="0"/>
  </r>
  <r>
    <x v="829"/>
    <x v="3"/>
    <x v="0"/>
    <n v="603"/>
    <x v="0"/>
    <n v="9"/>
    <n v="4"/>
    <x v="3"/>
    <n v="1"/>
    <x v="0"/>
    <n v="77"/>
    <n v="3"/>
    <n v="2"/>
    <x v="0"/>
    <n v="1"/>
    <x v="0"/>
    <x v="783"/>
    <n v="18385"/>
    <n v="0"/>
    <x v="0"/>
    <n v="0.17"/>
    <n v="3"/>
    <n v="1"/>
    <n v="0"/>
    <n v="6"/>
    <n v="3"/>
    <n v="3"/>
    <x v="8"/>
    <n v="2"/>
    <n v="0"/>
    <n v="3"/>
    <x v="0"/>
    <n v="0"/>
    <n v="1"/>
    <n v="0"/>
    <n v="1"/>
    <n v="0"/>
    <n v="1"/>
    <n v="0"/>
    <n v="0"/>
    <n v="14.204533129978131"/>
    <n v="0.48938186491297625"/>
    <x v="0"/>
    <n v="0"/>
  </r>
  <r>
    <x v="830"/>
    <x v="0"/>
    <x v="0"/>
    <n v="167"/>
    <x v="1"/>
    <n v="12"/>
    <n v="4"/>
    <x v="0"/>
    <n v="2"/>
    <x v="1"/>
    <n v="46"/>
    <n v="3"/>
    <n v="1"/>
    <x v="2"/>
    <n v="4"/>
    <x v="1"/>
    <x v="784"/>
    <n v="9051"/>
    <n v="3"/>
    <x v="0"/>
    <n v="0.11"/>
    <n v="3"/>
    <n v="1"/>
    <n v="1"/>
    <n v="6"/>
    <n v="4"/>
    <n v="3"/>
    <x v="6"/>
    <n v="0"/>
    <n v="0"/>
    <n v="0"/>
    <x v="1"/>
    <n v="1"/>
    <n v="1"/>
    <n v="1"/>
    <n v="1"/>
    <n v="0"/>
    <n v="0"/>
    <n v="1"/>
    <n v="0"/>
    <n v="16.494428937420828"/>
    <n v="0.56827453040563214"/>
    <x v="1"/>
    <n v="7149"/>
  </r>
  <r>
    <x v="831"/>
    <x v="12"/>
    <x v="1"/>
    <n v="874"/>
    <x v="1"/>
    <n v="15"/>
    <n v="3"/>
    <x v="2"/>
    <n v="3"/>
    <x v="1"/>
    <n v="72"/>
    <n v="3"/>
    <n v="1"/>
    <x v="2"/>
    <n v="3"/>
    <x v="1"/>
    <x v="353"/>
    <n v="6233"/>
    <n v="1"/>
    <x v="1"/>
    <n v="0.12"/>
    <n v="3"/>
    <n v="3"/>
    <n v="1"/>
    <n v="2"/>
    <n v="5"/>
    <n v="2"/>
    <x v="4"/>
    <n v="2"/>
    <n v="2"/>
    <n v="2"/>
    <x v="0"/>
    <n v="1"/>
    <n v="2"/>
    <n v="1"/>
    <n v="0"/>
    <n v="0"/>
    <n v="0"/>
    <n v="1"/>
    <n v="1"/>
    <n v="11.654818917911005"/>
    <n v="0.40153780240992015"/>
    <x v="0"/>
    <n v="0"/>
  </r>
  <r>
    <x v="832"/>
    <x v="2"/>
    <x v="0"/>
    <n v="367"/>
    <x v="1"/>
    <n v="25"/>
    <n v="2"/>
    <x v="2"/>
    <n v="3"/>
    <x v="0"/>
    <n v="52"/>
    <n v="2"/>
    <n v="2"/>
    <x v="4"/>
    <n v="4"/>
    <x v="2"/>
    <x v="785"/>
    <n v="17171"/>
    <n v="7"/>
    <x v="1"/>
    <n v="0.13"/>
    <n v="3"/>
    <n v="3"/>
    <n v="2"/>
    <n v="9"/>
    <n v="2"/>
    <n v="3"/>
    <x v="0"/>
    <n v="2"/>
    <n v="1"/>
    <n v="3"/>
    <x v="1"/>
    <n v="0"/>
    <n v="1"/>
    <n v="2"/>
    <n v="0"/>
    <n v="1"/>
    <n v="0"/>
    <n v="0"/>
    <n v="0"/>
    <n v="3.1661066958753779"/>
    <n v="0.10908033267710357"/>
    <x v="2"/>
    <n v="0"/>
  </r>
  <r>
    <x v="833"/>
    <x v="4"/>
    <x v="0"/>
    <n v="199"/>
    <x v="1"/>
    <n v="6"/>
    <n v="3"/>
    <x v="0"/>
    <n v="4"/>
    <x v="1"/>
    <n v="55"/>
    <n v="2"/>
    <n v="1"/>
    <x v="1"/>
    <n v="3"/>
    <x v="1"/>
    <x v="786"/>
    <n v="7950"/>
    <n v="1"/>
    <x v="1"/>
    <n v="0.13"/>
    <n v="3"/>
    <n v="3"/>
    <n v="1"/>
    <n v="4"/>
    <n v="0"/>
    <n v="3"/>
    <x v="9"/>
    <n v="2"/>
    <n v="2"/>
    <n v="2"/>
    <x v="1"/>
    <n v="1"/>
    <n v="1"/>
    <n v="1"/>
    <n v="0"/>
    <n v="0"/>
    <n v="0"/>
    <n v="1"/>
    <n v="0"/>
    <n v="6.4944289374208282"/>
    <n v="0.22374939857982484"/>
    <x v="2"/>
    <n v="0"/>
  </r>
  <r>
    <x v="834"/>
    <x v="13"/>
    <x v="0"/>
    <n v="1400"/>
    <x v="0"/>
    <n v="9"/>
    <n v="1"/>
    <x v="0"/>
    <n v="2"/>
    <x v="0"/>
    <n v="70"/>
    <n v="3"/>
    <n v="2"/>
    <x v="0"/>
    <n v="3"/>
    <x v="1"/>
    <x v="787"/>
    <n v="5829"/>
    <n v="1"/>
    <x v="1"/>
    <n v="0.2"/>
    <n v="4"/>
    <n v="1"/>
    <n v="0"/>
    <n v="6"/>
    <n v="3"/>
    <n v="2"/>
    <x v="0"/>
    <n v="5"/>
    <n v="1"/>
    <n v="3"/>
    <x v="1"/>
    <n v="0"/>
    <n v="1"/>
    <n v="1"/>
    <n v="0"/>
    <n v="0"/>
    <n v="0"/>
    <n v="0"/>
    <n v="0"/>
    <n v="0"/>
    <n v="0"/>
    <x v="2"/>
    <n v="0"/>
  </r>
  <r>
    <x v="835"/>
    <x v="10"/>
    <x v="0"/>
    <n v="528"/>
    <x v="2"/>
    <n v="8"/>
    <n v="4"/>
    <x v="4"/>
    <n v="3"/>
    <x v="1"/>
    <n v="100"/>
    <n v="3"/>
    <n v="1"/>
    <x v="8"/>
    <n v="3"/>
    <x v="0"/>
    <x v="788"/>
    <n v="7108"/>
    <n v="1"/>
    <x v="1"/>
    <n v="0.17"/>
    <n v="3"/>
    <n v="2"/>
    <n v="0"/>
    <n v="6"/>
    <n v="2"/>
    <n v="1"/>
    <x v="8"/>
    <n v="4"/>
    <n v="1"/>
    <n v="4"/>
    <x v="1"/>
    <n v="1"/>
    <n v="1"/>
    <n v="0"/>
    <n v="0"/>
    <n v="0"/>
    <n v="0"/>
    <n v="1"/>
    <n v="0"/>
    <n v="6.4944289374208282"/>
    <n v="0.22374939857982484"/>
    <x v="2"/>
    <n v="0"/>
  </r>
  <r>
    <x v="836"/>
    <x v="11"/>
    <x v="0"/>
    <n v="408"/>
    <x v="0"/>
    <n v="23"/>
    <n v="1"/>
    <x v="0"/>
    <n v="4"/>
    <x v="0"/>
    <n v="45"/>
    <n v="2"/>
    <n v="3"/>
    <x v="0"/>
    <n v="1"/>
    <x v="1"/>
    <x v="789"/>
    <n v="11162"/>
    <n v="1"/>
    <x v="1"/>
    <n v="0.13"/>
    <n v="3"/>
    <n v="1"/>
    <n v="1"/>
    <n v="11"/>
    <n v="3"/>
    <n v="1"/>
    <x v="19"/>
    <n v="8"/>
    <n v="3"/>
    <n v="10"/>
    <x v="0"/>
    <n v="0"/>
    <n v="1"/>
    <n v="1"/>
    <n v="0"/>
    <n v="1"/>
    <n v="1"/>
    <n v="0"/>
    <n v="0"/>
    <n v="7.3706398258535089"/>
    <n v="0.25393706576427255"/>
    <x v="0"/>
    <n v="0"/>
  </r>
  <r>
    <x v="837"/>
    <x v="32"/>
    <x v="1"/>
    <n v="593"/>
    <x v="1"/>
    <n v="9"/>
    <n v="4"/>
    <x v="2"/>
    <n v="2"/>
    <x v="0"/>
    <n v="88"/>
    <n v="3"/>
    <n v="3"/>
    <x v="7"/>
    <n v="3"/>
    <x v="0"/>
    <x v="790"/>
    <n v="13782"/>
    <n v="9"/>
    <x v="1"/>
    <n v="0.17"/>
    <n v="3"/>
    <n v="3"/>
    <n v="0"/>
    <n v="20"/>
    <n v="3"/>
    <n v="2"/>
    <x v="29"/>
    <n v="7"/>
    <n v="2"/>
    <n v="13"/>
    <x v="1"/>
    <n v="0"/>
    <n v="2"/>
    <n v="0"/>
    <n v="0"/>
    <n v="0"/>
    <n v="0"/>
    <n v="0"/>
    <n v="1"/>
    <n v="5.1603899804901765"/>
    <n v="0.17778840383009531"/>
    <x v="2"/>
    <n v="0"/>
  </r>
  <r>
    <x v="838"/>
    <x v="19"/>
    <x v="1"/>
    <n v="481"/>
    <x v="0"/>
    <n v="12"/>
    <n v="3"/>
    <x v="0"/>
    <n v="3"/>
    <x v="1"/>
    <n v="44"/>
    <n v="3"/>
    <n v="4"/>
    <x v="0"/>
    <n v="1"/>
    <x v="0"/>
    <x v="791"/>
    <n v="2447"/>
    <n v="0"/>
    <x v="0"/>
    <n v="0.12"/>
    <n v="3"/>
    <n v="2"/>
    <n v="0"/>
    <n v="22"/>
    <n v="2"/>
    <n v="2"/>
    <x v="17"/>
    <n v="9"/>
    <n v="13"/>
    <n v="14"/>
    <x v="0"/>
    <n v="1"/>
    <n v="2"/>
    <n v="0"/>
    <n v="1"/>
    <n v="0"/>
    <n v="1"/>
    <n v="0"/>
    <n v="1"/>
    <n v="19.364923110468307"/>
    <n v="0.66717026874307161"/>
    <x v="1"/>
    <n v="20637"/>
  </r>
  <r>
    <x v="839"/>
    <x v="19"/>
    <x v="0"/>
    <n v="647"/>
    <x v="0"/>
    <n v="4"/>
    <n v="4"/>
    <x v="3"/>
    <n v="2"/>
    <x v="1"/>
    <n v="45"/>
    <n v="3"/>
    <n v="2"/>
    <x v="0"/>
    <n v="1"/>
    <x v="0"/>
    <x v="792"/>
    <n v="2253"/>
    <n v="7"/>
    <x v="1"/>
    <n v="0.13"/>
    <n v="3"/>
    <n v="4"/>
    <n v="0"/>
    <n v="9"/>
    <n v="3"/>
    <n v="4"/>
    <x v="0"/>
    <n v="4"/>
    <n v="1"/>
    <n v="5"/>
    <x v="1"/>
    <n v="1"/>
    <n v="1"/>
    <n v="0"/>
    <n v="0"/>
    <n v="0"/>
    <n v="1"/>
    <n v="0"/>
    <n v="0"/>
    <n v="4.204533129978131"/>
    <n v="0.14485673308716898"/>
    <x v="2"/>
    <n v="0"/>
  </r>
  <r>
    <x v="840"/>
    <x v="10"/>
    <x v="0"/>
    <n v="982"/>
    <x v="1"/>
    <n v="1"/>
    <n v="4"/>
    <x v="2"/>
    <n v="4"/>
    <x v="1"/>
    <n v="58"/>
    <n v="2"/>
    <n v="1"/>
    <x v="2"/>
    <n v="3"/>
    <x v="1"/>
    <x v="384"/>
    <n v="16340"/>
    <n v="6"/>
    <x v="1"/>
    <n v="0.12"/>
    <n v="3"/>
    <n v="2"/>
    <n v="1"/>
    <n v="10"/>
    <n v="2"/>
    <n v="3"/>
    <x v="3"/>
    <n v="0"/>
    <n v="1"/>
    <n v="7"/>
    <x v="1"/>
    <n v="1"/>
    <n v="1"/>
    <n v="1"/>
    <n v="0"/>
    <n v="0"/>
    <n v="0"/>
    <n v="1"/>
    <n v="0"/>
    <n v="6.4944289374208282"/>
    <n v="0.22374939857982484"/>
    <x v="2"/>
    <n v="0"/>
  </r>
  <r>
    <x v="841"/>
    <x v="17"/>
    <x v="0"/>
    <n v="477"/>
    <x v="1"/>
    <n v="24"/>
    <n v="3"/>
    <x v="2"/>
    <n v="4"/>
    <x v="1"/>
    <n v="49"/>
    <n v="3"/>
    <n v="1"/>
    <x v="2"/>
    <n v="2"/>
    <x v="0"/>
    <x v="793"/>
    <n v="6409"/>
    <n v="8"/>
    <x v="1"/>
    <n v="0.22"/>
    <n v="4"/>
    <n v="4"/>
    <n v="0"/>
    <n v="6"/>
    <n v="2"/>
    <n v="3"/>
    <x v="9"/>
    <n v="3"/>
    <n v="1"/>
    <n v="2"/>
    <x v="1"/>
    <n v="1"/>
    <n v="1"/>
    <n v="0"/>
    <n v="0"/>
    <n v="1"/>
    <n v="1"/>
    <n v="1"/>
    <n v="0"/>
    <n v="13.865068763274337"/>
    <n v="0.47768646434409739"/>
    <x v="0"/>
    <n v="0"/>
  </r>
  <r>
    <x v="842"/>
    <x v="14"/>
    <x v="0"/>
    <n v="1485"/>
    <x v="1"/>
    <n v="12"/>
    <n v="1"/>
    <x v="0"/>
    <n v="3"/>
    <x v="0"/>
    <n v="79"/>
    <n v="3"/>
    <n v="1"/>
    <x v="2"/>
    <n v="4"/>
    <x v="1"/>
    <x v="605"/>
    <n v="22955"/>
    <n v="1"/>
    <x v="0"/>
    <n v="0.11"/>
    <n v="3"/>
    <n v="4"/>
    <n v="0"/>
    <n v="1"/>
    <n v="4"/>
    <n v="2"/>
    <x v="6"/>
    <n v="1"/>
    <n v="0"/>
    <n v="0"/>
    <x v="0"/>
    <n v="0"/>
    <n v="1"/>
    <n v="1"/>
    <n v="1"/>
    <n v="0"/>
    <n v="0"/>
    <n v="1"/>
    <n v="0"/>
    <n v="16.494428937420828"/>
    <n v="0.56827453040563214"/>
    <x v="1"/>
    <n v="3772.5"/>
  </r>
  <r>
    <x v="843"/>
    <x v="25"/>
    <x v="0"/>
    <n v="1384"/>
    <x v="1"/>
    <n v="3"/>
    <n v="4"/>
    <x v="2"/>
    <n v="1"/>
    <x v="1"/>
    <n v="82"/>
    <n v="4"/>
    <n v="1"/>
    <x v="2"/>
    <n v="4"/>
    <x v="1"/>
    <x v="794"/>
    <n v="13421"/>
    <n v="1"/>
    <x v="1"/>
    <n v="0.22"/>
    <n v="4"/>
    <n v="2"/>
    <n v="1"/>
    <n v="8"/>
    <n v="2"/>
    <n v="3"/>
    <x v="3"/>
    <n v="7"/>
    <n v="0"/>
    <n v="7"/>
    <x v="1"/>
    <n v="1"/>
    <n v="1"/>
    <n v="1"/>
    <n v="0"/>
    <n v="0"/>
    <n v="0"/>
    <n v="1"/>
    <n v="0"/>
    <n v="6.4944289374208282"/>
    <n v="0.22374939857982484"/>
    <x v="2"/>
    <n v="0"/>
  </r>
  <r>
    <x v="844"/>
    <x v="7"/>
    <x v="0"/>
    <n v="852"/>
    <x v="0"/>
    <n v="10"/>
    <n v="3"/>
    <x v="3"/>
    <n v="3"/>
    <x v="1"/>
    <n v="72"/>
    <n v="2"/>
    <n v="2"/>
    <x v="0"/>
    <n v="3"/>
    <x v="1"/>
    <x v="795"/>
    <n v="2706"/>
    <n v="1"/>
    <x v="1"/>
    <n v="0.18"/>
    <n v="3"/>
    <n v="1"/>
    <n v="1"/>
    <n v="10"/>
    <n v="3"/>
    <n v="3"/>
    <x v="1"/>
    <n v="3"/>
    <n v="1"/>
    <n v="4"/>
    <x v="1"/>
    <n v="1"/>
    <n v="1"/>
    <n v="1"/>
    <n v="0"/>
    <n v="0"/>
    <n v="0"/>
    <n v="0"/>
    <n v="0"/>
    <n v="0"/>
    <n v="0"/>
    <x v="2"/>
    <n v="0"/>
  </r>
  <r>
    <x v="845"/>
    <x v="32"/>
    <x v="1"/>
    <n v="902"/>
    <x v="1"/>
    <n v="26"/>
    <n v="2"/>
    <x v="2"/>
    <n v="3"/>
    <x v="0"/>
    <n v="92"/>
    <n v="2"/>
    <n v="2"/>
    <x v="1"/>
    <n v="4"/>
    <x v="1"/>
    <x v="796"/>
    <n v="21203"/>
    <n v="3"/>
    <x v="0"/>
    <n v="0.13"/>
    <n v="3"/>
    <n v="4"/>
    <n v="1"/>
    <n v="16"/>
    <n v="3"/>
    <n v="1"/>
    <x v="6"/>
    <n v="1"/>
    <n v="0"/>
    <n v="0"/>
    <x v="1"/>
    <n v="0"/>
    <n v="2"/>
    <n v="1"/>
    <n v="1"/>
    <n v="1"/>
    <n v="0"/>
    <n v="1"/>
    <n v="1"/>
    <n v="24.820925613786383"/>
    <n v="0.85514326691283105"/>
    <x v="3"/>
    <n v="6633"/>
  </r>
  <r>
    <x v="846"/>
    <x v="10"/>
    <x v="0"/>
    <n v="819"/>
    <x v="1"/>
    <n v="2"/>
    <n v="3"/>
    <x v="0"/>
    <n v="3"/>
    <x v="1"/>
    <n v="44"/>
    <n v="2"/>
    <n v="3"/>
    <x v="3"/>
    <n v="2"/>
    <x v="2"/>
    <x v="797"/>
    <n v="19588"/>
    <n v="2"/>
    <x v="1"/>
    <n v="0.18"/>
    <n v="3"/>
    <n v="2"/>
    <n v="1"/>
    <n v="15"/>
    <n v="2"/>
    <n v="4"/>
    <x v="5"/>
    <n v="7"/>
    <n v="6"/>
    <n v="4"/>
    <x v="1"/>
    <n v="1"/>
    <n v="1"/>
    <n v="2"/>
    <n v="0"/>
    <n v="0"/>
    <n v="1"/>
    <n v="0"/>
    <n v="0"/>
    <n v="4.204533129978131"/>
    <n v="0.14485673308716898"/>
    <x v="2"/>
    <n v="0"/>
  </r>
  <r>
    <x v="847"/>
    <x v="13"/>
    <x v="1"/>
    <n v="669"/>
    <x v="1"/>
    <n v="1"/>
    <n v="3"/>
    <x v="2"/>
    <n v="4"/>
    <x v="1"/>
    <n v="97"/>
    <n v="2"/>
    <n v="2"/>
    <x v="4"/>
    <n v="1"/>
    <x v="0"/>
    <x v="798"/>
    <n v="25755"/>
    <n v="0"/>
    <x v="1"/>
    <n v="0.2"/>
    <n v="4"/>
    <n v="3"/>
    <n v="0"/>
    <n v="14"/>
    <n v="3"/>
    <n v="3"/>
    <x v="20"/>
    <n v="9"/>
    <n v="4"/>
    <n v="9"/>
    <x v="1"/>
    <n v="1"/>
    <n v="2"/>
    <n v="0"/>
    <n v="0"/>
    <n v="0"/>
    <n v="1"/>
    <n v="0"/>
    <n v="1"/>
    <n v="9.3649231104683075"/>
    <n v="0.32264513691726432"/>
    <x v="0"/>
    <n v="0"/>
  </r>
  <r>
    <x v="848"/>
    <x v="10"/>
    <x v="1"/>
    <n v="636"/>
    <x v="1"/>
    <n v="4"/>
    <n v="4"/>
    <x v="1"/>
    <n v="4"/>
    <x v="1"/>
    <n v="47"/>
    <n v="2"/>
    <n v="1"/>
    <x v="2"/>
    <n v="4"/>
    <x v="1"/>
    <x v="799"/>
    <n v="26537"/>
    <n v="1"/>
    <x v="1"/>
    <n v="0.13"/>
    <n v="3"/>
    <n v="2"/>
    <n v="1"/>
    <n v="2"/>
    <n v="2"/>
    <n v="4"/>
    <x v="4"/>
    <n v="2"/>
    <n v="2"/>
    <n v="2"/>
    <x v="1"/>
    <n v="1"/>
    <n v="2"/>
    <n v="1"/>
    <n v="0"/>
    <n v="0"/>
    <n v="0"/>
    <n v="1"/>
    <n v="1"/>
    <n v="11.654818917911005"/>
    <n v="0.40153780240992015"/>
    <x v="0"/>
    <n v="0"/>
  </r>
  <r>
    <x v="849"/>
    <x v="23"/>
    <x v="0"/>
    <n v="1372"/>
    <x v="0"/>
    <n v="9"/>
    <n v="3"/>
    <x v="3"/>
    <n v="1"/>
    <x v="0"/>
    <n v="85"/>
    <n v="1"/>
    <n v="2"/>
    <x v="0"/>
    <n v="3"/>
    <x v="0"/>
    <x v="800"/>
    <n v="9489"/>
    <n v="8"/>
    <x v="1"/>
    <n v="0.13"/>
    <n v="3"/>
    <n v="2"/>
    <n v="0"/>
    <n v="7"/>
    <n v="2"/>
    <n v="2"/>
    <x v="9"/>
    <n v="3"/>
    <n v="1"/>
    <n v="3"/>
    <x v="0"/>
    <n v="0"/>
    <n v="1"/>
    <n v="0"/>
    <n v="0"/>
    <n v="0"/>
    <n v="0"/>
    <n v="0"/>
    <n v="0"/>
    <n v="0"/>
    <n v="0"/>
    <x v="2"/>
    <n v="0"/>
  </r>
  <r>
    <x v="850"/>
    <x v="5"/>
    <x v="2"/>
    <n v="862"/>
    <x v="0"/>
    <n v="2"/>
    <n v="1"/>
    <x v="0"/>
    <n v="3"/>
    <x v="0"/>
    <n v="76"/>
    <n v="3"/>
    <n v="1"/>
    <x v="6"/>
    <n v="1"/>
    <x v="2"/>
    <x v="801"/>
    <n v="14947"/>
    <n v="1"/>
    <x v="1"/>
    <n v="0.12"/>
    <n v="3"/>
    <n v="3"/>
    <n v="3"/>
    <n v="1"/>
    <n v="3"/>
    <n v="3"/>
    <x v="6"/>
    <n v="0"/>
    <n v="0"/>
    <n v="0"/>
    <x v="1"/>
    <n v="0"/>
    <n v="0"/>
    <n v="2"/>
    <n v="0"/>
    <n v="0"/>
    <n v="1"/>
    <n v="1"/>
    <n v="0"/>
    <n v="10.698962067398959"/>
    <n v="0.3686061316669938"/>
    <x v="0"/>
    <n v="0"/>
  </r>
  <r>
    <x v="851"/>
    <x v="29"/>
    <x v="0"/>
    <n v="718"/>
    <x v="1"/>
    <n v="4"/>
    <n v="4"/>
    <x v="4"/>
    <n v="4"/>
    <x v="0"/>
    <n v="92"/>
    <n v="3"/>
    <n v="5"/>
    <x v="5"/>
    <n v="1"/>
    <x v="2"/>
    <x v="802"/>
    <n v="18575"/>
    <n v="4"/>
    <x v="1"/>
    <n v="0.13"/>
    <n v="3"/>
    <n v="4"/>
    <n v="1"/>
    <n v="28"/>
    <n v="2"/>
    <n v="3"/>
    <x v="8"/>
    <n v="2"/>
    <n v="4"/>
    <n v="2"/>
    <x v="1"/>
    <n v="0"/>
    <n v="1"/>
    <n v="2"/>
    <n v="0"/>
    <n v="0"/>
    <n v="1"/>
    <n v="0"/>
    <n v="0"/>
    <n v="4.204533129978131"/>
    <n v="0.14485673308716898"/>
    <x v="2"/>
    <n v="0"/>
  </r>
  <r>
    <x v="852"/>
    <x v="11"/>
    <x v="0"/>
    <n v="1401"/>
    <x v="1"/>
    <n v="6"/>
    <n v="1"/>
    <x v="2"/>
    <n v="2"/>
    <x v="0"/>
    <n v="54"/>
    <n v="3"/>
    <n v="1"/>
    <x v="2"/>
    <n v="4"/>
    <x v="1"/>
    <x v="803"/>
    <n v="26342"/>
    <n v="1"/>
    <x v="1"/>
    <n v="0.13"/>
    <n v="3"/>
    <n v="1"/>
    <n v="1"/>
    <n v="10"/>
    <n v="5"/>
    <n v="3"/>
    <x v="1"/>
    <n v="8"/>
    <n v="0"/>
    <n v="8"/>
    <x v="1"/>
    <n v="0"/>
    <n v="1"/>
    <n v="1"/>
    <n v="0"/>
    <n v="0"/>
    <n v="0"/>
    <n v="1"/>
    <n v="0"/>
    <n v="6.4944289374208282"/>
    <n v="0.22374939857982484"/>
    <x v="2"/>
    <n v="0"/>
  </r>
  <r>
    <x v="853"/>
    <x v="37"/>
    <x v="0"/>
    <n v="645"/>
    <x v="1"/>
    <n v="9"/>
    <n v="2"/>
    <x v="0"/>
    <n v="3"/>
    <x v="1"/>
    <n v="54"/>
    <n v="3"/>
    <n v="1"/>
    <x v="1"/>
    <n v="1"/>
    <x v="0"/>
    <x v="804"/>
    <n v="7172"/>
    <n v="1"/>
    <x v="1"/>
    <n v="0.25"/>
    <n v="4"/>
    <n v="3"/>
    <n v="0"/>
    <n v="1"/>
    <n v="4"/>
    <n v="3"/>
    <x v="6"/>
    <n v="1"/>
    <n v="0"/>
    <n v="0"/>
    <x v="1"/>
    <n v="1"/>
    <n v="1"/>
    <n v="0"/>
    <n v="0"/>
    <n v="0"/>
    <n v="1"/>
    <n v="1"/>
    <n v="0"/>
    <n v="10.698962067398959"/>
    <n v="0.3686061316669938"/>
    <x v="0"/>
    <n v="0"/>
  </r>
  <r>
    <x v="854"/>
    <x v="28"/>
    <x v="0"/>
    <n v="1457"/>
    <x v="1"/>
    <n v="7"/>
    <n v="3"/>
    <x v="2"/>
    <n v="1"/>
    <x v="0"/>
    <n v="83"/>
    <n v="3"/>
    <n v="1"/>
    <x v="1"/>
    <n v="3"/>
    <x v="1"/>
    <x v="805"/>
    <n v="20100"/>
    <n v="4"/>
    <x v="0"/>
    <n v="0.19"/>
    <n v="3"/>
    <n v="3"/>
    <n v="1"/>
    <n v="7"/>
    <n v="2"/>
    <n v="2"/>
    <x v="11"/>
    <n v="2"/>
    <n v="0"/>
    <n v="2"/>
    <x v="1"/>
    <n v="0"/>
    <n v="1"/>
    <n v="1"/>
    <n v="1"/>
    <n v="0"/>
    <n v="0"/>
    <n v="1"/>
    <n v="0"/>
    <n v="16.494428937420828"/>
    <n v="0.56827453040563214"/>
    <x v="1"/>
    <n v="6715.5"/>
  </r>
  <r>
    <x v="855"/>
    <x v="2"/>
    <x v="0"/>
    <n v="977"/>
    <x v="1"/>
    <n v="1"/>
    <n v="3"/>
    <x v="0"/>
    <n v="4"/>
    <x v="0"/>
    <n v="56"/>
    <n v="2"/>
    <n v="2"/>
    <x v="3"/>
    <n v="4"/>
    <x v="1"/>
    <x v="806"/>
    <n v="9961"/>
    <n v="1"/>
    <x v="1"/>
    <n v="0.13"/>
    <n v="3"/>
    <n v="2"/>
    <n v="1"/>
    <n v="14"/>
    <n v="2"/>
    <n v="2"/>
    <x v="13"/>
    <n v="8"/>
    <n v="3"/>
    <n v="11"/>
    <x v="1"/>
    <n v="0"/>
    <n v="1"/>
    <n v="1"/>
    <n v="0"/>
    <n v="0"/>
    <n v="0"/>
    <n v="0"/>
    <n v="0"/>
    <n v="0"/>
    <n v="0"/>
    <x v="2"/>
    <n v="0"/>
  </r>
  <r>
    <x v="856"/>
    <x v="35"/>
    <x v="0"/>
    <n v="805"/>
    <x v="1"/>
    <n v="3"/>
    <n v="3"/>
    <x v="0"/>
    <n v="1"/>
    <x v="1"/>
    <n v="87"/>
    <n v="2"/>
    <n v="1"/>
    <x v="2"/>
    <n v="3"/>
    <x v="0"/>
    <x v="807"/>
    <n v="12828"/>
    <n v="1"/>
    <x v="1"/>
    <n v="0.12"/>
    <n v="3"/>
    <n v="1"/>
    <n v="0"/>
    <n v="2"/>
    <n v="2"/>
    <n v="2"/>
    <x v="4"/>
    <n v="2"/>
    <n v="1"/>
    <n v="2"/>
    <x v="1"/>
    <n v="1"/>
    <n v="1"/>
    <n v="0"/>
    <n v="0"/>
    <n v="0"/>
    <n v="0"/>
    <n v="1"/>
    <n v="0"/>
    <n v="6.4944289374208282"/>
    <n v="0.22374939857982484"/>
    <x v="2"/>
    <n v="0"/>
  </r>
  <r>
    <x v="857"/>
    <x v="20"/>
    <x v="0"/>
    <n v="1097"/>
    <x v="1"/>
    <n v="10"/>
    <n v="4"/>
    <x v="0"/>
    <n v="3"/>
    <x v="1"/>
    <n v="96"/>
    <n v="3"/>
    <n v="1"/>
    <x v="1"/>
    <n v="3"/>
    <x v="0"/>
    <x v="808"/>
    <n v="10826"/>
    <n v="1"/>
    <x v="0"/>
    <n v="0.11"/>
    <n v="3"/>
    <n v="3"/>
    <n v="0"/>
    <n v="6"/>
    <n v="4"/>
    <n v="3"/>
    <x v="0"/>
    <n v="4"/>
    <n v="0"/>
    <n v="2"/>
    <x v="0"/>
    <n v="1"/>
    <n v="1"/>
    <n v="0"/>
    <n v="1"/>
    <n v="0"/>
    <n v="0"/>
    <n v="1"/>
    <n v="0"/>
    <n v="16.494428937420828"/>
    <n v="0.56827453040563214"/>
    <x v="1"/>
    <n v="4404"/>
  </r>
  <r>
    <x v="858"/>
    <x v="16"/>
    <x v="0"/>
    <n v="1223"/>
    <x v="1"/>
    <n v="7"/>
    <n v="2"/>
    <x v="2"/>
    <n v="4"/>
    <x v="0"/>
    <n v="50"/>
    <n v="3"/>
    <n v="5"/>
    <x v="5"/>
    <n v="3"/>
    <x v="2"/>
    <x v="809"/>
    <n v="18640"/>
    <n v="3"/>
    <x v="1"/>
    <n v="0.18"/>
    <n v="3"/>
    <n v="2"/>
    <n v="1"/>
    <n v="26"/>
    <n v="6"/>
    <n v="3"/>
    <x v="5"/>
    <n v="7"/>
    <n v="4"/>
    <n v="7"/>
    <x v="1"/>
    <n v="0"/>
    <n v="1"/>
    <n v="2"/>
    <n v="0"/>
    <n v="0"/>
    <n v="0"/>
    <n v="0"/>
    <n v="0"/>
    <n v="0"/>
    <n v="0"/>
    <x v="2"/>
    <n v="0"/>
  </r>
  <r>
    <x v="859"/>
    <x v="11"/>
    <x v="0"/>
    <n v="942"/>
    <x v="1"/>
    <n v="15"/>
    <n v="1"/>
    <x v="0"/>
    <n v="2"/>
    <x v="0"/>
    <n v="69"/>
    <n v="1"/>
    <n v="1"/>
    <x v="1"/>
    <n v="4"/>
    <x v="1"/>
    <x v="810"/>
    <n v="26933"/>
    <n v="0"/>
    <x v="0"/>
    <n v="0.18"/>
    <n v="3"/>
    <n v="1"/>
    <n v="1"/>
    <n v="6"/>
    <n v="2"/>
    <n v="2"/>
    <x v="8"/>
    <n v="4"/>
    <n v="1"/>
    <n v="3"/>
    <x v="1"/>
    <n v="0"/>
    <n v="1"/>
    <n v="1"/>
    <n v="1"/>
    <n v="0"/>
    <n v="0"/>
    <n v="1"/>
    <n v="0"/>
    <n v="16.494428937420828"/>
    <n v="0.56827453040563214"/>
    <x v="1"/>
    <n v="3252"/>
  </r>
  <r>
    <x v="860"/>
    <x v="15"/>
    <x v="1"/>
    <n v="1256"/>
    <x v="1"/>
    <n v="3"/>
    <n v="4"/>
    <x v="0"/>
    <n v="3"/>
    <x v="1"/>
    <n v="48"/>
    <n v="2"/>
    <n v="1"/>
    <x v="1"/>
    <n v="4"/>
    <x v="1"/>
    <x v="811"/>
    <n v="4223"/>
    <n v="0"/>
    <x v="0"/>
    <n v="0.11"/>
    <n v="3"/>
    <n v="2"/>
    <n v="1"/>
    <n v="1"/>
    <n v="5"/>
    <n v="3"/>
    <x v="2"/>
    <n v="0"/>
    <n v="0"/>
    <n v="0"/>
    <x v="0"/>
    <n v="1"/>
    <n v="2"/>
    <n v="1"/>
    <n v="1"/>
    <n v="0"/>
    <n v="0"/>
    <n v="1"/>
    <n v="1"/>
    <n v="21.654818917911005"/>
    <n v="0.74606293423572745"/>
    <x v="1"/>
    <n v="4279.5"/>
  </r>
  <r>
    <x v="861"/>
    <x v="21"/>
    <x v="0"/>
    <n v="1402"/>
    <x v="0"/>
    <n v="2"/>
    <n v="3"/>
    <x v="3"/>
    <n v="3"/>
    <x v="0"/>
    <n v="69"/>
    <n v="3"/>
    <n v="4"/>
    <x v="5"/>
    <n v="1"/>
    <x v="1"/>
    <x v="812"/>
    <n v="24097"/>
    <n v="8"/>
    <x v="1"/>
    <n v="0.23"/>
    <n v="4"/>
    <n v="1"/>
    <n v="0"/>
    <n v="28"/>
    <n v="2"/>
    <n v="3"/>
    <x v="34"/>
    <n v="15"/>
    <n v="15"/>
    <n v="9"/>
    <x v="1"/>
    <n v="0"/>
    <n v="1"/>
    <n v="1"/>
    <n v="0"/>
    <n v="0"/>
    <n v="1"/>
    <n v="0"/>
    <n v="0"/>
    <n v="4.204533129978131"/>
    <n v="0.14485673308716898"/>
    <x v="2"/>
    <n v="0"/>
  </r>
  <r>
    <x v="862"/>
    <x v="20"/>
    <x v="2"/>
    <n v="111"/>
    <x v="1"/>
    <n v="17"/>
    <n v="3"/>
    <x v="0"/>
    <n v="4"/>
    <x v="1"/>
    <n v="74"/>
    <n v="1"/>
    <n v="1"/>
    <x v="1"/>
    <n v="3"/>
    <x v="0"/>
    <x v="813"/>
    <n v="4279"/>
    <n v="2"/>
    <x v="1"/>
    <n v="0.13"/>
    <n v="3"/>
    <n v="4"/>
    <n v="0"/>
    <n v="6"/>
    <n v="3"/>
    <n v="3"/>
    <x v="2"/>
    <n v="0"/>
    <n v="0"/>
    <n v="0"/>
    <x v="1"/>
    <n v="1"/>
    <n v="0"/>
    <n v="0"/>
    <n v="0"/>
    <n v="1"/>
    <n v="0"/>
    <n v="1"/>
    <n v="0"/>
    <n v="9.660535633296206"/>
    <n v="0.33282973125692844"/>
    <x v="0"/>
    <n v="0"/>
  </r>
  <r>
    <x v="863"/>
    <x v="3"/>
    <x v="0"/>
    <n v="147"/>
    <x v="2"/>
    <n v="2"/>
    <n v="3"/>
    <x v="5"/>
    <n v="2"/>
    <x v="1"/>
    <n v="99"/>
    <n v="3"/>
    <n v="1"/>
    <x v="8"/>
    <n v="3"/>
    <x v="1"/>
    <x v="814"/>
    <n v="8429"/>
    <n v="1"/>
    <x v="1"/>
    <n v="0.13"/>
    <n v="3"/>
    <n v="4"/>
    <n v="1"/>
    <n v="5"/>
    <n v="2"/>
    <n v="3"/>
    <x v="8"/>
    <n v="4"/>
    <n v="1"/>
    <n v="4"/>
    <x v="1"/>
    <n v="1"/>
    <n v="1"/>
    <n v="1"/>
    <n v="0"/>
    <n v="0"/>
    <n v="0"/>
    <n v="1"/>
    <n v="0"/>
    <n v="6.4944289374208282"/>
    <n v="0.22374939857982484"/>
    <x v="2"/>
    <n v="0"/>
  </r>
  <r>
    <x v="864"/>
    <x v="0"/>
    <x v="2"/>
    <n v="906"/>
    <x v="1"/>
    <n v="5"/>
    <n v="2"/>
    <x v="0"/>
    <n v="1"/>
    <x v="1"/>
    <n v="95"/>
    <n v="2"/>
    <n v="1"/>
    <x v="1"/>
    <n v="1"/>
    <x v="2"/>
    <x v="815"/>
    <n v="20293"/>
    <n v="6"/>
    <x v="1"/>
    <n v="0.17"/>
    <n v="3"/>
    <n v="1"/>
    <n v="1"/>
    <n v="5"/>
    <n v="2"/>
    <n v="1"/>
    <x v="6"/>
    <n v="0"/>
    <n v="0"/>
    <n v="0"/>
    <x v="0"/>
    <n v="1"/>
    <n v="0"/>
    <n v="2"/>
    <n v="0"/>
    <n v="0"/>
    <n v="1"/>
    <n v="1"/>
    <n v="0"/>
    <n v="10.698962067398959"/>
    <n v="0.3686061316669938"/>
    <x v="0"/>
    <n v="0"/>
  </r>
  <r>
    <x v="865"/>
    <x v="7"/>
    <x v="0"/>
    <n v="1329"/>
    <x v="0"/>
    <n v="29"/>
    <n v="4"/>
    <x v="0"/>
    <n v="3"/>
    <x v="1"/>
    <n v="61"/>
    <n v="3"/>
    <n v="2"/>
    <x v="0"/>
    <n v="1"/>
    <x v="2"/>
    <x v="816"/>
    <n v="13192"/>
    <n v="8"/>
    <x v="1"/>
    <n v="0.19"/>
    <n v="3"/>
    <n v="3"/>
    <n v="3"/>
    <n v="8"/>
    <n v="3"/>
    <n v="3"/>
    <x v="9"/>
    <n v="3"/>
    <n v="0"/>
    <n v="3"/>
    <x v="1"/>
    <n v="1"/>
    <n v="1"/>
    <n v="2"/>
    <n v="0"/>
    <n v="1"/>
    <n v="1"/>
    <n v="1"/>
    <n v="0"/>
    <n v="13.865068763274337"/>
    <n v="0.47768646434409739"/>
    <x v="0"/>
    <n v="0"/>
  </r>
  <r>
    <x v="866"/>
    <x v="32"/>
    <x v="1"/>
    <n v="1184"/>
    <x v="0"/>
    <n v="2"/>
    <n v="4"/>
    <x v="2"/>
    <n v="2"/>
    <x v="1"/>
    <n v="62"/>
    <n v="3"/>
    <n v="2"/>
    <x v="0"/>
    <n v="2"/>
    <x v="1"/>
    <x v="817"/>
    <n v="25440"/>
    <n v="5"/>
    <x v="1"/>
    <n v="0.12"/>
    <n v="3"/>
    <n v="4"/>
    <n v="3"/>
    <n v="5"/>
    <n v="2"/>
    <n v="3"/>
    <x v="2"/>
    <n v="0"/>
    <n v="0"/>
    <n v="0"/>
    <x v="1"/>
    <n v="1"/>
    <n v="2"/>
    <n v="1"/>
    <n v="0"/>
    <n v="0"/>
    <n v="1"/>
    <n v="1"/>
    <n v="1"/>
    <n v="15.859352047889136"/>
    <n v="0.54639453549708916"/>
    <x v="1"/>
    <n v="6490.5"/>
  </r>
  <r>
    <x v="867"/>
    <x v="24"/>
    <x v="1"/>
    <n v="1421"/>
    <x v="1"/>
    <n v="2"/>
    <n v="3"/>
    <x v="2"/>
    <n v="4"/>
    <x v="0"/>
    <n v="30"/>
    <n v="3"/>
    <n v="4"/>
    <x v="5"/>
    <n v="1"/>
    <x v="1"/>
    <x v="818"/>
    <n v="9490"/>
    <n v="2"/>
    <x v="1"/>
    <n v="0.22"/>
    <n v="4"/>
    <n v="3"/>
    <n v="1"/>
    <n v="32"/>
    <n v="3"/>
    <n v="3"/>
    <x v="4"/>
    <n v="2"/>
    <n v="2"/>
    <n v="2"/>
    <x v="1"/>
    <n v="0"/>
    <n v="2"/>
    <n v="1"/>
    <n v="0"/>
    <n v="0"/>
    <n v="1"/>
    <n v="0"/>
    <n v="1"/>
    <n v="9.3649231104683075"/>
    <n v="0.32264513691726432"/>
    <x v="0"/>
    <n v="0"/>
  </r>
  <r>
    <x v="868"/>
    <x v="14"/>
    <x v="0"/>
    <n v="1179"/>
    <x v="1"/>
    <n v="19"/>
    <n v="4"/>
    <x v="2"/>
    <n v="4"/>
    <x v="1"/>
    <n v="78"/>
    <n v="2"/>
    <n v="1"/>
    <x v="2"/>
    <n v="1"/>
    <x v="1"/>
    <x v="819"/>
    <n v="12449"/>
    <n v="1"/>
    <x v="1"/>
    <n v="0.12"/>
    <n v="3"/>
    <n v="3"/>
    <n v="3"/>
    <n v="6"/>
    <n v="2"/>
    <n v="3"/>
    <x v="0"/>
    <n v="5"/>
    <n v="3"/>
    <n v="3"/>
    <x v="1"/>
    <n v="1"/>
    <n v="1"/>
    <n v="1"/>
    <n v="0"/>
    <n v="1"/>
    <n v="1"/>
    <n v="1"/>
    <n v="0"/>
    <n v="13.865068763274337"/>
    <n v="0.47768646434409739"/>
    <x v="0"/>
    <n v="0"/>
  </r>
  <r>
    <x v="869"/>
    <x v="21"/>
    <x v="0"/>
    <n v="1450"/>
    <x v="1"/>
    <n v="15"/>
    <n v="2"/>
    <x v="0"/>
    <n v="4"/>
    <x v="1"/>
    <n v="52"/>
    <n v="3"/>
    <n v="5"/>
    <x v="7"/>
    <n v="2"/>
    <x v="1"/>
    <x v="820"/>
    <n v="10849"/>
    <n v="5"/>
    <x v="1"/>
    <n v="0.11"/>
    <n v="3"/>
    <n v="1"/>
    <n v="1"/>
    <n v="25"/>
    <n v="2"/>
    <n v="3"/>
    <x v="9"/>
    <n v="2"/>
    <n v="0"/>
    <n v="3"/>
    <x v="1"/>
    <n v="1"/>
    <n v="1"/>
    <n v="1"/>
    <n v="0"/>
    <n v="0"/>
    <n v="1"/>
    <n v="0"/>
    <n v="0"/>
    <n v="4.204533129978131"/>
    <n v="0.14485673308716898"/>
    <x v="2"/>
    <n v="0"/>
  </r>
  <r>
    <x v="870"/>
    <x v="10"/>
    <x v="0"/>
    <n v="1361"/>
    <x v="0"/>
    <n v="17"/>
    <n v="4"/>
    <x v="0"/>
    <n v="3"/>
    <x v="1"/>
    <n v="94"/>
    <n v="3"/>
    <n v="2"/>
    <x v="0"/>
    <n v="1"/>
    <x v="1"/>
    <x v="821"/>
    <n v="21026"/>
    <n v="3"/>
    <x v="0"/>
    <n v="0.15"/>
    <n v="3"/>
    <n v="4"/>
    <n v="3"/>
    <n v="15"/>
    <n v="2"/>
    <n v="3"/>
    <x v="5"/>
    <n v="7"/>
    <n v="1"/>
    <n v="7"/>
    <x v="1"/>
    <n v="1"/>
    <n v="1"/>
    <n v="1"/>
    <n v="1"/>
    <n v="1"/>
    <n v="1"/>
    <n v="0"/>
    <n v="0"/>
    <n v="17.370639825853509"/>
    <n v="0.59846219759007979"/>
    <x v="1"/>
    <n v="13449"/>
  </r>
  <r>
    <x v="871"/>
    <x v="17"/>
    <x v="0"/>
    <n v="984"/>
    <x v="1"/>
    <n v="17"/>
    <n v="2"/>
    <x v="0"/>
    <n v="4"/>
    <x v="0"/>
    <n v="97"/>
    <n v="3"/>
    <n v="1"/>
    <x v="2"/>
    <n v="2"/>
    <x v="1"/>
    <x v="822"/>
    <n v="3372"/>
    <n v="1"/>
    <x v="1"/>
    <n v="0.13"/>
    <n v="3"/>
    <n v="1"/>
    <n v="1"/>
    <n v="1"/>
    <n v="3"/>
    <n v="1"/>
    <x v="6"/>
    <n v="0"/>
    <n v="0"/>
    <n v="0"/>
    <x v="0"/>
    <n v="0"/>
    <n v="1"/>
    <n v="1"/>
    <n v="0"/>
    <n v="1"/>
    <n v="1"/>
    <n v="1"/>
    <n v="0"/>
    <n v="13.865068763274337"/>
    <n v="0.47768646434409739"/>
    <x v="0"/>
    <n v="0"/>
  </r>
  <r>
    <x v="872"/>
    <x v="3"/>
    <x v="1"/>
    <n v="1146"/>
    <x v="0"/>
    <n v="25"/>
    <n v="3"/>
    <x v="2"/>
    <n v="2"/>
    <x v="0"/>
    <n v="82"/>
    <n v="3"/>
    <n v="2"/>
    <x v="0"/>
    <n v="3"/>
    <x v="1"/>
    <x v="823"/>
    <n v="4905"/>
    <n v="1"/>
    <x v="1"/>
    <n v="0.12"/>
    <n v="3"/>
    <n v="1"/>
    <n v="1"/>
    <n v="10"/>
    <n v="3"/>
    <n v="2"/>
    <x v="1"/>
    <n v="7"/>
    <n v="0"/>
    <n v="1"/>
    <x v="1"/>
    <n v="0"/>
    <n v="2"/>
    <n v="1"/>
    <n v="0"/>
    <n v="1"/>
    <n v="0"/>
    <n v="1"/>
    <n v="1"/>
    <n v="14.820925613786383"/>
    <n v="0.51061813508702369"/>
    <x v="1"/>
    <n v="6808.5"/>
  </r>
  <r>
    <x v="873"/>
    <x v="9"/>
    <x v="0"/>
    <n v="917"/>
    <x v="1"/>
    <n v="6"/>
    <n v="4"/>
    <x v="0"/>
    <n v="3"/>
    <x v="1"/>
    <n v="60"/>
    <n v="1"/>
    <n v="1"/>
    <x v="2"/>
    <n v="3"/>
    <x v="2"/>
    <x v="199"/>
    <n v="6865"/>
    <n v="1"/>
    <x v="1"/>
    <n v="0.14000000000000001"/>
    <n v="3"/>
    <n v="3"/>
    <n v="1"/>
    <n v="7"/>
    <n v="4"/>
    <n v="3"/>
    <x v="5"/>
    <n v="7"/>
    <n v="1"/>
    <n v="7"/>
    <x v="1"/>
    <n v="1"/>
    <n v="1"/>
    <n v="2"/>
    <n v="0"/>
    <n v="0"/>
    <n v="0"/>
    <n v="1"/>
    <n v="0"/>
    <n v="6.4944289374208282"/>
    <n v="0.22374939857982484"/>
    <x v="2"/>
    <n v="0"/>
  </r>
  <r>
    <x v="874"/>
    <x v="7"/>
    <x v="0"/>
    <n v="853"/>
    <x v="1"/>
    <n v="7"/>
    <n v="4"/>
    <x v="0"/>
    <n v="3"/>
    <x v="1"/>
    <n v="49"/>
    <n v="3"/>
    <n v="2"/>
    <x v="2"/>
    <n v="3"/>
    <x v="2"/>
    <x v="824"/>
    <n v="11309"/>
    <n v="1"/>
    <x v="1"/>
    <n v="0.13"/>
    <n v="3"/>
    <n v="1"/>
    <n v="3"/>
    <n v="10"/>
    <n v="4"/>
    <n v="2"/>
    <x v="1"/>
    <n v="7"/>
    <n v="8"/>
    <n v="9"/>
    <x v="1"/>
    <n v="1"/>
    <n v="1"/>
    <n v="2"/>
    <n v="0"/>
    <n v="0"/>
    <n v="0"/>
    <n v="1"/>
    <n v="0"/>
    <n v="6.4944289374208282"/>
    <n v="0.22374939857982484"/>
    <x v="2"/>
    <n v="0"/>
  </r>
  <r>
    <x v="875"/>
    <x v="20"/>
    <x v="0"/>
    <n v="200"/>
    <x v="1"/>
    <n v="29"/>
    <n v="4"/>
    <x v="1"/>
    <n v="4"/>
    <x v="1"/>
    <n v="32"/>
    <n v="3"/>
    <n v="2"/>
    <x v="1"/>
    <n v="4"/>
    <x v="0"/>
    <x v="825"/>
    <n v="7744"/>
    <n v="1"/>
    <x v="1"/>
    <n v="0.25"/>
    <n v="4"/>
    <n v="2"/>
    <n v="0"/>
    <n v="20"/>
    <n v="3"/>
    <n v="3"/>
    <x v="23"/>
    <n v="11"/>
    <n v="13"/>
    <n v="17"/>
    <x v="1"/>
    <n v="1"/>
    <n v="1"/>
    <n v="0"/>
    <n v="0"/>
    <n v="1"/>
    <n v="0"/>
    <n v="1"/>
    <n v="0"/>
    <n v="9.660535633296206"/>
    <n v="0.33282973125692844"/>
    <x v="0"/>
    <n v="0"/>
  </r>
  <r>
    <x v="876"/>
    <x v="35"/>
    <x v="0"/>
    <n v="654"/>
    <x v="0"/>
    <n v="21"/>
    <n v="3"/>
    <x v="3"/>
    <n v="3"/>
    <x v="1"/>
    <n v="43"/>
    <n v="4"/>
    <n v="1"/>
    <x v="6"/>
    <n v="4"/>
    <x v="0"/>
    <x v="826"/>
    <n v="5050"/>
    <n v="1"/>
    <x v="1"/>
    <n v="0.17"/>
    <n v="3"/>
    <n v="4"/>
    <n v="0"/>
    <n v="2"/>
    <n v="2"/>
    <n v="3"/>
    <x v="4"/>
    <n v="1"/>
    <n v="2"/>
    <n v="2"/>
    <x v="1"/>
    <n v="1"/>
    <n v="1"/>
    <n v="0"/>
    <n v="0"/>
    <n v="1"/>
    <n v="0"/>
    <n v="1"/>
    <n v="0"/>
    <n v="9.660535633296206"/>
    <n v="0.33282973125692844"/>
    <x v="0"/>
    <n v="0"/>
  </r>
  <r>
    <x v="877"/>
    <x v="21"/>
    <x v="0"/>
    <n v="150"/>
    <x v="1"/>
    <n v="2"/>
    <n v="4"/>
    <x v="4"/>
    <n v="4"/>
    <x v="1"/>
    <n v="60"/>
    <n v="3"/>
    <n v="2"/>
    <x v="3"/>
    <n v="4"/>
    <x v="2"/>
    <x v="827"/>
    <n v="17433"/>
    <n v="2"/>
    <x v="1"/>
    <n v="0.11"/>
    <n v="3"/>
    <n v="3"/>
    <n v="1"/>
    <n v="12"/>
    <n v="3"/>
    <n v="2"/>
    <x v="0"/>
    <n v="3"/>
    <n v="1"/>
    <n v="4"/>
    <x v="1"/>
    <n v="1"/>
    <n v="1"/>
    <n v="2"/>
    <n v="0"/>
    <n v="0"/>
    <n v="0"/>
    <n v="0"/>
    <n v="0"/>
    <n v="0"/>
    <n v="0"/>
    <x v="2"/>
    <n v="0"/>
  </r>
  <r>
    <x v="878"/>
    <x v="19"/>
    <x v="2"/>
    <n v="179"/>
    <x v="2"/>
    <n v="2"/>
    <n v="5"/>
    <x v="2"/>
    <n v="4"/>
    <x v="1"/>
    <n v="79"/>
    <n v="4"/>
    <n v="2"/>
    <x v="8"/>
    <n v="1"/>
    <x v="1"/>
    <x v="458"/>
    <n v="12858"/>
    <n v="7"/>
    <x v="1"/>
    <n v="0.16"/>
    <n v="3"/>
    <n v="1"/>
    <n v="1"/>
    <n v="10"/>
    <n v="3"/>
    <n v="4"/>
    <x v="9"/>
    <n v="3"/>
    <n v="0"/>
    <n v="3"/>
    <x v="1"/>
    <n v="1"/>
    <n v="0"/>
    <n v="1"/>
    <n v="0"/>
    <n v="0"/>
    <n v="1"/>
    <n v="0"/>
    <n v="0"/>
    <n v="4.204533129978131"/>
    <n v="0.14485673308716898"/>
    <x v="2"/>
    <n v="0"/>
  </r>
  <r>
    <x v="879"/>
    <x v="42"/>
    <x v="0"/>
    <n v="696"/>
    <x v="0"/>
    <n v="7"/>
    <n v="4"/>
    <x v="3"/>
    <n v="2"/>
    <x v="1"/>
    <n v="52"/>
    <n v="4"/>
    <n v="2"/>
    <x v="0"/>
    <n v="4"/>
    <x v="2"/>
    <x v="828"/>
    <n v="10893"/>
    <n v="0"/>
    <x v="0"/>
    <n v="0.18"/>
    <n v="3"/>
    <n v="2"/>
    <n v="1"/>
    <n v="12"/>
    <n v="3"/>
    <n v="3"/>
    <x v="19"/>
    <n v="7"/>
    <n v="1"/>
    <n v="9"/>
    <x v="1"/>
    <n v="1"/>
    <n v="1"/>
    <n v="2"/>
    <n v="1"/>
    <n v="0"/>
    <n v="0"/>
    <n v="0"/>
    <n v="0"/>
    <n v="10"/>
    <n v="0.3445251318258073"/>
    <x v="0"/>
    <n v="0"/>
  </r>
  <r>
    <x v="880"/>
    <x v="5"/>
    <x v="1"/>
    <n v="116"/>
    <x v="1"/>
    <n v="13"/>
    <n v="3"/>
    <x v="1"/>
    <n v="3"/>
    <x v="0"/>
    <n v="77"/>
    <n v="2"/>
    <n v="1"/>
    <x v="2"/>
    <n v="2"/>
    <x v="1"/>
    <x v="714"/>
    <n v="7331"/>
    <n v="1"/>
    <x v="1"/>
    <n v="0.2"/>
    <n v="4"/>
    <n v="3"/>
    <n v="1"/>
    <n v="2"/>
    <n v="2"/>
    <n v="3"/>
    <x v="4"/>
    <n v="2"/>
    <n v="2"/>
    <n v="2"/>
    <x v="1"/>
    <n v="0"/>
    <n v="2"/>
    <n v="1"/>
    <n v="0"/>
    <n v="0"/>
    <n v="1"/>
    <n v="1"/>
    <n v="1"/>
    <n v="15.859352047889136"/>
    <n v="0.54639453549708916"/>
    <x v="1"/>
    <n v="4114.5"/>
  </r>
  <r>
    <x v="881"/>
    <x v="5"/>
    <x v="1"/>
    <n v="1316"/>
    <x v="1"/>
    <n v="2"/>
    <n v="2"/>
    <x v="0"/>
    <n v="4"/>
    <x v="0"/>
    <n v="38"/>
    <n v="3"/>
    <n v="2"/>
    <x v="1"/>
    <n v="3"/>
    <x v="0"/>
    <x v="829"/>
    <n v="2338"/>
    <n v="4"/>
    <x v="0"/>
    <n v="0.14000000000000001"/>
    <n v="3"/>
    <n v="4"/>
    <n v="0"/>
    <n v="10"/>
    <n v="2"/>
    <n v="3"/>
    <x v="3"/>
    <n v="7"/>
    <n v="0"/>
    <n v="7"/>
    <x v="1"/>
    <n v="0"/>
    <n v="2"/>
    <n v="0"/>
    <n v="1"/>
    <n v="0"/>
    <n v="0"/>
    <n v="0"/>
    <n v="1"/>
    <n v="15.160389980490176"/>
    <n v="0.52231353565590266"/>
    <x v="1"/>
    <n v="7497"/>
  </r>
  <r>
    <x v="882"/>
    <x v="9"/>
    <x v="0"/>
    <n v="363"/>
    <x v="1"/>
    <n v="1"/>
    <n v="3"/>
    <x v="4"/>
    <n v="3"/>
    <x v="0"/>
    <n v="77"/>
    <n v="1"/>
    <n v="3"/>
    <x v="3"/>
    <n v="1"/>
    <x v="2"/>
    <x v="830"/>
    <n v="4235"/>
    <n v="2"/>
    <x v="0"/>
    <n v="0.21"/>
    <n v="4"/>
    <n v="3"/>
    <n v="1"/>
    <n v="17"/>
    <n v="2"/>
    <n v="3"/>
    <x v="5"/>
    <n v="7"/>
    <n v="7"/>
    <n v="7"/>
    <x v="1"/>
    <n v="0"/>
    <n v="1"/>
    <n v="2"/>
    <n v="1"/>
    <n v="0"/>
    <n v="1"/>
    <n v="0"/>
    <n v="0"/>
    <n v="14.204533129978131"/>
    <n v="0.48938186491297625"/>
    <x v="0"/>
    <n v="0"/>
  </r>
  <r>
    <x v="883"/>
    <x v="3"/>
    <x v="0"/>
    <n v="117"/>
    <x v="1"/>
    <n v="9"/>
    <n v="3"/>
    <x v="2"/>
    <n v="1"/>
    <x v="1"/>
    <n v="60"/>
    <n v="3"/>
    <n v="1"/>
    <x v="1"/>
    <n v="4"/>
    <x v="1"/>
    <x v="831"/>
    <n v="6311"/>
    <n v="0"/>
    <x v="1"/>
    <n v="0.13"/>
    <n v="3"/>
    <n v="2"/>
    <n v="1"/>
    <n v="15"/>
    <n v="5"/>
    <n v="3"/>
    <x v="13"/>
    <n v="10"/>
    <n v="4"/>
    <n v="10"/>
    <x v="1"/>
    <n v="1"/>
    <n v="1"/>
    <n v="1"/>
    <n v="0"/>
    <n v="0"/>
    <n v="0"/>
    <n v="1"/>
    <n v="0"/>
    <n v="6.4944289374208282"/>
    <n v="0.22374939857982484"/>
    <x v="2"/>
    <n v="0"/>
  </r>
  <r>
    <x v="884"/>
    <x v="32"/>
    <x v="0"/>
    <n v="107"/>
    <x v="0"/>
    <n v="10"/>
    <n v="3"/>
    <x v="4"/>
    <n v="2"/>
    <x v="0"/>
    <n v="84"/>
    <n v="2"/>
    <n v="2"/>
    <x v="0"/>
    <n v="2"/>
    <x v="2"/>
    <x v="832"/>
    <n v="11591"/>
    <n v="7"/>
    <x v="1"/>
    <n v="0.12"/>
    <n v="3"/>
    <n v="2"/>
    <n v="1"/>
    <n v="7"/>
    <n v="2"/>
    <n v="4"/>
    <x v="8"/>
    <n v="1"/>
    <n v="1"/>
    <n v="3"/>
    <x v="1"/>
    <n v="0"/>
    <n v="1"/>
    <n v="2"/>
    <n v="0"/>
    <n v="0"/>
    <n v="1"/>
    <n v="0"/>
    <n v="0"/>
    <n v="4.204533129978131"/>
    <n v="0.14485673308716898"/>
    <x v="2"/>
    <n v="0"/>
  </r>
  <r>
    <x v="885"/>
    <x v="36"/>
    <x v="0"/>
    <n v="1356"/>
    <x v="0"/>
    <n v="10"/>
    <n v="4"/>
    <x v="0"/>
    <n v="3"/>
    <x v="1"/>
    <n v="57"/>
    <n v="3"/>
    <n v="2"/>
    <x v="0"/>
    <n v="4"/>
    <x v="0"/>
    <x v="833"/>
    <n v="20623"/>
    <n v="0"/>
    <x v="1"/>
    <n v="0.14000000000000001"/>
    <n v="3"/>
    <n v="2"/>
    <n v="0"/>
    <n v="5"/>
    <n v="4"/>
    <n v="3"/>
    <x v="9"/>
    <n v="3"/>
    <n v="1"/>
    <n v="1"/>
    <x v="1"/>
    <n v="1"/>
    <n v="1"/>
    <n v="0"/>
    <n v="0"/>
    <n v="0"/>
    <n v="0"/>
    <n v="0"/>
    <n v="0"/>
    <n v="0"/>
    <n v="0"/>
    <x v="2"/>
    <n v="0"/>
  </r>
  <r>
    <x v="886"/>
    <x v="7"/>
    <x v="0"/>
    <n v="1465"/>
    <x v="1"/>
    <n v="1"/>
    <n v="3"/>
    <x v="2"/>
    <n v="4"/>
    <x v="1"/>
    <n v="63"/>
    <n v="3"/>
    <n v="1"/>
    <x v="1"/>
    <n v="2"/>
    <x v="1"/>
    <x v="834"/>
    <n v="9369"/>
    <n v="0"/>
    <x v="0"/>
    <n v="0.21"/>
    <n v="4"/>
    <n v="1"/>
    <n v="1"/>
    <n v="12"/>
    <n v="2"/>
    <n v="3"/>
    <x v="19"/>
    <n v="9"/>
    <n v="5"/>
    <n v="7"/>
    <x v="1"/>
    <n v="1"/>
    <n v="1"/>
    <n v="1"/>
    <n v="1"/>
    <n v="0"/>
    <n v="1"/>
    <n v="1"/>
    <n v="0"/>
    <n v="20.698962067398959"/>
    <n v="0.71313126349280109"/>
    <x v="1"/>
    <n v="5368.5"/>
  </r>
  <r>
    <x v="887"/>
    <x v="19"/>
    <x v="1"/>
    <n v="458"/>
    <x v="1"/>
    <n v="26"/>
    <n v="5"/>
    <x v="2"/>
    <n v="1"/>
    <x v="0"/>
    <n v="60"/>
    <n v="3"/>
    <n v="3"/>
    <x v="7"/>
    <n v="1"/>
    <x v="1"/>
    <x v="835"/>
    <n v="23281"/>
    <n v="3"/>
    <x v="0"/>
    <n v="0.17"/>
    <n v="3"/>
    <n v="3"/>
    <n v="0"/>
    <n v="20"/>
    <n v="6"/>
    <n v="3"/>
    <x v="6"/>
    <n v="0"/>
    <n v="0"/>
    <n v="0"/>
    <x v="1"/>
    <n v="0"/>
    <n v="2"/>
    <n v="1"/>
    <n v="1"/>
    <n v="1"/>
    <n v="1"/>
    <n v="0"/>
    <n v="1"/>
    <n v="22.531029806343685"/>
    <n v="0.77625060142017521"/>
    <x v="3"/>
    <n v="19786.5"/>
  </r>
  <r>
    <x v="888"/>
    <x v="10"/>
    <x v="2"/>
    <n v="1212"/>
    <x v="0"/>
    <n v="8"/>
    <n v="2"/>
    <x v="3"/>
    <n v="3"/>
    <x v="0"/>
    <n v="78"/>
    <n v="2"/>
    <n v="3"/>
    <x v="0"/>
    <n v="4"/>
    <x v="1"/>
    <x v="836"/>
    <n v="13755"/>
    <n v="4"/>
    <x v="0"/>
    <n v="0.11"/>
    <n v="3"/>
    <n v="2"/>
    <n v="1"/>
    <n v="16"/>
    <n v="6"/>
    <n v="2"/>
    <x v="20"/>
    <n v="2"/>
    <n v="4"/>
    <n v="12"/>
    <x v="1"/>
    <n v="0"/>
    <n v="0"/>
    <n v="1"/>
    <n v="1"/>
    <n v="0"/>
    <n v="0"/>
    <n v="0"/>
    <n v="0"/>
    <n v="10"/>
    <n v="0.3445251318258073"/>
    <x v="0"/>
    <n v="0"/>
  </r>
  <r>
    <x v="889"/>
    <x v="4"/>
    <x v="0"/>
    <n v="1103"/>
    <x v="1"/>
    <n v="14"/>
    <n v="3"/>
    <x v="0"/>
    <n v="1"/>
    <x v="1"/>
    <n v="42"/>
    <n v="3"/>
    <n v="1"/>
    <x v="1"/>
    <n v="1"/>
    <x v="1"/>
    <x v="837"/>
    <n v="14377"/>
    <n v="1"/>
    <x v="0"/>
    <n v="0.14000000000000001"/>
    <n v="3"/>
    <n v="4"/>
    <n v="2"/>
    <n v="9"/>
    <n v="3"/>
    <n v="2"/>
    <x v="7"/>
    <n v="7"/>
    <n v="6"/>
    <n v="8"/>
    <x v="1"/>
    <n v="1"/>
    <n v="1"/>
    <n v="1"/>
    <n v="1"/>
    <n v="0"/>
    <n v="1"/>
    <n v="1"/>
    <n v="0"/>
    <n v="20.698962067398959"/>
    <n v="0.71313126349280109"/>
    <x v="1"/>
    <n v="3352.5"/>
  </r>
  <r>
    <x v="890"/>
    <x v="33"/>
    <x v="1"/>
    <n v="966"/>
    <x v="1"/>
    <n v="1"/>
    <n v="4"/>
    <x v="0"/>
    <n v="4"/>
    <x v="0"/>
    <n v="53"/>
    <n v="3"/>
    <n v="3"/>
    <x v="3"/>
    <n v="3"/>
    <x v="2"/>
    <x v="838"/>
    <n v="9659"/>
    <n v="7"/>
    <x v="1"/>
    <n v="0.17"/>
    <n v="3"/>
    <n v="1"/>
    <n v="1"/>
    <n v="33"/>
    <n v="2"/>
    <n v="1"/>
    <x v="8"/>
    <n v="4"/>
    <n v="1"/>
    <n v="4"/>
    <x v="1"/>
    <n v="0"/>
    <n v="2"/>
    <n v="2"/>
    <n v="0"/>
    <n v="0"/>
    <n v="0"/>
    <n v="0"/>
    <n v="1"/>
    <n v="5.1603899804901765"/>
    <n v="0.17778840383009531"/>
    <x v="2"/>
    <n v="0"/>
  </r>
  <r>
    <x v="891"/>
    <x v="20"/>
    <x v="0"/>
    <n v="1117"/>
    <x v="1"/>
    <n v="2"/>
    <n v="1"/>
    <x v="0"/>
    <n v="1"/>
    <x v="0"/>
    <n v="72"/>
    <n v="4"/>
    <n v="1"/>
    <x v="1"/>
    <n v="4"/>
    <x v="1"/>
    <x v="839"/>
    <n v="19982"/>
    <n v="1"/>
    <x v="1"/>
    <n v="0.13"/>
    <n v="3"/>
    <n v="4"/>
    <n v="1"/>
    <n v="10"/>
    <n v="5"/>
    <n v="3"/>
    <x v="1"/>
    <n v="5"/>
    <n v="7"/>
    <n v="7"/>
    <x v="1"/>
    <n v="0"/>
    <n v="1"/>
    <n v="1"/>
    <n v="0"/>
    <n v="0"/>
    <n v="0"/>
    <n v="1"/>
    <n v="0"/>
    <n v="6.4944289374208282"/>
    <n v="0.22374939857982484"/>
    <x v="2"/>
    <n v="0"/>
  </r>
  <r>
    <x v="892"/>
    <x v="37"/>
    <x v="2"/>
    <n v="504"/>
    <x v="1"/>
    <n v="10"/>
    <n v="3"/>
    <x v="2"/>
    <n v="1"/>
    <x v="0"/>
    <n v="96"/>
    <n v="2"/>
    <n v="1"/>
    <x v="1"/>
    <n v="2"/>
    <x v="0"/>
    <x v="840"/>
    <n v="6148"/>
    <n v="1"/>
    <x v="0"/>
    <n v="0.25"/>
    <n v="4"/>
    <n v="2"/>
    <n v="0"/>
    <n v="1"/>
    <n v="2"/>
    <n v="4"/>
    <x v="6"/>
    <n v="1"/>
    <n v="0"/>
    <n v="0"/>
    <x v="0"/>
    <n v="0"/>
    <n v="0"/>
    <n v="0"/>
    <n v="1"/>
    <n v="0"/>
    <n v="1"/>
    <n v="1"/>
    <n v="0"/>
    <n v="20.698962067398959"/>
    <n v="0.71313126349280109"/>
    <x v="1"/>
    <n v="2788.5"/>
  </r>
  <r>
    <x v="893"/>
    <x v="11"/>
    <x v="0"/>
    <n v="1010"/>
    <x v="1"/>
    <n v="1"/>
    <n v="3"/>
    <x v="0"/>
    <n v="1"/>
    <x v="0"/>
    <n v="97"/>
    <n v="3"/>
    <n v="1"/>
    <x v="1"/>
    <n v="4"/>
    <x v="2"/>
    <x v="841"/>
    <n v="5598"/>
    <n v="1"/>
    <x v="1"/>
    <n v="0.15"/>
    <n v="3"/>
    <n v="1"/>
    <n v="3"/>
    <n v="3"/>
    <n v="5"/>
    <n v="3"/>
    <x v="11"/>
    <n v="2"/>
    <n v="1"/>
    <n v="2"/>
    <x v="1"/>
    <n v="0"/>
    <n v="1"/>
    <n v="2"/>
    <n v="0"/>
    <n v="0"/>
    <n v="0"/>
    <n v="1"/>
    <n v="0"/>
    <n v="6.4944289374208282"/>
    <n v="0.22374939857982484"/>
    <x v="2"/>
    <n v="0"/>
  </r>
  <r>
    <x v="894"/>
    <x v="33"/>
    <x v="0"/>
    <n v="685"/>
    <x v="1"/>
    <n v="3"/>
    <n v="3"/>
    <x v="0"/>
    <n v="4"/>
    <x v="1"/>
    <n v="85"/>
    <n v="3"/>
    <n v="4"/>
    <x v="7"/>
    <n v="4"/>
    <x v="1"/>
    <x v="842"/>
    <n v="23474"/>
    <n v="3"/>
    <x v="1"/>
    <n v="0.14000000000000001"/>
    <n v="3"/>
    <n v="1"/>
    <n v="0"/>
    <n v="36"/>
    <n v="2"/>
    <n v="3"/>
    <x v="1"/>
    <n v="9"/>
    <n v="0"/>
    <n v="9"/>
    <x v="1"/>
    <n v="1"/>
    <n v="1"/>
    <n v="1"/>
    <n v="0"/>
    <n v="0"/>
    <n v="0"/>
    <n v="0"/>
    <n v="0"/>
    <n v="0"/>
    <n v="0"/>
    <x v="2"/>
    <n v="0"/>
  </r>
  <r>
    <x v="895"/>
    <x v="12"/>
    <x v="0"/>
    <n v="1332"/>
    <x v="1"/>
    <n v="11"/>
    <n v="2"/>
    <x v="2"/>
    <n v="3"/>
    <x v="1"/>
    <n v="80"/>
    <n v="3"/>
    <n v="2"/>
    <x v="4"/>
    <n v="1"/>
    <x v="1"/>
    <x v="843"/>
    <n v="17089"/>
    <n v="1"/>
    <x v="0"/>
    <n v="0.12"/>
    <n v="3"/>
    <n v="4"/>
    <n v="0"/>
    <n v="6"/>
    <n v="2"/>
    <n v="2"/>
    <x v="0"/>
    <n v="5"/>
    <n v="0"/>
    <n v="1"/>
    <x v="1"/>
    <n v="1"/>
    <n v="1"/>
    <n v="1"/>
    <n v="1"/>
    <n v="0"/>
    <n v="1"/>
    <n v="0"/>
    <n v="0"/>
    <n v="14.204533129978131"/>
    <n v="0.48938186491297625"/>
    <x v="0"/>
    <n v="0"/>
  </r>
  <r>
    <x v="896"/>
    <x v="12"/>
    <x v="0"/>
    <n v="1062"/>
    <x v="1"/>
    <n v="24"/>
    <n v="3"/>
    <x v="2"/>
    <n v="3"/>
    <x v="0"/>
    <n v="96"/>
    <n v="2"/>
    <n v="2"/>
    <x v="4"/>
    <n v="1"/>
    <x v="0"/>
    <x v="844"/>
    <n v="17198"/>
    <n v="1"/>
    <x v="1"/>
    <n v="0.19"/>
    <n v="3"/>
    <n v="2"/>
    <n v="0"/>
    <n v="10"/>
    <n v="2"/>
    <n v="3"/>
    <x v="1"/>
    <n v="9"/>
    <n v="1"/>
    <n v="8"/>
    <x v="1"/>
    <n v="0"/>
    <n v="1"/>
    <n v="0"/>
    <n v="0"/>
    <n v="1"/>
    <n v="1"/>
    <n v="0"/>
    <n v="0"/>
    <n v="7.3706398258535089"/>
    <n v="0.25393706576427255"/>
    <x v="0"/>
    <n v="0"/>
  </r>
  <r>
    <x v="897"/>
    <x v="6"/>
    <x v="0"/>
    <n v="326"/>
    <x v="0"/>
    <n v="3"/>
    <n v="3"/>
    <x v="0"/>
    <n v="3"/>
    <x v="0"/>
    <n v="48"/>
    <n v="2"/>
    <n v="2"/>
    <x v="0"/>
    <n v="4"/>
    <x v="0"/>
    <x v="845"/>
    <n v="16490"/>
    <n v="5"/>
    <x v="1"/>
    <n v="0.17"/>
    <n v="3"/>
    <n v="4"/>
    <n v="0"/>
    <n v="13"/>
    <n v="2"/>
    <n v="3"/>
    <x v="0"/>
    <n v="1"/>
    <n v="0"/>
    <n v="5"/>
    <x v="1"/>
    <n v="0"/>
    <n v="1"/>
    <n v="0"/>
    <n v="0"/>
    <n v="0"/>
    <n v="0"/>
    <n v="0"/>
    <n v="0"/>
    <n v="0"/>
    <n v="0"/>
    <x v="2"/>
    <n v="0"/>
  </r>
  <r>
    <x v="898"/>
    <x v="23"/>
    <x v="0"/>
    <n v="920"/>
    <x v="1"/>
    <n v="3"/>
    <n v="3"/>
    <x v="0"/>
    <n v="3"/>
    <x v="1"/>
    <n v="96"/>
    <n v="1"/>
    <n v="5"/>
    <x v="7"/>
    <n v="4"/>
    <x v="1"/>
    <x v="846"/>
    <n v="18625"/>
    <n v="3"/>
    <x v="1"/>
    <n v="0.14000000000000001"/>
    <n v="3"/>
    <n v="2"/>
    <n v="1"/>
    <n v="25"/>
    <n v="2"/>
    <n v="3"/>
    <x v="3"/>
    <n v="7"/>
    <n v="0"/>
    <n v="7"/>
    <x v="1"/>
    <n v="1"/>
    <n v="1"/>
    <n v="1"/>
    <n v="0"/>
    <n v="0"/>
    <n v="0"/>
    <n v="0"/>
    <n v="0"/>
    <n v="0"/>
    <n v="0"/>
    <x v="2"/>
    <n v="0"/>
  </r>
  <r>
    <x v="899"/>
    <x v="1"/>
    <x v="0"/>
    <n v="1098"/>
    <x v="1"/>
    <n v="4"/>
    <n v="2"/>
    <x v="2"/>
    <n v="1"/>
    <x v="1"/>
    <n v="85"/>
    <n v="2"/>
    <n v="5"/>
    <x v="5"/>
    <n v="3"/>
    <x v="1"/>
    <x v="847"/>
    <n v="12124"/>
    <n v="2"/>
    <x v="1"/>
    <n v="0.13"/>
    <n v="3"/>
    <n v="3"/>
    <n v="1"/>
    <n v="23"/>
    <n v="2"/>
    <n v="4"/>
    <x v="6"/>
    <n v="0"/>
    <n v="0"/>
    <n v="0"/>
    <x v="1"/>
    <n v="1"/>
    <n v="1"/>
    <n v="1"/>
    <n v="0"/>
    <n v="0"/>
    <n v="0"/>
    <n v="0"/>
    <n v="0"/>
    <n v="0"/>
    <n v="0"/>
    <x v="2"/>
    <n v="0"/>
  </r>
  <r>
    <x v="900"/>
    <x v="9"/>
    <x v="1"/>
    <n v="469"/>
    <x v="1"/>
    <n v="3"/>
    <n v="3"/>
    <x v="4"/>
    <n v="3"/>
    <x v="1"/>
    <n v="46"/>
    <n v="3"/>
    <n v="1"/>
    <x v="1"/>
    <n v="2"/>
    <x v="1"/>
    <x v="848"/>
    <n v="9256"/>
    <n v="1"/>
    <x v="1"/>
    <n v="0.12"/>
    <n v="3"/>
    <n v="3"/>
    <n v="0"/>
    <n v="12"/>
    <n v="2"/>
    <n v="2"/>
    <x v="19"/>
    <n v="10"/>
    <n v="0"/>
    <n v="7"/>
    <x v="1"/>
    <n v="1"/>
    <n v="2"/>
    <n v="1"/>
    <n v="0"/>
    <n v="0"/>
    <n v="1"/>
    <n v="1"/>
    <n v="1"/>
    <n v="15.859352047889136"/>
    <n v="0.54639453549708916"/>
    <x v="1"/>
    <n v="5538"/>
  </r>
  <r>
    <x v="901"/>
    <x v="26"/>
    <x v="0"/>
    <n v="969"/>
    <x v="1"/>
    <n v="2"/>
    <n v="2"/>
    <x v="4"/>
    <n v="4"/>
    <x v="1"/>
    <n v="76"/>
    <n v="4"/>
    <n v="1"/>
    <x v="2"/>
    <n v="2"/>
    <x v="0"/>
    <x v="594"/>
    <n v="16620"/>
    <n v="5"/>
    <x v="1"/>
    <n v="0.11"/>
    <n v="3"/>
    <n v="3"/>
    <n v="0"/>
    <n v="7"/>
    <n v="4"/>
    <n v="2"/>
    <x v="6"/>
    <n v="0"/>
    <n v="0"/>
    <n v="0"/>
    <x v="1"/>
    <n v="1"/>
    <n v="1"/>
    <n v="0"/>
    <n v="0"/>
    <n v="0"/>
    <n v="1"/>
    <n v="1"/>
    <n v="0"/>
    <n v="10.698962067398959"/>
    <n v="0.3686061316669938"/>
    <x v="0"/>
    <n v="0"/>
  </r>
  <r>
    <x v="902"/>
    <x v="4"/>
    <x v="0"/>
    <n v="1167"/>
    <x v="1"/>
    <n v="4"/>
    <n v="2"/>
    <x v="0"/>
    <n v="1"/>
    <x v="1"/>
    <n v="76"/>
    <n v="3"/>
    <n v="1"/>
    <x v="1"/>
    <n v="3"/>
    <x v="2"/>
    <x v="849"/>
    <n v="3208"/>
    <n v="1"/>
    <x v="1"/>
    <n v="0.11"/>
    <n v="3"/>
    <n v="2"/>
    <n v="3"/>
    <n v="5"/>
    <n v="2"/>
    <n v="3"/>
    <x v="8"/>
    <n v="3"/>
    <n v="0"/>
    <n v="3"/>
    <x v="1"/>
    <n v="1"/>
    <n v="1"/>
    <n v="2"/>
    <n v="0"/>
    <n v="0"/>
    <n v="0"/>
    <n v="1"/>
    <n v="0"/>
    <n v="6.4944289374208282"/>
    <n v="0.22374939857982484"/>
    <x v="2"/>
    <n v="0"/>
  </r>
  <r>
    <x v="903"/>
    <x v="11"/>
    <x v="0"/>
    <n v="1329"/>
    <x v="1"/>
    <n v="7"/>
    <n v="3"/>
    <x v="0"/>
    <n v="3"/>
    <x v="1"/>
    <n v="82"/>
    <n v="3"/>
    <n v="2"/>
    <x v="4"/>
    <n v="4"/>
    <x v="2"/>
    <x v="850"/>
    <n v="4204"/>
    <n v="1"/>
    <x v="0"/>
    <n v="0.11"/>
    <n v="3"/>
    <n v="2"/>
    <n v="2"/>
    <n v="6"/>
    <n v="2"/>
    <n v="3"/>
    <x v="0"/>
    <n v="0"/>
    <n v="1"/>
    <n v="0"/>
    <x v="1"/>
    <n v="1"/>
    <n v="1"/>
    <n v="2"/>
    <n v="1"/>
    <n v="0"/>
    <n v="0"/>
    <n v="0"/>
    <n v="0"/>
    <n v="10"/>
    <n v="0.3445251318258073"/>
    <x v="0"/>
    <n v="0"/>
  </r>
  <r>
    <x v="904"/>
    <x v="26"/>
    <x v="0"/>
    <n v="715"/>
    <x v="1"/>
    <n v="1"/>
    <n v="3"/>
    <x v="0"/>
    <n v="4"/>
    <x v="1"/>
    <n v="76"/>
    <n v="2"/>
    <n v="5"/>
    <x v="7"/>
    <n v="4"/>
    <x v="0"/>
    <x v="851"/>
    <n v="8733"/>
    <n v="6"/>
    <x v="1"/>
    <n v="0.12"/>
    <n v="3"/>
    <n v="3"/>
    <n v="0"/>
    <n v="25"/>
    <n v="3"/>
    <n v="4"/>
    <x v="6"/>
    <n v="0"/>
    <n v="0"/>
    <n v="0"/>
    <x v="1"/>
    <n v="1"/>
    <n v="1"/>
    <n v="0"/>
    <n v="0"/>
    <n v="0"/>
    <n v="0"/>
    <n v="0"/>
    <n v="0"/>
    <n v="0"/>
    <n v="0"/>
    <x v="2"/>
    <n v="0"/>
  </r>
  <r>
    <x v="905"/>
    <x v="11"/>
    <x v="0"/>
    <n v="694"/>
    <x v="1"/>
    <n v="1"/>
    <n v="3"/>
    <x v="0"/>
    <n v="4"/>
    <x v="0"/>
    <n v="87"/>
    <n v="2"/>
    <n v="4"/>
    <x v="7"/>
    <n v="4"/>
    <x v="2"/>
    <x v="852"/>
    <n v="3423"/>
    <n v="3"/>
    <x v="1"/>
    <n v="0.14000000000000001"/>
    <n v="3"/>
    <n v="2"/>
    <n v="2"/>
    <n v="9"/>
    <n v="2"/>
    <n v="2"/>
    <x v="5"/>
    <n v="7"/>
    <n v="1"/>
    <n v="7"/>
    <x v="1"/>
    <n v="0"/>
    <n v="1"/>
    <n v="2"/>
    <n v="0"/>
    <n v="0"/>
    <n v="0"/>
    <n v="0"/>
    <n v="0"/>
    <n v="0"/>
    <n v="0"/>
    <x v="2"/>
    <n v="0"/>
  </r>
  <r>
    <x v="906"/>
    <x v="13"/>
    <x v="0"/>
    <n v="1320"/>
    <x v="1"/>
    <n v="20"/>
    <n v="3"/>
    <x v="4"/>
    <n v="3"/>
    <x v="0"/>
    <n v="89"/>
    <n v="4"/>
    <n v="1"/>
    <x v="1"/>
    <n v="3"/>
    <x v="1"/>
    <x v="853"/>
    <n v="21643"/>
    <n v="0"/>
    <x v="1"/>
    <n v="0.17"/>
    <n v="3"/>
    <n v="4"/>
    <n v="0"/>
    <n v="2"/>
    <n v="5"/>
    <n v="2"/>
    <x v="6"/>
    <n v="0"/>
    <n v="0"/>
    <n v="0"/>
    <x v="1"/>
    <n v="0"/>
    <n v="1"/>
    <n v="1"/>
    <n v="0"/>
    <n v="1"/>
    <n v="0"/>
    <n v="1"/>
    <n v="0"/>
    <n v="9.660535633296206"/>
    <n v="0.33282973125692844"/>
    <x v="0"/>
    <n v="0"/>
  </r>
  <r>
    <x v="907"/>
    <x v="20"/>
    <x v="0"/>
    <n v="1099"/>
    <x v="0"/>
    <n v="5"/>
    <n v="3"/>
    <x v="3"/>
    <n v="2"/>
    <x v="1"/>
    <n v="88"/>
    <n v="3"/>
    <n v="5"/>
    <x v="5"/>
    <n v="2"/>
    <x v="1"/>
    <x v="854"/>
    <n v="8751"/>
    <n v="7"/>
    <x v="1"/>
    <n v="0.11"/>
    <n v="3"/>
    <n v="3"/>
    <n v="1"/>
    <n v="26"/>
    <n v="5"/>
    <n v="3"/>
    <x v="14"/>
    <n v="9"/>
    <n v="3"/>
    <n v="10"/>
    <x v="1"/>
    <n v="1"/>
    <n v="1"/>
    <n v="1"/>
    <n v="0"/>
    <n v="0"/>
    <n v="1"/>
    <n v="0"/>
    <n v="0"/>
    <n v="4.204533129978131"/>
    <n v="0.14485673308716898"/>
    <x v="2"/>
    <n v="0"/>
  </r>
  <r>
    <x v="908"/>
    <x v="3"/>
    <x v="0"/>
    <n v="536"/>
    <x v="0"/>
    <n v="10"/>
    <n v="5"/>
    <x v="3"/>
    <n v="4"/>
    <x v="1"/>
    <n v="82"/>
    <n v="4"/>
    <n v="3"/>
    <x v="0"/>
    <n v="3"/>
    <x v="2"/>
    <x v="855"/>
    <n v="21708"/>
    <n v="0"/>
    <x v="0"/>
    <n v="0.14000000000000001"/>
    <n v="3"/>
    <n v="4"/>
    <n v="2"/>
    <n v="10"/>
    <n v="3"/>
    <n v="3"/>
    <x v="7"/>
    <n v="8"/>
    <n v="0"/>
    <n v="8"/>
    <x v="1"/>
    <n v="1"/>
    <n v="1"/>
    <n v="2"/>
    <n v="1"/>
    <n v="0"/>
    <n v="0"/>
    <n v="0"/>
    <n v="0"/>
    <n v="10"/>
    <n v="0.3445251318258073"/>
    <x v="0"/>
    <n v="0"/>
  </r>
  <r>
    <x v="909"/>
    <x v="37"/>
    <x v="0"/>
    <n v="265"/>
    <x v="1"/>
    <n v="25"/>
    <n v="3"/>
    <x v="0"/>
    <n v="2"/>
    <x v="0"/>
    <n v="57"/>
    <n v="4"/>
    <n v="1"/>
    <x v="1"/>
    <n v="4"/>
    <x v="0"/>
    <x v="856"/>
    <n v="21221"/>
    <n v="1"/>
    <x v="0"/>
    <n v="0.12"/>
    <n v="3"/>
    <n v="4"/>
    <n v="0"/>
    <n v="1"/>
    <n v="2"/>
    <n v="3"/>
    <x v="6"/>
    <n v="0"/>
    <n v="0"/>
    <n v="1"/>
    <x v="1"/>
    <n v="0"/>
    <n v="1"/>
    <n v="0"/>
    <n v="1"/>
    <n v="1"/>
    <n v="0"/>
    <n v="1"/>
    <n v="0"/>
    <n v="19.660535633296206"/>
    <n v="0.67735486308273574"/>
    <x v="1"/>
    <n v="4491"/>
  </r>
  <r>
    <x v="910"/>
    <x v="30"/>
    <x v="0"/>
    <n v="373"/>
    <x v="1"/>
    <n v="1"/>
    <n v="2"/>
    <x v="0"/>
    <n v="4"/>
    <x v="1"/>
    <n v="47"/>
    <n v="3"/>
    <n v="1"/>
    <x v="1"/>
    <n v="3"/>
    <x v="1"/>
    <x v="857"/>
    <n v="16901"/>
    <n v="1"/>
    <x v="1"/>
    <n v="0.22"/>
    <n v="4"/>
    <n v="4"/>
    <n v="1"/>
    <n v="1"/>
    <n v="2"/>
    <n v="3"/>
    <x v="6"/>
    <n v="0"/>
    <n v="0"/>
    <n v="1"/>
    <x v="1"/>
    <n v="1"/>
    <n v="1"/>
    <n v="1"/>
    <n v="0"/>
    <n v="0"/>
    <n v="0"/>
    <n v="1"/>
    <n v="0"/>
    <n v="6.4944289374208282"/>
    <n v="0.22374939857982484"/>
    <x v="2"/>
    <n v="0"/>
  </r>
  <r>
    <x v="911"/>
    <x v="36"/>
    <x v="1"/>
    <n v="599"/>
    <x v="0"/>
    <n v="24"/>
    <n v="1"/>
    <x v="0"/>
    <n v="3"/>
    <x v="1"/>
    <n v="73"/>
    <n v="1"/>
    <n v="1"/>
    <x v="6"/>
    <n v="4"/>
    <x v="0"/>
    <x v="858"/>
    <n v="8040"/>
    <n v="1"/>
    <x v="0"/>
    <n v="0.14000000000000001"/>
    <n v="3"/>
    <n v="4"/>
    <n v="0"/>
    <n v="1"/>
    <n v="4"/>
    <n v="3"/>
    <x v="6"/>
    <n v="0"/>
    <n v="1"/>
    <n v="0"/>
    <x v="0"/>
    <n v="1"/>
    <n v="2"/>
    <n v="0"/>
    <n v="1"/>
    <n v="1"/>
    <n v="0"/>
    <n v="1"/>
    <n v="1"/>
    <n v="24.820925613786383"/>
    <n v="0.85514326691283105"/>
    <x v="3"/>
    <n v="1677"/>
  </r>
  <r>
    <x v="912"/>
    <x v="25"/>
    <x v="0"/>
    <n v="583"/>
    <x v="1"/>
    <n v="4"/>
    <n v="2"/>
    <x v="0"/>
    <n v="3"/>
    <x v="1"/>
    <n v="53"/>
    <n v="3"/>
    <n v="1"/>
    <x v="1"/>
    <n v="4"/>
    <x v="0"/>
    <x v="859"/>
    <n v="9973"/>
    <n v="1"/>
    <x v="0"/>
    <n v="0.2"/>
    <n v="4"/>
    <n v="2"/>
    <n v="0"/>
    <n v="8"/>
    <n v="2"/>
    <n v="2"/>
    <x v="3"/>
    <n v="5"/>
    <n v="2"/>
    <n v="2"/>
    <x v="1"/>
    <n v="1"/>
    <n v="1"/>
    <n v="0"/>
    <n v="1"/>
    <n v="0"/>
    <n v="0"/>
    <n v="1"/>
    <n v="0"/>
    <n v="16.494428937420828"/>
    <n v="0.56827453040563214"/>
    <x v="1"/>
    <n v="4312.5"/>
  </r>
  <r>
    <x v="913"/>
    <x v="28"/>
    <x v="0"/>
    <n v="1449"/>
    <x v="0"/>
    <n v="2"/>
    <n v="3"/>
    <x v="3"/>
    <n v="1"/>
    <x v="0"/>
    <n v="94"/>
    <n v="1"/>
    <n v="5"/>
    <x v="5"/>
    <n v="2"/>
    <x v="0"/>
    <x v="860"/>
    <n v="2493"/>
    <n v="2"/>
    <x v="0"/>
    <n v="0.16"/>
    <n v="3"/>
    <n v="1"/>
    <n v="0"/>
    <n v="26"/>
    <n v="2"/>
    <n v="3"/>
    <x v="25"/>
    <n v="10"/>
    <n v="1"/>
    <n v="11"/>
    <x v="0"/>
    <n v="0"/>
    <n v="1"/>
    <n v="0"/>
    <n v="1"/>
    <n v="0"/>
    <n v="1"/>
    <n v="0"/>
    <n v="0"/>
    <n v="14.204533129978131"/>
    <n v="0.48938186491297625"/>
    <x v="0"/>
    <n v="0"/>
  </r>
  <r>
    <x v="914"/>
    <x v="27"/>
    <x v="2"/>
    <n v="177"/>
    <x v="1"/>
    <n v="8"/>
    <n v="1"/>
    <x v="2"/>
    <n v="4"/>
    <x v="1"/>
    <n v="37"/>
    <n v="2"/>
    <n v="4"/>
    <x v="4"/>
    <n v="2"/>
    <x v="2"/>
    <x v="861"/>
    <n v="25592"/>
    <n v="1"/>
    <x v="0"/>
    <n v="0.15"/>
    <n v="3"/>
    <n v="4"/>
    <n v="1"/>
    <n v="34"/>
    <n v="3"/>
    <n v="3"/>
    <x v="26"/>
    <n v="9"/>
    <n v="15"/>
    <n v="0"/>
    <x v="1"/>
    <n v="1"/>
    <n v="0"/>
    <n v="2"/>
    <n v="1"/>
    <n v="0"/>
    <n v="1"/>
    <n v="0"/>
    <n v="0"/>
    <n v="14.204533129978131"/>
    <n v="0.48938186491297625"/>
    <x v="0"/>
    <n v="0"/>
  </r>
  <r>
    <x v="915"/>
    <x v="18"/>
    <x v="1"/>
    <n v="251"/>
    <x v="1"/>
    <n v="10"/>
    <n v="2"/>
    <x v="0"/>
    <n v="1"/>
    <x v="0"/>
    <n v="45"/>
    <n v="2"/>
    <n v="1"/>
    <x v="2"/>
    <n v="3"/>
    <x v="0"/>
    <x v="862"/>
    <n v="25308"/>
    <n v="1"/>
    <x v="1"/>
    <n v="0.2"/>
    <n v="4"/>
    <n v="3"/>
    <n v="0"/>
    <n v="2"/>
    <n v="2"/>
    <n v="1"/>
    <x v="4"/>
    <n v="2"/>
    <n v="2"/>
    <n v="2"/>
    <x v="0"/>
    <n v="0"/>
    <n v="2"/>
    <n v="0"/>
    <n v="0"/>
    <n v="0"/>
    <n v="0"/>
    <n v="1"/>
    <n v="1"/>
    <n v="11.654818917911005"/>
    <n v="0.40153780240992015"/>
    <x v="0"/>
    <n v="0"/>
  </r>
  <r>
    <x v="916"/>
    <x v="21"/>
    <x v="0"/>
    <n v="168"/>
    <x v="0"/>
    <n v="4"/>
    <n v="2"/>
    <x v="3"/>
    <n v="4"/>
    <x v="0"/>
    <n v="33"/>
    <n v="2"/>
    <n v="5"/>
    <x v="5"/>
    <n v="2"/>
    <x v="1"/>
    <x v="863"/>
    <n v="9946"/>
    <n v="2"/>
    <x v="1"/>
    <n v="0.14000000000000001"/>
    <n v="3"/>
    <n v="3"/>
    <n v="1"/>
    <n v="26"/>
    <n v="2"/>
    <n v="3"/>
    <x v="19"/>
    <n v="4"/>
    <n v="0"/>
    <n v="8"/>
    <x v="1"/>
    <n v="0"/>
    <n v="1"/>
    <n v="1"/>
    <n v="0"/>
    <n v="0"/>
    <n v="1"/>
    <n v="0"/>
    <n v="0"/>
    <n v="4.204533129978131"/>
    <n v="0.14485673308716898"/>
    <x v="2"/>
    <n v="0"/>
  </r>
  <r>
    <x v="917"/>
    <x v="13"/>
    <x v="0"/>
    <n v="131"/>
    <x v="0"/>
    <n v="2"/>
    <n v="3"/>
    <x v="3"/>
    <n v="3"/>
    <x v="0"/>
    <n v="86"/>
    <n v="3"/>
    <n v="2"/>
    <x v="0"/>
    <n v="1"/>
    <x v="0"/>
    <x v="864"/>
    <n v="6039"/>
    <n v="0"/>
    <x v="0"/>
    <n v="0.12"/>
    <n v="3"/>
    <n v="4"/>
    <n v="0"/>
    <n v="4"/>
    <n v="3"/>
    <n v="3"/>
    <x v="11"/>
    <n v="2"/>
    <n v="0"/>
    <n v="2"/>
    <x v="1"/>
    <n v="0"/>
    <n v="1"/>
    <n v="0"/>
    <n v="1"/>
    <n v="0"/>
    <n v="1"/>
    <n v="1"/>
    <n v="0"/>
    <n v="20.698962067398959"/>
    <n v="0.71313126349280109"/>
    <x v="1"/>
    <n v="6807"/>
  </r>
  <r>
    <x v="918"/>
    <x v="31"/>
    <x v="1"/>
    <n v="237"/>
    <x v="0"/>
    <n v="9"/>
    <n v="3"/>
    <x v="0"/>
    <n v="4"/>
    <x v="1"/>
    <n v="83"/>
    <n v="3"/>
    <n v="5"/>
    <x v="5"/>
    <n v="2"/>
    <x v="2"/>
    <x v="865"/>
    <n v="19196"/>
    <n v="4"/>
    <x v="0"/>
    <n v="0.24"/>
    <n v="4"/>
    <n v="1"/>
    <n v="1"/>
    <n v="31"/>
    <n v="5"/>
    <n v="2"/>
    <x v="30"/>
    <n v="10"/>
    <n v="11"/>
    <n v="10"/>
    <x v="1"/>
    <n v="1"/>
    <n v="2"/>
    <n v="2"/>
    <n v="1"/>
    <n v="0"/>
    <n v="1"/>
    <n v="0"/>
    <n v="1"/>
    <n v="19.364923110468307"/>
    <n v="0.66717026874307161"/>
    <x v="1"/>
    <n v="29770.5"/>
  </r>
  <r>
    <x v="919"/>
    <x v="6"/>
    <x v="0"/>
    <n v="1429"/>
    <x v="1"/>
    <n v="18"/>
    <n v="4"/>
    <x v="2"/>
    <n v="4"/>
    <x v="1"/>
    <n v="67"/>
    <n v="3"/>
    <n v="3"/>
    <x v="3"/>
    <n v="4"/>
    <x v="0"/>
    <x v="866"/>
    <n v="20002"/>
    <n v="6"/>
    <x v="1"/>
    <n v="0.12"/>
    <n v="3"/>
    <n v="4"/>
    <n v="0"/>
    <n v="25"/>
    <n v="6"/>
    <n v="2"/>
    <x v="7"/>
    <n v="7"/>
    <n v="5"/>
    <n v="4"/>
    <x v="1"/>
    <n v="1"/>
    <n v="1"/>
    <n v="0"/>
    <n v="0"/>
    <n v="1"/>
    <n v="0"/>
    <n v="0"/>
    <n v="0"/>
    <n v="3.1661066958753779"/>
    <n v="0.10908033267710357"/>
    <x v="2"/>
    <n v="0"/>
  </r>
  <r>
    <x v="920"/>
    <x v="13"/>
    <x v="1"/>
    <n v="135"/>
    <x v="1"/>
    <n v="19"/>
    <n v="3"/>
    <x v="2"/>
    <n v="3"/>
    <x v="0"/>
    <n v="46"/>
    <n v="3"/>
    <n v="2"/>
    <x v="2"/>
    <n v="2"/>
    <x v="2"/>
    <x v="867"/>
    <n v="22534"/>
    <n v="4"/>
    <x v="1"/>
    <n v="0.13"/>
    <n v="3"/>
    <n v="3"/>
    <n v="2"/>
    <n v="15"/>
    <n v="2"/>
    <n v="4"/>
    <x v="19"/>
    <n v="8"/>
    <n v="5"/>
    <n v="10"/>
    <x v="1"/>
    <n v="0"/>
    <n v="2"/>
    <n v="2"/>
    <n v="0"/>
    <n v="1"/>
    <n v="1"/>
    <n v="1"/>
    <n v="1"/>
    <n v="19.025458743764514"/>
    <n v="0.65547486817419276"/>
    <x v="1"/>
    <n v="6666"/>
  </r>
  <r>
    <x v="921"/>
    <x v="14"/>
    <x v="1"/>
    <n v="791"/>
    <x v="1"/>
    <n v="1"/>
    <n v="4"/>
    <x v="2"/>
    <n v="4"/>
    <x v="1"/>
    <n v="44"/>
    <n v="3"/>
    <n v="1"/>
    <x v="2"/>
    <n v="3"/>
    <x v="0"/>
    <x v="868"/>
    <n v="6842"/>
    <n v="0"/>
    <x v="0"/>
    <n v="0.11"/>
    <n v="3"/>
    <n v="3"/>
    <n v="0"/>
    <n v="5"/>
    <n v="2"/>
    <n v="2"/>
    <x v="9"/>
    <n v="2"/>
    <n v="0"/>
    <n v="2"/>
    <x v="1"/>
    <n v="1"/>
    <n v="2"/>
    <n v="0"/>
    <n v="1"/>
    <n v="0"/>
    <n v="0"/>
    <n v="1"/>
    <n v="1"/>
    <n v="21.654818917911005"/>
    <n v="0.74606293423572745"/>
    <x v="1"/>
    <n v="3231"/>
  </r>
  <r>
    <x v="922"/>
    <x v="20"/>
    <x v="0"/>
    <n v="1199"/>
    <x v="1"/>
    <n v="4"/>
    <n v="2"/>
    <x v="0"/>
    <n v="3"/>
    <x v="1"/>
    <n v="92"/>
    <n v="4"/>
    <n v="5"/>
    <x v="5"/>
    <n v="1"/>
    <x v="2"/>
    <x v="869"/>
    <n v="17477"/>
    <n v="1"/>
    <x v="1"/>
    <n v="0.14000000000000001"/>
    <n v="3"/>
    <n v="4"/>
    <n v="2"/>
    <n v="26"/>
    <n v="4"/>
    <n v="2"/>
    <x v="10"/>
    <n v="9"/>
    <n v="14"/>
    <n v="13"/>
    <x v="1"/>
    <n v="1"/>
    <n v="1"/>
    <n v="2"/>
    <n v="0"/>
    <n v="0"/>
    <n v="1"/>
    <n v="0"/>
    <n v="0"/>
    <n v="4.204533129978131"/>
    <n v="0.14485673308716898"/>
    <x v="2"/>
    <n v="0"/>
  </r>
  <r>
    <x v="923"/>
    <x v="13"/>
    <x v="1"/>
    <n v="648"/>
    <x v="2"/>
    <n v="11"/>
    <n v="3"/>
    <x v="0"/>
    <n v="3"/>
    <x v="1"/>
    <n v="56"/>
    <n v="2"/>
    <n v="2"/>
    <x v="8"/>
    <n v="2"/>
    <x v="1"/>
    <x v="870"/>
    <n v="21833"/>
    <n v="4"/>
    <x v="1"/>
    <n v="0.11"/>
    <n v="3"/>
    <n v="4"/>
    <n v="2"/>
    <n v="14"/>
    <n v="5"/>
    <n v="4"/>
    <x v="1"/>
    <n v="9"/>
    <n v="1"/>
    <n v="8"/>
    <x v="1"/>
    <n v="1"/>
    <n v="2"/>
    <n v="1"/>
    <n v="0"/>
    <n v="0"/>
    <n v="1"/>
    <n v="1"/>
    <n v="1"/>
    <n v="15.859352047889136"/>
    <n v="0.54639453549708916"/>
    <x v="1"/>
    <n v="6735"/>
  </r>
  <r>
    <x v="924"/>
    <x v="10"/>
    <x v="0"/>
    <n v="735"/>
    <x v="1"/>
    <n v="6"/>
    <n v="1"/>
    <x v="0"/>
    <n v="3"/>
    <x v="1"/>
    <n v="66"/>
    <n v="3"/>
    <n v="1"/>
    <x v="1"/>
    <n v="3"/>
    <x v="1"/>
    <x v="871"/>
    <n v="6020"/>
    <n v="0"/>
    <x v="0"/>
    <n v="0.14000000000000001"/>
    <n v="3"/>
    <n v="4"/>
    <n v="0"/>
    <n v="4"/>
    <n v="3"/>
    <n v="3"/>
    <x v="11"/>
    <n v="2"/>
    <n v="2"/>
    <n v="2"/>
    <x v="1"/>
    <n v="1"/>
    <n v="1"/>
    <n v="1"/>
    <n v="1"/>
    <n v="0"/>
    <n v="0"/>
    <n v="1"/>
    <n v="0"/>
    <n v="16.494428937420828"/>
    <n v="0.56827453040563214"/>
    <x v="1"/>
    <n v="5259"/>
  </r>
  <r>
    <x v="925"/>
    <x v="19"/>
    <x v="0"/>
    <n v="603"/>
    <x v="1"/>
    <n v="7"/>
    <n v="4"/>
    <x v="2"/>
    <n v="2"/>
    <x v="0"/>
    <n v="78"/>
    <n v="4"/>
    <n v="2"/>
    <x v="1"/>
    <n v="2"/>
    <x v="1"/>
    <x v="872"/>
    <n v="5628"/>
    <n v="6"/>
    <x v="0"/>
    <n v="0.16"/>
    <n v="3"/>
    <n v="4"/>
    <n v="0"/>
    <n v="18"/>
    <n v="2"/>
    <n v="3"/>
    <x v="6"/>
    <n v="0"/>
    <n v="0"/>
    <n v="0"/>
    <x v="1"/>
    <n v="0"/>
    <n v="1"/>
    <n v="1"/>
    <n v="1"/>
    <n v="0"/>
    <n v="1"/>
    <n v="1"/>
    <n v="0"/>
    <n v="20.698962067398959"/>
    <n v="0.71313126349280109"/>
    <x v="1"/>
    <n v="3558"/>
  </r>
  <r>
    <x v="926"/>
    <x v="23"/>
    <x v="0"/>
    <n v="531"/>
    <x v="0"/>
    <n v="4"/>
    <n v="4"/>
    <x v="3"/>
    <n v="4"/>
    <x v="0"/>
    <n v="56"/>
    <n v="2"/>
    <n v="3"/>
    <x v="0"/>
    <n v="4"/>
    <x v="0"/>
    <x v="873"/>
    <n v="20364"/>
    <n v="3"/>
    <x v="1"/>
    <n v="0.14000000000000001"/>
    <n v="3"/>
    <n v="4"/>
    <n v="0"/>
    <n v="23"/>
    <n v="3"/>
    <n v="4"/>
    <x v="17"/>
    <n v="7"/>
    <n v="15"/>
    <n v="17"/>
    <x v="1"/>
    <n v="0"/>
    <n v="1"/>
    <n v="0"/>
    <n v="0"/>
    <n v="0"/>
    <n v="0"/>
    <n v="0"/>
    <n v="0"/>
    <n v="0"/>
    <n v="0"/>
    <x v="2"/>
    <n v="0"/>
  </r>
  <r>
    <x v="927"/>
    <x v="9"/>
    <x v="0"/>
    <n v="429"/>
    <x v="1"/>
    <n v="2"/>
    <n v="4"/>
    <x v="0"/>
    <n v="3"/>
    <x v="0"/>
    <n v="53"/>
    <n v="3"/>
    <n v="2"/>
    <x v="3"/>
    <n v="2"/>
    <x v="0"/>
    <x v="874"/>
    <n v="2323"/>
    <n v="9"/>
    <x v="0"/>
    <n v="0.11"/>
    <n v="3"/>
    <n v="4"/>
    <n v="0"/>
    <n v="18"/>
    <n v="2"/>
    <n v="3"/>
    <x v="22"/>
    <n v="14"/>
    <n v="5"/>
    <n v="12"/>
    <x v="1"/>
    <n v="0"/>
    <n v="1"/>
    <n v="0"/>
    <n v="1"/>
    <n v="0"/>
    <n v="1"/>
    <n v="0"/>
    <n v="0"/>
    <n v="14.204533129978131"/>
    <n v="0.48938186491297625"/>
    <x v="0"/>
    <n v="0"/>
  </r>
  <r>
    <x v="928"/>
    <x v="20"/>
    <x v="0"/>
    <n v="621"/>
    <x v="1"/>
    <n v="15"/>
    <n v="3"/>
    <x v="2"/>
    <n v="1"/>
    <x v="0"/>
    <n v="73"/>
    <n v="3"/>
    <n v="3"/>
    <x v="4"/>
    <n v="4"/>
    <x v="1"/>
    <x v="875"/>
    <n v="14075"/>
    <n v="1"/>
    <x v="1"/>
    <n v="0.11"/>
    <n v="3"/>
    <n v="4"/>
    <n v="1"/>
    <n v="10"/>
    <n v="2"/>
    <n v="3"/>
    <x v="1"/>
    <n v="7"/>
    <n v="0"/>
    <n v="5"/>
    <x v="0"/>
    <n v="0"/>
    <n v="1"/>
    <n v="1"/>
    <n v="0"/>
    <n v="0"/>
    <n v="0"/>
    <n v="0"/>
    <n v="0"/>
    <n v="0"/>
    <n v="0"/>
    <x v="2"/>
    <n v="0"/>
  </r>
  <r>
    <x v="929"/>
    <x v="14"/>
    <x v="1"/>
    <n v="193"/>
    <x v="1"/>
    <n v="2"/>
    <n v="3"/>
    <x v="0"/>
    <n v="4"/>
    <x v="1"/>
    <n v="52"/>
    <n v="2"/>
    <n v="1"/>
    <x v="2"/>
    <n v="4"/>
    <x v="1"/>
    <x v="876"/>
    <n v="14222"/>
    <n v="1"/>
    <x v="0"/>
    <n v="0.12"/>
    <n v="3"/>
    <n v="2"/>
    <n v="1"/>
    <n v="2"/>
    <n v="2"/>
    <n v="3"/>
    <x v="4"/>
    <n v="2"/>
    <n v="2"/>
    <n v="2"/>
    <x v="1"/>
    <n v="1"/>
    <n v="2"/>
    <n v="1"/>
    <n v="1"/>
    <n v="0"/>
    <n v="0"/>
    <n v="1"/>
    <n v="1"/>
    <n v="21.654818917911005"/>
    <n v="0.74606293423572745"/>
    <x v="1"/>
    <n v="5800.5"/>
  </r>
  <r>
    <x v="930"/>
    <x v="31"/>
    <x v="1"/>
    <n v="968"/>
    <x v="1"/>
    <n v="6"/>
    <n v="2"/>
    <x v="2"/>
    <n v="2"/>
    <x v="0"/>
    <n v="40"/>
    <n v="2"/>
    <n v="1"/>
    <x v="2"/>
    <n v="3"/>
    <x v="0"/>
    <x v="877"/>
    <n v="4257"/>
    <n v="0"/>
    <x v="1"/>
    <n v="0.14000000000000001"/>
    <n v="3"/>
    <n v="2"/>
    <n v="0"/>
    <n v="8"/>
    <n v="6"/>
    <n v="2"/>
    <x v="5"/>
    <n v="0"/>
    <n v="7"/>
    <n v="7"/>
    <x v="1"/>
    <n v="0"/>
    <n v="2"/>
    <n v="0"/>
    <n v="0"/>
    <n v="0"/>
    <n v="0"/>
    <n v="1"/>
    <n v="1"/>
    <n v="11.654818917911005"/>
    <n v="0.40153780240992015"/>
    <x v="0"/>
    <n v="0"/>
  </r>
  <r>
    <x v="931"/>
    <x v="7"/>
    <x v="2"/>
    <n v="879"/>
    <x v="1"/>
    <n v="9"/>
    <n v="2"/>
    <x v="2"/>
    <n v="3"/>
    <x v="0"/>
    <n v="72"/>
    <n v="3"/>
    <n v="2"/>
    <x v="3"/>
    <n v="3"/>
    <x v="0"/>
    <x v="878"/>
    <n v="12858"/>
    <n v="7"/>
    <x v="0"/>
    <n v="0.18"/>
    <n v="3"/>
    <n v="3"/>
    <n v="0"/>
    <n v="10"/>
    <n v="3"/>
    <n v="3"/>
    <x v="3"/>
    <n v="4"/>
    <n v="1"/>
    <n v="7"/>
    <x v="1"/>
    <n v="0"/>
    <n v="0"/>
    <n v="0"/>
    <n v="1"/>
    <n v="0"/>
    <n v="0"/>
    <n v="1"/>
    <n v="0"/>
    <n v="16.494428937420828"/>
    <n v="0.56827453040563214"/>
    <x v="1"/>
    <n v="7042.5"/>
  </r>
  <r>
    <x v="932"/>
    <x v="11"/>
    <x v="0"/>
    <n v="806"/>
    <x v="1"/>
    <n v="7"/>
    <n v="3"/>
    <x v="4"/>
    <n v="2"/>
    <x v="0"/>
    <n v="39"/>
    <n v="3"/>
    <n v="1"/>
    <x v="2"/>
    <n v="3"/>
    <x v="2"/>
    <x v="879"/>
    <n v="17285"/>
    <n v="3"/>
    <x v="0"/>
    <n v="0.13"/>
    <n v="3"/>
    <n v="1"/>
    <n v="2"/>
    <n v="10"/>
    <n v="2"/>
    <n v="3"/>
    <x v="5"/>
    <n v="7"/>
    <n v="7"/>
    <n v="7"/>
    <x v="0"/>
    <n v="0"/>
    <n v="1"/>
    <n v="2"/>
    <n v="1"/>
    <n v="0"/>
    <n v="0"/>
    <n v="1"/>
    <n v="0"/>
    <n v="16.494428937420828"/>
    <n v="0.56827453040563214"/>
    <x v="1"/>
    <n v="5008.5"/>
  </r>
  <r>
    <x v="933"/>
    <x v="14"/>
    <x v="0"/>
    <n v="640"/>
    <x v="1"/>
    <n v="1"/>
    <n v="3"/>
    <x v="4"/>
    <n v="4"/>
    <x v="1"/>
    <n v="84"/>
    <n v="3"/>
    <n v="1"/>
    <x v="1"/>
    <n v="1"/>
    <x v="0"/>
    <x v="880"/>
    <n v="4732"/>
    <n v="2"/>
    <x v="1"/>
    <n v="0.11"/>
    <n v="3"/>
    <n v="2"/>
    <n v="0"/>
    <n v="5"/>
    <n v="2"/>
    <n v="2"/>
    <x v="11"/>
    <n v="2"/>
    <n v="1"/>
    <n v="2"/>
    <x v="1"/>
    <n v="1"/>
    <n v="1"/>
    <n v="0"/>
    <n v="0"/>
    <n v="0"/>
    <n v="1"/>
    <n v="1"/>
    <n v="0"/>
    <n v="10.698962067398959"/>
    <n v="0.3686061316669938"/>
    <x v="0"/>
    <n v="0"/>
  </r>
  <r>
    <x v="934"/>
    <x v="36"/>
    <x v="0"/>
    <n v="266"/>
    <x v="1"/>
    <n v="1"/>
    <n v="3"/>
    <x v="2"/>
    <n v="4"/>
    <x v="0"/>
    <n v="40"/>
    <n v="3"/>
    <n v="1"/>
    <x v="1"/>
    <n v="2"/>
    <x v="0"/>
    <x v="461"/>
    <n v="18830"/>
    <n v="1"/>
    <x v="1"/>
    <n v="0.18"/>
    <n v="3"/>
    <n v="4"/>
    <n v="0"/>
    <n v="2"/>
    <n v="3"/>
    <n v="2"/>
    <x v="4"/>
    <n v="2"/>
    <n v="2"/>
    <n v="1"/>
    <x v="1"/>
    <n v="0"/>
    <n v="1"/>
    <n v="0"/>
    <n v="0"/>
    <n v="0"/>
    <n v="1"/>
    <n v="1"/>
    <n v="0"/>
    <n v="10.698962067398959"/>
    <n v="0.3686061316669938"/>
    <x v="0"/>
    <n v="0"/>
  </r>
  <r>
    <x v="935"/>
    <x v="5"/>
    <x v="0"/>
    <n v="604"/>
    <x v="0"/>
    <n v="8"/>
    <n v="3"/>
    <x v="2"/>
    <n v="3"/>
    <x v="1"/>
    <n v="56"/>
    <n v="4"/>
    <n v="2"/>
    <x v="0"/>
    <n v="4"/>
    <x v="1"/>
    <x v="881"/>
    <n v="11693"/>
    <n v="1"/>
    <x v="1"/>
    <n v="0.15"/>
    <n v="3"/>
    <n v="3"/>
    <n v="2"/>
    <n v="10"/>
    <n v="4"/>
    <n v="4"/>
    <x v="1"/>
    <n v="7"/>
    <n v="0"/>
    <n v="8"/>
    <x v="1"/>
    <n v="1"/>
    <n v="1"/>
    <n v="1"/>
    <n v="0"/>
    <n v="0"/>
    <n v="0"/>
    <n v="0"/>
    <n v="0"/>
    <n v="0"/>
    <n v="0"/>
    <x v="2"/>
    <n v="0"/>
  </r>
  <r>
    <x v="936"/>
    <x v="28"/>
    <x v="1"/>
    <n v="364"/>
    <x v="1"/>
    <n v="25"/>
    <n v="3"/>
    <x v="2"/>
    <n v="2"/>
    <x v="0"/>
    <n v="83"/>
    <n v="3"/>
    <n v="5"/>
    <x v="5"/>
    <n v="2"/>
    <x v="0"/>
    <x v="882"/>
    <n v="13035"/>
    <n v="3"/>
    <x v="1"/>
    <n v="0.22"/>
    <n v="4"/>
    <n v="3"/>
    <n v="0"/>
    <n v="22"/>
    <n v="4"/>
    <n v="3"/>
    <x v="2"/>
    <n v="0"/>
    <n v="0"/>
    <n v="0"/>
    <x v="1"/>
    <n v="0"/>
    <n v="2"/>
    <n v="0"/>
    <n v="0"/>
    <n v="1"/>
    <n v="1"/>
    <n v="0"/>
    <n v="1"/>
    <n v="12.531029806343685"/>
    <n v="0.43172546959436786"/>
    <x v="0"/>
    <n v="0"/>
  </r>
  <r>
    <x v="937"/>
    <x v="22"/>
    <x v="0"/>
    <n v="412"/>
    <x v="1"/>
    <n v="13"/>
    <n v="4"/>
    <x v="2"/>
    <n v="3"/>
    <x v="0"/>
    <n v="94"/>
    <n v="2"/>
    <n v="4"/>
    <x v="5"/>
    <n v="2"/>
    <x v="2"/>
    <x v="883"/>
    <n v="17334"/>
    <n v="6"/>
    <x v="0"/>
    <n v="0.13"/>
    <n v="3"/>
    <n v="4"/>
    <n v="2"/>
    <n v="21"/>
    <n v="4"/>
    <n v="3"/>
    <x v="27"/>
    <n v="9"/>
    <n v="15"/>
    <n v="2"/>
    <x v="1"/>
    <n v="0"/>
    <n v="1"/>
    <n v="2"/>
    <n v="1"/>
    <n v="0"/>
    <n v="1"/>
    <n v="0"/>
    <n v="0"/>
    <n v="14.204533129978131"/>
    <n v="0.48938186491297625"/>
    <x v="0"/>
    <n v="0"/>
  </r>
  <r>
    <x v="938"/>
    <x v="34"/>
    <x v="0"/>
    <n v="848"/>
    <x v="1"/>
    <n v="23"/>
    <n v="4"/>
    <x v="0"/>
    <n v="1"/>
    <x v="1"/>
    <n v="88"/>
    <n v="3"/>
    <n v="1"/>
    <x v="1"/>
    <n v="3"/>
    <x v="2"/>
    <x v="872"/>
    <n v="26076"/>
    <n v="1"/>
    <x v="1"/>
    <n v="0.12"/>
    <n v="3"/>
    <n v="4"/>
    <n v="2"/>
    <n v="2"/>
    <n v="3"/>
    <n v="3"/>
    <x v="4"/>
    <n v="2"/>
    <n v="2"/>
    <n v="2"/>
    <x v="1"/>
    <n v="1"/>
    <n v="1"/>
    <n v="2"/>
    <n v="0"/>
    <n v="1"/>
    <n v="0"/>
    <n v="1"/>
    <n v="0"/>
    <n v="9.660535633296206"/>
    <n v="0.33282973125692844"/>
    <x v="0"/>
    <n v="0"/>
  </r>
  <r>
    <x v="939"/>
    <x v="5"/>
    <x v="0"/>
    <n v="1089"/>
    <x v="1"/>
    <n v="7"/>
    <n v="2"/>
    <x v="0"/>
    <n v="4"/>
    <x v="1"/>
    <n v="79"/>
    <n v="3"/>
    <n v="2"/>
    <x v="2"/>
    <n v="3"/>
    <x v="1"/>
    <x v="884"/>
    <n v="22845"/>
    <n v="1"/>
    <x v="1"/>
    <n v="0.18"/>
    <n v="3"/>
    <n v="1"/>
    <n v="1"/>
    <n v="10"/>
    <n v="3"/>
    <n v="3"/>
    <x v="1"/>
    <n v="4"/>
    <n v="1"/>
    <n v="1"/>
    <x v="0"/>
    <n v="1"/>
    <n v="1"/>
    <n v="1"/>
    <n v="0"/>
    <n v="0"/>
    <n v="0"/>
    <n v="1"/>
    <n v="0"/>
    <n v="6.4944289374208282"/>
    <n v="0.22374939857982484"/>
    <x v="2"/>
    <n v="0"/>
  </r>
  <r>
    <x v="940"/>
    <x v="22"/>
    <x v="0"/>
    <n v="360"/>
    <x v="1"/>
    <n v="23"/>
    <n v="3"/>
    <x v="2"/>
    <n v="3"/>
    <x v="1"/>
    <n v="93"/>
    <n v="3"/>
    <n v="1"/>
    <x v="1"/>
    <n v="1"/>
    <x v="0"/>
    <x v="885"/>
    <n v="22154"/>
    <n v="0"/>
    <x v="1"/>
    <n v="0.13"/>
    <n v="3"/>
    <n v="1"/>
    <n v="0"/>
    <n v="6"/>
    <n v="2"/>
    <n v="3"/>
    <x v="8"/>
    <n v="2"/>
    <n v="0"/>
    <n v="3"/>
    <x v="0"/>
    <n v="1"/>
    <n v="1"/>
    <n v="0"/>
    <n v="0"/>
    <n v="1"/>
    <n v="1"/>
    <n v="1"/>
    <n v="0"/>
    <n v="13.865068763274337"/>
    <n v="0.47768646434409739"/>
    <x v="0"/>
    <n v="0"/>
  </r>
  <r>
    <x v="941"/>
    <x v="7"/>
    <x v="0"/>
    <n v="1138"/>
    <x v="1"/>
    <n v="6"/>
    <n v="3"/>
    <x v="4"/>
    <n v="1"/>
    <x v="0"/>
    <n v="48"/>
    <n v="2"/>
    <n v="2"/>
    <x v="2"/>
    <n v="4"/>
    <x v="1"/>
    <x v="886"/>
    <n v="23631"/>
    <n v="0"/>
    <x v="1"/>
    <n v="0.12"/>
    <n v="3"/>
    <n v="1"/>
    <n v="1"/>
    <n v="10"/>
    <n v="6"/>
    <n v="3"/>
    <x v="7"/>
    <n v="2"/>
    <n v="6"/>
    <n v="7"/>
    <x v="1"/>
    <n v="0"/>
    <n v="1"/>
    <n v="1"/>
    <n v="0"/>
    <n v="0"/>
    <n v="0"/>
    <n v="1"/>
    <n v="0"/>
    <n v="6.4944289374208282"/>
    <n v="0.22374939857982484"/>
    <x v="2"/>
    <n v="0"/>
  </r>
  <r>
    <x v="942"/>
    <x v="9"/>
    <x v="0"/>
    <n v="325"/>
    <x v="1"/>
    <n v="10"/>
    <n v="4"/>
    <x v="4"/>
    <n v="4"/>
    <x v="0"/>
    <n v="63"/>
    <n v="3"/>
    <n v="3"/>
    <x v="4"/>
    <n v="3"/>
    <x v="1"/>
    <x v="887"/>
    <n v="5747"/>
    <n v="3"/>
    <x v="1"/>
    <n v="0.12"/>
    <n v="3"/>
    <n v="1"/>
    <n v="0"/>
    <n v="10"/>
    <n v="0"/>
    <n v="3"/>
    <x v="5"/>
    <n v="7"/>
    <n v="1"/>
    <n v="7"/>
    <x v="1"/>
    <n v="0"/>
    <n v="1"/>
    <n v="1"/>
    <n v="0"/>
    <n v="0"/>
    <n v="0"/>
    <n v="0"/>
    <n v="0"/>
    <n v="0"/>
    <n v="0"/>
    <x v="2"/>
    <n v="0"/>
  </r>
  <r>
    <x v="943"/>
    <x v="21"/>
    <x v="0"/>
    <n v="991"/>
    <x v="2"/>
    <n v="1"/>
    <n v="2"/>
    <x v="0"/>
    <n v="4"/>
    <x v="0"/>
    <n v="44"/>
    <n v="3"/>
    <n v="1"/>
    <x v="8"/>
    <n v="1"/>
    <x v="0"/>
    <x v="888"/>
    <n v="22957"/>
    <n v="6"/>
    <x v="1"/>
    <n v="0.12"/>
    <n v="3"/>
    <n v="3"/>
    <n v="0"/>
    <n v="10"/>
    <n v="3"/>
    <n v="4"/>
    <x v="5"/>
    <n v="6"/>
    <n v="5"/>
    <n v="7"/>
    <x v="1"/>
    <n v="0"/>
    <n v="1"/>
    <n v="0"/>
    <n v="0"/>
    <n v="0"/>
    <n v="1"/>
    <n v="1"/>
    <n v="0"/>
    <n v="10.698962067398959"/>
    <n v="0.3686061316669938"/>
    <x v="0"/>
    <n v="0"/>
  </r>
  <r>
    <x v="944"/>
    <x v="14"/>
    <x v="2"/>
    <n v="1476"/>
    <x v="1"/>
    <n v="1"/>
    <n v="3"/>
    <x v="0"/>
    <n v="3"/>
    <x v="0"/>
    <n v="55"/>
    <n v="1"/>
    <n v="2"/>
    <x v="2"/>
    <n v="4"/>
    <x v="1"/>
    <x v="889"/>
    <n v="16392"/>
    <n v="0"/>
    <x v="1"/>
    <n v="0.11"/>
    <n v="3"/>
    <n v="1"/>
    <n v="3"/>
    <n v="10"/>
    <n v="6"/>
    <n v="3"/>
    <x v="7"/>
    <n v="8"/>
    <n v="7"/>
    <n v="5"/>
    <x v="1"/>
    <n v="0"/>
    <n v="0"/>
    <n v="1"/>
    <n v="0"/>
    <n v="0"/>
    <n v="0"/>
    <n v="0"/>
    <n v="0"/>
    <n v="0"/>
    <n v="0"/>
    <x v="2"/>
    <n v="0"/>
  </r>
  <r>
    <x v="945"/>
    <x v="24"/>
    <x v="0"/>
    <n v="1322"/>
    <x v="1"/>
    <n v="28"/>
    <n v="3"/>
    <x v="0"/>
    <n v="4"/>
    <x v="0"/>
    <n v="43"/>
    <n v="3"/>
    <n v="4"/>
    <x v="7"/>
    <n v="1"/>
    <x v="1"/>
    <x v="890"/>
    <n v="22422"/>
    <n v="4"/>
    <x v="0"/>
    <n v="0.11"/>
    <n v="3"/>
    <n v="2"/>
    <n v="0"/>
    <n v="25"/>
    <n v="2"/>
    <n v="3"/>
    <x v="11"/>
    <n v="2"/>
    <n v="1"/>
    <n v="2"/>
    <x v="1"/>
    <n v="0"/>
    <n v="1"/>
    <n v="1"/>
    <n v="1"/>
    <n v="1"/>
    <n v="1"/>
    <n v="0"/>
    <n v="0"/>
    <n v="17.370639825853509"/>
    <n v="0.59846219759007979"/>
    <x v="1"/>
    <n v="25320"/>
  </r>
  <r>
    <x v="946"/>
    <x v="32"/>
    <x v="0"/>
    <n v="299"/>
    <x v="0"/>
    <n v="25"/>
    <n v="4"/>
    <x v="3"/>
    <n v="4"/>
    <x v="1"/>
    <n v="57"/>
    <n v="2"/>
    <n v="3"/>
    <x v="0"/>
    <n v="2"/>
    <x v="0"/>
    <x v="891"/>
    <n v="17235"/>
    <n v="2"/>
    <x v="0"/>
    <n v="0.12"/>
    <n v="3"/>
    <n v="3"/>
    <n v="0"/>
    <n v="9"/>
    <n v="2"/>
    <n v="3"/>
    <x v="8"/>
    <n v="4"/>
    <n v="1"/>
    <n v="0"/>
    <x v="0"/>
    <n v="1"/>
    <n v="1"/>
    <n v="0"/>
    <n v="1"/>
    <n v="1"/>
    <n v="1"/>
    <n v="0"/>
    <n v="0"/>
    <n v="17.370639825853509"/>
    <n v="0.59846219759007979"/>
    <x v="1"/>
    <n v="13641"/>
  </r>
  <r>
    <x v="947"/>
    <x v="39"/>
    <x v="0"/>
    <n v="1030"/>
    <x v="0"/>
    <n v="5"/>
    <n v="3"/>
    <x v="0"/>
    <n v="2"/>
    <x v="1"/>
    <n v="64"/>
    <n v="3"/>
    <n v="3"/>
    <x v="0"/>
    <n v="2"/>
    <x v="0"/>
    <x v="892"/>
    <n v="21534"/>
    <n v="9"/>
    <x v="0"/>
    <n v="0.19"/>
    <n v="3"/>
    <n v="3"/>
    <n v="0"/>
    <n v="10"/>
    <n v="2"/>
    <n v="2"/>
    <x v="3"/>
    <n v="7"/>
    <n v="7"/>
    <n v="7"/>
    <x v="0"/>
    <n v="1"/>
    <n v="1"/>
    <n v="0"/>
    <n v="1"/>
    <n v="0"/>
    <n v="1"/>
    <n v="0"/>
    <n v="0"/>
    <n v="14.204533129978131"/>
    <n v="0.48938186491297625"/>
    <x v="0"/>
    <n v="0"/>
  </r>
  <r>
    <x v="948"/>
    <x v="7"/>
    <x v="0"/>
    <n v="634"/>
    <x v="1"/>
    <n v="17"/>
    <n v="4"/>
    <x v="2"/>
    <n v="2"/>
    <x v="0"/>
    <n v="95"/>
    <n v="3"/>
    <n v="3"/>
    <x v="5"/>
    <n v="1"/>
    <x v="1"/>
    <x v="893"/>
    <n v="25927"/>
    <n v="1"/>
    <x v="0"/>
    <n v="0.23"/>
    <n v="4"/>
    <n v="4"/>
    <n v="2"/>
    <n v="9"/>
    <n v="2"/>
    <n v="3"/>
    <x v="7"/>
    <n v="1"/>
    <n v="0"/>
    <n v="8"/>
    <x v="1"/>
    <n v="0"/>
    <n v="1"/>
    <n v="1"/>
    <n v="1"/>
    <n v="1"/>
    <n v="1"/>
    <n v="0"/>
    <n v="0"/>
    <n v="17.370639825853509"/>
    <n v="0.59846219759007979"/>
    <x v="1"/>
    <n v="17874"/>
  </r>
  <r>
    <x v="949"/>
    <x v="22"/>
    <x v="0"/>
    <n v="524"/>
    <x v="1"/>
    <n v="18"/>
    <n v="2"/>
    <x v="0"/>
    <n v="1"/>
    <x v="1"/>
    <n v="32"/>
    <n v="3"/>
    <n v="2"/>
    <x v="3"/>
    <n v="3"/>
    <x v="0"/>
    <x v="894"/>
    <n v="13352"/>
    <n v="0"/>
    <x v="1"/>
    <n v="0.11"/>
    <n v="3"/>
    <n v="1"/>
    <n v="0"/>
    <n v="9"/>
    <n v="6"/>
    <n v="3"/>
    <x v="3"/>
    <n v="7"/>
    <n v="1"/>
    <n v="7"/>
    <x v="1"/>
    <n v="1"/>
    <n v="1"/>
    <n v="0"/>
    <n v="0"/>
    <n v="1"/>
    <n v="0"/>
    <n v="1"/>
    <n v="0"/>
    <n v="9.660535633296206"/>
    <n v="0.33282973125692844"/>
    <x v="0"/>
    <n v="0"/>
  </r>
  <r>
    <x v="950"/>
    <x v="12"/>
    <x v="2"/>
    <n v="587"/>
    <x v="0"/>
    <n v="2"/>
    <n v="4"/>
    <x v="0"/>
    <n v="4"/>
    <x v="0"/>
    <n v="57"/>
    <n v="3"/>
    <n v="3"/>
    <x v="0"/>
    <n v="3"/>
    <x v="2"/>
    <x v="895"/>
    <n v="8935"/>
    <n v="1"/>
    <x v="0"/>
    <n v="0.19"/>
    <n v="3"/>
    <n v="1"/>
    <n v="1"/>
    <n v="10"/>
    <n v="5"/>
    <n v="2"/>
    <x v="1"/>
    <n v="8"/>
    <n v="9"/>
    <n v="6"/>
    <x v="1"/>
    <n v="0"/>
    <n v="0"/>
    <n v="2"/>
    <n v="1"/>
    <n v="0"/>
    <n v="0"/>
    <n v="0"/>
    <n v="0"/>
    <n v="10"/>
    <n v="0.3445251318258073"/>
    <x v="0"/>
    <n v="0"/>
  </r>
  <r>
    <x v="951"/>
    <x v="0"/>
    <x v="2"/>
    <n v="256"/>
    <x v="0"/>
    <n v="10"/>
    <n v="2"/>
    <x v="2"/>
    <n v="3"/>
    <x v="1"/>
    <n v="40"/>
    <n v="1"/>
    <n v="2"/>
    <x v="0"/>
    <n v="2"/>
    <x v="0"/>
    <x v="896"/>
    <n v="22074"/>
    <n v="1"/>
    <x v="1"/>
    <n v="0.13"/>
    <n v="3"/>
    <n v="1"/>
    <n v="0"/>
    <n v="19"/>
    <n v="4"/>
    <n v="3"/>
    <x v="27"/>
    <n v="2"/>
    <n v="11"/>
    <n v="9"/>
    <x v="1"/>
    <n v="1"/>
    <n v="0"/>
    <n v="0"/>
    <n v="0"/>
    <n v="0"/>
    <n v="1"/>
    <n v="0"/>
    <n v="0"/>
    <n v="4.204533129978131"/>
    <n v="0.14485673308716898"/>
    <x v="2"/>
    <n v="0"/>
  </r>
  <r>
    <x v="952"/>
    <x v="12"/>
    <x v="1"/>
    <n v="1060"/>
    <x v="0"/>
    <n v="1"/>
    <n v="3"/>
    <x v="0"/>
    <n v="4"/>
    <x v="0"/>
    <n v="54"/>
    <n v="3"/>
    <n v="1"/>
    <x v="6"/>
    <n v="2"/>
    <x v="0"/>
    <x v="897"/>
    <n v="8319"/>
    <n v="1"/>
    <x v="0"/>
    <n v="0.11"/>
    <n v="3"/>
    <n v="1"/>
    <n v="0"/>
    <n v="3"/>
    <n v="2"/>
    <n v="4"/>
    <x v="11"/>
    <n v="2"/>
    <n v="2"/>
    <n v="2"/>
    <x v="0"/>
    <n v="0"/>
    <n v="2"/>
    <n v="0"/>
    <n v="1"/>
    <n v="0"/>
    <n v="1"/>
    <n v="1"/>
    <n v="1"/>
    <n v="25.859352047889136"/>
    <n v="0.8909196673228964"/>
    <x v="3"/>
    <n v="3453"/>
  </r>
  <r>
    <x v="953"/>
    <x v="20"/>
    <x v="0"/>
    <n v="935"/>
    <x v="1"/>
    <n v="3"/>
    <n v="3"/>
    <x v="0"/>
    <n v="1"/>
    <x v="1"/>
    <n v="89"/>
    <n v="3"/>
    <n v="1"/>
    <x v="2"/>
    <n v="1"/>
    <x v="1"/>
    <x v="898"/>
    <n v="14669"/>
    <n v="4"/>
    <x v="1"/>
    <n v="0.12"/>
    <n v="3"/>
    <n v="3"/>
    <n v="0"/>
    <n v="10"/>
    <n v="4"/>
    <n v="4"/>
    <x v="11"/>
    <n v="2"/>
    <n v="1"/>
    <n v="2"/>
    <x v="0"/>
    <n v="1"/>
    <n v="1"/>
    <n v="1"/>
    <n v="0"/>
    <n v="0"/>
    <n v="1"/>
    <n v="1"/>
    <n v="0"/>
    <n v="10.698962067398959"/>
    <n v="0.3686061316669938"/>
    <x v="0"/>
    <n v="0"/>
  </r>
  <r>
    <x v="954"/>
    <x v="19"/>
    <x v="2"/>
    <n v="495"/>
    <x v="1"/>
    <n v="2"/>
    <n v="1"/>
    <x v="0"/>
    <n v="3"/>
    <x v="1"/>
    <n v="37"/>
    <n v="3"/>
    <n v="4"/>
    <x v="5"/>
    <n v="3"/>
    <x v="1"/>
    <x v="417"/>
    <n v="26582"/>
    <n v="0"/>
    <x v="0"/>
    <n v="0.13"/>
    <n v="3"/>
    <n v="4"/>
    <n v="0"/>
    <n v="21"/>
    <n v="3"/>
    <n v="2"/>
    <x v="23"/>
    <n v="8"/>
    <n v="2"/>
    <n v="10"/>
    <x v="1"/>
    <n v="1"/>
    <n v="0"/>
    <n v="1"/>
    <n v="1"/>
    <n v="0"/>
    <n v="0"/>
    <n v="0"/>
    <n v="0"/>
    <n v="10"/>
    <n v="0.3445251318258073"/>
    <x v="0"/>
    <n v="0"/>
  </r>
  <r>
    <x v="955"/>
    <x v="27"/>
    <x v="0"/>
    <n v="282"/>
    <x v="1"/>
    <n v="2"/>
    <n v="2"/>
    <x v="2"/>
    <n v="4"/>
    <x v="0"/>
    <n v="58"/>
    <n v="1"/>
    <n v="5"/>
    <x v="5"/>
    <n v="3"/>
    <x v="1"/>
    <x v="899"/>
    <n v="6992"/>
    <n v="4"/>
    <x v="1"/>
    <n v="0.14000000000000001"/>
    <n v="3"/>
    <n v="4"/>
    <n v="1"/>
    <n v="23"/>
    <n v="5"/>
    <n v="3"/>
    <x v="27"/>
    <n v="9"/>
    <n v="9"/>
    <n v="11"/>
    <x v="1"/>
    <n v="0"/>
    <n v="1"/>
    <n v="1"/>
    <n v="0"/>
    <n v="0"/>
    <n v="0"/>
    <n v="0"/>
    <n v="0"/>
    <n v="0"/>
    <n v="0"/>
    <x v="2"/>
    <n v="0"/>
  </r>
  <r>
    <x v="956"/>
    <x v="29"/>
    <x v="0"/>
    <n v="206"/>
    <x v="2"/>
    <n v="8"/>
    <n v="4"/>
    <x v="0"/>
    <n v="4"/>
    <x v="1"/>
    <n v="99"/>
    <n v="3"/>
    <n v="5"/>
    <x v="5"/>
    <n v="2"/>
    <x v="0"/>
    <x v="900"/>
    <n v="4022"/>
    <n v="6"/>
    <x v="1"/>
    <n v="0.14000000000000001"/>
    <n v="3"/>
    <n v="1"/>
    <n v="0"/>
    <n v="36"/>
    <n v="4"/>
    <n v="3"/>
    <x v="5"/>
    <n v="3"/>
    <n v="7"/>
    <n v="7"/>
    <x v="1"/>
    <n v="1"/>
    <n v="1"/>
    <n v="0"/>
    <n v="0"/>
    <n v="0"/>
    <n v="1"/>
    <n v="0"/>
    <n v="0"/>
    <n v="4.204533129978131"/>
    <n v="0.14485673308716898"/>
    <x v="2"/>
    <n v="0"/>
  </r>
  <r>
    <x v="957"/>
    <x v="32"/>
    <x v="2"/>
    <n v="458"/>
    <x v="1"/>
    <n v="16"/>
    <n v="2"/>
    <x v="0"/>
    <n v="3"/>
    <x v="1"/>
    <n v="74"/>
    <n v="3"/>
    <n v="1"/>
    <x v="1"/>
    <n v="3"/>
    <x v="2"/>
    <x v="901"/>
    <n v="8532"/>
    <n v="9"/>
    <x v="1"/>
    <n v="0.16"/>
    <n v="3"/>
    <n v="2"/>
    <n v="1"/>
    <n v="6"/>
    <n v="0"/>
    <n v="3"/>
    <x v="9"/>
    <n v="2"/>
    <n v="0"/>
    <n v="0"/>
    <x v="1"/>
    <n v="1"/>
    <n v="0"/>
    <n v="2"/>
    <n v="0"/>
    <n v="1"/>
    <n v="0"/>
    <n v="1"/>
    <n v="0"/>
    <n v="9.660535633296206"/>
    <n v="0.33282973125692844"/>
    <x v="0"/>
    <n v="0"/>
  </r>
  <r>
    <x v="958"/>
    <x v="13"/>
    <x v="0"/>
    <n v="943"/>
    <x v="1"/>
    <n v="9"/>
    <n v="3"/>
    <x v="0"/>
    <n v="4"/>
    <x v="1"/>
    <n v="86"/>
    <n v="3"/>
    <n v="3"/>
    <x v="4"/>
    <n v="4"/>
    <x v="2"/>
    <x v="902"/>
    <n v="5494"/>
    <n v="0"/>
    <x v="1"/>
    <n v="0.11"/>
    <n v="3"/>
    <n v="4"/>
    <n v="1"/>
    <n v="10"/>
    <n v="0"/>
    <n v="2"/>
    <x v="7"/>
    <n v="7"/>
    <n v="1"/>
    <n v="6"/>
    <x v="1"/>
    <n v="1"/>
    <n v="1"/>
    <n v="2"/>
    <n v="0"/>
    <n v="0"/>
    <n v="0"/>
    <n v="0"/>
    <n v="0"/>
    <n v="0"/>
    <n v="0"/>
    <x v="2"/>
    <n v="0"/>
  </r>
  <r>
    <x v="959"/>
    <x v="32"/>
    <x v="0"/>
    <n v="523"/>
    <x v="1"/>
    <n v="2"/>
    <n v="3"/>
    <x v="0"/>
    <n v="3"/>
    <x v="1"/>
    <n v="98"/>
    <n v="3"/>
    <n v="2"/>
    <x v="1"/>
    <n v="4"/>
    <x v="0"/>
    <x v="903"/>
    <n v="22455"/>
    <n v="1"/>
    <x v="1"/>
    <n v="0.13"/>
    <n v="3"/>
    <n v="3"/>
    <n v="0"/>
    <n v="9"/>
    <n v="4"/>
    <n v="3"/>
    <x v="7"/>
    <n v="8"/>
    <n v="8"/>
    <n v="8"/>
    <x v="1"/>
    <n v="1"/>
    <n v="1"/>
    <n v="0"/>
    <n v="0"/>
    <n v="0"/>
    <n v="0"/>
    <n v="1"/>
    <n v="0"/>
    <n v="6.4944289374208282"/>
    <n v="0.22374939857982484"/>
    <x v="2"/>
    <n v="0"/>
  </r>
  <r>
    <x v="960"/>
    <x v="0"/>
    <x v="1"/>
    <n v="1018"/>
    <x v="0"/>
    <n v="1"/>
    <n v="3"/>
    <x v="3"/>
    <n v="3"/>
    <x v="0"/>
    <n v="66"/>
    <n v="3"/>
    <n v="2"/>
    <x v="0"/>
    <n v="1"/>
    <x v="2"/>
    <x v="904"/>
    <n v="4297"/>
    <n v="0"/>
    <x v="1"/>
    <n v="0.17"/>
    <n v="3"/>
    <n v="4"/>
    <n v="1"/>
    <n v="10"/>
    <n v="2"/>
    <n v="3"/>
    <x v="7"/>
    <n v="3"/>
    <n v="1"/>
    <n v="7"/>
    <x v="1"/>
    <n v="0"/>
    <n v="2"/>
    <n v="2"/>
    <n v="0"/>
    <n v="0"/>
    <n v="1"/>
    <n v="1"/>
    <n v="1"/>
    <n v="15.859352047889136"/>
    <n v="0.54639453549708916"/>
    <x v="1"/>
    <n v="6154.5"/>
  </r>
  <r>
    <x v="961"/>
    <x v="10"/>
    <x v="1"/>
    <n v="482"/>
    <x v="1"/>
    <n v="4"/>
    <n v="4"/>
    <x v="0"/>
    <n v="3"/>
    <x v="1"/>
    <n v="87"/>
    <n v="3"/>
    <n v="2"/>
    <x v="1"/>
    <n v="3"/>
    <x v="0"/>
    <x v="905"/>
    <n v="2690"/>
    <n v="1"/>
    <x v="0"/>
    <n v="0.11"/>
    <n v="3"/>
    <n v="2"/>
    <n v="0"/>
    <n v="9"/>
    <n v="3"/>
    <n v="3"/>
    <x v="7"/>
    <n v="6"/>
    <n v="1"/>
    <n v="1"/>
    <x v="1"/>
    <n v="1"/>
    <n v="2"/>
    <n v="0"/>
    <n v="1"/>
    <n v="0"/>
    <n v="0"/>
    <n v="1"/>
    <n v="1"/>
    <n v="21.654818917911005"/>
    <n v="0.74606293423572745"/>
    <x v="1"/>
    <n v="6373.5"/>
  </r>
  <r>
    <x v="962"/>
    <x v="31"/>
    <x v="0"/>
    <n v="770"/>
    <x v="2"/>
    <n v="5"/>
    <n v="3"/>
    <x v="0"/>
    <n v="3"/>
    <x v="1"/>
    <n v="84"/>
    <n v="3"/>
    <n v="4"/>
    <x v="5"/>
    <n v="2"/>
    <x v="2"/>
    <x v="906"/>
    <n v="17588"/>
    <n v="1"/>
    <x v="0"/>
    <n v="0.11"/>
    <n v="3"/>
    <n v="2"/>
    <n v="1"/>
    <n v="33"/>
    <n v="2"/>
    <n v="3"/>
    <x v="26"/>
    <n v="9"/>
    <n v="0"/>
    <n v="10"/>
    <x v="1"/>
    <n v="1"/>
    <n v="1"/>
    <n v="2"/>
    <n v="1"/>
    <n v="0"/>
    <n v="1"/>
    <n v="0"/>
    <n v="0"/>
    <n v="14.204533129978131"/>
    <n v="0.48938186491297625"/>
    <x v="0"/>
    <n v="0"/>
  </r>
  <r>
    <x v="963"/>
    <x v="8"/>
    <x v="0"/>
    <n v="1009"/>
    <x v="0"/>
    <n v="2"/>
    <n v="2"/>
    <x v="0"/>
    <n v="2"/>
    <x v="0"/>
    <n v="31"/>
    <n v="3"/>
    <n v="2"/>
    <x v="0"/>
    <n v="1"/>
    <x v="2"/>
    <x v="907"/>
    <n v="19461"/>
    <n v="3"/>
    <x v="1"/>
    <n v="0.15"/>
    <n v="3"/>
    <n v="4"/>
    <n v="1"/>
    <n v="11"/>
    <n v="3"/>
    <n v="3"/>
    <x v="5"/>
    <n v="7"/>
    <n v="1"/>
    <n v="7"/>
    <x v="1"/>
    <n v="0"/>
    <n v="1"/>
    <n v="2"/>
    <n v="0"/>
    <n v="0"/>
    <n v="1"/>
    <n v="0"/>
    <n v="0"/>
    <n v="4.204533129978131"/>
    <n v="0.14485673308716898"/>
    <x v="2"/>
    <n v="0"/>
  </r>
  <r>
    <x v="964"/>
    <x v="13"/>
    <x v="0"/>
    <n v="507"/>
    <x v="0"/>
    <n v="15"/>
    <n v="2"/>
    <x v="2"/>
    <n v="3"/>
    <x v="0"/>
    <n v="66"/>
    <n v="3"/>
    <n v="2"/>
    <x v="0"/>
    <n v="1"/>
    <x v="0"/>
    <x v="908"/>
    <n v="23553"/>
    <n v="1"/>
    <x v="1"/>
    <n v="0.12"/>
    <n v="3"/>
    <n v="4"/>
    <n v="0"/>
    <n v="10"/>
    <n v="6"/>
    <n v="4"/>
    <x v="1"/>
    <n v="8"/>
    <n v="9"/>
    <n v="6"/>
    <x v="1"/>
    <n v="0"/>
    <n v="1"/>
    <n v="0"/>
    <n v="0"/>
    <n v="0"/>
    <n v="1"/>
    <n v="0"/>
    <n v="0"/>
    <n v="4.204533129978131"/>
    <n v="0.14485673308716898"/>
    <x v="2"/>
    <n v="0"/>
  </r>
  <r>
    <x v="965"/>
    <x v="36"/>
    <x v="0"/>
    <n v="882"/>
    <x v="1"/>
    <n v="19"/>
    <n v="1"/>
    <x v="2"/>
    <n v="4"/>
    <x v="1"/>
    <n v="67"/>
    <n v="3"/>
    <n v="1"/>
    <x v="2"/>
    <n v="4"/>
    <x v="1"/>
    <x v="909"/>
    <n v="9075"/>
    <n v="3"/>
    <x v="1"/>
    <n v="0.11"/>
    <n v="3"/>
    <n v="3"/>
    <n v="3"/>
    <n v="7"/>
    <n v="6"/>
    <n v="2"/>
    <x v="11"/>
    <n v="2"/>
    <n v="1"/>
    <n v="2"/>
    <x v="1"/>
    <n v="1"/>
    <n v="1"/>
    <n v="1"/>
    <n v="0"/>
    <n v="1"/>
    <n v="0"/>
    <n v="1"/>
    <n v="0"/>
    <n v="9.660535633296206"/>
    <n v="0.33282973125692844"/>
    <x v="0"/>
    <n v="0"/>
  </r>
  <r>
    <x v="966"/>
    <x v="34"/>
    <x v="0"/>
    <n v="601"/>
    <x v="1"/>
    <n v="7"/>
    <n v="4"/>
    <x v="2"/>
    <n v="3"/>
    <x v="0"/>
    <n v="53"/>
    <n v="2"/>
    <n v="3"/>
    <x v="3"/>
    <n v="1"/>
    <x v="1"/>
    <x v="910"/>
    <n v="12023"/>
    <n v="7"/>
    <x v="0"/>
    <n v="0.14000000000000001"/>
    <n v="3"/>
    <n v="4"/>
    <n v="0"/>
    <n v="31"/>
    <n v="0"/>
    <n v="2"/>
    <x v="1"/>
    <n v="9"/>
    <n v="5"/>
    <n v="9"/>
    <x v="0"/>
    <n v="0"/>
    <n v="1"/>
    <n v="1"/>
    <n v="1"/>
    <n v="0"/>
    <n v="1"/>
    <n v="0"/>
    <n v="0"/>
    <n v="14.204533129978131"/>
    <n v="0.48938186491297625"/>
    <x v="0"/>
    <n v="0"/>
  </r>
  <r>
    <x v="967"/>
    <x v="32"/>
    <x v="0"/>
    <n v="329"/>
    <x v="1"/>
    <n v="1"/>
    <n v="4"/>
    <x v="0"/>
    <n v="2"/>
    <x v="1"/>
    <n v="88"/>
    <n v="3"/>
    <n v="1"/>
    <x v="2"/>
    <n v="2"/>
    <x v="1"/>
    <x v="911"/>
    <n v="6762"/>
    <n v="3"/>
    <x v="1"/>
    <n v="0.22"/>
    <n v="4"/>
    <n v="3"/>
    <n v="1"/>
    <n v="7"/>
    <n v="3"/>
    <n v="3"/>
    <x v="9"/>
    <n v="2"/>
    <n v="0"/>
    <n v="3"/>
    <x v="1"/>
    <n v="1"/>
    <n v="1"/>
    <n v="1"/>
    <n v="0"/>
    <n v="0"/>
    <n v="1"/>
    <n v="1"/>
    <n v="0"/>
    <n v="10.698962067398959"/>
    <n v="0.3686061316669938"/>
    <x v="0"/>
    <n v="0"/>
  </r>
  <r>
    <x v="968"/>
    <x v="9"/>
    <x v="1"/>
    <n v="607"/>
    <x v="0"/>
    <n v="7"/>
    <n v="3"/>
    <x v="3"/>
    <n v="1"/>
    <x v="0"/>
    <n v="83"/>
    <n v="4"/>
    <n v="2"/>
    <x v="0"/>
    <n v="1"/>
    <x v="1"/>
    <x v="912"/>
    <n v="2261"/>
    <n v="2"/>
    <x v="1"/>
    <n v="0.16"/>
    <n v="3"/>
    <n v="4"/>
    <n v="1"/>
    <n v="17"/>
    <n v="2"/>
    <n v="2"/>
    <x v="15"/>
    <n v="7"/>
    <n v="6"/>
    <n v="13"/>
    <x v="1"/>
    <n v="0"/>
    <n v="2"/>
    <n v="1"/>
    <n v="0"/>
    <n v="0"/>
    <n v="1"/>
    <n v="1"/>
    <n v="1"/>
    <n v="15.859352047889136"/>
    <n v="0.54639453549708916"/>
    <x v="1"/>
    <n v="6958.5"/>
  </r>
  <r>
    <x v="969"/>
    <x v="26"/>
    <x v="0"/>
    <n v="855"/>
    <x v="1"/>
    <n v="4"/>
    <n v="3"/>
    <x v="0"/>
    <n v="4"/>
    <x v="1"/>
    <n v="54"/>
    <n v="3"/>
    <n v="3"/>
    <x v="3"/>
    <n v="4"/>
    <x v="0"/>
    <x v="913"/>
    <n v="18706"/>
    <n v="1"/>
    <x v="1"/>
    <n v="0.11"/>
    <n v="3"/>
    <n v="3"/>
    <n v="0"/>
    <n v="11"/>
    <n v="2"/>
    <n v="3"/>
    <x v="1"/>
    <n v="9"/>
    <n v="0"/>
    <n v="8"/>
    <x v="1"/>
    <n v="1"/>
    <n v="1"/>
    <n v="0"/>
    <n v="0"/>
    <n v="0"/>
    <n v="0"/>
    <n v="0"/>
    <n v="0"/>
    <n v="0"/>
    <n v="0"/>
    <x v="2"/>
    <n v="0"/>
  </r>
  <r>
    <x v="970"/>
    <x v="4"/>
    <x v="0"/>
    <n v="1291"/>
    <x v="0"/>
    <n v="11"/>
    <n v="3"/>
    <x v="2"/>
    <n v="3"/>
    <x v="0"/>
    <n v="98"/>
    <n v="4"/>
    <n v="1"/>
    <x v="6"/>
    <n v="4"/>
    <x v="1"/>
    <x v="914"/>
    <n v="6527"/>
    <n v="8"/>
    <x v="1"/>
    <n v="0.14000000000000001"/>
    <n v="3"/>
    <n v="2"/>
    <n v="1"/>
    <n v="5"/>
    <n v="4"/>
    <n v="3"/>
    <x v="6"/>
    <n v="0"/>
    <n v="0"/>
    <n v="0"/>
    <x v="1"/>
    <n v="0"/>
    <n v="1"/>
    <n v="1"/>
    <n v="0"/>
    <n v="0"/>
    <n v="0"/>
    <n v="1"/>
    <n v="0"/>
    <n v="6.4944289374208282"/>
    <n v="0.22374939857982484"/>
    <x v="2"/>
    <n v="0"/>
  </r>
  <r>
    <x v="971"/>
    <x v="31"/>
    <x v="0"/>
    <n v="1405"/>
    <x v="1"/>
    <n v="11"/>
    <n v="2"/>
    <x v="4"/>
    <n v="4"/>
    <x v="0"/>
    <n v="82"/>
    <n v="2"/>
    <n v="4"/>
    <x v="3"/>
    <n v="2"/>
    <x v="0"/>
    <x v="915"/>
    <n v="24439"/>
    <n v="3"/>
    <x v="1"/>
    <n v="0.16"/>
    <n v="3"/>
    <n v="2"/>
    <n v="0"/>
    <n v="29"/>
    <n v="1"/>
    <n v="2"/>
    <x v="8"/>
    <n v="2"/>
    <n v="0"/>
    <n v="3"/>
    <x v="1"/>
    <n v="0"/>
    <n v="1"/>
    <n v="0"/>
    <n v="0"/>
    <n v="0"/>
    <n v="1"/>
    <n v="0"/>
    <n v="0"/>
    <n v="4.204533129978131"/>
    <n v="0.14485673308716898"/>
    <x v="2"/>
    <n v="0"/>
  </r>
  <r>
    <x v="972"/>
    <x v="41"/>
    <x v="2"/>
    <n v="1124"/>
    <x v="1"/>
    <n v="1"/>
    <n v="3"/>
    <x v="0"/>
    <n v="4"/>
    <x v="0"/>
    <n v="97"/>
    <n v="3"/>
    <n v="1"/>
    <x v="2"/>
    <n v="4"/>
    <x v="0"/>
    <x v="916"/>
    <n v="19305"/>
    <n v="1"/>
    <x v="1"/>
    <n v="0.15"/>
    <n v="3"/>
    <n v="3"/>
    <n v="0"/>
    <n v="0"/>
    <n v="5"/>
    <n v="4"/>
    <x v="2"/>
    <n v="0"/>
    <n v="0"/>
    <n v="0"/>
    <x v="1"/>
    <n v="0"/>
    <n v="0"/>
    <n v="0"/>
    <n v="0"/>
    <n v="0"/>
    <n v="0"/>
    <n v="1"/>
    <n v="0"/>
    <n v="6.4944289374208282"/>
    <n v="0.22374939857982484"/>
    <x v="2"/>
    <n v="0"/>
  </r>
  <r>
    <x v="973"/>
    <x v="10"/>
    <x v="0"/>
    <n v="817"/>
    <x v="1"/>
    <n v="1"/>
    <n v="3"/>
    <x v="2"/>
    <n v="4"/>
    <x v="0"/>
    <n v="60"/>
    <n v="2"/>
    <n v="2"/>
    <x v="2"/>
    <n v="4"/>
    <x v="1"/>
    <x v="917"/>
    <n v="10846"/>
    <n v="0"/>
    <x v="1"/>
    <n v="0.12"/>
    <n v="3"/>
    <n v="2"/>
    <n v="1"/>
    <n v="10"/>
    <n v="0"/>
    <n v="3"/>
    <x v="7"/>
    <n v="7"/>
    <n v="0"/>
    <n v="0"/>
    <x v="1"/>
    <n v="0"/>
    <n v="1"/>
    <n v="1"/>
    <n v="0"/>
    <n v="0"/>
    <n v="0"/>
    <n v="0"/>
    <n v="0"/>
    <n v="0"/>
    <n v="0"/>
    <x v="2"/>
    <n v="0"/>
  </r>
  <r>
    <x v="974"/>
    <x v="4"/>
    <x v="1"/>
    <n v="793"/>
    <x v="0"/>
    <n v="2"/>
    <n v="1"/>
    <x v="0"/>
    <n v="4"/>
    <x v="1"/>
    <n v="43"/>
    <n v="1"/>
    <n v="2"/>
    <x v="0"/>
    <n v="4"/>
    <x v="0"/>
    <x v="918"/>
    <n v="20392"/>
    <n v="3"/>
    <x v="1"/>
    <n v="0.2"/>
    <n v="4"/>
    <n v="2"/>
    <n v="0"/>
    <n v="8"/>
    <n v="3"/>
    <n v="3"/>
    <x v="0"/>
    <n v="2"/>
    <n v="0"/>
    <n v="0"/>
    <x v="1"/>
    <n v="1"/>
    <n v="2"/>
    <n v="0"/>
    <n v="0"/>
    <n v="0"/>
    <n v="0"/>
    <n v="0"/>
    <n v="1"/>
    <n v="5.1603899804901765"/>
    <n v="0.17778840383009531"/>
    <x v="2"/>
    <n v="0"/>
  </r>
  <r>
    <x v="975"/>
    <x v="27"/>
    <x v="0"/>
    <n v="267"/>
    <x v="0"/>
    <n v="13"/>
    <n v="4"/>
    <x v="3"/>
    <n v="1"/>
    <x v="1"/>
    <n v="85"/>
    <n v="4"/>
    <n v="4"/>
    <x v="0"/>
    <n v="3"/>
    <x v="0"/>
    <x v="919"/>
    <n v="9277"/>
    <n v="6"/>
    <x v="0"/>
    <n v="0.17"/>
    <n v="3"/>
    <n v="3"/>
    <n v="0"/>
    <n v="24"/>
    <n v="2"/>
    <n v="2"/>
    <x v="27"/>
    <n v="7"/>
    <n v="3"/>
    <n v="8"/>
    <x v="0"/>
    <n v="1"/>
    <n v="1"/>
    <n v="0"/>
    <n v="1"/>
    <n v="0"/>
    <n v="0"/>
    <n v="0"/>
    <n v="0"/>
    <n v="10"/>
    <n v="0.3445251318258073"/>
    <x v="0"/>
    <n v="0"/>
  </r>
  <r>
    <x v="976"/>
    <x v="29"/>
    <x v="0"/>
    <n v="1369"/>
    <x v="1"/>
    <n v="23"/>
    <n v="3"/>
    <x v="0"/>
    <n v="4"/>
    <x v="1"/>
    <n v="68"/>
    <n v="3"/>
    <n v="4"/>
    <x v="3"/>
    <n v="2"/>
    <x v="1"/>
    <x v="920"/>
    <n v="18235"/>
    <n v="4"/>
    <x v="0"/>
    <n v="0.12"/>
    <n v="3"/>
    <n v="1"/>
    <n v="1"/>
    <n v="33"/>
    <n v="0"/>
    <n v="3"/>
    <x v="27"/>
    <n v="16"/>
    <n v="15"/>
    <n v="9"/>
    <x v="1"/>
    <n v="1"/>
    <n v="1"/>
    <n v="1"/>
    <n v="1"/>
    <n v="1"/>
    <n v="1"/>
    <n v="0"/>
    <n v="0"/>
    <n v="17.370639825853509"/>
    <n v="0.59846219759007979"/>
    <x v="1"/>
    <n v="20103"/>
  </r>
  <r>
    <x v="977"/>
    <x v="13"/>
    <x v="2"/>
    <n v="999"/>
    <x v="1"/>
    <n v="26"/>
    <n v="1"/>
    <x v="4"/>
    <n v="1"/>
    <x v="0"/>
    <n v="92"/>
    <n v="2"/>
    <n v="1"/>
    <x v="1"/>
    <n v="3"/>
    <x v="2"/>
    <x v="921"/>
    <n v="15891"/>
    <n v="1"/>
    <x v="1"/>
    <n v="0.2"/>
    <n v="4"/>
    <n v="3"/>
    <n v="3"/>
    <n v="5"/>
    <n v="2"/>
    <n v="3"/>
    <x v="8"/>
    <n v="4"/>
    <n v="0"/>
    <n v="0"/>
    <x v="1"/>
    <n v="0"/>
    <n v="0"/>
    <n v="2"/>
    <n v="0"/>
    <n v="1"/>
    <n v="0"/>
    <n v="1"/>
    <n v="0"/>
    <n v="9.660535633296206"/>
    <n v="0.33282973125692844"/>
    <x v="0"/>
    <n v="0"/>
  </r>
  <r>
    <x v="978"/>
    <x v="32"/>
    <x v="0"/>
    <n v="1202"/>
    <x v="1"/>
    <n v="2"/>
    <n v="1"/>
    <x v="2"/>
    <n v="2"/>
    <x v="0"/>
    <n v="89"/>
    <n v="4"/>
    <n v="2"/>
    <x v="4"/>
    <n v="3"/>
    <x v="2"/>
    <x v="922"/>
    <n v="13888"/>
    <n v="5"/>
    <x v="1"/>
    <n v="0.2"/>
    <n v="4"/>
    <n v="2"/>
    <n v="3"/>
    <n v="15"/>
    <n v="0"/>
    <n v="3"/>
    <x v="12"/>
    <n v="11"/>
    <n v="11"/>
    <n v="8"/>
    <x v="1"/>
    <n v="0"/>
    <n v="1"/>
    <n v="2"/>
    <n v="0"/>
    <n v="0"/>
    <n v="0"/>
    <n v="0"/>
    <n v="0"/>
    <n v="0"/>
    <n v="0"/>
    <x v="2"/>
    <n v="0"/>
  </r>
  <r>
    <x v="979"/>
    <x v="13"/>
    <x v="0"/>
    <n v="285"/>
    <x v="1"/>
    <n v="29"/>
    <n v="3"/>
    <x v="2"/>
    <n v="2"/>
    <x v="1"/>
    <n v="86"/>
    <n v="3"/>
    <n v="2"/>
    <x v="2"/>
    <n v="3"/>
    <x v="1"/>
    <x v="923"/>
    <n v="17491"/>
    <n v="4"/>
    <x v="1"/>
    <n v="0.13"/>
    <n v="3"/>
    <n v="1"/>
    <n v="2"/>
    <n v="10"/>
    <n v="1"/>
    <n v="3"/>
    <x v="3"/>
    <n v="7"/>
    <n v="7"/>
    <n v="7"/>
    <x v="1"/>
    <n v="1"/>
    <n v="1"/>
    <n v="1"/>
    <n v="0"/>
    <n v="1"/>
    <n v="0"/>
    <n v="0"/>
    <n v="0"/>
    <n v="3.1661066958753779"/>
    <n v="0.10908033267710357"/>
    <x v="2"/>
    <n v="0"/>
  </r>
  <r>
    <x v="980"/>
    <x v="12"/>
    <x v="1"/>
    <n v="703"/>
    <x v="0"/>
    <n v="2"/>
    <n v="3"/>
    <x v="0"/>
    <n v="3"/>
    <x v="0"/>
    <n v="90"/>
    <n v="2"/>
    <n v="1"/>
    <x v="6"/>
    <n v="4"/>
    <x v="0"/>
    <x v="924"/>
    <n v="11882"/>
    <n v="7"/>
    <x v="1"/>
    <n v="0.14000000000000001"/>
    <n v="3"/>
    <n v="3"/>
    <n v="0"/>
    <n v="3"/>
    <n v="3"/>
    <n v="4"/>
    <x v="6"/>
    <n v="0"/>
    <n v="0"/>
    <n v="0"/>
    <x v="0"/>
    <n v="0"/>
    <n v="2"/>
    <n v="0"/>
    <n v="0"/>
    <n v="0"/>
    <n v="0"/>
    <n v="1"/>
    <n v="1"/>
    <n v="11.654818917911005"/>
    <n v="0.40153780240992015"/>
    <x v="0"/>
    <n v="0"/>
  </r>
  <r>
    <x v="981"/>
    <x v="10"/>
    <x v="1"/>
    <n v="662"/>
    <x v="0"/>
    <n v="18"/>
    <n v="4"/>
    <x v="3"/>
    <n v="4"/>
    <x v="0"/>
    <n v="67"/>
    <n v="3"/>
    <n v="2"/>
    <x v="0"/>
    <n v="3"/>
    <x v="1"/>
    <x v="925"/>
    <n v="23288"/>
    <n v="0"/>
    <x v="0"/>
    <n v="0.18"/>
    <n v="3"/>
    <n v="3"/>
    <n v="1"/>
    <n v="5"/>
    <n v="0"/>
    <n v="2"/>
    <x v="9"/>
    <n v="2"/>
    <n v="3"/>
    <n v="2"/>
    <x v="0"/>
    <n v="0"/>
    <n v="2"/>
    <n v="1"/>
    <n v="1"/>
    <n v="1"/>
    <n v="0"/>
    <n v="1"/>
    <n v="1"/>
    <n v="24.820925613786383"/>
    <n v="0.85514326691283105"/>
    <x v="3"/>
    <n v="6921"/>
  </r>
  <r>
    <x v="982"/>
    <x v="8"/>
    <x v="1"/>
    <n v="693"/>
    <x v="1"/>
    <n v="7"/>
    <n v="3"/>
    <x v="0"/>
    <n v="4"/>
    <x v="1"/>
    <n v="57"/>
    <n v="4"/>
    <n v="1"/>
    <x v="1"/>
    <n v="3"/>
    <x v="2"/>
    <x v="353"/>
    <n v="15748"/>
    <n v="1"/>
    <x v="1"/>
    <n v="0.11"/>
    <n v="3"/>
    <n v="4"/>
    <n v="3"/>
    <n v="4"/>
    <n v="2"/>
    <n v="3"/>
    <x v="9"/>
    <n v="2"/>
    <n v="0"/>
    <n v="3"/>
    <x v="1"/>
    <n v="1"/>
    <n v="2"/>
    <n v="2"/>
    <n v="0"/>
    <n v="0"/>
    <n v="0"/>
    <n v="1"/>
    <n v="1"/>
    <n v="11.654818917911005"/>
    <n v="0.40153780240992015"/>
    <x v="0"/>
    <n v="0"/>
  </r>
  <r>
    <x v="983"/>
    <x v="13"/>
    <x v="0"/>
    <n v="404"/>
    <x v="1"/>
    <n v="2"/>
    <n v="4"/>
    <x v="4"/>
    <n v="3"/>
    <x v="0"/>
    <n v="98"/>
    <n v="3"/>
    <n v="2"/>
    <x v="4"/>
    <n v="4"/>
    <x v="0"/>
    <x v="926"/>
    <n v="6163"/>
    <n v="1"/>
    <x v="1"/>
    <n v="0.11"/>
    <n v="3"/>
    <n v="4"/>
    <n v="0"/>
    <n v="14"/>
    <n v="2"/>
    <n v="4"/>
    <x v="13"/>
    <n v="11"/>
    <n v="4"/>
    <n v="11"/>
    <x v="1"/>
    <n v="0"/>
    <n v="1"/>
    <n v="0"/>
    <n v="0"/>
    <n v="0"/>
    <n v="0"/>
    <n v="0"/>
    <n v="0"/>
    <n v="0"/>
    <n v="0"/>
    <x v="2"/>
    <n v="0"/>
  </r>
  <r>
    <x v="984"/>
    <x v="14"/>
    <x v="0"/>
    <n v="736"/>
    <x v="0"/>
    <n v="26"/>
    <n v="3"/>
    <x v="0"/>
    <n v="3"/>
    <x v="1"/>
    <n v="48"/>
    <n v="2"/>
    <n v="2"/>
    <x v="0"/>
    <n v="1"/>
    <x v="1"/>
    <x v="927"/>
    <n v="24232"/>
    <n v="1"/>
    <x v="1"/>
    <n v="0.11"/>
    <n v="3"/>
    <n v="3"/>
    <n v="1"/>
    <n v="5"/>
    <n v="0"/>
    <n v="3"/>
    <x v="8"/>
    <n v="3"/>
    <n v="0"/>
    <n v="4"/>
    <x v="1"/>
    <n v="1"/>
    <n v="1"/>
    <n v="1"/>
    <n v="0"/>
    <n v="1"/>
    <n v="1"/>
    <n v="1"/>
    <n v="0"/>
    <n v="13.865068763274337"/>
    <n v="0.47768646434409739"/>
    <x v="0"/>
    <n v="0"/>
  </r>
  <r>
    <x v="985"/>
    <x v="12"/>
    <x v="0"/>
    <n v="330"/>
    <x v="1"/>
    <n v="22"/>
    <n v="4"/>
    <x v="2"/>
    <n v="4"/>
    <x v="1"/>
    <n v="98"/>
    <n v="3"/>
    <n v="2"/>
    <x v="3"/>
    <n v="3"/>
    <x v="1"/>
    <x v="928"/>
    <n v="21057"/>
    <n v="1"/>
    <x v="0"/>
    <n v="0.15"/>
    <n v="3"/>
    <n v="4"/>
    <n v="2"/>
    <n v="10"/>
    <n v="3"/>
    <n v="2"/>
    <x v="1"/>
    <n v="2"/>
    <n v="6"/>
    <n v="7"/>
    <x v="0"/>
    <n v="1"/>
    <n v="1"/>
    <n v="1"/>
    <n v="1"/>
    <n v="1"/>
    <n v="0"/>
    <n v="0"/>
    <n v="0"/>
    <n v="13.166106695875378"/>
    <n v="0.45360546450291089"/>
    <x v="0"/>
    <n v="0"/>
  </r>
  <r>
    <x v="986"/>
    <x v="22"/>
    <x v="0"/>
    <n v="1498"/>
    <x v="0"/>
    <n v="21"/>
    <n v="4"/>
    <x v="0"/>
    <n v="1"/>
    <x v="1"/>
    <n v="44"/>
    <n v="2"/>
    <n v="2"/>
    <x v="0"/>
    <n v="4"/>
    <x v="1"/>
    <x v="929"/>
    <n v="3567"/>
    <n v="3"/>
    <x v="0"/>
    <n v="0.12"/>
    <n v="3"/>
    <n v="4"/>
    <n v="2"/>
    <n v="8"/>
    <n v="2"/>
    <n v="4"/>
    <x v="8"/>
    <n v="4"/>
    <n v="1"/>
    <n v="4"/>
    <x v="1"/>
    <n v="1"/>
    <n v="1"/>
    <n v="1"/>
    <n v="1"/>
    <n v="1"/>
    <n v="0"/>
    <n v="0"/>
    <n v="0"/>
    <n v="13.166106695875378"/>
    <n v="0.45360546450291089"/>
    <x v="0"/>
    <n v="0"/>
  </r>
  <r>
    <x v="987"/>
    <x v="31"/>
    <x v="1"/>
    <n v="541"/>
    <x v="0"/>
    <n v="2"/>
    <n v="3"/>
    <x v="3"/>
    <n v="2"/>
    <x v="1"/>
    <n v="52"/>
    <n v="3"/>
    <n v="3"/>
    <x v="0"/>
    <n v="2"/>
    <x v="1"/>
    <x v="930"/>
    <n v="15395"/>
    <n v="2"/>
    <x v="1"/>
    <n v="0.11"/>
    <n v="3"/>
    <n v="2"/>
    <n v="0"/>
    <n v="14"/>
    <n v="5"/>
    <n v="3"/>
    <x v="9"/>
    <n v="2"/>
    <n v="3"/>
    <n v="2"/>
    <x v="1"/>
    <n v="1"/>
    <n v="2"/>
    <n v="1"/>
    <n v="0"/>
    <n v="0"/>
    <n v="1"/>
    <n v="0"/>
    <n v="1"/>
    <n v="9.3649231104683075"/>
    <n v="0.32264513691726432"/>
    <x v="0"/>
    <n v="0"/>
  </r>
  <r>
    <x v="988"/>
    <x v="0"/>
    <x v="1"/>
    <n v="1200"/>
    <x v="1"/>
    <n v="22"/>
    <n v="3"/>
    <x v="0"/>
    <n v="4"/>
    <x v="0"/>
    <n v="75"/>
    <n v="3"/>
    <n v="2"/>
    <x v="1"/>
    <n v="4"/>
    <x v="2"/>
    <x v="931"/>
    <n v="13953"/>
    <n v="3"/>
    <x v="0"/>
    <n v="0.14000000000000001"/>
    <n v="3"/>
    <n v="1"/>
    <n v="2"/>
    <n v="12"/>
    <n v="4"/>
    <n v="2"/>
    <x v="0"/>
    <n v="2"/>
    <n v="3"/>
    <n v="3"/>
    <x v="1"/>
    <n v="0"/>
    <n v="2"/>
    <n v="2"/>
    <n v="1"/>
    <n v="1"/>
    <n v="0"/>
    <n v="0"/>
    <n v="1"/>
    <n v="18.326496676365554"/>
    <n v="0.63139386833300615"/>
    <x v="1"/>
    <n v="8200.5"/>
  </r>
  <r>
    <x v="989"/>
    <x v="2"/>
    <x v="0"/>
    <n v="1439"/>
    <x v="1"/>
    <n v="4"/>
    <n v="1"/>
    <x v="0"/>
    <n v="3"/>
    <x v="1"/>
    <n v="54"/>
    <n v="3"/>
    <n v="1"/>
    <x v="1"/>
    <n v="3"/>
    <x v="1"/>
    <x v="932"/>
    <n v="5182"/>
    <n v="7"/>
    <x v="0"/>
    <n v="0.15"/>
    <n v="3"/>
    <n v="4"/>
    <n v="0"/>
    <n v="8"/>
    <n v="2"/>
    <n v="3"/>
    <x v="0"/>
    <n v="4"/>
    <n v="1"/>
    <n v="3"/>
    <x v="1"/>
    <n v="1"/>
    <n v="1"/>
    <n v="1"/>
    <n v="1"/>
    <n v="0"/>
    <n v="0"/>
    <n v="1"/>
    <n v="0"/>
    <n v="16.494428937420828"/>
    <n v="0.56827453040563214"/>
    <x v="1"/>
    <n v="4494"/>
  </r>
  <r>
    <x v="990"/>
    <x v="3"/>
    <x v="1"/>
    <n v="1111"/>
    <x v="0"/>
    <n v="5"/>
    <n v="1"/>
    <x v="0"/>
    <n v="2"/>
    <x v="1"/>
    <n v="61"/>
    <n v="3"/>
    <n v="2"/>
    <x v="0"/>
    <n v="4"/>
    <x v="1"/>
    <x v="933"/>
    <n v="19293"/>
    <n v="6"/>
    <x v="1"/>
    <n v="0.13"/>
    <n v="3"/>
    <n v="1"/>
    <n v="0"/>
    <n v="8"/>
    <n v="2"/>
    <n v="4"/>
    <x v="8"/>
    <n v="4"/>
    <n v="1"/>
    <n v="2"/>
    <x v="1"/>
    <n v="1"/>
    <n v="2"/>
    <n v="1"/>
    <n v="0"/>
    <n v="0"/>
    <n v="0"/>
    <n v="0"/>
    <n v="1"/>
    <n v="5.1603899804901765"/>
    <n v="0.17778840383009531"/>
    <x v="2"/>
    <n v="0"/>
  </r>
  <r>
    <x v="991"/>
    <x v="5"/>
    <x v="0"/>
    <n v="499"/>
    <x v="0"/>
    <n v="2"/>
    <n v="1"/>
    <x v="3"/>
    <n v="3"/>
    <x v="1"/>
    <n v="36"/>
    <n v="3"/>
    <n v="2"/>
    <x v="0"/>
    <n v="2"/>
    <x v="1"/>
    <x v="934"/>
    <n v="20497"/>
    <n v="0"/>
    <x v="0"/>
    <n v="0.13"/>
    <n v="3"/>
    <n v="1"/>
    <n v="3"/>
    <n v="4"/>
    <n v="3"/>
    <n v="2"/>
    <x v="11"/>
    <n v="2"/>
    <n v="1"/>
    <n v="2"/>
    <x v="1"/>
    <n v="1"/>
    <n v="1"/>
    <n v="1"/>
    <n v="1"/>
    <n v="0"/>
    <n v="1"/>
    <n v="1"/>
    <n v="0"/>
    <n v="20.698962067398959"/>
    <n v="0.71313126349280109"/>
    <x v="1"/>
    <n v="6117"/>
  </r>
  <r>
    <x v="992"/>
    <x v="22"/>
    <x v="2"/>
    <n v="1485"/>
    <x v="1"/>
    <n v="25"/>
    <n v="2"/>
    <x v="0"/>
    <n v="3"/>
    <x v="1"/>
    <n v="71"/>
    <n v="3"/>
    <n v="3"/>
    <x v="4"/>
    <n v="3"/>
    <x v="1"/>
    <x v="935"/>
    <n v="3449"/>
    <n v="3"/>
    <x v="1"/>
    <n v="0.21"/>
    <n v="4"/>
    <n v="2"/>
    <n v="1"/>
    <n v="13"/>
    <n v="2"/>
    <n v="3"/>
    <x v="0"/>
    <n v="4"/>
    <n v="0"/>
    <n v="5"/>
    <x v="1"/>
    <n v="1"/>
    <n v="0"/>
    <n v="1"/>
    <n v="0"/>
    <n v="1"/>
    <n v="0"/>
    <n v="0"/>
    <n v="0"/>
    <n v="3.1661066958753779"/>
    <n v="0.10908033267710357"/>
    <x v="2"/>
    <n v="0"/>
  </r>
  <r>
    <x v="993"/>
    <x v="36"/>
    <x v="0"/>
    <n v="1372"/>
    <x v="0"/>
    <n v="18"/>
    <n v="1"/>
    <x v="0"/>
    <n v="1"/>
    <x v="1"/>
    <n v="93"/>
    <n v="4"/>
    <n v="2"/>
    <x v="0"/>
    <n v="3"/>
    <x v="1"/>
    <x v="936"/>
    <n v="12477"/>
    <n v="2"/>
    <x v="1"/>
    <n v="0.11"/>
    <n v="3"/>
    <n v="2"/>
    <n v="0"/>
    <n v="6"/>
    <n v="3"/>
    <n v="2"/>
    <x v="11"/>
    <n v="2"/>
    <n v="1"/>
    <n v="2"/>
    <x v="1"/>
    <n v="1"/>
    <n v="1"/>
    <n v="1"/>
    <n v="0"/>
    <n v="1"/>
    <n v="0"/>
    <n v="0"/>
    <n v="0"/>
    <n v="3.1661066958753779"/>
    <n v="0.10908033267710357"/>
    <x v="2"/>
    <n v="0"/>
  </r>
  <r>
    <x v="994"/>
    <x v="39"/>
    <x v="1"/>
    <n v="322"/>
    <x v="1"/>
    <n v="28"/>
    <n v="2"/>
    <x v="2"/>
    <n v="4"/>
    <x v="0"/>
    <n v="59"/>
    <n v="4"/>
    <n v="4"/>
    <x v="3"/>
    <n v="3"/>
    <x v="1"/>
    <x v="937"/>
    <n v="9731"/>
    <n v="2"/>
    <x v="0"/>
    <n v="0.11"/>
    <n v="3"/>
    <n v="2"/>
    <n v="1"/>
    <n v="24"/>
    <n v="3"/>
    <n v="2"/>
    <x v="8"/>
    <n v="3"/>
    <n v="0"/>
    <n v="2"/>
    <x v="1"/>
    <n v="0"/>
    <n v="2"/>
    <n v="1"/>
    <n v="1"/>
    <n v="1"/>
    <n v="0"/>
    <n v="0"/>
    <n v="1"/>
    <n v="18.326496676365554"/>
    <n v="0.63139386833300615"/>
    <x v="1"/>
    <n v="19870.5"/>
  </r>
  <r>
    <x v="995"/>
    <x v="23"/>
    <x v="0"/>
    <n v="930"/>
    <x v="1"/>
    <n v="6"/>
    <n v="3"/>
    <x v="2"/>
    <n v="1"/>
    <x v="0"/>
    <n v="73"/>
    <n v="2"/>
    <n v="2"/>
    <x v="1"/>
    <n v="3"/>
    <x v="0"/>
    <x v="938"/>
    <n v="20003"/>
    <n v="1"/>
    <x v="0"/>
    <n v="0.14000000000000001"/>
    <n v="3"/>
    <n v="1"/>
    <n v="0"/>
    <n v="20"/>
    <n v="3"/>
    <n v="1"/>
    <x v="23"/>
    <n v="7"/>
    <n v="1"/>
    <n v="8"/>
    <x v="1"/>
    <n v="0"/>
    <n v="1"/>
    <n v="0"/>
    <n v="1"/>
    <n v="0"/>
    <n v="0"/>
    <n v="1"/>
    <n v="0"/>
    <n v="16.494428937420828"/>
    <n v="0.56827453040563214"/>
    <x v="1"/>
    <n v="6121.5"/>
  </r>
  <r>
    <x v="996"/>
    <x v="4"/>
    <x v="0"/>
    <n v="205"/>
    <x v="0"/>
    <n v="10"/>
    <n v="3"/>
    <x v="3"/>
    <n v="4"/>
    <x v="0"/>
    <n v="98"/>
    <n v="2"/>
    <n v="2"/>
    <x v="0"/>
    <n v="4"/>
    <x v="1"/>
    <x v="939"/>
    <n v="7100"/>
    <n v="1"/>
    <x v="0"/>
    <n v="0.11"/>
    <n v="3"/>
    <n v="4"/>
    <n v="0"/>
    <n v="6"/>
    <n v="3"/>
    <n v="3"/>
    <x v="0"/>
    <n v="2"/>
    <n v="4"/>
    <n v="4"/>
    <x v="1"/>
    <n v="0"/>
    <n v="1"/>
    <n v="1"/>
    <n v="1"/>
    <n v="0"/>
    <n v="0"/>
    <n v="0"/>
    <n v="0"/>
    <n v="10"/>
    <n v="0.3445251318258073"/>
    <x v="0"/>
    <n v="0"/>
  </r>
  <r>
    <x v="997"/>
    <x v="4"/>
    <x v="0"/>
    <n v="135"/>
    <x v="1"/>
    <n v="17"/>
    <n v="4"/>
    <x v="0"/>
    <n v="4"/>
    <x v="0"/>
    <n v="51"/>
    <n v="3"/>
    <n v="1"/>
    <x v="1"/>
    <n v="3"/>
    <x v="0"/>
    <x v="940"/>
    <n v="25681"/>
    <n v="1"/>
    <x v="0"/>
    <n v="0.13"/>
    <n v="3"/>
    <n v="4"/>
    <n v="0"/>
    <n v="8"/>
    <n v="2"/>
    <n v="3"/>
    <x v="3"/>
    <n v="2"/>
    <n v="7"/>
    <n v="7"/>
    <x v="0"/>
    <n v="0"/>
    <n v="1"/>
    <n v="0"/>
    <n v="1"/>
    <n v="1"/>
    <n v="0"/>
    <n v="1"/>
    <n v="0"/>
    <n v="19.660535633296206"/>
    <n v="0.67735486308273574"/>
    <x v="1"/>
    <n v="3591"/>
  </r>
  <r>
    <x v="998"/>
    <x v="25"/>
    <x v="0"/>
    <n v="683"/>
    <x v="1"/>
    <n v="2"/>
    <n v="1"/>
    <x v="2"/>
    <n v="1"/>
    <x v="1"/>
    <n v="36"/>
    <n v="2"/>
    <n v="1"/>
    <x v="1"/>
    <n v="4"/>
    <x v="0"/>
    <x v="885"/>
    <n v="4050"/>
    <n v="0"/>
    <x v="1"/>
    <n v="0.12"/>
    <n v="3"/>
    <n v="4"/>
    <n v="0"/>
    <n v="5"/>
    <n v="2"/>
    <n v="3"/>
    <x v="9"/>
    <n v="3"/>
    <n v="1"/>
    <n v="1"/>
    <x v="1"/>
    <n v="1"/>
    <n v="1"/>
    <n v="0"/>
    <n v="0"/>
    <n v="0"/>
    <n v="0"/>
    <n v="1"/>
    <n v="0"/>
    <n v="6.4944289374208282"/>
    <n v="0.22374939857982484"/>
    <x v="2"/>
    <n v="0"/>
  </r>
  <r>
    <x v="999"/>
    <x v="19"/>
    <x v="0"/>
    <n v="1147"/>
    <x v="2"/>
    <n v="10"/>
    <n v="3"/>
    <x v="5"/>
    <n v="3"/>
    <x v="0"/>
    <n v="31"/>
    <n v="3"/>
    <n v="4"/>
    <x v="5"/>
    <n v="1"/>
    <x v="1"/>
    <x v="941"/>
    <n v="16616"/>
    <n v="0"/>
    <x v="1"/>
    <n v="0.14000000000000001"/>
    <n v="3"/>
    <n v="3"/>
    <n v="1"/>
    <n v="21"/>
    <n v="5"/>
    <n v="3"/>
    <x v="23"/>
    <n v="7"/>
    <n v="0"/>
    <n v="9"/>
    <x v="1"/>
    <n v="0"/>
    <n v="1"/>
    <n v="1"/>
    <n v="0"/>
    <n v="0"/>
    <n v="1"/>
    <n v="0"/>
    <n v="0"/>
    <n v="4.204533129978131"/>
    <n v="0.14485673308716898"/>
    <x v="2"/>
    <n v="0"/>
  </r>
  <r>
    <x v="1000"/>
    <x v="39"/>
    <x v="0"/>
    <n v="258"/>
    <x v="1"/>
    <n v="8"/>
    <n v="4"/>
    <x v="1"/>
    <n v="3"/>
    <x v="0"/>
    <n v="54"/>
    <n v="3"/>
    <n v="1"/>
    <x v="2"/>
    <n v="1"/>
    <x v="1"/>
    <x v="942"/>
    <n v="17363"/>
    <n v="9"/>
    <x v="1"/>
    <n v="0.13"/>
    <n v="3"/>
    <n v="3"/>
    <n v="0"/>
    <n v="12"/>
    <n v="2"/>
    <n v="1"/>
    <x v="8"/>
    <n v="4"/>
    <n v="0"/>
    <n v="4"/>
    <x v="1"/>
    <n v="0"/>
    <n v="1"/>
    <n v="1"/>
    <n v="0"/>
    <n v="0"/>
    <n v="1"/>
    <n v="1"/>
    <n v="0"/>
    <n v="10.698962067398959"/>
    <n v="0.3686061316669938"/>
    <x v="0"/>
    <n v="0"/>
  </r>
  <r>
    <x v="1001"/>
    <x v="2"/>
    <x v="0"/>
    <n v="1462"/>
    <x v="1"/>
    <n v="11"/>
    <n v="3"/>
    <x v="2"/>
    <n v="1"/>
    <x v="0"/>
    <n v="94"/>
    <n v="3"/>
    <n v="1"/>
    <x v="2"/>
    <n v="3"/>
    <x v="0"/>
    <x v="943"/>
    <n v="19106"/>
    <n v="4"/>
    <x v="1"/>
    <n v="0.18"/>
    <n v="3"/>
    <n v="1"/>
    <n v="0"/>
    <n v="8"/>
    <n v="6"/>
    <n v="3"/>
    <x v="11"/>
    <n v="2"/>
    <n v="0"/>
    <n v="2"/>
    <x v="1"/>
    <n v="0"/>
    <n v="1"/>
    <n v="0"/>
    <n v="0"/>
    <n v="0"/>
    <n v="0"/>
    <n v="1"/>
    <n v="0"/>
    <n v="6.4944289374208282"/>
    <n v="0.22374939857982484"/>
    <x v="2"/>
    <n v="0"/>
  </r>
  <r>
    <x v="1002"/>
    <x v="10"/>
    <x v="1"/>
    <n v="200"/>
    <x v="1"/>
    <n v="18"/>
    <n v="2"/>
    <x v="0"/>
    <n v="3"/>
    <x v="1"/>
    <n v="60"/>
    <n v="3"/>
    <n v="3"/>
    <x v="3"/>
    <n v="4"/>
    <x v="0"/>
    <x v="944"/>
    <n v="19944"/>
    <n v="2"/>
    <x v="1"/>
    <n v="0.11"/>
    <n v="3"/>
    <n v="3"/>
    <n v="0"/>
    <n v="10"/>
    <n v="2"/>
    <n v="3"/>
    <x v="4"/>
    <n v="2"/>
    <n v="2"/>
    <n v="2"/>
    <x v="1"/>
    <n v="1"/>
    <n v="2"/>
    <n v="0"/>
    <n v="0"/>
    <n v="1"/>
    <n v="0"/>
    <n v="0"/>
    <n v="1"/>
    <n v="8.3264966763655544"/>
    <n v="0.28686873650719891"/>
    <x v="0"/>
    <n v="0"/>
  </r>
  <r>
    <x v="1003"/>
    <x v="36"/>
    <x v="0"/>
    <n v="949"/>
    <x v="1"/>
    <n v="1"/>
    <n v="3"/>
    <x v="4"/>
    <n v="1"/>
    <x v="1"/>
    <n v="81"/>
    <n v="3"/>
    <n v="1"/>
    <x v="2"/>
    <n v="4"/>
    <x v="1"/>
    <x v="945"/>
    <n v="4910"/>
    <n v="4"/>
    <x v="1"/>
    <n v="0.11"/>
    <n v="3"/>
    <n v="2"/>
    <n v="1"/>
    <n v="7"/>
    <n v="2"/>
    <n v="2"/>
    <x v="11"/>
    <n v="2"/>
    <n v="0"/>
    <n v="2"/>
    <x v="1"/>
    <n v="1"/>
    <n v="1"/>
    <n v="1"/>
    <n v="0"/>
    <n v="0"/>
    <n v="0"/>
    <n v="1"/>
    <n v="0"/>
    <n v="6.4944289374208282"/>
    <n v="0.22374939857982484"/>
    <x v="2"/>
    <n v="0"/>
  </r>
  <r>
    <x v="1004"/>
    <x v="25"/>
    <x v="0"/>
    <n v="652"/>
    <x v="1"/>
    <n v="7"/>
    <n v="3"/>
    <x v="1"/>
    <n v="3"/>
    <x v="1"/>
    <n v="100"/>
    <n v="4"/>
    <n v="1"/>
    <x v="2"/>
    <n v="1"/>
    <x v="0"/>
    <x v="946"/>
    <n v="23577"/>
    <n v="0"/>
    <x v="1"/>
    <n v="0.12"/>
    <n v="3"/>
    <n v="4"/>
    <n v="0"/>
    <n v="8"/>
    <n v="2"/>
    <n v="3"/>
    <x v="5"/>
    <n v="7"/>
    <n v="0"/>
    <n v="7"/>
    <x v="1"/>
    <n v="1"/>
    <n v="1"/>
    <n v="0"/>
    <n v="0"/>
    <n v="0"/>
    <n v="1"/>
    <n v="1"/>
    <n v="0"/>
    <n v="10.698962067398959"/>
    <n v="0.3686061316669938"/>
    <x v="0"/>
    <n v="0"/>
  </r>
  <r>
    <x v="1005"/>
    <x v="11"/>
    <x v="0"/>
    <n v="332"/>
    <x v="2"/>
    <n v="17"/>
    <n v="3"/>
    <x v="1"/>
    <n v="2"/>
    <x v="1"/>
    <n v="51"/>
    <n v="2"/>
    <n v="3"/>
    <x v="8"/>
    <n v="1"/>
    <x v="0"/>
    <x v="947"/>
    <n v="9769"/>
    <n v="1"/>
    <x v="1"/>
    <n v="0.13"/>
    <n v="3"/>
    <n v="1"/>
    <n v="0"/>
    <n v="10"/>
    <n v="3"/>
    <n v="2"/>
    <x v="1"/>
    <n v="9"/>
    <n v="0"/>
    <n v="9"/>
    <x v="1"/>
    <n v="1"/>
    <n v="1"/>
    <n v="0"/>
    <n v="0"/>
    <n v="1"/>
    <n v="1"/>
    <n v="0"/>
    <n v="0"/>
    <n v="7.3706398258535089"/>
    <n v="0.25393706576427255"/>
    <x v="0"/>
    <n v="0"/>
  </r>
  <r>
    <x v="1006"/>
    <x v="1"/>
    <x v="1"/>
    <n v="1475"/>
    <x v="1"/>
    <n v="28"/>
    <n v="2"/>
    <x v="0"/>
    <n v="1"/>
    <x v="1"/>
    <n v="97"/>
    <n v="2"/>
    <n v="2"/>
    <x v="2"/>
    <n v="1"/>
    <x v="0"/>
    <x v="948"/>
    <n v="22710"/>
    <n v="3"/>
    <x v="1"/>
    <n v="0.2"/>
    <n v="4"/>
    <n v="1"/>
    <n v="0"/>
    <n v="20"/>
    <n v="2"/>
    <n v="3"/>
    <x v="9"/>
    <n v="3"/>
    <n v="1"/>
    <n v="3"/>
    <x v="0"/>
    <n v="1"/>
    <n v="2"/>
    <n v="0"/>
    <n v="0"/>
    <n v="1"/>
    <n v="1"/>
    <n v="1"/>
    <n v="1"/>
    <n v="19.025458743764514"/>
    <n v="0.65547486817419276"/>
    <x v="1"/>
    <n v="6426"/>
  </r>
  <r>
    <x v="1007"/>
    <x v="11"/>
    <x v="1"/>
    <n v="337"/>
    <x v="1"/>
    <n v="14"/>
    <n v="1"/>
    <x v="1"/>
    <n v="3"/>
    <x v="0"/>
    <n v="84"/>
    <n v="3"/>
    <n v="3"/>
    <x v="4"/>
    <n v="4"/>
    <x v="0"/>
    <x v="949"/>
    <n v="22930"/>
    <n v="0"/>
    <x v="0"/>
    <n v="0.12"/>
    <n v="3"/>
    <n v="1"/>
    <n v="0"/>
    <n v="9"/>
    <n v="1"/>
    <n v="3"/>
    <x v="3"/>
    <n v="7"/>
    <n v="7"/>
    <n v="7"/>
    <x v="0"/>
    <n v="0"/>
    <n v="2"/>
    <n v="0"/>
    <n v="1"/>
    <n v="0"/>
    <n v="0"/>
    <n v="0"/>
    <n v="1"/>
    <n v="15.160389980490176"/>
    <n v="0.52231353565590266"/>
    <x v="1"/>
    <n v="11329.5"/>
  </r>
  <r>
    <x v="1008"/>
    <x v="33"/>
    <x v="0"/>
    <n v="971"/>
    <x v="1"/>
    <n v="1"/>
    <n v="3"/>
    <x v="2"/>
    <n v="4"/>
    <x v="0"/>
    <n v="54"/>
    <n v="3"/>
    <n v="4"/>
    <x v="7"/>
    <n v="4"/>
    <x v="0"/>
    <x v="109"/>
    <n v="5652"/>
    <n v="6"/>
    <x v="1"/>
    <n v="0.19"/>
    <n v="3"/>
    <n v="4"/>
    <n v="0"/>
    <n v="29"/>
    <n v="3"/>
    <n v="2"/>
    <x v="23"/>
    <n v="7"/>
    <n v="12"/>
    <n v="7"/>
    <x v="1"/>
    <n v="0"/>
    <n v="1"/>
    <n v="0"/>
    <n v="0"/>
    <n v="0"/>
    <n v="0"/>
    <n v="0"/>
    <n v="0"/>
    <n v="0"/>
    <n v="0"/>
    <x v="2"/>
    <n v="0"/>
  </r>
  <r>
    <x v="1009"/>
    <x v="34"/>
    <x v="0"/>
    <n v="1055"/>
    <x v="1"/>
    <n v="1"/>
    <n v="3"/>
    <x v="2"/>
    <n v="4"/>
    <x v="0"/>
    <n v="76"/>
    <n v="3"/>
    <n v="5"/>
    <x v="7"/>
    <n v="1"/>
    <x v="1"/>
    <x v="950"/>
    <n v="22456"/>
    <n v="3"/>
    <x v="0"/>
    <n v="0.21"/>
    <n v="4"/>
    <n v="3"/>
    <n v="1"/>
    <n v="32"/>
    <n v="3"/>
    <n v="3"/>
    <x v="7"/>
    <n v="8"/>
    <n v="1"/>
    <n v="5"/>
    <x v="1"/>
    <n v="0"/>
    <n v="1"/>
    <n v="1"/>
    <n v="1"/>
    <n v="0"/>
    <n v="1"/>
    <n v="0"/>
    <n v="0"/>
    <n v="14.204533129978131"/>
    <n v="0.48938186491297625"/>
    <x v="0"/>
    <n v="0"/>
  </r>
  <r>
    <x v="1010"/>
    <x v="27"/>
    <x v="0"/>
    <n v="1136"/>
    <x v="1"/>
    <n v="1"/>
    <n v="4"/>
    <x v="2"/>
    <n v="2"/>
    <x v="1"/>
    <n v="81"/>
    <n v="4"/>
    <n v="4"/>
    <x v="7"/>
    <n v="4"/>
    <x v="2"/>
    <x v="951"/>
    <n v="12414"/>
    <n v="2"/>
    <x v="1"/>
    <n v="0.13"/>
    <n v="3"/>
    <n v="4"/>
    <n v="2"/>
    <n v="31"/>
    <n v="4"/>
    <n v="4"/>
    <x v="5"/>
    <n v="7"/>
    <n v="0"/>
    <n v="0"/>
    <x v="1"/>
    <n v="1"/>
    <n v="1"/>
    <n v="2"/>
    <n v="0"/>
    <n v="0"/>
    <n v="0"/>
    <n v="0"/>
    <n v="0"/>
    <n v="0"/>
    <n v="0"/>
    <x v="2"/>
    <n v="0"/>
  </r>
  <r>
    <x v="1011"/>
    <x v="9"/>
    <x v="0"/>
    <n v="1174"/>
    <x v="0"/>
    <n v="3"/>
    <n v="4"/>
    <x v="3"/>
    <n v="1"/>
    <x v="0"/>
    <n v="99"/>
    <n v="3"/>
    <n v="2"/>
    <x v="0"/>
    <n v="2"/>
    <x v="0"/>
    <x v="952"/>
    <n v="20763"/>
    <n v="3"/>
    <x v="0"/>
    <n v="0.16"/>
    <n v="3"/>
    <n v="4"/>
    <n v="0"/>
    <n v="15"/>
    <n v="3"/>
    <n v="3"/>
    <x v="8"/>
    <n v="4"/>
    <n v="0"/>
    <n v="1"/>
    <x v="1"/>
    <n v="0"/>
    <n v="1"/>
    <n v="0"/>
    <n v="1"/>
    <n v="0"/>
    <n v="1"/>
    <n v="0"/>
    <n v="0"/>
    <n v="14.204533129978131"/>
    <n v="0.48938186491297625"/>
    <x v="0"/>
    <n v="0"/>
  </r>
  <r>
    <x v="1012"/>
    <x v="12"/>
    <x v="1"/>
    <n v="667"/>
    <x v="0"/>
    <n v="1"/>
    <n v="4"/>
    <x v="0"/>
    <n v="2"/>
    <x v="0"/>
    <n v="50"/>
    <n v="1"/>
    <n v="1"/>
    <x v="6"/>
    <n v="3"/>
    <x v="0"/>
    <x v="953"/>
    <n v="16154"/>
    <n v="1"/>
    <x v="1"/>
    <n v="0.12"/>
    <n v="3"/>
    <n v="2"/>
    <n v="0"/>
    <n v="1"/>
    <n v="3"/>
    <n v="3"/>
    <x v="6"/>
    <n v="0"/>
    <n v="0"/>
    <n v="0"/>
    <x v="0"/>
    <n v="0"/>
    <n v="2"/>
    <n v="0"/>
    <n v="0"/>
    <n v="0"/>
    <n v="0"/>
    <n v="1"/>
    <n v="1"/>
    <n v="11.654818917911005"/>
    <n v="0.40153780240992015"/>
    <x v="0"/>
    <n v="0"/>
  </r>
  <r>
    <x v="1013"/>
    <x v="7"/>
    <x v="0"/>
    <n v="855"/>
    <x v="0"/>
    <n v="7"/>
    <n v="4"/>
    <x v="3"/>
    <n v="4"/>
    <x v="0"/>
    <n v="73"/>
    <n v="3"/>
    <n v="2"/>
    <x v="0"/>
    <n v="1"/>
    <x v="2"/>
    <x v="586"/>
    <n v="12761"/>
    <n v="7"/>
    <x v="1"/>
    <n v="0.14000000000000001"/>
    <n v="3"/>
    <n v="2"/>
    <n v="2"/>
    <n v="8"/>
    <n v="3"/>
    <n v="3"/>
    <x v="11"/>
    <n v="2"/>
    <n v="0"/>
    <n v="2"/>
    <x v="1"/>
    <n v="0"/>
    <n v="1"/>
    <n v="2"/>
    <n v="0"/>
    <n v="0"/>
    <n v="1"/>
    <n v="1"/>
    <n v="0"/>
    <n v="10.698962067398959"/>
    <n v="0.3686061316669938"/>
    <x v="0"/>
    <n v="0"/>
  </r>
  <r>
    <x v="1014"/>
    <x v="12"/>
    <x v="0"/>
    <n v="182"/>
    <x v="1"/>
    <n v="8"/>
    <n v="5"/>
    <x v="0"/>
    <n v="1"/>
    <x v="0"/>
    <n v="93"/>
    <n v="3"/>
    <n v="4"/>
    <x v="7"/>
    <n v="2"/>
    <x v="0"/>
    <x v="954"/>
    <n v="8847"/>
    <n v="3"/>
    <x v="1"/>
    <n v="0.11"/>
    <n v="3"/>
    <n v="3"/>
    <n v="0"/>
    <n v="9"/>
    <n v="3"/>
    <n v="4"/>
    <x v="11"/>
    <n v="2"/>
    <n v="1"/>
    <n v="0"/>
    <x v="1"/>
    <n v="0"/>
    <n v="1"/>
    <n v="0"/>
    <n v="0"/>
    <n v="0"/>
    <n v="1"/>
    <n v="0"/>
    <n v="0"/>
    <n v="4.204533129978131"/>
    <n v="0.14485673308716898"/>
    <x v="2"/>
    <n v="0"/>
  </r>
  <r>
    <x v="1015"/>
    <x v="13"/>
    <x v="1"/>
    <n v="560"/>
    <x v="1"/>
    <n v="1"/>
    <n v="4"/>
    <x v="1"/>
    <n v="4"/>
    <x v="1"/>
    <n v="91"/>
    <n v="3"/>
    <n v="1"/>
    <x v="1"/>
    <n v="1"/>
    <x v="2"/>
    <x v="932"/>
    <n v="20284"/>
    <n v="5"/>
    <x v="1"/>
    <n v="0.14000000000000001"/>
    <n v="3"/>
    <n v="3"/>
    <n v="2"/>
    <n v="10"/>
    <n v="2"/>
    <n v="3"/>
    <x v="9"/>
    <n v="3"/>
    <n v="1"/>
    <n v="3"/>
    <x v="1"/>
    <n v="1"/>
    <n v="2"/>
    <n v="2"/>
    <n v="0"/>
    <n v="0"/>
    <n v="1"/>
    <n v="1"/>
    <n v="1"/>
    <n v="15.859352047889136"/>
    <n v="0.54639453549708916"/>
    <x v="1"/>
    <n v="4494"/>
  </r>
  <r>
    <x v="1016"/>
    <x v="12"/>
    <x v="0"/>
    <n v="202"/>
    <x v="1"/>
    <n v="8"/>
    <n v="3"/>
    <x v="0"/>
    <n v="1"/>
    <x v="0"/>
    <n v="34"/>
    <n v="2"/>
    <n v="1"/>
    <x v="1"/>
    <n v="2"/>
    <x v="0"/>
    <x v="955"/>
    <n v="22262"/>
    <n v="1"/>
    <x v="1"/>
    <n v="0.12"/>
    <n v="3"/>
    <n v="3"/>
    <n v="0"/>
    <n v="1"/>
    <n v="3"/>
    <n v="4"/>
    <x v="6"/>
    <n v="0"/>
    <n v="0"/>
    <n v="0"/>
    <x v="0"/>
    <n v="0"/>
    <n v="1"/>
    <n v="0"/>
    <n v="0"/>
    <n v="0"/>
    <n v="1"/>
    <n v="1"/>
    <n v="0"/>
    <n v="10.698962067398959"/>
    <n v="0.3686061316669938"/>
    <x v="0"/>
    <n v="0"/>
  </r>
  <r>
    <x v="1017"/>
    <x v="4"/>
    <x v="0"/>
    <n v="1377"/>
    <x v="1"/>
    <n v="11"/>
    <n v="1"/>
    <x v="0"/>
    <n v="2"/>
    <x v="1"/>
    <n v="91"/>
    <n v="3"/>
    <n v="1"/>
    <x v="2"/>
    <n v="1"/>
    <x v="1"/>
    <x v="956"/>
    <n v="7679"/>
    <n v="0"/>
    <x v="1"/>
    <n v="0.14000000000000001"/>
    <n v="3"/>
    <n v="2"/>
    <n v="0"/>
    <n v="6"/>
    <n v="3"/>
    <n v="4"/>
    <x v="8"/>
    <n v="0"/>
    <n v="1"/>
    <n v="4"/>
    <x v="1"/>
    <n v="1"/>
    <n v="1"/>
    <n v="1"/>
    <n v="0"/>
    <n v="0"/>
    <n v="1"/>
    <n v="1"/>
    <n v="0"/>
    <n v="10.698962067398959"/>
    <n v="0.3686061316669938"/>
    <x v="0"/>
    <n v="0"/>
  </r>
  <r>
    <x v="1018"/>
    <x v="9"/>
    <x v="0"/>
    <n v="172"/>
    <x v="1"/>
    <n v="4"/>
    <n v="4"/>
    <x v="0"/>
    <n v="1"/>
    <x v="1"/>
    <n v="37"/>
    <n v="2"/>
    <n v="2"/>
    <x v="2"/>
    <n v="4"/>
    <x v="0"/>
    <x v="957"/>
    <n v="22604"/>
    <n v="1"/>
    <x v="1"/>
    <n v="0.16"/>
    <n v="3"/>
    <n v="3"/>
    <n v="0"/>
    <n v="10"/>
    <n v="2"/>
    <n v="2"/>
    <x v="1"/>
    <n v="4"/>
    <n v="1"/>
    <n v="8"/>
    <x v="1"/>
    <n v="1"/>
    <n v="1"/>
    <n v="0"/>
    <n v="0"/>
    <n v="0"/>
    <n v="0"/>
    <n v="0"/>
    <n v="0"/>
    <n v="0"/>
    <n v="0"/>
    <x v="2"/>
    <n v="0"/>
  </r>
  <r>
    <x v="1019"/>
    <x v="9"/>
    <x v="0"/>
    <n v="329"/>
    <x v="0"/>
    <n v="16"/>
    <n v="4"/>
    <x v="3"/>
    <n v="3"/>
    <x v="0"/>
    <n v="98"/>
    <n v="2"/>
    <n v="2"/>
    <x v="0"/>
    <n v="1"/>
    <x v="1"/>
    <x v="958"/>
    <n v="13494"/>
    <n v="4"/>
    <x v="1"/>
    <n v="0.13"/>
    <n v="3"/>
    <n v="1"/>
    <n v="2"/>
    <n v="11"/>
    <n v="3"/>
    <n v="2"/>
    <x v="11"/>
    <n v="2"/>
    <n v="0"/>
    <n v="2"/>
    <x v="1"/>
    <n v="0"/>
    <n v="1"/>
    <n v="1"/>
    <n v="0"/>
    <n v="1"/>
    <n v="1"/>
    <n v="0"/>
    <n v="0"/>
    <n v="7.3706398258535089"/>
    <n v="0.25393706576427255"/>
    <x v="0"/>
    <n v="0"/>
  </r>
  <r>
    <x v="1020"/>
    <x v="40"/>
    <x v="0"/>
    <n v="465"/>
    <x v="1"/>
    <n v="1"/>
    <n v="3"/>
    <x v="4"/>
    <n v="1"/>
    <x v="1"/>
    <n v="74"/>
    <n v="3"/>
    <n v="1"/>
    <x v="1"/>
    <n v="4"/>
    <x v="1"/>
    <x v="959"/>
    <n v="10205"/>
    <n v="7"/>
    <x v="1"/>
    <n v="0.12"/>
    <n v="3"/>
    <n v="3"/>
    <n v="1"/>
    <n v="17"/>
    <n v="2"/>
    <n v="2"/>
    <x v="0"/>
    <n v="5"/>
    <n v="1"/>
    <n v="2"/>
    <x v="1"/>
    <n v="1"/>
    <n v="1"/>
    <n v="1"/>
    <n v="0"/>
    <n v="0"/>
    <n v="0"/>
    <n v="1"/>
    <n v="0"/>
    <n v="6.4944289374208282"/>
    <n v="0.22374939857982484"/>
    <x v="2"/>
    <n v="0"/>
  </r>
  <r>
    <x v="1021"/>
    <x v="36"/>
    <x v="0"/>
    <n v="383"/>
    <x v="0"/>
    <n v="9"/>
    <n v="2"/>
    <x v="0"/>
    <n v="1"/>
    <x v="1"/>
    <n v="68"/>
    <n v="2"/>
    <n v="1"/>
    <x v="6"/>
    <n v="1"/>
    <x v="1"/>
    <x v="960"/>
    <n v="15182"/>
    <n v="3"/>
    <x v="1"/>
    <n v="0.12"/>
    <n v="3"/>
    <n v="1"/>
    <n v="0"/>
    <n v="6"/>
    <n v="2"/>
    <n v="3"/>
    <x v="11"/>
    <n v="2"/>
    <n v="2"/>
    <n v="2"/>
    <x v="0"/>
    <n v="1"/>
    <n v="1"/>
    <n v="1"/>
    <n v="0"/>
    <n v="0"/>
    <n v="1"/>
    <n v="1"/>
    <n v="0"/>
    <n v="10.698962067398959"/>
    <n v="0.3686061316669938"/>
    <x v="0"/>
    <n v="0"/>
  </r>
  <r>
    <x v="1022"/>
    <x v="2"/>
    <x v="2"/>
    <n v="1413"/>
    <x v="1"/>
    <n v="5"/>
    <n v="2"/>
    <x v="4"/>
    <n v="3"/>
    <x v="1"/>
    <n v="84"/>
    <n v="4"/>
    <n v="1"/>
    <x v="2"/>
    <n v="3"/>
    <x v="0"/>
    <x v="961"/>
    <n v="25470"/>
    <n v="0"/>
    <x v="1"/>
    <n v="0.14000000000000001"/>
    <n v="3"/>
    <n v="1"/>
    <n v="0"/>
    <n v="7"/>
    <n v="2"/>
    <n v="1"/>
    <x v="0"/>
    <n v="5"/>
    <n v="1"/>
    <n v="3"/>
    <x v="1"/>
    <n v="1"/>
    <n v="0"/>
    <n v="0"/>
    <n v="0"/>
    <n v="0"/>
    <n v="0"/>
    <n v="1"/>
    <n v="0"/>
    <n v="6.4944289374208282"/>
    <n v="0.22374939857982484"/>
    <x v="2"/>
    <n v="0"/>
  </r>
  <r>
    <x v="1023"/>
    <x v="29"/>
    <x v="0"/>
    <n v="1255"/>
    <x v="1"/>
    <n v="1"/>
    <n v="2"/>
    <x v="0"/>
    <n v="1"/>
    <x v="0"/>
    <n v="90"/>
    <n v="3"/>
    <n v="1"/>
    <x v="1"/>
    <n v="1"/>
    <x v="1"/>
    <x v="962"/>
    <n v="10494"/>
    <n v="2"/>
    <x v="1"/>
    <n v="0.22"/>
    <n v="4"/>
    <n v="4"/>
    <n v="1"/>
    <n v="5"/>
    <n v="3"/>
    <n v="4"/>
    <x v="11"/>
    <n v="2"/>
    <n v="1"/>
    <n v="0"/>
    <x v="1"/>
    <n v="0"/>
    <n v="1"/>
    <n v="1"/>
    <n v="0"/>
    <n v="0"/>
    <n v="1"/>
    <n v="1"/>
    <n v="0"/>
    <n v="10.698962067398959"/>
    <n v="0.3686061316669938"/>
    <x v="0"/>
    <n v="0"/>
  </r>
  <r>
    <x v="1024"/>
    <x v="40"/>
    <x v="0"/>
    <n v="359"/>
    <x v="1"/>
    <n v="2"/>
    <n v="4"/>
    <x v="2"/>
    <n v="1"/>
    <x v="0"/>
    <n v="82"/>
    <n v="3"/>
    <n v="4"/>
    <x v="7"/>
    <n v="3"/>
    <x v="1"/>
    <x v="963"/>
    <n v="26703"/>
    <n v="3"/>
    <x v="1"/>
    <n v="0.19"/>
    <n v="3"/>
    <n v="2"/>
    <n v="2"/>
    <n v="26"/>
    <n v="2"/>
    <n v="4"/>
    <x v="23"/>
    <n v="17"/>
    <n v="5"/>
    <n v="6"/>
    <x v="1"/>
    <n v="0"/>
    <n v="1"/>
    <n v="1"/>
    <n v="0"/>
    <n v="0"/>
    <n v="0"/>
    <n v="0"/>
    <n v="0"/>
    <n v="0"/>
    <n v="0"/>
    <x v="2"/>
    <n v="0"/>
  </r>
  <r>
    <x v="1025"/>
    <x v="17"/>
    <x v="0"/>
    <n v="1476"/>
    <x v="0"/>
    <n v="4"/>
    <n v="1"/>
    <x v="2"/>
    <n v="4"/>
    <x v="0"/>
    <n v="42"/>
    <n v="3"/>
    <n v="2"/>
    <x v="0"/>
    <n v="3"/>
    <x v="1"/>
    <x v="964"/>
    <n v="15211"/>
    <n v="1"/>
    <x v="0"/>
    <n v="0.12"/>
    <n v="3"/>
    <n v="3"/>
    <n v="2"/>
    <n v="5"/>
    <n v="3"/>
    <n v="3"/>
    <x v="8"/>
    <n v="4"/>
    <n v="0"/>
    <n v="3"/>
    <x v="1"/>
    <n v="0"/>
    <n v="1"/>
    <n v="1"/>
    <n v="1"/>
    <n v="0"/>
    <n v="0"/>
    <n v="1"/>
    <n v="0"/>
    <n v="16.494428937420828"/>
    <n v="0.56827453040563214"/>
    <x v="1"/>
    <n v="6243"/>
  </r>
  <r>
    <x v="1026"/>
    <x v="5"/>
    <x v="0"/>
    <n v="601"/>
    <x v="0"/>
    <n v="7"/>
    <n v="5"/>
    <x v="3"/>
    <n v="4"/>
    <x v="1"/>
    <n v="97"/>
    <n v="3"/>
    <n v="2"/>
    <x v="0"/>
    <n v="4"/>
    <x v="1"/>
    <x v="965"/>
    <n v="23343"/>
    <n v="4"/>
    <x v="1"/>
    <n v="0.12"/>
    <n v="3"/>
    <n v="3"/>
    <n v="1"/>
    <n v="7"/>
    <n v="3"/>
    <n v="2"/>
    <x v="9"/>
    <n v="3"/>
    <n v="0"/>
    <n v="3"/>
    <x v="1"/>
    <n v="1"/>
    <n v="1"/>
    <n v="1"/>
    <n v="0"/>
    <n v="0"/>
    <n v="0"/>
    <n v="0"/>
    <n v="0"/>
    <n v="0"/>
    <n v="0"/>
    <x v="2"/>
    <n v="0"/>
  </r>
  <r>
    <x v="1027"/>
    <x v="13"/>
    <x v="0"/>
    <n v="401"/>
    <x v="1"/>
    <n v="1"/>
    <n v="3"/>
    <x v="0"/>
    <n v="4"/>
    <x v="0"/>
    <n v="86"/>
    <n v="2"/>
    <n v="1"/>
    <x v="2"/>
    <n v="2"/>
    <x v="1"/>
    <x v="635"/>
    <n v="3708"/>
    <n v="5"/>
    <x v="1"/>
    <n v="0.17"/>
    <n v="3"/>
    <n v="1"/>
    <n v="1"/>
    <n v="7"/>
    <n v="2"/>
    <n v="2"/>
    <x v="8"/>
    <n v="4"/>
    <n v="0"/>
    <n v="2"/>
    <x v="1"/>
    <n v="0"/>
    <n v="1"/>
    <n v="1"/>
    <n v="0"/>
    <n v="0"/>
    <n v="1"/>
    <n v="1"/>
    <n v="0"/>
    <n v="10.698962067398959"/>
    <n v="0.3686061316669938"/>
    <x v="0"/>
    <n v="0"/>
  </r>
  <r>
    <x v="1028"/>
    <x v="0"/>
    <x v="0"/>
    <n v="1283"/>
    <x v="1"/>
    <n v="5"/>
    <n v="5"/>
    <x v="2"/>
    <n v="2"/>
    <x v="1"/>
    <n v="90"/>
    <n v="4"/>
    <n v="1"/>
    <x v="1"/>
    <n v="3"/>
    <x v="1"/>
    <x v="459"/>
    <n v="5561"/>
    <n v="2"/>
    <x v="0"/>
    <n v="0.12"/>
    <n v="3"/>
    <n v="1"/>
    <n v="0"/>
    <n v="7"/>
    <n v="5"/>
    <n v="2"/>
    <x v="9"/>
    <n v="2"/>
    <n v="0"/>
    <n v="3"/>
    <x v="1"/>
    <n v="1"/>
    <n v="1"/>
    <n v="1"/>
    <n v="1"/>
    <n v="0"/>
    <n v="0"/>
    <n v="1"/>
    <n v="0"/>
    <n v="16.494428937420828"/>
    <n v="0.56827453040563214"/>
    <x v="1"/>
    <n v="3190.5"/>
  </r>
  <r>
    <x v="1029"/>
    <x v="32"/>
    <x v="2"/>
    <n v="663"/>
    <x v="1"/>
    <n v="9"/>
    <n v="4"/>
    <x v="1"/>
    <n v="3"/>
    <x v="1"/>
    <n v="81"/>
    <n v="3"/>
    <n v="2"/>
    <x v="2"/>
    <n v="3"/>
    <x v="2"/>
    <x v="966"/>
    <n v="23099"/>
    <n v="3"/>
    <x v="1"/>
    <n v="0.11"/>
    <n v="3"/>
    <n v="3"/>
    <n v="2"/>
    <n v="11"/>
    <n v="2"/>
    <n v="4"/>
    <x v="3"/>
    <n v="7"/>
    <n v="0"/>
    <n v="7"/>
    <x v="1"/>
    <n v="1"/>
    <n v="0"/>
    <n v="2"/>
    <n v="0"/>
    <n v="0"/>
    <n v="0"/>
    <n v="1"/>
    <n v="0"/>
    <n v="6.4944289374208282"/>
    <n v="0.22374939857982484"/>
    <x v="2"/>
    <n v="0"/>
  </r>
  <r>
    <x v="1030"/>
    <x v="12"/>
    <x v="0"/>
    <n v="326"/>
    <x v="0"/>
    <n v="8"/>
    <n v="2"/>
    <x v="0"/>
    <n v="1"/>
    <x v="1"/>
    <n v="31"/>
    <n v="3"/>
    <n v="3"/>
    <x v="0"/>
    <n v="4"/>
    <x v="2"/>
    <x v="967"/>
    <n v="8386"/>
    <n v="1"/>
    <x v="1"/>
    <n v="0.18"/>
    <n v="3"/>
    <n v="1"/>
    <n v="1"/>
    <n v="13"/>
    <n v="5"/>
    <n v="3"/>
    <x v="20"/>
    <n v="7"/>
    <n v="9"/>
    <n v="9"/>
    <x v="1"/>
    <n v="1"/>
    <n v="1"/>
    <n v="2"/>
    <n v="0"/>
    <n v="0"/>
    <n v="0"/>
    <n v="0"/>
    <n v="0"/>
    <n v="0"/>
    <n v="0"/>
    <x v="2"/>
    <n v="0"/>
  </r>
  <r>
    <x v="1031"/>
    <x v="21"/>
    <x v="0"/>
    <n v="377"/>
    <x v="0"/>
    <n v="9"/>
    <n v="3"/>
    <x v="3"/>
    <n v="1"/>
    <x v="1"/>
    <n v="52"/>
    <n v="3"/>
    <n v="3"/>
    <x v="0"/>
    <n v="4"/>
    <x v="2"/>
    <x v="61"/>
    <n v="15986"/>
    <n v="4"/>
    <x v="1"/>
    <n v="0.11"/>
    <n v="3"/>
    <n v="1"/>
    <n v="1"/>
    <n v="28"/>
    <n v="1"/>
    <n v="4"/>
    <x v="5"/>
    <n v="7"/>
    <n v="4"/>
    <n v="3"/>
    <x v="0"/>
    <n v="1"/>
    <n v="1"/>
    <n v="2"/>
    <n v="0"/>
    <n v="0"/>
    <n v="0"/>
    <n v="0"/>
    <n v="0"/>
    <n v="0"/>
    <n v="0"/>
    <x v="2"/>
    <n v="0"/>
  </r>
  <r>
    <x v="1032"/>
    <x v="22"/>
    <x v="2"/>
    <n v="592"/>
    <x v="1"/>
    <n v="2"/>
    <n v="3"/>
    <x v="0"/>
    <n v="1"/>
    <x v="0"/>
    <n v="54"/>
    <n v="2"/>
    <n v="1"/>
    <x v="2"/>
    <n v="1"/>
    <x v="0"/>
    <x v="968"/>
    <n v="17181"/>
    <n v="2"/>
    <x v="0"/>
    <n v="0.23"/>
    <n v="4"/>
    <n v="2"/>
    <n v="0"/>
    <n v="11"/>
    <n v="2"/>
    <n v="4"/>
    <x v="6"/>
    <n v="0"/>
    <n v="0"/>
    <n v="0"/>
    <x v="0"/>
    <n v="0"/>
    <n v="0"/>
    <n v="0"/>
    <n v="1"/>
    <n v="0"/>
    <n v="1"/>
    <n v="1"/>
    <n v="0"/>
    <n v="20.698962067398959"/>
    <n v="0.71313126349280109"/>
    <x v="1"/>
    <n v="5469"/>
  </r>
  <r>
    <x v="1033"/>
    <x v="12"/>
    <x v="1"/>
    <n v="1445"/>
    <x v="1"/>
    <n v="1"/>
    <n v="5"/>
    <x v="0"/>
    <n v="3"/>
    <x v="0"/>
    <n v="100"/>
    <n v="4"/>
    <n v="3"/>
    <x v="3"/>
    <n v="2"/>
    <x v="0"/>
    <x v="969"/>
    <n v="8931"/>
    <n v="1"/>
    <x v="1"/>
    <n v="0.11"/>
    <n v="3"/>
    <n v="1"/>
    <n v="0"/>
    <n v="10"/>
    <n v="2"/>
    <n v="3"/>
    <x v="1"/>
    <n v="8"/>
    <n v="4"/>
    <n v="7"/>
    <x v="0"/>
    <n v="0"/>
    <n v="2"/>
    <n v="0"/>
    <n v="0"/>
    <n v="0"/>
    <n v="1"/>
    <n v="0"/>
    <n v="1"/>
    <n v="9.3649231104683075"/>
    <n v="0.32264513691726432"/>
    <x v="0"/>
    <n v="0"/>
  </r>
  <r>
    <x v="1034"/>
    <x v="28"/>
    <x v="0"/>
    <n v="1038"/>
    <x v="1"/>
    <n v="20"/>
    <n v="3"/>
    <x v="2"/>
    <n v="2"/>
    <x v="1"/>
    <n v="95"/>
    <n v="1"/>
    <n v="3"/>
    <x v="4"/>
    <n v="1"/>
    <x v="2"/>
    <x v="970"/>
    <n v="19863"/>
    <n v="2"/>
    <x v="0"/>
    <n v="0.18"/>
    <n v="3"/>
    <n v="2"/>
    <n v="1"/>
    <n v="24"/>
    <n v="2"/>
    <n v="3"/>
    <x v="5"/>
    <n v="7"/>
    <n v="0"/>
    <n v="7"/>
    <x v="1"/>
    <n v="1"/>
    <n v="1"/>
    <n v="2"/>
    <n v="1"/>
    <n v="1"/>
    <n v="1"/>
    <n v="0"/>
    <n v="0"/>
    <n v="17.370639825853509"/>
    <n v="0.59846219759007979"/>
    <x v="1"/>
    <n v="16276.5"/>
  </r>
  <r>
    <x v="1035"/>
    <x v="12"/>
    <x v="0"/>
    <n v="1398"/>
    <x v="2"/>
    <n v="8"/>
    <n v="2"/>
    <x v="2"/>
    <n v="4"/>
    <x v="0"/>
    <n v="96"/>
    <n v="4"/>
    <n v="1"/>
    <x v="8"/>
    <n v="2"/>
    <x v="0"/>
    <x v="971"/>
    <n v="24609"/>
    <n v="9"/>
    <x v="1"/>
    <n v="0.18"/>
    <n v="3"/>
    <n v="4"/>
    <n v="0"/>
    <n v="8"/>
    <n v="3"/>
    <n v="3"/>
    <x v="11"/>
    <n v="2"/>
    <n v="0"/>
    <n v="2"/>
    <x v="1"/>
    <n v="0"/>
    <n v="1"/>
    <n v="0"/>
    <n v="0"/>
    <n v="0"/>
    <n v="1"/>
    <n v="1"/>
    <n v="0"/>
    <n v="10.698962067398959"/>
    <n v="0.3686061316669938"/>
    <x v="0"/>
    <n v="0"/>
  </r>
  <r>
    <x v="1036"/>
    <x v="12"/>
    <x v="1"/>
    <n v="523"/>
    <x v="1"/>
    <n v="2"/>
    <n v="3"/>
    <x v="0"/>
    <n v="2"/>
    <x v="1"/>
    <n v="94"/>
    <n v="3"/>
    <n v="1"/>
    <x v="2"/>
    <n v="4"/>
    <x v="1"/>
    <x v="972"/>
    <n v="21081"/>
    <n v="6"/>
    <x v="0"/>
    <n v="0.13"/>
    <n v="3"/>
    <n v="3"/>
    <n v="1"/>
    <n v="7"/>
    <n v="2"/>
    <n v="1"/>
    <x v="4"/>
    <n v="2"/>
    <n v="2"/>
    <n v="2"/>
    <x v="0"/>
    <n v="1"/>
    <n v="2"/>
    <n v="1"/>
    <n v="1"/>
    <n v="0"/>
    <n v="0"/>
    <n v="1"/>
    <n v="1"/>
    <n v="21.654818917911005"/>
    <n v="0.74606293423572745"/>
    <x v="1"/>
    <n v="5583"/>
  </r>
  <r>
    <x v="1037"/>
    <x v="28"/>
    <x v="0"/>
    <n v="1448"/>
    <x v="1"/>
    <n v="29"/>
    <n v="3"/>
    <x v="4"/>
    <n v="2"/>
    <x v="1"/>
    <n v="55"/>
    <n v="3"/>
    <n v="3"/>
    <x v="3"/>
    <n v="4"/>
    <x v="1"/>
    <x v="973"/>
    <n v="14720"/>
    <n v="4"/>
    <x v="0"/>
    <n v="0.18"/>
    <n v="3"/>
    <n v="4"/>
    <n v="2"/>
    <n v="10"/>
    <n v="4"/>
    <n v="4"/>
    <x v="11"/>
    <n v="1"/>
    <n v="1"/>
    <n v="2"/>
    <x v="1"/>
    <n v="1"/>
    <n v="1"/>
    <n v="1"/>
    <n v="1"/>
    <n v="1"/>
    <n v="0"/>
    <n v="0"/>
    <n v="0"/>
    <n v="13.166106695875378"/>
    <n v="0.45360546450291089"/>
    <x v="0"/>
    <n v="0"/>
  </r>
  <r>
    <x v="1038"/>
    <x v="26"/>
    <x v="0"/>
    <n v="1221"/>
    <x v="0"/>
    <n v="7"/>
    <n v="3"/>
    <x v="3"/>
    <n v="3"/>
    <x v="1"/>
    <n v="96"/>
    <n v="3"/>
    <n v="2"/>
    <x v="0"/>
    <n v="1"/>
    <x v="2"/>
    <x v="974"/>
    <n v="24795"/>
    <n v="4"/>
    <x v="1"/>
    <n v="0.11"/>
    <n v="3"/>
    <n v="1"/>
    <n v="3"/>
    <n v="15"/>
    <n v="3"/>
    <n v="3"/>
    <x v="4"/>
    <n v="2"/>
    <n v="2"/>
    <n v="2"/>
    <x v="1"/>
    <n v="1"/>
    <n v="1"/>
    <n v="2"/>
    <n v="0"/>
    <n v="0"/>
    <n v="1"/>
    <n v="0"/>
    <n v="0"/>
    <n v="4.204533129978131"/>
    <n v="0.14485673308716898"/>
    <x v="2"/>
    <n v="0"/>
  </r>
  <r>
    <x v="1039"/>
    <x v="13"/>
    <x v="0"/>
    <n v="1107"/>
    <x v="2"/>
    <n v="9"/>
    <n v="4"/>
    <x v="4"/>
    <n v="1"/>
    <x v="0"/>
    <n v="52"/>
    <n v="3"/>
    <n v="1"/>
    <x v="8"/>
    <n v="3"/>
    <x v="1"/>
    <x v="975"/>
    <n v="3072"/>
    <n v="1"/>
    <x v="1"/>
    <n v="0.15"/>
    <n v="3"/>
    <n v="4"/>
    <n v="0"/>
    <n v="2"/>
    <n v="0"/>
    <n v="3"/>
    <x v="4"/>
    <n v="2"/>
    <n v="2"/>
    <n v="2"/>
    <x v="0"/>
    <n v="0"/>
    <n v="1"/>
    <n v="1"/>
    <n v="0"/>
    <n v="0"/>
    <n v="0"/>
    <n v="1"/>
    <n v="0"/>
    <n v="6.4944289374208282"/>
    <n v="0.22374939857982484"/>
    <x v="2"/>
    <n v="0"/>
  </r>
  <r>
    <x v="1040"/>
    <x v="32"/>
    <x v="2"/>
    <n v="218"/>
    <x v="1"/>
    <n v="8"/>
    <n v="1"/>
    <x v="2"/>
    <n v="4"/>
    <x v="1"/>
    <n v="55"/>
    <n v="2"/>
    <n v="3"/>
    <x v="7"/>
    <n v="2"/>
    <x v="2"/>
    <x v="976"/>
    <n v="25178"/>
    <n v="2"/>
    <x v="1"/>
    <n v="0.11"/>
    <n v="3"/>
    <n v="3"/>
    <n v="1"/>
    <n v="16"/>
    <n v="5"/>
    <n v="3"/>
    <x v="7"/>
    <n v="8"/>
    <n v="4"/>
    <n v="8"/>
    <x v="1"/>
    <n v="1"/>
    <n v="0"/>
    <n v="2"/>
    <n v="0"/>
    <n v="0"/>
    <n v="1"/>
    <n v="0"/>
    <n v="0"/>
    <n v="4.204533129978131"/>
    <n v="0.14485673308716898"/>
    <x v="2"/>
    <n v="0"/>
  </r>
  <r>
    <x v="1041"/>
    <x v="14"/>
    <x v="0"/>
    <n v="866"/>
    <x v="0"/>
    <n v="5"/>
    <n v="3"/>
    <x v="2"/>
    <n v="4"/>
    <x v="1"/>
    <n v="84"/>
    <n v="3"/>
    <n v="2"/>
    <x v="0"/>
    <n v="1"/>
    <x v="0"/>
    <x v="977"/>
    <n v="23490"/>
    <n v="0"/>
    <x v="1"/>
    <n v="0.18"/>
    <n v="3"/>
    <n v="4"/>
    <n v="0"/>
    <n v="6"/>
    <n v="4"/>
    <n v="3"/>
    <x v="8"/>
    <n v="4"/>
    <n v="1"/>
    <n v="3"/>
    <x v="1"/>
    <n v="1"/>
    <n v="1"/>
    <n v="0"/>
    <n v="0"/>
    <n v="0"/>
    <n v="1"/>
    <n v="0"/>
    <n v="0"/>
    <n v="4.204533129978131"/>
    <n v="0.14485673308716898"/>
    <x v="2"/>
    <n v="0"/>
  </r>
  <r>
    <x v="1042"/>
    <x v="20"/>
    <x v="2"/>
    <n v="981"/>
    <x v="1"/>
    <n v="5"/>
    <n v="3"/>
    <x v="0"/>
    <n v="3"/>
    <x v="1"/>
    <n v="90"/>
    <n v="2"/>
    <n v="1"/>
    <x v="2"/>
    <n v="3"/>
    <x v="0"/>
    <x v="612"/>
    <n v="7973"/>
    <n v="3"/>
    <x v="1"/>
    <n v="0.14000000000000001"/>
    <n v="3"/>
    <n v="4"/>
    <n v="0"/>
    <n v="7"/>
    <n v="5"/>
    <n v="3"/>
    <x v="8"/>
    <n v="2"/>
    <n v="0"/>
    <n v="3"/>
    <x v="1"/>
    <n v="1"/>
    <n v="0"/>
    <n v="0"/>
    <n v="0"/>
    <n v="0"/>
    <n v="0"/>
    <n v="1"/>
    <n v="0"/>
    <n v="6.4944289374208282"/>
    <n v="0.22374939857982484"/>
    <x v="2"/>
    <n v="0"/>
  </r>
  <r>
    <x v="1043"/>
    <x v="16"/>
    <x v="0"/>
    <n v="447"/>
    <x v="1"/>
    <n v="2"/>
    <n v="3"/>
    <x v="2"/>
    <n v="4"/>
    <x v="1"/>
    <n v="39"/>
    <n v="4"/>
    <n v="4"/>
    <x v="7"/>
    <n v="2"/>
    <x v="0"/>
    <x v="978"/>
    <n v="19764"/>
    <n v="4"/>
    <x v="1"/>
    <n v="0.12"/>
    <n v="3"/>
    <n v="2"/>
    <n v="0"/>
    <n v="35"/>
    <n v="2"/>
    <n v="2"/>
    <x v="7"/>
    <n v="8"/>
    <n v="8"/>
    <n v="8"/>
    <x v="1"/>
    <n v="1"/>
    <n v="1"/>
    <n v="0"/>
    <n v="0"/>
    <n v="0"/>
    <n v="1"/>
    <n v="0"/>
    <n v="0"/>
    <n v="4.204533129978131"/>
    <n v="0.14485673308716898"/>
    <x v="2"/>
    <n v="0"/>
  </r>
  <r>
    <x v="1044"/>
    <x v="1"/>
    <x v="0"/>
    <n v="1495"/>
    <x v="1"/>
    <n v="5"/>
    <n v="4"/>
    <x v="4"/>
    <n v="1"/>
    <x v="1"/>
    <n v="96"/>
    <n v="3"/>
    <n v="2"/>
    <x v="4"/>
    <n v="3"/>
    <x v="1"/>
    <x v="979"/>
    <n v="21534"/>
    <n v="2"/>
    <x v="1"/>
    <n v="0.14000000000000001"/>
    <n v="3"/>
    <n v="2"/>
    <n v="1"/>
    <n v="20"/>
    <n v="0"/>
    <n v="2"/>
    <x v="11"/>
    <n v="2"/>
    <n v="1"/>
    <n v="2"/>
    <x v="1"/>
    <n v="1"/>
    <n v="1"/>
    <n v="1"/>
    <n v="0"/>
    <n v="0"/>
    <n v="0"/>
    <n v="0"/>
    <n v="0"/>
    <n v="0"/>
    <n v="0"/>
    <x v="2"/>
    <n v="0"/>
  </r>
  <r>
    <x v="1045"/>
    <x v="32"/>
    <x v="0"/>
    <n v="896"/>
    <x v="1"/>
    <n v="2"/>
    <n v="3"/>
    <x v="2"/>
    <n v="3"/>
    <x v="1"/>
    <n v="68"/>
    <n v="3"/>
    <n v="1"/>
    <x v="1"/>
    <n v="3"/>
    <x v="2"/>
    <x v="980"/>
    <n v="8045"/>
    <n v="2"/>
    <x v="1"/>
    <n v="0.14000000000000001"/>
    <n v="3"/>
    <n v="3"/>
    <n v="1"/>
    <n v="8"/>
    <n v="3"/>
    <n v="4"/>
    <x v="11"/>
    <n v="1"/>
    <n v="1"/>
    <n v="2"/>
    <x v="1"/>
    <n v="1"/>
    <n v="1"/>
    <n v="2"/>
    <n v="0"/>
    <n v="0"/>
    <n v="0"/>
    <n v="1"/>
    <n v="0"/>
    <n v="6.4944289374208282"/>
    <n v="0.22374939857982484"/>
    <x v="2"/>
    <n v="0"/>
  </r>
  <r>
    <x v="1046"/>
    <x v="20"/>
    <x v="0"/>
    <n v="1467"/>
    <x v="1"/>
    <n v="20"/>
    <n v="3"/>
    <x v="0"/>
    <n v="4"/>
    <x v="1"/>
    <n v="49"/>
    <n v="3"/>
    <n v="1"/>
    <x v="1"/>
    <n v="2"/>
    <x v="0"/>
    <x v="959"/>
    <n v="21158"/>
    <n v="1"/>
    <x v="1"/>
    <n v="0.13"/>
    <n v="3"/>
    <n v="3"/>
    <n v="0"/>
    <n v="6"/>
    <n v="3"/>
    <n v="2"/>
    <x v="8"/>
    <n v="2"/>
    <n v="1"/>
    <n v="3"/>
    <x v="1"/>
    <n v="1"/>
    <n v="1"/>
    <n v="0"/>
    <n v="0"/>
    <n v="1"/>
    <n v="1"/>
    <n v="1"/>
    <n v="0"/>
    <n v="13.865068763274337"/>
    <n v="0.47768646434409739"/>
    <x v="0"/>
    <n v="0"/>
  </r>
  <r>
    <x v="1047"/>
    <x v="3"/>
    <x v="1"/>
    <n v="430"/>
    <x v="0"/>
    <n v="7"/>
    <n v="3"/>
    <x v="2"/>
    <n v="4"/>
    <x v="1"/>
    <n v="54"/>
    <n v="3"/>
    <n v="2"/>
    <x v="0"/>
    <n v="1"/>
    <x v="1"/>
    <x v="981"/>
    <n v="17456"/>
    <n v="0"/>
    <x v="1"/>
    <n v="0.14000000000000001"/>
    <n v="3"/>
    <n v="1"/>
    <n v="2"/>
    <n v="5"/>
    <n v="2"/>
    <n v="3"/>
    <x v="9"/>
    <n v="3"/>
    <n v="0"/>
    <n v="3"/>
    <x v="1"/>
    <n v="1"/>
    <n v="2"/>
    <n v="1"/>
    <n v="0"/>
    <n v="0"/>
    <n v="1"/>
    <n v="1"/>
    <n v="1"/>
    <n v="15.859352047889136"/>
    <n v="0.54639453549708916"/>
    <x v="1"/>
    <n v="6559.5"/>
  </r>
  <r>
    <x v="1048"/>
    <x v="13"/>
    <x v="0"/>
    <n v="1326"/>
    <x v="0"/>
    <n v="3"/>
    <n v="3"/>
    <x v="1"/>
    <n v="4"/>
    <x v="1"/>
    <n v="81"/>
    <n v="1"/>
    <n v="2"/>
    <x v="0"/>
    <n v="1"/>
    <x v="0"/>
    <x v="982"/>
    <n v="15891"/>
    <n v="3"/>
    <x v="1"/>
    <n v="0.18"/>
    <n v="3"/>
    <n v="4"/>
    <n v="0"/>
    <n v="15"/>
    <n v="2"/>
    <n v="3"/>
    <x v="20"/>
    <n v="9"/>
    <n v="3"/>
    <n v="12"/>
    <x v="1"/>
    <n v="1"/>
    <n v="1"/>
    <n v="0"/>
    <n v="0"/>
    <n v="0"/>
    <n v="1"/>
    <n v="1"/>
    <n v="0"/>
    <n v="10.698962067398959"/>
    <n v="0.3686061316669938"/>
    <x v="0"/>
    <n v="0"/>
  </r>
  <r>
    <x v="1049"/>
    <x v="7"/>
    <x v="0"/>
    <n v="1358"/>
    <x v="0"/>
    <n v="16"/>
    <n v="1"/>
    <x v="0"/>
    <n v="4"/>
    <x v="1"/>
    <n v="96"/>
    <n v="3"/>
    <n v="2"/>
    <x v="0"/>
    <n v="3"/>
    <x v="1"/>
    <x v="983"/>
    <n v="2939"/>
    <n v="8"/>
    <x v="1"/>
    <n v="0.15"/>
    <n v="3"/>
    <n v="3"/>
    <n v="2"/>
    <n v="4"/>
    <n v="2"/>
    <n v="2"/>
    <x v="4"/>
    <n v="1"/>
    <n v="2"/>
    <n v="2"/>
    <x v="1"/>
    <n v="1"/>
    <n v="1"/>
    <n v="1"/>
    <n v="0"/>
    <n v="1"/>
    <n v="0"/>
    <n v="0"/>
    <n v="0"/>
    <n v="3.1661066958753779"/>
    <n v="0.10908033267710357"/>
    <x v="2"/>
    <n v="0"/>
  </r>
  <r>
    <x v="1050"/>
    <x v="19"/>
    <x v="1"/>
    <n v="748"/>
    <x v="1"/>
    <n v="9"/>
    <n v="2"/>
    <x v="2"/>
    <n v="1"/>
    <x v="0"/>
    <n v="74"/>
    <n v="3"/>
    <n v="1"/>
    <x v="2"/>
    <n v="4"/>
    <x v="0"/>
    <x v="984"/>
    <n v="16458"/>
    <n v="1"/>
    <x v="1"/>
    <n v="0.13"/>
    <n v="3"/>
    <n v="3"/>
    <n v="0"/>
    <n v="12"/>
    <n v="3"/>
    <n v="3"/>
    <x v="12"/>
    <n v="9"/>
    <n v="5"/>
    <n v="8"/>
    <x v="1"/>
    <n v="0"/>
    <n v="2"/>
    <n v="0"/>
    <n v="0"/>
    <n v="0"/>
    <n v="0"/>
    <n v="1"/>
    <n v="1"/>
    <n v="11.654818917911005"/>
    <n v="0.40153780240992015"/>
    <x v="0"/>
    <n v="0"/>
  </r>
  <r>
    <x v="1051"/>
    <x v="20"/>
    <x v="1"/>
    <n v="383"/>
    <x v="0"/>
    <n v="1"/>
    <n v="5"/>
    <x v="3"/>
    <n v="1"/>
    <x v="0"/>
    <n v="79"/>
    <n v="3"/>
    <n v="2"/>
    <x v="0"/>
    <n v="3"/>
    <x v="1"/>
    <x v="985"/>
    <n v="9282"/>
    <n v="7"/>
    <x v="1"/>
    <n v="0.12"/>
    <n v="3"/>
    <n v="3"/>
    <n v="1"/>
    <n v="11"/>
    <n v="4"/>
    <n v="2"/>
    <x v="6"/>
    <n v="0"/>
    <n v="0"/>
    <n v="0"/>
    <x v="1"/>
    <n v="0"/>
    <n v="2"/>
    <n v="1"/>
    <n v="0"/>
    <n v="0"/>
    <n v="0"/>
    <n v="1"/>
    <n v="1"/>
    <n v="11.654818917911005"/>
    <n v="0.40153780240992015"/>
    <x v="0"/>
    <n v="0"/>
  </r>
  <r>
    <x v="1052"/>
    <x v="7"/>
    <x v="2"/>
    <n v="990"/>
    <x v="1"/>
    <n v="7"/>
    <n v="3"/>
    <x v="4"/>
    <n v="3"/>
    <x v="1"/>
    <n v="64"/>
    <n v="3"/>
    <n v="1"/>
    <x v="1"/>
    <n v="3"/>
    <x v="2"/>
    <x v="986"/>
    <n v="7152"/>
    <n v="1"/>
    <x v="1"/>
    <n v="0.13"/>
    <n v="3"/>
    <n v="2"/>
    <n v="2"/>
    <n v="1"/>
    <n v="2"/>
    <n v="2"/>
    <x v="6"/>
    <n v="0"/>
    <n v="0"/>
    <n v="0"/>
    <x v="1"/>
    <n v="1"/>
    <n v="0"/>
    <n v="2"/>
    <n v="0"/>
    <n v="0"/>
    <n v="0"/>
    <n v="1"/>
    <n v="0"/>
    <n v="6.4944289374208282"/>
    <n v="0.22374939857982484"/>
    <x v="2"/>
    <n v="0"/>
  </r>
  <r>
    <x v="1053"/>
    <x v="38"/>
    <x v="0"/>
    <n v="405"/>
    <x v="1"/>
    <n v="1"/>
    <n v="2"/>
    <x v="0"/>
    <n v="2"/>
    <x v="1"/>
    <n v="93"/>
    <n v="4"/>
    <n v="2"/>
    <x v="1"/>
    <n v="3"/>
    <x v="1"/>
    <x v="987"/>
    <n v="2721"/>
    <n v="0"/>
    <x v="1"/>
    <n v="0.24"/>
    <n v="4"/>
    <n v="1"/>
    <n v="1"/>
    <n v="13"/>
    <n v="2"/>
    <n v="2"/>
    <x v="12"/>
    <n v="9"/>
    <n v="2"/>
    <n v="8"/>
    <x v="1"/>
    <n v="1"/>
    <n v="1"/>
    <n v="1"/>
    <n v="0"/>
    <n v="0"/>
    <n v="0"/>
    <n v="1"/>
    <n v="0"/>
    <n v="6.4944289374208282"/>
    <n v="0.22374939857982484"/>
    <x v="2"/>
    <n v="0"/>
  </r>
  <r>
    <x v="1054"/>
    <x v="1"/>
    <x v="0"/>
    <n v="1490"/>
    <x v="1"/>
    <n v="7"/>
    <n v="4"/>
    <x v="0"/>
    <n v="3"/>
    <x v="1"/>
    <n v="35"/>
    <n v="3"/>
    <n v="3"/>
    <x v="4"/>
    <n v="2"/>
    <x v="2"/>
    <x v="988"/>
    <n v="20948"/>
    <n v="3"/>
    <x v="1"/>
    <n v="0.14000000000000001"/>
    <n v="3"/>
    <n v="2"/>
    <n v="2"/>
    <n v="29"/>
    <n v="3"/>
    <n v="3"/>
    <x v="3"/>
    <n v="7"/>
    <n v="0"/>
    <n v="7"/>
    <x v="1"/>
    <n v="1"/>
    <n v="1"/>
    <n v="2"/>
    <n v="0"/>
    <n v="0"/>
    <n v="1"/>
    <n v="0"/>
    <n v="0"/>
    <n v="4.204533129978131"/>
    <n v="0.14485673308716898"/>
    <x v="2"/>
    <n v="0"/>
  </r>
  <r>
    <x v="1055"/>
    <x v="13"/>
    <x v="1"/>
    <n v="829"/>
    <x v="1"/>
    <n v="15"/>
    <n v="3"/>
    <x v="2"/>
    <n v="2"/>
    <x v="1"/>
    <n v="71"/>
    <n v="3"/>
    <n v="4"/>
    <x v="7"/>
    <n v="1"/>
    <x v="2"/>
    <x v="989"/>
    <n v="11929"/>
    <n v="7"/>
    <x v="1"/>
    <n v="0.14000000000000001"/>
    <n v="3"/>
    <n v="4"/>
    <n v="2"/>
    <n v="16"/>
    <n v="3"/>
    <n v="2"/>
    <x v="13"/>
    <n v="8"/>
    <n v="6"/>
    <n v="9"/>
    <x v="1"/>
    <n v="1"/>
    <n v="2"/>
    <n v="2"/>
    <n v="0"/>
    <n v="0"/>
    <n v="1"/>
    <n v="0"/>
    <n v="1"/>
    <n v="9.3649231104683075"/>
    <n v="0.32264513691726432"/>
    <x v="0"/>
    <n v="0"/>
  </r>
  <r>
    <x v="1056"/>
    <x v="14"/>
    <x v="1"/>
    <n v="1496"/>
    <x v="0"/>
    <n v="1"/>
    <n v="3"/>
    <x v="4"/>
    <n v="1"/>
    <x v="1"/>
    <n v="92"/>
    <n v="3"/>
    <n v="1"/>
    <x v="6"/>
    <n v="3"/>
    <x v="1"/>
    <x v="3"/>
    <n v="15747"/>
    <n v="3"/>
    <x v="1"/>
    <n v="0.15"/>
    <n v="3"/>
    <n v="4"/>
    <n v="1"/>
    <n v="5"/>
    <n v="3"/>
    <n v="4"/>
    <x v="11"/>
    <n v="2"/>
    <n v="1"/>
    <n v="2"/>
    <x v="0"/>
    <n v="1"/>
    <n v="2"/>
    <n v="1"/>
    <n v="0"/>
    <n v="0"/>
    <n v="0"/>
    <n v="1"/>
    <n v="1"/>
    <n v="11.654818917911005"/>
    <n v="0.40153780240992015"/>
    <x v="0"/>
    <n v="0"/>
  </r>
  <r>
    <x v="1057"/>
    <x v="11"/>
    <x v="1"/>
    <n v="115"/>
    <x v="0"/>
    <n v="13"/>
    <n v="3"/>
    <x v="4"/>
    <n v="1"/>
    <x v="0"/>
    <n v="51"/>
    <n v="3"/>
    <n v="2"/>
    <x v="0"/>
    <n v="2"/>
    <x v="0"/>
    <x v="990"/>
    <n v="17485"/>
    <n v="5"/>
    <x v="1"/>
    <n v="0.11"/>
    <n v="3"/>
    <n v="1"/>
    <n v="0"/>
    <n v="7"/>
    <n v="4"/>
    <n v="1"/>
    <x v="8"/>
    <n v="3"/>
    <n v="0"/>
    <n v="0"/>
    <x v="0"/>
    <n v="0"/>
    <n v="2"/>
    <n v="0"/>
    <n v="0"/>
    <n v="0"/>
    <n v="1"/>
    <n v="0"/>
    <n v="1"/>
    <n v="9.3649231104683075"/>
    <n v="0.32264513691726432"/>
    <x v="0"/>
    <n v="0"/>
  </r>
  <r>
    <x v="1058"/>
    <x v="13"/>
    <x v="0"/>
    <n v="790"/>
    <x v="0"/>
    <n v="24"/>
    <n v="4"/>
    <x v="2"/>
    <n v="1"/>
    <x v="0"/>
    <n v="40"/>
    <n v="2"/>
    <n v="2"/>
    <x v="0"/>
    <n v="2"/>
    <x v="0"/>
    <x v="991"/>
    <n v="7815"/>
    <n v="0"/>
    <x v="0"/>
    <n v="0.23"/>
    <n v="4"/>
    <n v="3"/>
    <n v="0"/>
    <n v="16"/>
    <n v="2"/>
    <n v="4"/>
    <x v="15"/>
    <n v="9"/>
    <n v="10"/>
    <n v="10"/>
    <x v="0"/>
    <n v="0"/>
    <n v="1"/>
    <n v="0"/>
    <n v="1"/>
    <n v="1"/>
    <n v="1"/>
    <n v="1"/>
    <n v="0"/>
    <n v="23.865068763274337"/>
    <n v="0.82221159616990469"/>
    <x v="3"/>
    <n v="6898.5"/>
  </r>
  <r>
    <x v="1059"/>
    <x v="10"/>
    <x v="0"/>
    <n v="660"/>
    <x v="0"/>
    <n v="7"/>
    <n v="1"/>
    <x v="0"/>
    <n v="4"/>
    <x v="1"/>
    <n v="76"/>
    <n v="3"/>
    <n v="1"/>
    <x v="6"/>
    <n v="3"/>
    <x v="1"/>
    <x v="639"/>
    <n v="16192"/>
    <n v="1"/>
    <x v="1"/>
    <n v="0.13"/>
    <n v="3"/>
    <n v="1"/>
    <n v="1"/>
    <n v="1"/>
    <n v="3"/>
    <n v="3"/>
    <x v="6"/>
    <n v="0"/>
    <n v="0"/>
    <n v="0"/>
    <x v="1"/>
    <n v="1"/>
    <n v="1"/>
    <n v="1"/>
    <n v="0"/>
    <n v="0"/>
    <n v="0"/>
    <n v="1"/>
    <n v="0"/>
    <n v="6.4944289374208282"/>
    <n v="0.22374939857982484"/>
    <x v="2"/>
    <n v="0"/>
  </r>
  <r>
    <x v="1060"/>
    <x v="17"/>
    <x v="1"/>
    <n v="381"/>
    <x v="1"/>
    <n v="9"/>
    <n v="3"/>
    <x v="2"/>
    <n v="2"/>
    <x v="1"/>
    <n v="89"/>
    <n v="3"/>
    <n v="1"/>
    <x v="2"/>
    <n v="1"/>
    <x v="0"/>
    <x v="992"/>
    <n v="16998"/>
    <n v="2"/>
    <x v="0"/>
    <n v="0.11"/>
    <n v="3"/>
    <n v="3"/>
    <n v="0"/>
    <n v="4"/>
    <n v="2"/>
    <n v="2"/>
    <x v="2"/>
    <n v="0"/>
    <n v="0"/>
    <n v="0"/>
    <x v="0"/>
    <n v="1"/>
    <n v="2"/>
    <n v="0"/>
    <n v="1"/>
    <n v="0"/>
    <n v="1"/>
    <n v="1"/>
    <n v="1"/>
    <n v="25.859352047889136"/>
    <n v="0.8909196673228964"/>
    <x v="3"/>
    <n v="4758"/>
  </r>
  <r>
    <x v="1061"/>
    <x v="17"/>
    <x v="2"/>
    <n v="830"/>
    <x v="0"/>
    <n v="13"/>
    <n v="2"/>
    <x v="0"/>
    <n v="4"/>
    <x v="0"/>
    <n v="78"/>
    <n v="3"/>
    <n v="1"/>
    <x v="6"/>
    <n v="2"/>
    <x v="1"/>
    <x v="462"/>
    <n v="7103"/>
    <n v="1"/>
    <x v="1"/>
    <n v="0.13"/>
    <n v="3"/>
    <n v="3"/>
    <n v="1"/>
    <n v="1"/>
    <n v="2"/>
    <n v="3"/>
    <x v="6"/>
    <n v="0"/>
    <n v="0"/>
    <n v="0"/>
    <x v="1"/>
    <n v="0"/>
    <n v="0"/>
    <n v="1"/>
    <n v="0"/>
    <n v="0"/>
    <n v="1"/>
    <n v="1"/>
    <n v="0"/>
    <n v="10.698962067398959"/>
    <n v="0.3686061316669938"/>
    <x v="0"/>
    <n v="0"/>
  </r>
  <r>
    <x v="1062"/>
    <x v="20"/>
    <x v="1"/>
    <n v="1193"/>
    <x v="1"/>
    <n v="2"/>
    <n v="1"/>
    <x v="2"/>
    <n v="2"/>
    <x v="1"/>
    <n v="86"/>
    <n v="3"/>
    <n v="3"/>
    <x v="3"/>
    <n v="3"/>
    <x v="0"/>
    <x v="993"/>
    <n v="19719"/>
    <n v="5"/>
    <x v="0"/>
    <n v="0.18"/>
    <n v="3"/>
    <n v="2"/>
    <n v="0"/>
    <n v="16"/>
    <n v="2"/>
    <n v="2"/>
    <x v="4"/>
    <n v="2"/>
    <n v="2"/>
    <n v="2"/>
    <x v="1"/>
    <n v="1"/>
    <n v="2"/>
    <n v="0"/>
    <n v="1"/>
    <n v="0"/>
    <n v="0"/>
    <n v="0"/>
    <n v="1"/>
    <n v="15.160389980490176"/>
    <n v="0.52231353565590266"/>
    <x v="1"/>
    <n v="15313.5"/>
  </r>
  <r>
    <x v="1063"/>
    <x v="11"/>
    <x v="0"/>
    <n v="1246"/>
    <x v="0"/>
    <n v="19"/>
    <n v="3"/>
    <x v="0"/>
    <n v="3"/>
    <x v="1"/>
    <n v="77"/>
    <n v="2"/>
    <n v="2"/>
    <x v="0"/>
    <n v="3"/>
    <x v="2"/>
    <x v="994"/>
    <n v="23757"/>
    <n v="1"/>
    <x v="1"/>
    <n v="0.14000000000000001"/>
    <n v="3"/>
    <n v="3"/>
    <n v="2"/>
    <n v="10"/>
    <n v="3"/>
    <n v="3"/>
    <x v="1"/>
    <n v="7"/>
    <n v="0"/>
    <n v="4"/>
    <x v="1"/>
    <n v="1"/>
    <n v="1"/>
    <n v="2"/>
    <n v="0"/>
    <n v="1"/>
    <n v="0"/>
    <n v="0"/>
    <n v="0"/>
    <n v="3.1661066958753779"/>
    <n v="0.10908033267710357"/>
    <x v="2"/>
    <n v="0"/>
  </r>
  <r>
    <x v="1064"/>
    <x v="7"/>
    <x v="0"/>
    <n v="330"/>
    <x v="2"/>
    <n v="1"/>
    <n v="3"/>
    <x v="0"/>
    <n v="3"/>
    <x v="1"/>
    <n v="46"/>
    <n v="3"/>
    <n v="1"/>
    <x v="8"/>
    <n v="3"/>
    <x v="2"/>
    <x v="995"/>
    <n v="15428"/>
    <n v="0"/>
    <x v="1"/>
    <n v="0.21"/>
    <n v="4"/>
    <n v="1"/>
    <n v="1"/>
    <n v="6"/>
    <n v="3"/>
    <n v="4"/>
    <x v="8"/>
    <n v="3"/>
    <n v="1"/>
    <n v="3"/>
    <x v="1"/>
    <n v="1"/>
    <n v="1"/>
    <n v="2"/>
    <n v="0"/>
    <n v="0"/>
    <n v="0"/>
    <n v="1"/>
    <n v="0"/>
    <n v="6.4944289374208282"/>
    <n v="0.22374939857982484"/>
    <x v="2"/>
    <n v="0"/>
  </r>
  <r>
    <x v="1065"/>
    <x v="27"/>
    <x v="0"/>
    <n v="1229"/>
    <x v="1"/>
    <n v="4"/>
    <n v="4"/>
    <x v="0"/>
    <n v="4"/>
    <x v="1"/>
    <n v="30"/>
    <n v="3"/>
    <n v="2"/>
    <x v="4"/>
    <n v="3"/>
    <x v="1"/>
    <x v="996"/>
    <n v="16143"/>
    <n v="0"/>
    <x v="0"/>
    <n v="0.16"/>
    <n v="3"/>
    <n v="2"/>
    <n v="0"/>
    <n v="4"/>
    <n v="2"/>
    <n v="3"/>
    <x v="11"/>
    <n v="2"/>
    <n v="1"/>
    <n v="2"/>
    <x v="1"/>
    <n v="1"/>
    <n v="1"/>
    <n v="1"/>
    <n v="1"/>
    <n v="0"/>
    <n v="0"/>
    <n v="1"/>
    <n v="0"/>
    <n v="16.494428937420828"/>
    <n v="0.56827453040563214"/>
    <x v="1"/>
    <n v="6052.5"/>
  </r>
  <r>
    <x v="1066"/>
    <x v="3"/>
    <x v="0"/>
    <n v="1099"/>
    <x v="1"/>
    <n v="4"/>
    <n v="4"/>
    <x v="2"/>
    <n v="1"/>
    <x v="0"/>
    <n v="82"/>
    <n v="2"/>
    <n v="1"/>
    <x v="2"/>
    <n v="2"/>
    <x v="1"/>
    <x v="997"/>
    <n v="8192"/>
    <n v="8"/>
    <x v="1"/>
    <n v="0.11"/>
    <n v="3"/>
    <n v="4"/>
    <n v="0"/>
    <n v="8"/>
    <n v="5"/>
    <n v="3"/>
    <x v="8"/>
    <n v="4"/>
    <n v="0"/>
    <n v="2"/>
    <x v="1"/>
    <n v="0"/>
    <n v="1"/>
    <n v="1"/>
    <n v="0"/>
    <n v="0"/>
    <n v="1"/>
    <n v="1"/>
    <n v="0"/>
    <n v="10.698962067398959"/>
    <n v="0.3686061316669938"/>
    <x v="0"/>
    <n v="0"/>
  </r>
  <r>
    <x v="1067"/>
    <x v="40"/>
    <x v="0"/>
    <n v="571"/>
    <x v="0"/>
    <n v="14"/>
    <n v="3"/>
    <x v="2"/>
    <n v="3"/>
    <x v="0"/>
    <n v="78"/>
    <n v="3"/>
    <n v="2"/>
    <x v="0"/>
    <n v="3"/>
    <x v="1"/>
    <x v="998"/>
    <n v="24200"/>
    <n v="3"/>
    <x v="0"/>
    <n v="0.17"/>
    <n v="3"/>
    <n v="3"/>
    <n v="1"/>
    <n v="11"/>
    <n v="4"/>
    <n v="2"/>
    <x v="8"/>
    <n v="4"/>
    <n v="1"/>
    <n v="2"/>
    <x v="1"/>
    <n v="0"/>
    <n v="1"/>
    <n v="1"/>
    <n v="1"/>
    <n v="0"/>
    <n v="0"/>
    <n v="1"/>
    <n v="0"/>
    <n v="16.494428937420828"/>
    <n v="0.56827453040563214"/>
    <x v="1"/>
    <n v="6886.5"/>
  </r>
  <r>
    <x v="1068"/>
    <x v="14"/>
    <x v="1"/>
    <n v="289"/>
    <x v="1"/>
    <n v="2"/>
    <n v="2"/>
    <x v="2"/>
    <n v="3"/>
    <x v="1"/>
    <n v="38"/>
    <n v="2"/>
    <n v="1"/>
    <x v="2"/>
    <n v="1"/>
    <x v="0"/>
    <x v="999"/>
    <n v="5355"/>
    <n v="7"/>
    <x v="1"/>
    <n v="0.11"/>
    <n v="3"/>
    <n v="3"/>
    <n v="0"/>
    <n v="8"/>
    <n v="2"/>
    <n v="2"/>
    <x v="2"/>
    <n v="0"/>
    <n v="0"/>
    <n v="0"/>
    <x v="0"/>
    <n v="1"/>
    <n v="2"/>
    <n v="0"/>
    <n v="0"/>
    <n v="0"/>
    <n v="1"/>
    <n v="1"/>
    <n v="1"/>
    <n v="15.859352047889136"/>
    <n v="0.54639453549708916"/>
    <x v="1"/>
    <n v="3841.5"/>
  </r>
  <r>
    <x v="1069"/>
    <x v="14"/>
    <x v="0"/>
    <n v="1423"/>
    <x v="1"/>
    <n v="1"/>
    <n v="3"/>
    <x v="0"/>
    <n v="1"/>
    <x v="1"/>
    <n v="72"/>
    <n v="2"/>
    <n v="1"/>
    <x v="1"/>
    <n v="3"/>
    <x v="2"/>
    <x v="1000"/>
    <n v="12530"/>
    <n v="1"/>
    <x v="1"/>
    <n v="0.14000000000000001"/>
    <n v="3"/>
    <n v="4"/>
    <n v="1"/>
    <n v="1"/>
    <n v="2"/>
    <n v="1"/>
    <x v="6"/>
    <n v="0"/>
    <n v="0"/>
    <n v="0"/>
    <x v="1"/>
    <n v="1"/>
    <n v="1"/>
    <n v="2"/>
    <n v="0"/>
    <n v="0"/>
    <n v="0"/>
    <n v="1"/>
    <n v="0"/>
    <n v="6.4944289374208282"/>
    <n v="0.22374939857982484"/>
    <x v="2"/>
    <n v="0"/>
  </r>
  <r>
    <x v="1070"/>
    <x v="14"/>
    <x v="1"/>
    <n v="467"/>
    <x v="0"/>
    <n v="7"/>
    <n v="3"/>
    <x v="0"/>
    <n v="3"/>
    <x v="1"/>
    <n v="55"/>
    <n v="3"/>
    <n v="2"/>
    <x v="0"/>
    <n v="1"/>
    <x v="0"/>
    <x v="249"/>
    <n v="11827"/>
    <n v="0"/>
    <x v="1"/>
    <n v="0.14000000000000001"/>
    <n v="3"/>
    <n v="4"/>
    <n v="0"/>
    <n v="5"/>
    <n v="5"/>
    <n v="3"/>
    <x v="9"/>
    <n v="2"/>
    <n v="1"/>
    <n v="3"/>
    <x v="1"/>
    <n v="1"/>
    <n v="2"/>
    <n v="0"/>
    <n v="0"/>
    <n v="0"/>
    <n v="1"/>
    <n v="1"/>
    <n v="1"/>
    <n v="15.859352047889136"/>
    <n v="0.54639453549708916"/>
    <x v="1"/>
    <n v="7347"/>
  </r>
  <r>
    <x v="1071"/>
    <x v="1"/>
    <x v="0"/>
    <n v="271"/>
    <x v="1"/>
    <n v="3"/>
    <n v="2"/>
    <x v="2"/>
    <n v="3"/>
    <x v="0"/>
    <n v="43"/>
    <n v="2"/>
    <n v="2"/>
    <x v="2"/>
    <n v="1"/>
    <x v="1"/>
    <x v="1001"/>
    <n v="23070"/>
    <n v="4"/>
    <x v="1"/>
    <n v="0.25"/>
    <n v="4"/>
    <n v="1"/>
    <n v="1"/>
    <n v="10"/>
    <n v="3"/>
    <n v="3"/>
    <x v="11"/>
    <n v="2"/>
    <n v="1"/>
    <n v="2"/>
    <x v="1"/>
    <n v="0"/>
    <n v="1"/>
    <n v="1"/>
    <n v="0"/>
    <n v="0"/>
    <n v="1"/>
    <n v="1"/>
    <n v="0"/>
    <n v="10.698962067398959"/>
    <n v="0.3686061316669938"/>
    <x v="0"/>
    <n v="0"/>
  </r>
  <r>
    <x v="1072"/>
    <x v="11"/>
    <x v="1"/>
    <n v="410"/>
    <x v="1"/>
    <n v="2"/>
    <n v="1"/>
    <x v="0"/>
    <n v="4"/>
    <x v="0"/>
    <n v="97"/>
    <n v="3"/>
    <n v="1"/>
    <x v="2"/>
    <n v="2"/>
    <x v="1"/>
    <x v="1002"/>
    <n v="4668"/>
    <n v="0"/>
    <x v="1"/>
    <n v="0.13"/>
    <n v="3"/>
    <n v="3"/>
    <n v="3"/>
    <n v="4"/>
    <n v="3"/>
    <n v="3"/>
    <x v="11"/>
    <n v="2"/>
    <n v="0"/>
    <n v="2"/>
    <x v="1"/>
    <n v="0"/>
    <n v="2"/>
    <n v="1"/>
    <n v="0"/>
    <n v="0"/>
    <n v="1"/>
    <n v="1"/>
    <n v="1"/>
    <n v="15.859352047889136"/>
    <n v="0.54639453549708916"/>
    <x v="1"/>
    <n v="4770"/>
  </r>
  <r>
    <x v="1073"/>
    <x v="14"/>
    <x v="0"/>
    <n v="1083"/>
    <x v="1"/>
    <n v="29"/>
    <n v="1"/>
    <x v="0"/>
    <n v="3"/>
    <x v="1"/>
    <n v="96"/>
    <n v="1"/>
    <n v="2"/>
    <x v="3"/>
    <n v="2"/>
    <x v="1"/>
    <x v="1003"/>
    <n v="3173"/>
    <n v="1"/>
    <x v="1"/>
    <n v="0.14000000000000001"/>
    <n v="3"/>
    <n v="2"/>
    <n v="2"/>
    <n v="8"/>
    <n v="2"/>
    <n v="2"/>
    <x v="3"/>
    <n v="6"/>
    <n v="1"/>
    <n v="7"/>
    <x v="1"/>
    <n v="1"/>
    <n v="1"/>
    <n v="1"/>
    <n v="0"/>
    <n v="1"/>
    <n v="1"/>
    <n v="0"/>
    <n v="0"/>
    <n v="7.3706398258535089"/>
    <n v="0.25393706576427255"/>
    <x v="0"/>
    <n v="0"/>
  </r>
  <r>
    <x v="1074"/>
    <x v="3"/>
    <x v="0"/>
    <n v="516"/>
    <x v="1"/>
    <n v="8"/>
    <n v="5"/>
    <x v="0"/>
    <n v="4"/>
    <x v="1"/>
    <n v="69"/>
    <n v="3"/>
    <n v="2"/>
    <x v="4"/>
    <n v="3"/>
    <x v="0"/>
    <x v="1004"/>
    <n v="22049"/>
    <n v="2"/>
    <x v="0"/>
    <n v="0.17"/>
    <n v="3"/>
    <n v="1"/>
    <n v="0"/>
    <n v="14"/>
    <n v="6"/>
    <n v="3"/>
    <x v="2"/>
    <n v="0"/>
    <n v="0"/>
    <n v="0"/>
    <x v="1"/>
    <n v="1"/>
    <n v="1"/>
    <n v="0"/>
    <n v="1"/>
    <n v="0"/>
    <n v="0"/>
    <n v="0"/>
    <n v="0"/>
    <n v="10"/>
    <n v="0.3445251318258073"/>
    <x v="0"/>
    <n v="0"/>
  </r>
  <r>
    <x v="1075"/>
    <x v="5"/>
    <x v="0"/>
    <n v="495"/>
    <x v="1"/>
    <n v="10"/>
    <n v="3"/>
    <x v="2"/>
    <n v="3"/>
    <x v="1"/>
    <n v="64"/>
    <n v="3"/>
    <n v="3"/>
    <x v="5"/>
    <n v="4"/>
    <x v="0"/>
    <x v="1005"/>
    <n v="21072"/>
    <n v="2"/>
    <x v="1"/>
    <n v="0.25"/>
    <n v="4"/>
    <n v="2"/>
    <n v="0"/>
    <n v="10"/>
    <n v="5"/>
    <n v="4"/>
    <x v="8"/>
    <n v="2"/>
    <n v="0"/>
    <n v="0"/>
    <x v="1"/>
    <n v="1"/>
    <n v="1"/>
    <n v="0"/>
    <n v="0"/>
    <n v="0"/>
    <n v="0"/>
    <n v="0"/>
    <n v="0"/>
    <n v="0"/>
    <n v="0"/>
    <x v="2"/>
    <n v="0"/>
  </r>
  <r>
    <x v="1076"/>
    <x v="33"/>
    <x v="1"/>
    <n v="1050"/>
    <x v="1"/>
    <n v="11"/>
    <n v="4"/>
    <x v="2"/>
    <n v="2"/>
    <x v="0"/>
    <n v="87"/>
    <n v="3"/>
    <n v="4"/>
    <x v="5"/>
    <n v="4"/>
    <x v="2"/>
    <x v="1006"/>
    <n v="24456"/>
    <n v="3"/>
    <x v="1"/>
    <n v="0.2"/>
    <n v="4"/>
    <n v="1"/>
    <n v="1"/>
    <n v="26"/>
    <n v="2"/>
    <n v="3"/>
    <x v="13"/>
    <n v="9"/>
    <n v="1"/>
    <n v="12"/>
    <x v="1"/>
    <n v="0"/>
    <n v="2"/>
    <n v="2"/>
    <n v="0"/>
    <n v="0"/>
    <n v="0"/>
    <n v="0"/>
    <n v="1"/>
    <n v="5.1603899804901765"/>
    <n v="0.17778840383009531"/>
    <x v="2"/>
    <n v="0"/>
  </r>
  <r>
    <x v="1077"/>
    <x v="11"/>
    <x v="0"/>
    <n v="224"/>
    <x v="1"/>
    <n v="1"/>
    <n v="4"/>
    <x v="4"/>
    <n v="1"/>
    <x v="1"/>
    <n v="100"/>
    <n v="2"/>
    <n v="1"/>
    <x v="1"/>
    <n v="1"/>
    <x v="0"/>
    <x v="898"/>
    <n v="7568"/>
    <n v="6"/>
    <x v="1"/>
    <n v="0.13"/>
    <n v="3"/>
    <n v="3"/>
    <n v="0"/>
    <n v="11"/>
    <n v="2"/>
    <n v="1"/>
    <x v="7"/>
    <n v="7"/>
    <n v="0"/>
    <n v="7"/>
    <x v="0"/>
    <n v="1"/>
    <n v="1"/>
    <n v="0"/>
    <n v="0"/>
    <n v="0"/>
    <n v="1"/>
    <n v="1"/>
    <n v="0"/>
    <n v="10.698962067398959"/>
    <n v="0.3686061316669938"/>
    <x v="0"/>
    <n v="0"/>
  </r>
  <r>
    <x v="1078"/>
    <x v="20"/>
    <x v="0"/>
    <n v="136"/>
    <x v="1"/>
    <n v="28"/>
    <n v="3"/>
    <x v="0"/>
    <n v="4"/>
    <x v="1"/>
    <n v="32"/>
    <n v="3"/>
    <n v="4"/>
    <x v="7"/>
    <n v="1"/>
    <x v="1"/>
    <x v="1007"/>
    <n v="22074"/>
    <n v="3"/>
    <x v="1"/>
    <n v="0.13"/>
    <n v="3"/>
    <n v="3"/>
    <n v="1"/>
    <n v="24"/>
    <n v="1"/>
    <n v="4"/>
    <x v="23"/>
    <n v="6"/>
    <n v="14"/>
    <n v="17"/>
    <x v="1"/>
    <n v="1"/>
    <n v="1"/>
    <n v="1"/>
    <n v="0"/>
    <n v="1"/>
    <n v="1"/>
    <n v="0"/>
    <n v="0"/>
    <n v="7.3706398258535089"/>
    <n v="0.25393706576427255"/>
    <x v="0"/>
    <n v="0"/>
  </r>
  <r>
    <x v="1079"/>
    <x v="22"/>
    <x v="0"/>
    <n v="1089"/>
    <x v="1"/>
    <n v="6"/>
    <n v="3"/>
    <x v="0"/>
    <n v="2"/>
    <x v="0"/>
    <n v="32"/>
    <n v="3"/>
    <n v="3"/>
    <x v="3"/>
    <n v="2"/>
    <x v="0"/>
    <x v="1008"/>
    <n v="9150"/>
    <n v="4"/>
    <x v="1"/>
    <n v="0.18"/>
    <n v="3"/>
    <n v="4"/>
    <n v="0"/>
    <n v="9"/>
    <n v="3"/>
    <n v="3"/>
    <x v="4"/>
    <n v="0"/>
    <n v="2"/>
    <n v="2"/>
    <x v="1"/>
    <n v="0"/>
    <n v="1"/>
    <n v="0"/>
    <n v="0"/>
    <n v="0"/>
    <n v="1"/>
    <n v="0"/>
    <n v="0"/>
    <n v="4.204533129978131"/>
    <n v="0.14485673308716898"/>
    <x v="2"/>
    <n v="0"/>
  </r>
  <r>
    <x v="1080"/>
    <x v="21"/>
    <x v="0"/>
    <n v="228"/>
    <x v="0"/>
    <n v="3"/>
    <n v="3"/>
    <x v="0"/>
    <n v="3"/>
    <x v="0"/>
    <n v="51"/>
    <n v="3"/>
    <n v="4"/>
    <x v="5"/>
    <n v="2"/>
    <x v="1"/>
    <x v="1009"/>
    <n v="11380"/>
    <n v="8"/>
    <x v="1"/>
    <n v="0.12"/>
    <n v="3"/>
    <n v="4"/>
    <n v="1"/>
    <n v="23"/>
    <n v="2"/>
    <n v="4"/>
    <x v="20"/>
    <n v="12"/>
    <n v="5"/>
    <n v="1"/>
    <x v="1"/>
    <n v="0"/>
    <n v="1"/>
    <n v="1"/>
    <n v="0"/>
    <n v="0"/>
    <n v="1"/>
    <n v="0"/>
    <n v="0"/>
    <n v="4.204533129978131"/>
    <n v="0.14485673308716898"/>
    <x v="2"/>
    <n v="0"/>
  </r>
  <r>
    <x v="1081"/>
    <x v="10"/>
    <x v="0"/>
    <n v="1029"/>
    <x v="1"/>
    <n v="16"/>
    <n v="3"/>
    <x v="0"/>
    <n v="4"/>
    <x v="0"/>
    <n v="91"/>
    <n v="2"/>
    <n v="3"/>
    <x v="4"/>
    <n v="2"/>
    <x v="0"/>
    <x v="1010"/>
    <n v="21195"/>
    <n v="1"/>
    <x v="1"/>
    <n v="0.19"/>
    <n v="3"/>
    <n v="4"/>
    <n v="0"/>
    <n v="11"/>
    <n v="3"/>
    <n v="1"/>
    <x v="19"/>
    <n v="8"/>
    <n v="3"/>
    <n v="3"/>
    <x v="1"/>
    <n v="0"/>
    <n v="1"/>
    <n v="0"/>
    <n v="0"/>
    <n v="1"/>
    <n v="1"/>
    <n v="0"/>
    <n v="0"/>
    <n v="7.3706398258535089"/>
    <n v="0.25393706576427255"/>
    <x v="0"/>
    <n v="0"/>
  </r>
  <r>
    <x v="1082"/>
    <x v="30"/>
    <x v="0"/>
    <n v="507"/>
    <x v="1"/>
    <n v="20"/>
    <n v="1"/>
    <x v="0"/>
    <n v="1"/>
    <x v="1"/>
    <n v="97"/>
    <n v="3"/>
    <n v="2"/>
    <x v="2"/>
    <n v="3"/>
    <x v="0"/>
    <x v="1011"/>
    <n v="24812"/>
    <n v="0"/>
    <x v="1"/>
    <n v="0.14000000000000001"/>
    <n v="3"/>
    <n v="2"/>
    <n v="0"/>
    <n v="5"/>
    <n v="2"/>
    <n v="3"/>
    <x v="9"/>
    <n v="3"/>
    <n v="1"/>
    <n v="2"/>
    <x v="1"/>
    <n v="1"/>
    <n v="1"/>
    <n v="0"/>
    <n v="0"/>
    <n v="1"/>
    <n v="0"/>
    <n v="1"/>
    <n v="0"/>
    <n v="9.660535633296206"/>
    <n v="0.33282973125692844"/>
    <x v="0"/>
    <n v="0"/>
  </r>
  <r>
    <x v="1083"/>
    <x v="32"/>
    <x v="0"/>
    <n v="676"/>
    <x v="1"/>
    <n v="9"/>
    <n v="4"/>
    <x v="0"/>
    <n v="4"/>
    <x v="1"/>
    <n v="86"/>
    <n v="3"/>
    <n v="1"/>
    <x v="2"/>
    <n v="1"/>
    <x v="0"/>
    <x v="1012"/>
    <n v="21831"/>
    <n v="3"/>
    <x v="1"/>
    <n v="0.14000000000000001"/>
    <n v="3"/>
    <n v="2"/>
    <n v="0"/>
    <n v="15"/>
    <n v="3"/>
    <n v="1"/>
    <x v="8"/>
    <n v="4"/>
    <n v="1"/>
    <n v="0"/>
    <x v="0"/>
    <n v="1"/>
    <n v="1"/>
    <n v="0"/>
    <n v="0"/>
    <n v="0"/>
    <n v="1"/>
    <n v="1"/>
    <n v="0"/>
    <n v="10.698962067398959"/>
    <n v="0.3686061316669938"/>
    <x v="0"/>
    <n v="0"/>
  </r>
  <r>
    <x v="1084"/>
    <x v="13"/>
    <x v="0"/>
    <n v="971"/>
    <x v="0"/>
    <n v="1"/>
    <n v="3"/>
    <x v="4"/>
    <n v="4"/>
    <x v="1"/>
    <n v="64"/>
    <n v="2"/>
    <n v="3"/>
    <x v="0"/>
    <n v="3"/>
    <x v="1"/>
    <x v="1013"/>
    <n v="12288"/>
    <n v="1"/>
    <x v="0"/>
    <n v="0.14000000000000001"/>
    <n v="3"/>
    <n v="4"/>
    <n v="0"/>
    <n v="10"/>
    <n v="3"/>
    <n v="3"/>
    <x v="1"/>
    <n v="9"/>
    <n v="8"/>
    <n v="6"/>
    <x v="1"/>
    <n v="1"/>
    <n v="1"/>
    <n v="1"/>
    <n v="1"/>
    <n v="0"/>
    <n v="0"/>
    <n v="0"/>
    <n v="0"/>
    <n v="10"/>
    <n v="0.3445251318258073"/>
    <x v="0"/>
    <n v="0"/>
  </r>
  <r>
    <x v="1085"/>
    <x v="12"/>
    <x v="1"/>
    <n v="561"/>
    <x v="1"/>
    <n v="3"/>
    <n v="3"/>
    <x v="0"/>
    <n v="4"/>
    <x v="0"/>
    <n v="33"/>
    <n v="3"/>
    <n v="1"/>
    <x v="1"/>
    <n v="3"/>
    <x v="0"/>
    <x v="1014"/>
    <n v="4156"/>
    <n v="1"/>
    <x v="1"/>
    <n v="0.12"/>
    <n v="3"/>
    <n v="1"/>
    <n v="0"/>
    <n v="7"/>
    <n v="2"/>
    <n v="1"/>
    <x v="5"/>
    <n v="2"/>
    <n v="7"/>
    <n v="7"/>
    <x v="0"/>
    <n v="0"/>
    <n v="2"/>
    <n v="0"/>
    <n v="0"/>
    <n v="0"/>
    <n v="0"/>
    <n v="1"/>
    <n v="1"/>
    <n v="11.654818917911005"/>
    <n v="0.40153780240992015"/>
    <x v="0"/>
    <n v="0"/>
  </r>
  <r>
    <x v="1086"/>
    <x v="24"/>
    <x v="1"/>
    <n v="333"/>
    <x v="1"/>
    <n v="22"/>
    <n v="5"/>
    <x v="2"/>
    <n v="3"/>
    <x v="1"/>
    <n v="88"/>
    <n v="1"/>
    <n v="4"/>
    <x v="7"/>
    <n v="4"/>
    <x v="0"/>
    <x v="1015"/>
    <n v="24450"/>
    <n v="1"/>
    <x v="0"/>
    <n v="0.13"/>
    <n v="3"/>
    <n v="4"/>
    <n v="0"/>
    <n v="32"/>
    <n v="2"/>
    <n v="3"/>
    <x v="32"/>
    <n v="6"/>
    <n v="13"/>
    <n v="9"/>
    <x v="1"/>
    <n v="1"/>
    <n v="2"/>
    <n v="0"/>
    <n v="1"/>
    <n v="1"/>
    <n v="0"/>
    <n v="0"/>
    <n v="1"/>
    <n v="18.326496676365554"/>
    <n v="0.63139386833300615"/>
    <x v="1"/>
    <n v="21616.5"/>
  </r>
  <r>
    <x v="1087"/>
    <x v="13"/>
    <x v="0"/>
    <n v="1440"/>
    <x v="0"/>
    <n v="7"/>
    <n v="2"/>
    <x v="4"/>
    <n v="2"/>
    <x v="1"/>
    <n v="55"/>
    <n v="3"/>
    <n v="1"/>
    <x v="6"/>
    <n v="3"/>
    <x v="1"/>
    <x v="1016"/>
    <n v="4944"/>
    <n v="0"/>
    <x v="0"/>
    <n v="0.25"/>
    <n v="4"/>
    <n v="2"/>
    <n v="1"/>
    <n v="12"/>
    <n v="4"/>
    <n v="3"/>
    <x v="19"/>
    <n v="10"/>
    <n v="5"/>
    <n v="7"/>
    <x v="1"/>
    <n v="1"/>
    <n v="1"/>
    <n v="1"/>
    <n v="1"/>
    <n v="0"/>
    <n v="0"/>
    <n v="1"/>
    <n v="0"/>
    <n v="16.494428937420828"/>
    <n v="0.56827453040563214"/>
    <x v="1"/>
    <n v="3462"/>
  </r>
  <r>
    <x v="1088"/>
    <x v="19"/>
    <x v="0"/>
    <n v="1210"/>
    <x v="1"/>
    <n v="2"/>
    <n v="3"/>
    <x v="2"/>
    <n v="3"/>
    <x v="1"/>
    <n v="68"/>
    <n v="2"/>
    <n v="1"/>
    <x v="2"/>
    <n v="2"/>
    <x v="1"/>
    <x v="1017"/>
    <n v="24052"/>
    <n v="4"/>
    <x v="1"/>
    <n v="0.14000000000000001"/>
    <n v="3"/>
    <n v="2"/>
    <n v="1"/>
    <n v="4"/>
    <n v="3"/>
    <n v="3"/>
    <x v="6"/>
    <n v="0"/>
    <n v="0"/>
    <n v="0"/>
    <x v="1"/>
    <n v="1"/>
    <n v="1"/>
    <n v="1"/>
    <n v="0"/>
    <n v="0"/>
    <n v="1"/>
    <n v="1"/>
    <n v="0"/>
    <n v="10.698962067398959"/>
    <n v="0.3686061316669938"/>
    <x v="0"/>
    <n v="0"/>
  </r>
  <r>
    <x v="1089"/>
    <x v="2"/>
    <x v="0"/>
    <n v="674"/>
    <x v="1"/>
    <n v="13"/>
    <n v="3"/>
    <x v="2"/>
    <n v="1"/>
    <x v="1"/>
    <n v="47"/>
    <n v="3"/>
    <n v="2"/>
    <x v="1"/>
    <n v="4"/>
    <x v="1"/>
    <x v="1018"/>
    <n v="3031"/>
    <n v="1"/>
    <x v="1"/>
    <n v="0.17"/>
    <n v="3"/>
    <n v="1"/>
    <n v="0"/>
    <n v="10"/>
    <n v="2"/>
    <n v="3"/>
    <x v="1"/>
    <n v="8"/>
    <n v="3"/>
    <n v="7"/>
    <x v="1"/>
    <n v="1"/>
    <n v="1"/>
    <n v="1"/>
    <n v="0"/>
    <n v="0"/>
    <n v="0"/>
    <n v="1"/>
    <n v="0"/>
    <n v="6.4944289374208282"/>
    <n v="0.22374939857982484"/>
    <x v="2"/>
    <n v="0"/>
  </r>
  <r>
    <x v="1090"/>
    <x v="11"/>
    <x v="0"/>
    <n v="441"/>
    <x v="1"/>
    <n v="8"/>
    <n v="1"/>
    <x v="1"/>
    <n v="3"/>
    <x v="0"/>
    <n v="39"/>
    <n v="1"/>
    <n v="2"/>
    <x v="4"/>
    <n v="1"/>
    <x v="1"/>
    <x v="1019"/>
    <n v="7288"/>
    <n v="3"/>
    <x v="1"/>
    <n v="0.13"/>
    <n v="3"/>
    <n v="3"/>
    <n v="1"/>
    <n v="9"/>
    <n v="3"/>
    <n v="3"/>
    <x v="5"/>
    <n v="7"/>
    <n v="0"/>
    <n v="7"/>
    <x v="1"/>
    <n v="0"/>
    <n v="1"/>
    <n v="1"/>
    <n v="0"/>
    <n v="0"/>
    <n v="1"/>
    <n v="0"/>
    <n v="0"/>
    <n v="4.204533129978131"/>
    <n v="0.14485673308716898"/>
    <x v="2"/>
    <n v="0"/>
  </r>
  <r>
    <x v="1091"/>
    <x v="3"/>
    <x v="0"/>
    <n v="575"/>
    <x v="1"/>
    <n v="25"/>
    <n v="3"/>
    <x v="0"/>
    <n v="4"/>
    <x v="1"/>
    <n v="44"/>
    <n v="2"/>
    <n v="2"/>
    <x v="3"/>
    <n v="2"/>
    <x v="0"/>
    <x v="1020"/>
    <n v="24152"/>
    <n v="1"/>
    <x v="1"/>
    <n v="0.13"/>
    <n v="3"/>
    <n v="4"/>
    <n v="0"/>
    <n v="5"/>
    <n v="2"/>
    <n v="3"/>
    <x v="8"/>
    <n v="3"/>
    <n v="0"/>
    <n v="2"/>
    <x v="1"/>
    <n v="1"/>
    <n v="1"/>
    <n v="0"/>
    <n v="0"/>
    <n v="1"/>
    <n v="1"/>
    <n v="1"/>
    <n v="0"/>
    <n v="13.865068763274337"/>
    <n v="0.47768646434409739"/>
    <x v="0"/>
    <n v="0"/>
  </r>
  <r>
    <x v="1092"/>
    <x v="28"/>
    <x v="0"/>
    <n v="950"/>
    <x v="1"/>
    <n v="28"/>
    <n v="3"/>
    <x v="4"/>
    <n v="4"/>
    <x v="1"/>
    <n v="97"/>
    <n v="3"/>
    <n v="1"/>
    <x v="1"/>
    <n v="4"/>
    <x v="1"/>
    <x v="685"/>
    <n v="4585"/>
    <n v="4"/>
    <x v="1"/>
    <n v="0.2"/>
    <n v="4"/>
    <n v="4"/>
    <n v="1"/>
    <n v="8"/>
    <n v="3"/>
    <n v="3"/>
    <x v="8"/>
    <n v="4"/>
    <n v="0"/>
    <n v="3"/>
    <x v="1"/>
    <n v="1"/>
    <n v="1"/>
    <n v="1"/>
    <n v="0"/>
    <n v="1"/>
    <n v="0"/>
    <n v="1"/>
    <n v="0"/>
    <n v="9.660535633296206"/>
    <n v="0.33282973125692844"/>
    <x v="0"/>
    <n v="0"/>
  </r>
  <r>
    <x v="1093"/>
    <x v="19"/>
    <x v="1"/>
    <n v="288"/>
    <x v="1"/>
    <n v="2"/>
    <n v="3"/>
    <x v="0"/>
    <n v="4"/>
    <x v="1"/>
    <n v="40"/>
    <n v="3"/>
    <n v="3"/>
    <x v="4"/>
    <n v="4"/>
    <x v="1"/>
    <x v="1021"/>
    <n v="18611"/>
    <n v="2"/>
    <x v="0"/>
    <n v="0.14000000000000001"/>
    <n v="3"/>
    <n v="3"/>
    <n v="1"/>
    <n v="24"/>
    <n v="3"/>
    <n v="1"/>
    <x v="23"/>
    <n v="8"/>
    <n v="13"/>
    <n v="9"/>
    <x v="1"/>
    <n v="1"/>
    <n v="2"/>
    <n v="1"/>
    <n v="1"/>
    <n v="0"/>
    <n v="0"/>
    <n v="0"/>
    <n v="1"/>
    <n v="15.160389980490176"/>
    <n v="0.52231353565590266"/>
    <x v="1"/>
    <n v="15186"/>
  </r>
  <r>
    <x v="1094"/>
    <x v="32"/>
    <x v="0"/>
    <n v="1342"/>
    <x v="0"/>
    <n v="9"/>
    <n v="2"/>
    <x v="2"/>
    <n v="1"/>
    <x v="1"/>
    <n v="47"/>
    <n v="3"/>
    <n v="2"/>
    <x v="0"/>
    <n v="1"/>
    <x v="1"/>
    <x v="67"/>
    <n v="19345"/>
    <n v="0"/>
    <x v="1"/>
    <n v="0.12"/>
    <n v="3"/>
    <n v="4"/>
    <n v="0"/>
    <n v="9"/>
    <n v="5"/>
    <n v="4"/>
    <x v="3"/>
    <n v="4"/>
    <n v="7"/>
    <n v="1"/>
    <x v="1"/>
    <n v="1"/>
    <n v="1"/>
    <n v="1"/>
    <n v="0"/>
    <n v="0"/>
    <n v="1"/>
    <n v="0"/>
    <n v="0"/>
    <n v="4.204533129978131"/>
    <n v="0.14485673308716898"/>
    <x v="2"/>
    <n v="0"/>
  </r>
  <r>
    <x v="1095"/>
    <x v="3"/>
    <x v="0"/>
    <n v="589"/>
    <x v="1"/>
    <n v="28"/>
    <n v="4"/>
    <x v="0"/>
    <n v="2"/>
    <x v="1"/>
    <n v="79"/>
    <n v="3"/>
    <n v="2"/>
    <x v="2"/>
    <n v="3"/>
    <x v="1"/>
    <x v="1022"/>
    <n v="22949"/>
    <n v="1"/>
    <x v="0"/>
    <n v="0.12"/>
    <n v="3"/>
    <n v="2"/>
    <n v="1"/>
    <n v="15"/>
    <n v="3"/>
    <n v="3"/>
    <x v="15"/>
    <n v="14"/>
    <n v="5"/>
    <n v="7"/>
    <x v="1"/>
    <n v="1"/>
    <n v="1"/>
    <n v="1"/>
    <n v="1"/>
    <n v="1"/>
    <n v="0"/>
    <n v="0"/>
    <n v="0"/>
    <n v="13.166106695875378"/>
    <n v="0.45360546450291089"/>
    <x v="0"/>
    <n v="0"/>
  </r>
  <r>
    <x v="1096"/>
    <x v="32"/>
    <x v="0"/>
    <n v="898"/>
    <x v="2"/>
    <n v="6"/>
    <n v="2"/>
    <x v="2"/>
    <n v="3"/>
    <x v="1"/>
    <n v="38"/>
    <n v="3"/>
    <n v="4"/>
    <x v="5"/>
    <n v="4"/>
    <x v="0"/>
    <x v="1023"/>
    <n v="17381"/>
    <n v="1"/>
    <x v="0"/>
    <n v="0.21"/>
    <n v="4"/>
    <n v="4"/>
    <n v="0"/>
    <n v="21"/>
    <n v="2"/>
    <n v="3"/>
    <x v="17"/>
    <n v="7"/>
    <n v="7"/>
    <n v="7"/>
    <x v="1"/>
    <n v="1"/>
    <n v="1"/>
    <n v="0"/>
    <n v="1"/>
    <n v="0"/>
    <n v="0"/>
    <n v="0"/>
    <n v="0"/>
    <n v="10"/>
    <n v="0.3445251318258073"/>
    <x v="0"/>
    <n v="0"/>
  </r>
  <r>
    <x v="1097"/>
    <x v="17"/>
    <x v="0"/>
    <n v="350"/>
    <x v="1"/>
    <n v="21"/>
    <n v="2"/>
    <x v="4"/>
    <n v="3"/>
    <x v="1"/>
    <n v="57"/>
    <n v="2"/>
    <n v="1"/>
    <x v="2"/>
    <n v="1"/>
    <x v="2"/>
    <x v="1024"/>
    <n v="10036"/>
    <n v="0"/>
    <x v="1"/>
    <n v="0.14000000000000001"/>
    <n v="3"/>
    <n v="2"/>
    <n v="3"/>
    <n v="2"/>
    <n v="3"/>
    <n v="3"/>
    <x v="6"/>
    <n v="1"/>
    <n v="0"/>
    <n v="0"/>
    <x v="1"/>
    <n v="1"/>
    <n v="1"/>
    <n v="2"/>
    <n v="0"/>
    <n v="1"/>
    <n v="1"/>
    <n v="1"/>
    <n v="0"/>
    <n v="13.865068763274337"/>
    <n v="0.47768646434409739"/>
    <x v="0"/>
    <n v="0"/>
  </r>
  <r>
    <x v="1098"/>
    <x v="32"/>
    <x v="2"/>
    <n v="1142"/>
    <x v="1"/>
    <n v="8"/>
    <n v="2"/>
    <x v="0"/>
    <n v="4"/>
    <x v="1"/>
    <n v="72"/>
    <n v="3"/>
    <n v="2"/>
    <x v="4"/>
    <n v="4"/>
    <x v="2"/>
    <x v="1025"/>
    <n v="8841"/>
    <n v="3"/>
    <x v="0"/>
    <n v="0.18"/>
    <n v="3"/>
    <n v="3"/>
    <n v="0"/>
    <n v="8"/>
    <n v="2"/>
    <n v="3"/>
    <x v="4"/>
    <n v="2"/>
    <n v="2"/>
    <n v="2"/>
    <x v="1"/>
    <n v="1"/>
    <n v="0"/>
    <n v="2"/>
    <n v="1"/>
    <n v="0"/>
    <n v="0"/>
    <n v="1"/>
    <n v="0"/>
    <n v="16.494428937420828"/>
    <n v="0.56827453040563214"/>
    <x v="1"/>
    <n v="6103.5"/>
  </r>
  <r>
    <x v="1099"/>
    <x v="28"/>
    <x v="0"/>
    <n v="538"/>
    <x v="1"/>
    <n v="1"/>
    <n v="4"/>
    <x v="4"/>
    <n v="1"/>
    <x v="1"/>
    <n v="66"/>
    <n v="3"/>
    <n v="3"/>
    <x v="4"/>
    <n v="2"/>
    <x v="2"/>
    <x v="1026"/>
    <n v="20933"/>
    <n v="1"/>
    <x v="1"/>
    <n v="0.12"/>
    <n v="3"/>
    <n v="1"/>
    <n v="3"/>
    <n v="10"/>
    <n v="4"/>
    <n v="3"/>
    <x v="1"/>
    <n v="8"/>
    <n v="7"/>
    <n v="7"/>
    <x v="1"/>
    <n v="1"/>
    <n v="1"/>
    <n v="2"/>
    <n v="0"/>
    <n v="0"/>
    <n v="1"/>
    <n v="0"/>
    <n v="0"/>
    <n v="4.204533129978131"/>
    <n v="0.14485673308716898"/>
    <x v="2"/>
    <n v="0"/>
  </r>
  <r>
    <x v="1100"/>
    <x v="10"/>
    <x v="0"/>
    <n v="1402"/>
    <x v="0"/>
    <n v="28"/>
    <n v="4"/>
    <x v="0"/>
    <n v="2"/>
    <x v="0"/>
    <n v="98"/>
    <n v="2"/>
    <n v="1"/>
    <x v="6"/>
    <n v="3"/>
    <x v="1"/>
    <x v="1027"/>
    <n v="26204"/>
    <n v="0"/>
    <x v="1"/>
    <n v="0.23"/>
    <n v="4"/>
    <n v="1"/>
    <n v="2"/>
    <n v="6"/>
    <n v="5"/>
    <n v="3"/>
    <x v="8"/>
    <n v="3"/>
    <n v="4"/>
    <n v="2"/>
    <x v="1"/>
    <n v="0"/>
    <n v="1"/>
    <n v="1"/>
    <n v="0"/>
    <n v="1"/>
    <n v="0"/>
    <n v="1"/>
    <n v="0"/>
    <n v="9.660535633296206"/>
    <n v="0.33282973125692844"/>
    <x v="0"/>
    <n v="0"/>
  </r>
  <r>
    <x v="1101"/>
    <x v="5"/>
    <x v="0"/>
    <n v="824"/>
    <x v="1"/>
    <n v="5"/>
    <n v="2"/>
    <x v="0"/>
    <n v="4"/>
    <x v="0"/>
    <n v="67"/>
    <n v="2"/>
    <n v="2"/>
    <x v="1"/>
    <n v="2"/>
    <x v="1"/>
    <x v="1028"/>
    <n v="15624"/>
    <n v="3"/>
    <x v="1"/>
    <n v="0.12"/>
    <n v="3"/>
    <n v="1"/>
    <n v="1"/>
    <n v="12"/>
    <n v="2"/>
    <n v="3"/>
    <x v="5"/>
    <n v="1"/>
    <n v="2"/>
    <n v="5"/>
    <x v="1"/>
    <n v="0"/>
    <n v="1"/>
    <n v="1"/>
    <n v="0"/>
    <n v="0"/>
    <n v="1"/>
    <n v="0"/>
    <n v="0"/>
    <n v="4.204533129978131"/>
    <n v="0.14485673308716898"/>
    <x v="2"/>
    <n v="0"/>
  </r>
  <r>
    <x v="1102"/>
    <x v="9"/>
    <x v="0"/>
    <n v="1157"/>
    <x v="0"/>
    <n v="2"/>
    <n v="4"/>
    <x v="0"/>
    <n v="3"/>
    <x v="1"/>
    <n v="70"/>
    <n v="3"/>
    <n v="1"/>
    <x v="6"/>
    <n v="4"/>
    <x v="0"/>
    <x v="1029"/>
    <n v="17001"/>
    <n v="3"/>
    <x v="0"/>
    <n v="0.21"/>
    <n v="4"/>
    <n v="4"/>
    <n v="0"/>
    <n v="7"/>
    <n v="3"/>
    <n v="2"/>
    <x v="11"/>
    <n v="2"/>
    <n v="1"/>
    <n v="2"/>
    <x v="1"/>
    <n v="1"/>
    <n v="1"/>
    <n v="0"/>
    <n v="1"/>
    <n v="0"/>
    <n v="0"/>
    <n v="1"/>
    <n v="0"/>
    <n v="16.494428937420828"/>
    <n v="0.56827453040563214"/>
    <x v="1"/>
    <n v="3966"/>
  </r>
  <r>
    <x v="1103"/>
    <x v="26"/>
    <x v="0"/>
    <n v="492"/>
    <x v="0"/>
    <n v="16"/>
    <n v="4"/>
    <x v="0"/>
    <n v="3"/>
    <x v="0"/>
    <n v="96"/>
    <n v="3"/>
    <n v="2"/>
    <x v="0"/>
    <n v="3"/>
    <x v="2"/>
    <x v="1030"/>
    <n v="13693"/>
    <n v="8"/>
    <x v="1"/>
    <n v="0.14000000000000001"/>
    <n v="3"/>
    <n v="3"/>
    <n v="1"/>
    <n v="18"/>
    <n v="2"/>
    <n v="3"/>
    <x v="3"/>
    <n v="7"/>
    <n v="7"/>
    <n v="7"/>
    <x v="1"/>
    <n v="0"/>
    <n v="1"/>
    <n v="2"/>
    <n v="0"/>
    <n v="1"/>
    <n v="0"/>
    <n v="0"/>
    <n v="0"/>
    <n v="3.1661066958753779"/>
    <n v="0.10908033267710357"/>
    <x v="2"/>
    <n v="0"/>
  </r>
  <r>
    <x v="1104"/>
    <x v="11"/>
    <x v="0"/>
    <n v="598"/>
    <x v="1"/>
    <n v="9"/>
    <n v="3"/>
    <x v="0"/>
    <n v="3"/>
    <x v="1"/>
    <n v="91"/>
    <n v="4"/>
    <n v="1"/>
    <x v="1"/>
    <n v="3"/>
    <x v="1"/>
    <x v="163"/>
    <n v="22376"/>
    <n v="6"/>
    <x v="1"/>
    <n v="0.18"/>
    <n v="3"/>
    <n v="1"/>
    <n v="2"/>
    <n v="5"/>
    <n v="2"/>
    <n v="2"/>
    <x v="6"/>
    <n v="0"/>
    <n v="0"/>
    <n v="0"/>
    <x v="1"/>
    <n v="1"/>
    <n v="1"/>
    <n v="1"/>
    <n v="0"/>
    <n v="0"/>
    <n v="0"/>
    <n v="1"/>
    <n v="0"/>
    <n v="6.4944289374208282"/>
    <n v="0.22374939857982484"/>
    <x v="2"/>
    <n v="0"/>
  </r>
  <r>
    <x v="1105"/>
    <x v="3"/>
    <x v="0"/>
    <n v="1242"/>
    <x v="0"/>
    <n v="8"/>
    <n v="4"/>
    <x v="0"/>
    <n v="1"/>
    <x v="1"/>
    <n v="46"/>
    <n v="3"/>
    <n v="2"/>
    <x v="0"/>
    <n v="1"/>
    <x v="1"/>
    <x v="1031"/>
    <n v="10589"/>
    <n v="2"/>
    <x v="1"/>
    <n v="0.13"/>
    <n v="3"/>
    <n v="4"/>
    <n v="1"/>
    <n v="8"/>
    <n v="6"/>
    <n v="1"/>
    <x v="4"/>
    <n v="2"/>
    <n v="2"/>
    <n v="2"/>
    <x v="1"/>
    <n v="1"/>
    <n v="1"/>
    <n v="1"/>
    <n v="0"/>
    <n v="0"/>
    <n v="1"/>
    <n v="0"/>
    <n v="0"/>
    <n v="4.204533129978131"/>
    <n v="0.14485673308716898"/>
    <x v="2"/>
    <n v="0"/>
  </r>
  <r>
    <x v="1106"/>
    <x v="7"/>
    <x v="0"/>
    <n v="740"/>
    <x v="0"/>
    <n v="1"/>
    <n v="3"/>
    <x v="0"/>
    <n v="2"/>
    <x v="1"/>
    <n v="64"/>
    <n v="2"/>
    <n v="2"/>
    <x v="0"/>
    <n v="1"/>
    <x v="1"/>
    <x v="1032"/>
    <n v="5323"/>
    <n v="1"/>
    <x v="1"/>
    <n v="0.11"/>
    <n v="3"/>
    <n v="4"/>
    <n v="1"/>
    <n v="10"/>
    <n v="4"/>
    <n v="3"/>
    <x v="1"/>
    <n v="8"/>
    <n v="6"/>
    <n v="7"/>
    <x v="0"/>
    <n v="1"/>
    <n v="1"/>
    <n v="1"/>
    <n v="0"/>
    <n v="0"/>
    <n v="1"/>
    <n v="0"/>
    <n v="0"/>
    <n v="4.204533129978131"/>
    <n v="0.14485673308716898"/>
    <x v="2"/>
    <n v="0"/>
  </r>
  <r>
    <x v="1107"/>
    <x v="8"/>
    <x v="1"/>
    <n v="888"/>
    <x v="2"/>
    <n v="10"/>
    <n v="4"/>
    <x v="5"/>
    <n v="3"/>
    <x v="1"/>
    <n v="71"/>
    <n v="3"/>
    <n v="2"/>
    <x v="8"/>
    <n v="3"/>
    <x v="1"/>
    <x v="1033"/>
    <n v="14814"/>
    <n v="3"/>
    <x v="1"/>
    <n v="0.11"/>
    <n v="3"/>
    <n v="3"/>
    <n v="0"/>
    <n v="10"/>
    <n v="2"/>
    <n v="3"/>
    <x v="0"/>
    <n v="3"/>
    <n v="1"/>
    <n v="2"/>
    <x v="1"/>
    <n v="1"/>
    <n v="2"/>
    <n v="1"/>
    <n v="0"/>
    <n v="0"/>
    <n v="0"/>
    <n v="0"/>
    <n v="1"/>
    <n v="5.1603899804901765"/>
    <n v="0.17778840383009531"/>
    <x v="2"/>
    <n v="0"/>
  </r>
  <r>
    <x v="1108"/>
    <x v="10"/>
    <x v="0"/>
    <n v="992"/>
    <x v="1"/>
    <n v="1"/>
    <n v="3"/>
    <x v="2"/>
    <n v="4"/>
    <x v="1"/>
    <n v="68"/>
    <n v="2"/>
    <n v="1"/>
    <x v="2"/>
    <n v="1"/>
    <x v="0"/>
    <x v="533"/>
    <n v="21731"/>
    <n v="1"/>
    <x v="1"/>
    <n v="0.19"/>
    <n v="3"/>
    <n v="2"/>
    <n v="0"/>
    <n v="3"/>
    <n v="3"/>
    <n v="3"/>
    <x v="11"/>
    <n v="0"/>
    <n v="1"/>
    <n v="2"/>
    <x v="1"/>
    <n v="1"/>
    <n v="1"/>
    <n v="0"/>
    <n v="0"/>
    <n v="0"/>
    <n v="1"/>
    <n v="1"/>
    <n v="0"/>
    <n v="10.698962067398959"/>
    <n v="0.3686061316669938"/>
    <x v="0"/>
    <n v="0"/>
  </r>
  <r>
    <x v="1109"/>
    <x v="7"/>
    <x v="0"/>
    <n v="1288"/>
    <x v="0"/>
    <n v="29"/>
    <n v="4"/>
    <x v="4"/>
    <n v="3"/>
    <x v="1"/>
    <n v="33"/>
    <n v="3"/>
    <n v="3"/>
    <x v="0"/>
    <n v="2"/>
    <x v="1"/>
    <x v="1034"/>
    <n v="17799"/>
    <n v="3"/>
    <x v="1"/>
    <n v="0.12"/>
    <n v="3"/>
    <n v="2"/>
    <n v="1"/>
    <n v="9"/>
    <n v="3"/>
    <n v="3"/>
    <x v="9"/>
    <n v="2"/>
    <n v="1"/>
    <n v="3"/>
    <x v="1"/>
    <n v="1"/>
    <n v="1"/>
    <n v="1"/>
    <n v="0"/>
    <n v="1"/>
    <n v="1"/>
    <n v="0"/>
    <n v="0"/>
    <n v="7.3706398258535089"/>
    <n v="0.25393706576427255"/>
    <x v="0"/>
    <n v="0"/>
  </r>
  <r>
    <x v="1110"/>
    <x v="10"/>
    <x v="0"/>
    <n v="104"/>
    <x v="1"/>
    <n v="2"/>
    <n v="3"/>
    <x v="0"/>
    <n v="1"/>
    <x v="0"/>
    <n v="69"/>
    <n v="3"/>
    <n v="1"/>
    <x v="2"/>
    <n v="1"/>
    <x v="2"/>
    <x v="1035"/>
    <n v="26619"/>
    <n v="1"/>
    <x v="0"/>
    <n v="0.12"/>
    <n v="3"/>
    <n v="4"/>
    <n v="1"/>
    <n v="1"/>
    <n v="2"/>
    <n v="3"/>
    <x v="6"/>
    <n v="0"/>
    <n v="0"/>
    <n v="0"/>
    <x v="0"/>
    <n v="0"/>
    <n v="1"/>
    <n v="2"/>
    <n v="1"/>
    <n v="0"/>
    <n v="1"/>
    <n v="1"/>
    <n v="0"/>
    <n v="20.698962067398959"/>
    <n v="0.71313126349280109"/>
    <x v="1"/>
    <n v="3111"/>
  </r>
  <r>
    <x v="1111"/>
    <x v="16"/>
    <x v="0"/>
    <n v="607"/>
    <x v="1"/>
    <n v="2"/>
    <n v="5"/>
    <x v="4"/>
    <n v="3"/>
    <x v="0"/>
    <n v="78"/>
    <n v="2"/>
    <n v="3"/>
    <x v="3"/>
    <n v="4"/>
    <x v="1"/>
    <x v="1036"/>
    <n v="14618"/>
    <n v="0"/>
    <x v="1"/>
    <n v="0.16"/>
    <n v="3"/>
    <n v="2"/>
    <n v="1"/>
    <n v="34"/>
    <n v="4"/>
    <n v="3"/>
    <x v="26"/>
    <n v="7"/>
    <n v="1"/>
    <n v="9"/>
    <x v="0"/>
    <n v="0"/>
    <n v="1"/>
    <n v="1"/>
    <n v="0"/>
    <n v="0"/>
    <n v="0"/>
    <n v="0"/>
    <n v="0"/>
    <n v="0"/>
    <n v="0"/>
    <x v="2"/>
    <n v="0"/>
  </r>
  <r>
    <x v="1112"/>
    <x v="8"/>
    <x v="0"/>
    <n v="903"/>
    <x v="1"/>
    <n v="2"/>
    <n v="3"/>
    <x v="2"/>
    <n v="3"/>
    <x v="1"/>
    <n v="81"/>
    <n v="3"/>
    <n v="2"/>
    <x v="3"/>
    <n v="2"/>
    <x v="1"/>
    <x v="1037"/>
    <n v="7653"/>
    <n v="4"/>
    <x v="1"/>
    <n v="0.11"/>
    <n v="3"/>
    <n v="1"/>
    <n v="2"/>
    <n v="7"/>
    <n v="2"/>
    <n v="3"/>
    <x v="8"/>
    <n v="2"/>
    <n v="1"/>
    <n v="4"/>
    <x v="0"/>
    <n v="1"/>
    <n v="1"/>
    <n v="1"/>
    <n v="0"/>
    <n v="0"/>
    <n v="1"/>
    <n v="1"/>
    <n v="0"/>
    <n v="10.698962067398959"/>
    <n v="0.3686061316669938"/>
    <x v="0"/>
    <n v="0"/>
  </r>
  <r>
    <x v="1113"/>
    <x v="5"/>
    <x v="2"/>
    <n v="1200"/>
    <x v="1"/>
    <n v="1"/>
    <n v="4"/>
    <x v="4"/>
    <n v="4"/>
    <x v="1"/>
    <n v="62"/>
    <n v="3"/>
    <n v="2"/>
    <x v="1"/>
    <n v="1"/>
    <x v="1"/>
    <x v="1038"/>
    <n v="25174"/>
    <n v="4"/>
    <x v="1"/>
    <n v="0.14000000000000001"/>
    <n v="3"/>
    <n v="2"/>
    <n v="1"/>
    <n v="9"/>
    <n v="3"/>
    <n v="2"/>
    <x v="0"/>
    <n v="5"/>
    <n v="1"/>
    <n v="2"/>
    <x v="1"/>
    <n v="1"/>
    <n v="0"/>
    <n v="1"/>
    <n v="0"/>
    <n v="0"/>
    <n v="1"/>
    <n v="1"/>
    <n v="0"/>
    <n v="10.698962067398959"/>
    <n v="0.3686061316669938"/>
    <x v="0"/>
    <n v="0"/>
  </r>
  <r>
    <x v="1114"/>
    <x v="26"/>
    <x v="0"/>
    <n v="1108"/>
    <x v="1"/>
    <n v="15"/>
    <n v="4"/>
    <x v="1"/>
    <n v="3"/>
    <x v="0"/>
    <n v="65"/>
    <n v="3"/>
    <n v="1"/>
    <x v="1"/>
    <n v="1"/>
    <x v="1"/>
    <x v="1039"/>
    <n v="16530"/>
    <n v="8"/>
    <x v="1"/>
    <n v="0.12"/>
    <n v="3"/>
    <n v="4"/>
    <n v="1"/>
    <n v="10"/>
    <n v="3"/>
    <n v="2"/>
    <x v="3"/>
    <n v="2"/>
    <n v="7"/>
    <n v="6"/>
    <x v="1"/>
    <n v="0"/>
    <n v="1"/>
    <n v="1"/>
    <n v="0"/>
    <n v="0"/>
    <n v="1"/>
    <n v="1"/>
    <n v="0"/>
    <n v="10.698962067398959"/>
    <n v="0.3686061316669938"/>
    <x v="0"/>
    <n v="0"/>
  </r>
  <r>
    <x v="1115"/>
    <x v="13"/>
    <x v="0"/>
    <n v="479"/>
    <x v="1"/>
    <n v="7"/>
    <n v="4"/>
    <x v="2"/>
    <n v="1"/>
    <x v="1"/>
    <n v="35"/>
    <n v="3"/>
    <n v="1"/>
    <x v="1"/>
    <n v="4"/>
    <x v="0"/>
    <x v="1040"/>
    <n v="22061"/>
    <n v="1"/>
    <x v="1"/>
    <n v="0.13"/>
    <n v="3"/>
    <n v="3"/>
    <n v="0"/>
    <n v="1"/>
    <n v="4"/>
    <n v="1"/>
    <x v="6"/>
    <n v="0"/>
    <n v="0"/>
    <n v="0"/>
    <x v="1"/>
    <n v="1"/>
    <n v="1"/>
    <n v="0"/>
    <n v="0"/>
    <n v="0"/>
    <n v="0"/>
    <n v="1"/>
    <n v="0"/>
    <n v="6.4944289374208282"/>
    <n v="0.22374939857982484"/>
    <x v="2"/>
    <n v="0"/>
  </r>
  <r>
    <x v="1116"/>
    <x v="27"/>
    <x v="0"/>
    <n v="685"/>
    <x v="0"/>
    <n v="26"/>
    <n v="5"/>
    <x v="3"/>
    <n v="3"/>
    <x v="1"/>
    <n v="60"/>
    <n v="2"/>
    <n v="5"/>
    <x v="5"/>
    <n v="4"/>
    <x v="1"/>
    <x v="1041"/>
    <n v="23037"/>
    <n v="1"/>
    <x v="1"/>
    <n v="0.21"/>
    <n v="4"/>
    <n v="3"/>
    <n v="1"/>
    <n v="36"/>
    <n v="3"/>
    <n v="3"/>
    <x v="28"/>
    <n v="6"/>
    <n v="2"/>
    <n v="13"/>
    <x v="1"/>
    <n v="1"/>
    <n v="1"/>
    <n v="1"/>
    <n v="0"/>
    <n v="1"/>
    <n v="0"/>
    <n v="0"/>
    <n v="0"/>
    <n v="3.1661066958753779"/>
    <n v="0.10908033267710357"/>
    <x v="2"/>
    <n v="0"/>
  </r>
  <r>
    <x v="1117"/>
    <x v="13"/>
    <x v="0"/>
    <n v="1351"/>
    <x v="1"/>
    <n v="1"/>
    <n v="4"/>
    <x v="0"/>
    <n v="2"/>
    <x v="1"/>
    <n v="45"/>
    <n v="3"/>
    <n v="2"/>
    <x v="1"/>
    <n v="4"/>
    <x v="1"/>
    <x v="299"/>
    <n v="13008"/>
    <n v="9"/>
    <x v="1"/>
    <n v="0.17"/>
    <n v="3"/>
    <n v="2"/>
    <n v="1"/>
    <n v="9"/>
    <n v="3"/>
    <n v="2"/>
    <x v="4"/>
    <n v="2"/>
    <n v="2"/>
    <n v="1"/>
    <x v="1"/>
    <n v="1"/>
    <n v="1"/>
    <n v="1"/>
    <n v="0"/>
    <n v="0"/>
    <n v="0"/>
    <n v="0"/>
    <n v="0"/>
    <n v="0"/>
    <n v="0"/>
    <x v="2"/>
    <n v="0"/>
  </r>
  <r>
    <x v="1118"/>
    <x v="25"/>
    <x v="0"/>
    <n v="474"/>
    <x v="1"/>
    <n v="3"/>
    <n v="3"/>
    <x v="0"/>
    <n v="1"/>
    <x v="0"/>
    <n v="89"/>
    <n v="3"/>
    <n v="1"/>
    <x v="1"/>
    <n v="4"/>
    <x v="1"/>
    <x v="1042"/>
    <n v="11133"/>
    <n v="1"/>
    <x v="1"/>
    <n v="0.21"/>
    <n v="4"/>
    <n v="1"/>
    <n v="0"/>
    <n v="1"/>
    <n v="5"/>
    <n v="3"/>
    <x v="6"/>
    <n v="0"/>
    <n v="0"/>
    <n v="0"/>
    <x v="1"/>
    <n v="0"/>
    <n v="1"/>
    <n v="1"/>
    <n v="0"/>
    <n v="0"/>
    <n v="0"/>
    <n v="1"/>
    <n v="0"/>
    <n v="6.4944289374208282"/>
    <n v="0.22374939857982484"/>
    <x v="2"/>
    <n v="0"/>
  </r>
  <r>
    <x v="1119"/>
    <x v="8"/>
    <x v="0"/>
    <n v="1245"/>
    <x v="0"/>
    <n v="14"/>
    <n v="3"/>
    <x v="0"/>
    <n v="3"/>
    <x v="1"/>
    <n v="80"/>
    <n v="3"/>
    <n v="2"/>
    <x v="0"/>
    <n v="2"/>
    <x v="1"/>
    <x v="1043"/>
    <n v="12355"/>
    <n v="0"/>
    <x v="1"/>
    <n v="0.11"/>
    <n v="3"/>
    <n v="4"/>
    <n v="1"/>
    <n v="10"/>
    <n v="3"/>
    <n v="3"/>
    <x v="7"/>
    <n v="8"/>
    <n v="7"/>
    <n v="7"/>
    <x v="1"/>
    <n v="1"/>
    <n v="1"/>
    <n v="1"/>
    <n v="0"/>
    <n v="0"/>
    <n v="1"/>
    <n v="0"/>
    <n v="0"/>
    <n v="4.204533129978131"/>
    <n v="0.14485673308716898"/>
    <x v="2"/>
    <n v="0"/>
  </r>
  <r>
    <x v="1120"/>
    <x v="8"/>
    <x v="0"/>
    <n v="437"/>
    <x v="0"/>
    <n v="16"/>
    <n v="3"/>
    <x v="0"/>
    <n v="2"/>
    <x v="0"/>
    <n v="90"/>
    <n v="3"/>
    <n v="2"/>
    <x v="0"/>
    <n v="2"/>
    <x v="0"/>
    <x v="1044"/>
    <n v="16379"/>
    <n v="2"/>
    <x v="1"/>
    <n v="0.12"/>
    <n v="3"/>
    <n v="2"/>
    <n v="0"/>
    <n v="8"/>
    <n v="5"/>
    <n v="4"/>
    <x v="11"/>
    <n v="2"/>
    <n v="1"/>
    <n v="2"/>
    <x v="1"/>
    <n v="0"/>
    <n v="1"/>
    <n v="0"/>
    <n v="0"/>
    <n v="1"/>
    <n v="1"/>
    <n v="1"/>
    <n v="0"/>
    <n v="13.865068763274337"/>
    <n v="0.47768646434409739"/>
    <x v="0"/>
    <n v="0"/>
  </r>
  <r>
    <x v="1121"/>
    <x v="9"/>
    <x v="0"/>
    <n v="884"/>
    <x v="0"/>
    <n v="1"/>
    <n v="4"/>
    <x v="0"/>
    <n v="2"/>
    <x v="0"/>
    <n v="73"/>
    <n v="3"/>
    <n v="2"/>
    <x v="0"/>
    <n v="3"/>
    <x v="0"/>
    <x v="1045"/>
    <n v="21447"/>
    <n v="6"/>
    <x v="1"/>
    <n v="0.13"/>
    <n v="3"/>
    <n v="1"/>
    <n v="0"/>
    <n v="15"/>
    <n v="5"/>
    <n v="3"/>
    <x v="6"/>
    <n v="0"/>
    <n v="0"/>
    <n v="0"/>
    <x v="1"/>
    <n v="0"/>
    <n v="1"/>
    <n v="0"/>
    <n v="0"/>
    <n v="0"/>
    <n v="0"/>
    <n v="0"/>
    <n v="0"/>
    <n v="0"/>
    <n v="0"/>
    <x v="2"/>
    <n v="0"/>
  </r>
  <r>
    <x v="1122"/>
    <x v="11"/>
    <x v="0"/>
    <n v="1370"/>
    <x v="1"/>
    <n v="3"/>
    <n v="1"/>
    <x v="2"/>
    <n v="2"/>
    <x v="1"/>
    <n v="87"/>
    <n v="3"/>
    <n v="1"/>
    <x v="2"/>
    <n v="1"/>
    <x v="0"/>
    <x v="1046"/>
    <n v="16213"/>
    <n v="1"/>
    <x v="0"/>
    <n v="0.18"/>
    <n v="3"/>
    <n v="4"/>
    <n v="0"/>
    <n v="10"/>
    <n v="3"/>
    <n v="3"/>
    <x v="1"/>
    <n v="9"/>
    <n v="1"/>
    <n v="5"/>
    <x v="1"/>
    <n v="1"/>
    <n v="1"/>
    <n v="0"/>
    <n v="1"/>
    <n v="0"/>
    <n v="1"/>
    <n v="1"/>
    <n v="0"/>
    <n v="20.698962067398959"/>
    <n v="0.71313126349280109"/>
    <x v="1"/>
    <n v="7084.5"/>
  </r>
  <r>
    <x v="1123"/>
    <x v="10"/>
    <x v="0"/>
    <n v="670"/>
    <x v="1"/>
    <n v="10"/>
    <n v="4"/>
    <x v="2"/>
    <n v="1"/>
    <x v="0"/>
    <n v="51"/>
    <n v="3"/>
    <n v="2"/>
    <x v="4"/>
    <n v="3"/>
    <x v="0"/>
    <x v="528"/>
    <n v="4223"/>
    <n v="3"/>
    <x v="0"/>
    <n v="0.16"/>
    <n v="3"/>
    <n v="3"/>
    <n v="0"/>
    <n v="10"/>
    <n v="4"/>
    <n v="3"/>
    <x v="8"/>
    <n v="2"/>
    <n v="0"/>
    <n v="4"/>
    <x v="1"/>
    <n v="0"/>
    <n v="1"/>
    <n v="0"/>
    <n v="1"/>
    <n v="0"/>
    <n v="0"/>
    <n v="0"/>
    <n v="0"/>
    <n v="10"/>
    <n v="0.3445251318258073"/>
    <x v="0"/>
    <n v="0"/>
  </r>
  <r>
    <x v="1124"/>
    <x v="22"/>
    <x v="0"/>
    <n v="1462"/>
    <x v="0"/>
    <n v="6"/>
    <n v="3"/>
    <x v="2"/>
    <n v="4"/>
    <x v="1"/>
    <n v="38"/>
    <n v="4"/>
    <n v="3"/>
    <x v="0"/>
    <n v="3"/>
    <x v="1"/>
    <x v="1047"/>
    <n v="4658"/>
    <n v="2"/>
    <x v="1"/>
    <n v="0.11"/>
    <n v="3"/>
    <n v="1"/>
    <n v="1"/>
    <n v="11"/>
    <n v="3"/>
    <n v="3"/>
    <x v="5"/>
    <n v="6"/>
    <n v="7"/>
    <n v="6"/>
    <x v="1"/>
    <n v="1"/>
    <n v="1"/>
    <n v="1"/>
    <n v="0"/>
    <n v="0"/>
    <n v="0"/>
    <n v="0"/>
    <n v="0"/>
    <n v="0"/>
    <n v="0"/>
    <x v="2"/>
    <n v="0"/>
  </r>
  <r>
    <x v="1125"/>
    <x v="11"/>
    <x v="1"/>
    <n v="995"/>
    <x v="1"/>
    <n v="2"/>
    <n v="1"/>
    <x v="0"/>
    <n v="1"/>
    <x v="1"/>
    <n v="87"/>
    <n v="3"/>
    <n v="2"/>
    <x v="4"/>
    <n v="4"/>
    <x v="2"/>
    <x v="1048"/>
    <n v="24483"/>
    <n v="1"/>
    <x v="1"/>
    <n v="0.19"/>
    <n v="3"/>
    <n v="4"/>
    <n v="1"/>
    <n v="6"/>
    <n v="0"/>
    <n v="4"/>
    <x v="0"/>
    <n v="4"/>
    <n v="1"/>
    <n v="3"/>
    <x v="1"/>
    <n v="1"/>
    <n v="2"/>
    <n v="2"/>
    <n v="0"/>
    <n v="0"/>
    <n v="0"/>
    <n v="0"/>
    <n v="1"/>
    <n v="5.1603899804901765"/>
    <n v="0.17778840383009531"/>
    <x v="2"/>
    <n v="0"/>
  </r>
  <r>
    <x v="1126"/>
    <x v="24"/>
    <x v="0"/>
    <n v="264"/>
    <x v="0"/>
    <n v="9"/>
    <n v="3"/>
    <x v="3"/>
    <n v="3"/>
    <x v="1"/>
    <n v="59"/>
    <n v="3"/>
    <n v="5"/>
    <x v="5"/>
    <n v="3"/>
    <x v="1"/>
    <x v="1049"/>
    <n v="19519"/>
    <n v="4"/>
    <x v="0"/>
    <n v="0.16"/>
    <n v="3"/>
    <n v="3"/>
    <n v="1"/>
    <n v="27"/>
    <n v="2"/>
    <n v="3"/>
    <x v="6"/>
    <n v="0"/>
    <n v="0"/>
    <n v="0"/>
    <x v="1"/>
    <n v="1"/>
    <n v="1"/>
    <n v="1"/>
    <n v="1"/>
    <n v="0"/>
    <n v="0"/>
    <n v="0"/>
    <n v="0"/>
    <n v="10"/>
    <n v="0.3445251318258073"/>
    <x v="0"/>
    <n v="0"/>
  </r>
  <r>
    <x v="1127"/>
    <x v="30"/>
    <x v="0"/>
    <n v="977"/>
    <x v="1"/>
    <n v="10"/>
    <n v="3"/>
    <x v="4"/>
    <n v="4"/>
    <x v="1"/>
    <n v="45"/>
    <n v="4"/>
    <n v="1"/>
    <x v="1"/>
    <n v="3"/>
    <x v="1"/>
    <x v="97"/>
    <n v="12826"/>
    <n v="2"/>
    <x v="1"/>
    <n v="0.16"/>
    <n v="3"/>
    <n v="4"/>
    <n v="1"/>
    <n v="4"/>
    <n v="2"/>
    <n v="3"/>
    <x v="4"/>
    <n v="2"/>
    <n v="2"/>
    <n v="2"/>
    <x v="1"/>
    <n v="1"/>
    <n v="1"/>
    <n v="1"/>
    <n v="0"/>
    <n v="0"/>
    <n v="0"/>
    <n v="1"/>
    <n v="0"/>
    <n v="6.4944289374208282"/>
    <n v="0.22374939857982484"/>
    <x v="2"/>
    <n v="0"/>
  </r>
  <r>
    <x v="1128"/>
    <x v="9"/>
    <x v="1"/>
    <n v="1302"/>
    <x v="1"/>
    <n v="6"/>
    <n v="4"/>
    <x v="0"/>
    <n v="1"/>
    <x v="1"/>
    <n v="80"/>
    <n v="4"/>
    <n v="2"/>
    <x v="2"/>
    <n v="1"/>
    <x v="1"/>
    <x v="622"/>
    <n v="19711"/>
    <n v="3"/>
    <x v="0"/>
    <n v="0.13"/>
    <n v="3"/>
    <n v="4"/>
    <n v="1"/>
    <n v="9"/>
    <n v="3"/>
    <n v="3"/>
    <x v="11"/>
    <n v="2"/>
    <n v="0"/>
    <n v="2"/>
    <x v="1"/>
    <n v="1"/>
    <n v="2"/>
    <n v="1"/>
    <n v="1"/>
    <n v="0"/>
    <n v="1"/>
    <n v="0"/>
    <n v="1"/>
    <n v="19.364923110468307"/>
    <n v="0.66717026874307161"/>
    <x v="1"/>
    <n v="8343"/>
  </r>
  <r>
    <x v="1129"/>
    <x v="19"/>
    <x v="0"/>
    <n v="1059"/>
    <x v="1"/>
    <n v="9"/>
    <n v="2"/>
    <x v="1"/>
    <n v="4"/>
    <x v="1"/>
    <n v="93"/>
    <n v="2"/>
    <n v="5"/>
    <x v="5"/>
    <n v="4"/>
    <x v="0"/>
    <x v="1050"/>
    <n v="26362"/>
    <n v="8"/>
    <x v="1"/>
    <n v="0.22"/>
    <n v="4"/>
    <n v="4"/>
    <n v="0"/>
    <n v="24"/>
    <n v="2"/>
    <n v="3"/>
    <x v="6"/>
    <n v="0"/>
    <n v="0"/>
    <n v="1"/>
    <x v="1"/>
    <n v="1"/>
    <n v="1"/>
    <n v="0"/>
    <n v="0"/>
    <n v="0"/>
    <n v="0"/>
    <n v="0"/>
    <n v="0"/>
    <n v="0"/>
    <n v="0"/>
    <x v="2"/>
    <n v="0"/>
  </r>
  <r>
    <x v="1130"/>
    <x v="10"/>
    <x v="0"/>
    <n v="750"/>
    <x v="1"/>
    <n v="28"/>
    <n v="3"/>
    <x v="0"/>
    <n v="2"/>
    <x v="1"/>
    <n v="46"/>
    <n v="4"/>
    <n v="2"/>
    <x v="2"/>
    <n v="3"/>
    <x v="1"/>
    <x v="21"/>
    <n v="25348"/>
    <n v="1"/>
    <x v="1"/>
    <n v="0.17"/>
    <n v="3"/>
    <n v="4"/>
    <n v="2"/>
    <n v="10"/>
    <n v="3"/>
    <n v="2"/>
    <x v="1"/>
    <n v="9"/>
    <n v="6"/>
    <n v="8"/>
    <x v="1"/>
    <n v="1"/>
    <n v="1"/>
    <n v="1"/>
    <n v="0"/>
    <n v="1"/>
    <n v="0"/>
    <n v="1"/>
    <n v="0"/>
    <n v="9.660535633296206"/>
    <n v="0.33282973125692844"/>
    <x v="0"/>
    <n v="0"/>
  </r>
  <r>
    <x v="1131"/>
    <x v="13"/>
    <x v="1"/>
    <n v="653"/>
    <x v="1"/>
    <n v="10"/>
    <n v="4"/>
    <x v="4"/>
    <n v="4"/>
    <x v="1"/>
    <n v="92"/>
    <n v="2"/>
    <n v="2"/>
    <x v="4"/>
    <n v="3"/>
    <x v="1"/>
    <x v="1051"/>
    <n v="15332"/>
    <n v="1"/>
    <x v="1"/>
    <n v="0.14000000000000001"/>
    <n v="3"/>
    <n v="2"/>
    <n v="1"/>
    <n v="8"/>
    <n v="3"/>
    <n v="2"/>
    <x v="3"/>
    <n v="2"/>
    <n v="7"/>
    <n v="7"/>
    <x v="1"/>
    <n v="1"/>
    <n v="2"/>
    <n v="1"/>
    <n v="0"/>
    <n v="0"/>
    <n v="0"/>
    <n v="0"/>
    <n v="1"/>
    <n v="5.1603899804901765"/>
    <n v="0.17778840383009531"/>
    <x v="2"/>
    <n v="0"/>
  </r>
  <r>
    <x v="1132"/>
    <x v="32"/>
    <x v="0"/>
    <n v="118"/>
    <x v="0"/>
    <n v="14"/>
    <n v="2"/>
    <x v="0"/>
    <n v="4"/>
    <x v="0"/>
    <n v="84"/>
    <n v="3"/>
    <n v="2"/>
    <x v="0"/>
    <n v="1"/>
    <x v="1"/>
    <x v="912"/>
    <n v="11262"/>
    <n v="1"/>
    <x v="1"/>
    <n v="0.15"/>
    <n v="3"/>
    <n v="3"/>
    <n v="1"/>
    <n v="5"/>
    <n v="2"/>
    <n v="3"/>
    <x v="8"/>
    <n v="4"/>
    <n v="1"/>
    <n v="2"/>
    <x v="1"/>
    <n v="0"/>
    <n v="1"/>
    <n v="1"/>
    <n v="0"/>
    <n v="0"/>
    <n v="1"/>
    <n v="1"/>
    <n v="0"/>
    <n v="10.698962067398959"/>
    <n v="0.3686061316669938"/>
    <x v="0"/>
    <n v="0"/>
  </r>
  <r>
    <x v="1133"/>
    <x v="23"/>
    <x v="0"/>
    <n v="990"/>
    <x v="1"/>
    <n v="27"/>
    <n v="3"/>
    <x v="4"/>
    <n v="4"/>
    <x v="1"/>
    <n v="87"/>
    <n v="4"/>
    <n v="1"/>
    <x v="2"/>
    <n v="2"/>
    <x v="2"/>
    <x v="204"/>
    <n v="5855"/>
    <n v="5"/>
    <x v="1"/>
    <n v="0.12"/>
    <n v="3"/>
    <n v="3"/>
    <n v="1"/>
    <n v="8"/>
    <n v="0"/>
    <n v="3"/>
    <x v="0"/>
    <n v="4"/>
    <n v="0"/>
    <n v="2"/>
    <x v="1"/>
    <n v="1"/>
    <n v="1"/>
    <n v="2"/>
    <n v="0"/>
    <n v="1"/>
    <n v="1"/>
    <n v="1"/>
    <n v="0"/>
    <n v="13.865068763274337"/>
    <n v="0.47768646434409739"/>
    <x v="0"/>
    <n v="0"/>
  </r>
  <r>
    <x v="1134"/>
    <x v="10"/>
    <x v="0"/>
    <n v="1349"/>
    <x v="1"/>
    <n v="7"/>
    <n v="2"/>
    <x v="0"/>
    <n v="3"/>
    <x v="1"/>
    <n v="63"/>
    <n v="2"/>
    <n v="1"/>
    <x v="2"/>
    <n v="4"/>
    <x v="1"/>
    <x v="1052"/>
    <n v="7713"/>
    <n v="1"/>
    <x v="1"/>
    <n v="0.18"/>
    <n v="3"/>
    <n v="4"/>
    <n v="1"/>
    <n v="1"/>
    <n v="5"/>
    <n v="2"/>
    <x v="6"/>
    <n v="0"/>
    <n v="0"/>
    <n v="1"/>
    <x v="1"/>
    <n v="1"/>
    <n v="1"/>
    <n v="1"/>
    <n v="0"/>
    <n v="0"/>
    <n v="0"/>
    <n v="1"/>
    <n v="0"/>
    <n v="6.4944289374208282"/>
    <n v="0.22374939857982484"/>
    <x v="2"/>
    <n v="0"/>
  </r>
  <r>
    <x v="1135"/>
    <x v="21"/>
    <x v="0"/>
    <n v="563"/>
    <x v="0"/>
    <n v="1"/>
    <n v="4"/>
    <x v="0"/>
    <n v="4"/>
    <x v="1"/>
    <n v="56"/>
    <n v="4"/>
    <n v="4"/>
    <x v="5"/>
    <n v="1"/>
    <x v="0"/>
    <x v="1053"/>
    <n v="3156"/>
    <n v="1"/>
    <x v="1"/>
    <n v="0.15"/>
    <n v="3"/>
    <n v="2"/>
    <n v="0"/>
    <n v="27"/>
    <n v="5"/>
    <n v="1"/>
    <x v="34"/>
    <n v="0"/>
    <n v="0"/>
    <n v="12"/>
    <x v="1"/>
    <n v="1"/>
    <n v="1"/>
    <n v="0"/>
    <n v="0"/>
    <n v="0"/>
    <n v="1"/>
    <n v="0"/>
    <n v="0"/>
    <n v="4.204533129978131"/>
    <n v="0.14485673308716898"/>
    <x v="2"/>
    <n v="0"/>
  </r>
  <r>
    <x v="1136"/>
    <x v="14"/>
    <x v="0"/>
    <n v="329"/>
    <x v="1"/>
    <n v="24"/>
    <n v="3"/>
    <x v="2"/>
    <n v="3"/>
    <x v="1"/>
    <n v="51"/>
    <n v="3"/>
    <n v="1"/>
    <x v="2"/>
    <n v="2"/>
    <x v="1"/>
    <x v="1054"/>
    <n v="7324"/>
    <n v="1"/>
    <x v="0"/>
    <n v="0.17"/>
    <n v="3"/>
    <n v="3"/>
    <n v="3"/>
    <n v="1"/>
    <n v="3"/>
    <n v="3"/>
    <x v="6"/>
    <n v="1"/>
    <n v="0"/>
    <n v="0"/>
    <x v="0"/>
    <n v="1"/>
    <n v="1"/>
    <n v="1"/>
    <n v="1"/>
    <n v="1"/>
    <n v="1"/>
    <n v="1"/>
    <n v="0"/>
    <n v="23.865068763274337"/>
    <n v="0.82221159616990469"/>
    <x v="3"/>
    <n v="3612"/>
  </r>
  <r>
    <x v="1137"/>
    <x v="15"/>
    <x v="2"/>
    <n v="457"/>
    <x v="1"/>
    <n v="26"/>
    <n v="2"/>
    <x v="1"/>
    <n v="2"/>
    <x v="0"/>
    <n v="85"/>
    <n v="2"/>
    <n v="1"/>
    <x v="1"/>
    <n v="3"/>
    <x v="1"/>
    <x v="1055"/>
    <n v="10293"/>
    <n v="1"/>
    <x v="0"/>
    <n v="0.14000000000000001"/>
    <n v="3"/>
    <n v="2"/>
    <n v="0"/>
    <n v="4"/>
    <n v="2"/>
    <n v="2"/>
    <x v="9"/>
    <n v="2"/>
    <n v="1"/>
    <n v="3"/>
    <x v="1"/>
    <n v="0"/>
    <n v="0"/>
    <n v="1"/>
    <n v="1"/>
    <n v="1"/>
    <n v="0"/>
    <n v="1"/>
    <n v="0"/>
    <n v="19.660535633296206"/>
    <n v="0.67735486308273574"/>
    <x v="1"/>
    <n v="4221"/>
  </r>
  <r>
    <x v="1138"/>
    <x v="24"/>
    <x v="1"/>
    <n v="1234"/>
    <x v="1"/>
    <n v="20"/>
    <n v="5"/>
    <x v="2"/>
    <n v="2"/>
    <x v="1"/>
    <n v="41"/>
    <n v="3"/>
    <n v="4"/>
    <x v="4"/>
    <n v="3"/>
    <x v="1"/>
    <x v="1056"/>
    <n v="20689"/>
    <n v="2"/>
    <x v="0"/>
    <n v="0.15"/>
    <n v="3"/>
    <n v="3"/>
    <n v="1"/>
    <n v="32"/>
    <n v="3"/>
    <n v="3"/>
    <x v="35"/>
    <n v="8"/>
    <n v="12"/>
    <n v="13"/>
    <x v="1"/>
    <n v="1"/>
    <n v="2"/>
    <n v="1"/>
    <n v="1"/>
    <n v="1"/>
    <n v="0"/>
    <n v="0"/>
    <n v="1"/>
    <n v="18.326496676365554"/>
    <n v="0.63139386833300615"/>
    <x v="1"/>
    <n v="16867.5"/>
  </r>
  <r>
    <x v="1139"/>
    <x v="5"/>
    <x v="0"/>
    <n v="634"/>
    <x v="1"/>
    <n v="5"/>
    <n v="4"/>
    <x v="1"/>
    <n v="2"/>
    <x v="0"/>
    <n v="35"/>
    <n v="4"/>
    <n v="1"/>
    <x v="1"/>
    <n v="4"/>
    <x v="1"/>
    <x v="1057"/>
    <n v="18783"/>
    <n v="3"/>
    <x v="1"/>
    <n v="0.17"/>
    <n v="3"/>
    <n v="4"/>
    <n v="2"/>
    <n v="6"/>
    <n v="3"/>
    <n v="3"/>
    <x v="11"/>
    <n v="2"/>
    <n v="0"/>
    <n v="2"/>
    <x v="1"/>
    <n v="0"/>
    <n v="1"/>
    <n v="1"/>
    <n v="0"/>
    <n v="0"/>
    <n v="0"/>
    <n v="1"/>
    <n v="0"/>
    <n v="6.4944289374208282"/>
    <n v="0.22374939857982484"/>
    <x v="2"/>
    <n v="0"/>
  </r>
  <r>
    <x v="1140"/>
    <x v="20"/>
    <x v="0"/>
    <n v="1313"/>
    <x v="1"/>
    <n v="7"/>
    <n v="3"/>
    <x v="2"/>
    <n v="2"/>
    <x v="0"/>
    <n v="31"/>
    <n v="3"/>
    <n v="5"/>
    <x v="7"/>
    <n v="4"/>
    <x v="2"/>
    <x v="1058"/>
    <n v="3549"/>
    <n v="0"/>
    <x v="0"/>
    <n v="0.14000000000000001"/>
    <n v="3"/>
    <n v="4"/>
    <n v="1"/>
    <n v="23"/>
    <n v="4"/>
    <n v="2"/>
    <x v="14"/>
    <n v="7"/>
    <n v="1"/>
    <n v="10"/>
    <x v="1"/>
    <n v="0"/>
    <n v="1"/>
    <n v="2"/>
    <n v="1"/>
    <n v="0"/>
    <n v="0"/>
    <n v="0"/>
    <n v="0"/>
    <n v="10"/>
    <n v="0.3445251318258073"/>
    <x v="0"/>
    <n v="0"/>
  </r>
  <r>
    <x v="1141"/>
    <x v="7"/>
    <x v="0"/>
    <n v="241"/>
    <x v="1"/>
    <n v="7"/>
    <n v="3"/>
    <x v="2"/>
    <n v="2"/>
    <x v="1"/>
    <n v="48"/>
    <n v="2"/>
    <n v="1"/>
    <x v="1"/>
    <n v="2"/>
    <x v="1"/>
    <x v="1059"/>
    <n v="5348"/>
    <n v="1"/>
    <x v="1"/>
    <n v="0.12"/>
    <n v="3"/>
    <n v="2"/>
    <n v="1"/>
    <n v="6"/>
    <n v="3"/>
    <n v="2"/>
    <x v="0"/>
    <n v="4"/>
    <n v="1"/>
    <n v="1"/>
    <x v="1"/>
    <n v="1"/>
    <n v="1"/>
    <n v="1"/>
    <n v="0"/>
    <n v="0"/>
    <n v="1"/>
    <n v="1"/>
    <n v="0"/>
    <n v="10.698962067398959"/>
    <n v="0.3686061316669938"/>
    <x v="0"/>
    <n v="0"/>
  </r>
  <r>
    <x v="1142"/>
    <x v="28"/>
    <x v="0"/>
    <n v="1015"/>
    <x v="1"/>
    <n v="5"/>
    <n v="5"/>
    <x v="2"/>
    <n v="3"/>
    <x v="0"/>
    <n v="50"/>
    <n v="1"/>
    <n v="2"/>
    <x v="2"/>
    <n v="1"/>
    <x v="0"/>
    <x v="939"/>
    <n v="23447"/>
    <n v="1"/>
    <x v="0"/>
    <n v="0.14000000000000001"/>
    <n v="3"/>
    <n v="1"/>
    <n v="0"/>
    <n v="10"/>
    <n v="3"/>
    <n v="3"/>
    <x v="1"/>
    <n v="7"/>
    <n v="1"/>
    <n v="4"/>
    <x v="1"/>
    <n v="0"/>
    <n v="1"/>
    <n v="0"/>
    <n v="1"/>
    <n v="0"/>
    <n v="1"/>
    <n v="0"/>
    <n v="0"/>
    <n v="14.204533129978131"/>
    <n v="0.48938186491297625"/>
    <x v="0"/>
    <n v="0"/>
  </r>
  <r>
    <x v="1143"/>
    <x v="28"/>
    <x v="2"/>
    <n v="336"/>
    <x v="0"/>
    <n v="26"/>
    <n v="3"/>
    <x v="3"/>
    <n v="1"/>
    <x v="1"/>
    <n v="52"/>
    <n v="2"/>
    <n v="2"/>
    <x v="0"/>
    <n v="1"/>
    <x v="1"/>
    <x v="1060"/>
    <n v="24162"/>
    <n v="1"/>
    <x v="1"/>
    <n v="0.15"/>
    <n v="3"/>
    <n v="1"/>
    <n v="1"/>
    <n v="10"/>
    <n v="2"/>
    <n v="3"/>
    <x v="1"/>
    <n v="7"/>
    <n v="4"/>
    <n v="5"/>
    <x v="1"/>
    <n v="1"/>
    <n v="0"/>
    <n v="1"/>
    <n v="0"/>
    <n v="1"/>
    <n v="1"/>
    <n v="1"/>
    <n v="0"/>
    <n v="13.865068763274337"/>
    <n v="0.47768646434409739"/>
    <x v="0"/>
    <n v="0"/>
  </r>
  <r>
    <x v="1144"/>
    <x v="12"/>
    <x v="1"/>
    <n v="715"/>
    <x v="0"/>
    <n v="2"/>
    <n v="4"/>
    <x v="1"/>
    <n v="4"/>
    <x v="1"/>
    <n v="54"/>
    <n v="3"/>
    <n v="2"/>
    <x v="0"/>
    <n v="1"/>
    <x v="0"/>
    <x v="1061"/>
    <n v="21602"/>
    <n v="7"/>
    <x v="1"/>
    <n v="0.13"/>
    <n v="3"/>
    <n v="4"/>
    <n v="0"/>
    <n v="10"/>
    <n v="3"/>
    <n v="3"/>
    <x v="8"/>
    <n v="2"/>
    <n v="0"/>
    <n v="3"/>
    <x v="1"/>
    <n v="1"/>
    <n v="2"/>
    <n v="0"/>
    <n v="0"/>
    <n v="0"/>
    <n v="1"/>
    <n v="0"/>
    <n v="1"/>
    <n v="9.3649231104683075"/>
    <n v="0.32264513691726432"/>
    <x v="0"/>
    <n v="0"/>
  </r>
  <r>
    <x v="1145"/>
    <x v="9"/>
    <x v="0"/>
    <n v="559"/>
    <x v="1"/>
    <n v="12"/>
    <n v="4"/>
    <x v="0"/>
    <n v="3"/>
    <x v="0"/>
    <n v="76"/>
    <n v="3"/>
    <n v="2"/>
    <x v="3"/>
    <n v="3"/>
    <x v="1"/>
    <x v="1062"/>
    <n v="12421"/>
    <n v="9"/>
    <x v="0"/>
    <n v="0.12"/>
    <n v="3"/>
    <n v="2"/>
    <n v="2"/>
    <n v="7"/>
    <n v="2"/>
    <n v="3"/>
    <x v="11"/>
    <n v="2"/>
    <n v="1"/>
    <n v="1"/>
    <x v="1"/>
    <n v="0"/>
    <n v="1"/>
    <n v="1"/>
    <n v="1"/>
    <n v="0"/>
    <n v="0"/>
    <n v="1"/>
    <n v="0"/>
    <n v="16.494428937420828"/>
    <n v="0.56827453040563214"/>
    <x v="1"/>
    <n v="6994.5"/>
  </r>
  <r>
    <x v="1146"/>
    <x v="13"/>
    <x v="1"/>
    <n v="426"/>
    <x v="1"/>
    <n v="10"/>
    <n v="4"/>
    <x v="0"/>
    <n v="3"/>
    <x v="1"/>
    <n v="42"/>
    <n v="4"/>
    <n v="2"/>
    <x v="3"/>
    <n v="4"/>
    <x v="2"/>
    <x v="927"/>
    <n v="17000"/>
    <n v="1"/>
    <x v="1"/>
    <n v="0.13"/>
    <n v="3"/>
    <n v="1"/>
    <n v="1"/>
    <n v="9"/>
    <n v="3"/>
    <n v="3"/>
    <x v="7"/>
    <n v="7"/>
    <n v="7"/>
    <n v="2"/>
    <x v="1"/>
    <n v="1"/>
    <n v="2"/>
    <n v="2"/>
    <n v="0"/>
    <n v="0"/>
    <n v="0"/>
    <n v="1"/>
    <n v="1"/>
    <n v="11.654818917911005"/>
    <n v="0.40153780240992015"/>
    <x v="0"/>
    <n v="0"/>
  </r>
  <r>
    <x v="1147"/>
    <x v="1"/>
    <x v="0"/>
    <n v="722"/>
    <x v="1"/>
    <n v="25"/>
    <n v="4"/>
    <x v="0"/>
    <n v="3"/>
    <x v="0"/>
    <n v="84"/>
    <n v="3"/>
    <n v="1"/>
    <x v="2"/>
    <n v="1"/>
    <x v="1"/>
    <x v="1063"/>
    <n v="22102"/>
    <n v="1"/>
    <x v="1"/>
    <n v="0.14000000000000001"/>
    <n v="3"/>
    <n v="4"/>
    <n v="1"/>
    <n v="10"/>
    <n v="3"/>
    <n v="2"/>
    <x v="7"/>
    <n v="6"/>
    <n v="1"/>
    <n v="4"/>
    <x v="1"/>
    <n v="0"/>
    <n v="1"/>
    <n v="1"/>
    <n v="0"/>
    <n v="1"/>
    <n v="1"/>
    <n v="1"/>
    <n v="0"/>
    <n v="13.865068763274337"/>
    <n v="0.47768646434409739"/>
    <x v="0"/>
    <n v="0"/>
  </r>
  <r>
    <x v="1148"/>
    <x v="22"/>
    <x v="0"/>
    <n v="1387"/>
    <x v="1"/>
    <n v="10"/>
    <n v="5"/>
    <x v="2"/>
    <n v="2"/>
    <x v="1"/>
    <n v="76"/>
    <n v="3"/>
    <n v="2"/>
    <x v="3"/>
    <n v="1"/>
    <x v="1"/>
    <x v="1064"/>
    <n v="3835"/>
    <n v="2"/>
    <x v="1"/>
    <n v="0.13"/>
    <n v="3"/>
    <n v="4"/>
    <n v="3"/>
    <n v="10"/>
    <n v="3"/>
    <n v="3"/>
    <x v="5"/>
    <n v="7"/>
    <n v="7"/>
    <n v="7"/>
    <x v="1"/>
    <n v="1"/>
    <n v="1"/>
    <n v="1"/>
    <n v="0"/>
    <n v="0"/>
    <n v="1"/>
    <n v="0"/>
    <n v="0"/>
    <n v="4.204533129978131"/>
    <n v="0.14485673308716898"/>
    <x v="2"/>
    <n v="0"/>
  </r>
  <r>
    <x v="1149"/>
    <x v="4"/>
    <x v="0"/>
    <n v="1302"/>
    <x v="1"/>
    <n v="19"/>
    <n v="3"/>
    <x v="1"/>
    <n v="4"/>
    <x v="1"/>
    <n v="67"/>
    <n v="2"/>
    <n v="1"/>
    <x v="2"/>
    <n v="1"/>
    <x v="2"/>
    <x v="1065"/>
    <n v="16290"/>
    <n v="1"/>
    <x v="1"/>
    <n v="0.11"/>
    <n v="3"/>
    <n v="1"/>
    <n v="2"/>
    <n v="7"/>
    <n v="3"/>
    <n v="3"/>
    <x v="5"/>
    <n v="7"/>
    <n v="0"/>
    <n v="7"/>
    <x v="1"/>
    <n v="1"/>
    <n v="1"/>
    <n v="2"/>
    <n v="0"/>
    <n v="1"/>
    <n v="1"/>
    <n v="1"/>
    <n v="0"/>
    <n v="13.865068763274337"/>
    <n v="0.47768646434409739"/>
    <x v="0"/>
    <n v="0"/>
  </r>
  <r>
    <x v="1150"/>
    <x v="10"/>
    <x v="0"/>
    <n v="819"/>
    <x v="1"/>
    <n v="18"/>
    <n v="5"/>
    <x v="0"/>
    <n v="2"/>
    <x v="1"/>
    <n v="48"/>
    <n v="4"/>
    <n v="2"/>
    <x v="1"/>
    <n v="1"/>
    <x v="1"/>
    <x v="1066"/>
    <n v="26312"/>
    <n v="1"/>
    <x v="1"/>
    <n v="0.11"/>
    <n v="3"/>
    <n v="4"/>
    <n v="0"/>
    <n v="16"/>
    <n v="2"/>
    <n v="3"/>
    <x v="22"/>
    <n v="15"/>
    <n v="1"/>
    <n v="10"/>
    <x v="1"/>
    <n v="1"/>
    <n v="1"/>
    <n v="1"/>
    <n v="0"/>
    <n v="1"/>
    <n v="1"/>
    <n v="0"/>
    <n v="0"/>
    <n v="7.3706398258535089"/>
    <n v="0.25393706576427255"/>
    <x v="0"/>
    <n v="0"/>
  </r>
  <r>
    <x v="1151"/>
    <x v="14"/>
    <x v="0"/>
    <n v="580"/>
    <x v="1"/>
    <n v="27"/>
    <n v="3"/>
    <x v="2"/>
    <n v="2"/>
    <x v="0"/>
    <n v="39"/>
    <n v="1"/>
    <n v="2"/>
    <x v="3"/>
    <n v="1"/>
    <x v="2"/>
    <x v="1067"/>
    <n v="20460"/>
    <n v="0"/>
    <x v="1"/>
    <n v="0.21"/>
    <n v="4"/>
    <n v="2"/>
    <n v="1"/>
    <n v="6"/>
    <n v="5"/>
    <n v="2"/>
    <x v="8"/>
    <n v="3"/>
    <n v="0"/>
    <n v="0"/>
    <x v="1"/>
    <n v="0"/>
    <n v="1"/>
    <n v="2"/>
    <n v="0"/>
    <n v="1"/>
    <n v="1"/>
    <n v="1"/>
    <n v="0"/>
    <n v="13.865068763274337"/>
    <n v="0.47768646434409739"/>
    <x v="0"/>
    <n v="0"/>
  </r>
  <r>
    <x v="1152"/>
    <x v="18"/>
    <x v="0"/>
    <n v="546"/>
    <x v="1"/>
    <n v="5"/>
    <n v="1"/>
    <x v="2"/>
    <n v="3"/>
    <x v="1"/>
    <n v="97"/>
    <n v="3"/>
    <n v="1"/>
    <x v="1"/>
    <n v="4"/>
    <x v="0"/>
    <x v="1068"/>
    <n v="26009"/>
    <n v="1"/>
    <x v="1"/>
    <n v="0.18"/>
    <n v="3"/>
    <n v="3"/>
    <n v="0"/>
    <n v="3"/>
    <n v="2"/>
    <n v="3"/>
    <x v="4"/>
    <n v="2"/>
    <n v="2"/>
    <n v="2"/>
    <x v="1"/>
    <n v="1"/>
    <n v="1"/>
    <n v="0"/>
    <n v="0"/>
    <n v="0"/>
    <n v="0"/>
    <n v="1"/>
    <n v="0"/>
    <n v="6.4944289374208282"/>
    <n v="0.22374939857982484"/>
    <x v="2"/>
    <n v="0"/>
  </r>
  <r>
    <x v="1153"/>
    <x v="41"/>
    <x v="1"/>
    <n v="544"/>
    <x v="0"/>
    <n v="3"/>
    <n v="2"/>
    <x v="2"/>
    <n v="2"/>
    <x v="0"/>
    <n v="70"/>
    <n v="3"/>
    <n v="1"/>
    <x v="6"/>
    <n v="4"/>
    <x v="0"/>
    <x v="1069"/>
    <n v="18420"/>
    <n v="1"/>
    <x v="0"/>
    <n v="0.12"/>
    <n v="3"/>
    <n v="3"/>
    <n v="0"/>
    <n v="0"/>
    <n v="2"/>
    <n v="4"/>
    <x v="2"/>
    <n v="0"/>
    <n v="0"/>
    <n v="0"/>
    <x v="0"/>
    <n v="0"/>
    <n v="2"/>
    <n v="0"/>
    <n v="1"/>
    <n v="0"/>
    <n v="0"/>
    <n v="1"/>
    <n v="1"/>
    <n v="21.654818917911005"/>
    <n v="0.74606293423572745"/>
    <x v="1"/>
    <n v="2353.5"/>
  </r>
  <r>
    <x v="1154"/>
    <x v="40"/>
    <x v="0"/>
    <n v="1176"/>
    <x v="2"/>
    <n v="26"/>
    <n v="4"/>
    <x v="0"/>
    <n v="4"/>
    <x v="0"/>
    <n v="98"/>
    <n v="3"/>
    <n v="5"/>
    <x v="5"/>
    <n v="3"/>
    <x v="1"/>
    <x v="1070"/>
    <n v="5220"/>
    <n v="3"/>
    <x v="1"/>
    <n v="0.11"/>
    <n v="3"/>
    <n v="3"/>
    <n v="1"/>
    <n v="27"/>
    <n v="2"/>
    <n v="3"/>
    <x v="8"/>
    <n v="2"/>
    <n v="1"/>
    <n v="0"/>
    <x v="1"/>
    <n v="0"/>
    <n v="1"/>
    <n v="1"/>
    <n v="0"/>
    <n v="1"/>
    <n v="0"/>
    <n v="0"/>
    <n v="0"/>
    <n v="3.1661066958753779"/>
    <n v="0.10908033267710357"/>
    <x v="2"/>
    <n v="0"/>
  </r>
  <r>
    <x v="1155"/>
    <x v="22"/>
    <x v="0"/>
    <n v="170"/>
    <x v="1"/>
    <n v="3"/>
    <n v="2"/>
    <x v="2"/>
    <n v="3"/>
    <x v="1"/>
    <n v="76"/>
    <n v="2"/>
    <n v="2"/>
    <x v="2"/>
    <n v="3"/>
    <x v="2"/>
    <x v="1071"/>
    <n v="10302"/>
    <n v="0"/>
    <x v="1"/>
    <n v="0.15"/>
    <n v="3"/>
    <n v="4"/>
    <n v="1"/>
    <n v="11"/>
    <n v="3"/>
    <n v="3"/>
    <x v="1"/>
    <n v="8"/>
    <n v="0"/>
    <n v="7"/>
    <x v="1"/>
    <n v="1"/>
    <n v="1"/>
    <n v="2"/>
    <n v="0"/>
    <n v="0"/>
    <n v="0"/>
    <n v="1"/>
    <n v="0"/>
    <n v="6.4944289374208282"/>
    <n v="0.22374939857982484"/>
    <x v="2"/>
    <n v="0"/>
  </r>
  <r>
    <x v="1156"/>
    <x v="32"/>
    <x v="0"/>
    <n v="884"/>
    <x v="1"/>
    <n v="15"/>
    <n v="3"/>
    <x v="0"/>
    <n v="1"/>
    <x v="0"/>
    <n v="80"/>
    <n v="2"/>
    <n v="3"/>
    <x v="3"/>
    <n v="3"/>
    <x v="1"/>
    <x v="1072"/>
    <n v="25800"/>
    <n v="1"/>
    <x v="1"/>
    <n v="0.13"/>
    <n v="3"/>
    <n v="4"/>
    <n v="2"/>
    <n v="18"/>
    <n v="2"/>
    <n v="3"/>
    <x v="29"/>
    <n v="15"/>
    <n v="14"/>
    <n v="12"/>
    <x v="1"/>
    <n v="0"/>
    <n v="1"/>
    <n v="1"/>
    <n v="0"/>
    <n v="0"/>
    <n v="0"/>
    <n v="0"/>
    <n v="0"/>
    <n v="0"/>
    <n v="0"/>
    <x v="2"/>
    <n v="0"/>
  </r>
  <r>
    <x v="1157"/>
    <x v="10"/>
    <x v="2"/>
    <n v="208"/>
    <x v="1"/>
    <n v="8"/>
    <n v="4"/>
    <x v="0"/>
    <n v="3"/>
    <x v="0"/>
    <n v="52"/>
    <n v="3"/>
    <n v="2"/>
    <x v="4"/>
    <n v="3"/>
    <x v="1"/>
    <x v="691"/>
    <n v="12250"/>
    <n v="1"/>
    <x v="1"/>
    <n v="0.12"/>
    <n v="3"/>
    <n v="4"/>
    <n v="1"/>
    <n v="15"/>
    <n v="5"/>
    <n v="3"/>
    <x v="13"/>
    <n v="11"/>
    <n v="2"/>
    <n v="9"/>
    <x v="1"/>
    <n v="0"/>
    <n v="0"/>
    <n v="1"/>
    <n v="0"/>
    <n v="0"/>
    <n v="0"/>
    <n v="1"/>
    <n v="0"/>
    <n v="6.4944289374208282"/>
    <n v="0.22374939857982484"/>
    <x v="2"/>
    <n v="0"/>
  </r>
  <r>
    <x v="1158"/>
    <x v="2"/>
    <x v="0"/>
    <n v="671"/>
    <x v="1"/>
    <n v="19"/>
    <n v="3"/>
    <x v="0"/>
    <n v="3"/>
    <x v="1"/>
    <n v="85"/>
    <n v="3"/>
    <n v="2"/>
    <x v="3"/>
    <n v="3"/>
    <x v="1"/>
    <x v="1073"/>
    <n v="26493"/>
    <n v="3"/>
    <x v="1"/>
    <n v="0.17"/>
    <n v="3"/>
    <n v="1"/>
    <n v="3"/>
    <n v="9"/>
    <n v="2"/>
    <n v="2"/>
    <x v="9"/>
    <n v="3"/>
    <n v="0"/>
    <n v="2"/>
    <x v="1"/>
    <n v="1"/>
    <n v="1"/>
    <n v="1"/>
    <n v="0"/>
    <n v="1"/>
    <n v="0"/>
    <n v="0"/>
    <n v="0"/>
    <n v="3.1661066958753779"/>
    <n v="0.10908033267710357"/>
    <x v="2"/>
    <n v="0"/>
  </r>
  <r>
    <x v="1159"/>
    <x v="22"/>
    <x v="1"/>
    <n v="711"/>
    <x v="1"/>
    <n v="4"/>
    <n v="3"/>
    <x v="2"/>
    <n v="1"/>
    <x v="0"/>
    <n v="81"/>
    <n v="3"/>
    <n v="2"/>
    <x v="3"/>
    <n v="3"/>
    <x v="0"/>
    <x v="1074"/>
    <n v="3140"/>
    <n v="0"/>
    <x v="1"/>
    <n v="0.13"/>
    <n v="3"/>
    <n v="4"/>
    <n v="0"/>
    <n v="10"/>
    <n v="2"/>
    <n v="1"/>
    <x v="7"/>
    <n v="2"/>
    <n v="3"/>
    <n v="8"/>
    <x v="1"/>
    <n v="0"/>
    <n v="2"/>
    <n v="0"/>
    <n v="0"/>
    <n v="0"/>
    <n v="0"/>
    <n v="0"/>
    <n v="1"/>
    <n v="5.1603899804901765"/>
    <n v="0.17778840383009531"/>
    <x v="2"/>
    <n v="0"/>
  </r>
  <r>
    <x v="1160"/>
    <x v="28"/>
    <x v="0"/>
    <n v="1329"/>
    <x v="1"/>
    <n v="2"/>
    <n v="2"/>
    <x v="1"/>
    <n v="4"/>
    <x v="0"/>
    <n v="59"/>
    <n v="2"/>
    <n v="2"/>
    <x v="3"/>
    <n v="4"/>
    <x v="2"/>
    <x v="1075"/>
    <n v="5388"/>
    <n v="1"/>
    <x v="1"/>
    <n v="0.19"/>
    <n v="3"/>
    <n v="1"/>
    <n v="2"/>
    <n v="10"/>
    <n v="3"/>
    <n v="3"/>
    <x v="1"/>
    <n v="7"/>
    <n v="3"/>
    <n v="9"/>
    <x v="1"/>
    <n v="0"/>
    <n v="1"/>
    <n v="2"/>
    <n v="0"/>
    <n v="0"/>
    <n v="0"/>
    <n v="0"/>
    <n v="0"/>
    <n v="0"/>
    <n v="0"/>
    <x v="2"/>
    <n v="0"/>
  </r>
  <r>
    <x v="1161"/>
    <x v="8"/>
    <x v="0"/>
    <n v="397"/>
    <x v="1"/>
    <n v="2"/>
    <n v="2"/>
    <x v="2"/>
    <n v="4"/>
    <x v="0"/>
    <n v="54"/>
    <n v="2"/>
    <n v="3"/>
    <x v="3"/>
    <n v="3"/>
    <x v="1"/>
    <x v="751"/>
    <n v="14199"/>
    <n v="3"/>
    <x v="0"/>
    <n v="0.19"/>
    <n v="3"/>
    <n v="4"/>
    <n v="1"/>
    <n v="10"/>
    <n v="6"/>
    <n v="4"/>
    <x v="8"/>
    <n v="4"/>
    <n v="0"/>
    <n v="2"/>
    <x v="1"/>
    <n v="0"/>
    <n v="1"/>
    <n v="1"/>
    <n v="1"/>
    <n v="0"/>
    <n v="0"/>
    <n v="0"/>
    <n v="0"/>
    <n v="10"/>
    <n v="0.3445251318258073"/>
    <x v="0"/>
    <n v="0"/>
  </r>
  <r>
    <x v="1162"/>
    <x v="10"/>
    <x v="0"/>
    <n v="737"/>
    <x v="0"/>
    <n v="10"/>
    <n v="3"/>
    <x v="2"/>
    <n v="4"/>
    <x v="1"/>
    <n v="55"/>
    <n v="2"/>
    <n v="3"/>
    <x v="0"/>
    <n v="1"/>
    <x v="1"/>
    <x v="1076"/>
    <n v="21530"/>
    <n v="9"/>
    <x v="1"/>
    <n v="0.17"/>
    <n v="3"/>
    <n v="3"/>
    <n v="0"/>
    <n v="15"/>
    <n v="3"/>
    <n v="3"/>
    <x v="20"/>
    <n v="12"/>
    <n v="6"/>
    <n v="0"/>
    <x v="0"/>
    <n v="1"/>
    <n v="1"/>
    <n v="1"/>
    <n v="0"/>
    <n v="0"/>
    <n v="1"/>
    <n v="0"/>
    <n v="0"/>
    <n v="4.204533129978131"/>
    <n v="0.14485673308716898"/>
    <x v="2"/>
    <n v="0"/>
  </r>
  <r>
    <x v="1163"/>
    <x v="2"/>
    <x v="0"/>
    <n v="1470"/>
    <x v="1"/>
    <n v="10"/>
    <n v="3"/>
    <x v="2"/>
    <n v="2"/>
    <x v="0"/>
    <n v="71"/>
    <n v="3"/>
    <n v="1"/>
    <x v="1"/>
    <n v="2"/>
    <x v="1"/>
    <x v="1077"/>
    <n v="9953"/>
    <n v="1"/>
    <x v="1"/>
    <n v="0.11"/>
    <n v="3"/>
    <n v="1"/>
    <n v="1"/>
    <n v="8"/>
    <n v="2"/>
    <n v="1"/>
    <x v="3"/>
    <n v="4"/>
    <n v="7"/>
    <n v="7"/>
    <x v="1"/>
    <n v="0"/>
    <n v="1"/>
    <n v="1"/>
    <n v="0"/>
    <n v="0"/>
    <n v="1"/>
    <n v="1"/>
    <n v="0"/>
    <n v="10.698962067398959"/>
    <n v="0.3686061316669938"/>
    <x v="0"/>
    <n v="0"/>
  </r>
  <r>
    <x v="1164"/>
    <x v="32"/>
    <x v="0"/>
    <n v="448"/>
    <x v="1"/>
    <n v="16"/>
    <n v="3"/>
    <x v="0"/>
    <n v="3"/>
    <x v="0"/>
    <n v="84"/>
    <n v="3"/>
    <n v="3"/>
    <x v="3"/>
    <n v="4"/>
    <x v="0"/>
    <x v="1078"/>
    <n v="19948"/>
    <n v="6"/>
    <x v="0"/>
    <n v="0.15"/>
    <n v="3"/>
    <n v="4"/>
    <n v="0"/>
    <n v="18"/>
    <n v="2"/>
    <n v="2"/>
    <x v="9"/>
    <n v="2"/>
    <n v="3"/>
    <n v="3"/>
    <x v="1"/>
    <n v="0"/>
    <n v="1"/>
    <n v="0"/>
    <n v="1"/>
    <n v="1"/>
    <n v="0"/>
    <n v="0"/>
    <n v="0"/>
    <n v="13.166106695875378"/>
    <n v="0.45360546450291089"/>
    <x v="0"/>
    <n v="0"/>
  </r>
  <r>
    <x v="1165"/>
    <x v="20"/>
    <x v="1"/>
    <n v="602"/>
    <x v="2"/>
    <n v="1"/>
    <n v="5"/>
    <x v="5"/>
    <n v="1"/>
    <x v="1"/>
    <n v="37"/>
    <n v="3"/>
    <n v="2"/>
    <x v="8"/>
    <n v="4"/>
    <x v="1"/>
    <x v="1079"/>
    <n v="10503"/>
    <n v="4"/>
    <x v="0"/>
    <n v="0.11"/>
    <n v="3"/>
    <n v="3"/>
    <n v="0"/>
    <n v="14"/>
    <n v="3"/>
    <n v="3"/>
    <x v="1"/>
    <n v="7"/>
    <n v="0"/>
    <n v="2"/>
    <x v="1"/>
    <n v="1"/>
    <n v="2"/>
    <n v="1"/>
    <n v="1"/>
    <n v="0"/>
    <n v="0"/>
    <n v="0"/>
    <n v="1"/>
    <n v="15.160389980490176"/>
    <n v="0.52231353565590266"/>
    <x v="1"/>
    <n v="8614.5"/>
  </r>
  <r>
    <x v="1166"/>
    <x v="26"/>
    <x v="1"/>
    <n v="365"/>
    <x v="1"/>
    <n v="4"/>
    <n v="5"/>
    <x v="2"/>
    <n v="3"/>
    <x v="1"/>
    <n v="89"/>
    <n v="2"/>
    <n v="4"/>
    <x v="5"/>
    <n v="4"/>
    <x v="1"/>
    <x v="1080"/>
    <n v="5602"/>
    <n v="2"/>
    <x v="1"/>
    <n v="0.25"/>
    <n v="4"/>
    <n v="2"/>
    <n v="1"/>
    <n v="23"/>
    <n v="3"/>
    <n v="3"/>
    <x v="4"/>
    <n v="2"/>
    <n v="2"/>
    <n v="2"/>
    <x v="1"/>
    <n v="1"/>
    <n v="2"/>
    <n v="1"/>
    <n v="0"/>
    <n v="0"/>
    <n v="0"/>
    <n v="0"/>
    <n v="1"/>
    <n v="5.1603899804901765"/>
    <n v="0.17778840383009531"/>
    <x v="2"/>
    <n v="0"/>
  </r>
  <r>
    <x v="1167"/>
    <x v="10"/>
    <x v="0"/>
    <n v="763"/>
    <x v="0"/>
    <n v="15"/>
    <n v="2"/>
    <x v="2"/>
    <n v="1"/>
    <x v="1"/>
    <n v="59"/>
    <n v="1"/>
    <n v="2"/>
    <x v="0"/>
    <n v="4"/>
    <x v="2"/>
    <x v="1081"/>
    <n v="22098"/>
    <n v="6"/>
    <x v="0"/>
    <n v="0.14000000000000001"/>
    <n v="3"/>
    <n v="4"/>
    <n v="2"/>
    <n v="7"/>
    <n v="2"/>
    <n v="2"/>
    <x v="4"/>
    <n v="2"/>
    <n v="2"/>
    <n v="2"/>
    <x v="0"/>
    <n v="1"/>
    <n v="1"/>
    <n v="2"/>
    <n v="1"/>
    <n v="0"/>
    <n v="0"/>
    <n v="0"/>
    <n v="0"/>
    <n v="10"/>
    <n v="0.3445251318258073"/>
    <x v="0"/>
    <n v="0"/>
  </r>
  <r>
    <x v="1168"/>
    <x v="17"/>
    <x v="1"/>
    <n v="567"/>
    <x v="1"/>
    <n v="2"/>
    <n v="1"/>
    <x v="4"/>
    <n v="1"/>
    <x v="0"/>
    <n v="32"/>
    <n v="3"/>
    <n v="1"/>
    <x v="1"/>
    <n v="4"/>
    <x v="0"/>
    <x v="841"/>
    <n v="17218"/>
    <n v="1"/>
    <x v="0"/>
    <n v="0.13"/>
    <n v="3"/>
    <n v="3"/>
    <n v="0"/>
    <n v="6"/>
    <n v="2"/>
    <n v="3"/>
    <x v="0"/>
    <n v="3"/>
    <n v="1"/>
    <n v="3"/>
    <x v="1"/>
    <n v="0"/>
    <n v="2"/>
    <n v="0"/>
    <n v="1"/>
    <n v="0"/>
    <n v="0"/>
    <n v="1"/>
    <n v="1"/>
    <n v="21.654818917911005"/>
    <n v="0.74606293423572745"/>
    <x v="1"/>
    <n v="5640"/>
  </r>
  <r>
    <x v="1169"/>
    <x v="4"/>
    <x v="0"/>
    <n v="486"/>
    <x v="1"/>
    <n v="8"/>
    <n v="3"/>
    <x v="2"/>
    <n v="2"/>
    <x v="0"/>
    <n v="86"/>
    <n v="4"/>
    <n v="1"/>
    <x v="1"/>
    <n v="3"/>
    <x v="1"/>
    <x v="1082"/>
    <n v="22490"/>
    <n v="7"/>
    <x v="1"/>
    <n v="0.17"/>
    <n v="3"/>
    <n v="1"/>
    <n v="0"/>
    <n v="5"/>
    <n v="0"/>
    <n v="3"/>
    <x v="11"/>
    <n v="2"/>
    <n v="0"/>
    <n v="2"/>
    <x v="1"/>
    <n v="0"/>
    <n v="1"/>
    <n v="1"/>
    <n v="0"/>
    <n v="0"/>
    <n v="0"/>
    <n v="1"/>
    <n v="0"/>
    <n v="6.4944289374208282"/>
    <n v="0.22374939857982484"/>
    <x v="2"/>
    <n v="0"/>
  </r>
  <r>
    <x v="1170"/>
    <x v="4"/>
    <x v="1"/>
    <n v="591"/>
    <x v="1"/>
    <n v="2"/>
    <n v="3"/>
    <x v="2"/>
    <n v="4"/>
    <x v="1"/>
    <n v="87"/>
    <n v="3"/>
    <n v="1"/>
    <x v="1"/>
    <n v="4"/>
    <x v="0"/>
    <x v="1083"/>
    <n v="6297"/>
    <n v="2"/>
    <x v="1"/>
    <n v="0.13"/>
    <n v="3"/>
    <n v="3"/>
    <n v="0"/>
    <n v="6"/>
    <n v="0"/>
    <n v="2"/>
    <x v="9"/>
    <n v="2"/>
    <n v="1"/>
    <n v="2"/>
    <x v="1"/>
    <n v="1"/>
    <n v="2"/>
    <n v="0"/>
    <n v="0"/>
    <n v="0"/>
    <n v="0"/>
    <n v="1"/>
    <n v="1"/>
    <n v="11.654818917911005"/>
    <n v="0.40153780240992015"/>
    <x v="0"/>
    <n v="0"/>
  </r>
  <r>
    <x v="1171"/>
    <x v="32"/>
    <x v="0"/>
    <n v="1329"/>
    <x v="1"/>
    <n v="7"/>
    <n v="3"/>
    <x v="0"/>
    <n v="1"/>
    <x v="1"/>
    <n v="73"/>
    <n v="3"/>
    <n v="1"/>
    <x v="2"/>
    <n v="1"/>
    <x v="0"/>
    <x v="1084"/>
    <n v="3339"/>
    <n v="3"/>
    <x v="0"/>
    <n v="0.14000000000000001"/>
    <n v="3"/>
    <n v="2"/>
    <n v="0"/>
    <n v="10"/>
    <n v="3"/>
    <n v="1"/>
    <x v="9"/>
    <n v="2"/>
    <n v="0"/>
    <n v="3"/>
    <x v="0"/>
    <n v="1"/>
    <n v="1"/>
    <n v="0"/>
    <n v="1"/>
    <n v="0"/>
    <n v="1"/>
    <n v="1"/>
    <n v="0"/>
    <n v="20.698962067398959"/>
    <n v="0.71313126349280109"/>
    <x v="1"/>
    <n v="3249"/>
  </r>
  <r>
    <x v="1172"/>
    <x v="11"/>
    <x v="0"/>
    <n v="469"/>
    <x v="0"/>
    <n v="10"/>
    <n v="3"/>
    <x v="2"/>
    <n v="3"/>
    <x v="1"/>
    <n v="42"/>
    <n v="2"/>
    <n v="2"/>
    <x v="0"/>
    <n v="3"/>
    <x v="0"/>
    <x v="1085"/>
    <n v="23413"/>
    <n v="9"/>
    <x v="1"/>
    <n v="0.11"/>
    <n v="3"/>
    <n v="3"/>
    <n v="0"/>
    <n v="8"/>
    <n v="2"/>
    <n v="3"/>
    <x v="8"/>
    <n v="2"/>
    <n v="1"/>
    <n v="4"/>
    <x v="1"/>
    <n v="1"/>
    <n v="1"/>
    <n v="0"/>
    <n v="0"/>
    <n v="0"/>
    <n v="0"/>
    <n v="0"/>
    <n v="0"/>
    <n v="0"/>
    <n v="0"/>
    <x v="2"/>
    <n v="0"/>
  </r>
  <r>
    <x v="1173"/>
    <x v="9"/>
    <x v="0"/>
    <n v="711"/>
    <x v="1"/>
    <n v="5"/>
    <n v="4"/>
    <x v="0"/>
    <n v="2"/>
    <x v="0"/>
    <n v="42"/>
    <n v="3"/>
    <n v="3"/>
    <x v="4"/>
    <n v="1"/>
    <x v="1"/>
    <x v="1086"/>
    <n v="22792"/>
    <n v="4"/>
    <x v="1"/>
    <n v="0.12"/>
    <n v="3"/>
    <n v="3"/>
    <n v="2"/>
    <n v="9"/>
    <n v="6"/>
    <n v="3"/>
    <x v="11"/>
    <n v="2"/>
    <n v="0"/>
    <n v="2"/>
    <x v="1"/>
    <n v="0"/>
    <n v="1"/>
    <n v="1"/>
    <n v="0"/>
    <n v="0"/>
    <n v="1"/>
    <n v="0"/>
    <n v="0"/>
    <n v="4.204533129978131"/>
    <n v="0.14485673308716898"/>
    <x v="2"/>
    <n v="0"/>
  </r>
  <r>
    <x v="1174"/>
    <x v="36"/>
    <x v="1"/>
    <n v="772"/>
    <x v="1"/>
    <n v="2"/>
    <n v="1"/>
    <x v="0"/>
    <n v="4"/>
    <x v="1"/>
    <n v="77"/>
    <n v="4"/>
    <n v="2"/>
    <x v="3"/>
    <n v="3"/>
    <x v="2"/>
    <x v="1087"/>
    <n v="4973"/>
    <n v="1"/>
    <x v="1"/>
    <n v="0.17"/>
    <n v="3"/>
    <n v="3"/>
    <n v="2"/>
    <n v="7"/>
    <n v="6"/>
    <n v="3"/>
    <x v="5"/>
    <n v="7"/>
    <n v="0"/>
    <n v="7"/>
    <x v="1"/>
    <n v="1"/>
    <n v="2"/>
    <n v="2"/>
    <n v="0"/>
    <n v="0"/>
    <n v="0"/>
    <n v="0"/>
    <n v="1"/>
    <n v="5.1603899804901765"/>
    <n v="0.17778840383009531"/>
    <x v="2"/>
    <n v="0"/>
  </r>
  <r>
    <x v="1175"/>
    <x v="22"/>
    <x v="0"/>
    <n v="492"/>
    <x v="1"/>
    <n v="12"/>
    <n v="3"/>
    <x v="2"/>
    <n v="4"/>
    <x v="1"/>
    <n v="66"/>
    <n v="3"/>
    <n v="2"/>
    <x v="3"/>
    <n v="2"/>
    <x v="1"/>
    <x v="1088"/>
    <n v="7693"/>
    <n v="4"/>
    <x v="1"/>
    <n v="0.21"/>
    <n v="4"/>
    <n v="3"/>
    <n v="0"/>
    <n v="7"/>
    <n v="3"/>
    <n v="3"/>
    <x v="8"/>
    <n v="4"/>
    <n v="1"/>
    <n v="0"/>
    <x v="1"/>
    <n v="1"/>
    <n v="1"/>
    <n v="1"/>
    <n v="0"/>
    <n v="0"/>
    <n v="1"/>
    <n v="0"/>
    <n v="0"/>
    <n v="4.204533129978131"/>
    <n v="0.14485673308716898"/>
    <x v="2"/>
    <n v="0"/>
  </r>
  <r>
    <x v="1176"/>
    <x v="1"/>
    <x v="0"/>
    <n v="301"/>
    <x v="1"/>
    <n v="22"/>
    <n v="4"/>
    <x v="1"/>
    <n v="1"/>
    <x v="0"/>
    <n v="72"/>
    <n v="3"/>
    <n v="4"/>
    <x v="7"/>
    <n v="2"/>
    <x v="1"/>
    <x v="1089"/>
    <n v="3498"/>
    <n v="3"/>
    <x v="1"/>
    <n v="0.16"/>
    <n v="3"/>
    <n v="2"/>
    <n v="2"/>
    <n v="27"/>
    <n v="2"/>
    <n v="3"/>
    <x v="9"/>
    <n v="2"/>
    <n v="1"/>
    <n v="2"/>
    <x v="1"/>
    <n v="0"/>
    <n v="1"/>
    <n v="1"/>
    <n v="0"/>
    <n v="1"/>
    <n v="1"/>
    <n v="0"/>
    <n v="0"/>
    <n v="7.3706398258535089"/>
    <n v="0.25393706576427255"/>
    <x v="0"/>
    <n v="0"/>
  </r>
  <r>
    <x v="1177"/>
    <x v="24"/>
    <x v="0"/>
    <n v="813"/>
    <x v="1"/>
    <n v="17"/>
    <n v="5"/>
    <x v="0"/>
    <n v="4"/>
    <x v="0"/>
    <n v="50"/>
    <n v="2"/>
    <n v="3"/>
    <x v="7"/>
    <n v="1"/>
    <x v="2"/>
    <x v="1090"/>
    <n v="21981"/>
    <n v="5"/>
    <x v="1"/>
    <n v="0.15"/>
    <n v="3"/>
    <n v="3"/>
    <n v="3"/>
    <n v="19"/>
    <n v="3"/>
    <n v="3"/>
    <x v="13"/>
    <n v="11"/>
    <n v="1"/>
    <n v="11"/>
    <x v="1"/>
    <n v="0"/>
    <n v="1"/>
    <n v="2"/>
    <n v="0"/>
    <n v="1"/>
    <n v="1"/>
    <n v="0"/>
    <n v="0"/>
    <n v="7.3706398258535089"/>
    <n v="0.25393706576427255"/>
    <x v="0"/>
    <n v="0"/>
  </r>
  <r>
    <x v="1178"/>
    <x v="35"/>
    <x v="0"/>
    <n v="1141"/>
    <x v="0"/>
    <n v="2"/>
    <n v="3"/>
    <x v="2"/>
    <n v="3"/>
    <x v="0"/>
    <n v="31"/>
    <n v="3"/>
    <n v="1"/>
    <x v="6"/>
    <n v="3"/>
    <x v="0"/>
    <x v="1091"/>
    <n v="13251"/>
    <n v="1"/>
    <x v="1"/>
    <n v="0.19"/>
    <n v="3"/>
    <n v="1"/>
    <n v="0"/>
    <n v="2"/>
    <n v="3"/>
    <n v="3"/>
    <x v="4"/>
    <n v="2"/>
    <n v="2"/>
    <n v="2"/>
    <x v="1"/>
    <n v="0"/>
    <n v="1"/>
    <n v="0"/>
    <n v="0"/>
    <n v="0"/>
    <n v="0"/>
    <n v="1"/>
    <n v="0"/>
    <n v="6.4944289374208282"/>
    <n v="0.22374939857982484"/>
    <x v="2"/>
    <n v="0"/>
  </r>
  <r>
    <x v="1179"/>
    <x v="13"/>
    <x v="0"/>
    <n v="1130"/>
    <x v="1"/>
    <n v="3"/>
    <n v="3"/>
    <x v="0"/>
    <n v="4"/>
    <x v="0"/>
    <n v="66"/>
    <n v="3"/>
    <n v="2"/>
    <x v="1"/>
    <n v="2"/>
    <x v="2"/>
    <x v="1092"/>
    <n v="19332"/>
    <n v="1"/>
    <x v="1"/>
    <n v="0.12"/>
    <n v="3"/>
    <n v="3"/>
    <n v="1"/>
    <n v="11"/>
    <n v="2"/>
    <n v="3"/>
    <x v="19"/>
    <n v="8"/>
    <n v="7"/>
    <n v="9"/>
    <x v="1"/>
    <n v="0"/>
    <n v="1"/>
    <n v="2"/>
    <n v="0"/>
    <n v="0"/>
    <n v="1"/>
    <n v="0"/>
    <n v="0"/>
    <n v="4.204533129978131"/>
    <n v="0.14485673308716898"/>
    <x v="2"/>
    <n v="0"/>
  </r>
  <r>
    <x v="1180"/>
    <x v="9"/>
    <x v="0"/>
    <n v="311"/>
    <x v="1"/>
    <n v="7"/>
    <n v="3"/>
    <x v="0"/>
    <n v="1"/>
    <x v="1"/>
    <n v="77"/>
    <n v="3"/>
    <n v="1"/>
    <x v="2"/>
    <n v="2"/>
    <x v="0"/>
    <x v="1093"/>
    <n v="10950"/>
    <n v="2"/>
    <x v="1"/>
    <n v="0.11"/>
    <n v="3"/>
    <n v="3"/>
    <n v="0"/>
    <n v="15"/>
    <n v="4"/>
    <n v="3"/>
    <x v="9"/>
    <n v="3"/>
    <n v="1"/>
    <n v="3"/>
    <x v="1"/>
    <n v="1"/>
    <n v="1"/>
    <n v="0"/>
    <n v="0"/>
    <n v="0"/>
    <n v="1"/>
    <n v="1"/>
    <n v="0"/>
    <n v="10.698962067398959"/>
    <n v="0.3686061316669938"/>
    <x v="0"/>
    <n v="0"/>
  </r>
  <r>
    <x v="1181"/>
    <x v="1"/>
    <x v="0"/>
    <n v="465"/>
    <x v="1"/>
    <n v="6"/>
    <n v="1"/>
    <x v="0"/>
    <n v="3"/>
    <x v="0"/>
    <n v="41"/>
    <n v="2"/>
    <n v="4"/>
    <x v="4"/>
    <n v="3"/>
    <x v="1"/>
    <x v="1094"/>
    <n v="11652"/>
    <n v="2"/>
    <x v="0"/>
    <n v="0.19"/>
    <n v="3"/>
    <n v="2"/>
    <n v="1"/>
    <n v="30"/>
    <n v="3"/>
    <n v="3"/>
    <x v="15"/>
    <n v="11"/>
    <n v="2"/>
    <n v="12"/>
    <x v="1"/>
    <n v="0"/>
    <n v="1"/>
    <n v="1"/>
    <n v="1"/>
    <n v="0"/>
    <n v="0"/>
    <n v="0"/>
    <n v="0"/>
    <n v="10"/>
    <n v="0.3445251318258073"/>
    <x v="0"/>
    <n v="0"/>
  </r>
  <r>
    <x v="1182"/>
    <x v="9"/>
    <x v="2"/>
    <n v="894"/>
    <x v="1"/>
    <n v="1"/>
    <n v="4"/>
    <x v="2"/>
    <n v="4"/>
    <x v="0"/>
    <n v="33"/>
    <n v="2"/>
    <n v="2"/>
    <x v="3"/>
    <n v="3"/>
    <x v="1"/>
    <x v="1095"/>
    <n v="15411"/>
    <n v="0"/>
    <x v="1"/>
    <n v="0.15"/>
    <n v="3"/>
    <n v="3"/>
    <n v="0"/>
    <n v="4"/>
    <n v="6"/>
    <n v="3"/>
    <x v="11"/>
    <n v="2"/>
    <n v="1"/>
    <n v="2"/>
    <x v="1"/>
    <n v="0"/>
    <n v="0"/>
    <n v="1"/>
    <n v="0"/>
    <n v="0"/>
    <n v="0"/>
    <n v="1"/>
    <n v="0"/>
    <n v="6.4944289374208282"/>
    <n v="0.22374939857982484"/>
    <x v="2"/>
    <n v="0"/>
  </r>
  <r>
    <x v="1183"/>
    <x v="9"/>
    <x v="0"/>
    <n v="1040"/>
    <x v="1"/>
    <n v="3"/>
    <n v="2"/>
    <x v="0"/>
    <n v="4"/>
    <x v="1"/>
    <n v="79"/>
    <n v="4"/>
    <n v="2"/>
    <x v="4"/>
    <n v="1"/>
    <x v="2"/>
    <x v="1096"/>
    <n v="26308"/>
    <n v="6"/>
    <x v="1"/>
    <n v="0.2"/>
    <n v="4"/>
    <n v="1"/>
    <n v="1"/>
    <n v="13"/>
    <n v="3"/>
    <n v="3"/>
    <x v="8"/>
    <n v="4"/>
    <n v="0"/>
    <n v="4"/>
    <x v="1"/>
    <n v="1"/>
    <n v="1"/>
    <n v="2"/>
    <n v="0"/>
    <n v="0"/>
    <n v="1"/>
    <n v="0"/>
    <n v="0"/>
    <n v="4.204533129978131"/>
    <n v="0.14485673308716898"/>
    <x v="2"/>
    <n v="0"/>
  </r>
  <r>
    <x v="1184"/>
    <x v="33"/>
    <x v="0"/>
    <n v="584"/>
    <x v="1"/>
    <n v="22"/>
    <n v="5"/>
    <x v="2"/>
    <n v="2"/>
    <x v="0"/>
    <n v="91"/>
    <n v="3"/>
    <n v="4"/>
    <x v="5"/>
    <n v="3"/>
    <x v="1"/>
    <x v="1097"/>
    <n v="18685"/>
    <n v="3"/>
    <x v="1"/>
    <n v="0.25"/>
    <n v="4"/>
    <n v="3"/>
    <n v="1"/>
    <n v="36"/>
    <n v="6"/>
    <n v="3"/>
    <x v="1"/>
    <n v="8"/>
    <n v="4"/>
    <n v="7"/>
    <x v="1"/>
    <n v="0"/>
    <n v="1"/>
    <n v="1"/>
    <n v="0"/>
    <n v="1"/>
    <n v="0"/>
    <n v="0"/>
    <n v="0"/>
    <n v="3.1661066958753779"/>
    <n v="0.10908033267710357"/>
    <x v="2"/>
    <n v="0"/>
  </r>
  <r>
    <x v="1185"/>
    <x v="23"/>
    <x v="0"/>
    <n v="1291"/>
    <x v="1"/>
    <n v="15"/>
    <n v="2"/>
    <x v="0"/>
    <n v="3"/>
    <x v="1"/>
    <n v="65"/>
    <n v="2"/>
    <n v="4"/>
    <x v="7"/>
    <n v="3"/>
    <x v="1"/>
    <x v="1098"/>
    <n v="3525"/>
    <n v="1"/>
    <x v="1"/>
    <n v="0.24"/>
    <n v="4"/>
    <n v="1"/>
    <n v="1"/>
    <n v="14"/>
    <n v="3"/>
    <n v="3"/>
    <x v="13"/>
    <n v="10"/>
    <n v="6"/>
    <n v="11"/>
    <x v="1"/>
    <n v="1"/>
    <n v="1"/>
    <n v="1"/>
    <n v="0"/>
    <n v="0"/>
    <n v="0"/>
    <n v="0"/>
    <n v="0"/>
    <n v="0"/>
    <n v="0"/>
    <x v="2"/>
    <n v="0"/>
  </r>
  <r>
    <x v="1186"/>
    <x v="10"/>
    <x v="1"/>
    <n v="880"/>
    <x v="0"/>
    <n v="12"/>
    <n v="4"/>
    <x v="1"/>
    <n v="4"/>
    <x v="1"/>
    <n v="36"/>
    <n v="3"/>
    <n v="2"/>
    <x v="0"/>
    <n v="4"/>
    <x v="0"/>
    <x v="1099"/>
    <n v="10414"/>
    <n v="3"/>
    <x v="0"/>
    <n v="0.24"/>
    <n v="4"/>
    <n v="1"/>
    <n v="0"/>
    <n v="13"/>
    <n v="2"/>
    <n v="4"/>
    <x v="19"/>
    <n v="9"/>
    <n v="6"/>
    <n v="7"/>
    <x v="0"/>
    <n v="1"/>
    <n v="2"/>
    <n v="0"/>
    <n v="1"/>
    <n v="0"/>
    <n v="0"/>
    <n v="1"/>
    <n v="1"/>
    <n v="21.654818917911005"/>
    <n v="0.74606293423572745"/>
    <x v="1"/>
    <n v="6871.5"/>
  </r>
  <r>
    <x v="1187"/>
    <x v="8"/>
    <x v="1"/>
    <n v="1189"/>
    <x v="1"/>
    <n v="1"/>
    <n v="3"/>
    <x v="0"/>
    <n v="4"/>
    <x v="1"/>
    <n v="90"/>
    <n v="3"/>
    <n v="2"/>
    <x v="1"/>
    <n v="4"/>
    <x v="1"/>
    <x v="1100"/>
    <n v="9867"/>
    <n v="7"/>
    <x v="1"/>
    <n v="0.15"/>
    <n v="3"/>
    <n v="4"/>
    <n v="2"/>
    <n v="19"/>
    <n v="4"/>
    <n v="4"/>
    <x v="20"/>
    <n v="11"/>
    <n v="2"/>
    <n v="9"/>
    <x v="1"/>
    <n v="1"/>
    <n v="2"/>
    <n v="1"/>
    <n v="0"/>
    <n v="0"/>
    <n v="0"/>
    <n v="1"/>
    <n v="1"/>
    <n v="11.654818917911005"/>
    <n v="0.40153780240992015"/>
    <x v="0"/>
    <n v="0"/>
  </r>
  <r>
    <x v="1188"/>
    <x v="11"/>
    <x v="0"/>
    <n v="991"/>
    <x v="0"/>
    <n v="5"/>
    <n v="3"/>
    <x v="2"/>
    <n v="1"/>
    <x v="1"/>
    <n v="43"/>
    <n v="2"/>
    <n v="2"/>
    <x v="0"/>
    <n v="2"/>
    <x v="2"/>
    <x v="1101"/>
    <n v="3356"/>
    <n v="1"/>
    <x v="0"/>
    <n v="0.13"/>
    <n v="3"/>
    <n v="2"/>
    <n v="1"/>
    <n v="10"/>
    <n v="3"/>
    <n v="2"/>
    <x v="1"/>
    <n v="0"/>
    <n v="0"/>
    <n v="9"/>
    <x v="1"/>
    <n v="1"/>
    <n v="1"/>
    <n v="2"/>
    <n v="1"/>
    <n v="0"/>
    <n v="1"/>
    <n v="1"/>
    <n v="0"/>
    <n v="20.698962067398959"/>
    <n v="0.71313126349280109"/>
    <x v="1"/>
    <n v="6280.5"/>
  </r>
  <r>
    <x v="1189"/>
    <x v="3"/>
    <x v="0"/>
    <n v="392"/>
    <x v="0"/>
    <n v="2"/>
    <n v="4"/>
    <x v="2"/>
    <n v="4"/>
    <x v="1"/>
    <n v="93"/>
    <n v="3"/>
    <n v="2"/>
    <x v="0"/>
    <n v="4"/>
    <x v="2"/>
    <x v="1102"/>
    <n v="3921"/>
    <n v="1"/>
    <x v="1"/>
    <n v="0.14000000000000001"/>
    <n v="3"/>
    <n v="3"/>
    <n v="2"/>
    <n v="6"/>
    <n v="5"/>
    <n v="3"/>
    <x v="0"/>
    <n v="2"/>
    <n v="0"/>
    <n v="4"/>
    <x v="1"/>
    <n v="1"/>
    <n v="1"/>
    <n v="2"/>
    <n v="0"/>
    <n v="0"/>
    <n v="0"/>
    <n v="0"/>
    <n v="0"/>
    <n v="0"/>
    <n v="0"/>
    <x v="2"/>
    <n v="0"/>
  </r>
  <r>
    <x v="1190"/>
    <x v="5"/>
    <x v="0"/>
    <n v="977"/>
    <x v="1"/>
    <n v="2"/>
    <n v="3"/>
    <x v="2"/>
    <n v="4"/>
    <x v="1"/>
    <n v="45"/>
    <n v="3"/>
    <n v="2"/>
    <x v="1"/>
    <n v="2"/>
    <x v="2"/>
    <x v="1103"/>
    <n v="25518"/>
    <n v="0"/>
    <x v="1"/>
    <n v="0.13"/>
    <n v="3"/>
    <n v="3"/>
    <n v="2"/>
    <n v="10"/>
    <n v="4"/>
    <n v="2"/>
    <x v="7"/>
    <n v="5"/>
    <n v="1"/>
    <n v="6"/>
    <x v="1"/>
    <n v="1"/>
    <n v="1"/>
    <n v="2"/>
    <n v="0"/>
    <n v="0"/>
    <n v="1"/>
    <n v="0"/>
    <n v="0"/>
    <n v="4.204533129978131"/>
    <n v="0.14485673308716898"/>
    <x v="2"/>
    <n v="0"/>
  </r>
  <r>
    <x v="1191"/>
    <x v="12"/>
    <x v="0"/>
    <n v="1112"/>
    <x v="0"/>
    <n v="5"/>
    <n v="4"/>
    <x v="0"/>
    <n v="1"/>
    <x v="0"/>
    <n v="67"/>
    <n v="3"/>
    <n v="2"/>
    <x v="0"/>
    <n v="4"/>
    <x v="1"/>
    <x v="1104"/>
    <n v="22589"/>
    <n v="1"/>
    <x v="1"/>
    <n v="0.11"/>
    <n v="3"/>
    <n v="1"/>
    <n v="2"/>
    <n v="10"/>
    <n v="2"/>
    <n v="3"/>
    <x v="1"/>
    <n v="0"/>
    <n v="0"/>
    <n v="2"/>
    <x v="1"/>
    <n v="0"/>
    <n v="1"/>
    <n v="1"/>
    <n v="0"/>
    <n v="0"/>
    <n v="0"/>
    <n v="0"/>
    <n v="0"/>
    <n v="0"/>
    <n v="0"/>
    <x v="2"/>
    <n v="0"/>
  </r>
  <r>
    <x v="1192"/>
    <x v="1"/>
    <x v="0"/>
    <n v="464"/>
    <x v="1"/>
    <n v="16"/>
    <n v="3"/>
    <x v="2"/>
    <n v="4"/>
    <x v="0"/>
    <n v="74"/>
    <n v="3"/>
    <n v="1"/>
    <x v="2"/>
    <n v="1"/>
    <x v="2"/>
    <x v="1105"/>
    <n v="24941"/>
    <n v="4"/>
    <x v="0"/>
    <n v="0.16"/>
    <n v="3"/>
    <n v="2"/>
    <n v="1"/>
    <n v="17"/>
    <n v="2"/>
    <n v="2"/>
    <x v="4"/>
    <n v="2"/>
    <n v="2"/>
    <n v="2"/>
    <x v="1"/>
    <n v="0"/>
    <n v="1"/>
    <n v="2"/>
    <n v="1"/>
    <n v="1"/>
    <n v="1"/>
    <n v="1"/>
    <n v="0"/>
    <n v="23.865068763274337"/>
    <n v="0.82221159616990469"/>
    <x v="3"/>
    <n v="3880.5"/>
  </r>
  <r>
    <x v="1193"/>
    <x v="8"/>
    <x v="1"/>
    <n v="148"/>
    <x v="1"/>
    <n v="2"/>
    <n v="3"/>
    <x v="2"/>
    <n v="4"/>
    <x v="0"/>
    <n v="42"/>
    <n v="2"/>
    <n v="1"/>
    <x v="2"/>
    <n v="2"/>
    <x v="0"/>
    <x v="1106"/>
    <n v="23826"/>
    <n v="1"/>
    <x v="1"/>
    <n v="0.22"/>
    <n v="4"/>
    <n v="2"/>
    <n v="0"/>
    <n v="4"/>
    <n v="3"/>
    <n v="3"/>
    <x v="9"/>
    <n v="3"/>
    <n v="3"/>
    <n v="3"/>
    <x v="1"/>
    <n v="0"/>
    <n v="2"/>
    <n v="0"/>
    <n v="0"/>
    <n v="0"/>
    <n v="1"/>
    <n v="1"/>
    <n v="1"/>
    <n v="15.859352047889136"/>
    <n v="0.54639453549708916"/>
    <x v="1"/>
    <n v="3660"/>
  </r>
  <r>
    <x v="1194"/>
    <x v="40"/>
    <x v="0"/>
    <n v="1225"/>
    <x v="0"/>
    <n v="2"/>
    <n v="4"/>
    <x v="0"/>
    <n v="2"/>
    <x v="0"/>
    <n v="47"/>
    <n v="4"/>
    <n v="4"/>
    <x v="5"/>
    <n v="2"/>
    <x v="2"/>
    <x v="1107"/>
    <n v="21086"/>
    <n v="6"/>
    <x v="1"/>
    <n v="0.14000000000000001"/>
    <n v="3"/>
    <n v="3"/>
    <n v="3"/>
    <n v="29"/>
    <n v="2"/>
    <n v="3"/>
    <x v="11"/>
    <n v="2"/>
    <n v="1"/>
    <n v="2"/>
    <x v="1"/>
    <n v="0"/>
    <n v="1"/>
    <n v="2"/>
    <n v="0"/>
    <n v="0"/>
    <n v="1"/>
    <n v="0"/>
    <n v="0"/>
    <n v="4.204533129978131"/>
    <n v="0.14485673308716898"/>
    <x v="2"/>
    <n v="0"/>
  </r>
  <r>
    <x v="1195"/>
    <x v="1"/>
    <x v="0"/>
    <n v="809"/>
    <x v="1"/>
    <n v="1"/>
    <n v="3"/>
    <x v="0"/>
    <n v="3"/>
    <x v="1"/>
    <n v="36"/>
    <n v="3"/>
    <n v="4"/>
    <x v="5"/>
    <n v="3"/>
    <x v="0"/>
    <x v="1108"/>
    <n v="22384"/>
    <n v="4"/>
    <x v="1"/>
    <n v="0.14000000000000001"/>
    <n v="3"/>
    <n v="1"/>
    <n v="0"/>
    <n v="23"/>
    <n v="2"/>
    <n v="3"/>
    <x v="3"/>
    <n v="7"/>
    <n v="0"/>
    <n v="0"/>
    <x v="1"/>
    <n v="1"/>
    <n v="1"/>
    <n v="0"/>
    <n v="0"/>
    <n v="0"/>
    <n v="0"/>
    <n v="0"/>
    <n v="0"/>
    <n v="0"/>
    <n v="0"/>
    <x v="2"/>
    <n v="0"/>
  </r>
  <r>
    <x v="1196"/>
    <x v="0"/>
    <x v="0"/>
    <n v="1206"/>
    <x v="0"/>
    <n v="23"/>
    <n v="2"/>
    <x v="0"/>
    <n v="4"/>
    <x v="1"/>
    <n v="80"/>
    <n v="3"/>
    <n v="3"/>
    <x v="0"/>
    <n v="3"/>
    <x v="0"/>
    <x v="1109"/>
    <n v="11591"/>
    <n v="3"/>
    <x v="0"/>
    <n v="0.16"/>
    <n v="3"/>
    <n v="4"/>
    <n v="0"/>
    <n v="21"/>
    <n v="2"/>
    <n v="3"/>
    <x v="4"/>
    <n v="0"/>
    <n v="0"/>
    <n v="2"/>
    <x v="1"/>
    <n v="1"/>
    <n v="1"/>
    <n v="0"/>
    <n v="1"/>
    <n v="1"/>
    <n v="0"/>
    <n v="0"/>
    <n v="0"/>
    <n v="13.166106695875378"/>
    <n v="0.45360546450291089"/>
    <x v="0"/>
    <n v="0"/>
  </r>
  <r>
    <x v="1197"/>
    <x v="35"/>
    <x v="0"/>
    <n v="727"/>
    <x v="0"/>
    <n v="9"/>
    <n v="1"/>
    <x v="0"/>
    <n v="4"/>
    <x v="1"/>
    <n v="54"/>
    <n v="3"/>
    <n v="1"/>
    <x v="6"/>
    <n v="1"/>
    <x v="0"/>
    <x v="1110"/>
    <n v="21082"/>
    <n v="1"/>
    <x v="1"/>
    <n v="0.11"/>
    <n v="3"/>
    <n v="1"/>
    <n v="0"/>
    <n v="2"/>
    <n v="3"/>
    <n v="3"/>
    <x v="4"/>
    <n v="2"/>
    <n v="0"/>
    <n v="2"/>
    <x v="1"/>
    <n v="1"/>
    <n v="1"/>
    <n v="0"/>
    <n v="0"/>
    <n v="0"/>
    <n v="1"/>
    <n v="1"/>
    <n v="0"/>
    <n v="10.698962067398959"/>
    <n v="0.3686061316669938"/>
    <x v="0"/>
    <n v="0"/>
  </r>
  <r>
    <x v="1198"/>
    <x v="3"/>
    <x v="2"/>
    <n v="530"/>
    <x v="0"/>
    <n v="16"/>
    <n v="3"/>
    <x v="0"/>
    <n v="3"/>
    <x v="0"/>
    <n v="36"/>
    <n v="3"/>
    <n v="2"/>
    <x v="0"/>
    <n v="4"/>
    <x v="2"/>
    <x v="1111"/>
    <n v="16130"/>
    <n v="1"/>
    <x v="0"/>
    <n v="0.25"/>
    <n v="4"/>
    <n v="3"/>
    <n v="1"/>
    <n v="7"/>
    <n v="2"/>
    <n v="3"/>
    <x v="0"/>
    <n v="5"/>
    <n v="1"/>
    <n v="2"/>
    <x v="1"/>
    <n v="0"/>
    <n v="0"/>
    <n v="2"/>
    <n v="1"/>
    <n v="1"/>
    <n v="0"/>
    <n v="0"/>
    <n v="0"/>
    <n v="13.166106695875378"/>
    <n v="0.45360546450291089"/>
    <x v="0"/>
    <n v="0"/>
  </r>
  <r>
    <x v="1199"/>
    <x v="9"/>
    <x v="0"/>
    <n v="1351"/>
    <x v="1"/>
    <n v="26"/>
    <n v="4"/>
    <x v="0"/>
    <n v="1"/>
    <x v="1"/>
    <n v="80"/>
    <n v="3"/>
    <n v="2"/>
    <x v="4"/>
    <n v="3"/>
    <x v="1"/>
    <x v="1112"/>
    <n v="7419"/>
    <n v="6"/>
    <x v="1"/>
    <n v="0.14000000000000001"/>
    <n v="3"/>
    <n v="2"/>
    <n v="2"/>
    <n v="10"/>
    <n v="2"/>
    <n v="2"/>
    <x v="11"/>
    <n v="2"/>
    <n v="0"/>
    <n v="2"/>
    <x v="1"/>
    <n v="1"/>
    <n v="1"/>
    <n v="1"/>
    <n v="0"/>
    <n v="1"/>
    <n v="0"/>
    <n v="0"/>
    <n v="0"/>
    <n v="3.1661066958753779"/>
    <n v="0.10908033267710357"/>
    <x v="2"/>
    <n v="0"/>
  </r>
  <r>
    <x v="1200"/>
    <x v="20"/>
    <x v="0"/>
    <n v="528"/>
    <x v="2"/>
    <n v="1"/>
    <n v="3"/>
    <x v="0"/>
    <n v="3"/>
    <x v="0"/>
    <n v="44"/>
    <n v="3"/>
    <n v="1"/>
    <x v="8"/>
    <n v="4"/>
    <x v="2"/>
    <x v="1113"/>
    <n v="4167"/>
    <n v="4"/>
    <x v="0"/>
    <n v="0.18"/>
    <n v="3"/>
    <n v="1"/>
    <n v="3"/>
    <n v="8"/>
    <n v="2"/>
    <n v="3"/>
    <x v="4"/>
    <n v="2"/>
    <n v="2"/>
    <n v="2"/>
    <x v="1"/>
    <n v="0"/>
    <n v="1"/>
    <n v="2"/>
    <n v="1"/>
    <n v="0"/>
    <n v="0"/>
    <n v="1"/>
    <n v="0"/>
    <n v="16.494428937420828"/>
    <n v="0.56827453040563214"/>
    <x v="1"/>
    <n v="4792.5"/>
  </r>
  <r>
    <x v="1201"/>
    <x v="30"/>
    <x v="0"/>
    <n v="1320"/>
    <x v="1"/>
    <n v="8"/>
    <n v="1"/>
    <x v="2"/>
    <n v="4"/>
    <x v="1"/>
    <n v="93"/>
    <n v="2"/>
    <n v="1"/>
    <x v="2"/>
    <n v="3"/>
    <x v="0"/>
    <x v="1114"/>
    <n v="20586"/>
    <n v="1"/>
    <x v="0"/>
    <n v="0.11"/>
    <n v="3"/>
    <n v="1"/>
    <n v="0"/>
    <n v="5"/>
    <n v="2"/>
    <n v="3"/>
    <x v="8"/>
    <n v="4"/>
    <n v="1"/>
    <n v="2"/>
    <x v="0"/>
    <n v="1"/>
    <n v="1"/>
    <n v="0"/>
    <n v="1"/>
    <n v="0"/>
    <n v="0"/>
    <n v="1"/>
    <n v="0"/>
    <n v="16.494428937420828"/>
    <n v="0.56827453040563214"/>
    <x v="1"/>
    <n v="5983.5"/>
  </r>
  <r>
    <x v="1202"/>
    <x v="8"/>
    <x v="0"/>
    <n v="1495"/>
    <x v="1"/>
    <n v="4"/>
    <n v="2"/>
    <x v="2"/>
    <n v="4"/>
    <x v="0"/>
    <n v="87"/>
    <n v="3"/>
    <n v="1"/>
    <x v="2"/>
    <n v="3"/>
    <x v="1"/>
    <x v="1115"/>
    <n v="26176"/>
    <n v="7"/>
    <x v="1"/>
    <n v="0.19"/>
    <n v="3"/>
    <n v="4"/>
    <n v="1"/>
    <n v="7"/>
    <n v="5"/>
    <n v="2"/>
    <x v="2"/>
    <n v="0"/>
    <n v="0"/>
    <n v="0"/>
    <x v="1"/>
    <n v="0"/>
    <n v="1"/>
    <n v="1"/>
    <n v="0"/>
    <n v="0"/>
    <n v="0"/>
    <n v="1"/>
    <n v="0"/>
    <n v="6.4944289374208282"/>
    <n v="0.22374939857982484"/>
    <x v="2"/>
    <n v="0"/>
  </r>
  <r>
    <x v="1203"/>
    <x v="16"/>
    <x v="0"/>
    <n v="1395"/>
    <x v="1"/>
    <n v="24"/>
    <n v="4"/>
    <x v="2"/>
    <n v="2"/>
    <x v="1"/>
    <n v="48"/>
    <n v="4"/>
    <n v="3"/>
    <x v="4"/>
    <n v="4"/>
    <x v="1"/>
    <x v="1116"/>
    <n v="3458"/>
    <n v="3"/>
    <x v="1"/>
    <n v="0.15"/>
    <n v="3"/>
    <n v="3"/>
    <n v="0"/>
    <n v="11"/>
    <n v="2"/>
    <n v="3"/>
    <x v="9"/>
    <n v="3"/>
    <n v="1"/>
    <n v="2"/>
    <x v="1"/>
    <n v="1"/>
    <n v="1"/>
    <n v="1"/>
    <n v="0"/>
    <n v="1"/>
    <n v="0"/>
    <n v="0"/>
    <n v="0"/>
    <n v="3.1661066958753779"/>
    <n v="0.10908033267710357"/>
    <x v="2"/>
    <n v="0"/>
  </r>
  <r>
    <x v="1204"/>
    <x v="26"/>
    <x v="1"/>
    <n v="708"/>
    <x v="0"/>
    <n v="7"/>
    <n v="2"/>
    <x v="2"/>
    <n v="4"/>
    <x v="0"/>
    <n v="95"/>
    <n v="3"/>
    <n v="1"/>
    <x v="6"/>
    <n v="3"/>
    <x v="1"/>
    <x v="1117"/>
    <n v="11740"/>
    <n v="2"/>
    <x v="0"/>
    <n v="0.11"/>
    <n v="3"/>
    <n v="3"/>
    <n v="2"/>
    <n v="19"/>
    <n v="3"/>
    <n v="3"/>
    <x v="7"/>
    <n v="7"/>
    <n v="7"/>
    <n v="7"/>
    <x v="0"/>
    <n v="0"/>
    <n v="2"/>
    <n v="1"/>
    <n v="1"/>
    <n v="0"/>
    <n v="0"/>
    <n v="1"/>
    <n v="1"/>
    <n v="21.654818917911005"/>
    <n v="0.74606293423572745"/>
    <x v="1"/>
    <n v="3982.5"/>
  </r>
  <r>
    <x v="1205"/>
    <x v="5"/>
    <x v="0"/>
    <n v="1259"/>
    <x v="1"/>
    <n v="2"/>
    <n v="4"/>
    <x v="0"/>
    <n v="4"/>
    <x v="1"/>
    <n v="95"/>
    <n v="3"/>
    <n v="1"/>
    <x v="2"/>
    <n v="2"/>
    <x v="0"/>
    <x v="1118"/>
    <n v="24852"/>
    <n v="1"/>
    <x v="1"/>
    <n v="0.12"/>
    <n v="3"/>
    <n v="1"/>
    <n v="0"/>
    <n v="1"/>
    <n v="2"/>
    <n v="3"/>
    <x v="6"/>
    <n v="0"/>
    <n v="0"/>
    <n v="0"/>
    <x v="0"/>
    <n v="1"/>
    <n v="1"/>
    <n v="0"/>
    <n v="0"/>
    <n v="0"/>
    <n v="1"/>
    <n v="1"/>
    <n v="0"/>
    <n v="10.698962067398959"/>
    <n v="0.3686061316669938"/>
    <x v="0"/>
    <n v="0"/>
  </r>
  <r>
    <x v="1206"/>
    <x v="25"/>
    <x v="2"/>
    <n v="786"/>
    <x v="1"/>
    <n v="7"/>
    <n v="3"/>
    <x v="2"/>
    <n v="4"/>
    <x v="1"/>
    <n v="76"/>
    <n v="3"/>
    <n v="1"/>
    <x v="2"/>
    <n v="4"/>
    <x v="0"/>
    <x v="1119"/>
    <n v="11925"/>
    <n v="1"/>
    <x v="1"/>
    <n v="0.2"/>
    <n v="4"/>
    <n v="3"/>
    <n v="0"/>
    <n v="7"/>
    <n v="5"/>
    <n v="3"/>
    <x v="5"/>
    <n v="7"/>
    <n v="5"/>
    <n v="7"/>
    <x v="1"/>
    <n v="1"/>
    <n v="0"/>
    <n v="0"/>
    <n v="0"/>
    <n v="0"/>
    <n v="0"/>
    <n v="1"/>
    <n v="0"/>
    <n v="6.4944289374208282"/>
    <n v="0.22374939857982484"/>
    <x v="2"/>
    <n v="0"/>
  </r>
  <r>
    <x v="1207"/>
    <x v="27"/>
    <x v="0"/>
    <n v="1441"/>
    <x v="1"/>
    <n v="22"/>
    <n v="3"/>
    <x v="4"/>
    <n v="1"/>
    <x v="1"/>
    <n v="94"/>
    <n v="2"/>
    <n v="1"/>
    <x v="1"/>
    <n v="2"/>
    <x v="2"/>
    <x v="1120"/>
    <n v="23737"/>
    <n v="5"/>
    <x v="1"/>
    <n v="0.12"/>
    <n v="3"/>
    <n v="4"/>
    <n v="1"/>
    <n v="8"/>
    <n v="1"/>
    <n v="3"/>
    <x v="9"/>
    <n v="2"/>
    <n v="1"/>
    <n v="2"/>
    <x v="1"/>
    <n v="1"/>
    <n v="1"/>
    <n v="2"/>
    <n v="0"/>
    <n v="1"/>
    <n v="1"/>
    <n v="1"/>
    <n v="0"/>
    <n v="13.865068763274337"/>
    <n v="0.47768646434409739"/>
    <x v="0"/>
    <n v="0"/>
  </r>
  <r>
    <x v="1208"/>
    <x v="13"/>
    <x v="0"/>
    <n v="1157"/>
    <x v="1"/>
    <n v="5"/>
    <n v="2"/>
    <x v="2"/>
    <n v="2"/>
    <x v="1"/>
    <n v="57"/>
    <n v="2"/>
    <n v="2"/>
    <x v="2"/>
    <n v="4"/>
    <x v="1"/>
    <x v="1121"/>
    <n v="11912"/>
    <n v="1"/>
    <x v="1"/>
    <n v="0.14000000000000001"/>
    <n v="3"/>
    <n v="3"/>
    <n v="1"/>
    <n v="15"/>
    <n v="3"/>
    <n v="4"/>
    <x v="15"/>
    <n v="10"/>
    <n v="4"/>
    <n v="13"/>
    <x v="1"/>
    <n v="1"/>
    <n v="1"/>
    <n v="1"/>
    <n v="0"/>
    <n v="0"/>
    <n v="0"/>
    <n v="1"/>
    <n v="0"/>
    <n v="6.4944289374208282"/>
    <n v="0.22374939857982484"/>
    <x v="2"/>
    <n v="0"/>
  </r>
  <r>
    <x v="1209"/>
    <x v="42"/>
    <x v="0"/>
    <n v="370"/>
    <x v="1"/>
    <n v="1"/>
    <n v="4"/>
    <x v="2"/>
    <n v="3"/>
    <x v="1"/>
    <n v="92"/>
    <n v="1"/>
    <n v="3"/>
    <x v="4"/>
    <n v="4"/>
    <x v="2"/>
    <x v="1122"/>
    <n v="20467"/>
    <n v="3"/>
    <x v="1"/>
    <n v="0.2"/>
    <n v="4"/>
    <n v="3"/>
    <n v="1"/>
    <n v="19"/>
    <n v="2"/>
    <n v="4"/>
    <x v="6"/>
    <n v="0"/>
    <n v="0"/>
    <n v="0"/>
    <x v="1"/>
    <n v="1"/>
    <n v="1"/>
    <n v="2"/>
    <n v="0"/>
    <n v="0"/>
    <n v="0"/>
    <n v="0"/>
    <n v="0"/>
    <n v="0"/>
    <n v="0"/>
    <x v="2"/>
    <n v="0"/>
  </r>
  <r>
    <x v="1210"/>
    <x v="3"/>
    <x v="0"/>
    <n v="267"/>
    <x v="1"/>
    <n v="21"/>
    <n v="3"/>
    <x v="2"/>
    <n v="2"/>
    <x v="1"/>
    <n v="79"/>
    <n v="4"/>
    <n v="1"/>
    <x v="2"/>
    <n v="2"/>
    <x v="1"/>
    <x v="14"/>
    <n v="13637"/>
    <n v="1"/>
    <x v="1"/>
    <n v="0.18"/>
    <n v="3"/>
    <n v="4"/>
    <n v="3"/>
    <n v="14"/>
    <n v="6"/>
    <n v="3"/>
    <x v="13"/>
    <n v="11"/>
    <n v="2"/>
    <n v="13"/>
    <x v="1"/>
    <n v="1"/>
    <n v="1"/>
    <n v="1"/>
    <n v="0"/>
    <n v="1"/>
    <n v="1"/>
    <n v="1"/>
    <n v="0"/>
    <n v="13.865068763274337"/>
    <n v="0.47768646434409739"/>
    <x v="0"/>
    <n v="0"/>
  </r>
  <r>
    <x v="1211"/>
    <x v="2"/>
    <x v="1"/>
    <n v="1278"/>
    <x v="0"/>
    <n v="1"/>
    <n v="4"/>
    <x v="2"/>
    <n v="3"/>
    <x v="1"/>
    <n v="31"/>
    <n v="1"/>
    <n v="2"/>
    <x v="0"/>
    <n v="4"/>
    <x v="2"/>
    <x v="1123"/>
    <n v="7677"/>
    <n v="1"/>
    <x v="1"/>
    <n v="0.14000000000000001"/>
    <n v="3"/>
    <n v="3"/>
    <n v="2"/>
    <n v="6"/>
    <n v="2"/>
    <n v="2"/>
    <x v="0"/>
    <n v="3"/>
    <n v="1"/>
    <n v="3"/>
    <x v="1"/>
    <n v="1"/>
    <n v="2"/>
    <n v="2"/>
    <n v="0"/>
    <n v="0"/>
    <n v="0"/>
    <n v="0"/>
    <n v="1"/>
    <n v="5.1603899804901765"/>
    <n v="0.17778840383009531"/>
    <x v="2"/>
    <n v="0"/>
  </r>
  <r>
    <x v="1212"/>
    <x v="13"/>
    <x v="0"/>
    <n v="678"/>
    <x v="1"/>
    <n v="19"/>
    <n v="3"/>
    <x v="0"/>
    <n v="2"/>
    <x v="0"/>
    <n v="35"/>
    <n v="2"/>
    <n v="1"/>
    <x v="1"/>
    <n v="4"/>
    <x v="1"/>
    <x v="1124"/>
    <n v="20338"/>
    <n v="1"/>
    <x v="1"/>
    <n v="0.12"/>
    <n v="3"/>
    <n v="2"/>
    <n v="0"/>
    <n v="10"/>
    <n v="3"/>
    <n v="3"/>
    <x v="1"/>
    <n v="9"/>
    <n v="8"/>
    <n v="7"/>
    <x v="1"/>
    <n v="0"/>
    <n v="1"/>
    <n v="1"/>
    <n v="0"/>
    <n v="1"/>
    <n v="0"/>
    <n v="1"/>
    <n v="0"/>
    <n v="9.660535633296206"/>
    <n v="0.33282973125692844"/>
    <x v="0"/>
    <n v="0"/>
  </r>
  <r>
    <x v="1213"/>
    <x v="30"/>
    <x v="0"/>
    <n v="427"/>
    <x v="0"/>
    <n v="7"/>
    <n v="3"/>
    <x v="0"/>
    <n v="3"/>
    <x v="1"/>
    <n v="99"/>
    <n v="3"/>
    <n v="1"/>
    <x v="6"/>
    <n v="4"/>
    <x v="2"/>
    <x v="1125"/>
    <n v="25103"/>
    <n v="1"/>
    <x v="0"/>
    <n v="0.21"/>
    <n v="4"/>
    <n v="2"/>
    <n v="1"/>
    <n v="3"/>
    <n v="2"/>
    <n v="3"/>
    <x v="11"/>
    <n v="2"/>
    <n v="0"/>
    <n v="2"/>
    <x v="0"/>
    <n v="1"/>
    <n v="1"/>
    <n v="2"/>
    <n v="1"/>
    <n v="0"/>
    <n v="0"/>
    <n v="1"/>
    <n v="0"/>
    <n v="16.494428937420828"/>
    <n v="0.56827453040563214"/>
    <x v="1"/>
    <n v="3412.5"/>
  </r>
  <r>
    <x v="1214"/>
    <x v="20"/>
    <x v="0"/>
    <n v="921"/>
    <x v="1"/>
    <n v="2"/>
    <n v="3"/>
    <x v="0"/>
    <n v="3"/>
    <x v="0"/>
    <n v="96"/>
    <n v="4"/>
    <n v="3"/>
    <x v="4"/>
    <n v="4"/>
    <x v="1"/>
    <x v="1126"/>
    <n v="14810"/>
    <n v="1"/>
    <x v="0"/>
    <n v="0.19"/>
    <n v="3"/>
    <n v="2"/>
    <n v="1"/>
    <n v="9"/>
    <n v="2"/>
    <n v="3"/>
    <x v="3"/>
    <n v="7"/>
    <n v="6"/>
    <n v="7"/>
    <x v="1"/>
    <n v="0"/>
    <n v="1"/>
    <n v="1"/>
    <n v="1"/>
    <n v="0"/>
    <n v="0"/>
    <n v="0"/>
    <n v="0"/>
    <n v="10"/>
    <n v="0.3445251318258073"/>
    <x v="0"/>
    <n v="0"/>
  </r>
  <r>
    <x v="1215"/>
    <x v="10"/>
    <x v="1"/>
    <n v="146"/>
    <x v="1"/>
    <n v="2"/>
    <n v="4"/>
    <x v="2"/>
    <n v="1"/>
    <x v="1"/>
    <n v="79"/>
    <n v="2"/>
    <n v="1"/>
    <x v="1"/>
    <n v="4"/>
    <x v="0"/>
    <x v="1127"/>
    <n v="13970"/>
    <n v="0"/>
    <x v="0"/>
    <n v="0.14000000000000001"/>
    <n v="3"/>
    <n v="3"/>
    <n v="0"/>
    <n v="6"/>
    <n v="2"/>
    <n v="4"/>
    <x v="8"/>
    <n v="4"/>
    <n v="1"/>
    <n v="4"/>
    <x v="1"/>
    <n v="1"/>
    <n v="2"/>
    <n v="0"/>
    <n v="1"/>
    <n v="0"/>
    <n v="0"/>
    <n v="0"/>
    <n v="1"/>
    <n v="15.160389980490176"/>
    <n v="0.52231353565590266"/>
    <x v="1"/>
    <n v="7395"/>
  </r>
  <r>
    <x v="1216"/>
    <x v="23"/>
    <x v="0"/>
    <n v="1179"/>
    <x v="0"/>
    <n v="2"/>
    <n v="3"/>
    <x v="2"/>
    <n v="4"/>
    <x v="1"/>
    <n v="73"/>
    <n v="3"/>
    <n v="2"/>
    <x v="0"/>
    <n v="4"/>
    <x v="1"/>
    <x v="1128"/>
    <n v="6069"/>
    <n v="1"/>
    <x v="0"/>
    <n v="0.17"/>
    <n v="3"/>
    <n v="1"/>
    <n v="1"/>
    <n v="10"/>
    <n v="3"/>
    <n v="3"/>
    <x v="1"/>
    <n v="9"/>
    <n v="8"/>
    <n v="8"/>
    <x v="1"/>
    <n v="1"/>
    <n v="1"/>
    <n v="1"/>
    <n v="1"/>
    <n v="0"/>
    <n v="0"/>
    <n v="0"/>
    <n v="0"/>
    <n v="10"/>
    <n v="0.3445251318258073"/>
    <x v="0"/>
    <n v="0"/>
  </r>
  <r>
    <x v="1217"/>
    <x v="17"/>
    <x v="0"/>
    <n v="581"/>
    <x v="1"/>
    <n v="9"/>
    <n v="3"/>
    <x v="2"/>
    <n v="3"/>
    <x v="1"/>
    <n v="62"/>
    <n v="4"/>
    <n v="1"/>
    <x v="1"/>
    <n v="3"/>
    <x v="1"/>
    <x v="1129"/>
    <n v="17616"/>
    <n v="1"/>
    <x v="1"/>
    <n v="0.16"/>
    <n v="3"/>
    <n v="4"/>
    <n v="1"/>
    <n v="5"/>
    <n v="1"/>
    <n v="3"/>
    <x v="8"/>
    <n v="3"/>
    <n v="0"/>
    <n v="4"/>
    <x v="1"/>
    <n v="1"/>
    <n v="1"/>
    <n v="1"/>
    <n v="0"/>
    <n v="0"/>
    <n v="0"/>
    <n v="1"/>
    <n v="0"/>
    <n v="6.4944289374208282"/>
    <n v="0.22374939857982484"/>
    <x v="2"/>
    <n v="0"/>
  </r>
  <r>
    <x v="1218"/>
    <x v="0"/>
    <x v="0"/>
    <n v="918"/>
    <x v="0"/>
    <n v="6"/>
    <n v="3"/>
    <x v="3"/>
    <n v="4"/>
    <x v="1"/>
    <n v="35"/>
    <n v="3"/>
    <n v="3"/>
    <x v="0"/>
    <n v="3"/>
    <x v="0"/>
    <x v="1130"/>
    <n v="15869"/>
    <n v="1"/>
    <x v="1"/>
    <n v="0.12"/>
    <n v="3"/>
    <n v="2"/>
    <n v="0"/>
    <n v="10"/>
    <n v="3"/>
    <n v="3"/>
    <x v="1"/>
    <n v="8"/>
    <n v="8"/>
    <n v="7"/>
    <x v="1"/>
    <n v="1"/>
    <n v="1"/>
    <n v="0"/>
    <n v="0"/>
    <n v="0"/>
    <n v="0"/>
    <n v="0"/>
    <n v="0"/>
    <n v="0"/>
    <n v="0"/>
    <x v="2"/>
    <n v="0"/>
  </r>
  <r>
    <x v="1219"/>
    <x v="11"/>
    <x v="0"/>
    <n v="1082"/>
    <x v="1"/>
    <n v="9"/>
    <n v="4"/>
    <x v="2"/>
    <n v="4"/>
    <x v="0"/>
    <n v="43"/>
    <n v="3"/>
    <n v="1"/>
    <x v="2"/>
    <n v="3"/>
    <x v="1"/>
    <x v="1131"/>
    <n v="25412"/>
    <n v="9"/>
    <x v="1"/>
    <n v="0.17"/>
    <n v="3"/>
    <n v="3"/>
    <n v="1"/>
    <n v="9"/>
    <n v="2"/>
    <n v="3"/>
    <x v="8"/>
    <n v="3"/>
    <n v="1"/>
    <n v="2"/>
    <x v="1"/>
    <n v="0"/>
    <n v="1"/>
    <n v="1"/>
    <n v="0"/>
    <n v="0"/>
    <n v="0"/>
    <n v="1"/>
    <n v="0"/>
    <n v="6.4944289374208282"/>
    <n v="0.22374939857982484"/>
    <x v="2"/>
    <n v="0"/>
  </r>
  <r>
    <x v="1220"/>
    <x v="9"/>
    <x v="0"/>
    <n v="530"/>
    <x v="0"/>
    <n v="2"/>
    <n v="4"/>
    <x v="0"/>
    <n v="3"/>
    <x v="0"/>
    <n v="51"/>
    <n v="3"/>
    <n v="2"/>
    <x v="6"/>
    <n v="4"/>
    <x v="0"/>
    <x v="1132"/>
    <n v="7439"/>
    <n v="3"/>
    <x v="1"/>
    <n v="0.15"/>
    <n v="3"/>
    <n v="3"/>
    <n v="0"/>
    <n v="17"/>
    <n v="2"/>
    <n v="2"/>
    <x v="20"/>
    <n v="7"/>
    <n v="6"/>
    <n v="7"/>
    <x v="1"/>
    <n v="0"/>
    <n v="1"/>
    <n v="0"/>
    <n v="0"/>
    <n v="0"/>
    <n v="0"/>
    <n v="1"/>
    <n v="0"/>
    <n v="6.4944289374208282"/>
    <n v="0.22374939857982484"/>
    <x v="2"/>
    <n v="0"/>
  </r>
  <r>
    <x v="1221"/>
    <x v="28"/>
    <x v="2"/>
    <n v="1238"/>
    <x v="1"/>
    <n v="1"/>
    <n v="1"/>
    <x v="0"/>
    <n v="3"/>
    <x v="1"/>
    <n v="74"/>
    <n v="2"/>
    <n v="3"/>
    <x v="4"/>
    <n v="3"/>
    <x v="1"/>
    <x v="1133"/>
    <n v="3395"/>
    <n v="3"/>
    <x v="1"/>
    <n v="0.23"/>
    <n v="4"/>
    <n v="4"/>
    <n v="1"/>
    <n v="25"/>
    <n v="3"/>
    <n v="2"/>
    <x v="36"/>
    <n v="15"/>
    <n v="14"/>
    <n v="4"/>
    <x v="1"/>
    <n v="1"/>
    <n v="0"/>
    <n v="1"/>
    <n v="0"/>
    <n v="0"/>
    <n v="0"/>
    <n v="0"/>
    <n v="0"/>
    <n v="0"/>
    <n v="0"/>
    <x v="2"/>
    <n v="0"/>
  </r>
  <r>
    <x v="1222"/>
    <x v="17"/>
    <x v="0"/>
    <n v="240"/>
    <x v="2"/>
    <n v="22"/>
    <n v="1"/>
    <x v="5"/>
    <n v="4"/>
    <x v="1"/>
    <n v="58"/>
    <n v="1"/>
    <n v="1"/>
    <x v="8"/>
    <n v="3"/>
    <x v="1"/>
    <x v="1134"/>
    <n v="11585"/>
    <n v="1"/>
    <x v="1"/>
    <n v="0.11"/>
    <n v="3"/>
    <n v="3"/>
    <n v="1"/>
    <n v="1"/>
    <n v="2"/>
    <n v="3"/>
    <x v="6"/>
    <n v="0"/>
    <n v="0"/>
    <n v="0"/>
    <x v="0"/>
    <n v="1"/>
    <n v="1"/>
    <n v="1"/>
    <n v="0"/>
    <n v="1"/>
    <n v="0"/>
    <n v="1"/>
    <n v="0"/>
    <n v="9.660535633296206"/>
    <n v="0.33282973125692844"/>
    <x v="0"/>
    <n v="0"/>
  </r>
  <r>
    <x v="1223"/>
    <x v="40"/>
    <x v="1"/>
    <n v="1093"/>
    <x v="0"/>
    <n v="9"/>
    <n v="3"/>
    <x v="0"/>
    <n v="3"/>
    <x v="1"/>
    <n v="82"/>
    <n v="1"/>
    <n v="4"/>
    <x v="0"/>
    <n v="3"/>
    <x v="1"/>
    <x v="1135"/>
    <n v="24164"/>
    <n v="7"/>
    <x v="1"/>
    <n v="0.11"/>
    <n v="3"/>
    <n v="3"/>
    <n v="0"/>
    <n v="25"/>
    <n v="3"/>
    <n v="1"/>
    <x v="36"/>
    <n v="5"/>
    <n v="14"/>
    <n v="10"/>
    <x v="0"/>
    <n v="1"/>
    <n v="2"/>
    <n v="1"/>
    <n v="0"/>
    <n v="0"/>
    <n v="0"/>
    <n v="0"/>
    <n v="1"/>
    <n v="5.1603899804901765"/>
    <n v="0.17778840383009531"/>
    <x v="2"/>
    <n v="0"/>
  </r>
  <r>
    <x v="1224"/>
    <x v="25"/>
    <x v="0"/>
    <n v="390"/>
    <x v="1"/>
    <n v="17"/>
    <n v="4"/>
    <x v="2"/>
    <n v="4"/>
    <x v="1"/>
    <n v="62"/>
    <n v="1"/>
    <n v="1"/>
    <x v="2"/>
    <n v="3"/>
    <x v="1"/>
    <x v="1136"/>
    <n v="6217"/>
    <n v="1"/>
    <x v="1"/>
    <n v="0.15"/>
    <n v="3"/>
    <n v="3"/>
    <n v="3"/>
    <n v="3"/>
    <n v="3"/>
    <n v="4"/>
    <x v="11"/>
    <n v="2"/>
    <n v="0"/>
    <n v="2"/>
    <x v="1"/>
    <n v="1"/>
    <n v="1"/>
    <n v="1"/>
    <n v="0"/>
    <n v="1"/>
    <n v="0"/>
    <n v="1"/>
    <n v="0"/>
    <n v="9.660535633296206"/>
    <n v="0.33282973125692844"/>
    <x v="0"/>
    <n v="0"/>
  </r>
  <r>
    <x v="1225"/>
    <x v="28"/>
    <x v="0"/>
    <n v="1005"/>
    <x v="1"/>
    <n v="28"/>
    <n v="2"/>
    <x v="4"/>
    <n v="4"/>
    <x v="0"/>
    <n v="48"/>
    <n v="2"/>
    <n v="4"/>
    <x v="7"/>
    <n v="2"/>
    <x v="0"/>
    <x v="1137"/>
    <n v="17119"/>
    <n v="1"/>
    <x v="1"/>
    <n v="0.11"/>
    <n v="3"/>
    <n v="3"/>
    <n v="0"/>
    <n v="21"/>
    <n v="2"/>
    <n v="3"/>
    <x v="17"/>
    <n v="6"/>
    <n v="8"/>
    <n v="6"/>
    <x v="1"/>
    <n v="0"/>
    <n v="1"/>
    <n v="0"/>
    <n v="0"/>
    <n v="1"/>
    <n v="1"/>
    <n v="0"/>
    <n v="0"/>
    <n v="7.3706398258535089"/>
    <n v="0.25393706576427255"/>
    <x v="0"/>
    <n v="0"/>
  </r>
  <r>
    <x v="1226"/>
    <x v="5"/>
    <x v="1"/>
    <n v="585"/>
    <x v="1"/>
    <n v="10"/>
    <n v="3"/>
    <x v="0"/>
    <n v="1"/>
    <x v="1"/>
    <n v="56"/>
    <n v="3"/>
    <n v="1"/>
    <x v="1"/>
    <n v="3"/>
    <x v="1"/>
    <x v="1138"/>
    <n v="17360"/>
    <n v="6"/>
    <x v="1"/>
    <n v="0.13"/>
    <n v="3"/>
    <n v="1"/>
    <n v="1"/>
    <n v="10"/>
    <n v="3"/>
    <n v="2"/>
    <x v="8"/>
    <n v="2"/>
    <n v="1"/>
    <n v="3"/>
    <x v="1"/>
    <n v="1"/>
    <n v="2"/>
    <n v="1"/>
    <n v="0"/>
    <n v="0"/>
    <n v="0"/>
    <n v="1"/>
    <n v="1"/>
    <n v="11.654818917911005"/>
    <n v="0.40153780240992015"/>
    <x v="0"/>
    <n v="0"/>
  </r>
  <r>
    <x v="1227"/>
    <x v="12"/>
    <x v="0"/>
    <n v="741"/>
    <x v="1"/>
    <n v="2"/>
    <n v="4"/>
    <x v="0"/>
    <n v="2"/>
    <x v="1"/>
    <n v="69"/>
    <n v="3"/>
    <n v="1"/>
    <x v="2"/>
    <n v="3"/>
    <x v="1"/>
    <x v="1139"/>
    <n v="18103"/>
    <n v="1"/>
    <x v="1"/>
    <n v="0.14000000000000001"/>
    <n v="3"/>
    <n v="4"/>
    <n v="1"/>
    <n v="6"/>
    <n v="2"/>
    <n v="4"/>
    <x v="8"/>
    <n v="2"/>
    <n v="0"/>
    <n v="3"/>
    <x v="1"/>
    <n v="1"/>
    <n v="1"/>
    <n v="1"/>
    <n v="0"/>
    <n v="0"/>
    <n v="0"/>
    <n v="1"/>
    <n v="0"/>
    <n v="6.4944289374208282"/>
    <n v="0.22374939857982484"/>
    <x v="2"/>
    <n v="0"/>
  </r>
  <r>
    <x v="1228"/>
    <x v="0"/>
    <x v="2"/>
    <n v="552"/>
    <x v="2"/>
    <n v="4"/>
    <n v="3"/>
    <x v="5"/>
    <n v="3"/>
    <x v="1"/>
    <n v="60"/>
    <n v="1"/>
    <n v="2"/>
    <x v="8"/>
    <n v="2"/>
    <x v="1"/>
    <x v="1140"/>
    <n v="20794"/>
    <n v="6"/>
    <x v="1"/>
    <n v="0.19"/>
    <n v="3"/>
    <n v="2"/>
    <n v="1"/>
    <n v="10"/>
    <n v="4"/>
    <n v="3"/>
    <x v="11"/>
    <n v="2"/>
    <n v="1"/>
    <n v="2"/>
    <x v="1"/>
    <n v="1"/>
    <n v="0"/>
    <n v="1"/>
    <n v="0"/>
    <n v="0"/>
    <n v="1"/>
    <n v="0"/>
    <n v="0"/>
    <n v="4.204533129978131"/>
    <n v="0.14485673308716898"/>
    <x v="2"/>
    <n v="0"/>
  </r>
  <r>
    <x v="1229"/>
    <x v="32"/>
    <x v="0"/>
    <n v="369"/>
    <x v="1"/>
    <n v="8"/>
    <n v="2"/>
    <x v="0"/>
    <n v="2"/>
    <x v="0"/>
    <n v="92"/>
    <n v="3"/>
    <n v="2"/>
    <x v="3"/>
    <n v="1"/>
    <x v="1"/>
    <x v="1141"/>
    <n v="5041"/>
    <n v="2"/>
    <x v="0"/>
    <n v="0.16"/>
    <n v="3"/>
    <n v="2"/>
    <n v="1"/>
    <n v="18"/>
    <n v="3"/>
    <n v="3"/>
    <x v="6"/>
    <n v="0"/>
    <n v="0"/>
    <n v="0"/>
    <x v="1"/>
    <n v="0"/>
    <n v="1"/>
    <n v="1"/>
    <n v="1"/>
    <n v="0"/>
    <n v="1"/>
    <n v="0"/>
    <n v="0"/>
    <n v="14.204533129978131"/>
    <n v="0.48938186491297625"/>
    <x v="0"/>
    <n v="0"/>
  </r>
  <r>
    <x v="1230"/>
    <x v="17"/>
    <x v="0"/>
    <n v="506"/>
    <x v="1"/>
    <n v="29"/>
    <n v="1"/>
    <x v="2"/>
    <n v="2"/>
    <x v="1"/>
    <n v="91"/>
    <n v="3"/>
    <n v="1"/>
    <x v="2"/>
    <n v="1"/>
    <x v="2"/>
    <x v="1142"/>
    <n v="3622"/>
    <n v="1"/>
    <x v="1"/>
    <n v="0.13"/>
    <n v="3"/>
    <n v="2"/>
    <n v="3"/>
    <n v="6"/>
    <n v="2"/>
    <n v="4"/>
    <x v="0"/>
    <n v="2"/>
    <n v="1"/>
    <n v="2"/>
    <x v="1"/>
    <n v="1"/>
    <n v="1"/>
    <n v="2"/>
    <n v="0"/>
    <n v="1"/>
    <n v="1"/>
    <n v="1"/>
    <n v="0"/>
    <n v="13.865068763274337"/>
    <n v="0.47768646434409739"/>
    <x v="0"/>
    <n v="0"/>
  </r>
  <r>
    <x v="1231"/>
    <x v="21"/>
    <x v="0"/>
    <n v="717"/>
    <x v="1"/>
    <n v="13"/>
    <n v="4"/>
    <x v="0"/>
    <n v="3"/>
    <x v="1"/>
    <n v="34"/>
    <n v="3"/>
    <n v="2"/>
    <x v="4"/>
    <n v="2"/>
    <x v="0"/>
    <x v="622"/>
    <n v="9697"/>
    <n v="6"/>
    <x v="1"/>
    <n v="0.14000000000000001"/>
    <n v="3"/>
    <n v="4"/>
    <n v="0"/>
    <n v="19"/>
    <n v="3"/>
    <n v="3"/>
    <x v="1"/>
    <n v="7"/>
    <n v="0"/>
    <n v="9"/>
    <x v="1"/>
    <n v="1"/>
    <n v="1"/>
    <n v="0"/>
    <n v="0"/>
    <n v="0"/>
    <n v="1"/>
    <n v="0"/>
    <n v="0"/>
    <n v="4.204533129978131"/>
    <n v="0.14485673308716898"/>
    <x v="2"/>
    <n v="0"/>
  </r>
  <r>
    <x v="1232"/>
    <x v="10"/>
    <x v="0"/>
    <n v="1370"/>
    <x v="1"/>
    <n v="27"/>
    <n v="4"/>
    <x v="0"/>
    <n v="4"/>
    <x v="1"/>
    <n v="49"/>
    <n v="3"/>
    <n v="2"/>
    <x v="3"/>
    <n v="3"/>
    <x v="1"/>
    <x v="1143"/>
    <n v="5151"/>
    <n v="2"/>
    <x v="1"/>
    <n v="0.16"/>
    <n v="3"/>
    <n v="2"/>
    <n v="1"/>
    <n v="17"/>
    <n v="3"/>
    <n v="3"/>
    <x v="5"/>
    <n v="7"/>
    <n v="0"/>
    <n v="7"/>
    <x v="1"/>
    <n v="1"/>
    <n v="1"/>
    <n v="1"/>
    <n v="0"/>
    <n v="1"/>
    <n v="0"/>
    <n v="0"/>
    <n v="0"/>
    <n v="3.1661066958753779"/>
    <n v="0.10908033267710357"/>
    <x v="2"/>
    <n v="0"/>
  </r>
  <r>
    <x v="1233"/>
    <x v="7"/>
    <x v="0"/>
    <n v="793"/>
    <x v="1"/>
    <n v="16"/>
    <n v="1"/>
    <x v="0"/>
    <n v="2"/>
    <x v="1"/>
    <n v="33"/>
    <n v="3"/>
    <n v="1"/>
    <x v="1"/>
    <n v="4"/>
    <x v="1"/>
    <x v="1144"/>
    <n v="3811"/>
    <n v="1"/>
    <x v="1"/>
    <n v="0.12"/>
    <n v="3"/>
    <n v="2"/>
    <n v="1"/>
    <n v="10"/>
    <n v="2"/>
    <n v="2"/>
    <x v="1"/>
    <n v="0"/>
    <n v="0"/>
    <n v="8"/>
    <x v="1"/>
    <n v="1"/>
    <n v="1"/>
    <n v="1"/>
    <n v="0"/>
    <n v="1"/>
    <n v="0"/>
    <n v="1"/>
    <n v="0"/>
    <n v="9.660535633296206"/>
    <n v="0.33282973125692844"/>
    <x v="0"/>
    <n v="0"/>
  </r>
  <r>
    <x v="1234"/>
    <x v="40"/>
    <x v="2"/>
    <n v="543"/>
    <x v="0"/>
    <n v="2"/>
    <n v="4"/>
    <x v="3"/>
    <n v="3"/>
    <x v="1"/>
    <n v="87"/>
    <n v="3"/>
    <n v="2"/>
    <x v="0"/>
    <n v="2"/>
    <x v="1"/>
    <x v="1145"/>
    <n v="3536"/>
    <n v="7"/>
    <x v="1"/>
    <n v="0.11"/>
    <n v="3"/>
    <n v="4"/>
    <n v="1"/>
    <n v="4"/>
    <n v="3"/>
    <n v="1"/>
    <x v="6"/>
    <n v="0"/>
    <n v="0"/>
    <n v="0"/>
    <x v="1"/>
    <n v="1"/>
    <n v="0"/>
    <n v="1"/>
    <n v="0"/>
    <n v="0"/>
    <n v="1"/>
    <n v="0"/>
    <n v="0"/>
    <n v="4.204533129978131"/>
    <n v="0.14485673308716898"/>
    <x v="2"/>
    <n v="0"/>
  </r>
  <r>
    <x v="1235"/>
    <x v="21"/>
    <x v="0"/>
    <n v="1277"/>
    <x v="0"/>
    <n v="2"/>
    <n v="3"/>
    <x v="0"/>
    <n v="3"/>
    <x v="1"/>
    <n v="74"/>
    <n v="3"/>
    <n v="3"/>
    <x v="0"/>
    <n v="4"/>
    <x v="2"/>
    <x v="1146"/>
    <n v="5596"/>
    <n v="4"/>
    <x v="0"/>
    <n v="0.12"/>
    <n v="3"/>
    <n v="2"/>
    <n v="1"/>
    <n v="13"/>
    <n v="5"/>
    <n v="2"/>
    <x v="1"/>
    <n v="6"/>
    <n v="0"/>
    <n v="3"/>
    <x v="1"/>
    <n v="1"/>
    <n v="1"/>
    <n v="2"/>
    <n v="1"/>
    <n v="0"/>
    <n v="0"/>
    <n v="0"/>
    <n v="0"/>
    <n v="10"/>
    <n v="0.3445251318258073"/>
    <x v="0"/>
    <n v="0"/>
  </r>
  <r>
    <x v="1236"/>
    <x v="9"/>
    <x v="0"/>
    <n v="1456"/>
    <x v="0"/>
    <n v="13"/>
    <n v="5"/>
    <x v="3"/>
    <n v="2"/>
    <x v="1"/>
    <n v="96"/>
    <n v="2"/>
    <n v="2"/>
    <x v="0"/>
    <n v="1"/>
    <x v="2"/>
    <x v="1147"/>
    <n v="8658"/>
    <n v="5"/>
    <x v="0"/>
    <n v="0.13"/>
    <n v="3"/>
    <n v="2"/>
    <n v="3"/>
    <n v="16"/>
    <n v="3"/>
    <n v="3"/>
    <x v="4"/>
    <n v="2"/>
    <n v="2"/>
    <n v="2"/>
    <x v="0"/>
    <n v="1"/>
    <n v="1"/>
    <n v="2"/>
    <n v="1"/>
    <n v="0"/>
    <n v="1"/>
    <n v="0"/>
    <n v="0"/>
    <n v="14.204533129978131"/>
    <n v="0.48938186491297625"/>
    <x v="0"/>
    <n v="0"/>
  </r>
  <r>
    <x v="1237"/>
    <x v="5"/>
    <x v="0"/>
    <n v="964"/>
    <x v="0"/>
    <n v="1"/>
    <n v="2"/>
    <x v="0"/>
    <n v="1"/>
    <x v="1"/>
    <n v="34"/>
    <n v="1"/>
    <n v="2"/>
    <x v="0"/>
    <n v="2"/>
    <x v="0"/>
    <x v="1148"/>
    <n v="12147"/>
    <n v="6"/>
    <x v="1"/>
    <n v="0.15"/>
    <n v="3"/>
    <n v="2"/>
    <n v="0"/>
    <n v="10"/>
    <n v="2"/>
    <n v="3"/>
    <x v="2"/>
    <n v="0"/>
    <n v="0"/>
    <n v="0"/>
    <x v="0"/>
    <n v="1"/>
    <n v="1"/>
    <n v="0"/>
    <n v="0"/>
    <n v="0"/>
    <n v="1"/>
    <n v="0"/>
    <n v="0"/>
    <n v="4.204533129978131"/>
    <n v="0.14485673308716898"/>
    <x v="2"/>
    <n v="0"/>
  </r>
  <r>
    <x v="1238"/>
    <x v="30"/>
    <x v="0"/>
    <n v="160"/>
    <x v="1"/>
    <n v="4"/>
    <n v="1"/>
    <x v="2"/>
    <n v="3"/>
    <x v="0"/>
    <n v="51"/>
    <n v="3"/>
    <n v="1"/>
    <x v="2"/>
    <n v="2"/>
    <x v="0"/>
    <x v="1149"/>
    <n v="12862"/>
    <n v="1"/>
    <x v="1"/>
    <n v="0.13"/>
    <n v="3"/>
    <n v="3"/>
    <n v="0"/>
    <n v="3"/>
    <n v="3"/>
    <n v="1"/>
    <x v="11"/>
    <n v="2"/>
    <n v="1"/>
    <n v="2"/>
    <x v="1"/>
    <n v="0"/>
    <n v="1"/>
    <n v="0"/>
    <n v="0"/>
    <n v="0"/>
    <n v="1"/>
    <n v="1"/>
    <n v="0"/>
    <n v="10.698962067398959"/>
    <n v="0.3686061316669938"/>
    <x v="0"/>
    <n v="0"/>
  </r>
  <r>
    <x v="1239"/>
    <x v="12"/>
    <x v="1"/>
    <n v="163"/>
    <x v="1"/>
    <n v="24"/>
    <n v="1"/>
    <x v="4"/>
    <n v="4"/>
    <x v="0"/>
    <n v="30"/>
    <n v="3"/>
    <n v="2"/>
    <x v="3"/>
    <n v="4"/>
    <x v="0"/>
    <x v="319"/>
    <n v="6670"/>
    <n v="2"/>
    <x v="1"/>
    <n v="0.2"/>
    <n v="4"/>
    <n v="4"/>
    <n v="0"/>
    <n v="9"/>
    <n v="3"/>
    <n v="2"/>
    <x v="8"/>
    <n v="4"/>
    <n v="1"/>
    <n v="4"/>
    <x v="1"/>
    <n v="0"/>
    <n v="2"/>
    <n v="0"/>
    <n v="0"/>
    <n v="1"/>
    <n v="0"/>
    <n v="0"/>
    <n v="1"/>
    <n v="8.3264966763655544"/>
    <n v="0.28686873650719891"/>
    <x v="0"/>
    <n v="0"/>
  </r>
  <r>
    <x v="1240"/>
    <x v="22"/>
    <x v="2"/>
    <n v="792"/>
    <x v="1"/>
    <n v="1"/>
    <n v="3"/>
    <x v="0"/>
    <n v="4"/>
    <x v="1"/>
    <n v="77"/>
    <n v="3"/>
    <n v="2"/>
    <x v="2"/>
    <n v="4"/>
    <x v="1"/>
    <x v="1150"/>
    <n v="8989"/>
    <n v="1"/>
    <x v="0"/>
    <n v="0.15"/>
    <n v="3"/>
    <n v="4"/>
    <n v="1"/>
    <n v="9"/>
    <n v="2"/>
    <n v="3"/>
    <x v="7"/>
    <n v="8"/>
    <n v="5"/>
    <n v="8"/>
    <x v="1"/>
    <n v="1"/>
    <n v="0"/>
    <n v="1"/>
    <n v="1"/>
    <n v="0"/>
    <n v="0"/>
    <n v="0"/>
    <n v="0"/>
    <n v="10"/>
    <n v="0.3445251318258073"/>
    <x v="0"/>
    <n v="0"/>
  </r>
  <r>
    <x v="1241"/>
    <x v="5"/>
    <x v="0"/>
    <n v="371"/>
    <x v="0"/>
    <n v="19"/>
    <n v="3"/>
    <x v="0"/>
    <n v="4"/>
    <x v="1"/>
    <n v="80"/>
    <n v="1"/>
    <n v="3"/>
    <x v="0"/>
    <n v="3"/>
    <x v="1"/>
    <x v="1151"/>
    <n v="3840"/>
    <n v="3"/>
    <x v="1"/>
    <n v="0.13"/>
    <n v="3"/>
    <n v="3"/>
    <n v="1"/>
    <n v="10"/>
    <n v="2"/>
    <n v="1"/>
    <x v="9"/>
    <n v="3"/>
    <n v="0"/>
    <n v="2"/>
    <x v="1"/>
    <n v="1"/>
    <n v="1"/>
    <n v="1"/>
    <n v="0"/>
    <n v="1"/>
    <n v="0"/>
    <n v="0"/>
    <n v="0"/>
    <n v="3.1661066958753779"/>
    <n v="0.10908033267710357"/>
    <x v="2"/>
    <n v="0"/>
  </r>
  <r>
    <x v="1242"/>
    <x v="32"/>
    <x v="0"/>
    <n v="611"/>
    <x v="0"/>
    <n v="7"/>
    <n v="4"/>
    <x v="2"/>
    <n v="2"/>
    <x v="1"/>
    <n v="88"/>
    <n v="3"/>
    <n v="5"/>
    <x v="5"/>
    <n v="2"/>
    <x v="0"/>
    <x v="1152"/>
    <n v="4349"/>
    <n v="1"/>
    <x v="1"/>
    <n v="0.14000000000000001"/>
    <n v="3"/>
    <n v="2"/>
    <n v="0"/>
    <n v="21"/>
    <n v="3"/>
    <n v="2"/>
    <x v="17"/>
    <n v="8"/>
    <n v="12"/>
    <n v="8"/>
    <x v="1"/>
    <n v="1"/>
    <n v="1"/>
    <n v="0"/>
    <n v="0"/>
    <n v="0"/>
    <n v="1"/>
    <n v="0"/>
    <n v="0"/>
    <n v="4.204533129978131"/>
    <n v="0.14485673308716898"/>
    <x v="2"/>
    <n v="0"/>
  </r>
  <r>
    <x v="1243"/>
    <x v="28"/>
    <x v="0"/>
    <n v="176"/>
    <x v="2"/>
    <n v="4"/>
    <n v="3"/>
    <x v="0"/>
    <n v="3"/>
    <x v="0"/>
    <n v="56"/>
    <n v="1"/>
    <n v="3"/>
    <x v="8"/>
    <n v="3"/>
    <x v="1"/>
    <x v="1153"/>
    <n v="6595"/>
    <n v="4"/>
    <x v="1"/>
    <n v="0.21"/>
    <n v="4"/>
    <n v="3"/>
    <n v="2"/>
    <n v="9"/>
    <n v="2"/>
    <n v="4"/>
    <x v="8"/>
    <n v="0"/>
    <n v="0"/>
    <n v="3"/>
    <x v="1"/>
    <n v="0"/>
    <n v="1"/>
    <n v="1"/>
    <n v="0"/>
    <n v="0"/>
    <n v="0"/>
    <n v="0"/>
    <n v="0"/>
    <n v="0"/>
    <n v="0"/>
    <x v="2"/>
    <n v="0"/>
  </r>
  <r>
    <x v="1244"/>
    <x v="7"/>
    <x v="1"/>
    <n v="1312"/>
    <x v="1"/>
    <n v="2"/>
    <n v="4"/>
    <x v="4"/>
    <n v="4"/>
    <x v="0"/>
    <n v="78"/>
    <n v="2"/>
    <n v="1"/>
    <x v="1"/>
    <n v="1"/>
    <x v="0"/>
    <x v="775"/>
    <n v="26427"/>
    <n v="0"/>
    <x v="1"/>
    <n v="0.16"/>
    <n v="3"/>
    <n v="4"/>
    <n v="0"/>
    <n v="10"/>
    <n v="2"/>
    <n v="3"/>
    <x v="7"/>
    <n v="7"/>
    <n v="0"/>
    <n v="7"/>
    <x v="1"/>
    <n v="0"/>
    <n v="2"/>
    <n v="0"/>
    <n v="0"/>
    <n v="0"/>
    <n v="1"/>
    <n v="0"/>
    <n v="1"/>
    <n v="9.3649231104683075"/>
    <n v="0.32264513691726432"/>
    <x v="0"/>
    <n v="0"/>
  </r>
  <r>
    <x v="1245"/>
    <x v="17"/>
    <x v="1"/>
    <n v="897"/>
    <x v="2"/>
    <n v="10"/>
    <n v="3"/>
    <x v="2"/>
    <n v="1"/>
    <x v="1"/>
    <n v="59"/>
    <n v="3"/>
    <n v="1"/>
    <x v="8"/>
    <n v="4"/>
    <x v="1"/>
    <x v="1154"/>
    <n v="2097"/>
    <n v="0"/>
    <x v="1"/>
    <n v="0.14000000000000001"/>
    <n v="3"/>
    <n v="4"/>
    <n v="1"/>
    <n v="3"/>
    <n v="2"/>
    <n v="3"/>
    <x v="4"/>
    <n v="2"/>
    <n v="2"/>
    <n v="1"/>
    <x v="1"/>
    <n v="1"/>
    <n v="2"/>
    <n v="1"/>
    <n v="0"/>
    <n v="0"/>
    <n v="0"/>
    <n v="1"/>
    <n v="1"/>
    <n v="11.654818917911005"/>
    <n v="0.40153780240992015"/>
    <x v="0"/>
    <n v="0"/>
  </r>
  <r>
    <x v="1246"/>
    <x v="7"/>
    <x v="1"/>
    <n v="600"/>
    <x v="2"/>
    <n v="8"/>
    <n v="3"/>
    <x v="5"/>
    <n v="3"/>
    <x v="0"/>
    <n v="66"/>
    <n v="2"/>
    <n v="1"/>
    <x v="8"/>
    <n v="4"/>
    <x v="2"/>
    <x v="1155"/>
    <n v="9732"/>
    <n v="6"/>
    <x v="1"/>
    <n v="0.11"/>
    <n v="3"/>
    <n v="3"/>
    <n v="1"/>
    <n v="6"/>
    <n v="0"/>
    <n v="2"/>
    <x v="9"/>
    <n v="2"/>
    <n v="1"/>
    <n v="2"/>
    <x v="0"/>
    <n v="0"/>
    <n v="2"/>
    <n v="2"/>
    <n v="0"/>
    <n v="0"/>
    <n v="0"/>
    <n v="1"/>
    <n v="1"/>
    <n v="11.654818917911005"/>
    <n v="0.40153780240992015"/>
    <x v="0"/>
    <n v="0"/>
  </r>
  <r>
    <x v="1247"/>
    <x v="12"/>
    <x v="0"/>
    <n v="1003"/>
    <x v="0"/>
    <n v="5"/>
    <n v="3"/>
    <x v="4"/>
    <n v="1"/>
    <x v="1"/>
    <n v="51"/>
    <n v="3"/>
    <n v="2"/>
    <x v="0"/>
    <n v="3"/>
    <x v="1"/>
    <x v="1156"/>
    <n v="20943"/>
    <n v="1"/>
    <x v="1"/>
    <n v="0.19"/>
    <n v="3"/>
    <n v="3"/>
    <n v="1"/>
    <n v="6"/>
    <n v="3"/>
    <n v="3"/>
    <x v="8"/>
    <n v="2"/>
    <n v="0"/>
    <n v="2"/>
    <x v="1"/>
    <n v="1"/>
    <n v="1"/>
    <n v="1"/>
    <n v="0"/>
    <n v="0"/>
    <n v="0"/>
    <n v="0"/>
    <n v="0"/>
    <n v="0"/>
    <n v="0"/>
    <x v="2"/>
    <n v="0"/>
  </r>
  <r>
    <x v="1248"/>
    <x v="4"/>
    <x v="0"/>
    <n v="1054"/>
    <x v="1"/>
    <n v="8"/>
    <n v="3"/>
    <x v="2"/>
    <n v="3"/>
    <x v="0"/>
    <n v="67"/>
    <n v="3"/>
    <n v="1"/>
    <x v="1"/>
    <n v="4"/>
    <x v="0"/>
    <x v="1157"/>
    <n v="6152"/>
    <n v="1"/>
    <x v="1"/>
    <n v="0.11"/>
    <n v="3"/>
    <n v="3"/>
    <n v="0"/>
    <n v="6"/>
    <n v="5"/>
    <n v="2"/>
    <x v="0"/>
    <n v="2"/>
    <n v="1"/>
    <n v="4"/>
    <x v="1"/>
    <n v="0"/>
    <n v="1"/>
    <n v="0"/>
    <n v="0"/>
    <n v="0"/>
    <n v="0"/>
    <n v="1"/>
    <n v="0"/>
    <n v="6.4944289374208282"/>
    <n v="0.22374939857982484"/>
    <x v="2"/>
    <n v="0"/>
  </r>
  <r>
    <x v="1249"/>
    <x v="11"/>
    <x v="0"/>
    <n v="428"/>
    <x v="0"/>
    <n v="9"/>
    <n v="3"/>
    <x v="3"/>
    <n v="2"/>
    <x v="0"/>
    <n v="52"/>
    <n v="1"/>
    <n v="1"/>
    <x v="6"/>
    <n v="2"/>
    <x v="0"/>
    <x v="1158"/>
    <n v="14630"/>
    <n v="1"/>
    <x v="1"/>
    <n v="0.13"/>
    <n v="3"/>
    <n v="3"/>
    <n v="0"/>
    <n v="2"/>
    <n v="3"/>
    <n v="3"/>
    <x v="4"/>
    <n v="2"/>
    <n v="2"/>
    <n v="2"/>
    <x v="0"/>
    <n v="0"/>
    <n v="1"/>
    <n v="0"/>
    <n v="0"/>
    <n v="0"/>
    <n v="1"/>
    <n v="1"/>
    <n v="0"/>
    <n v="10.698962067398959"/>
    <n v="0.3686061316669938"/>
    <x v="0"/>
    <n v="0"/>
  </r>
  <r>
    <x v="1250"/>
    <x v="11"/>
    <x v="1"/>
    <n v="461"/>
    <x v="1"/>
    <n v="1"/>
    <n v="3"/>
    <x v="0"/>
    <n v="4"/>
    <x v="1"/>
    <n v="70"/>
    <n v="4"/>
    <n v="2"/>
    <x v="4"/>
    <n v="3"/>
    <x v="0"/>
    <x v="1159"/>
    <n v="23060"/>
    <n v="8"/>
    <x v="0"/>
    <n v="0.12"/>
    <n v="3"/>
    <n v="4"/>
    <n v="0"/>
    <n v="10"/>
    <n v="5"/>
    <n v="4"/>
    <x v="11"/>
    <n v="2"/>
    <n v="0"/>
    <n v="2"/>
    <x v="1"/>
    <n v="1"/>
    <n v="2"/>
    <n v="0"/>
    <n v="1"/>
    <n v="0"/>
    <n v="0"/>
    <n v="0"/>
    <n v="1"/>
    <n v="15.160389980490176"/>
    <n v="0.52231353565590266"/>
    <x v="1"/>
    <n v="9441"/>
  </r>
  <r>
    <x v="1251"/>
    <x v="7"/>
    <x v="0"/>
    <n v="979"/>
    <x v="0"/>
    <n v="15"/>
    <n v="2"/>
    <x v="3"/>
    <n v="3"/>
    <x v="1"/>
    <n v="94"/>
    <n v="2"/>
    <n v="3"/>
    <x v="0"/>
    <n v="1"/>
    <x v="2"/>
    <x v="1160"/>
    <n v="3088"/>
    <n v="2"/>
    <x v="1"/>
    <n v="0.11"/>
    <n v="3"/>
    <n v="1"/>
    <n v="1"/>
    <n v="12"/>
    <n v="2"/>
    <n v="3"/>
    <x v="5"/>
    <n v="7"/>
    <n v="1"/>
    <n v="7"/>
    <x v="1"/>
    <n v="1"/>
    <n v="1"/>
    <n v="2"/>
    <n v="0"/>
    <n v="0"/>
    <n v="1"/>
    <n v="0"/>
    <n v="0"/>
    <n v="4.204533129978131"/>
    <n v="0.14485673308716898"/>
    <x v="2"/>
    <n v="0"/>
  </r>
  <r>
    <x v="1252"/>
    <x v="13"/>
    <x v="0"/>
    <n v="181"/>
    <x v="1"/>
    <n v="2"/>
    <n v="4"/>
    <x v="2"/>
    <n v="4"/>
    <x v="1"/>
    <n v="97"/>
    <n v="4"/>
    <n v="1"/>
    <x v="1"/>
    <n v="4"/>
    <x v="1"/>
    <x v="1161"/>
    <n v="5586"/>
    <n v="0"/>
    <x v="0"/>
    <n v="0.14000000000000001"/>
    <n v="3"/>
    <n v="1"/>
    <n v="3"/>
    <n v="6"/>
    <n v="3"/>
    <n v="3"/>
    <x v="8"/>
    <n v="0"/>
    <n v="1"/>
    <n v="2"/>
    <x v="1"/>
    <n v="1"/>
    <n v="1"/>
    <n v="1"/>
    <n v="1"/>
    <n v="0"/>
    <n v="0"/>
    <n v="1"/>
    <n v="0"/>
    <n v="16.494428937420828"/>
    <n v="0.56827453040563214"/>
    <x v="1"/>
    <n v="4398"/>
  </r>
  <r>
    <x v="1253"/>
    <x v="3"/>
    <x v="2"/>
    <n v="1283"/>
    <x v="0"/>
    <n v="2"/>
    <n v="3"/>
    <x v="3"/>
    <n v="4"/>
    <x v="0"/>
    <n v="62"/>
    <n v="3"/>
    <n v="2"/>
    <x v="0"/>
    <n v="2"/>
    <x v="0"/>
    <x v="1162"/>
    <n v="10697"/>
    <n v="8"/>
    <x v="1"/>
    <n v="0.15"/>
    <n v="3"/>
    <n v="4"/>
    <n v="0"/>
    <n v="13"/>
    <n v="2"/>
    <n v="2"/>
    <x v="19"/>
    <n v="7"/>
    <n v="1"/>
    <n v="7"/>
    <x v="1"/>
    <n v="0"/>
    <n v="0"/>
    <n v="0"/>
    <n v="0"/>
    <n v="0"/>
    <n v="1"/>
    <n v="0"/>
    <n v="0"/>
    <n v="4.204533129978131"/>
    <n v="0.14485673308716898"/>
    <x v="2"/>
    <n v="0"/>
  </r>
  <r>
    <x v="1254"/>
    <x v="1"/>
    <x v="0"/>
    <n v="1313"/>
    <x v="0"/>
    <n v="11"/>
    <n v="4"/>
    <x v="3"/>
    <n v="4"/>
    <x v="0"/>
    <n v="80"/>
    <n v="3"/>
    <n v="2"/>
    <x v="0"/>
    <n v="4"/>
    <x v="0"/>
    <x v="1163"/>
    <n v="8191"/>
    <n v="3"/>
    <x v="1"/>
    <n v="0.12"/>
    <n v="3"/>
    <n v="3"/>
    <n v="0"/>
    <n v="8"/>
    <n v="1"/>
    <n v="4"/>
    <x v="8"/>
    <n v="1"/>
    <n v="0"/>
    <n v="4"/>
    <x v="1"/>
    <n v="0"/>
    <n v="1"/>
    <n v="0"/>
    <n v="0"/>
    <n v="0"/>
    <n v="0"/>
    <n v="1"/>
    <n v="0"/>
    <n v="6.4944289374208282"/>
    <n v="0.22374939857982484"/>
    <x v="2"/>
    <n v="0"/>
  </r>
  <r>
    <x v="1255"/>
    <x v="3"/>
    <x v="0"/>
    <n v="211"/>
    <x v="0"/>
    <n v="16"/>
    <n v="3"/>
    <x v="0"/>
    <n v="1"/>
    <x v="0"/>
    <n v="74"/>
    <n v="3"/>
    <n v="3"/>
    <x v="0"/>
    <n v="1"/>
    <x v="0"/>
    <x v="1164"/>
    <n v="10092"/>
    <n v="2"/>
    <x v="0"/>
    <n v="0.2"/>
    <n v="4"/>
    <n v="3"/>
    <n v="0"/>
    <n v="11"/>
    <n v="2"/>
    <n v="2"/>
    <x v="2"/>
    <n v="0"/>
    <n v="0"/>
    <n v="0"/>
    <x v="0"/>
    <n v="0"/>
    <n v="1"/>
    <n v="0"/>
    <n v="1"/>
    <n v="1"/>
    <n v="1"/>
    <n v="0"/>
    <n v="0"/>
    <n v="17.370639825853509"/>
    <n v="0.59846219759007979"/>
    <x v="1"/>
    <n v="12846"/>
  </r>
  <r>
    <x v="1256"/>
    <x v="8"/>
    <x v="1"/>
    <n v="594"/>
    <x v="1"/>
    <n v="2"/>
    <n v="2"/>
    <x v="2"/>
    <n v="3"/>
    <x v="0"/>
    <n v="75"/>
    <n v="2"/>
    <n v="1"/>
    <x v="2"/>
    <n v="2"/>
    <x v="1"/>
    <x v="1165"/>
    <n v="15963"/>
    <n v="4"/>
    <x v="1"/>
    <n v="0.14000000000000001"/>
    <n v="3"/>
    <n v="2"/>
    <n v="1"/>
    <n v="9"/>
    <n v="4"/>
    <n v="2"/>
    <x v="0"/>
    <n v="1"/>
    <n v="0"/>
    <n v="5"/>
    <x v="1"/>
    <n v="0"/>
    <n v="2"/>
    <n v="1"/>
    <n v="0"/>
    <n v="0"/>
    <n v="1"/>
    <n v="1"/>
    <n v="1"/>
    <n v="15.859352047889136"/>
    <n v="0.54639453549708916"/>
    <x v="1"/>
    <n v="3702"/>
  </r>
  <r>
    <x v="1257"/>
    <x v="12"/>
    <x v="0"/>
    <n v="1079"/>
    <x v="0"/>
    <n v="16"/>
    <n v="4"/>
    <x v="3"/>
    <n v="1"/>
    <x v="1"/>
    <n v="70"/>
    <n v="3"/>
    <n v="3"/>
    <x v="0"/>
    <n v="3"/>
    <x v="1"/>
    <x v="1166"/>
    <n v="19002"/>
    <n v="2"/>
    <x v="1"/>
    <n v="0.13"/>
    <n v="3"/>
    <n v="1"/>
    <n v="3"/>
    <n v="10"/>
    <n v="2"/>
    <n v="3"/>
    <x v="6"/>
    <n v="0"/>
    <n v="0"/>
    <n v="0"/>
    <x v="0"/>
    <n v="1"/>
    <n v="1"/>
    <n v="1"/>
    <n v="0"/>
    <n v="1"/>
    <n v="0"/>
    <n v="0"/>
    <n v="0"/>
    <n v="3.1661066958753779"/>
    <n v="0.10908033267710357"/>
    <x v="2"/>
    <n v="0"/>
  </r>
  <r>
    <x v="1258"/>
    <x v="11"/>
    <x v="0"/>
    <n v="590"/>
    <x v="1"/>
    <n v="4"/>
    <n v="3"/>
    <x v="4"/>
    <n v="4"/>
    <x v="0"/>
    <n v="91"/>
    <n v="2"/>
    <n v="1"/>
    <x v="1"/>
    <n v="1"/>
    <x v="2"/>
    <x v="971"/>
    <n v="10007"/>
    <n v="1"/>
    <x v="1"/>
    <n v="0.13"/>
    <n v="3"/>
    <n v="3"/>
    <n v="1"/>
    <n v="1"/>
    <n v="2"/>
    <n v="3"/>
    <x v="6"/>
    <n v="0"/>
    <n v="0"/>
    <n v="0"/>
    <x v="1"/>
    <n v="0"/>
    <n v="1"/>
    <n v="2"/>
    <n v="0"/>
    <n v="0"/>
    <n v="1"/>
    <n v="1"/>
    <n v="0"/>
    <n v="10.698962067398959"/>
    <n v="0.3686061316669938"/>
    <x v="0"/>
    <n v="0"/>
  </r>
  <r>
    <x v="1259"/>
    <x v="7"/>
    <x v="0"/>
    <n v="305"/>
    <x v="1"/>
    <n v="16"/>
    <n v="3"/>
    <x v="0"/>
    <n v="3"/>
    <x v="1"/>
    <n v="58"/>
    <n v="4"/>
    <n v="2"/>
    <x v="4"/>
    <n v="3"/>
    <x v="1"/>
    <x v="1167"/>
    <n v="9128"/>
    <n v="3"/>
    <x v="1"/>
    <n v="0.16"/>
    <n v="3"/>
    <n v="3"/>
    <n v="1"/>
    <n v="10"/>
    <n v="3"/>
    <n v="3"/>
    <x v="5"/>
    <n v="0"/>
    <n v="1"/>
    <n v="7"/>
    <x v="1"/>
    <n v="1"/>
    <n v="1"/>
    <n v="1"/>
    <n v="0"/>
    <n v="1"/>
    <n v="0"/>
    <n v="0"/>
    <n v="0"/>
    <n v="3.1661066958753779"/>
    <n v="0.10908033267710357"/>
    <x v="2"/>
    <n v="0"/>
  </r>
  <r>
    <x v="1260"/>
    <x v="5"/>
    <x v="2"/>
    <n v="953"/>
    <x v="1"/>
    <n v="5"/>
    <n v="4"/>
    <x v="4"/>
    <n v="2"/>
    <x v="1"/>
    <n v="65"/>
    <n v="3"/>
    <n v="1"/>
    <x v="1"/>
    <n v="2"/>
    <x v="0"/>
    <x v="1168"/>
    <n v="17674"/>
    <n v="2"/>
    <x v="1"/>
    <n v="0.14000000000000001"/>
    <n v="3"/>
    <n v="2"/>
    <n v="0"/>
    <n v="12"/>
    <n v="3"/>
    <n v="3"/>
    <x v="5"/>
    <n v="7"/>
    <n v="0"/>
    <n v="7"/>
    <x v="1"/>
    <n v="1"/>
    <n v="0"/>
    <n v="0"/>
    <n v="0"/>
    <n v="0"/>
    <n v="1"/>
    <n v="1"/>
    <n v="0"/>
    <n v="10.698962067398959"/>
    <n v="0.3686061316669938"/>
    <x v="0"/>
    <n v="0"/>
  </r>
  <r>
    <x v="1261"/>
    <x v="8"/>
    <x v="0"/>
    <n v="833"/>
    <x v="1"/>
    <n v="18"/>
    <n v="3"/>
    <x v="2"/>
    <n v="2"/>
    <x v="1"/>
    <n v="60"/>
    <n v="1"/>
    <n v="2"/>
    <x v="4"/>
    <n v="4"/>
    <x v="1"/>
    <x v="1169"/>
    <n v="24539"/>
    <n v="3"/>
    <x v="0"/>
    <n v="0.16"/>
    <n v="3"/>
    <n v="3"/>
    <n v="1"/>
    <n v="15"/>
    <n v="2"/>
    <n v="3"/>
    <x v="6"/>
    <n v="0"/>
    <n v="1"/>
    <n v="0"/>
    <x v="1"/>
    <n v="1"/>
    <n v="1"/>
    <n v="1"/>
    <n v="1"/>
    <n v="1"/>
    <n v="0"/>
    <n v="0"/>
    <n v="0"/>
    <n v="13.166106695875378"/>
    <n v="0.45360546450291089"/>
    <x v="0"/>
    <n v="0"/>
  </r>
  <r>
    <x v="1262"/>
    <x v="23"/>
    <x v="1"/>
    <n v="807"/>
    <x v="1"/>
    <n v="17"/>
    <n v="3"/>
    <x v="4"/>
    <n v="3"/>
    <x v="1"/>
    <n v="38"/>
    <n v="2"/>
    <n v="1"/>
    <x v="1"/>
    <n v="3"/>
    <x v="1"/>
    <x v="1170"/>
    <n v="15587"/>
    <n v="9"/>
    <x v="0"/>
    <n v="0.16"/>
    <n v="3"/>
    <n v="4"/>
    <n v="1"/>
    <n v="6"/>
    <n v="4"/>
    <n v="3"/>
    <x v="6"/>
    <n v="0"/>
    <n v="0"/>
    <n v="0"/>
    <x v="0"/>
    <n v="1"/>
    <n v="2"/>
    <n v="1"/>
    <n v="1"/>
    <n v="1"/>
    <n v="0"/>
    <n v="1"/>
    <n v="1"/>
    <n v="24.820925613786383"/>
    <n v="0.85514326691283105"/>
    <x v="3"/>
    <n v="3655.5"/>
  </r>
  <r>
    <x v="1263"/>
    <x v="19"/>
    <x v="0"/>
    <n v="855"/>
    <x v="1"/>
    <n v="12"/>
    <n v="3"/>
    <x v="2"/>
    <n v="2"/>
    <x v="1"/>
    <n v="57"/>
    <n v="3"/>
    <n v="1"/>
    <x v="2"/>
    <n v="2"/>
    <x v="2"/>
    <x v="1171"/>
    <n v="8952"/>
    <n v="8"/>
    <x v="1"/>
    <n v="0.22"/>
    <n v="4"/>
    <n v="2"/>
    <n v="3"/>
    <n v="7"/>
    <n v="6"/>
    <n v="2"/>
    <x v="8"/>
    <n v="3"/>
    <n v="0"/>
    <n v="4"/>
    <x v="1"/>
    <n v="1"/>
    <n v="1"/>
    <n v="2"/>
    <n v="0"/>
    <n v="0"/>
    <n v="1"/>
    <n v="1"/>
    <n v="0"/>
    <n v="10.698962067398959"/>
    <n v="0.3686061316669938"/>
    <x v="0"/>
    <n v="0"/>
  </r>
  <r>
    <x v="1264"/>
    <x v="27"/>
    <x v="0"/>
    <n v="478"/>
    <x v="1"/>
    <n v="2"/>
    <n v="3"/>
    <x v="2"/>
    <n v="3"/>
    <x v="1"/>
    <n v="60"/>
    <n v="2"/>
    <n v="5"/>
    <x v="7"/>
    <n v="1"/>
    <x v="1"/>
    <x v="1172"/>
    <n v="19805"/>
    <n v="8"/>
    <x v="1"/>
    <n v="0.12"/>
    <n v="3"/>
    <n v="2"/>
    <n v="3"/>
    <n v="34"/>
    <n v="2"/>
    <n v="3"/>
    <x v="6"/>
    <n v="0"/>
    <n v="0"/>
    <n v="0"/>
    <x v="1"/>
    <n v="1"/>
    <n v="1"/>
    <n v="1"/>
    <n v="0"/>
    <n v="0"/>
    <n v="1"/>
    <n v="0"/>
    <n v="0"/>
    <n v="4.204533129978131"/>
    <n v="0.14485673308716898"/>
    <x v="2"/>
    <n v="0"/>
  </r>
  <r>
    <x v="1265"/>
    <x v="3"/>
    <x v="2"/>
    <n v="775"/>
    <x v="1"/>
    <n v="4"/>
    <n v="3"/>
    <x v="4"/>
    <n v="4"/>
    <x v="1"/>
    <n v="90"/>
    <n v="3"/>
    <n v="2"/>
    <x v="1"/>
    <n v="2"/>
    <x v="2"/>
    <x v="1173"/>
    <n v="6194"/>
    <n v="5"/>
    <x v="1"/>
    <n v="0.15"/>
    <n v="3"/>
    <n v="4"/>
    <n v="2"/>
    <n v="11"/>
    <n v="2"/>
    <n v="2"/>
    <x v="7"/>
    <n v="8"/>
    <n v="1"/>
    <n v="7"/>
    <x v="1"/>
    <n v="1"/>
    <n v="0"/>
    <n v="2"/>
    <n v="0"/>
    <n v="0"/>
    <n v="1"/>
    <n v="1"/>
    <n v="0"/>
    <n v="10.698962067398959"/>
    <n v="0.3686061316669938"/>
    <x v="0"/>
    <n v="0"/>
  </r>
  <r>
    <x v="1266"/>
    <x v="0"/>
    <x v="0"/>
    <n v="548"/>
    <x v="1"/>
    <n v="9"/>
    <n v="4"/>
    <x v="0"/>
    <n v="3"/>
    <x v="1"/>
    <n v="94"/>
    <n v="3"/>
    <n v="1"/>
    <x v="2"/>
    <n v="1"/>
    <x v="2"/>
    <x v="1174"/>
    <n v="20520"/>
    <n v="1"/>
    <x v="1"/>
    <n v="0.2"/>
    <n v="4"/>
    <n v="2"/>
    <n v="2"/>
    <n v="5"/>
    <n v="2"/>
    <n v="3"/>
    <x v="8"/>
    <n v="3"/>
    <n v="0"/>
    <n v="4"/>
    <x v="1"/>
    <n v="1"/>
    <n v="1"/>
    <n v="2"/>
    <n v="0"/>
    <n v="0"/>
    <n v="1"/>
    <n v="1"/>
    <n v="0"/>
    <n v="10.698962067398959"/>
    <n v="0.3686061316669938"/>
    <x v="0"/>
    <n v="0"/>
  </r>
  <r>
    <x v="1267"/>
    <x v="13"/>
    <x v="2"/>
    <n v="1375"/>
    <x v="0"/>
    <n v="10"/>
    <n v="3"/>
    <x v="0"/>
    <n v="4"/>
    <x v="1"/>
    <n v="87"/>
    <n v="3"/>
    <n v="2"/>
    <x v="0"/>
    <n v="3"/>
    <x v="2"/>
    <x v="1175"/>
    <n v="12313"/>
    <n v="1"/>
    <x v="0"/>
    <n v="0.14000000000000001"/>
    <n v="3"/>
    <n v="3"/>
    <n v="1"/>
    <n v="15"/>
    <n v="3"/>
    <n v="3"/>
    <x v="15"/>
    <n v="14"/>
    <n v="0"/>
    <n v="7"/>
    <x v="1"/>
    <n v="1"/>
    <n v="0"/>
    <n v="2"/>
    <n v="1"/>
    <n v="0"/>
    <n v="0"/>
    <n v="1"/>
    <n v="0"/>
    <n v="16.494428937420828"/>
    <n v="0.56827453040563214"/>
    <x v="1"/>
    <n v="6001.5"/>
  </r>
  <r>
    <x v="1268"/>
    <x v="16"/>
    <x v="2"/>
    <n v="661"/>
    <x v="1"/>
    <n v="1"/>
    <n v="4"/>
    <x v="2"/>
    <n v="1"/>
    <x v="0"/>
    <n v="60"/>
    <n v="2"/>
    <n v="4"/>
    <x v="3"/>
    <n v="3"/>
    <x v="1"/>
    <x v="1176"/>
    <n v="22308"/>
    <n v="4"/>
    <x v="0"/>
    <n v="0.2"/>
    <n v="4"/>
    <n v="4"/>
    <n v="3"/>
    <n v="27"/>
    <n v="2"/>
    <n v="2"/>
    <x v="11"/>
    <n v="2"/>
    <n v="0"/>
    <n v="2"/>
    <x v="1"/>
    <n v="0"/>
    <n v="0"/>
    <n v="1"/>
    <n v="1"/>
    <n v="0"/>
    <n v="0"/>
    <n v="0"/>
    <n v="0"/>
    <n v="10"/>
    <n v="0.3445251318258073"/>
    <x v="0"/>
    <n v="0"/>
  </r>
  <r>
    <x v="1269"/>
    <x v="23"/>
    <x v="0"/>
    <n v="244"/>
    <x v="2"/>
    <n v="2"/>
    <n v="3"/>
    <x v="0"/>
    <n v="2"/>
    <x v="1"/>
    <n v="97"/>
    <n v="3"/>
    <n v="1"/>
    <x v="8"/>
    <n v="4"/>
    <x v="0"/>
    <x v="1177"/>
    <n v="5033"/>
    <n v="0"/>
    <x v="1"/>
    <n v="0.13"/>
    <n v="3"/>
    <n v="2"/>
    <n v="0"/>
    <n v="10"/>
    <n v="5"/>
    <n v="3"/>
    <x v="7"/>
    <n v="7"/>
    <n v="1"/>
    <n v="8"/>
    <x v="1"/>
    <n v="1"/>
    <n v="1"/>
    <n v="0"/>
    <n v="0"/>
    <n v="0"/>
    <n v="0"/>
    <n v="1"/>
    <n v="0"/>
    <n v="6.4944289374208282"/>
    <n v="0.22374939857982484"/>
    <x v="2"/>
    <n v="0"/>
  </r>
  <r>
    <x v="1270"/>
    <x v="13"/>
    <x v="0"/>
    <n v="511"/>
    <x v="0"/>
    <n v="3"/>
    <n v="2"/>
    <x v="0"/>
    <n v="4"/>
    <x v="0"/>
    <n v="32"/>
    <n v="1"/>
    <n v="2"/>
    <x v="0"/>
    <n v="4"/>
    <x v="0"/>
    <x v="1178"/>
    <n v="25353"/>
    <n v="5"/>
    <x v="1"/>
    <n v="0.12"/>
    <n v="3"/>
    <n v="1"/>
    <n v="0"/>
    <n v="6"/>
    <n v="3"/>
    <n v="3"/>
    <x v="4"/>
    <n v="2"/>
    <n v="2"/>
    <n v="2"/>
    <x v="1"/>
    <n v="0"/>
    <n v="1"/>
    <n v="0"/>
    <n v="0"/>
    <n v="0"/>
    <n v="0"/>
    <n v="0"/>
    <n v="0"/>
    <n v="0"/>
    <n v="0"/>
    <x v="2"/>
    <n v="0"/>
  </r>
  <r>
    <x v="1271"/>
    <x v="18"/>
    <x v="0"/>
    <n v="337"/>
    <x v="0"/>
    <n v="7"/>
    <n v="1"/>
    <x v="3"/>
    <n v="2"/>
    <x v="1"/>
    <n v="31"/>
    <n v="3"/>
    <n v="1"/>
    <x v="6"/>
    <n v="2"/>
    <x v="0"/>
    <x v="1179"/>
    <n v="4567"/>
    <n v="1"/>
    <x v="1"/>
    <n v="0.13"/>
    <n v="3"/>
    <n v="2"/>
    <n v="0"/>
    <n v="1"/>
    <n v="3"/>
    <n v="3"/>
    <x v="6"/>
    <n v="0"/>
    <n v="1"/>
    <n v="0"/>
    <x v="0"/>
    <n v="1"/>
    <n v="1"/>
    <n v="0"/>
    <n v="0"/>
    <n v="0"/>
    <n v="1"/>
    <n v="1"/>
    <n v="0"/>
    <n v="10.698962067398959"/>
    <n v="0.3686061316669938"/>
    <x v="0"/>
    <n v="0"/>
  </r>
  <r>
    <x v="1272"/>
    <x v="8"/>
    <x v="0"/>
    <n v="1153"/>
    <x v="1"/>
    <n v="6"/>
    <n v="2"/>
    <x v="1"/>
    <n v="4"/>
    <x v="0"/>
    <n v="40"/>
    <n v="2"/>
    <n v="1"/>
    <x v="2"/>
    <n v="3"/>
    <x v="1"/>
    <x v="1180"/>
    <n v="16376"/>
    <n v="1"/>
    <x v="1"/>
    <n v="0.11"/>
    <n v="3"/>
    <n v="2"/>
    <n v="1"/>
    <n v="5"/>
    <n v="3"/>
    <n v="3"/>
    <x v="8"/>
    <n v="4"/>
    <n v="0"/>
    <n v="4"/>
    <x v="1"/>
    <n v="0"/>
    <n v="1"/>
    <n v="1"/>
    <n v="0"/>
    <n v="0"/>
    <n v="0"/>
    <n v="1"/>
    <n v="0"/>
    <n v="6.4944289374208282"/>
    <n v="0.22374939857982484"/>
    <x v="2"/>
    <n v="0"/>
  </r>
  <r>
    <x v="1273"/>
    <x v="15"/>
    <x v="0"/>
    <n v="1294"/>
    <x v="1"/>
    <n v="8"/>
    <n v="1"/>
    <x v="2"/>
    <n v="3"/>
    <x v="0"/>
    <n v="79"/>
    <n v="3"/>
    <n v="1"/>
    <x v="2"/>
    <n v="1"/>
    <x v="1"/>
    <x v="1181"/>
    <n v="15999"/>
    <n v="1"/>
    <x v="0"/>
    <n v="0.17"/>
    <n v="3"/>
    <n v="3"/>
    <n v="0"/>
    <n v="1"/>
    <n v="6"/>
    <n v="3"/>
    <x v="6"/>
    <n v="0"/>
    <n v="0"/>
    <n v="0"/>
    <x v="0"/>
    <n v="0"/>
    <n v="1"/>
    <n v="1"/>
    <n v="1"/>
    <n v="0"/>
    <n v="1"/>
    <n v="1"/>
    <n v="0"/>
    <n v="20.698962067398959"/>
    <n v="0.71313126349280109"/>
    <x v="1"/>
    <n v="3597"/>
  </r>
  <r>
    <x v="1274"/>
    <x v="12"/>
    <x v="0"/>
    <n v="196"/>
    <x v="0"/>
    <n v="29"/>
    <n v="4"/>
    <x v="3"/>
    <n v="1"/>
    <x v="0"/>
    <n v="91"/>
    <n v="2"/>
    <n v="2"/>
    <x v="0"/>
    <n v="4"/>
    <x v="1"/>
    <x v="1182"/>
    <n v="13402"/>
    <n v="1"/>
    <x v="1"/>
    <n v="0.14000000000000001"/>
    <n v="3"/>
    <n v="1"/>
    <n v="2"/>
    <n v="13"/>
    <n v="3"/>
    <n v="3"/>
    <x v="12"/>
    <n v="7"/>
    <n v="5"/>
    <n v="7"/>
    <x v="1"/>
    <n v="0"/>
    <n v="1"/>
    <n v="1"/>
    <n v="0"/>
    <n v="1"/>
    <n v="0"/>
    <n v="0"/>
    <n v="0"/>
    <n v="3.1661066958753779"/>
    <n v="0.10908033267710357"/>
    <x v="2"/>
    <n v="0"/>
  </r>
  <r>
    <x v="1275"/>
    <x v="31"/>
    <x v="0"/>
    <n v="942"/>
    <x v="1"/>
    <n v="3"/>
    <n v="3"/>
    <x v="4"/>
    <n v="1"/>
    <x v="0"/>
    <n v="53"/>
    <n v="3"/>
    <n v="3"/>
    <x v="5"/>
    <n v="3"/>
    <x v="1"/>
    <x v="1183"/>
    <n v="22984"/>
    <n v="2"/>
    <x v="1"/>
    <n v="0.11"/>
    <n v="3"/>
    <n v="4"/>
    <n v="0"/>
    <n v="15"/>
    <n v="2"/>
    <n v="3"/>
    <x v="4"/>
    <n v="2"/>
    <n v="2"/>
    <n v="2"/>
    <x v="1"/>
    <n v="0"/>
    <n v="1"/>
    <n v="1"/>
    <n v="0"/>
    <n v="0"/>
    <n v="0"/>
    <n v="0"/>
    <n v="0"/>
    <n v="0"/>
    <n v="0"/>
    <x v="2"/>
    <n v="0"/>
  </r>
  <r>
    <x v="1276"/>
    <x v="2"/>
    <x v="0"/>
    <n v="589"/>
    <x v="0"/>
    <n v="9"/>
    <n v="2"/>
    <x v="3"/>
    <n v="2"/>
    <x v="1"/>
    <n v="46"/>
    <n v="2"/>
    <n v="2"/>
    <x v="0"/>
    <n v="2"/>
    <x v="1"/>
    <x v="1184"/>
    <n v="8800"/>
    <n v="1"/>
    <x v="1"/>
    <n v="0.14000000000000001"/>
    <n v="3"/>
    <n v="1"/>
    <n v="2"/>
    <n v="5"/>
    <n v="2"/>
    <n v="3"/>
    <x v="8"/>
    <n v="2"/>
    <n v="0"/>
    <n v="3"/>
    <x v="1"/>
    <n v="1"/>
    <n v="1"/>
    <n v="1"/>
    <n v="0"/>
    <n v="0"/>
    <n v="1"/>
    <n v="1"/>
    <n v="0"/>
    <n v="10.698962067398959"/>
    <n v="0.3686061316669938"/>
    <x v="0"/>
    <n v="0"/>
  </r>
  <r>
    <x v="1277"/>
    <x v="21"/>
    <x v="0"/>
    <n v="734"/>
    <x v="1"/>
    <n v="2"/>
    <n v="4"/>
    <x v="2"/>
    <n v="3"/>
    <x v="1"/>
    <n v="46"/>
    <n v="3"/>
    <n v="5"/>
    <x v="7"/>
    <n v="4"/>
    <x v="2"/>
    <x v="1185"/>
    <n v="14218"/>
    <n v="7"/>
    <x v="0"/>
    <n v="0.17"/>
    <n v="3"/>
    <n v="3"/>
    <n v="1"/>
    <n v="24"/>
    <n v="3"/>
    <n v="3"/>
    <x v="4"/>
    <n v="1"/>
    <n v="2"/>
    <n v="2"/>
    <x v="1"/>
    <n v="1"/>
    <n v="1"/>
    <n v="2"/>
    <n v="1"/>
    <n v="0"/>
    <n v="0"/>
    <n v="0"/>
    <n v="0"/>
    <n v="10"/>
    <n v="0.3445251318258073"/>
    <x v="0"/>
    <n v="0"/>
  </r>
  <r>
    <x v="1278"/>
    <x v="9"/>
    <x v="0"/>
    <n v="1383"/>
    <x v="1"/>
    <n v="10"/>
    <n v="3"/>
    <x v="0"/>
    <n v="4"/>
    <x v="1"/>
    <n v="90"/>
    <n v="3"/>
    <n v="3"/>
    <x v="4"/>
    <n v="1"/>
    <x v="1"/>
    <x v="1186"/>
    <n v="25949"/>
    <n v="7"/>
    <x v="0"/>
    <n v="0.13"/>
    <n v="3"/>
    <n v="4"/>
    <n v="1"/>
    <n v="15"/>
    <n v="1"/>
    <n v="3"/>
    <x v="12"/>
    <n v="8"/>
    <n v="5"/>
    <n v="7"/>
    <x v="1"/>
    <n v="1"/>
    <n v="1"/>
    <n v="1"/>
    <n v="1"/>
    <n v="0"/>
    <n v="1"/>
    <n v="0"/>
    <n v="0"/>
    <n v="14.204533129978131"/>
    <n v="0.48938186491297625"/>
    <x v="0"/>
    <n v="0"/>
  </r>
  <r>
    <x v="1279"/>
    <x v="20"/>
    <x v="1"/>
    <n v="429"/>
    <x v="1"/>
    <n v="1"/>
    <n v="2"/>
    <x v="2"/>
    <n v="3"/>
    <x v="1"/>
    <n v="99"/>
    <n v="3"/>
    <n v="1"/>
    <x v="1"/>
    <n v="2"/>
    <x v="2"/>
    <x v="531"/>
    <n v="11092"/>
    <n v="1"/>
    <x v="0"/>
    <n v="0.12"/>
    <n v="3"/>
    <n v="3"/>
    <n v="3"/>
    <n v="6"/>
    <n v="2"/>
    <n v="2"/>
    <x v="8"/>
    <n v="3"/>
    <n v="2"/>
    <n v="3"/>
    <x v="0"/>
    <n v="1"/>
    <n v="2"/>
    <n v="2"/>
    <n v="1"/>
    <n v="0"/>
    <n v="1"/>
    <n v="1"/>
    <n v="1"/>
    <n v="25.859352047889136"/>
    <n v="0.8909196673228964"/>
    <x v="3"/>
    <n v="3513"/>
  </r>
  <r>
    <x v="1280"/>
    <x v="2"/>
    <x v="0"/>
    <n v="1239"/>
    <x v="2"/>
    <n v="8"/>
    <n v="2"/>
    <x v="1"/>
    <n v="3"/>
    <x v="1"/>
    <n v="89"/>
    <n v="3"/>
    <n v="2"/>
    <x v="8"/>
    <n v="2"/>
    <x v="2"/>
    <x v="1187"/>
    <n v="12832"/>
    <n v="2"/>
    <x v="1"/>
    <n v="0.13"/>
    <n v="3"/>
    <n v="3"/>
    <n v="0"/>
    <n v="19"/>
    <n v="4"/>
    <n v="2"/>
    <x v="1"/>
    <n v="0"/>
    <n v="4"/>
    <n v="7"/>
    <x v="1"/>
    <n v="1"/>
    <n v="1"/>
    <n v="2"/>
    <n v="0"/>
    <n v="0"/>
    <n v="1"/>
    <n v="1"/>
    <n v="0"/>
    <n v="10.698962067398959"/>
    <n v="0.3686061316669938"/>
    <x v="0"/>
    <n v="0"/>
  </r>
  <r>
    <x v="1281"/>
    <x v="10"/>
    <x v="0"/>
    <n v="303"/>
    <x v="0"/>
    <n v="27"/>
    <n v="3"/>
    <x v="0"/>
    <n v="3"/>
    <x v="1"/>
    <n v="84"/>
    <n v="3"/>
    <n v="2"/>
    <x v="0"/>
    <n v="4"/>
    <x v="0"/>
    <x v="1188"/>
    <n v="13492"/>
    <n v="1"/>
    <x v="0"/>
    <n v="0.18"/>
    <n v="3"/>
    <n v="4"/>
    <n v="0"/>
    <n v="10"/>
    <n v="2"/>
    <n v="3"/>
    <x v="1"/>
    <n v="7"/>
    <n v="7"/>
    <n v="7"/>
    <x v="0"/>
    <n v="1"/>
    <n v="1"/>
    <n v="0"/>
    <n v="1"/>
    <n v="1"/>
    <n v="0"/>
    <n v="0"/>
    <n v="0"/>
    <n v="13.166106695875378"/>
    <n v="0.45360546450291089"/>
    <x v="0"/>
    <n v="0"/>
  </r>
  <r>
    <x v="1282"/>
    <x v="3"/>
    <x v="0"/>
    <n v="867"/>
    <x v="1"/>
    <n v="8"/>
    <n v="4"/>
    <x v="0"/>
    <n v="4"/>
    <x v="1"/>
    <n v="90"/>
    <n v="4"/>
    <n v="1"/>
    <x v="1"/>
    <n v="1"/>
    <x v="1"/>
    <x v="1189"/>
    <n v="6076"/>
    <n v="6"/>
    <x v="1"/>
    <n v="0.19"/>
    <n v="3"/>
    <n v="2"/>
    <n v="1"/>
    <n v="14"/>
    <n v="1"/>
    <n v="3"/>
    <x v="1"/>
    <n v="8"/>
    <n v="7"/>
    <n v="6"/>
    <x v="1"/>
    <n v="1"/>
    <n v="1"/>
    <n v="1"/>
    <n v="0"/>
    <n v="0"/>
    <n v="1"/>
    <n v="1"/>
    <n v="0"/>
    <n v="10.698962067398959"/>
    <n v="0.3686061316669938"/>
    <x v="0"/>
    <n v="0"/>
  </r>
  <r>
    <x v="1283"/>
    <x v="14"/>
    <x v="0"/>
    <n v="1181"/>
    <x v="1"/>
    <n v="1"/>
    <n v="3"/>
    <x v="0"/>
    <n v="3"/>
    <x v="1"/>
    <n v="82"/>
    <n v="3"/>
    <n v="1"/>
    <x v="1"/>
    <n v="4"/>
    <x v="1"/>
    <x v="633"/>
    <n v="5531"/>
    <n v="1"/>
    <x v="1"/>
    <n v="0.11"/>
    <n v="3"/>
    <n v="3"/>
    <n v="1"/>
    <n v="5"/>
    <n v="6"/>
    <n v="4"/>
    <x v="8"/>
    <n v="3"/>
    <n v="0"/>
    <n v="3"/>
    <x v="1"/>
    <n v="1"/>
    <n v="1"/>
    <n v="1"/>
    <n v="0"/>
    <n v="0"/>
    <n v="0"/>
    <n v="1"/>
    <n v="0"/>
    <n v="6.4944289374208282"/>
    <n v="0.22374939857982484"/>
    <x v="2"/>
    <n v="0"/>
  </r>
  <r>
    <x v="1284"/>
    <x v="22"/>
    <x v="0"/>
    <n v="1253"/>
    <x v="1"/>
    <n v="10"/>
    <n v="1"/>
    <x v="2"/>
    <n v="3"/>
    <x v="1"/>
    <n v="65"/>
    <n v="3"/>
    <n v="3"/>
    <x v="7"/>
    <n v="3"/>
    <x v="0"/>
    <x v="1190"/>
    <n v="7914"/>
    <n v="7"/>
    <x v="1"/>
    <n v="0.21"/>
    <n v="4"/>
    <n v="3"/>
    <n v="0"/>
    <n v="9"/>
    <n v="3"/>
    <n v="3"/>
    <x v="9"/>
    <n v="3"/>
    <n v="2"/>
    <n v="2"/>
    <x v="1"/>
    <n v="1"/>
    <n v="1"/>
    <n v="0"/>
    <n v="0"/>
    <n v="0"/>
    <n v="0"/>
    <n v="0"/>
    <n v="0"/>
    <n v="0"/>
    <n v="0"/>
    <x v="2"/>
    <n v="0"/>
  </r>
  <r>
    <x v="1285"/>
    <x v="21"/>
    <x v="2"/>
    <n v="849"/>
    <x v="0"/>
    <n v="26"/>
    <n v="2"/>
    <x v="0"/>
    <n v="2"/>
    <x v="1"/>
    <n v="98"/>
    <n v="2"/>
    <n v="2"/>
    <x v="0"/>
    <n v="2"/>
    <x v="0"/>
    <x v="1191"/>
    <n v="25166"/>
    <n v="8"/>
    <x v="1"/>
    <n v="0.15"/>
    <n v="3"/>
    <n v="3"/>
    <n v="0"/>
    <n v="6"/>
    <n v="3"/>
    <n v="3"/>
    <x v="4"/>
    <n v="2"/>
    <n v="2"/>
    <n v="2"/>
    <x v="1"/>
    <n v="1"/>
    <n v="0"/>
    <n v="0"/>
    <n v="0"/>
    <n v="1"/>
    <n v="1"/>
    <n v="0"/>
    <n v="0"/>
    <n v="7.3706398258535089"/>
    <n v="0.25393706576427255"/>
    <x v="0"/>
    <n v="0"/>
  </r>
  <r>
    <x v="1286"/>
    <x v="32"/>
    <x v="0"/>
    <n v="616"/>
    <x v="1"/>
    <n v="2"/>
    <n v="2"/>
    <x v="0"/>
    <n v="3"/>
    <x v="0"/>
    <n v="99"/>
    <n v="3"/>
    <n v="1"/>
    <x v="2"/>
    <n v="1"/>
    <x v="1"/>
    <x v="1192"/>
    <n v="25605"/>
    <n v="4"/>
    <x v="1"/>
    <n v="0.17"/>
    <n v="3"/>
    <n v="4"/>
    <n v="1"/>
    <n v="7"/>
    <n v="5"/>
    <n v="2"/>
    <x v="9"/>
    <n v="3"/>
    <n v="0"/>
    <n v="2"/>
    <x v="1"/>
    <n v="0"/>
    <n v="1"/>
    <n v="1"/>
    <n v="0"/>
    <n v="0"/>
    <n v="1"/>
    <n v="1"/>
    <n v="0"/>
    <n v="10.698962067398959"/>
    <n v="0.3686061316669938"/>
    <x v="0"/>
    <n v="0"/>
  </r>
  <r>
    <x v="1287"/>
    <x v="19"/>
    <x v="0"/>
    <n v="1128"/>
    <x v="1"/>
    <n v="13"/>
    <n v="3"/>
    <x v="2"/>
    <n v="2"/>
    <x v="1"/>
    <n v="95"/>
    <n v="4"/>
    <n v="2"/>
    <x v="4"/>
    <n v="1"/>
    <x v="1"/>
    <x v="1193"/>
    <n v="5696"/>
    <n v="5"/>
    <x v="1"/>
    <n v="0.18"/>
    <n v="3"/>
    <n v="3"/>
    <n v="2"/>
    <n v="10"/>
    <n v="2"/>
    <n v="2"/>
    <x v="2"/>
    <n v="0"/>
    <n v="0"/>
    <n v="0"/>
    <x v="1"/>
    <n v="1"/>
    <n v="1"/>
    <n v="1"/>
    <n v="0"/>
    <n v="0"/>
    <n v="1"/>
    <n v="0"/>
    <n v="0"/>
    <n v="4.204533129978131"/>
    <n v="0.14485673308716898"/>
    <x v="2"/>
    <n v="0"/>
  </r>
  <r>
    <x v="1288"/>
    <x v="10"/>
    <x v="2"/>
    <n v="1180"/>
    <x v="1"/>
    <n v="2"/>
    <n v="2"/>
    <x v="2"/>
    <n v="2"/>
    <x v="1"/>
    <n v="90"/>
    <n v="3"/>
    <n v="2"/>
    <x v="3"/>
    <n v="4"/>
    <x v="2"/>
    <x v="1194"/>
    <n v="24442"/>
    <n v="2"/>
    <x v="1"/>
    <n v="0.14000000000000001"/>
    <n v="3"/>
    <n v="3"/>
    <n v="1"/>
    <n v="15"/>
    <n v="6"/>
    <n v="3"/>
    <x v="5"/>
    <n v="7"/>
    <n v="1"/>
    <n v="7"/>
    <x v="1"/>
    <n v="1"/>
    <n v="0"/>
    <n v="2"/>
    <n v="0"/>
    <n v="0"/>
    <n v="0"/>
    <n v="0"/>
    <n v="0"/>
    <n v="0"/>
    <n v="0"/>
    <x v="2"/>
    <n v="0"/>
  </r>
  <r>
    <x v="1289"/>
    <x v="8"/>
    <x v="2"/>
    <n v="1336"/>
    <x v="2"/>
    <n v="2"/>
    <n v="3"/>
    <x v="5"/>
    <n v="1"/>
    <x v="1"/>
    <n v="100"/>
    <n v="3"/>
    <n v="1"/>
    <x v="8"/>
    <n v="2"/>
    <x v="2"/>
    <x v="1195"/>
    <n v="7129"/>
    <n v="5"/>
    <x v="1"/>
    <n v="0.13"/>
    <n v="3"/>
    <n v="4"/>
    <n v="3"/>
    <n v="13"/>
    <n v="3"/>
    <n v="3"/>
    <x v="19"/>
    <n v="10"/>
    <n v="3"/>
    <n v="8"/>
    <x v="1"/>
    <n v="1"/>
    <n v="0"/>
    <n v="2"/>
    <n v="0"/>
    <n v="0"/>
    <n v="1"/>
    <n v="1"/>
    <n v="0"/>
    <n v="10.698962067398959"/>
    <n v="0.3686061316669938"/>
    <x v="0"/>
    <n v="0"/>
  </r>
  <r>
    <x v="1290"/>
    <x v="13"/>
    <x v="1"/>
    <n v="234"/>
    <x v="1"/>
    <n v="9"/>
    <n v="4"/>
    <x v="0"/>
    <n v="4"/>
    <x v="1"/>
    <n v="93"/>
    <n v="3"/>
    <n v="2"/>
    <x v="2"/>
    <n v="1"/>
    <x v="1"/>
    <x v="800"/>
    <n v="6208"/>
    <n v="4"/>
    <x v="1"/>
    <n v="0.17"/>
    <n v="3"/>
    <n v="3"/>
    <n v="1"/>
    <n v="11"/>
    <n v="3"/>
    <n v="2"/>
    <x v="5"/>
    <n v="1"/>
    <n v="0"/>
    <n v="7"/>
    <x v="0"/>
    <n v="1"/>
    <n v="2"/>
    <n v="1"/>
    <n v="0"/>
    <n v="0"/>
    <n v="1"/>
    <n v="0"/>
    <n v="1"/>
    <n v="9.3649231104683075"/>
    <n v="0.32264513691726432"/>
    <x v="0"/>
    <n v="0"/>
  </r>
  <r>
    <x v="1291"/>
    <x v="2"/>
    <x v="0"/>
    <n v="370"/>
    <x v="1"/>
    <n v="10"/>
    <n v="4"/>
    <x v="2"/>
    <n v="4"/>
    <x v="1"/>
    <n v="58"/>
    <n v="3"/>
    <n v="2"/>
    <x v="3"/>
    <n v="1"/>
    <x v="0"/>
    <x v="1196"/>
    <n v="4992"/>
    <n v="1"/>
    <x v="1"/>
    <n v="0.15"/>
    <n v="3"/>
    <n v="2"/>
    <n v="0"/>
    <n v="10"/>
    <n v="4"/>
    <n v="1"/>
    <x v="1"/>
    <n v="3"/>
    <n v="0"/>
    <n v="8"/>
    <x v="0"/>
    <n v="1"/>
    <n v="1"/>
    <n v="0"/>
    <n v="0"/>
    <n v="0"/>
    <n v="1"/>
    <n v="1"/>
    <n v="0"/>
    <n v="10.698962067398959"/>
    <n v="0.3686061316669938"/>
    <x v="0"/>
    <n v="0"/>
  </r>
  <r>
    <x v="1292"/>
    <x v="22"/>
    <x v="1"/>
    <n v="766"/>
    <x v="0"/>
    <n v="20"/>
    <n v="3"/>
    <x v="0"/>
    <n v="3"/>
    <x v="1"/>
    <n v="83"/>
    <n v="3"/>
    <n v="2"/>
    <x v="0"/>
    <n v="4"/>
    <x v="2"/>
    <x v="1197"/>
    <n v="19188"/>
    <n v="2"/>
    <x v="1"/>
    <n v="0.18"/>
    <n v="3"/>
    <n v="4"/>
    <n v="1"/>
    <n v="7"/>
    <n v="6"/>
    <n v="3"/>
    <x v="4"/>
    <n v="1"/>
    <n v="2"/>
    <n v="2"/>
    <x v="1"/>
    <n v="1"/>
    <n v="2"/>
    <n v="2"/>
    <n v="0"/>
    <n v="1"/>
    <n v="0"/>
    <n v="1"/>
    <n v="1"/>
    <n v="14.820925613786383"/>
    <n v="0.51061813508702369"/>
    <x v="1"/>
    <n v="6190.5"/>
  </r>
  <r>
    <x v="1293"/>
    <x v="23"/>
    <x v="2"/>
    <n v="343"/>
    <x v="1"/>
    <n v="9"/>
    <n v="3"/>
    <x v="0"/>
    <n v="1"/>
    <x v="1"/>
    <n v="52"/>
    <n v="3"/>
    <n v="1"/>
    <x v="1"/>
    <n v="3"/>
    <x v="0"/>
    <x v="1198"/>
    <n v="24978"/>
    <n v="4"/>
    <x v="1"/>
    <n v="0.13"/>
    <n v="3"/>
    <n v="3"/>
    <n v="0"/>
    <n v="7"/>
    <n v="2"/>
    <n v="2"/>
    <x v="11"/>
    <n v="2"/>
    <n v="1"/>
    <n v="2"/>
    <x v="1"/>
    <n v="1"/>
    <n v="0"/>
    <n v="0"/>
    <n v="0"/>
    <n v="0"/>
    <n v="0"/>
    <n v="1"/>
    <n v="0"/>
    <n v="6.4944289374208282"/>
    <n v="0.22374939857982484"/>
    <x v="2"/>
    <n v="0"/>
  </r>
  <r>
    <x v="1294"/>
    <x v="0"/>
    <x v="0"/>
    <n v="447"/>
    <x v="1"/>
    <n v="5"/>
    <n v="3"/>
    <x v="0"/>
    <n v="2"/>
    <x v="1"/>
    <n v="85"/>
    <n v="4"/>
    <n v="2"/>
    <x v="4"/>
    <n v="2"/>
    <x v="0"/>
    <x v="1199"/>
    <n v="15530"/>
    <n v="3"/>
    <x v="1"/>
    <n v="0.12"/>
    <n v="3"/>
    <n v="1"/>
    <n v="0"/>
    <n v="11"/>
    <n v="3"/>
    <n v="1"/>
    <x v="11"/>
    <n v="2"/>
    <n v="1"/>
    <n v="2"/>
    <x v="1"/>
    <n v="1"/>
    <n v="1"/>
    <n v="0"/>
    <n v="0"/>
    <n v="0"/>
    <n v="1"/>
    <n v="0"/>
    <n v="0"/>
    <n v="4.204533129978131"/>
    <n v="0.14485673308716898"/>
    <x v="2"/>
    <n v="0"/>
  </r>
  <r>
    <x v="1295"/>
    <x v="0"/>
    <x v="0"/>
    <n v="796"/>
    <x v="0"/>
    <n v="4"/>
    <n v="1"/>
    <x v="3"/>
    <n v="3"/>
    <x v="0"/>
    <n v="81"/>
    <n v="3"/>
    <n v="3"/>
    <x v="0"/>
    <n v="3"/>
    <x v="2"/>
    <x v="1200"/>
    <n v="26458"/>
    <n v="0"/>
    <x v="0"/>
    <n v="0.13"/>
    <n v="3"/>
    <n v="4"/>
    <n v="1"/>
    <n v="23"/>
    <n v="3"/>
    <n v="4"/>
    <x v="14"/>
    <n v="14"/>
    <n v="13"/>
    <n v="5"/>
    <x v="1"/>
    <n v="0"/>
    <n v="1"/>
    <n v="2"/>
    <n v="1"/>
    <n v="0"/>
    <n v="0"/>
    <n v="0"/>
    <n v="0"/>
    <n v="10"/>
    <n v="0.3445251318258073"/>
    <x v="0"/>
    <n v="0"/>
  </r>
  <r>
    <x v="1296"/>
    <x v="7"/>
    <x v="0"/>
    <n v="1092"/>
    <x v="1"/>
    <n v="10"/>
    <n v="3"/>
    <x v="2"/>
    <n v="1"/>
    <x v="0"/>
    <n v="64"/>
    <n v="3"/>
    <n v="3"/>
    <x v="3"/>
    <n v="3"/>
    <x v="0"/>
    <x v="1201"/>
    <n v="2739"/>
    <n v="9"/>
    <x v="1"/>
    <n v="0.14000000000000001"/>
    <n v="3"/>
    <n v="2"/>
    <n v="0"/>
    <n v="9"/>
    <n v="3"/>
    <n v="3"/>
    <x v="5"/>
    <n v="7"/>
    <n v="0"/>
    <n v="2"/>
    <x v="1"/>
    <n v="0"/>
    <n v="1"/>
    <n v="0"/>
    <n v="0"/>
    <n v="0"/>
    <n v="0"/>
    <n v="0"/>
    <n v="0"/>
    <n v="0"/>
    <n v="0"/>
    <x v="2"/>
    <n v="0"/>
  </r>
  <r>
    <x v="1297"/>
    <x v="25"/>
    <x v="0"/>
    <n v="920"/>
    <x v="2"/>
    <n v="20"/>
    <n v="2"/>
    <x v="2"/>
    <n v="4"/>
    <x v="0"/>
    <n v="69"/>
    <n v="3"/>
    <n v="1"/>
    <x v="8"/>
    <n v="2"/>
    <x v="1"/>
    <x v="1202"/>
    <n v="6889"/>
    <n v="0"/>
    <x v="0"/>
    <n v="0.11"/>
    <n v="3"/>
    <n v="3"/>
    <n v="0"/>
    <n v="6"/>
    <n v="3"/>
    <n v="3"/>
    <x v="8"/>
    <n v="1"/>
    <n v="1"/>
    <n v="4"/>
    <x v="0"/>
    <n v="0"/>
    <n v="1"/>
    <n v="1"/>
    <n v="1"/>
    <n v="1"/>
    <n v="1"/>
    <n v="1"/>
    <n v="0"/>
    <n v="23.865068763274337"/>
    <n v="0.82221159616990469"/>
    <x v="3"/>
    <n v="3222"/>
  </r>
  <r>
    <x v="1298"/>
    <x v="21"/>
    <x v="0"/>
    <n v="261"/>
    <x v="1"/>
    <n v="21"/>
    <n v="2"/>
    <x v="2"/>
    <n v="4"/>
    <x v="0"/>
    <n v="66"/>
    <n v="3"/>
    <n v="2"/>
    <x v="4"/>
    <n v="2"/>
    <x v="1"/>
    <x v="1203"/>
    <n v="10842"/>
    <n v="4"/>
    <x v="1"/>
    <n v="0.22"/>
    <n v="4"/>
    <n v="4"/>
    <n v="1"/>
    <n v="13"/>
    <n v="2"/>
    <n v="4"/>
    <x v="7"/>
    <n v="7"/>
    <n v="3"/>
    <n v="7"/>
    <x v="0"/>
    <n v="0"/>
    <n v="1"/>
    <n v="1"/>
    <n v="0"/>
    <n v="1"/>
    <n v="1"/>
    <n v="0"/>
    <n v="0"/>
    <n v="7.3706398258535089"/>
    <n v="0.25393706576427255"/>
    <x v="0"/>
    <n v="0"/>
  </r>
  <r>
    <x v="1299"/>
    <x v="32"/>
    <x v="0"/>
    <n v="1194"/>
    <x v="1"/>
    <n v="1"/>
    <n v="3"/>
    <x v="0"/>
    <n v="3"/>
    <x v="0"/>
    <n v="52"/>
    <n v="3"/>
    <n v="2"/>
    <x v="4"/>
    <n v="4"/>
    <x v="2"/>
    <x v="1204"/>
    <n v="9060"/>
    <n v="4"/>
    <x v="1"/>
    <n v="0.17"/>
    <n v="3"/>
    <n v="4"/>
    <n v="1"/>
    <n v="12"/>
    <n v="3"/>
    <n v="3"/>
    <x v="8"/>
    <n v="3"/>
    <n v="0"/>
    <n v="3"/>
    <x v="1"/>
    <n v="0"/>
    <n v="1"/>
    <n v="2"/>
    <n v="0"/>
    <n v="0"/>
    <n v="0"/>
    <n v="0"/>
    <n v="0"/>
    <n v="0"/>
    <n v="0"/>
    <x v="2"/>
    <n v="0"/>
  </r>
  <r>
    <x v="1300"/>
    <x v="13"/>
    <x v="0"/>
    <n v="810"/>
    <x v="0"/>
    <n v="8"/>
    <n v="2"/>
    <x v="4"/>
    <n v="2"/>
    <x v="1"/>
    <n v="92"/>
    <n v="4"/>
    <n v="2"/>
    <x v="0"/>
    <n v="3"/>
    <x v="1"/>
    <x v="1205"/>
    <n v="22128"/>
    <n v="1"/>
    <x v="1"/>
    <n v="0.21"/>
    <n v="4"/>
    <n v="3"/>
    <n v="2"/>
    <n v="10"/>
    <n v="5"/>
    <n v="3"/>
    <x v="1"/>
    <n v="8"/>
    <n v="4"/>
    <n v="8"/>
    <x v="1"/>
    <n v="1"/>
    <n v="1"/>
    <n v="1"/>
    <n v="0"/>
    <n v="0"/>
    <n v="0"/>
    <n v="0"/>
    <n v="0"/>
    <n v="0"/>
    <n v="0"/>
    <x v="2"/>
    <n v="0"/>
  </r>
  <r>
    <x v="1301"/>
    <x v="34"/>
    <x v="2"/>
    <n v="350"/>
    <x v="0"/>
    <n v="2"/>
    <n v="3"/>
    <x v="2"/>
    <n v="2"/>
    <x v="1"/>
    <n v="52"/>
    <n v="3"/>
    <n v="4"/>
    <x v="5"/>
    <n v="2"/>
    <x v="2"/>
    <x v="1206"/>
    <n v="22577"/>
    <n v="4"/>
    <x v="1"/>
    <n v="0.22"/>
    <n v="4"/>
    <n v="4"/>
    <n v="1"/>
    <n v="37"/>
    <n v="0"/>
    <n v="2"/>
    <x v="22"/>
    <n v="9"/>
    <n v="14"/>
    <n v="14"/>
    <x v="1"/>
    <n v="1"/>
    <n v="0"/>
    <n v="2"/>
    <n v="0"/>
    <n v="0"/>
    <n v="1"/>
    <n v="0"/>
    <n v="0"/>
    <n v="4.204533129978131"/>
    <n v="0.14485673308716898"/>
    <x v="2"/>
    <n v="0"/>
  </r>
  <r>
    <x v="1302"/>
    <x v="10"/>
    <x v="0"/>
    <n v="185"/>
    <x v="1"/>
    <n v="23"/>
    <n v="4"/>
    <x v="2"/>
    <n v="2"/>
    <x v="1"/>
    <n v="91"/>
    <n v="1"/>
    <n v="1"/>
    <x v="2"/>
    <n v="3"/>
    <x v="1"/>
    <x v="1207"/>
    <n v="9696"/>
    <n v="0"/>
    <x v="1"/>
    <n v="0.16"/>
    <n v="3"/>
    <n v="2"/>
    <n v="1"/>
    <n v="6"/>
    <n v="2"/>
    <n v="4"/>
    <x v="8"/>
    <n v="4"/>
    <n v="0"/>
    <n v="3"/>
    <x v="1"/>
    <n v="1"/>
    <n v="1"/>
    <n v="1"/>
    <n v="0"/>
    <n v="1"/>
    <n v="0"/>
    <n v="1"/>
    <n v="0"/>
    <n v="9.660535633296206"/>
    <n v="0.33282973125692844"/>
    <x v="0"/>
    <n v="0"/>
  </r>
  <r>
    <x v="1303"/>
    <x v="40"/>
    <x v="0"/>
    <n v="1001"/>
    <x v="1"/>
    <n v="4"/>
    <n v="3"/>
    <x v="0"/>
    <n v="3"/>
    <x v="0"/>
    <n v="92"/>
    <n v="2"/>
    <n v="3"/>
    <x v="3"/>
    <n v="2"/>
    <x v="2"/>
    <x v="1208"/>
    <n v="19271"/>
    <n v="8"/>
    <x v="0"/>
    <n v="0.12"/>
    <n v="3"/>
    <n v="3"/>
    <n v="1"/>
    <n v="28"/>
    <n v="4"/>
    <n v="3"/>
    <x v="14"/>
    <n v="11"/>
    <n v="14"/>
    <n v="10"/>
    <x v="1"/>
    <n v="0"/>
    <n v="1"/>
    <n v="2"/>
    <n v="1"/>
    <n v="0"/>
    <n v="1"/>
    <n v="0"/>
    <n v="0"/>
    <n v="14.204533129978131"/>
    <n v="0.48938186491297625"/>
    <x v="0"/>
    <n v="0"/>
  </r>
  <r>
    <x v="1304"/>
    <x v="32"/>
    <x v="0"/>
    <n v="750"/>
    <x v="1"/>
    <n v="12"/>
    <n v="3"/>
    <x v="0"/>
    <n v="2"/>
    <x v="0"/>
    <n v="47"/>
    <n v="3"/>
    <n v="2"/>
    <x v="4"/>
    <n v="1"/>
    <x v="2"/>
    <x v="1209"/>
    <n v="10748"/>
    <n v="2"/>
    <x v="1"/>
    <n v="0.12"/>
    <n v="3"/>
    <n v="2"/>
    <n v="1"/>
    <n v="15"/>
    <n v="3"/>
    <n v="3"/>
    <x v="5"/>
    <n v="4"/>
    <n v="7"/>
    <n v="7"/>
    <x v="1"/>
    <n v="0"/>
    <n v="1"/>
    <n v="2"/>
    <n v="0"/>
    <n v="0"/>
    <n v="1"/>
    <n v="1"/>
    <n v="0"/>
    <n v="10.698962067398959"/>
    <n v="0.3686061316669938"/>
    <x v="0"/>
    <n v="0"/>
  </r>
  <r>
    <x v="1305"/>
    <x v="33"/>
    <x v="0"/>
    <n v="431"/>
    <x v="1"/>
    <n v="7"/>
    <n v="4"/>
    <x v="2"/>
    <n v="4"/>
    <x v="0"/>
    <n v="68"/>
    <n v="3"/>
    <n v="2"/>
    <x v="1"/>
    <n v="4"/>
    <x v="1"/>
    <x v="1210"/>
    <n v="15696"/>
    <n v="4"/>
    <x v="1"/>
    <n v="0.15"/>
    <n v="3"/>
    <n v="2"/>
    <n v="1"/>
    <n v="14"/>
    <n v="2"/>
    <n v="2"/>
    <x v="5"/>
    <n v="1"/>
    <n v="1"/>
    <n v="7"/>
    <x v="1"/>
    <n v="0"/>
    <n v="1"/>
    <n v="1"/>
    <n v="0"/>
    <n v="0"/>
    <n v="0"/>
    <n v="0"/>
    <n v="0"/>
    <n v="0"/>
    <n v="0"/>
    <x v="2"/>
    <n v="0"/>
  </r>
  <r>
    <x v="1306"/>
    <x v="12"/>
    <x v="1"/>
    <n v="1125"/>
    <x v="0"/>
    <n v="7"/>
    <n v="4"/>
    <x v="3"/>
    <n v="1"/>
    <x v="0"/>
    <n v="68"/>
    <n v="3"/>
    <n v="3"/>
    <x v="0"/>
    <n v="1"/>
    <x v="1"/>
    <x v="1211"/>
    <n v="8277"/>
    <n v="2"/>
    <x v="1"/>
    <n v="0.14000000000000001"/>
    <n v="3"/>
    <n v="4"/>
    <n v="2"/>
    <n v="9"/>
    <n v="3"/>
    <n v="3"/>
    <x v="11"/>
    <n v="2"/>
    <n v="2"/>
    <n v="2"/>
    <x v="1"/>
    <n v="0"/>
    <n v="2"/>
    <n v="1"/>
    <n v="0"/>
    <n v="0"/>
    <n v="1"/>
    <n v="0"/>
    <n v="1"/>
    <n v="9.3649231104683075"/>
    <n v="0.32264513691726432"/>
    <x v="0"/>
    <n v="0"/>
  </r>
  <r>
    <x v="1307"/>
    <x v="14"/>
    <x v="0"/>
    <n v="1217"/>
    <x v="1"/>
    <n v="1"/>
    <n v="3"/>
    <x v="2"/>
    <n v="3"/>
    <x v="0"/>
    <n v="67"/>
    <n v="3"/>
    <n v="1"/>
    <x v="1"/>
    <n v="1"/>
    <x v="1"/>
    <x v="1212"/>
    <n v="12719"/>
    <n v="1"/>
    <x v="1"/>
    <n v="0.25"/>
    <n v="4"/>
    <n v="3"/>
    <n v="1"/>
    <n v="3"/>
    <n v="3"/>
    <n v="3"/>
    <x v="11"/>
    <n v="2"/>
    <n v="1"/>
    <n v="2"/>
    <x v="1"/>
    <n v="0"/>
    <n v="1"/>
    <n v="1"/>
    <n v="0"/>
    <n v="0"/>
    <n v="1"/>
    <n v="1"/>
    <n v="0"/>
    <n v="10.698962067398959"/>
    <n v="0.3686061316669938"/>
    <x v="0"/>
    <n v="0"/>
  </r>
  <r>
    <x v="1308"/>
    <x v="8"/>
    <x v="0"/>
    <n v="723"/>
    <x v="0"/>
    <n v="2"/>
    <n v="4"/>
    <x v="3"/>
    <n v="2"/>
    <x v="0"/>
    <n v="77"/>
    <n v="1"/>
    <n v="2"/>
    <x v="6"/>
    <n v="4"/>
    <x v="1"/>
    <x v="517"/>
    <n v="4244"/>
    <n v="2"/>
    <x v="0"/>
    <n v="0.2"/>
    <n v="4"/>
    <n v="1"/>
    <n v="2"/>
    <n v="20"/>
    <n v="4"/>
    <n v="2"/>
    <x v="9"/>
    <n v="2"/>
    <n v="0"/>
    <n v="3"/>
    <x v="1"/>
    <n v="0"/>
    <n v="1"/>
    <n v="1"/>
    <n v="1"/>
    <n v="0"/>
    <n v="0"/>
    <n v="0"/>
    <n v="0"/>
    <n v="10"/>
    <n v="0.3445251318258073"/>
    <x v="0"/>
    <n v="0"/>
  </r>
  <r>
    <x v="1309"/>
    <x v="25"/>
    <x v="0"/>
    <n v="572"/>
    <x v="0"/>
    <n v="10"/>
    <n v="3"/>
    <x v="2"/>
    <n v="3"/>
    <x v="1"/>
    <n v="46"/>
    <n v="3"/>
    <n v="2"/>
    <x v="0"/>
    <n v="4"/>
    <x v="0"/>
    <x v="1213"/>
    <n v="9125"/>
    <n v="1"/>
    <x v="1"/>
    <n v="0.13"/>
    <n v="3"/>
    <n v="1"/>
    <n v="0"/>
    <n v="5"/>
    <n v="4"/>
    <n v="3"/>
    <x v="8"/>
    <n v="3"/>
    <n v="1"/>
    <n v="2"/>
    <x v="1"/>
    <n v="1"/>
    <n v="1"/>
    <n v="0"/>
    <n v="0"/>
    <n v="0"/>
    <n v="0"/>
    <n v="1"/>
    <n v="0"/>
    <n v="6.4944289374208282"/>
    <n v="0.22374939857982484"/>
    <x v="2"/>
    <n v="0"/>
  </r>
  <r>
    <x v="1310"/>
    <x v="34"/>
    <x v="1"/>
    <n v="1216"/>
    <x v="1"/>
    <n v="15"/>
    <n v="4"/>
    <x v="0"/>
    <n v="1"/>
    <x v="1"/>
    <n v="87"/>
    <n v="3"/>
    <n v="4"/>
    <x v="7"/>
    <n v="3"/>
    <x v="1"/>
    <x v="1214"/>
    <n v="21624"/>
    <n v="2"/>
    <x v="0"/>
    <n v="0.14000000000000001"/>
    <n v="3"/>
    <n v="2"/>
    <n v="0"/>
    <n v="23"/>
    <n v="3"/>
    <n v="3"/>
    <x v="4"/>
    <n v="2"/>
    <n v="2"/>
    <n v="2"/>
    <x v="1"/>
    <n v="1"/>
    <n v="2"/>
    <n v="1"/>
    <n v="1"/>
    <n v="0"/>
    <n v="0"/>
    <n v="0"/>
    <n v="1"/>
    <n v="15.160389980490176"/>
    <n v="0.52231353565590266"/>
    <x v="1"/>
    <n v="23680.5"/>
  </r>
  <r>
    <x v="1311"/>
    <x v="41"/>
    <x v="2"/>
    <n v="1431"/>
    <x v="1"/>
    <n v="14"/>
    <n v="3"/>
    <x v="2"/>
    <n v="2"/>
    <x v="0"/>
    <n v="33"/>
    <n v="3"/>
    <n v="1"/>
    <x v="1"/>
    <n v="3"/>
    <x v="0"/>
    <x v="1215"/>
    <n v="8018"/>
    <n v="1"/>
    <x v="1"/>
    <n v="0.16"/>
    <n v="3"/>
    <n v="3"/>
    <n v="0"/>
    <n v="0"/>
    <n v="4"/>
    <n v="1"/>
    <x v="2"/>
    <n v="0"/>
    <n v="0"/>
    <n v="0"/>
    <x v="1"/>
    <n v="0"/>
    <n v="0"/>
    <n v="0"/>
    <n v="0"/>
    <n v="0"/>
    <n v="0"/>
    <n v="1"/>
    <n v="0"/>
    <n v="6.4944289374208282"/>
    <n v="0.22374939857982484"/>
    <x v="2"/>
    <n v="0"/>
  </r>
  <r>
    <x v="1312"/>
    <x v="12"/>
    <x v="0"/>
    <n v="359"/>
    <x v="2"/>
    <n v="18"/>
    <n v="5"/>
    <x v="5"/>
    <n v="4"/>
    <x v="1"/>
    <n v="89"/>
    <n v="4"/>
    <n v="1"/>
    <x v="8"/>
    <n v="1"/>
    <x v="1"/>
    <x v="98"/>
    <n v="21495"/>
    <n v="0"/>
    <x v="1"/>
    <n v="0.17"/>
    <n v="3"/>
    <n v="3"/>
    <n v="0"/>
    <n v="2"/>
    <n v="4"/>
    <n v="3"/>
    <x v="6"/>
    <n v="0"/>
    <n v="0"/>
    <n v="0"/>
    <x v="0"/>
    <n v="1"/>
    <n v="1"/>
    <n v="1"/>
    <n v="0"/>
    <n v="1"/>
    <n v="1"/>
    <n v="1"/>
    <n v="0"/>
    <n v="13.865068763274337"/>
    <n v="0.47768646434409739"/>
    <x v="0"/>
    <n v="0"/>
  </r>
  <r>
    <x v="1313"/>
    <x v="11"/>
    <x v="0"/>
    <n v="350"/>
    <x v="2"/>
    <n v="13"/>
    <n v="3"/>
    <x v="5"/>
    <n v="1"/>
    <x v="1"/>
    <n v="56"/>
    <n v="2"/>
    <n v="1"/>
    <x v="8"/>
    <n v="1"/>
    <x v="2"/>
    <x v="1216"/>
    <n v="3157"/>
    <n v="4"/>
    <x v="0"/>
    <n v="0.15"/>
    <n v="3"/>
    <n v="4"/>
    <n v="3"/>
    <n v="4"/>
    <n v="3"/>
    <n v="3"/>
    <x v="4"/>
    <n v="2"/>
    <n v="2"/>
    <n v="0"/>
    <x v="0"/>
    <n v="1"/>
    <n v="1"/>
    <n v="2"/>
    <n v="1"/>
    <n v="0"/>
    <n v="1"/>
    <n v="1"/>
    <n v="0"/>
    <n v="20.698962067398959"/>
    <n v="0.71313126349280109"/>
    <x v="1"/>
    <n v="3502.5"/>
  </r>
  <r>
    <x v="1314"/>
    <x v="28"/>
    <x v="2"/>
    <n v="589"/>
    <x v="0"/>
    <n v="2"/>
    <n v="4"/>
    <x v="0"/>
    <n v="3"/>
    <x v="0"/>
    <n v="67"/>
    <n v="3"/>
    <n v="2"/>
    <x v="0"/>
    <n v="3"/>
    <x v="1"/>
    <x v="1217"/>
    <n v="19665"/>
    <n v="4"/>
    <x v="1"/>
    <n v="0.22"/>
    <n v="4"/>
    <n v="2"/>
    <n v="2"/>
    <n v="10"/>
    <n v="3"/>
    <n v="4"/>
    <x v="3"/>
    <n v="7"/>
    <n v="5"/>
    <n v="7"/>
    <x v="1"/>
    <n v="0"/>
    <n v="0"/>
    <n v="1"/>
    <n v="0"/>
    <n v="0"/>
    <n v="0"/>
    <n v="0"/>
    <n v="0"/>
    <n v="0"/>
    <n v="0"/>
    <x v="2"/>
    <n v="0"/>
  </r>
  <r>
    <x v="1315"/>
    <x v="9"/>
    <x v="0"/>
    <n v="430"/>
    <x v="1"/>
    <n v="2"/>
    <n v="4"/>
    <x v="1"/>
    <n v="4"/>
    <x v="0"/>
    <n v="73"/>
    <n v="3"/>
    <n v="2"/>
    <x v="1"/>
    <n v="2"/>
    <x v="1"/>
    <x v="1218"/>
    <n v="19573"/>
    <n v="4"/>
    <x v="0"/>
    <n v="0.22"/>
    <n v="4"/>
    <n v="4"/>
    <n v="1"/>
    <n v="15"/>
    <n v="2"/>
    <n v="3"/>
    <x v="6"/>
    <n v="0"/>
    <n v="0"/>
    <n v="0"/>
    <x v="1"/>
    <n v="0"/>
    <n v="1"/>
    <n v="1"/>
    <n v="1"/>
    <n v="0"/>
    <n v="1"/>
    <n v="0"/>
    <n v="0"/>
    <n v="14.204533129978131"/>
    <n v="0.48938186491297625"/>
    <x v="0"/>
    <n v="0"/>
  </r>
  <r>
    <x v="1316"/>
    <x v="23"/>
    <x v="1"/>
    <n v="1422"/>
    <x v="0"/>
    <n v="2"/>
    <n v="4"/>
    <x v="0"/>
    <n v="1"/>
    <x v="1"/>
    <n v="92"/>
    <n v="3"/>
    <n v="2"/>
    <x v="0"/>
    <n v="4"/>
    <x v="1"/>
    <x v="1219"/>
    <n v="19246"/>
    <n v="1"/>
    <x v="1"/>
    <n v="0.2"/>
    <n v="4"/>
    <n v="3"/>
    <n v="1"/>
    <n v="7"/>
    <n v="5"/>
    <n v="3"/>
    <x v="5"/>
    <n v="7"/>
    <n v="7"/>
    <n v="7"/>
    <x v="1"/>
    <n v="1"/>
    <n v="2"/>
    <n v="1"/>
    <n v="0"/>
    <n v="0"/>
    <n v="0"/>
    <n v="0"/>
    <n v="1"/>
    <n v="5.1603899804901765"/>
    <n v="0.17778840383009531"/>
    <x v="2"/>
    <n v="0"/>
  </r>
  <r>
    <x v="1317"/>
    <x v="4"/>
    <x v="1"/>
    <n v="1297"/>
    <x v="1"/>
    <n v="5"/>
    <n v="2"/>
    <x v="0"/>
    <n v="4"/>
    <x v="0"/>
    <n v="53"/>
    <n v="3"/>
    <n v="1"/>
    <x v="2"/>
    <n v="4"/>
    <x v="0"/>
    <x v="1220"/>
    <n v="19826"/>
    <n v="0"/>
    <x v="0"/>
    <n v="0.14000000000000001"/>
    <n v="3"/>
    <n v="3"/>
    <n v="0"/>
    <n v="6"/>
    <n v="3"/>
    <n v="2"/>
    <x v="8"/>
    <n v="4"/>
    <n v="0"/>
    <n v="2"/>
    <x v="1"/>
    <n v="0"/>
    <n v="2"/>
    <n v="0"/>
    <n v="1"/>
    <n v="0"/>
    <n v="0"/>
    <n v="1"/>
    <n v="1"/>
    <n v="21.654818917911005"/>
    <n v="0.74606293423572745"/>
    <x v="1"/>
    <n v="3568.5"/>
  </r>
  <r>
    <x v="1318"/>
    <x v="11"/>
    <x v="1"/>
    <n v="574"/>
    <x v="1"/>
    <n v="20"/>
    <n v="1"/>
    <x v="2"/>
    <n v="4"/>
    <x v="1"/>
    <n v="40"/>
    <n v="3"/>
    <n v="1"/>
    <x v="2"/>
    <n v="4"/>
    <x v="1"/>
    <x v="1221"/>
    <n v="7003"/>
    <n v="1"/>
    <x v="1"/>
    <n v="0.13"/>
    <n v="3"/>
    <n v="2"/>
    <n v="0"/>
    <n v="11"/>
    <n v="3"/>
    <n v="4"/>
    <x v="19"/>
    <n v="8"/>
    <n v="3"/>
    <n v="10"/>
    <x v="1"/>
    <n v="1"/>
    <n v="2"/>
    <n v="1"/>
    <n v="0"/>
    <n v="1"/>
    <n v="0"/>
    <n v="1"/>
    <n v="1"/>
    <n v="14.820925613786383"/>
    <n v="0.51061813508702369"/>
    <x v="1"/>
    <n v="5718"/>
  </r>
  <r>
    <x v="1319"/>
    <x v="5"/>
    <x v="1"/>
    <n v="1318"/>
    <x v="0"/>
    <n v="10"/>
    <n v="4"/>
    <x v="3"/>
    <n v="4"/>
    <x v="1"/>
    <n v="79"/>
    <n v="3"/>
    <n v="2"/>
    <x v="0"/>
    <n v="4"/>
    <x v="0"/>
    <x v="1222"/>
    <n v="26075"/>
    <n v="8"/>
    <x v="1"/>
    <n v="0.13"/>
    <n v="3"/>
    <n v="3"/>
    <n v="0"/>
    <n v="4"/>
    <n v="2"/>
    <n v="4"/>
    <x v="2"/>
    <n v="0"/>
    <n v="0"/>
    <n v="0"/>
    <x v="1"/>
    <n v="1"/>
    <n v="2"/>
    <n v="0"/>
    <n v="0"/>
    <n v="0"/>
    <n v="0"/>
    <n v="1"/>
    <n v="1"/>
    <n v="11.654818917911005"/>
    <n v="0.40153780240992015"/>
    <x v="0"/>
    <n v="0"/>
  </r>
  <r>
    <x v="1320"/>
    <x v="19"/>
    <x v="2"/>
    <n v="355"/>
    <x v="1"/>
    <n v="10"/>
    <n v="4"/>
    <x v="4"/>
    <n v="3"/>
    <x v="1"/>
    <n v="38"/>
    <n v="3"/>
    <n v="1"/>
    <x v="1"/>
    <n v="3"/>
    <x v="1"/>
    <x v="808"/>
    <n v="6161"/>
    <n v="3"/>
    <x v="1"/>
    <n v="0.22"/>
    <n v="4"/>
    <n v="2"/>
    <n v="2"/>
    <n v="10"/>
    <n v="1"/>
    <n v="2"/>
    <x v="0"/>
    <n v="3"/>
    <n v="3"/>
    <n v="3"/>
    <x v="1"/>
    <n v="1"/>
    <n v="0"/>
    <n v="1"/>
    <n v="0"/>
    <n v="0"/>
    <n v="0"/>
    <n v="1"/>
    <n v="0"/>
    <n v="6.4944289374208282"/>
    <n v="0.22374939857982484"/>
    <x v="2"/>
    <n v="0"/>
  </r>
  <r>
    <x v="1321"/>
    <x v="40"/>
    <x v="0"/>
    <n v="207"/>
    <x v="1"/>
    <n v="9"/>
    <n v="4"/>
    <x v="0"/>
    <n v="2"/>
    <x v="0"/>
    <n v="64"/>
    <n v="3"/>
    <n v="1"/>
    <x v="2"/>
    <n v="3"/>
    <x v="0"/>
    <x v="1223"/>
    <n v="5411"/>
    <n v="4"/>
    <x v="1"/>
    <n v="0.12"/>
    <n v="3"/>
    <n v="3"/>
    <n v="0"/>
    <n v="7"/>
    <n v="2"/>
    <n v="3"/>
    <x v="4"/>
    <n v="2"/>
    <n v="2"/>
    <n v="0"/>
    <x v="1"/>
    <n v="0"/>
    <n v="1"/>
    <n v="0"/>
    <n v="0"/>
    <n v="0"/>
    <n v="0"/>
    <n v="1"/>
    <n v="0"/>
    <n v="6.4944289374208282"/>
    <n v="0.22374939857982484"/>
    <x v="2"/>
    <n v="0"/>
  </r>
  <r>
    <x v="1322"/>
    <x v="21"/>
    <x v="0"/>
    <n v="706"/>
    <x v="1"/>
    <n v="2"/>
    <n v="2"/>
    <x v="0"/>
    <n v="4"/>
    <x v="1"/>
    <n v="82"/>
    <n v="3"/>
    <n v="3"/>
    <x v="3"/>
    <n v="4"/>
    <x v="2"/>
    <x v="1224"/>
    <n v="19989"/>
    <n v="3"/>
    <x v="1"/>
    <n v="0.14000000000000001"/>
    <n v="3"/>
    <n v="3"/>
    <n v="1"/>
    <n v="12"/>
    <n v="4"/>
    <n v="2"/>
    <x v="7"/>
    <n v="8"/>
    <n v="4"/>
    <n v="7"/>
    <x v="1"/>
    <n v="1"/>
    <n v="1"/>
    <n v="2"/>
    <n v="0"/>
    <n v="0"/>
    <n v="0"/>
    <n v="0"/>
    <n v="0"/>
    <n v="0"/>
    <n v="0"/>
    <x v="2"/>
    <n v="0"/>
  </r>
  <r>
    <x v="1323"/>
    <x v="14"/>
    <x v="2"/>
    <n v="280"/>
    <x v="2"/>
    <n v="1"/>
    <n v="2"/>
    <x v="0"/>
    <n v="3"/>
    <x v="1"/>
    <n v="43"/>
    <n v="3"/>
    <n v="1"/>
    <x v="8"/>
    <n v="4"/>
    <x v="2"/>
    <x v="1225"/>
    <n v="10494"/>
    <n v="1"/>
    <x v="1"/>
    <n v="0.15"/>
    <n v="3"/>
    <n v="2"/>
    <n v="1"/>
    <n v="3"/>
    <n v="2"/>
    <n v="3"/>
    <x v="11"/>
    <n v="2"/>
    <n v="2"/>
    <n v="2"/>
    <x v="1"/>
    <n v="1"/>
    <n v="0"/>
    <n v="2"/>
    <n v="0"/>
    <n v="0"/>
    <n v="0"/>
    <n v="1"/>
    <n v="0"/>
    <n v="6.4944289374208282"/>
    <n v="0.22374939857982484"/>
    <x v="2"/>
    <n v="0"/>
  </r>
  <r>
    <x v="1324"/>
    <x v="11"/>
    <x v="0"/>
    <n v="726"/>
    <x v="1"/>
    <n v="29"/>
    <n v="1"/>
    <x v="0"/>
    <n v="4"/>
    <x v="1"/>
    <n v="93"/>
    <n v="1"/>
    <n v="2"/>
    <x v="4"/>
    <n v="3"/>
    <x v="2"/>
    <x v="1226"/>
    <n v="21143"/>
    <n v="8"/>
    <x v="1"/>
    <n v="0.17"/>
    <n v="3"/>
    <n v="4"/>
    <n v="2"/>
    <n v="11"/>
    <n v="3"/>
    <n v="3"/>
    <x v="5"/>
    <n v="0"/>
    <n v="1"/>
    <n v="6"/>
    <x v="1"/>
    <n v="1"/>
    <n v="1"/>
    <n v="2"/>
    <n v="0"/>
    <n v="1"/>
    <n v="0"/>
    <n v="0"/>
    <n v="0"/>
    <n v="3.1661066958753779"/>
    <n v="0.10908033267710357"/>
    <x v="2"/>
    <n v="0"/>
  </r>
  <r>
    <x v="1325"/>
    <x v="19"/>
    <x v="0"/>
    <n v="1142"/>
    <x v="1"/>
    <n v="8"/>
    <n v="3"/>
    <x v="0"/>
    <n v="4"/>
    <x v="1"/>
    <n v="81"/>
    <n v="3"/>
    <n v="1"/>
    <x v="2"/>
    <n v="3"/>
    <x v="0"/>
    <x v="1227"/>
    <n v="13624"/>
    <n v="4"/>
    <x v="1"/>
    <n v="0.13"/>
    <n v="3"/>
    <n v="4"/>
    <n v="0"/>
    <n v="8"/>
    <n v="3"/>
    <n v="3"/>
    <x v="2"/>
    <n v="0"/>
    <n v="0"/>
    <n v="0"/>
    <x v="1"/>
    <n v="1"/>
    <n v="1"/>
    <n v="0"/>
    <n v="0"/>
    <n v="0"/>
    <n v="0"/>
    <n v="1"/>
    <n v="0"/>
    <n v="6.4944289374208282"/>
    <n v="0.22374939857982484"/>
    <x v="2"/>
    <n v="0"/>
  </r>
  <r>
    <x v="1326"/>
    <x v="5"/>
    <x v="0"/>
    <n v="414"/>
    <x v="0"/>
    <n v="2"/>
    <n v="4"/>
    <x v="3"/>
    <n v="3"/>
    <x v="1"/>
    <n v="82"/>
    <n v="2"/>
    <n v="2"/>
    <x v="0"/>
    <n v="2"/>
    <x v="0"/>
    <x v="1228"/>
    <n v="26186"/>
    <n v="7"/>
    <x v="0"/>
    <n v="0.12"/>
    <n v="3"/>
    <n v="3"/>
    <n v="0"/>
    <n v="7"/>
    <n v="3"/>
    <n v="2"/>
    <x v="4"/>
    <n v="2"/>
    <n v="2"/>
    <n v="2"/>
    <x v="0"/>
    <n v="1"/>
    <n v="1"/>
    <n v="0"/>
    <n v="1"/>
    <n v="0"/>
    <n v="1"/>
    <n v="0"/>
    <n v="0"/>
    <n v="14.204533129978131"/>
    <n v="0.48938186491297625"/>
    <x v="0"/>
    <n v="0"/>
  </r>
  <r>
    <x v="1327"/>
    <x v="21"/>
    <x v="0"/>
    <n v="1319"/>
    <x v="0"/>
    <n v="3"/>
    <n v="3"/>
    <x v="4"/>
    <n v="1"/>
    <x v="0"/>
    <n v="45"/>
    <n v="4"/>
    <n v="4"/>
    <x v="0"/>
    <n v="1"/>
    <x v="2"/>
    <x v="1229"/>
    <n v="7739"/>
    <n v="2"/>
    <x v="1"/>
    <n v="0.12"/>
    <n v="3"/>
    <n v="4"/>
    <n v="1"/>
    <n v="25"/>
    <n v="5"/>
    <n v="3"/>
    <x v="27"/>
    <n v="17"/>
    <n v="2"/>
    <n v="8"/>
    <x v="1"/>
    <n v="0"/>
    <n v="1"/>
    <n v="2"/>
    <n v="0"/>
    <n v="0"/>
    <n v="1"/>
    <n v="0"/>
    <n v="0"/>
    <n v="4.204533129978131"/>
    <n v="0.14485673308716898"/>
    <x v="2"/>
    <n v="0"/>
  </r>
  <r>
    <x v="1328"/>
    <x v="4"/>
    <x v="0"/>
    <n v="728"/>
    <x v="0"/>
    <n v="23"/>
    <n v="1"/>
    <x v="2"/>
    <n v="2"/>
    <x v="0"/>
    <n v="36"/>
    <n v="2"/>
    <n v="2"/>
    <x v="6"/>
    <n v="3"/>
    <x v="1"/>
    <x v="1230"/>
    <n v="7018"/>
    <n v="1"/>
    <x v="1"/>
    <n v="0.21"/>
    <n v="4"/>
    <n v="4"/>
    <n v="1"/>
    <n v="9"/>
    <n v="5"/>
    <n v="3"/>
    <x v="7"/>
    <n v="8"/>
    <n v="5"/>
    <n v="8"/>
    <x v="1"/>
    <n v="0"/>
    <n v="1"/>
    <n v="1"/>
    <n v="0"/>
    <n v="1"/>
    <n v="0"/>
    <n v="1"/>
    <n v="0"/>
    <n v="9.660535633296206"/>
    <n v="0.33282973125692844"/>
    <x v="0"/>
    <n v="0"/>
  </r>
  <r>
    <x v="1329"/>
    <x v="11"/>
    <x v="0"/>
    <n v="352"/>
    <x v="2"/>
    <n v="6"/>
    <n v="1"/>
    <x v="2"/>
    <n v="4"/>
    <x v="1"/>
    <n v="87"/>
    <n v="2"/>
    <n v="1"/>
    <x v="8"/>
    <n v="2"/>
    <x v="1"/>
    <x v="1231"/>
    <n v="15434"/>
    <n v="1"/>
    <x v="1"/>
    <n v="0.11"/>
    <n v="3"/>
    <n v="4"/>
    <n v="0"/>
    <n v="1"/>
    <n v="3"/>
    <n v="3"/>
    <x v="6"/>
    <n v="0"/>
    <n v="0"/>
    <n v="0"/>
    <x v="1"/>
    <n v="1"/>
    <n v="1"/>
    <n v="1"/>
    <n v="0"/>
    <n v="0"/>
    <n v="1"/>
    <n v="1"/>
    <n v="0"/>
    <n v="10.698962067398959"/>
    <n v="0.3686061316669938"/>
    <x v="0"/>
    <n v="0"/>
  </r>
  <r>
    <x v="1330"/>
    <x v="23"/>
    <x v="0"/>
    <n v="823"/>
    <x v="1"/>
    <n v="6"/>
    <n v="3"/>
    <x v="2"/>
    <n v="1"/>
    <x v="0"/>
    <n v="81"/>
    <n v="2"/>
    <n v="5"/>
    <x v="5"/>
    <n v="3"/>
    <x v="1"/>
    <x v="1232"/>
    <n v="22539"/>
    <n v="7"/>
    <x v="1"/>
    <n v="0.13"/>
    <n v="3"/>
    <n v="4"/>
    <n v="0"/>
    <n v="21"/>
    <n v="2"/>
    <n v="3"/>
    <x v="22"/>
    <n v="12"/>
    <n v="6"/>
    <n v="14"/>
    <x v="1"/>
    <n v="0"/>
    <n v="1"/>
    <n v="1"/>
    <n v="0"/>
    <n v="0"/>
    <n v="0"/>
    <n v="0"/>
    <n v="0"/>
    <n v="0"/>
    <n v="0"/>
    <x v="2"/>
    <n v="0"/>
  </r>
  <r>
    <x v="1331"/>
    <x v="26"/>
    <x v="0"/>
    <n v="1224"/>
    <x v="1"/>
    <n v="10"/>
    <n v="3"/>
    <x v="0"/>
    <n v="4"/>
    <x v="1"/>
    <n v="91"/>
    <n v="2"/>
    <n v="5"/>
    <x v="7"/>
    <n v="2"/>
    <x v="1"/>
    <x v="1233"/>
    <n v="13583"/>
    <n v="4"/>
    <x v="1"/>
    <n v="0.12"/>
    <n v="3"/>
    <n v="4"/>
    <n v="0"/>
    <n v="29"/>
    <n v="3"/>
    <n v="3"/>
    <x v="14"/>
    <n v="10"/>
    <n v="12"/>
    <n v="9"/>
    <x v="1"/>
    <n v="1"/>
    <n v="1"/>
    <n v="1"/>
    <n v="0"/>
    <n v="0"/>
    <n v="1"/>
    <n v="0"/>
    <n v="0"/>
    <n v="4.204533129978131"/>
    <n v="0.14485673308716898"/>
    <x v="2"/>
    <n v="0"/>
  </r>
  <r>
    <x v="1332"/>
    <x v="11"/>
    <x v="1"/>
    <n v="459"/>
    <x v="1"/>
    <n v="24"/>
    <n v="2"/>
    <x v="0"/>
    <n v="4"/>
    <x v="1"/>
    <n v="73"/>
    <n v="2"/>
    <n v="1"/>
    <x v="1"/>
    <n v="4"/>
    <x v="0"/>
    <x v="1234"/>
    <n v="14753"/>
    <n v="1"/>
    <x v="0"/>
    <n v="0.24"/>
    <n v="4"/>
    <n v="2"/>
    <n v="0"/>
    <n v="1"/>
    <n v="3"/>
    <n v="2"/>
    <x v="6"/>
    <n v="0"/>
    <n v="1"/>
    <n v="0"/>
    <x v="0"/>
    <n v="1"/>
    <n v="2"/>
    <n v="0"/>
    <n v="1"/>
    <n v="1"/>
    <n v="0"/>
    <n v="1"/>
    <n v="1"/>
    <n v="24.820925613786383"/>
    <n v="0.85514326691283105"/>
    <x v="3"/>
    <n v="3658.5"/>
  </r>
  <r>
    <x v="1333"/>
    <x v="21"/>
    <x v="0"/>
    <n v="1254"/>
    <x v="0"/>
    <n v="10"/>
    <n v="3"/>
    <x v="0"/>
    <n v="3"/>
    <x v="0"/>
    <n v="64"/>
    <n v="3"/>
    <n v="3"/>
    <x v="0"/>
    <n v="2"/>
    <x v="1"/>
    <x v="1235"/>
    <n v="14011"/>
    <n v="5"/>
    <x v="1"/>
    <n v="0.21"/>
    <n v="4"/>
    <n v="3"/>
    <n v="3"/>
    <n v="14"/>
    <n v="2"/>
    <n v="3"/>
    <x v="3"/>
    <n v="7"/>
    <n v="0"/>
    <n v="7"/>
    <x v="0"/>
    <n v="0"/>
    <n v="1"/>
    <n v="1"/>
    <n v="0"/>
    <n v="0"/>
    <n v="1"/>
    <n v="0"/>
    <n v="0"/>
    <n v="4.204533129978131"/>
    <n v="0.14485673308716898"/>
    <x v="2"/>
    <n v="0"/>
  </r>
  <r>
    <x v="1334"/>
    <x v="4"/>
    <x v="1"/>
    <n v="1131"/>
    <x v="1"/>
    <n v="15"/>
    <n v="3"/>
    <x v="0"/>
    <n v="4"/>
    <x v="0"/>
    <n v="77"/>
    <n v="2"/>
    <n v="1"/>
    <x v="1"/>
    <n v="1"/>
    <x v="1"/>
    <x v="1236"/>
    <n v="23844"/>
    <n v="0"/>
    <x v="1"/>
    <n v="0.19"/>
    <n v="3"/>
    <n v="4"/>
    <n v="1"/>
    <n v="8"/>
    <n v="2"/>
    <n v="2"/>
    <x v="5"/>
    <n v="6"/>
    <n v="7"/>
    <n v="3"/>
    <x v="1"/>
    <n v="0"/>
    <n v="2"/>
    <n v="1"/>
    <n v="0"/>
    <n v="0"/>
    <n v="1"/>
    <n v="1"/>
    <n v="1"/>
    <n v="15.859352047889136"/>
    <n v="0.54639453549708916"/>
    <x v="1"/>
    <n v="7161"/>
  </r>
  <r>
    <x v="1335"/>
    <x v="22"/>
    <x v="0"/>
    <n v="835"/>
    <x v="1"/>
    <n v="19"/>
    <n v="4"/>
    <x v="1"/>
    <n v="4"/>
    <x v="1"/>
    <n v="41"/>
    <n v="3"/>
    <n v="2"/>
    <x v="1"/>
    <n v="4"/>
    <x v="2"/>
    <x v="1237"/>
    <n v="5141"/>
    <n v="8"/>
    <x v="1"/>
    <n v="0.14000000000000001"/>
    <n v="3"/>
    <n v="2"/>
    <n v="3"/>
    <n v="7"/>
    <n v="2"/>
    <n v="3"/>
    <x v="4"/>
    <n v="2"/>
    <n v="2"/>
    <n v="2"/>
    <x v="1"/>
    <n v="1"/>
    <n v="1"/>
    <n v="2"/>
    <n v="0"/>
    <n v="1"/>
    <n v="0"/>
    <n v="1"/>
    <n v="0"/>
    <n v="9.660535633296206"/>
    <n v="0.33282973125692844"/>
    <x v="0"/>
    <n v="0"/>
  </r>
  <r>
    <x v="1336"/>
    <x v="27"/>
    <x v="0"/>
    <n v="836"/>
    <x v="1"/>
    <n v="2"/>
    <n v="4"/>
    <x v="4"/>
    <n v="2"/>
    <x v="1"/>
    <n v="98"/>
    <n v="2"/>
    <n v="1"/>
    <x v="1"/>
    <n v="4"/>
    <x v="1"/>
    <x v="1238"/>
    <n v="7975"/>
    <n v="8"/>
    <x v="1"/>
    <n v="0.2"/>
    <n v="4"/>
    <n v="2"/>
    <n v="1"/>
    <n v="19"/>
    <n v="2"/>
    <n v="4"/>
    <x v="8"/>
    <n v="2"/>
    <n v="0"/>
    <n v="4"/>
    <x v="1"/>
    <n v="1"/>
    <n v="1"/>
    <n v="1"/>
    <n v="0"/>
    <n v="0"/>
    <n v="0"/>
    <n v="1"/>
    <n v="0"/>
    <n v="6.4944289374208282"/>
    <n v="0.22374939857982484"/>
    <x v="2"/>
    <n v="0"/>
  </r>
  <r>
    <x v="1337"/>
    <x v="14"/>
    <x v="0"/>
    <n v="1172"/>
    <x v="0"/>
    <n v="3"/>
    <n v="3"/>
    <x v="2"/>
    <n v="2"/>
    <x v="0"/>
    <n v="78"/>
    <n v="3"/>
    <n v="1"/>
    <x v="6"/>
    <n v="2"/>
    <x v="1"/>
    <x v="1239"/>
    <n v="3692"/>
    <n v="1"/>
    <x v="1"/>
    <n v="0.19"/>
    <n v="3"/>
    <n v="4"/>
    <n v="1"/>
    <n v="1"/>
    <n v="3"/>
    <n v="3"/>
    <x v="6"/>
    <n v="0"/>
    <n v="0"/>
    <n v="0"/>
    <x v="1"/>
    <n v="0"/>
    <n v="1"/>
    <n v="1"/>
    <n v="0"/>
    <n v="0"/>
    <n v="1"/>
    <n v="1"/>
    <n v="0"/>
    <n v="10.698962067398959"/>
    <n v="0.3686061316669938"/>
    <x v="0"/>
    <n v="0"/>
  </r>
  <r>
    <x v="1338"/>
    <x v="7"/>
    <x v="0"/>
    <n v="945"/>
    <x v="0"/>
    <n v="9"/>
    <n v="3"/>
    <x v="2"/>
    <n v="2"/>
    <x v="1"/>
    <n v="89"/>
    <n v="3"/>
    <n v="1"/>
    <x v="6"/>
    <n v="4"/>
    <x v="0"/>
    <x v="1240"/>
    <n v="16019"/>
    <n v="1"/>
    <x v="1"/>
    <n v="0.13"/>
    <n v="3"/>
    <n v="3"/>
    <n v="0"/>
    <n v="1"/>
    <n v="3"/>
    <n v="2"/>
    <x v="6"/>
    <n v="0"/>
    <n v="0"/>
    <n v="0"/>
    <x v="0"/>
    <n v="1"/>
    <n v="1"/>
    <n v="0"/>
    <n v="0"/>
    <n v="0"/>
    <n v="0"/>
    <n v="1"/>
    <n v="0"/>
    <n v="6.4944289374208282"/>
    <n v="0.22374939857982484"/>
    <x v="2"/>
    <n v="0"/>
  </r>
  <r>
    <x v="1339"/>
    <x v="15"/>
    <x v="0"/>
    <n v="391"/>
    <x v="1"/>
    <n v="7"/>
    <n v="1"/>
    <x v="0"/>
    <n v="4"/>
    <x v="1"/>
    <n v="75"/>
    <n v="3"/>
    <n v="1"/>
    <x v="1"/>
    <n v="2"/>
    <x v="0"/>
    <x v="1241"/>
    <n v="26092"/>
    <n v="1"/>
    <x v="0"/>
    <n v="0.23"/>
    <n v="4"/>
    <n v="1"/>
    <n v="0"/>
    <n v="1"/>
    <n v="2"/>
    <n v="3"/>
    <x v="6"/>
    <n v="0"/>
    <n v="0"/>
    <n v="0"/>
    <x v="0"/>
    <n v="1"/>
    <n v="1"/>
    <n v="0"/>
    <n v="1"/>
    <n v="0"/>
    <n v="1"/>
    <n v="1"/>
    <n v="0"/>
    <n v="20.698962067398959"/>
    <n v="0.71313126349280109"/>
    <x v="1"/>
    <n v="3708"/>
  </r>
  <r>
    <x v="1340"/>
    <x v="9"/>
    <x v="0"/>
    <n v="1266"/>
    <x v="0"/>
    <n v="10"/>
    <n v="4"/>
    <x v="4"/>
    <n v="2"/>
    <x v="0"/>
    <n v="63"/>
    <n v="2"/>
    <n v="2"/>
    <x v="0"/>
    <n v="3"/>
    <x v="1"/>
    <x v="1242"/>
    <n v="6060"/>
    <n v="1"/>
    <x v="0"/>
    <n v="0.13"/>
    <n v="3"/>
    <n v="1"/>
    <n v="1"/>
    <n v="10"/>
    <n v="4"/>
    <n v="3"/>
    <x v="1"/>
    <n v="9"/>
    <n v="1"/>
    <n v="7"/>
    <x v="1"/>
    <n v="0"/>
    <n v="1"/>
    <n v="1"/>
    <n v="1"/>
    <n v="0"/>
    <n v="0"/>
    <n v="0"/>
    <n v="0"/>
    <n v="10"/>
    <n v="0.3445251318258073"/>
    <x v="0"/>
    <n v="0"/>
  </r>
  <r>
    <x v="1341"/>
    <x v="12"/>
    <x v="0"/>
    <n v="311"/>
    <x v="1"/>
    <n v="20"/>
    <n v="3"/>
    <x v="0"/>
    <n v="2"/>
    <x v="1"/>
    <n v="89"/>
    <n v="3"/>
    <n v="2"/>
    <x v="2"/>
    <n v="3"/>
    <x v="2"/>
    <x v="378"/>
    <n v="18624"/>
    <n v="1"/>
    <x v="1"/>
    <n v="0.11"/>
    <n v="3"/>
    <n v="1"/>
    <n v="1"/>
    <n v="10"/>
    <n v="2"/>
    <n v="3"/>
    <x v="1"/>
    <n v="8"/>
    <n v="0"/>
    <n v="2"/>
    <x v="1"/>
    <n v="1"/>
    <n v="1"/>
    <n v="2"/>
    <n v="0"/>
    <n v="1"/>
    <n v="0"/>
    <n v="1"/>
    <n v="0"/>
    <n v="9.660535633296206"/>
    <n v="0.33282973125692844"/>
    <x v="0"/>
    <n v="0"/>
  </r>
  <r>
    <x v="1342"/>
    <x v="13"/>
    <x v="0"/>
    <n v="1480"/>
    <x v="0"/>
    <n v="4"/>
    <n v="3"/>
    <x v="0"/>
    <n v="3"/>
    <x v="1"/>
    <n v="64"/>
    <n v="3"/>
    <n v="3"/>
    <x v="0"/>
    <n v="4"/>
    <x v="1"/>
    <x v="1243"/>
    <n v="24444"/>
    <n v="2"/>
    <x v="0"/>
    <n v="0.13"/>
    <n v="3"/>
    <n v="4"/>
    <n v="3"/>
    <n v="9"/>
    <n v="3"/>
    <n v="3"/>
    <x v="8"/>
    <n v="3"/>
    <n v="1"/>
    <n v="0"/>
    <x v="1"/>
    <n v="1"/>
    <n v="1"/>
    <n v="1"/>
    <n v="1"/>
    <n v="0"/>
    <n v="0"/>
    <n v="0"/>
    <n v="0"/>
    <n v="10"/>
    <n v="0.3445251318258073"/>
    <x v="0"/>
    <n v="0"/>
  </r>
  <r>
    <x v="1343"/>
    <x v="11"/>
    <x v="0"/>
    <n v="592"/>
    <x v="1"/>
    <n v="7"/>
    <n v="3"/>
    <x v="0"/>
    <n v="4"/>
    <x v="1"/>
    <n v="59"/>
    <n v="3"/>
    <n v="1"/>
    <x v="2"/>
    <n v="1"/>
    <x v="0"/>
    <x v="1244"/>
    <n v="19384"/>
    <n v="3"/>
    <x v="1"/>
    <n v="0.14000000000000001"/>
    <n v="3"/>
    <n v="2"/>
    <n v="0"/>
    <n v="11"/>
    <n v="2"/>
    <n v="3"/>
    <x v="11"/>
    <n v="2"/>
    <n v="1"/>
    <n v="2"/>
    <x v="1"/>
    <n v="1"/>
    <n v="1"/>
    <n v="0"/>
    <n v="0"/>
    <n v="0"/>
    <n v="1"/>
    <n v="1"/>
    <n v="0"/>
    <n v="10.698962067398959"/>
    <n v="0.3686061316669938"/>
    <x v="0"/>
    <n v="0"/>
  </r>
  <r>
    <x v="1344"/>
    <x v="2"/>
    <x v="0"/>
    <n v="783"/>
    <x v="1"/>
    <n v="7"/>
    <n v="4"/>
    <x v="2"/>
    <n v="4"/>
    <x v="1"/>
    <n v="78"/>
    <n v="3"/>
    <n v="2"/>
    <x v="1"/>
    <n v="1"/>
    <x v="1"/>
    <x v="948"/>
    <n v="13588"/>
    <n v="5"/>
    <x v="0"/>
    <n v="0.22"/>
    <n v="4"/>
    <n v="3"/>
    <n v="1"/>
    <n v="16"/>
    <n v="2"/>
    <n v="3"/>
    <x v="8"/>
    <n v="3"/>
    <n v="0"/>
    <n v="4"/>
    <x v="1"/>
    <n v="1"/>
    <n v="1"/>
    <n v="1"/>
    <n v="1"/>
    <n v="0"/>
    <n v="1"/>
    <n v="1"/>
    <n v="0"/>
    <n v="20.698962067398959"/>
    <n v="0.71313126349280109"/>
    <x v="1"/>
    <n v="6426"/>
  </r>
  <r>
    <x v="1345"/>
    <x v="10"/>
    <x v="0"/>
    <n v="219"/>
    <x v="1"/>
    <n v="16"/>
    <n v="2"/>
    <x v="1"/>
    <n v="4"/>
    <x v="0"/>
    <n v="44"/>
    <n v="2"/>
    <n v="2"/>
    <x v="3"/>
    <n v="2"/>
    <x v="1"/>
    <x v="1245"/>
    <n v="25388"/>
    <n v="0"/>
    <x v="0"/>
    <n v="0.11"/>
    <n v="3"/>
    <n v="4"/>
    <n v="0"/>
    <n v="4"/>
    <n v="2"/>
    <n v="3"/>
    <x v="11"/>
    <n v="2"/>
    <n v="0"/>
    <n v="2"/>
    <x v="1"/>
    <n v="0"/>
    <n v="1"/>
    <n v="1"/>
    <n v="1"/>
    <n v="1"/>
    <n v="1"/>
    <n v="1"/>
    <n v="0"/>
    <n v="23.865068763274337"/>
    <n v="0.82221159616990469"/>
    <x v="3"/>
    <n v="7182"/>
  </r>
  <r>
    <x v="1346"/>
    <x v="28"/>
    <x v="0"/>
    <n v="556"/>
    <x v="1"/>
    <n v="25"/>
    <n v="2"/>
    <x v="0"/>
    <n v="2"/>
    <x v="0"/>
    <n v="93"/>
    <n v="2"/>
    <n v="2"/>
    <x v="3"/>
    <n v="4"/>
    <x v="1"/>
    <x v="1246"/>
    <n v="23888"/>
    <n v="0"/>
    <x v="1"/>
    <n v="0.13"/>
    <n v="3"/>
    <n v="4"/>
    <n v="2"/>
    <n v="10"/>
    <n v="2"/>
    <n v="2"/>
    <x v="7"/>
    <n v="8"/>
    <n v="3"/>
    <n v="8"/>
    <x v="1"/>
    <n v="0"/>
    <n v="1"/>
    <n v="1"/>
    <n v="0"/>
    <n v="1"/>
    <n v="0"/>
    <n v="0"/>
    <n v="0"/>
    <n v="3.1661066958753779"/>
    <n v="0.10908033267710357"/>
    <x v="2"/>
    <n v="0"/>
  </r>
  <r>
    <x v="1347"/>
    <x v="9"/>
    <x v="1"/>
    <n v="1213"/>
    <x v="2"/>
    <n v="2"/>
    <n v="1"/>
    <x v="5"/>
    <n v="2"/>
    <x v="1"/>
    <n v="94"/>
    <n v="2"/>
    <n v="2"/>
    <x v="8"/>
    <n v="4"/>
    <x v="0"/>
    <x v="1247"/>
    <n v="4223"/>
    <n v="1"/>
    <x v="1"/>
    <n v="0.21"/>
    <n v="4"/>
    <n v="4"/>
    <n v="0"/>
    <n v="10"/>
    <n v="2"/>
    <n v="2"/>
    <x v="1"/>
    <n v="1"/>
    <n v="0"/>
    <n v="8"/>
    <x v="1"/>
    <n v="1"/>
    <n v="2"/>
    <n v="0"/>
    <n v="0"/>
    <n v="0"/>
    <n v="0"/>
    <n v="1"/>
    <n v="1"/>
    <n v="11.654818917911005"/>
    <n v="0.40153780240992015"/>
    <x v="0"/>
    <n v="0"/>
  </r>
  <r>
    <x v="1348"/>
    <x v="32"/>
    <x v="0"/>
    <n v="1137"/>
    <x v="1"/>
    <n v="1"/>
    <n v="4"/>
    <x v="0"/>
    <n v="1"/>
    <x v="1"/>
    <n v="98"/>
    <n v="3"/>
    <n v="4"/>
    <x v="5"/>
    <n v="1"/>
    <x v="2"/>
    <x v="1248"/>
    <n v="18991"/>
    <n v="2"/>
    <x v="1"/>
    <n v="0.11"/>
    <n v="3"/>
    <n v="1"/>
    <n v="1"/>
    <n v="22"/>
    <n v="3"/>
    <n v="3"/>
    <x v="27"/>
    <n v="7"/>
    <n v="11"/>
    <n v="16"/>
    <x v="1"/>
    <n v="1"/>
    <n v="1"/>
    <n v="2"/>
    <n v="0"/>
    <n v="0"/>
    <n v="1"/>
    <n v="0"/>
    <n v="0"/>
    <n v="4.204533129978131"/>
    <n v="0.14485673308716898"/>
    <x v="2"/>
    <n v="0"/>
  </r>
  <r>
    <x v="1349"/>
    <x v="25"/>
    <x v="0"/>
    <n v="482"/>
    <x v="1"/>
    <n v="1"/>
    <n v="2"/>
    <x v="0"/>
    <n v="2"/>
    <x v="0"/>
    <n v="90"/>
    <n v="2"/>
    <n v="1"/>
    <x v="1"/>
    <n v="3"/>
    <x v="1"/>
    <x v="1249"/>
    <n v="14908"/>
    <n v="1"/>
    <x v="0"/>
    <n v="0.13"/>
    <n v="3"/>
    <n v="3"/>
    <n v="1"/>
    <n v="1"/>
    <n v="3"/>
    <n v="2"/>
    <x v="6"/>
    <n v="0"/>
    <n v="1"/>
    <n v="0"/>
    <x v="1"/>
    <n v="0"/>
    <n v="1"/>
    <n v="1"/>
    <n v="1"/>
    <n v="0"/>
    <n v="0"/>
    <n v="1"/>
    <n v="0"/>
    <n v="16.494428937420828"/>
    <n v="0.56827453040563214"/>
    <x v="1"/>
    <n v="4399.5"/>
  </r>
  <r>
    <x v="1350"/>
    <x v="4"/>
    <x v="0"/>
    <n v="511"/>
    <x v="0"/>
    <n v="2"/>
    <n v="2"/>
    <x v="2"/>
    <n v="1"/>
    <x v="0"/>
    <n v="89"/>
    <n v="4"/>
    <n v="2"/>
    <x v="0"/>
    <n v="3"/>
    <x v="0"/>
    <x v="559"/>
    <n v="26997"/>
    <n v="0"/>
    <x v="1"/>
    <n v="0.14000000000000001"/>
    <n v="3"/>
    <n v="2"/>
    <n v="0"/>
    <n v="9"/>
    <n v="5"/>
    <n v="2"/>
    <x v="3"/>
    <n v="7"/>
    <n v="0"/>
    <n v="7"/>
    <x v="1"/>
    <n v="0"/>
    <n v="1"/>
    <n v="0"/>
    <n v="0"/>
    <n v="0"/>
    <n v="0"/>
    <n v="0"/>
    <n v="0"/>
    <n v="0"/>
    <n v="0"/>
    <x v="2"/>
    <n v="0"/>
  </r>
  <r>
    <x v="1351"/>
    <x v="26"/>
    <x v="1"/>
    <n v="117"/>
    <x v="1"/>
    <n v="22"/>
    <n v="3"/>
    <x v="2"/>
    <n v="4"/>
    <x v="0"/>
    <n v="58"/>
    <n v="3"/>
    <n v="4"/>
    <x v="5"/>
    <n v="4"/>
    <x v="2"/>
    <x v="1250"/>
    <n v="2437"/>
    <n v="3"/>
    <x v="1"/>
    <n v="0.11"/>
    <n v="3"/>
    <n v="2"/>
    <n v="1"/>
    <n v="24"/>
    <n v="3"/>
    <n v="3"/>
    <x v="14"/>
    <n v="17"/>
    <n v="4"/>
    <n v="7"/>
    <x v="1"/>
    <n v="0"/>
    <n v="2"/>
    <n v="2"/>
    <n v="0"/>
    <n v="1"/>
    <n v="0"/>
    <n v="0"/>
    <n v="1"/>
    <n v="8.3264966763655544"/>
    <n v="0.28686873650719891"/>
    <x v="0"/>
    <n v="0"/>
  </r>
  <r>
    <x v="1352"/>
    <x v="20"/>
    <x v="0"/>
    <n v="170"/>
    <x v="1"/>
    <n v="1"/>
    <n v="4"/>
    <x v="0"/>
    <n v="2"/>
    <x v="1"/>
    <n v="78"/>
    <n v="4"/>
    <n v="2"/>
    <x v="4"/>
    <n v="1"/>
    <x v="1"/>
    <x v="1251"/>
    <n v="9364"/>
    <n v="2"/>
    <x v="1"/>
    <n v="0.15"/>
    <n v="3"/>
    <n v="4"/>
    <n v="1"/>
    <n v="10"/>
    <n v="5"/>
    <n v="3"/>
    <x v="4"/>
    <n v="0"/>
    <n v="2"/>
    <n v="2"/>
    <x v="1"/>
    <n v="1"/>
    <n v="1"/>
    <n v="1"/>
    <n v="0"/>
    <n v="0"/>
    <n v="1"/>
    <n v="0"/>
    <n v="0"/>
    <n v="4.204533129978131"/>
    <n v="0.14485673308716898"/>
    <x v="2"/>
    <n v="0"/>
  </r>
  <r>
    <x v="1353"/>
    <x v="13"/>
    <x v="2"/>
    <n v="967"/>
    <x v="1"/>
    <n v="16"/>
    <n v="4"/>
    <x v="4"/>
    <n v="4"/>
    <x v="1"/>
    <n v="85"/>
    <n v="1"/>
    <n v="1"/>
    <x v="1"/>
    <n v="1"/>
    <x v="1"/>
    <x v="1252"/>
    <n v="14460"/>
    <n v="1"/>
    <x v="0"/>
    <n v="0.23"/>
    <n v="4"/>
    <n v="2"/>
    <n v="1"/>
    <n v="5"/>
    <n v="2"/>
    <n v="3"/>
    <x v="8"/>
    <n v="2"/>
    <n v="3"/>
    <n v="0"/>
    <x v="0"/>
    <n v="1"/>
    <n v="0"/>
    <n v="1"/>
    <n v="1"/>
    <n v="1"/>
    <n v="1"/>
    <n v="1"/>
    <n v="0"/>
    <n v="23.865068763274337"/>
    <n v="0.82221159616990469"/>
    <x v="3"/>
    <n v="3460.5"/>
  </r>
  <r>
    <x v="1354"/>
    <x v="29"/>
    <x v="0"/>
    <n v="1162"/>
    <x v="1"/>
    <n v="24"/>
    <n v="2"/>
    <x v="0"/>
    <n v="1"/>
    <x v="1"/>
    <n v="97"/>
    <n v="3"/>
    <n v="1"/>
    <x v="2"/>
    <n v="4"/>
    <x v="0"/>
    <x v="1105"/>
    <n v="10261"/>
    <n v="1"/>
    <x v="1"/>
    <n v="0.16"/>
    <n v="3"/>
    <n v="4"/>
    <n v="0"/>
    <n v="5"/>
    <n v="3"/>
    <n v="3"/>
    <x v="9"/>
    <n v="2"/>
    <n v="1"/>
    <n v="0"/>
    <x v="0"/>
    <n v="1"/>
    <n v="1"/>
    <n v="0"/>
    <n v="0"/>
    <n v="1"/>
    <n v="0"/>
    <n v="1"/>
    <n v="0"/>
    <n v="9.660535633296206"/>
    <n v="0.33282973125692844"/>
    <x v="0"/>
    <n v="0"/>
  </r>
  <r>
    <x v="1355"/>
    <x v="9"/>
    <x v="0"/>
    <n v="335"/>
    <x v="0"/>
    <n v="17"/>
    <n v="2"/>
    <x v="3"/>
    <n v="3"/>
    <x v="1"/>
    <n v="33"/>
    <n v="2"/>
    <n v="2"/>
    <x v="0"/>
    <n v="2"/>
    <x v="1"/>
    <x v="1253"/>
    <n v="16822"/>
    <n v="2"/>
    <x v="1"/>
    <n v="0.16"/>
    <n v="3"/>
    <n v="3"/>
    <n v="2"/>
    <n v="12"/>
    <n v="1"/>
    <n v="1"/>
    <x v="9"/>
    <n v="2"/>
    <n v="1"/>
    <n v="3"/>
    <x v="1"/>
    <n v="1"/>
    <n v="1"/>
    <n v="1"/>
    <n v="0"/>
    <n v="1"/>
    <n v="1"/>
    <n v="0"/>
    <n v="0"/>
    <n v="7.3706398258535089"/>
    <n v="0.25393706576427255"/>
    <x v="0"/>
    <n v="0"/>
  </r>
  <r>
    <x v="1356"/>
    <x v="0"/>
    <x v="0"/>
    <n v="337"/>
    <x v="0"/>
    <n v="8"/>
    <n v="3"/>
    <x v="3"/>
    <n v="3"/>
    <x v="0"/>
    <n v="54"/>
    <n v="3"/>
    <n v="2"/>
    <x v="0"/>
    <n v="2"/>
    <x v="1"/>
    <x v="1254"/>
    <n v="26841"/>
    <n v="5"/>
    <x v="1"/>
    <n v="0.21"/>
    <n v="4"/>
    <n v="3"/>
    <n v="1"/>
    <n v="14"/>
    <n v="3"/>
    <n v="3"/>
    <x v="8"/>
    <n v="4"/>
    <n v="1"/>
    <n v="4"/>
    <x v="1"/>
    <n v="0"/>
    <n v="1"/>
    <n v="1"/>
    <n v="0"/>
    <n v="0"/>
    <n v="1"/>
    <n v="1"/>
    <n v="0"/>
    <n v="10.698962067398959"/>
    <n v="0.3686061316669938"/>
    <x v="0"/>
    <n v="0"/>
  </r>
  <r>
    <x v="1357"/>
    <x v="19"/>
    <x v="0"/>
    <n v="1396"/>
    <x v="1"/>
    <n v="6"/>
    <n v="3"/>
    <x v="2"/>
    <n v="3"/>
    <x v="1"/>
    <n v="83"/>
    <n v="3"/>
    <n v="3"/>
    <x v="7"/>
    <n v="1"/>
    <x v="1"/>
    <x v="1255"/>
    <n v="14842"/>
    <n v="9"/>
    <x v="1"/>
    <n v="0.13"/>
    <n v="3"/>
    <n v="2"/>
    <n v="1"/>
    <n v="18"/>
    <n v="3"/>
    <n v="4"/>
    <x v="20"/>
    <n v="7"/>
    <n v="5"/>
    <n v="7"/>
    <x v="1"/>
    <n v="1"/>
    <n v="1"/>
    <n v="1"/>
    <n v="0"/>
    <n v="0"/>
    <n v="1"/>
    <n v="0"/>
    <n v="0"/>
    <n v="4.204533129978131"/>
    <n v="0.14485673308716898"/>
    <x v="2"/>
    <n v="0"/>
  </r>
  <r>
    <x v="1358"/>
    <x v="12"/>
    <x v="0"/>
    <n v="1079"/>
    <x v="0"/>
    <n v="10"/>
    <n v="2"/>
    <x v="2"/>
    <n v="3"/>
    <x v="0"/>
    <n v="86"/>
    <n v="3"/>
    <n v="2"/>
    <x v="0"/>
    <n v="4"/>
    <x v="2"/>
    <x v="1256"/>
    <n v="20115"/>
    <n v="2"/>
    <x v="0"/>
    <n v="0.11"/>
    <n v="3"/>
    <n v="4"/>
    <n v="1"/>
    <n v="8"/>
    <n v="2"/>
    <n v="3"/>
    <x v="8"/>
    <n v="2"/>
    <n v="1"/>
    <n v="4"/>
    <x v="1"/>
    <n v="0"/>
    <n v="1"/>
    <n v="2"/>
    <n v="1"/>
    <n v="0"/>
    <n v="0"/>
    <n v="0"/>
    <n v="0"/>
    <n v="10"/>
    <n v="0.3445251318258073"/>
    <x v="0"/>
    <n v="0"/>
  </r>
  <r>
    <x v="1359"/>
    <x v="13"/>
    <x v="0"/>
    <n v="735"/>
    <x v="0"/>
    <n v="3"/>
    <n v="1"/>
    <x v="2"/>
    <n v="4"/>
    <x v="0"/>
    <n v="75"/>
    <n v="2"/>
    <n v="2"/>
    <x v="0"/>
    <n v="4"/>
    <x v="1"/>
    <x v="1257"/>
    <n v="16495"/>
    <n v="3"/>
    <x v="0"/>
    <n v="0.12"/>
    <n v="3"/>
    <n v="3"/>
    <n v="0"/>
    <n v="9"/>
    <n v="3"/>
    <n v="2"/>
    <x v="9"/>
    <n v="2"/>
    <n v="0"/>
    <n v="1"/>
    <x v="1"/>
    <n v="0"/>
    <n v="1"/>
    <n v="1"/>
    <n v="1"/>
    <n v="0"/>
    <n v="0"/>
    <n v="0"/>
    <n v="0"/>
    <n v="10"/>
    <n v="0.3445251318258073"/>
    <x v="0"/>
    <n v="0"/>
  </r>
  <r>
    <x v="1360"/>
    <x v="12"/>
    <x v="0"/>
    <n v="471"/>
    <x v="1"/>
    <n v="4"/>
    <n v="3"/>
    <x v="2"/>
    <n v="1"/>
    <x v="0"/>
    <n v="62"/>
    <n v="4"/>
    <n v="1"/>
    <x v="2"/>
    <n v="3"/>
    <x v="2"/>
    <x v="1258"/>
    <n v="16031"/>
    <n v="8"/>
    <x v="1"/>
    <n v="0.12"/>
    <n v="3"/>
    <n v="2"/>
    <n v="1"/>
    <n v="4"/>
    <n v="0"/>
    <n v="2"/>
    <x v="4"/>
    <n v="2"/>
    <n v="2"/>
    <n v="2"/>
    <x v="1"/>
    <n v="0"/>
    <n v="1"/>
    <n v="2"/>
    <n v="0"/>
    <n v="0"/>
    <n v="0"/>
    <n v="1"/>
    <n v="0"/>
    <n v="6.4944289374208282"/>
    <n v="0.22374939857982484"/>
    <x v="2"/>
    <n v="0"/>
  </r>
  <r>
    <x v="1361"/>
    <x v="25"/>
    <x v="1"/>
    <n v="1096"/>
    <x v="1"/>
    <n v="6"/>
    <n v="3"/>
    <x v="1"/>
    <n v="3"/>
    <x v="1"/>
    <n v="61"/>
    <n v="4"/>
    <n v="1"/>
    <x v="2"/>
    <n v="4"/>
    <x v="1"/>
    <x v="1259"/>
    <n v="7102"/>
    <n v="0"/>
    <x v="1"/>
    <n v="0.18"/>
    <n v="3"/>
    <n v="1"/>
    <n v="1"/>
    <n v="8"/>
    <n v="3"/>
    <n v="3"/>
    <x v="5"/>
    <n v="7"/>
    <n v="7"/>
    <n v="7"/>
    <x v="1"/>
    <n v="1"/>
    <n v="2"/>
    <n v="1"/>
    <n v="0"/>
    <n v="0"/>
    <n v="0"/>
    <n v="1"/>
    <n v="1"/>
    <n v="11.654818917911005"/>
    <n v="0.40153780240992015"/>
    <x v="0"/>
    <n v="0"/>
  </r>
  <r>
    <x v="1362"/>
    <x v="28"/>
    <x v="1"/>
    <n v="1297"/>
    <x v="1"/>
    <n v="1"/>
    <n v="4"/>
    <x v="2"/>
    <n v="2"/>
    <x v="1"/>
    <n v="44"/>
    <n v="3"/>
    <n v="2"/>
    <x v="4"/>
    <n v="3"/>
    <x v="0"/>
    <x v="1260"/>
    <n v="14511"/>
    <n v="4"/>
    <x v="1"/>
    <n v="0.12"/>
    <n v="3"/>
    <n v="3"/>
    <n v="0"/>
    <n v="12"/>
    <n v="3"/>
    <n v="3"/>
    <x v="9"/>
    <n v="2"/>
    <n v="0"/>
    <n v="3"/>
    <x v="1"/>
    <n v="1"/>
    <n v="2"/>
    <n v="0"/>
    <n v="0"/>
    <n v="0"/>
    <n v="0"/>
    <n v="0"/>
    <n v="1"/>
    <n v="5.1603899804901765"/>
    <n v="0.17778840383009531"/>
    <x v="2"/>
    <n v="0"/>
  </r>
  <r>
    <x v="1363"/>
    <x v="3"/>
    <x v="0"/>
    <n v="217"/>
    <x v="0"/>
    <n v="10"/>
    <n v="4"/>
    <x v="3"/>
    <n v="2"/>
    <x v="1"/>
    <n v="43"/>
    <n v="3"/>
    <n v="2"/>
    <x v="0"/>
    <n v="3"/>
    <x v="0"/>
    <x v="1261"/>
    <n v="10410"/>
    <n v="1"/>
    <x v="1"/>
    <n v="0.14000000000000001"/>
    <n v="3"/>
    <n v="2"/>
    <n v="0"/>
    <n v="10"/>
    <n v="2"/>
    <n v="2"/>
    <x v="1"/>
    <n v="4"/>
    <n v="0"/>
    <n v="9"/>
    <x v="1"/>
    <n v="1"/>
    <n v="1"/>
    <n v="0"/>
    <n v="0"/>
    <n v="0"/>
    <n v="0"/>
    <n v="0"/>
    <n v="0"/>
    <n v="0"/>
    <n v="0"/>
    <x v="2"/>
    <n v="0"/>
  </r>
  <r>
    <x v="1364"/>
    <x v="14"/>
    <x v="1"/>
    <n v="783"/>
    <x v="0"/>
    <n v="1"/>
    <n v="2"/>
    <x v="0"/>
    <n v="3"/>
    <x v="1"/>
    <n v="42"/>
    <n v="2"/>
    <n v="2"/>
    <x v="0"/>
    <n v="4"/>
    <x v="1"/>
    <x v="1262"/>
    <n v="19255"/>
    <n v="1"/>
    <x v="0"/>
    <n v="0.12"/>
    <n v="3"/>
    <n v="3"/>
    <n v="1"/>
    <n v="7"/>
    <n v="2"/>
    <n v="3"/>
    <x v="5"/>
    <n v="7"/>
    <n v="0"/>
    <n v="7"/>
    <x v="1"/>
    <n v="1"/>
    <n v="2"/>
    <n v="1"/>
    <n v="1"/>
    <n v="0"/>
    <n v="0"/>
    <n v="0"/>
    <n v="1"/>
    <n v="15.160389980490176"/>
    <n v="0.52231353565590266"/>
    <x v="1"/>
    <n v="10251"/>
  </r>
  <r>
    <x v="1365"/>
    <x v="11"/>
    <x v="1"/>
    <n v="746"/>
    <x v="0"/>
    <n v="24"/>
    <n v="3"/>
    <x v="4"/>
    <n v="3"/>
    <x v="1"/>
    <n v="45"/>
    <n v="4"/>
    <n v="1"/>
    <x v="6"/>
    <n v="1"/>
    <x v="0"/>
    <x v="1263"/>
    <n v="10642"/>
    <n v="1"/>
    <x v="1"/>
    <n v="0.17"/>
    <n v="3"/>
    <n v="4"/>
    <n v="0"/>
    <n v="1"/>
    <n v="3"/>
    <n v="3"/>
    <x v="6"/>
    <n v="0"/>
    <n v="0"/>
    <n v="0"/>
    <x v="0"/>
    <n v="1"/>
    <n v="2"/>
    <n v="0"/>
    <n v="0"/>
    <n v="1"/>
    <n v="1"/>
    <n v="1"/>
    <n v="1"/>
    <n v="19.025458743764514"/>
    <n v="0.65547486817419276"/>
    <x v="1"/>
    <n v="1636.5"/>
  </r>
  <r>
    <x v="1366"/>
    <x v="22"/>
    <x v="2"/>
    <n v="1251"/>
    <x v="0"/>
    <n v="21"/>
    <n v="4"/>
    <x v="0"/>
    <n v="1"/>
    <x v="0"/>
    <n v="32"/>
    <n v="1"/>
    <n v="2"/>
    <x v="0"/>
    <n v="3"/>
    <x v="1"/>
    <x v="1264"/>
    <n v="3987"/>
    <n v="6"/>
    <x v="1"/>
    <n v="0.19"/>
    <n v="3"/>
    <n v="3"/>
    <n v="1"/>
    <n v="10"/>
    <n v="1"/>
    <n v="3"/>
    <x v="11"/>
    <n v="2"/>
    <n v="1"/>
    <n v="2"/>
    <x v="1"/>
    <n v="0"/>
    <n v="0"/>
    <n v="1"/>
    <n v="0"/>
    <n v="1"/>
    <n v="0"/>
    <n v="0"/>
    <n v="0"/>
    <n v="3.1661066958753779"/>
    <n v="0.10908033267710357"/>
    <x v="2"/>
    <n v="0"/>
  </r>
  <r>
    <x v="1367"/>
    <x v="4"/>
    <x v="0"/>
    <n v="1354"/>
    <x v="1"/>
    <n v="2"/>
    <n v="4"/>
    <x v="4"/>
    <n v="2"/>
    <x v="1"/>
    <n v="41"/>
    <n v="3"/>
    <n v="1"/>
    <x v="1"/>
    <n v="2"/>
    <x v="1"/>
    <x v="1265"/>
    <n v="6073"/>
    <n v="1"/>
    <x v="1"/>
    <n v="0.11"/>
    <n v="3"/>
    <n v="3"/>
    <n v="1"/>
    <n v="6"/>
    <n v="3"/>
    <n v="2"/>
    <x v="8"/>
    <n v="3"/>
    <n v="1"/>
    <n v="2"/>
    <x v="1"/>
    <n v="1"/>
    <n v="1"/>
    <n v="1"/>
    <n v="0"/>
    <n v="0"/>
    <n v="1"/>
    <n v="1"/>
    <n v="0"/>
    <n v="10.698962067398959"/>
    <n v="0.3686061316669938"/>
    <x v="0"/>
    <n v="0"/>
  </r>
  <r>
    <x v="1368"/>
    <x v="13"/>
    <x v="1"/>
    <n v="735"/>
    <x v="1"/>
    <n v="22"/>
    <n v="4"/>
    <x v="1"/>
    <n v="3"/>
    <x v="1"/>
    <n v="86"/>
    <n v="2"/>
    <n v="2"/>
    <x v="1"/>
    <n v="4"/>
    <x v="1"/>
    <x v="1266"/>
    <n v="26496"/>
    <n v="1"/>
    <x v="0"/>
    <n v="0.15"/>
    <n v="3"/>
    <n v="2"/>
    <n v="0"/>
    <n v="16"/>
    <n v="3"/>
    <n v="3"/>
    <x v="15"/>
    <n v="10"/>
    <n v="6"/>
    <n v="11"/>
    <x v="1"/>
    <n v="1"/>
    <n v="2"/>
    <n v="1"/>
    <n v="1"/>
    <n v="1"/>
    <n v="0"/>
    <n v="0"/>
    <n v="1"/>
    <n v="18.326496676365554"/>
    <n v="0.63139386833300615"/>
    <x v="1"/>
    <n v="8620.5"/>
  </r>
  <r>
    <x v="1369"/>
    <x v="14"/>
    <x v="0"/>
    <n v="1475"/>
    <x v="0"/>
    <n v="13"/>
    <n v="2"/>
    <x v="3"/>
    <n v="4"/>
    <x v="0"/>
    <n v="84"/>
    <n v="3"/>
    <n v="2"/>
    <x v="0"/>
    <n v="3"/>
    <x v="0"/>
    <x v="1267"/>
    <n v="23352"/>
    <n v="3"/>
    <x v="0"/>
    <n v="0.11"/>
    <n v="3"/>
    <n v="4"/>
    <n v="0"/>
    <n v="6"/>
    <n v="0"/>
    <n v="3"/>
    <x v="4"/>
    <n v="0"/>
    <n v="2"/>
    <n v="2"/>
    <x v="0"/>
    <n v="0"/>
    <n v="1"/>
    <n v="0"/>
    <n v="1"/>
    <n v="0"/>
    <n v="0"/>
    <n v="0"/>
    <n v="0"/>
    <n v="10"/>
    <n v="0.3445251318258073"/>
    <x v="0"/>
    <n v="0"/>
  </r>
  <r>
    <x v="1370"/>
    <x v="40"/>
    <x v="2"/>
    <n v="1169"/>
    <x v="1"/>
    <n v="14"/>
    <n v="4"/>
    <x v="4"/>
    <n v="3"/>
    <x v="1"/>
    <n v="64"/>
    <n v="3"/>
    <n v="2"/>
    <x v="1"/>
    <n v="2"/>
    <x v="1"/>
    <x v="931"/>
    <n v="2125"/>
    <n v="8"/>
    <x v="1"/>
    <n v="0.18"/>
    <n v="3"/>
    <n v="3"/>
    <n v="1"/>
    <n v="16"/>
    <n v="4"/>
    <n v="4"/>
    <x v="3"/>
    <n v="7"/>
    <n v="1"/>
    <n v="7"/>
    <x v="1"/>
    <n v="1"/>
    <n v="0"/>
    <n v="1"/>
    <n v="0"/>
    <n v="0"/>
    <n v="1"/>
    <n v="0"/>
    <n v="0"/>
    <n v="4.204533129978131"/>
    <n v="0.14485673308716898"/>
    <x v="2"/>
    <n v="0"/>
  </r>
  <r>
    <x v="1371"/>
    <x v="29"/>
    <x v="0"/>
    <n v="1443"/>
    <x v="0"/>
    <n v="11"/>
    <n v="5"/>
    <x v="3"/>
    <n v="4"/>
    <x v="0"/>
    <n v="89"/>
    <n v="2"/>
    <n v="2"/>
    <x v="0"/>
    <n v="1"/>
    <x v="1"/>
    <x v="1268"/>
    <n v="20328"/>
    <n v="4"/>
    <x v="1"/>
    <n v="0.16"/>
    <n v="3"/>
    <n v="3"/>
    <n v="1"/>
    <n v="6"/>
    <n v="3"/>
    <n v="3"/>
    <x v="2"/>
    <n v="0"/>
    <n v="0"/>
    <n v="0"/>
    <x v="1"/>
    <n v="0"/>
    <n v="1"/>
    <n v="1"/>
    <n v="0"/>
    <n v="0"/>
    <n v="1"/>
    <n v="0"/>
    <n v="0"/>
    <n v="4.204533129978131"/>
    <n v="0.14485673308716898"/>
    <x v="2"/>
    <n v="0"/>
  </r>
  <r>
    <x v="1372"/>
    <x v="22"/>
    <x v="0"/>
    <n v="867"/>
    <x v="1"/>
    <n v="9"/>
    <n v="2"/>
    <x v="2"/>
    <n v="1"/>
    <x v="1"/>
    <n v="87"/>
    <n v="3"/>
    <n v="2"/>
    <x v="3"/>
    <n v="1"/>
    <x v="1"/>
    <x v="1269"/>
    <n v="12315"/>
    <n v="1"/>
    <x v="1"/>
    <n v="0.25"/>
    <n v="4"/>
    <n v="4"/>
    <n v="1"/>
    <n v="10"/>
    <n v="3"/>
    <n v="3"/>
    <x v="1"/>
    <n v="0"/>
    <n v="7"/>
    <n v="9"/>
    <x v="1"/>
    <n v="1"/>
    <n v="1"/>
    <n v="1"/>
    <n v="0"/>
    <n v="0"/>
    <n v="1"/>
    <n v="0"/>
    <n v="0"/>
    <n v="4.204533129978131"/>
    <n v="0.14485673308716898"/>
    <x v="2"/>
    <n v="0"/>
  </r>
  <r>
    <x v="1373"/>
    <x v="8"/>
    <x v="1"/>
    <n v="1394"/>
    <x v="1"/>
    <n v="8"/>
    <n v="3"/>
    <x v="2"/>
    <n v="4"/>
    <x v="0"/>
    <n v="58"/>
    <n v="2"/>
    <n v="2"/>
    <x v="1"/>
    <n v="2"/>
    <x v="2"/>
    <x v="1270"/>
    <n v="18115"/>
    <n v="1"/>
    <x v="0"/>
    <n v="0.16"/>
    <n v="3"/>
    <n v="3"/>
    <n v="1"/>
    <n v="20"/>
    <n v="3"/>
    <n v="3"/>
    <x v="23"/>
    <n v="11"/>
    <n v="0"/>
    <n v="7"/>
    <x v="1"/>
    <n v="0"/>
    <n v="2"/>
    <n v="2"/>
    <n v="1"/>
    <n v="0"/>
    <n v="1"/>
    <n v="1"/>
    <n v="1"/>
    <n v="25.859352047889136"/>
    <n v="0.8909196673228964"/>
    <x v="3"/>
    <n v="3199.5"/>
  </r>
  <r>
    <x v="1374"/>
    <x v="34"/>
    <x v="0"/>
    <n v="605"/>
    <x v="0"/>
    <n v="21"/>
    <n v="3"/>
    <x v="0"/>
    <n v="4"/>
    <x v="0"/>
    <n v="72"/>
    <n v="3"/>
    <n v="4"/>
    <x v="5"/>
    <n v="4"/>
    <x v="1"/>
    <x v="1271"/>
    <n v="11761"/>
    <n v="4"/>
    <x v="0"/>
    <n v="0.13"/>
    <n v="3"/>
    <n v="3"/>
    <n v="1"/>
    <n v="29"/>
    <n v="2"/>
    <n v="2"/>
    <x v="6"/>
    <n v="0"/>
    <n v="0"/>
    <n v="0"/>
    <x v="1"/>
    <n v="0"/>
    <n v="1"/>
    <n v="1"/>
    <n v="1"/>
    <n v="1"/>
    <n v="0"/>
    <n v="0"/>
    <n v="0"/>
    <n v="13.166106695875378"/>
    <n v="0.45360546450291089"/>
    <x v="0"/>
    <n v="0"/>
  </r>
  <r>
    <x v="1375"/>
    <x v="5"/>
    <x v="1"/>
    <n v="238"/>
    <x v="1"/>
    <n v="5"/>
    <n v="2"/>
    <x v="0"/>
    <n v="1"/>
    <x v="0"/>
    <n v="47"/>
    <n v="4"/>
    <n v="1"/>
    <x v="1"/>
    <n v="3"/>
    <x v="0"/>
    <x v="1272"/>
    <n v="15318"/>
    <n v="3"/>
    <x v="0"/>
    <n v="0.14000000000000001"/>
    <n v="3"/>
    <n v="1"/>
    <n v="0"/>
    <n v="8"/>
    <n v="2"/>
    <n v="3"/>
    <x v="9"/>
    <n v="1"/>
    <n v="0"/>
    <n v="3"/>
    <x v="0"/>
    <n v="0"/>
    <n v="2"/>
    <n v="0"/>
    <n v="1"/>
    <n v="0"/>
    <n v="0"/>
    <n v="1"/>
    <n v="1"/>
    <n v="21.654818917911005"/>
    <n v="0.74606293423572745"/>
    <x v="1"/>
    <n v="3648"/>
  </r>
  <r>
    <x v="1376"/>
    <x v="8"/>
    <x v="0"/>
    <n v="1206"/>
    <x v="1"/>
    <n v="9"/>
    <n v="2"/>
    <x v="0"/>
    <n v="2"/>
    <x v="1"/>
    <n v="71"/>
    <n v="3"/>
    <n v="1"/>
    <x v="1"/>
    <n v="4"/>
    <x v="2"/>
    <x v="1273"/>
    <n v="14293"/>
    <n v="2"/>
    <x v="1"/>
    <n v="0.19"/>
    <n v="3"/>
    <n v="4"/>
    <n v="2"/>
    <n v="10"/>
    <n v="0"/>
    <n v="4"/>
    <x v="8"/>
    <n v="2"/>
    <n v="0"/>
    <n v="3"/>
    <x v="1"/>
    <n v="1"/>
    <n v="1"/>
    <n v="2"/>
    <n v="0"/>
    <n v="0"/>
    <n v="0"/>
    <n v="1"/>
    <n v="0"/>
    <n v="6.4944289374208282"/>
    <n v="0.22374939857982484"/>
    <x v="2"/>
    <n v="0"/>
  </r>
  <r>
    <x v="1377"/>
    <x v="1"/>
    <x v="1"/>
    <n v="1064"/>
    <x v="1"/>
    <n v="2"/>
    <n v="1"/>
    <x v="0"/>
    <n v="2"/>
    <x v="1"/>
    <n v="42"/>
    <n v="3"/>
    <n v="5"/>
    <x v="7"/>
    <n v="4"/>
    <x v="1"/>
    <x v="1274"/>
    <n v="13738"/>
    <n v="3"/>
    <x v="1"/>
    <n v="0.15"/>
    <n v="3"/>
    <n v="4"/>
    <n v="0"/>
    <n v="28"/>
    <n v="3"/>
    <n v="3"/>
    <x v="8"/>
    <n v="4"/>
    <n v="4"/>
    <n v="3"/>
    <x v="1"/>
    <n v="1"/>
    <n v="2"/>
    <n v="1"/>
    <n v="0"/>
    <n v="0"/>
    <n v="0"/>
    <n v="0"/>
    <n v="1"/>
    <n v="5.1603899804901765"/>
    <n v="0.17778840383009531"/>
    <x v="2"/>
    <n v="0"/>
  </r>
  <r>
    <x v="1378"/>
    <x v="19"/>
    <x v="0"/>
    <n v="419"/>
    <x v="0"/>
    <n v="12"/>
    <n v="4"/>
    <x v="3"/>
    <n v="2"/>
    <x v="1"/>
    <n v="77"/>
    <n v="3"/>
    <n v="2"/>
    <x v="0"/>
    <n v="4"/>
    <x v="2"/>
    <x v="1275"/>
    <n v="2900"/>
    <n v="3"/>
    <x v="0"/>
    <n v="0.12"/>
    <n v="3"/>
    <n v="3"/>
    <n v="2"/>
    <n v="14"/>
    <n v="4"/>
    <n v="3"/>
    <x v="2"/>
    <n v="0"/>
    <n v="0"/>
    <n v="0"/>
    <x v="1"/>
    <n v="1"/>
    <n v="1"/>
    <n v="2"/>
    <n v="1"/>
    <n v="0"/>
    <n v="0"/>
    <n v="0"/>
    <n v="0"/>
    <n v="10"/>
    <n v="0.3445251318258073"/>
    <x v="0"/>
    <n v="0"/>
  </r>
  <r>
    <x v="1379"/>
    <x v="4"/>
    <x v="1"/>
    <n v="1337"/>
    <x v="2"/>
    <n v="22"/>
    <n v="3"/>
    <x v="5"/>
    <n v="1"/>
    <x v="0"/>
    <n v="58"/>
    <n v="2"/>
    <n v="1"/>
    <x v="8"/>
    <n v="2"/>
    <x v="1"/>
    <x v="1276"/>
    <n v="19555"/>
    <n v="1"/>
    <x v="1"/>
    <n v="0.12"/>
    <n v="3"/>
    <n v="1"/>
    <n v="0"/>
    <n v="1"/>
    <n v="2"/>
    <n v="3"/>
    <x v="6"/>
    <n v="0"/>
    <n v="0"/>
    <n v="0"/>
    <x v="0"/>
    <n v="0"/>
    <n v="2"/>
    <n v="1"/>
    <n v="0"/>
    <n v="1"/>
    <n v="1"/>
    <n v="1"/>
    <n v="1"/>
    <n v="19.025458743764514"/>
    <n v="0.65547486817419276"/>
    <x v="1"/>
    <n v="4294.5"/>
  </r>
  <r>
    <x v="1380"/>
    <x v="10"/>
    <x v="0"/>
    <n v="682"/>
    <x v="0"/>
    <n v="18"/>
    <n v="4"/>
    <x v="2"/>
    <n v="2"/>
    <x v="1"/>
    <n v="71"/>
    <n v="3"/>
    <n v="2"/>
    <x v="0"/>
    <n v="1"/>
    <x v="1"/>
    <x v="489"/>
    <n v="15975"/>
    <n v="0"/>
    <x v="1"/>
    <n v="0.16"/>
    <n v="3"/>
    <n v="4"/>
    <n v="1"/>
    <n v="6"/>
    <n v="2"/>
    <n v="1"/>
    <x v="8"/>
    <n v="3"/>
    <n v="0"/>
    <n v="4"/>
    <x v="1"/>
    <n v="1"/>
    <n v="1"/>
    <n v="1"/>
    <n v="0"/>
    <n v="1"/>
    <n v="1"/>
    <n v="0"/>
    <n v="0"/>
    <n v="7.3706398258535089"/>
    <n v="0.25393706576427255"/>
    <x v="0"/>
    <n v="0"/>
  </r>
  <r>
    <x v="1381"/>
    <x v="14"/>
    <x v="2"/>
    <n v="1103"/>
    <x v="1"/>
    <n v="16"/>
    <n v="3"/>
    <x v="2"/>
    <n v="3"/>
    <x v="1"/>
    <n v="49"/>
    <n v="3"/>
    <n v="1"/>
    <x v="1"/>
    <n v="3"/>
    <x v="0"/>
    <x v="1277"/>
    <n v="2122"/>
    <n v="1"/>
    <x v="1"/>
    <n v="0.14000000000000001"/>
    <n v="3"/>
    <n v="3"/>
    <n v="0"/>
    <n v="5"/>
    <n v="3"/>
    <n v="2"/>
    <x v="8"/>
    <n v="3"/>
    <n v="1"/>
    <n v="4"/>
    <x v="1"/>
    <n v="1"/>
    <n v="0"/>
    <n v="0"/>
    <n v="0"/>
    <n v="1"/>
    <n v="0"/>
    <n v="1"/>
    <n v="0"/>
    <n v="9.660535633296206"/>
    <n v="0.33282973125692844"/>
    <x v="0"/>
    <n v="0"/>
  </r>
  <r>
    <x v="1382"/>
    <x v="12"/>
    <x v="2"/>
    <n v="976"/>
    <x v="1"/>
    <n v="3"/>
    <n v="2"/>
    <x v="2"/>
    <n v="3"/>
    <x v="1"/>
    <n v="48"/>
    <n v="3"/>
    <n v="1"/>
    <x v="1"/>
    <n v="1"/>
    <x v="2"/>
    <x v="1278"/>
    <n v="3995"/>
    <n v="1"/>
    <x v="0"/>
    <n v="0.13"/>
    <n v="3"/>
    <n v="4"/>
    <n v="1"/>
    <n v="4"/>
    <n v="3"/>
    <n v="4"/>
    <x v="9"/>
    <n v="2"/>
    <n v="2"/>
    <n v="3"/>
    <x v="1"/>
    <n v="1"/>
    <n v="0"/>
    <n v="2"/>
    <n v="1"/>
    <n v="0"/>
    <n v="1"/>
    <n v="1"/>
    <n v="0"/>
    <n v="20.698962067398959"/>
    <n v="0.71313126349280109"/>
    <x v="1"/>
    <n v="4597.5"/>
  </r>
  <r>
    <x v="1383"/>
    <x v="9"/>
    <x v="2"/>
    <n v="1351"/>
    <x v="1"/>
    <n v="9"/>
    <n v="4"/>
    <x v="0"/>
    <n v="1"/>
    <x v="1"/>
    <n v="66"/>
    <n v="4"/>
    <n v="1"/>
    <x v="2"/>
    <n v="2"/>
    <x v="1"/>
    <x v="1279"/>
    <n v="9238"/>
    <n v="1"/>
    <x v="1"/>
    <n v="0.22"/>
    <n v="4"/>
    <n v="2"/>
    <n v="0"/>
    <n v="5"/>
    <n v="3"/>
    <n v="3"/>
    <x v="8"/>
    <n v="4"/>
    <n v="0"/>
    <n v="2"/>
    <x v="1"/>
    <n v="1"/>
    <n v="0"/>
    <n v="1"/>
    <n v="0"/>
    <n v="0"/>
    <n v="1"/>
    <n v="1"/>
    <n v="0"/>
    <n v="10.698962067398959"/>
    <n v="0.3686061316669938"/>
    <x v="0"/>
    <n v="0"/>
  </r>
  <r>
    <x v="1384"/>
    <x v="13"/>
    <x v="0"/>
    <n v="937"/>
    <x v="0"/>
    <n v="1"/>
    <n v="3"/>
    <x v="3"/>
    <n v="1"/>
    <x v="1"/>
    <n v="32"/>
    <n v="3"/>
    <n v="3"/>
    <x v="0"/>
    <n v="4"/>
    <x v="0"/>
    <x v="1280"/>
    <n v="6770"/>
    <n v="1"/>
    <x v="1"/>
    <n v="0.21"/>
    <n v="4"/>
    <n v="1"/>
    <n v="0"/>
    <n v="14"/>
    <n v="3"/>
    <n v="2"/>
    <x v="13"/>
    <n v="8"/>
    <n v="2"/>
    <n v="1"/>
    <x v="1"/>
    <n v="1"/>
    <n v="1"/>
    <n v="0"/>
    <n v="0"/>
    <n v="0"/>
    <n v="0"/>
    <n v="0"/>
    <n v="0"/>
    <n v="0"/>
    <n v="0"/>
    <x v="2"/>
    <n v="0"/>
  </r>
  <r>
    <x v="1385"/>
    <x v="13"/>
    <x v="0"/>
    <n v="1239"/>
    <x v="0"/>
    <n v="13"/>
    <n v="4"/>
    <x v="2"/>
    <n v="4"/>
    <x v="1"/>
    <n v="39"/>
    <n v="3"/>
    <n v="3"/>
    <x v="0"/>
    <n v="3"/>
    <x v="2"/>
    <x v="1281"/>
    <n v="22914"/>
    <n v="1"/>
    <x v="1"/>
    <n v="0.18"/>
    <n v="3"/>
    <n v="3"/>
    <n v="1"/>
    <n v="9"/>
    <n v="2"/>
    <n v="2"/>
    <x v="3"/>
    <n v="7"/>
    <n v="1"/>
    <n v="1"/>
    <x v="1"/>
    <n v="1"/>
    <n v="1"/>
    <n v="2"/>
    <n v="0"/>
    <n v="0"/>
    <n v="0"/>
    <n v="0"/>
    <n v="0"/>
    <n v="0"/>
    <n v="0"/>
    <x v="2"/>
    <n v="0"/>
  </r>
  <r>
    <x v="1386"/>
    <x v="25"/>
    <x v="0"/>
    <n v="157"/>
    <x v="1"/>
    <n v="1"/>
    <n v="3"/>
    <x v="2"/>
    <n v="3"/>
    <x v="1"/>
    <n v="95"/>
    <n v="3"/>
    <n v="1"/>
    <x v="2"/>
    <n v="1"/>
    <x v="0"/>
    <x v="1282"/>
    <n v="20006"/>
    <n v="0"/>
    <x v="1"/>
    <n v="0.13"/>
    <n v="3"/>
    <n v="4"/>
    <n v="0"/>
    <n v="8"/>
    <n v="6"/>
    <n v="2"/>
    <x v="5"/>
    <n v="7"/>
    <n v="7"/>
    <n v="6"/>
    <x v="1"/>
    <n v="1"/>
    <n v="1"/>
    <n v="0"/>
    <n v="0"/>
    <n v="0"/>
    <n v="1"/>
    <n v="1"/>
    <n v="0"/>
    <n v="10.698962067398959"/>
    <n v="0.3686061316669938"/>
    <x v="0"/>
    <n v="0"/>
  </r>
  <r>
    <x v="1387"/>
    <x v="11"/>
    <x v="0"/>
    <n v="136"/>
    <x v="1"/>
    <n v="1"/>
    <n v="3"/>
    <x v="0"/>
    <n v="1"/>
    <x v="1"/>
    <n v="89"/>
    <n v="3"/>
    <n v="2"/>
    <x v="4"/>
    <n v="1"/>
    <x v="1"/>
    <x v="1283"/>
    <n v="6225"/>
    <n v="0"/>
    <x v="1"/>
    <n v="0.12"/>
    <n v="3"/>
    <n v="1"/>
    <n v="1"/>
    <n v="6"/>
    <n v="5"/>
    <n v="2"/>
    <x v="8"/>
    <n v="3"/>
    <n v="0"/>
    <n v="2"/>
    <x v="1"/>
    <n v="1"/>
    <n v="1"/>
    <n v="1"/>
    <n v="0"/>
    <n v="0"/>
    <n v="1"/>
    <n v="0"/>
    <n v="0"/>
    <n v="4.204533129978131"/>
    <n v="0.14485673308716898"/>
    <x v="2"/>
    <n v="0"/>
  </r>
  <r>
    <x v="1388"/>
    <x v="5"/>
    <x v="2"/>
    <n v="1146"/>
    <x v="1"/>
    <n v="15"/>
    <n v="4"/>
    <x v="2"/>
    <n v="3"/>
    <x v="0"/>
    <n v="34"/>
    <n v="3"/>
    <n v="2"/>
    <x v="4"/>
    <n v="4"/>
    <x v="2"/>
    <x v="1284"/>
    <n v="16542"/>
    <n v="5"/>
    <x v="1"/>
    <n v="0.18"/>
    <n v="3"/>
    <n v="2"/>
    <n v="1"/>
    <n v="9"/>
    <n v="6"/>
    <n v="3"/>
    <x v="8"/>
    <n v="1"/>
    <n v="1"/>
    <n v="2"/>
    <x v="1"/>
    <n v="0"/>
    <n v="0"/>
    <n v="2"/>
    <n v="0"/>
    <n v="0"/>
    <n v="0"/>
    <n v="0"/>
    <n v="0"/>
    <n v="0"/>
    <n v="0"/>
    <x v="2"/>
    <n v="0"/>
  </r>
  <r>
    <x v="1389"/>
    <x v="12"/>
    <x v="1"/>
    <n v="1125"/>
    <x v="1"/>
    <n v="1"/>
    <n v="3"/>
    <x v="0"/>
    <n v="4"/>
    <x v="1"/>
    <n v="48"/>
    <n v="1"/>
    <n v="2"/>
    <x v="1"/>
    <n v="1"/>
    <x v="1"/>
    <x v="701"/>
    <n v="5771"/>
    <n v="1"/>
    <x v="1"/>
    <n v="0.21"/>
    <n v="4"/>
    <n v="2"/>
    <n v="0"/>
    <n v="10"/>
    <n v="6"/>
    <n v="3"/>
    <x v="1"/>
    <n v="8"/>
    <n v="8"/>
    <n v="7"/>
    <x v="1"/>
    <n v="1"/>
    <n v="2"/>
    <n v="1"/>
    <n v="0"/>
    <n v="0"/>
    <n v="1"/>
    <n v="0"/>
    <n v="1"/>
    <n v="9.3649231104683075"/>
    <n v="0.32264513691726432"/>
    <x v="0"/>
    <n v="0"/>
  </r>
  <r>
    <x v="1390"/>
    <x v="14"/>
    <x v="0"/>
    <n v="1404"/>
    <x v="1"/>
    <n v="17"/>
    <n v="3"/>
    <x v="4"/>
    <n v="3"/>
    <x v="1"/>
    <n v="32"/>
    <n v="2"/>
    <n v="1"/>
    <x v="2"/>
    <n v="4"/>
    <x v="2"/>
    <x v="1039"/>
    <n v="18779"/>
    <n v="5"/>
    <x v="1"/>
    <n v="0.12"/>
    <n v="3"/>
    <n v="1"/>
    <n v="1"/>
    <n v="6"/>
    <n v="2"/>
    <n v="2"/>
    <x v="9"/>
    <n v="1"/>
    <n v="0"/>
    <n v="3"/>
    <x v="0"/>
    <n v="1"/>
    <n v="1"/>
    <n v="2"/>
    <n v="0"/>
    <n v="1"/>
    <n v="0"/>
    <n v="1"/>
    <n v="0"/>
    <n v="9.660535633296206"/>
    <n v="0.33282973125692844"/>
    <x v="0"/>
    <n v="0"/>
  </r>
  <r>
    <x v="1391"/>
    <x v="8"/>
    <x v="0"/>
    <n v="1404"/>
    <x v="0"/>
    <n v="1"/>
    <n v="3"/>
    <x v="0"/>
    <n v="1"/>
    <x v="1"/>
    <n v="59"/>
    <n v="2"/>
    <n v="1"/>
    <x v="6"/>
    <n v="1"/>
    <x v="0"/>
    <x v="1285"/>
    <n v="11473"/>
    <n v="4"/>
    <x v="1"/>
    <n v="0.14000000000000001"/>
    <n v="3"/>
    <n v="1"/>
    <n v="0"/>
    <n v="20"/>
    <n v="3"/>
    <n v="2"/>
    <x v="6"/>
    <n v="0"/>
    <n v="0"/>
    <n v="0"/>
    <x v="1"/>
    <n v="1"/>
    <n v="1"/>
    <n v="0"/>
    <n v="0"/>
    <n v="0"/>
    <n v="1"/>
    <n v="1"/>
    <n v="0"/>
    <n v="10.698962067398959"/>
    <n v="0.3686061316669938"/>
    <x v="0"/>
    <n v="0"/>
  </r>
  <r>
    <x v="1392"/>
    <x v="10"/>
    <x v="0"/>
    <n v="1224"/>
    <x v="0"/>
    <n v="7"/>
    <n v="4"/>
    <x v="0"/>
    <n v="3"/>
    <x v="0"/>
    <n v="55"/>
    <n v="3"/>
    <n v="2"/>
    <x v="0"/>
    <n v="4"/>
    <x v="1"/>
    <x v="626"/>
    <n v="13586"/>
    <n v="1"/>
    <x v="0"/>
    <n v="0.11"/>
    <n v="3"/>
    <n v="4"/>
    <n v="0"/>
    <n v="10"/>
    <n v="2"/>
    <n v="3"/>
    <x v="1"/>
    <n v="8"/>
    <n v="0"/>
    <n v="9"/>
    <x v="1"/>
    <n v="0"/>
    <n v="1"/>
    <n v="1"/>
    <n v="1"/>
    <n v="0"/>
    <n v="0"/>
    <n v="0"/>
    <n v="0"/>
    <n v="10"/>
    <n v="0.3445251318258073"/>
    <x v="0"/>
    <n v="0"/>
  </r>
  <r>
    <x v="1393"/>
    <x v="4"/>
    <x v="0"/>
    <n v="954"/>
    <x v="0"/>
    <n v="9"/>
    <n v="3"/>
    <x v="3"/>
    <n v="4"/>
    <x v="1"/>
    <n v="44"/>
    <n v="3"/>
    <n v="2"/>
    <x v="0"/>
    <n v="4"/>
    <x v="0"/>
    <x v="1286"/>
    <n v="5099"/>
    <n v="1"/>
    <x v="1"/>
    <n v="0.14000000000000001"/>
    <n v="3"/>
    <n v="1"/>
    <n v="0"/>
    <n v="7"/>
    <n v="5"/>
    <n v="3"/>
    <x v="5"/>
    <n v="7"/>
    <n v="0"/>
    <n v="7"/>
    <x v="1"/>
    <n v="1"/>
    <n v="1"/>
    <n v="0"/>
    <n v="0"/>
    <n v="0"/>
    <n v="0"/>
    <n v="1"/>
    <n v="0"/>
    <n v="6.4944289374208282"/>
    <n v="0.22374939857982484"/>
    <x v="2"/>
    <n v="0"/>
  </r>
  <r>
    <x v="1394"/>
    <x v="5"/>
    <x v="0"/>
    <n v="1373"/>
    <x v="1"/>
    <n v="5"/>
    <n v="4"/>
    <x v="0"/>
    <n v="4"/>
    <x v="1"/>
    <n v="56"/>
    <n v="2"/>
    <n v="2"/>
    <x v="3"/>
    <n v="4"/>
    <x v="0"/>
    <x v="1287"/>
    <n v="10138"/>
    <n v="8"/>
    <x v="1"/>
    <n v="0.24"/>
    <n v="4"/>
    <n v="2"/>
    <n v="0"/>
    <n v="8"/>
    <n v="1"/>
    <n v="3"/>
    <x v="6"/>
    <n v="0"/>
    <n v="0"/>
    <n v="0"/>
    <x v="1"/>
    <n v="1"/>
    <n v="1"/>
    <n v="0"/>
    <n v="0"/>
    <n v="0"/>
    <n v="0"/>
    <n v="0"/>
    <n v="0"/>
    <n v="0"/>
    <n v="0"/>
    <x v="2"/>
    <n v="0"/>
  </r>
  <r>
    <x v="1395"/>
    <x v="12"/>
    <x v="1"/>
    <n v="754"/>
    <x v="0"/>
    <n v="26"/>
    <n v="4"/>
    <x v="3"/>
    <n v="1"/>
    <x v="1"/>
    <n v="63"/>
    <n v="3"/>
    <n v="2"/>
    <x v="0"/>
    <n v="4"/>
    <x v="1"/>
    <x v="1288"/>
    <n v="21075"/>
    <n v="1"/>
    <x v="0"/>
    <n v="0.11"/>
    <n v="3"/>
    <n v="3"/>
    <n v="0"/>
    <n v="10"/>
    <n v="4"/>
    <n v="3"/>
    <x v="1"/>
    <n v="7"/>
    <n v="0"/>
    <n v="8"/>
    <x v="0"/>
    <n v="1"/>
    <n v="2"/>
    <n v="1"/>
    <n v="1"/>
    <n v="1"/>
    <n v="0"/>
    <n v="0"/>
    <n v="1"/>
    <n v="18.326496676365554"/>
    <n v="0.63139386833300615"/>
    <x v="1"/>
    <n v="8425.5"/>
  </r>
  <r>
    <x v="1396"/>
    <x v="16"/>
    <x v="0"/>
    <n v="1168"/>
    <x v="0"/>
    <n v="24"/>
    <n v="4"/>
    <x v="0"/>
    <n v="1"/>
    <x v="1"/>
    <n v="66"/>
    <n v="3"/>
    <n v="3"/>
    <x v="0"/>
    <n v="1"/>
    <x v="0"/>
    <x v="1289"/>
    <n v="5843"/>
    <n v="6"/>
    <x v="0"/>
    <n v="0.13"/>
    <n v="3"/>
    <n v="2"/>
    <n v="0"/>
    <n v="15"/>
    <n v="2"/>
    <n v="2"/>
    <x v="4"/>
    <n v="2"/>
    <n v="2"/>
    <n v="2"/>
    <x v="0"/>
    <n v="1"/>
    <n v="1"/>
    <n v="0"/>
    <n v="1"/>
    <n v="1"/>
    <n v="1"/>
    <n v="0"/>
    <n v="0"/>
    <n v="17.370639825853509"/>
    <n v="0.59846219759007979"/>
    <x v="1"/>
    <n v="15672"/>
  </r>
  <r>
    <x v="1397"/>
    <x v="33"/>
    <x v="0"/>
    <n v="155"/>
    <x v="1"/>
    <n v="9"/>
    <n v="2"/>
    <x v="0"/>
    <n v="1"/>
    <x v="0"/>
    <n v="67"/>
    <n v="3"/>
    <n v="2"/>
    <x v="1"/>
    <n v="3"/>
    <x v="1"/>
    <x v="1290"/>
    <n v="22474"/>
    <n v="3"/>
    <x v="1"/>
    <n v="0.11"/>
    <n v="3"/>
    <n v="3"/>
    <n v="2"/>
    <n v="9"/>
    <n v="6"/>
    <n v="2"/>
    <x v="9"/>
    <n v="3"/>
    <n v="2"/>
    <n v="3"/>
    <x v="1"/>
    <n v="0"/>
    <n v="1"/>
    <n v="1"/>
    <n v="0"/>
    <n v="0"/>
    <n v="0"/>
    <n v="1"/>
    <n v="0"/>
    <n v="6.4944289374208282"/>
    <n v="0.22374939857982484"/>
    <x v="2"/>
    <n v="0"/>
  </r>
  <r>
    <x v="1398"/>
    <x v="3"/>
    <x v="1"/>
    <n v="1303"/>
    <x v="1"/>
    <n v="7"/>
    <n v="2"/>
    <x v="0"/>
    <n v="4"/>
    <x v="1"/>
    <n v="36"/>
    <n v="3"/>
    <n v="2"/>
    <x v="4"/>
    <n v="3"/>
    <x v="2"/>
    <x v="1291"/>
    <n v="18079"/>
    <n v="1"/>
    <x v="1"/>
    <n v="0.2"/>
    <n v="4"/>
    <n v="3"/>
    <n v="3"/>
    <n v="9"/>
    <n v="2"/>
    <n v="3"/>
    <x v="7"/>
    <n v="7"/>
    <n v="2"/>
    <n v="8"/>
    <x v="1"/>
    <n v="1"/>
    <n v="2"/>
    <n v="2"/>
    <n v="0"/>
    <n v="0"/>
    <n v="0"/>
    <n v="0"/>
    <n v="1"/>
    <n v="5.1603899804901765"/>
    <n v="0.17778840383009531"/>
    <x v="2"/>
    <n v="0"/>
  </r>
  <r>
    <x v="1399"/>
    <x v="23"/>
    <x v="0"/>
    <n v="574"/>
    <x v="1"/>
    <n v="11"/>
    <n v="3"/>
    <x v="0"/>
    <n v="1"/>
    <x v="1"/>
    <n v="30"/>
    <n v="3"/>
    <n v="3"/>
    <x v="4"/>
    <n v="3"/>
    <x v="1"/>
    <x v="1292"/>
    <n v="16873"/>
    <n v="1"/>
    <x v="1"/>
    <n v="0.17"/>
    <n v="3"/>
    <n v="2"/>
    <n v="1"/>
    <n v="10"/>
    <n v="1"/>
    <n v="3"/>
    <x v="1"/>
    <n v="9"/>
    <n v="0"/>
    <n v="9"/>
    <x v="1"/>
    <n v="1"/>
    <n v="1"/>
    <n v="1"/>
    <n v="0"/>
    <n v="0"/>
    <n v="0"/>
    <n v="0"/>
    <n v="0"/>
    <n v="0"/>
    <n v="0"/>
    <x v="2"/>
    <n v="0"/>
  </r>
  <r>
    <x v="1400"/>
    <x v="8"/>
    <x v="1"/>
    <n v="1444"/>
    <x v="2"/>
    <n v="1"/>
    <n v="4"/>
    <x v="1"/>
    <n v="4"/>
    <x v="1"/>
    <n v="88"/>
    <n v="3"/>
    <n v="1"/>
    <x v="8"/>
    <n v="2"/>
    <x v="1"/>
    <x v="1293"/>
    <n v="5224"/>
    <n v="0"/>
    <x v="0"/>
    <n v="0.11"/>
    <n v="3"/>
    <n v="2"/>
    <n v="1"/>
    <n v="7"/>
    <n v="2"/>
    <n v="3"/>
    <x v="0"/>
    <n v="2"/>
    <n v="1"/>
    <n v="2"/>
    <x v="1"/>
    <n v="1"/>
    <n v="2"/>
    <n v="1"/>
    <n v="1"/>
    <n v="0"/>
    <n v="1"/>
    <n v="1"/>
    <n v="1"/>
    <n v="25.859352047889136"/>
    <n v="0.8909196673228964"/>
    <x v="3"/>
    <n v="4486.5"/>
  </r>
  <r>
    <x v="1401"/>
    <x v="27"/>
    <x v="0"/>
    <n v="189"/>
    <x v="2"/>
    <n v="26"/>
    <n v="4"/>
    <x v="5"/>
    <n v="3"/>
    <x v="1"/>
    <n v="71"/>
    <n v="4"/>
    <n v="5"/>
    <x v="5"/>
    <n v="2"/>
    <x v="1"/>
    <x v="1294"/>
    <n v="25811"/>
    <n v="4"/>
    <x v="0"/>
    <n v="0.18"/>
    <n v="3"/>
    <n v="1"/>
    <n v="1"/>
    <n v="35"/>
    <n v="0"/>
    <n v="3"/>
    <x v="1"/>
    <n v="9"/>
    <n v="1"/>
    <n v="4"/>
    <x v="1"/>
    <n v="1"/>
    <n v="1"/>
    <n v="1"/>
    <n v="1"/>
    <n v="1"/>
    <n v="1"/>
    <n v="0"/>
    <n v="0"/>
    <n v="17.370639825853509"/>
    <n v="0.59846219759007979"/>
    <x v="1"/>
    <n v="29454"/>
  </r>
  <r>
    <x v="1402"/>
    <x v="12"/>
    <x v="0"/>
    <n v="1276"/>
    <x v="1"/>
    <n v="2"/>
    <n v="1"/>
    <x v="2"/>
    <n v="4"/>
    <x v="0"/>
    <n v="59"/>
    <n v="1"/>
    <n v="1"/>
    <x v="2"/>
    <n v="4"/>
    <x v="2"/>
    <x v="1295"/>
    <n v="17536"/>
    <n v="1"/>
    <x v="0"/>
    <n v="0.11"/>
    <n v="3"/>
    <n v="3"/>
    <n v="3"/>
    <n v="1"/>
    <n v="4"/>
    <n v="3"/>
    <x v="6"/>
    <n v="0"/>
    <n v="0"/>
    <n v="0"/>
    <x v="1"/>
    <n v="0"/>
    <n v="1"/>
    <n v="2"/>
    <n v="1"/>
    <n v="0"/>
    <n v="0"/>
    <n v="1"/>
    <n v="0"/>
    <n v="16.494428937420828"/>
    <n v="0.56827453040563214"/>
    <x v="1"/>
    <n v="1693.5"/>
  </r>
  <r>
    <x v="1403"/>
    <x v="22"/>
    <x v="0"/>
    <n v="119"/>
    <x v="0"/>
    <n v="15"/>
    <n v="4"/>
    <x v="3"/>
    <n v="2"/>
    <x v="1"/>
    <n v="77"/>
    <n v="3"/>
    <n v="4"/>
    <x v="0"/>
    <n v="1"/>
    <x v="0"/>
    <x v="1296"/>
    <n v="25098"/>
    <n v="0"/>
    <x v="1"/>
    <n v="0.12"/>
    <n v="3"/>
    <n v="1"/>
    <n v="0"/>
    <n v="21"/>
    <n v="3"/>
    <n v="3"/>
    <x v="23"/>
    <n v="8"/>
    <n v="11"/>
    <n v="10"/>
    <x v="1"/>
    <n v="1"/>
    <n v="1"/>
    <n v="0"/>
    <n v="0"/>
    <n v="0"/>
    <n v="1"/>
    <n v="0"/>
    <n v="0"/>
    <n v="4.204533129978131"/>
    <n v="0.14485673308716898"/>
    <x v="2"/>
    <n v="0"/>
  </r>
  <r>
    <x v="1404"/>
    <x v="19"/>
    <x v="2"/>
    <n v="335"/>
    <x v="1"/>
    <n v="23"/>
    <n v="2"/>
    <x v="0"/>
    <n v="4"/>
    <x v="1"/>
    <n v="37"/>
    <n v="2"/>
    <n v="2"/>
    <x v="1"/>
    <n v="3"/>
    <x v="0"/>
    <x v="1297"/>
    <n v="14811"/>
    <n v="1"/>
    <x v="1"/>
    <n v="0.12"/>
    <n v="3"/>
    <n v="4"/>
    <n v="0"/>
    <n v="20"/>
    <n v="2"/>
    <n v="3"/>
    <x v="23"/>
    <n v="9"/>
    <n v="3"/>
    <n v="7"/>
    <x v="1"/>
    <n v="1"/>
    <n v="0"/>
    <n v="0"/>
    <n v="0"/>
    <n v="1"/>
    <n v="0"/>
    <n v="1"/>
    <n v="0"/>
    <n v="9.660535633296206"/>
    <n v="0.33282973125692844"/>
    <x v="0"/>
    <n v="0"/>
  </r>
  <r>
    <x v="1405"/>
    <x v="12"/>
    <x v="2"/>
    <n v="697"/>
    <x v="1"/>
    <n v="10"/>
    <n v="3"/>
    <x v="2"/>
    <n v="3"/>
    <x v="0"/>
    <n v="40"/>
    <n v="3"/>
    <n v="3"/>
    <x v="7"/>
    <n v="3"/>
    <x v="1"/>
    <x v="1298"/>
    <n v="26862"/>
    <n v="4"/>
    <x v="1"/>
    <n v="0.2"/>
    <n v="4"/>
    <n v="3"/>
    <n v="1"/>
    <n v="13"/>
    <n v="2"/>
    <n v="4"/>
    <x v="19"/>
    <n v="7"/>
    <n v="4"/>
    <n v="8"/>
    <x v="1"/>
    <n v="0"/>
    <n v="0"/>
    <n v="1"/>
    <n v="0"/>
    <n v="0"/>
    <n v="0"/>
    <n v="0"/>
    <n v="0"/>
    <n v="0"/>
    <n v="0"/>
    <x v="2"/>
    <n v="0"/>
  </r>
  <r>
    <x v="1406"/>
    <x v="33"/>
    <x v="0"/>
    <n v="157"/>
    <x v="1"/>
    <n v="10"/>
    <n v="3"/>
    <x v="2"/>
    <n v="3"/>
    <x v="0"/>
    <n v="77"/>
    <n v="3"/>
    <n v="2"/>
    <x v="3"/>
    <n v="1"/>
    <x v="0"/>
    <x v="1299"/>
    <n v="25198"/>
    <n v="6"/>
    <x v="0"/>
    <n v="0.19"/>
    <n v="3"/>
    <n v="4"/>
    <n v="0"/>
    <n v="9"/>
    <n v="3"/>
    <n v="3"/>
    <x v="8"/>
    <n v="2"/>
    <n v="1"/>
    <n v="4"/>
    <x v="1"/>
    <n v="0"/>
    <n v="1"/>
    <n v="0"/>
    <n v="1"/>
    <n v="0"/>
    <n v="1"/>
    <n v="1"/>
    <n v="0"/>
    <n v="20.698962067398959"/>
    <n v="0.71313126349280109"/>
    <x v="1"/>
    <n v="6660"/>
  </r>
  <r>
    <x v="1407"/>
    <x v="17"/>
    <x v="0"/>
    <n v="771"/>
    <x v="1"/>
    <n v="1"/>
    <n v="2"/>
    <x v="0"/>
    <n v="2"/>
    <x v="1"/>
    <n v="45"/>
    <n v="2"/>
    <n v="2"/>
    <x v="4"/>
    <n v="3"/>
    <x v="0"/>
    <x v="1300"/>
    <n v="14120"/>
    <n v="1"/>
    <x v="1"/>
    <n v="0.12"/>
    <n v="3"/>
    <n v="2"/>
    <n v="0"/>
    <n v="4"/>
    <n v="2"/>
    <n v="2"/>
    <x v="9"/>
    <n v="3"/>
    <n v="1"/>
    <n v="2"/>
    <x v="1"/>
    <n v="1"/>
    <n v="1"/>
    <n v="0"/>
    <n v="0"/>
    <n v="0"/>
    <n v="0"/>
    <n v="1"/>
    <n v="0"/>
    <n v="6.4944289374208282"/>
    <n v="0.22374939857982484"/>
    <x v="2"/>
    <n v="0"/>
  </r>
  <r>
    <x v="1408"/>
    <x v="30"/>
    <x v="0"/>
    <n v="571"/>
    <x v="1"/>
    <n v="12"/>
    <n v="2"/>
    <x v="1"/>
    <n v="4"/>
    <x v="1"/>
    <n v="78"/>
    <n v="3"/>
    <n v="1"/>
    <x v="2"/>
    <n v="4"/>
    <x v="0"/>
    <x v="1301"/>
    <n v="13672"/>
    <n v="1"/>
    <x v="1"/>
    <n v="0.13"/>
    <n v="3"/>
    <n v="3"/>
    <n v="0"/>
    <n v="5"/>
    <n v="6"/>
    <n v="4"/>
    <x v="8"/>
    <n v="2"/>
    <n v="1"/>
    <n v="4"/>
    <x v="1"/>
    <n v="1"/>
    <n v="1"/>
    <n v="0"/>
    <n v="0"/>
    <n v="0"/>
    <n v="0"/>
    <n v="1"/>
    <n v="0"/>
    <n v="6.4944289374208282"/>
    <n v="0.22374939857982484"/>
    <x v="2"/>
    <n v="0"/>
  </r>
  <r>
    <x v="1409"/>
    <x v="32"/>
    <x v="1"/>
    <n v="692"/>
    <x v="1"/>
    <n v="11"/>
    <n v="3"/>
    <x v="4"/>
    <n v="4"/>
    <x v="0"/>
    <n v="73"/>
    <n v="3"/>
    <n v="2"/>
    <x v="2"/>
    <n v="3"/>
    <x v="1"/>
    <x v="1302"/>
    <n v="26849"/>
    <n v="1"/>
    <x v="1"/>
    <n v="0.11"/>
    <n v="3"/>
    <n v="1"/>
    <n v="1"/>
    <n v="10"/>
    <n v="2"/>
    <n v="4"/>
    <x v="1"/>
    <n v="9"/>
    <n v="9"/>
    <n v="4"/>
    <x v="1"/>
    <n v="0"/>
    <n v="2"/>
    <n v="1"/>
    <n v="0"/>
    <n v="0"/>
    <n v="0"/>
    <n v="0"/>
    <n v="1"/>
    <n v="5.1603899804901765"/>
    <n v="0.17778840383009531"/>
    <x v="2"/>
    <n v="0"/>
  </r>
  <r>
    <x v="1410"/>
    <x v="32"/>
    <x v="0"/>
    <n v="444"/>
    <x v="0"/>
    <n v="2"/>
    <n v="2"/>
    <x v="3"/>
    <n v="2"/>
    <x v="0"/>
    <n v="92"/>
    <n v="3"/>
    <n v="2"/>
    <x v="0"/>
    <n v="2"/>
    <x v="1"/>
    <x v="1303"/>
    <n v="4258"/>
    <n v="3"/>
    <x v="1"/>
    <n v="0.14000000000000001"/>
    <n v="3"/>
    <n v="3"/>
    <n v="1"/>
    <n v="15"/>
    <n v="4"/>
    <n v="3"/>
    <x v="19"/>
    <n v="8"/>
    <n v="5"/>
    <n v="10"/>
    <x v="1"/>
    <n v="0"/>
    <n v="1"/>
    <n v="1"/>
    <n v="0"/>
    <n v="0"/>
    <n v="1"/>
    <n v="0"/>
    <n v="0"/>
    <n v="4.204533129978131"/>
    <n v="0.14485673308716898"/>
    <x v="2"/>
    <n v="0"/>
  </r>
  <r>
    <x v="1411"/>
    <x v="36"/>
    <x v="0"/>
    <n v="309"/>
    <x v="2"/>
    <n v="2"/>
    <n v="3"/>
    <x v="5"/>
    <n v="3"/>
    <x v="0"/>
    <n v="82"/>
    <n v="3"/>
    <n v="1"/>
    <x v="8"/>
    <n v="2"/>
    <x v="1"/>
    <x v="467"/>
    <n v="19655"/>
    <n v="4"/>
    <x v="1"/>
    <n v="0.14000000000000001"/>
    <n v="3"/>
    <n v="3"/>
    <n v="0"/>
    <n v="6"/>
    <n v="3"/>
    <n v="3"/>
    <x v="4"/>
    <n v="0"/>
    <n v="1"/>
    <n v="2"/>
    <x v="1"/>
    <n v="0"/>
    <n v="1"/>
    <n v="1"/>
    <n v="0"/>
    <n v="0"/>
    <n v="1"/>
    <n v="1"/>
    <n v="0"/>
    <n v="10.698962067398959"/>
    <n v="0.3686061316669938"/>
    <x v="0"/>
    <n v="0"/>
  </r>
  <r>
    <x v="1412"/>
    <x v="7"/>
    <x v="0"/>
    <n v="911"/>
    <x v="1"/>
    <n v="1"/>
    <n v="2"/>
    <x v="2"/>
    <n v="4"/>
    <x v="1"/>
    <n v="76"/>
    <n v="3"/>
    <n v="1"/>
    <x v="2"/>
    <n v="2"/>
    <x v="1"/>
    <x v="1304"/>
    <n v="4077"/>
    <n v="1"/>
    <x v="1"/>
    <n v="0.13"/>
    <n v="3"/>
    <n v="3"/>
    <n v="0"/>
    <n v="12"/>
    <n v="6"/>
    <n v="2"/>
    <x v="12"/>
    <n v="8"/>
    <n v="1"/>
    <n v="7"/>
    <x v="1"/>
    <n v="1"/>
    <n v="1"/>
    <n v="1"/>
    <n v="0"/>
    <n v="0"/>
    <n v="1"/>
    <n v="1"/>
    <n v="0"/>
    <n v="10.698962067398959"/>
    <n v="0.3686061316669938"/>
    <x v="0"/>
    <n v="0"/>
  </r>
  <r>
    <x v="1413"/>
    <x v="36"/>
    <x v="0"/>
    <n v="977"/>
    <x v="1"/>
    <n v="2"/>
    <n v="1"/>
    <x v="1"/>
    <n v="4"/>
    <x v="1"/>
    <n v="57"/>
    <n v="3"/>
    <n v="1"/>
    <x v="2"/>
    <n v="3"/>
    <x v="2"/>
    <x v="1305"/>
    <n v="7298"/>
    <n v="6"/>
    <x v="0"/>
    <n v="0.19"/>
    <n v="3"/>
    <n v="3"/>
    <n v="1"/>
    <n v="7"/>
    <n v="2"/>
    <n v="2"/>
    <x v="4"/>
    <n v="2"/>
    <n v="0"/>
    <n v="2"/>
    <x v="1"/>
    <n v="1"/>
    <n v="1"/>
    <n v="2"/>
    <n v="1"/>
    <n v="0"/>
    <n v="0"/>
    <n v="1"/>
    <n v="0"/>
    <n v="16.494428937420828"/>
    <n v="0.56827453040563214"/>
    <x v="1"/>
    <n v="5965.5"/>
  </r>
  <r>
    <x v="1414"/>
    <x v="40"/>
    <x v="0"/>
    <n v="1180"/>
    <x v="1"/>
    <n v="25"/>
    <n v="3"/>
    <x v="2"/>
    <n v="1"/>
    <x v="1"/>
    <n v="84"/>
    <n v="3"/>
    <n v="3"/>
    <x v="4"/>
    <n v="3"/>
    <x v="0"/>
    <x v="1306"/>
    <n v="13084"/>
    <n v="2"/>
    <x v="1"/>
    <n v="0.23"/>
    <n v="4"/>
    <n v="2"/>
    <n v="0"/>
    <n v="25"/>
    <n v="3"/>
    <n v="3"/>
    <x v="18"/>
    <n v="14"/>
    <n v="12"/>
    <n v="11"/>
    <x v="1"/>
    <n v="1"/>
    <n v="1"/>
    <n v="0"/>
    <n v="0"/>
    <n v="1"/>
    <n v="0"/>
    <n v="0"/>
    <n v="0"/>
    <n v="3.1661066958753779"/>
    <n v="0.10908033267710357"/>
    <x v="2"/>
    <n v="0"/>
  </r>
  <r>
    <x v="1415"/>
    <x v="3"/>
    <x v="2"/>
    <n v="1313"/>
    <x v="1"/>
    <n v="1"/>
    <n v="2"/>
    <x v="2"/>
    <n v="2"/>
    <x v="1"/>
    <n v="59"/>
    <n v="2"/>
    <n v="1"/>
    <x v="2"/>
    <n v="3"/>
    <x v="2"/>
    <x v="641"/>
    <n v="20439"/>
    <n v="1"/>
    <x v="1"/>
    <n v="0.12"/>
    <n v="3"/>
    <n v="3"/>
    <n v="3"/>
    <n v="1"/>
    <n v="2"/>
    <n v="2"/>
    <x v="6"/>
    <n v="1"/>
    <n v="0"/>
    <n v="0"/>
    <x v="1"/>
    <n v="1"/>
    <n v="0"/>
    <n v="2"/>
    <n v="0"/>
    <n v="0"/>
    <n v="0"/>
    <n v="1"/>
    <n v="0"/>
    <n v="6.4944289374208282"/>
    <n v="0.22374939857982484"/>
    <x v="2"/>
    <n v="0"/>
  </r>
  <r>
    <x v="1416"/>
    <x v="8"/>
    <x v="0"/>
    <n v="1321"/>
    <x v="0"/>
    <n v="1"/>
    <n v="4"/>
    <x v="0"/>
    <n v="4"/>
    <x v="1"/>
    <n v="86"/>
    <n v="3"/>
    <n v="2"/>
    <x v="0"/>
    <n v="2"/>
    <x v="1"/>
    <x v="1299"/>
    <n v="7636"/>
    <n v="0"/>
    <x v="1"/>
    <n v="0.15"/>
    <n v="3"/>
    <n v="1"/>
    <n v="2"/>
    <n v="16"/>
    <n v="3"/>
    <n v="3"/>
    <x v="15"/>
    <n v="13"/>
    <n v="5"/>
    <n v="8"/>
    <x v="1"/>
    <n v="1"/>
    <n v="1"/>
    <n v="1"/>
    <n v="0"/>
    <n v="0"/>
    <n v="1"/>
    <n v="1"/>
    <n v="0"/>
    <n v="10.698962067398959"/>
    <n v="0.3686061316669938"/>
    <x v="0"/>
    <n v="0"/>
  </r>
  <r>
    <x v="1417"/>
    <x v="12"/>
    <x v="0"/>
    <n v="1154"/>
    <x v="0"/>
    <n v="2"/>
    <n v="2"/>
    <x v="0"/>
    <n v="1"/>
    <x v="1"/>
    <n v="54"/>
    <n v="3"/>
    <n v="1"/>
    <x v="6"/>
    <n v="3"/>
    <x v="1"/>
    <x v="1307"/>
    <n v="6393"/>
    <n v="0"/>
    <x v="1"/>
    <n v="0.19"/>
    <n v="3"/>
    <n v="3"/>
    <n v="1"/>
    <n v="3"/>
    <n v="1"/>
    <n v="3"/>
    <x v="4"/>
    <n v="2"/>
    <n v="1"/>
    <n v="2"/>
    <x v="1"/>
    <n v="1"/>
    <n v="1"/>
    <n v="1"/>
    <n v="0"/>
    <n v="0"/>
    <n v="0"/>
    <n v="1"/>
    <n v="0"/>
    <n v="6.4944289374208282"/>
    <n v="0.22374939857982484"/>
    <x v="2"/>
    <n v="0"/>
  </r>
  <r>
    <x v="1418"/>
    <x v="8"/>
    <x v="1"/>
    <n v="508"/>
    <x v="1"/>
    <n v="6"/>
    <n v="4"/>
    <x v="0"/>
    <n v="1"/>
    <x v="1"/>
    <n v="72"/>
    <n v="2"/>
    <n v="2"/>
    <x v="3"/>
    <n v="3"/>
    <x v="1"/>
    <x v="1308"/>
    <n v="14284"/>
    <n v="2"/>
    <x v="1"/>
    <n v="0.11"/>
    <n v="3"/>
    <n v="4"/>
    <n v="1"/>
    <n v="10"/>
    <n v="1"/>
    <n v="3"/>
    <x v="3"/>
    <n v="3"/>
    <n v="7"/>
    <n v="7"/>
    <x v="1"/>
    <n v="1"/>
    <n v="2"/>
    <n v="1"/>
    <n v="0"/>
    <n v="0"/>
    <n v="0"/>
    <n v="0"/>
    <n v="1"/>
    <n v="5.1603899804901765"/>
    <n v="0.17778840383009531"/>
    <x v="2"/>
    <n v="0"/>
  </r>
  <r>
    <x v="1419"/>
    <x v="19"/>
    <x v="0"/>
    <n v="557"/>
    <x v="1"/>
    <n v="18"/>
    <n v="4"/>
    <x v="0"/>
    <n v="4"/>
    <x v="1"/>
    <n v="35"/>
    <n v="3"/>
    <n v="2"/>
    <x v="1"/>
    <n v="1"/>
    <x v="2"/>
    <x v="874"/>
    <n v="11189"/>
    <n v="6"/>
    <x v="0"/>
    <n v="0.17"/>
    <n v="3"/>
    <n v="3"/>
    <n v="1"/>
    <n v="9"/>
    <n v="3"/>
    <n v="2"/>
    <x v="9"/>
    <n v="3"/>
    <n v="1"/>
    <n v="2"/>
    <x v="1"/>
    <n v="1"/>
    <n v="1"/>
    <n v="2"/>
    <n v="1"/>
    <n v="1"/>
    <n v="1"/>
    <n v="0"/>
    <n v="0"/>
    <n v="17.370639825853509"/>
    <n v="0.59846219759007979"/>
    <x v="1"/>
    <n v="8115"/>
  </r>
  <r>
    <x v="1420"/>
    <x v="0"/>
    <x v="0"/>
    <n v="642"/>
    <x v="1"/>
    <n v="1"/>
    <n v="3"/>
    <x v="0"/>
    <n v="4"/>
    <x v="1"/>
    <n v="76"/>
    <n v="3"/>
    <n v="1"/>
    <x v="1"/>
    <n v="4"/>
    <x v="1"/>
    <x v="553"/>
    <n v="21412"/>
    <n v="3"/>
    <x v="1"/>
    <n v="0.22"/>
    <n v="4"/>
    <n v="1"/>
    <n v="1"/>
    <n v="12"/>
    <n v="3"/>
    <n v="3"/>
    <x v="8"/>
    <n v="3"/>
    <n v="1"/>
    <n v="0"/>
    <x v="1"/>
    <n v="1"/>
    <n v="1"/>
    <n v="1"/>
    <n v="0"/>
    <n v="0"/>
    <n v="0"/>
    <n v="1"/>
    <n v="0"/>
    <n v="6.4944289374208282"/>
    <n v="0.22374939857982484"/>
    <x v="2"/>
    <n v="0"/>
  </r>
  <r>
    <x v="1421"/>
    <x v="40"/>
    <x v="2"/>
    <n v="1162"/>
    <x v="1"/>
    <n v="1"/>
    <n v="1"/>
    <x v="2"/>
    <n v="3"/>
    <x v="0"/>
    <n v="98"/>
    <n v="3"/>
    <n v="3"/>
    <x v="7"/>
    <n v="2"/>
    <x v="1"/>
    <x v="1309"/>
    <n v="17231"/>
    <n v="0"/>
    <x v="1"/>
    <n v="0.18"/>
    <n v="3"/>
    <n v="1"/>
    <n v="2"/>
    <n v="14"/>
    <n v="3"/>
    <n v="1"/>
    <x v="20"/>
    <n v="8"/>
    <n v="5"/>
    <n v="12"/>
    <x v="1"/>
    <n v="0"/>
    <n v="0"/>
    <n v="1"/>
    <n v="0"/>
    <n v="0"/>
    <n v="1"/>
    <n v="0"/>
    <n v="0"/>
    <n v="4.204533129978131"/>
    <n v="0.14485673308716898"/>
    <x v="2"/>
    <n v="0"/>
  </r>
  <r>
    <x v="1422"/>
    <x v="10"/>
    <x v="0"/>
    <n v="1490"/>
    <x v="1"/>
    <n v="11"/>
    <n v="4"/>
    <x v="2"/>
    <n v="4"/>
    <x v="1"/>
    <n v="43"/>
    <n v="3"/>
    <n v="1"/>
    <x v="2"/>
    <n v="3"/>
    <x v="1"/>
    <x v="1310"/>
    <n v="20232"/>
    <n v="7"/>
    <x v="0"/>
    <n v="0.11"/>
    <n v="3"/>
    <n v="3"/>
    <n v="1"/>
    <n v="5"/>
    <n v="3"/>
    <n v="3"/>
    <x v="4"/>
    <n v="2"/>
    <n v="2"/>
    <n v="2"/>
    <x v="1"/>
    <n v="1"/>
    <n v="1"/>
    <n v="1"/>
    <n v="1"/>
    <n v="0"/>
    <n v="0"/>
    <n v="1"/>
    <n v="0"/>
    <n v="16.494428937420828"/>
    <n v="0.56827453040563214"/>
    <x v="1"/>
    <n v="3990"/>
  </r>
  <r>
    <x v="1423"/>
    <x v="15"/>
    <x v="0"/>
    <n v="581"/>
    <x v="1"/>
    <n v="1"/>
    <n v="2"/>
    <x v="0"/>
    <n v="4"/>
    <x v="1"/>
    <n v="63"/>
    <n v="3"/>
    <n v="1"/>
    <x v="1"/>
    <n v="3"/>
    <x v="0"/>
    <x v="1311"/>
    <n v="17624"/>
    <n v="0"/>
    <x v="1"/>
    <n v="0.12"/>
    <n v="3"/>
    <n v="4"/>
    <n v="0"/>
    <n v="4"/>
    <n v="2"/>
    <n v="4"/>
    <x v="11"/>
    <n v="2"/>
    <n v="1"/>
    <n v="2"/>
    <x v="1"/>
    <n v="1"/>
    <n v="1"/>
    <n v="0"/>
    <n v="0"/>
    <n v="0"/>
    <n v="0"/>
    <n v="1"/>
    <n v="0"/>
    <n v="6.4944289374208282"/>
    <n v="0.22374939857982484"/>
    <x v="2"/>
    <n v="0"/>
  </r>
  <r>
    <x v="1424"/>
    <x v="10"/>
    <x v="0"/>
    <n v="1395"/>
    <x v="1"/>
    <n v="9"/>
    <n v="4"/>
    <x v="2"/>
    <n v="2"/>
    <x v="1"/>
    <n v="48"/>
    <n v="3"/>
    <n v="2"/>
    <x v="1"/>
    <n v="3"/>
    <x v="0"/>
    <x v="1312"/>
    <n v="18698"/>
    <n v="1"/>
    <x v="1"/>
    <n v="0.19"/>
    <n v="3"/>
    <n v="2"/>
    <n v="0"/>
    <n v="10"/>
    <n v="5"/>
    <n v="3"/>
    <x v="1"/>
    <n v="7"/>
    <n v="0"/>
    <n v="8"/>
    <x v="1"/>
    <n v="1"/>
    <n v="1"/>
    <n v="0"/>
    <n v="0"/>
    <n v="0"/>
    <n v="0"/>
    <n v="0"/>
    <n v="0"/>
    <n v="0"/>
    <n v="0"/>
    <x v="2"/>
    <n v="0"/>
  </r>
  <r>
    <x v="1425"/>
    <x v="3"/>
    <x v="0"/>
    <n v="501"/>
    <x v="1"/>
    <n v="15"/>
    <n v="2"/>
    <x v="2"/>
    <n v="2"/>
    <x v="0"/>
    <n v="95"/>
    <n v="3"/>
    <n v="2"/>
    <x v="4"/>
    <n v="4"/>
    <x v="1"/>
    <x v="1313"/>
    <n v="21653"/>
    <n v="0"/>
    <x v="0"/>
    <n v="0.13"/>
    <n v="3"/>
    <n v="1"/>
    <n v="1"/>
    <n v="10"/>
    <n v="6"/>
    <n v="3"/>
    <x v="7"/>
    <n v="7"/>
    <n v="8"/>
    <n v="1"/>
    <x v="1"/>
    <n v="0"/>
    <n v="1"/>
    <n v="1"/>
    <n v="1"/>
    <n v="0"/>
    <n v="0"/>
    <n v="1"/>
    <n v="0"/>
    <n v="16.494428937420828"/>
    <n v="0.56827453040563214"/>
    <x v="1"/>
    <n v="7317"/>
  </r>
  <r>
    <x v="1426"/>
    <x v="5"/>
    <x v="0"/>
    <n v="267"/>
    <x v="1"/>
    <n v="29"/>
    <n v="4"/>
    <x v="0"/>
    <n v="3"/>
    <x v="0"/>
    <n v="49"/>
    <n v="2"/>
    <n v="1"/>
    <x v="2"/>
    <n v="2"/>
    <x v="0"/>
    <x v="1314"/>
    <n v="15919"/>
    <n v="1"/>
    <x v="1"/>
    <n v="0.13"/>
    <n v="3"/>
    <n v="3"/>
    <n v="0"/>
    <n v="6"/>
    <n v="3"/>
    <n v="3"/>
    <x v="0"/>
    <n v="2"/>
    <n v="4"/>
    <n v="1"/>
    <x v="1"/>
    <n v="0"/>
    <n v="1"/>
    <n v="0"/>
    <n v="0"/>
    <n v="1"/>
    <n v="1"/>
    <n v="1"/>
    <n v="0"/>
    <n v="13.865068763274337"/>
    <n v="0.47768646434409739"/>
    <x v="0"/>
    <n v="0"/>
  </r>
  <r>
    <x v="1427"/>
    <x v="32"/>
    <x v="0"/>
    <n v="543"/>
    <x v="1"/>
    <n v="1"/>
    <n v="4"/>
    <x v="0"/>
    <n v="1"/>
    <x v="1"/>
    <n v="83"/>
    <n v="3"/>
    <n v="1"/>
    <x v="2"/>
    <n v="4"/>
    <x v="1"/>
    <x v="58"/>
    <n v="4060"/>
    <n v="8"/>
    <x v="1"/>
    <n v="0.19"/>
    <n v="3"/>
    <n v="3"/>
    <n v="2"/>
    <n v="8"/>
    <n v="3"/>
    <n v="2"/>
    <x v="6"/>
    <n v="0"/>
    <n v="0"/>
    <n v="0"/>
    <x v="1"/>
    <n v="1"/>
    <n v="1"/>
    <n v="1"/>
    <n v="0"/>
    <n v="0"/>
    <n v="0"/>
    <n v="1"/>
    <n v="0"/>
    <n v="6.4944289374208282"/>
    <n v="0.22374939857982484"/>
    <x v="2"/>
    <n v="0"/>
  </r>
  <r>
    <x v="1428"/>
    <x v="5"/>
    <x v="0"/>
    <n v="234"/>
    <x v="0"/>
    <n v="1"/>
    <n v="4"/>
    <x v="2"/>
    <n v="2"/>
    <x v="1"/>
    <n v="68"/>
    <n v="2"/>
    <n v="1"/>
    <x v="6"/>
    <n v="2"/>
    <x v="1"/>
    <x v="47"/>
    <n v="18024"/>
    <n v="0"/>
    <x v="1"/>
    <n v="0.14000000000000001"/>
    <n v="3"/>
    <n v="2"/>
    <n v="1"/>
    <n v="3"/>
    <n v="2"/>
    <n v="3"/>
    <x v="4"/>
    <n v="2"/>
    <n v="2"/>
    <n v="2"/>
    <x v="1"/>
    <n v="1"/>
    <n v="1"/>
    <n v="1"/>
    <n v="0"/>
    <n v="0"/>
    <n v="1"/>
    <n v="1"/>
    <n v="0"/>
    <n v="10.698962067398959"/>
    <n v="0.3686061316669938"/>
    <x v="0"/>
    <n v="0"/>
  </r>
  <r>
    <x v="1429"/>
    <x v="22"/>
    <x v="0"/>
    <n v="116"/>
    <x v="1"/>
    <n v="24"/>
    <n v="1"/>
    <x v="0"/>
    <n v="1"/>
    <x v="1"/>
    <n v="52"/>
    <n v="3"/>
    <n v="2"/>
    <x v="1"/>
    <n v="4"/>
    <x v="0"/>
    <x v="1315"/>
    <n v="5340"/>
    <n v="7"/>
    <x v="1"/>
    <n v="0.13"/>
    <n v="3"/>
    <n v="1"/>
    <n v="0"/>
    <n v="18"/>
    <n v="2"/>
    <n v="3"/>
    <x v="5"/>
    <n v="7"/>
    <n v="1"/>
    <n v="7"/>
    <x v="1"/>
    <n v="1"/>
    <n v="1"/>
    <n v="0"/>
    <n v="0"/>
    <n v="1"/>
    <n v="0"/>
    <n v="1"/>
    <n v="0"/>
    <n v="9.660535633296206"/>
    <n v="0.33282973125692844"/>
    <x v="0"/>
    <n v="0"/>
  </r>
  <r>
    <x v="1430"/>
    <x v="8"/>
    <x v="0"/>
    <n v="201"/>
    <x v="1"/>
    <n v="10"/>
    <n v="3"/>
    <x v="2"/>
    <n v="2"/>
    <x v="0"/>
    <n v="99"/>
    <n v="1"/>
    <n v="3"/>
    <x v="7"/>
    <n v="3"/>
    <x v="1"/>
    <x v="1316"/>
    <n v="3376"/>
    <n v="3"/>
    <x v="1"/>
    <n v="0.12"/>
    <n v="3"/>
    <n v="1"/>
    <n v="1"/>
    <n v="20"/>
    <n v="3"/>
    <n v="3"/>
    <x v="29"/>
    <n v="16"/>
    <n v="1"/>
    <n v="11"/>
    <x v="1"/>
    <n v="0"/>
    <n v="1"/>
    <n v="1"/>
    <n v="0"/>
    <n v="0"/>
    <n v="0"/>
    <n v="0"/>
    <n v="0"/>
    <n v="0"/>
    <n v="0"/>
    <x v="2"/>
    <n v="0"/>
  </r>
  <r>
    <x v="1431"/>
    <x v="5"/>
    <x v="0"/>
    <n v="801"/>
    <x v="0"/>
    <n v="1"/>
    <n v="4"/>
    <x v="3"/>
    <n v="3"/>
    <x v="0"/>
    <n v="48"/>
    <n v="3"/>
    <n v="3"/>
    <x v="0"/>
    <n v="4"/>
    <x v="1"/>
    <x v="1317"/>
    <n v="24032"/>
    <n v="1"/>
    <x v="1"/>
    <n v="0.19"/>
    <n v="3"/>
    <n v="3"/>
    <n v="2"/>
    <n v="14"/>
    <n v="3"/>
    <n v="3"/>
    <x v="13"/>
    <n v="10"/>
    <n v="5"/>
    <n v="7"/>
    <x v="1"/>
    <n v="0"/>
    <n v="1"/>
    <n v="1"/>
    <n v="0"/>
    <n v="0"/>
    <n v="0"/>
    <n v="0"/>
    <n v="0"/>
    <n v="0"/>
    <n v="0"/>
    <x v="2"/>
    <n v="0"/>
  </r>
  <r>
    <x v="1432"/>
    <x v="2"/>
    <x v="0"/>
    <n v="161"/>
    <x v="1"/>
    <n v="10"/>
    <n v="3"/>
    <x v="0"/>
    <n v="3"/>
    <x v="0"/>
    <n v="42"/>
    <n v="4"/>
    <n v="3"/>
    <x v="7"/>
    <n v="4"/>
    <x v="1"/>
    <x v="1318"/>
    <n v="15471"/>
    <n v="1"/>
    <x v="0"/>
    <n v="0.25"/>
    <n v="4"/>
    <n v="1"/>
    <n v="1"/>
    <n v="16"/>
    <n v="2"/>
    <n v="3"/>
    <x v="22"/>
    <n v="11"/>
    <n v="6"/>
    <n v="8"/>
    <x v="1"/>
    <n v="0"/>
    <n v="1"/>
    <n v="1"/>
    <n v="1"/>
    <n v="0"/>
    <n v="0"/>
    <n v="0"/>
    <n v="0"/>
    <n v="10"/>
    <n v="0.3445251318258073"/>
    <x v="0"/>
    <n v="0"/>
  </r>
  <r>
    <x v="1433"/>
    <x v="36"/>
    <x v="0"/>
    <n v="1382"/>
    <x v="0"/>
    <n v="8"/>
    <n v="2"/>
    <x v="1"/>
    <n v="1"/>
    <x v="0"/>
    <n v="85"/>
    <n v="3"/>
    <n v="2"/>
    <x v="0"/>
    <n v="3"/>
    <x v="2"/>
    <x v="274"/>
    <n v="13684"/>
    <n v="0"/>
    <x v="0"/>
    <n v="0.22"/>
    <n v="4"/>
    <n v="2"/>
    <n v="1"/>
    <n v="6"/>
    <n v="3"/>
    <n v="2"/>
    <x v="8"/>
    <n v="3"/>
    <n v="0"/>
    <n v="4"/>
    <x v="1"/>
    <n v="0"/>
    <n v="1"/>
    <n v="2"/>
    <n v="1"/>
    <n v="0"/>
    <n v="0"/>
    <n v="1"/>
    <n v="0"/>
    <n v="16.494428937420828"/>
    <n v="0.56827453040563214"/>
    <x v="1"/>
    <n v="7360.5"/>
  </r>
  <r>
    <x v="1434"/>
    <x v="39"/>
    <x v="2"/>
    <n v="585"/>
    <x v="0"/>
    <n v="29"/>
    <n v="4"/>
    <x v="0"/>
    <n v="1"/>
    <x v="1"/>
    <n v="40"/>
    <n v="3"/>
    <n v="1"/>
    <x v="6"/>
    <n v="4"/>
    <x v="2"/>
    <x v="1319"/>
    <n v="19788"/>
    <n v="2"/>
    <x v="1"/>
    <n v="0.15"/>
    <n v="3"/>
    <n v="2"/>
    <n v="2"/>
    <n v="16"/>
    <n v="3"/>
    <n v="2"/>
    <x v="7"/>
    <n v="8"/>
    <n v="0"/>
    <n v="0"/>
    <x v="1"/>
    <n v="1"/>
    <n v="0"/>
    <n v="2"/>
    <n v="0"/>
    <n v="1"/>
    <n v="0"/>
    <n v="1"/>
    <n v="0"/>
    <n v="9.660535633296206"/>
    <n v="0.33282973125692844"/>
    <x v="0"/>
    <n v="0"/>
  </r>
  <r>
    <x v="1435"/>
    <x v="20"/>
    <x v="0"/>
    <n v="1037"/>
    <x v="1"/>
    <n v="1"/>
    <n v="3"/>
    <x v="2"/>
    <n v="2"/>
    <x v="1"/>
    <n v="42"/>
    <n v="3"/>
    <n v="1"/>
    <x v="1"/>
    <n v="4"/>
    <x v="0"/>
    <x v="230"/>
    <n v="13422"/>
    <n v="6"/>
    <x v="0"/>
    <n v="0.12"/>
    <n v="3"/>
    <n v="3"/>
    <n v="0"/>
    <n v="6"/>
    <n v="2"/>
    <n v="3"/>
    <x v="9"/>
    <n v="3"/>
    <n v="1"/>
    <n v="2"/>
    <x v="1"/>
    <n v="1"/>
    <n v="1"/>
    <n v="0"/>
    <n v="1"/>
    <n v="0"/>
    <n v="0"/>
    <n v="1"/>
    <n v="0"/>
    <n v="16.494428937420828"/>
    <n v="0.56827453040563214"/>
    <x v="1"/>
    <n v="3654"/>
  </r>
  <r>
    <x v="1436"/>
    <x v="18"/>
    <x v="0"/>
    <n v="501"/>
    <x v="0"/>
    <n v="5"/>
    <n v="1"/>
    <x v="2"/>
    <n v="3"/>
    <x v="1"/>
    <n v="58"/>
    <n v="3"/>
    <n v="1"/>
    <x v="6"/>
    <n v="1"/>
    <x v="0"/>
    <x v="631"/>
    <n v="25479"/>
    <n v="1"/>
    <x v="0"/>
    <n v="0.11"/>
    <n v="3"/>
    <n v="4"/>
    <n v="0"/>
    <n v="2"/>
    <n v="6"/>
    <n v="3"/>
    <x v="4"/>
    <n v="2"/>
    <n v="1"/>
    <n v="2"/>
    <x v="1"/>
    <n v="1"/>
    <n v="1"/>
    <n v="0"/>
    <n v="1"/>
    <n v="0"/>
    <n v="1"/>
    <n v="1"/>
    <n v="0"/>
    <n v="20.698962067398959"/>
    <n v="0.71313126349280109"/>
    <x v="1"/>
    <n v="3570"/>
  </r>
  <r>
    <x v="1437"/>
    <x v="22"/>
    <x v="2"/>
    <n v="105"/>
    <x v="1"/>
    <n v="9"/>
    <n v="3"/>
    <x v="0"/>
    <n v="4"/>
    <x v="1"/>
    <n v="87"/>
    <n v="3"/>
    <n v="5"/>
    <x v="5"/>
    <n v="4"/>
    <x v="0"/>
    <x v="1320"/>
    <n v="15302"/>
    <n v="2"/>
    <x v="1"/>
    <n v="0.13"/>
    <n v="3"/>
    <n v="3"/>
    <n v="0"/>
    <n v="21"/>
    <n v="3"/>
    <n v="2"/>
    <x v="0"/>
    <n v="0"/>
    <n v="1"/>
    <n v="3"/>
    <x v="1"/>
    <n v="1"/>
    <n v="0"/>
    <n v="0"/>
    <n v="0"/>
    <n v="0"/>
    <n v="0"/>
    <n v="0"/>
    <n v="0"/>
    <n v="0"/>
    <n v="0"/>
    <x v="2"/>
    <n v="0"/>
  </r>
  <r>
    <x v="1438"/>
    <x v="30"/>
    <x v="1"/>
    <n v="638"/>
    <x v="0"/>
    <n v="9"/>
    <n v="3"/>
    <x v="3"/>
    <n v="4"/>
    <x v="1"/>
    <n v="33"/>
    <n v="3"/>
    <n v="1"/>
    <x v="6"/>
    <n v="1"/>
    <x v="1"/>
    <x v="1321"/>
    <n v="26956"/>
    <n v="1"/>
    <x v="1"/>
    <n v="0.19"/>
    <n v="3"/>
    <n v="1"/>
    <n v="1"/>
    <n v="1"/>
    <n v="3"/>
    <n v="2"/>
    <x v="6"/>
    <n v="0"/>
    <n v="1"/>
    <n v="0"/>
    <x v="0"/>
    <n v="1"/>
    <n v="2"/>
    <n v="1"/>
    <n v="0"/>
    <n v="0"/>
    <n v="1"/>
    <n v="1"/>
    <n v="1"/>
    <n v="15.859352047889136"/>
    <n v="0.54639453549708916"/>
    <x v="1"/>
    <n v="2685"/>
  </r>
  <r>
    <x v="1439"/>
    <x v="9"/>
    <x v="0"/>
    <n v="557"/>
    <x v="0"/>
    <n v="3"/>
    <n v="3"/>
    <x v="2"/>
    <n v="1"/>
    <x v="0"/>
    <n v="94"/>
    <n v="2"/>
    <n v="3"/>
    <x v="0"/>
    <n v="4"/>
    <x v="1"/>
    <x v="1322"/>
    <n v="12695"/>
    <n v="0"/>
    <x v="1"/>
    <n v="0.19"/>
    <n v="3"/>
    <n v="3"/>
    <n v="2"/>
    <n v="10"/>
    <n v="2"/>
    <n v="3"/>
    <x v="7"/>
    <n v="7"/>
    <n v="3"/>
    <n v="4"/>
    <x v="1"/>
    <n v="0"/>
    <n v="1"/>
    <n v="1"/>
    <n v="0"/>
    <n v="0"/>
    <n v="0"/>
    <n v="0"/>
    <n v="0"/>
    <n v="0"/>
    <n v="0"/>
    <x v="2"/>
    <n v="0"/>
  </r>
  <r>
    <x v="1440"/>
    <x v="9"/>
    <x v="1"/>
    <n v="688"/>
    <x v="1"/>
    <n v="4"/>
    <n v="2"/>
    <x v="0"/>
    <n v="4"/>
    <x v="0"/>
    <n v="97"/>
    <n v="3"/>
    <n v="2"/>
    <x v="3"/>
    <n v="2"/>
    <x v="2"/>
    <x v="1323"/>
    <n v="9192"/>
    <n v="7"/>
    <x v="1"/>
    <n v="0.13"/>
    <n v="3"/>
    <n v="2"/>
    <n v="3"/>
    <n v="18"/>
    <n v="3"/>
    <n v="3"/>
    <x v="9"/>
    <n v="2"/>
    <n v="0"/>
    <n v="2"/>
    <x v="1"/>
    <n v="0"/>
    <n v="2"/>
    <n v="2"/>
    <n v="0"/>
    <n v="0"/>
    <n v="1"/>
    <n v="0"/>
    <n v="1"/>
    <n v="9.3649231104683075"/>
    <n v="0.32264513691726432"/>
    <x v="0"/>
    <n v="0"/>
  </r>
  <r>
    <x v="1441"/>
    <x v="29"/>
    <x v="2"/>
    <n v="667"/>
    <x v="1"/>
    <n v="1"/>
    <n v="4"/>
    <x v="0"/>
    <n v="3"/>
    <x v="1"/>
    <n v="57"/>
    <n v="3"/>
    <n v="2"/>
    <x v="4"/>
    <n v="3"/>
    <x v="2"/>
    <x v="1324"/>
    <n v="26236"/>
    <n v="1"/>
    <x v="1"/>
    <n v="0.21"/>
    <n v="4"/>
    <n v="1"/>
    <n v="1"/>
    <n v="13"/>
    <n v="2"/>
    <n v="2"/>
    <x v="20"/>
    <n v="12"/>
    <n v="1"/>
    <n v="9"/>
    <x v="1"/>
    <n v="1"/>
    <n v="0"/>
    <n v="2"/>
    <n v="0"/>
    <n v="0"/>
    <n v="0"/>
    <n v="0"/>
    <n v="0"/>
    <n v="0"/>
    <n v="0"/>
    <x v="2"/>
    <n v="0"/>
  </r>
  <r>
    <x v="1442"/>
    <x v="11"/>
    <x v="0"/>
    <n v="1092"/>
    <x v="1"/>
    <n v="1"/>
    <n v="4"/>
    <x v="2"/>
    <n v="1"/>
    <x v="1"/>
    <n v="36"/>
    <n v="3"/>
    <n v="1"/>
    <x v="1"/>
    <n v="4"/>
    <x v="1"/>
    <x v="1325"/>
    <n v="26124"/>
    <n v="9"/>
    <x v="0"/>
    <n v="0.14000000000000001"/>
    <n v="3"/>
    <n v="2"/>
    <n v="3"/>
    <n v="4"/>
    <n v="3"/>
    <n v="4"/>
    <x v="4"/>
    <n v="2"/>
    <n v="2"/>
    <n v="2"/>
    <x v="0"/>
    <n v="1"/>
    <n v="1"/>
    <n v="1"/>
    <n v="1"/>
    <n v="0"/>
    <n v="0"/>
    <n v="1"/>
    <n v="0"/>
    <n v="16.494428937420828"/>
    <n v="0.56827453040563214"/>
    <x v="1"/>
    <n v="7180.5"/>
  </r>
  <r>
    <x v="1443"/>
    <x v="19"/>
    <x v="0"/>
    <n v="300"/>
    <x v="1"/>
    <n v="2"/>
    <n v="3"/>
    <x v="0"/>
    <n v="1"/>
    <x v="1"/>
    <n v="56"/>
    <n v="3"/>
    <n v="5"/>
    <x v="5"/>
    <n v="3"/>
    <x v="1"/>
    <x v="1326"/>
    <n v="17312"/>
    <n v="5"/>
    <x v="1"/>
    <n v="0.11"/>
    <n v="3"/>
    <n v="1"/>
    <n v="0"/>
    <n v="24"/>
    <n v="2"/>
    <n v="2"/>
    <x v="14"/>
    <n v="6"/>
    <n v="4"/>
    <n v="14"/>
    <x v="1"/>
    <n v="1"/>
    <n v="1"/>
    <n v="1"/>
    <n v="0"/>
    <n v="0"/>
    <n v="0"/>
    <n v="0"/>
    <n v="0"/>
    <n v="0"/>
    <n v="0"/>
    <x v="2"/>
    <n v="0"/>
  </r>
  <r>
    <x v="1444"/>
    <x v="29"/>
    <x v="0"/>
    <n v="310"/>
    <x v="1"/>
    <n v="7"/>
    <n v="2"/>
    <x v="4"/>
    <n v="4"/>
    <x v="1"/>
    <n v="72"/>
    <n v="3"/>
    <n v="1"/>
    <x v="2"/>
    <n v="3"/>
    <x v="1"/>
    <x v="1327"/>
    <n v="3666"/>
    <n v="8"/>
    <x v="1"/>
    <n v="0.11"/>
    <n v="3"/>
    <n v="4"/>
    <n v="1"/>
    <n v="14"/>
    <n v="4"/>
    <n v="1"/>
    <x v="1"/>
    <n v="9"/>
    <n v="9"/>
    <n v="8"/>
    <x v="0"/>
    <n v="1"/>
    <n v="1"/>
    <n v="1"/>
    <n v="0"/>
    <n v="0"/>
    <n v="0"/>
    <n v="1"/>
    <n v="0"/>
    <n v="6.4944289374208282"/>
    <n v="0.22374939857982484"/>
    <x v="2"/>
    <n v="0"/>
  </r>
  <r>
    <x v="1445"/>
    <x v="0"/>
    <x v="0"/>
    <n v="582"/>
    <x v="1"/>
    <n v="28"/>
    <n v="4"/>
    <x v="0"/>
    <n v="1"/>
    <x v="0"/>
    <n v="60"/>
    <n v="2"/>
    <n v="4"/>
    <x v="3"/>
    <n v="2"/>
    <x v="1"/>
    <x v="1328"/>
    <n v="5640"/>
    <n v="0"/>
    <x v="1"/>
    <n v="0.23"/>
    <n v="4"/>
    <n v="3"/>
    <n v="1"/>
    <n v="21"/>
    <n v="3"/>
    <n v="3"/>
    <x v="23"/>
    <n v="7"/>
    <n v="0"/>
    <n v="10"/>
    <x v="1"/>
    <n v="0"/>
    <n v="1"/>
    <n v="1"/>
    <n v="0"/>
    <n v="1"/>
    <n v="1"/>
    <n v="0"/>
    <n v="0"/>
    <n v="7.3706398258535089"/>
    <n v="0.25393706576427255"/>
    <x v="0"/>
    <n v="0"/>
  </r>
  <r>
    <x v="1446"/>
    <x v="13"/>
    <x v="0"/>
    <n v="704"/>
    <x v="0"/>
    <n v="28"/>
    <n v="3"/>
    <x v="3"/>
    <n v="4"/>
    <x v="0"/>
    <n v="95"/>
    <n v="2"/>
    <n v="2"/>
    <x v="0"/>
    <n v="3"/>
    <x v="1"/>
    <x v="1329"/>
    <n v="8978"/>
    <n v="1"/>
    <x v="1"/>
    <n v="0.21"/>
    <n v="4"/>
    <n v="4"/>
    <n v="2"/>
    <n v="8"/>
    <n v="2"/>
    <n v="3"/>
    <x v="3"/>
    <n v="7"/>
    <n v="1"/>
    <n v="7"/>
    <x v="1"/>
    <n v="0"/>
    <n v="1"/>
    <n v="1"/>
    <n v="0"/>
    <n v="1"/>
    <n v="0"/>
    <n v="0"/>
    <n v="0"/>
    <n v="3.1661066958753779"/>
    <n v="0.10908033267710357"/>
    <x v="2"/>
    <n v="0"/>
  </r>
  <r>
    <x v="1447"/>
    <x v="9"/>
    <x v="2"/>
    <n v="301"/>
    <x v="0"/>
    <n v="15"/>
    <n v="4"/>
    <x v="3"/>
    <n v="4"/>
    <x v="1"/>
    <n v="88"/>
    <n v="1"/>
    <n v="2"/>
    <x v="0"/>
    <n v="4"/>
    <x v="2"/>
    <x v="1330"/>
    <n v="10436"/>
    <n v="1"/>
    <x v="1"/>
    <n v="0.24"/>
    <n v="4"/>
    <n v="1"/>
    <n v="1"/>
    <n v="15"/>
    <n v="4"/>
    <n v="2"/>
    <x v="15"/>
    <n v="12"/>
    <n v="11"/>
    <n v="11"/>
    <x v="1"/>
    <n v="1"/>
    <n v="0"/>
    <n v="2"/>
    <n v="0"/>
    <n v="0"/>
    <n v="0"/>
    <n v="0"/>
    <n v="0"/>
    <n v="0"/>
    <n v="0"/>
    <x v="2"/>
    <n v="0"/>
  </r>
  <r>
    <x v="1448"/>
    <x v="0"/>
    <x v="0"/>
    <n v="930"/>
    <x v="0"/>
    <n v="3"/>
    <n v="3"/>
    <x v="0"/>
    <n v="3"/>
    <x v="1"/>
    <n v="57"/>
    <n v="2"/>
    <n v="2"/>
    <x v="0"/>
    <n v="2"/>
    <x v="2"/>
    <x v="1331"/>
    <n v="12227"/>
    <n v="2"/>
    <x v="1"/>
    <n v="0.11"/>
    <n v="3"/>
    <n v="3"/>
    <n v="1"/>
    <n v="14"/>
    <n v="5"/>
    <n v="3"/>
    <x v="8"/>
    <n v="4"/>
    <n v="0"/>
    <n v="4"/>
    <x v="1"/>
    <n v="1"/>
    <n v="1"/>
    <n v="2"/>
    <n v="0"/>
    <n v="0"/>
    <n v="1"/>
    <n v="0"/>
    <n v="0"/>
    <n v="4.204533129978131"/>
    <n v="0.14485673308716898"/>
    <x v="2"/>
    <n v="0"/>
  </r>
  <r>
    <x v="1449"/>
    <x v="5"/>
    <x v="0"/>
    <n v="529"/>
    <x v="1"/>
    <n v="2"/>
    <n v="3"/>
    <x v="4"/>
    <n v="4"/>
    <x v="1"/>
    <n v="78"/>
    <n v="3"/>
    <n v="1"/>
    <x v="1"/>
    <n v="1"/>
    <x v="0"/>
    <x v="1234"/>
    <n v="11288"/>
    <n v="1"/>
    <x v="1"/>
    <n v="0.14000000000000001"/>
    <n v="3"/>
    <n v="4"/>
    <n v="0"/>
    <n v="4"/>
    <n v="4"/>
    <n v="3"/>
    <x v="9"/>
    <n v="2"/>
    <n v="1"/>
    <n v="2"/>
    <x v="1"/>
    <n v="1"/>
    <n v="1"/>
    <n v="0"/>
    <n v="0"/>
    <n v="0"/>
    <n v="1"/>
    <n v="1"/>
    <n v="0"/>
    <n v="10.698962067398959"/>
    <n v="0.3686061316669938"/>
    <x v="0"/>
    <n v="0"/>
  </r>
  <r>
    <x v="1450"/>
    <x v="10"/>
    <x v="0"/>
    <n v="1146"/>
    <x v="2"/>
    <n v="26"/>
    <n v="4"/>
    <x v="0"/>
    <n v="3"/>
    <x v="0"/>
    <n v="31"/>
    <n v="3"/>
    <n v="3"/>
    <x v="8"/>
    <n v="4"/>
    <x v="0"/>
    <x v="1332"/>
    <n v="16642"/>
    <n v="1"/>
    <x v="0"/>
    <n v="0.16"/>
    <n v="3"/>
    <n v="3"/>
    <n v="0"/>
    <n v="9"/>
    <n v="2"/>
    <n v="3"/>
    <x v="7"/>
    <n v="0"/>
    <n v="1"/>
    <n v="7"/>
    <x v="1"/>
    <n v="0"/>
    <n v="1"/>
    <n v="0"/>
    <n v="1"/>
    <n v="1"/>
    <n v="0"/>
    <n v="0"/>
    <n v="0"/>
    <n v="13.166106695875378"/>
    <n v="0.45360546450291089"/>
    <x v="0"/>
    <n v="0"/>
  </r>
  <r>
    <x v="1451"/>
    <x v="8"/>
    <x v="0"/>
    <n v="345"/>
    <x v="0"/>
    <n v="10"/>
    <n v="2"/>
    <x v="0"/>
    <n v="1"/>
    <x v="0"/>
    <n v="100"/>
    <n v="3"/>
    <n v="2"/>
    <x v="0"/>
    <n v="4"/>
    <x v="1"/>
    <x v="798"/>
    <n v="5982"/>
    <n v="1"/>
    <x v="1"/>
    <n v="0.11"/>
    <n v="3"/>
    <n v="3"/>
    <n v="1"/>
    <n v="10"/>
    <n v="1"/>
    <n v="3"/>
    <x v="1"/>
    <n v="7"/>
    <n v="1"/>
    <n v="9"/>
    <x v="1"/>
    <n v="0"/>
    <n v="1"/>
    <n v="1"/>
    <n v="0"/>
    <n v="0"/>
    <n v="0"/>
    <n v="0"/>
    <n v="0"/>
    <n v="0"/>
    <n v="0"/>
    <x v="2"/>
    <n v="0"/>
  </r>
  <r>
    <x v="1452"/>
    <x v="24"/>
    <x v="1"/>
    <n v="878"/>
    <x v="0"/>
    <n v="1"/>
    <n v="4"/>
    <x v="0"/>
    <n v="2"/>
    <x v="1"/>
    <n v="94"/>
    <n v="3"/>
    <n v="2"/>
    <x v="0"/>
    <n v="3"/>
    <x v="2"/>
    <x v="1333"/>
    <n v="14255"/>
    <n v="7"/>
    <x v="1"/>
    <n v="0.12"/>
    <n v="3"/>
    <n v="4"/>
    <n v="2"/>
    <n v="12"/>
    <n v="3"/>
    <n v="3"/>
    <x v="0"/>
    <n v="3"/>
    <n v="0"/>
    <n v="1"/>
    <x v="0"/>
    <n v="1"/>
    <n v="2"/>
    <n v="2"/>
    <n v="0"/>
    <n v="0"/>
    <n v="0"/>
    <n v="0"/>
    <n v="1"/>
    <n v="5.1603899804901765"/>
    <n v="0.17778840383009531"/>
    <x v="2"/>
    <n v="0"/>
  </r>
  <r>
    <x v="1453"/>
    <x v="9"/>
    <x v="0"/>
    <n v="1120"/>
    <x v="0"/>
    <n v="11"/>
    <n v="4"/>
    <x v="3"/>
    <n v="2"/>
    <x v="0"/>
    <n v="100"/>
    <n v="2"/>
    <n v="2"/>
    <x v="0"/>
    <n v="4"/>
    <x v="1"/>
    <x v="1334"/>
    <n v="14369"/>
    <n v="4"/>
    <x v="1"/>
    <n v="0.13"/>
    <n v="3"/>
    <n v="1"/>
    <n v="1"/>
    <n v="8"/>
    <n v="2"/>
    <n v="2"/>
    <x v="0"/>
    <n v="3"/>
    <n v="0"/>
    <n v="0"/>
    <x v="1"/>
    <n v="0"/>
    <n v="1"/>
    <n v="1"/>
    <n v="0"/>
    <n v="0"/>
    <n v="0"/>
    <n v="0"/>
    <n v="0"/>
    <n v="0"/>
    <n v="0"/>
    <x v="2"/>
    <n v="0"/>
  </r>
  <r>
    <x v="1454"/>
    <x v="28"/>
    <x v="0"/>
    <n v="374"/>
    <x v="0"/>
    <n v="20"/>
    <n v="3"/>
    <x v="0"/>
    <n v="4"/>
    <x v="0"/>
    <n v="50"/>
    <n v="3"/>
    <n v="2"/>
    <x v="0"/>
    <n v="3"/>
    <x v="0"/>
    <x v="1335"/>
    <n v="23333"/>
    <n v="8"/>
    <x v="1"/>
    <n v="0.15"/>
    <n v="3"/>
    <n v="3"/>
    <n v="0"/>
    <n v="8"/>
    <n v="3"/>
    <n v="3"/>
    <x v="8"/>
    <n v="3"/>
    <n v="0"/>
    <n v="1"/>
    <x v="1"/>
    <n v="0"/>
    <n v="1"/>
    <n v="0"/>
    <n v="0"/>
    <n v="1"/>
    <n v="0"/>
    <n v="1"/>
    <n v="0"/>
    <n v="9.660535633296206"/>
    <n v="0.33282973125692844"/>
    <x v="0"/>
    <n v="0"/>
  </r>
  <r>
    <x v="1455"/>
    <x v="32"/>
    <x v="0"/>
    <n v="1322"/>
    <x v="1"/>
    <n v="2"/>
    <n v="4"/>
    <x v="0"/>
    <n v="3"/>
    <x v="1"/>
    <n v="52"/>
    <n v="2"/>
    <n v="1"/>
    <x v="1"/>
    <n v="3"/>
    <x v="0"/>
    <x v="1336"/>
    <n v="2725"/>
    <n v="2"/>
    <x v="1"/>
    <n v="0.14000000000000001"/>
    <n v="3"/>
    <n v="4"/>
    <n v="0"/>
    <n v="8"/>
    <n v="2"/>
    <n v="3"/>
    <x v="4"/>
    <n v="2"/>
    <n v="2"/>
    <n v="2"/>
    <x v="1"/>
    <n v="1"/>
    <n v="1"/>
    <n v="0"/>
    <n v="0"/>
    <n v="0"/>
    <n v="0"/>
    <n v="1"/>
    <n v="0"/>
    <n v="6.4944289374208282"/>
    <n v="0.22374939857982484"/>
    <x v="2"/>
    <n v="0"/>
  </r>
  <r>
    <x v="1456"/>
    <x v="10"/>
    <x v="1"/>
    <n v="1199"/>
    <x v="1"/>
    <n v="18"/>
    <n v="4"/>
    <x v="0"/>
    <n v="3"/>
    <x v="1"/>
    <n v="80"/>
    <n v="3"/>
    <n v="2"/>
    <x v="4"/>
    <n v="3"/>
    <x v="1"/>
    <x v="1337"/>
    <n v="24594"/>
    <n v="1"/>
    <x v="0"/>
    <n v="0.14000000000000001"/>
    <n v="3"/>
    <n v="4"/>
    <n v="2"/>
    <n v="10"/>
    <n v="2"/>
    <n v="4"/>
    <x v="1"/>
    <n v="2"/>
    <n v="0"/>
    <n v="2"/>
    <x v="1"/>
    <n v="1"/>
    <n v="2"/>
    <n v="1"/>
    <n v="1"/>
    <n v="1"/>
    <n v="0"/>
    <n v="0"/>
    <n v="1"/>
    <n v="18.326496676365554"/>
    <n v="0.63139386833300615"/>
    <x v="1"/>
    <n v="8533.5"/>
  </r>
  <r>
    <x v="1457"/>
    <x v="32"/>
    <x v="0"/>
    <n v="1194"/>
    <x v="1"/>
    <n v="2"/>
    <n v="4"/>
    <x v="2"/>
    <n v="3"/>
    <x v="0"/>
    <n v="98"/>
    <n v="3"/>
    <n v="1"/>
    <x v="1"/>
    <n v="3"/>
    <x v="1"/>
    <x v="1338"/>
    <n v="12549"/>
    <n v="2"/>
    <x v="1"/>
    <n v="0.14000000000000001"/>
    <n v="3"/>
    <n v="2"/>
    <n v="3"/>
    <n v="20"/>
    <n v="2"/>
    <n v="3"/>
    <x v="8"/>
    <n v="3"/>
    <n v="0"/>
    <n v="2"/>
    <x v="1"/>
    <n v="0"/>
    <n v="1"/>
    <n v="1"/>
    <n v="0"/>
    <n v="0"/>
    <n v="0"/>
    <n v="1"/>
    <n v="0"/>
    <n v="6.4944289374208282"/>
    <n v="0.22374939857982484"/>
    <x v="2"/>
    <n v="0"/>
  </r>
  <r>
    <x v="1458"/>
    <x v="10"/>
    <x v="0"/>
    <n v="287"/>
    <x v="1"/>
    <n v="1"/>
    <n v="4"/>
    <x v="0"/>
    <n v="3"/>
    <x v="0"/>
    <n v="62"/>
    <n v="1"/>
    <n v="1"/>
    <x v="1"/>
    <n v="4"/>
    <x v="1"/>
    <x v="1339"/>
    <n v="8952"/>
    <n v="1"/>
    <x v="1"/>
    <n v="0.12"/>
    <n v="3"/>
    <n v="4"/>
    <n v="1"/>
    <n v="4"/>
    <n v="5"/>
    <n v="3"/>
    <x v="9"/>
    <n v="3"/>
    <n v="1"/>
    <n v="1"/>
    <x v="1"/>
    <n v="0"/>
    <n v="1"/>
    <n v="1"/>
    <n v="0"/>
    <n v="0"/>
    <n v="0"/>
    <n v="1"/>
    <n v="0"/>
    <n v="6.4944289374208282"/>
    <n v="0.22374939857982484"/>
    <x v="2"/>
    <n v="0"/>
  </r>
  <r>
    <x v="1459"/>
    <x v="11"/>
    <x v="0"/>
    <n v="1378"/>
    <x v="1"/>
    <n v="13"/>
    <n v="2"/>
    <x v="1"/>
    <n v="4"/>
    <x v="1"/>
    <n v="46"/>
    <n v="2"/>
    <n v="2"/>
    <x v="2"/>
    <n v="2"/>
    <x v="1"/>
    <x v="717"/>
    <n v="23679"/>
    <n v="4"/>
    <x v="0"/>
    <n v="0.13"/>
    <n v="3"/>
    <n v="1"/>
    <n v="1"/>
    <n v="10"/>
    <n v="2"/>
    <n v="3"/>
    <x v="9"/>
    <n v="3"/>
    <n v="0"/>
    <n v="3"/>
    <x v="1"/>
    <n v="1"/>
    <n v="1"/>
    <n v="1"/>
    <n v="1"/>
    <n v="0"/>
    <n v="1"/>
    <n v="1"/>
    <n v="0"/>
    <n v="20.698962067398959"/>
    <n v="0.71313126349280109"/>
    <x v="1"/>
    <n v="6037.5"/>
  </r>
  <r>
    <x v="1460"/>
    <x v="11"/>
    <x v="0"/>
    <n v="468"/>
    <x v="1"/>
    <n v="28"/>
    <n v="4"/>
    <x v="2"/>
    <n v="4"/>
    <x v="0"/>
    <n v="73"/>
    <n v="2"/>
    <n v="1"/>
    <x v="1"/>
    <n v="1"/>
    <x v="0"/>
    <x v="1340"/>
    <n v="8489"/>
    <n v="1"/>
    <x v="1"/>
    <n v="0.14000000000000001"/>
    <n v="3"/>
    <n v="2"/>
    <n v="0"/>
    <n v="5"/>
    <n v="3"/>
    <n v="1"/>
    <x v="8"/>
    <n v="4"/>
    <n v="0"/>
    <n v="4"/>
    <x v="1"/>
    <n v="0"/>
    <n v="1"/>
    <n v="0"/>
    <n v="0"/>
    <n v="1"/>
    <n v="1"/>
    <n v="1"/>
    <n v="0"/>
    <n v="13.865068763274337"/>
    <n v="0.47768646434409739"/>
    <x v="0"/>
    <n v="0"/>
  </r>
  <r>
    <x v="1461"/>
    <x v="24"/>
    <x v="0"/>
    <n v="410"/>
    <x v="0"/>
    <n v="28"/>
    <n v="3"/>
    <x v="3"/>
    <n v="4"/>
    <x v="1"/>
    <n v="39"/>
    <n v="2"/>
    <n v="3"/>
    <x v="0"/>
    <n v="1"/>
    <x v="2"/>
    <x v="1341"/>
    <n v="16586"/>
    <n v="4"/>
    <x v="0"/>
    <n v="0.13"/>
    <n v="3"/>
    <n v="2"/>
    <n v="1"/>
    <n v="20"/>
    <n v="3"/>
    <n v="3"/>
    <x v="11"/>
    <n v="2"/>
    <n v="2"/>
    <n v="0"/>
    <x v="0"/>
    <n v="1"/>
    <n v="1"/>
    <n v="2"/>
    <n v="1"/>
    <n v="1"/>
    <n v="1"/>
    <n v="0"/>
    <n v="0"/>
    <n v="17.370639825853509"/>
    <n v="0.59846219759007979"/>
    <x v="1"/>
    <n v="16281"/>
  </r>
  <r>
    <x v="1462"/>
    <x v="22"/>
    <x v="0"/>
    <n v="722"/>
    <x v="0"/>
    <n v="24"/>
    <n v="1"/>
    <x v="3"/>
    <n v="2"/>
    <x v="0"/>
    <n v="60"/>
    <n v="2"/>
    <n v="4"/>
    <x v="0"/>
    <n v="4"/>
    <x v="1"/>
    <x v="1342"/>
    <n v="8828"/>
    <n v="0"/>
    <x v="1"/>
    <n v="0.11"/>
    <n v="3"/>
    <n v="1"/>
    <n v="1"/>
    <n v="21"/>
    <n v="2"/>
    <n v="2"/>
    <x v="23"/>
    <n v="9"/>
    <n v="9"/>
    <n v="6"/>
    <x v="1"/>
    <n v="0"/>
    <n v="1"/>
    <n v="1"/>
    <n v="0"/>
    <n v="1"/>
    <n v="0"/>
    <n v="0"/>
    <n v="0"/>
    <n v="3.1661066958753779"/>
    <n v="0.10908033267710357"/>
    <x v="2"/>
    <n v="0"/>
  </r>
  <r>
    <x v="1463"/>
    <x v="12"/>
    <x v="2"/>
    <n v="325"/>
    <x v="1"/>
    <n v="5"/>
    <n v="3"/>
    <x v="2"/>
    <n v="2"/>
    <x v="1"/>
    <n v="74"/>
    <n v="3"/>
    <n v="2"/>
    <x v="3"/>
    <n v="1"/>
    <x v="0"/>
    <x v="1343"/>
    <n v="3787"/>
    <n v="0"/>
    <x v="1"/>
    <n v="0.19"/>
    <n v="3"/>
    <n v="2"/>
    <n v="0"/>
    <n v="10"/>
    <n v="2"/>
    <n v="3"/>
    <x v="7"/>
    <n v="4"/>
    <n v="1"/>
    <n v="7"/>
    <x v="1"/>
    <n v="1"/>
    <n v="0"/>
    <n v="0"/>
    <n v="0"/>
    <n v="0"/>
    <n v="1"/>
    <n v="0"/>
    <n v="0"/>
    <n v="4.204533129978131"/>
    <n v="0.14485673308716898"/>
    <x v="2"/>
    <n v="0"/>
  </r>
  <r>
    <x v="1464"/>
    <x v="25"/>
    <x v="0"/>
    <n v="1167"/>
    <x v="0"/>
    <n v="5"/>
    <n v="3"/>
    <x v="1"/>
    <n v="4"/>
    <x v="0"/>
    <n v="30"/>
    <n v="2"/>
    <n v="1"/>
    <x v="6"/>
    <n v="3"/>
    <x v="0"/>
    <x v="1344"/>
    <n v="21378"/>
    <n v="0"/>
    <x v="1"/>
    <n v="0.18"/>
    <n v="3"/>
    <n v="4"/>
    <n v="0"/>
    <n v="5"/>
    <n v="2"/>
    <n v="3"/>
    <x v="9"/>
    <n v="2"/>
    <n v="0"/>
    <n v="0"/>
    <x v="1"/>
    <n v="0"/>
    <n v="1"/>
    <n v="0"/>
    <n v="0"/>
    <n v="0"/>
    <n v="0"/>
    <n v="1"/>
    <n v="0"/>
    <n v="6.4944289374208282"/>
    <n v="0.22374939857982484"/>
    <x v="2"/>
    <n v="0"/>
  </r>
  <r>
    <x v="1465"/>
    <x v="9"/>
    <x v="1"/>
    <n v="884"/>
    <x v="1"/>
    <n v="23"/>
    <n v="2"/>
    <x v="2"/>
    <n v="3"/>
    <x v="1"/>
    <n v="41"/>
    <n v="4"/>
    <n v="2"/>
    <x v="2"/>
    <n v="4"/>
    <x v="1"/>
    <x v="1345"/>
    <n v="12290"/>
    <n v="4"/>
    <x v="1"/>
    <n v="0.17"/>
    <n v="3"/>
    <n v="3"/>
    <n v="1"/>
    <n v="17"/>
    <n v="3"/>
    <n v="3"/>
    <x v="8"/>
    <n v="2"/>
    <n v="0"/>
    <n v="3"/>
    <x v="1"/>
    <n v="1"/>
    <n v="2"/>
    <n v="1"/>
    <n v="0"/>
    <n v="1"/>
    <n v="0"/>
    <n v="1"/>
    <n v="1"/>
    <n v="14.820925613786383"/>
    <n v="0.51061813508702369"/>
    <x v="1"/>
    <n v="3856.5"/>
  </r>
  <r>
    <x v="1466"/>
    <x v="22"/>
    <x v="0"/>
    <n v="613"/>
    <x v="1"/>
    <n v="6"/>
    <n v="1"/>
    <x v="2"/>
    <n v="4"/>
    <x v="1"/>
    <n v="42"/>
    <n v="2"/>
    <n v="3"/>
    <x v="4"/>
    <n v="1"/>
    <x v="1"/>
    <x v="1346"/>
    <n v="21457"/>
    <n v="4"/>
    <x v="1"/>
    <n v="0.15"/>
    <n v="3"/>
    <n v="1"/>
    <n v="1"/>
    <n v="9"/>
    <n v="5"/>
    <n v="3"/>
    <x v="5"/>
    <n v="7"/>
    <n v="1"/>
    <n v="7"/>
    <x v="1"/>
    <n v="1"/>
    <n v="1"/>
    <n v="1"/>
    <n v="0"/>
    <n v="0"/>
    <n v="1"/>
    <n v="0"/>
    <n v="0"/>
    <n v="4.204533129978131"/>
    <n v="0.14485673308716898"/>
    <x v="2"/>
    <n v="0"/>
  </r>
  <r>
    <x v="1467"/>
    <x v="4"/>
    <x v="0"/>
    <n v="155"/>
    <x v="1"/>
    <n v="4"/>
    <n v="3"/>
    <x v="0"/>
    <n v="2"/>
    <x v="1"/>
    <n v="87"/>
    <n v="4"/>
    <n v="2"/>
    <x v="3"/>
    <n v="2"/>
    <x v="1"/>
    <x v="528"/>
    <n v="5174"/>
    <n v="1"/>
    <x v="0"/>
    <n v="0.2"/>
    <n v="4"/>
    <n v="2"/>
    <n v="1"/>
    <n v="6"/>
    <n v="0"/>
    <n v="3"/>
    <x v="0"/>
    <n v="2"/>
    <n v="0"/>
    <n v="3"/>
    <x v="1"/>
    <n v="1"/>
    <n v="1"/>
    <n v="1"/>
    <n v="1"/>
    <n v="0"/>
    <n v="1"/>
    <n v="0"/>
    <n v="0"/>
    <n v="14.204533129978131"/>
    <n v="0.48938186491297625"/>
    <x v="0"/>
    <n v="0"/>
  </r>
  <r>
    <x v="1468"/>
    <x v="1"/>
    <x v="1"/>
    <n v="1023"/>
    <x v="0"/>
    <n v="2"/>
    <n v="3"/>
    <x v="2"/>
    <n v="4"/>
    <x v="1"/>
    <n v="63"/>
    <n v="2"/>
    <n v="2"/>
    <x v="0"/>
    <n v="2"/>
    <x v="1"/>
    <x v="1347"/>
    <n v="13243"/>
    <n v="2"/>
    <x v="1"/>
    <n v="0.14000000000000001"/>
    <n v="3"/>
    <n v="4"/>
    <n v="0"/>
    <n v="17"/>
    <n v="3"/>
    <n v="2"/>
    <x v="7"/>
    <n v="6"/>
    <n v="0"/>
    <n v="8"/>
    <x v="1"/>
    <n v="1"/>
    <n v="2"/>
    <n v="1"/>
    <n v="0"/>
    <n v="0"/>
    <n v="1"/>
    <n v="0"/>
    <n v="1"/>
    <n v="9.3649231104683075"/>
    <n v="0.32264513691726432"/>
    <x v="0"/>
    <n v="0"/>
  </r>
  <r>
    <x v="1469"/>
    <x v="13"/>
    <x v="0"/>
    <n v="628"/>
    <x v="1"/>
    <n v="8"/>
    <n v="3"/>
    <x v="2"/>
    <n v="2"/>
    <x v="1"/>
    <n v="82"/>
    <n v="4"/>
    <n v="2"/>
    <x v="2"/>
    <n v="3"/>
    <x v="1"/>
    <x v="1348"/>
    <n v="10228"/>
    <n v="2"/>
    <x v="1"/>
    <n v="0.12"/>
    <n v="3"/>
    <n v="1"/>
    <n v="0"/>
    <n v="6"/>
    <n v="3"/>
    <n v="4"/>
    <x v="9"/>
    <n v="3"/>
    <n v="1"/>
    <n v="2"/>
    <x v="1"/>
    <n v="1"/>
    <n v="1"/>
    <n v="1"/>
    <n v="0"/>
    <n v="0"/>
    <n v="0"/>
    <n v="1"/>
    <n v="0"/>
    <n v="6.4944289374208282"/>
    <n v="0.22374939857982484"/>
    <x v="2"/>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E56C35-26CA-48FD-9497-DF3457091703}" name="Pivot_Income_Risk"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Income Group">
  <location ref="E20:F29" firstHeaderRow="1" firstDataRow="1" firstDataCol="1"/>
  <pivotFields count="44">
    <pivotField showAll="0"/>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items count="3">
        <item x="0"/>
        <item x="1"/>
        <item t="default"/>
      </items>
    </pivotField>
    <pivotField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9" showAll="0"/>
    <pivotField showAll="0">
      <items count="5">
        <item x="3"/>
        <item x="1"/>
        <item x="2"/>
        <item x="0"/>
        <item t="default"/>
      </items>
    </pivotField>
    <pivotField showAll="0"/>
  </pivotFields>
  <rowFields count="1">
    <field x="16"/>
  </rowFields>
  <rowItems count="9">
    <i>
      <x v="1"/>
    </i>
    <i>
      <x v="2"/>
    </i>
    <i>
      <x v="3"/>
    </i>
    <i>
      <x v="4"/>
    </i>
    <i>
      <x v="5"/>
    </i>
    <i>
      <x v="6"/>
    </i>
    <i>
      <x v="7"/>
    </i>
    <i>
      <x v="8"/>
    </i>
    <i t="grand">
      <x/>
    </i>
  </rowItems>
  <colItems count="1">
    <i/>
  </colItems>
  <dataFields count="1">
    <dataField name="Average of Attrition_Risk_Percentage" fld="41" subtotal="average" baseField="0" baseItem="1" numFmtId="9"/>
  </dataFields>
  <chartFormats count="2">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6A584D-A27A-4661-AAF0-10EF67406FAE}" name="PivotTable12" cacheId="0"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8:U16" firstHeaderRow="1" firstDataRow="3" firstDataCol="1"/>
  <pivotFields count="44">
    <pivotField dataField="1" showAll="0"/>
    <pivotField axis="axisRow" showAll="0">
      <items count="8">
        <item x="0"/>
        <item x="1"/>
        <item x="2"/>
        <item x="3"/>
        <item x="4"/>
        <item x="5"/>
        <item x="6"/>
        <item t="default"/>
      </items>
    </pivotField>
    <pivotField showAll="0"/>
    <pivotField showAll="0"/>
    <pivotField axis="axisCol"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9" showAll="0"/>
    <pivotField showAll="0"/>
    <pivotField showAll="0"/>
  </pivotFields>
  <rowFields count="1">
    <field x="1"/>
  </rowFields>
  <rowItems count="6">
    <i>
      <x v="1"/>
    </i>
    <i>
      <x v="2"/>
    </i>
    <i>
      <x v="3"/>
    </i>
    <i>
      <x v="4"/>
    </i>
    <i>
      <x v="5"/>
    </i>
    <i t="grand">
      <x/>
    </i>
  </rowItems>
  <colFields count="2">
    <field x="-2"/>
    <field x="4"/>
  </colFields>
  <colItems count="8">
    <i>
      <x/>
      <x/>
    </i>
    <i r="1">
      <x v="1"/>
    </i>
    <i r="1">
      <x v="2"/>
    </i>
    <i i="1">
      <x v="1"/>
      <x/>
    </i>
    <i r="1" i="1">
      <x v="1"/>
    </i>
    <i r="1" i="1">
      <x v="2"/>
    </i>
    <i t="grand">
      <x/>
    </i>
    <i t="grand" i="1">
      <x/>
    </i>
  </colItems>
  <dataFields count="2">
    <dataField name="Count of EmployeeID" fld="0" subtotal="count" showDataAs="percentOfCol" baseField="1" baseItem="1" numFmtId="10"/>
    <dataField name="Average of Attrition_Risk_Percentage" fld="41" subtotal="average" baseField="1" baseItem="1"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087077-9B43-461D-962A-6960E9C50AD1}" name="Pivot_Watchlist"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rowHeaderCaption="Employee ID">
  <location ref="I33:L44" firstHeaderRow="0" firstDataRow="1" firstDataCol="2" rowPageCount="2" colPageCount="1"/>
  <pivotFields count="44">
    <pivotField name="Employee ID" axis="axisRow" compact="0" outline="0" showAll="0" measureFilter="1" defaultSubtotal="0">
      <items count="1470">
        <item x="694"/>
        <item x="938"/>
        <item x="728"/>
        <item x="1196"/>
        <item x="1216"/>
        <item x="1095"/>
        <item x="580"/>
        <item x="1402"/>
        <item x="1118"/>
        <item x="1376"/>
        <item x="1065"/>
        <item x="281"/>
        <item x="625"/>
        <item x="1225"/>
        <item x="579"/>
        <item x="187"/>
        <item x="89"/>
        <item x="933"/>
        <item x="246"/>
        <item x="477"/>
        <item x="54"/>
        <item x="2"/>
        <item x="1144"/>
        <item x="1152"/>
        <item x="180"/>
        <item x="876"/>
        <item x="1251"/>
        <item x="1224"/>
        <item x="731"/>
        <item x="1439"/>
        <item x="110"/>
        <item x="1091"/>
        <item x="314"/>
        <item x="915"/>
        <item x="117"/>
        <item x="317"/>
        <item x="512"/>
        <item x="518"/>
        <item x="1"/>
        <item x="306"/>
        <item x="1233"/>
        <item x="19"/>
        <item x="12"/>
        <item x="21"/>
        <item x="1050"/>
        <item x="843"/>
        <item x="596"/>
        <item x="461"/>
        <item x="27"/>
        <item x="196"/>
        <item x="1211"/>
        <item x="358"/>
        <item x="1008"/>
        <item x="197"/>
        <item x="256"/>
        <item x="1141"/>
        <item x="1105"/>
        <item x="1369"/>
        <item x="183"/>
        <item x="416"/>
        <item x="505"/>
        <item x="160"/>
        <item x="702"/>
        <item x="858"/>
        <item x="805"/>
        <item x="169"/>
        <item x="1015"/>
        <item x="847"/>
        <item x="168"/>
        <item x="1252"/>
        <item x="257"/>
        <item x="161"/>
        <item x="711"/>
        <item x="220"/>
        <item x="91"/>
        <item x="324"/>
        <item x="821"/>
        <item x="1364"/>
        <item x="628"/>
        <item x="783"/>
        <item x="23"/>
        <item x="922"/>
        <item x="937"/>
        <item x="951"/>
        <item x="704"/>
        <item x="226"/>
        <item x="1159"/>
        <item x="172"/>
        <item x="1378"/>
        <item x="1342"/>
        <item x="63"/>
        <item x="532"/>
        <item x="370"/>
        <item x="651"/>
        <item x="835"/>
        <item x="1282"/>
        <item x="26"/>
        <item x="444"/>
        <item x="474"/>
        <item x="747"/>
        <item x="1066"/>
        <item x="25"/>
        <item x="1335"/>
        <item x="962"/>
        <item x="327"/>
        <item x="261"/>
        <item x="52"/>
        <item x="595"/>
        <item x="575"/>
        <item x="18"/>
        <item x="166"/>
        <item x="767"/>
        <item x="1328"/>
        <item x="853"/>
        <item x="784"/>
        <item x="1290"/>
        <item x="96"/>
        <item x="283"/>
        <item x="1229"/>
        <item x="1401"/>
        <item x="992"/>
        <item x="817"/>
        <item x="192"/>
        <item x="242"/>
        <item x="1341"/>
        <item x="72"/>
        <item x="1396"/>
        <item x="795"/>
        <item x="356"/>
        <item x="1201"/>
        <item x="144"/>
        <item x="1139"/>
        <item x="785"/>
        <item x="1338"/>
        <item x="1267"/>
        <item x="462"/>
        <item x="1207"/>
        <item x="44"/>
        <item x="315"/>
        <item x="1283"/>
        <item x="128"/>
        <item x="533"/>
        <item x="1448"/>
        <item x="1193"/>
        <item x="1184"/>
        <item x="1444"/>
        <item x="551"/>
        <item x="1430"/>
        <item x="1377"/>
        <item x="16"/>
        <item x="493"/>
        <item x="1416"/>
        <item x="756"/>
        <item x="902"/>
        <item x="390"/>
        <item x="1268"/>
        <item x="819"/>
        <item x="810"/>
        <item x="1453"/>
        <item x="653"/>
        <item x="1391"/>
        <item x="1385"/>
        <item x="1131"/>
        <item x="470"/>
        <item x="952"/>
        <item x="320"/>
        <item x="1133"/>
        <item x="1033"/>
        <item x="1319"/>
        <item x="1350"/>
        <item x="975"/>
        <item x="119"/>
        <item x="529"/>
        <item x="1410"/>
        <item x="1271"/>
        <item x="460"/>
        <item x="439"/>
        <item x="907"/>
        <item x="797"/>
        <item x="861"/>
        <item x="547"/>
        <item x="35"/>
        <item x="1241"/>
        <item x="131"/>
        <item x="36"/>
        <item x="1299"/>
        <item x="1240"/>
        <item x="280"/>
        <item x="657"/>
        <item x="549"/>
        <item x="1269"/>
        <item x="813"/>
        <item x="65"/>
        <item x="646"/>
        <item x="1468"/>
        <item x="719"/>
        <item x="80"/>
        <item x="1262"/>
        <item x="422"/>
        <item x="592"/>
        <item x="775"/>
        <item x="415"/>
        <item x="857"/>
        <item x="1009"/>
        <item x="354"/>
        <item x="469"/>
        <item x="1242"/>
        <item x="466"/>
        <item x="251"/>
        <item x="273"/>
        <item x="862"/>
        <item x="695"/>
        <item x="1281"/>
        <item x="1100"/>
        <item x="812"/>
        <item x="1022"/>
        <item x="1407"/>
        <item x="733"/>
        <item x="1367"/>
        <item x="1194"/>
        <item x="865"/>
        <item x="171"/>
        <item x="639"/>
        <item x="886"/>
        <item x="295"/>
        <item x="1355"/>
        <item x="1027"/>
        <item x="189"/>
        <item x="502"/>
        <item x="890"/>
        <item x="667"/>
        <item x="1253"/>
        <item x="927"/>
        <item x="193"/>
        <item x="854"/>
        <item x="792"/>
        <item x="97"/>
        <item x="285"/>
        <item x="998"/>
        <item x="603"/>
        <item x="1371"/>
        <item x="1220"/>
        <item x="491"/>
        <item x="216"/>
        <item x="1306"/>
        <item x="934"/>
        <item x="1389"/>
        <item x="946"/>
        <item x="825"/>
        <item x="1205"/>
        <item x="640"/>
        <item x="1447"/>
        <item x="1254"/>
        <item x="386"/>
        <item x="1128"/>
        <item x="926"/>
        <item x="485"/>
        <item x="845"/>
        <item x="984"/>
        <item x="162"/>
        <item x="1028"/>
        <item x="127"/>
        <item x="616"/>
        <item x="24"/>
        <item x="725"/>
        <item x="302"/>
        <item x="450"/>
        <item x="102"/>
        <item x="235"/>
        <item x="959"/>
        <item x="223"/>
        <item x="1169"/>
        <item x="427"/>
        <item x="1130"/>
        <item x="156"/>
        <item x="1054"/>
        <item x="438"/>
        <item x="483"/>
        <item x="828"/>
        <item x="332"/>
        <item x="1092"/>
        <item x="1026"/>
        <item x="681"/>
        <item x="57"/>
        <item x="720"/>
        <item x="152"/>
        <item x="298"/>
        <item x="1215"/>
        <item x="205"/>
        <item x="1083"/>
        <item x="1368"/>
        <item x="987"/>
        <item x="1405"/>
        <item x="1013"/>
        <item x="1088"/>
        <item x="1318"/>
        <item x="426"/>
        <item x="243"/>
        <item x="191"/>
        <item x="1072"/>
        <item x="686"/>
        <item x="988"/>
        <item x="677"/>
        <item x="1097"/>
        <item x="229"/>
        <item x="700"/>
        <item x="300"/>
        <item x="374"/>
        <item x="1138"/>
        <item x="28"/>
        <item x="488"/>
        <item x="665"/>
        <item x="586"/>
        <item x="1052"/>
        <item x="526"/>
        <item x="809"/>
        <item x="660"/>
        <item x="1017"/>
        <item x="804"/>
        <item x="310"/>
        <item x="454"/>
        <item x="829"/>
        <item x="1150"/>
        <item x="328"/>
        <item x="1125"/>
        <item x="15"/>
        <item x="670"/>
        <item x="1466"/>
        <item x="895"/>
        <item x="1393"/>
        <item x="896"/>
        <item x="1406"/>
        <item x="501"/>
        <item x="618"/>
        <item x="537"/>
        <item x="1313"/>
        <item x="308"/>
        <item x="30"/>
        <item x="960"/>
        <item x="254"/>
        <item x="472"/>
        <item x="1304"/>
        <item x="1234"/>
        <item x="631"/>
        <item x="957"/>
        <item x="411"/>
        <item x="1041"/>
        <item x="1020"/>
        <item x="264"/>
        <item x="1048"/>
        <item x="495"/>
        <item x="673"/>
        <item x="649"/>
        <item x="1079"/>
        <item x="182"/>
        <item x="414"/>
        <item x="403"/>
        <item x="362"/>
        <item x="73"/>
        <item x="82"/>
        <item x="1375"/>
        <item x="373"/>
        <item x="195"/>
        <item x="143"/>
        <item x="1124"/>
        <item x="754"/>
        <item x="321"/>
        <item x="278"/>
        <item x="1257"/>
        <item x="1056"/>
        <item x="674"/>
        <item x="1061"/>
        <item x="982"/>
        <item x="448"/>
        <item x="42"/>
        <item x="1034"/>
        <item x="969"/>
        <item x="138"/>
        <item x="1336"/>
        <item x="519"/>
        <item x="342"/>
        <item x="546"/>
        <item x="1237"/>
        <item x="247"/>
        <item x="940"/>
        <item x="1339"/>
        <item x="13"/>
        <item x="41"/>
        <item x="1086"/>
        <item x="64"/>
        <item x="14"/>
        <item x="1029"/>
        <item x="942"/>
        <item x="1394"/>
        <item x="62"/>
        <item x="1323"/>
        <item x="1119"/>
        <item x="1333"/>
        <item x="508"/>
        <item x="1000"/>
        <item x="210"/>
        <item x="178"/>
        <item x="402"/>
        <item x="967"/>
        <item x="914"/>
        <item x="1166"/>
        <item x="164"/>
        <item x="849"/>
        <item x="227"/>
        <item x="531"/>
        <item x="808"/>
        <item x="867"/>
        <item x="642"/>
        <item x="198"/>
        <item x="1414"/>
        <item x="1228"/>
        <item x="112"/>
        <item x="85"/>
        <item x="949"/>
        <item x="153"/>
        <item x="619"/>
        <item x="556"/>
        <item x="464"/>
        <item x="369"/>
        <item x="995"/>
        <item x="447"/>
        <item x="866"/>
        <item x="1322"/>
        <item x="841"/>
        <item x="604"/>
        <item x="481"/>
        <item x="375"/>
        <item x="846"/>
        <item x="1018"/>
        <item x="570"/>
        <item x="1195"/>
        <item x="993"/>
        <item x="115"/>
        <item x="312"/>
        <item x="413"/>
        <item x="1372"/>
        <item x="611"/>
        <item x="860"/>
        <item x="214"/>
        <item x="661"/>
        <item x="635"/>
        <item x="1296"/>
        <item x="1191"/>
        <item x="1003"/>
        <item x="1089"/>
        <item x="1433"/>
        <item x="1177"/>
        <item x="509"/>
        <item x="1069"/>
        <item x="307"/>
        <item x="742"/>
        <item x="259"/>
        <item x="245"/>
        <item x="498"/>
        <item x="1451"/>
        <item x="662"/>
        <item x="1345"/>
        <item x="1011"/>
        <item x="966"/>
        <item x="1343"/>
        <item x="120"/>
        <item x="1006"/>
        <item x="293"/>
        <item x="535"/>
        <item x="184"/>
        <item x="954"/>
        <item x="1356"/>
        <item x="209"/>
        <item x="4"/>
        <item x="1162"/>
        <item x="964"/>
        <item x="734"/>
        <item x="1235"/>
        <item x="1007"/>
        <item x="1344"/>
        <item x="780"/>
        <item x="955"/>
        <item x="869"/>
        <item x="1415"/>
        <item x="898"/>
        <item x="496"/>
        <item x="1102"/>
        <item x="540"/>
        <item x="294"/>
        <item x="1167"/>
        <item x="520"/>
        <item x="750"/>
        <item x="383"/>
        <item x="9"/>
        <item x="802"/>
        <item x="1136"/>
        <item x="1464"/>
        <item x="1168"/>
        <item x="136"/>
        <item x="1435"/>
        <item x="1249"/>
        <item x="737"/>
        <item x="688"/>
        <item x="974"/>
        <item x="528"/>
        <item x="899"/>
        <item x="175"/>
        <item x="126"/>
        <item x="67"/>
        <item x="870"/>
        <item x="1320"/>
        <item x="1134"/>
        <item x="271"/>
        <item x="442"/>
        <item x="771"/>
        <item x="684"/>
        <item x="292"/>
        <item x="1403"/>
        <item x="382"/>
        <item x="882"/>
        <item x="1259"/>
        <item x="1137"/>
        <item x="796"/>
        <item x="139"/>
        <item x="703"/>
        <item x="973"/>
        <item x="1053"/>
        <item x="384"/>
        <item x="1442"/>
        <item x="777"/>
        <item x="806"/>
        <item x="476"/>
        <item x="1012"/>
        <item x="1090"/>
        <item x="100"/>
        <item x="334"/>
        <item x="1279"/>
        <item x="1046"/>
        <item x="88"/>
        <item x="648"/>
        <item x="409"/>
        <item x="593"/>
        <item x="1245"/>
        <item x="584"/>
        <item x="730"/>
        <item x="1156"/>
        <item x="522"/>
        <item x="92"/>
        <item x="1076"/>
        <item x="75"/>
        <item x="146"/>
        <item x="1014"/>
        <item x="874"/>
        <item x="683"/>
        <item x="1213"/>
        <item x="587"/>
        <item x="970"/>
        <item x="996"/>
        <item x="20"/>
        <item x="237"/>
        <item x="263"/>
        <item x="1004"/>
        <item x="39"/>
        <item x="647"/>
        <item x="309"/>
        <item x="1275"/>
        <item x="999"/>
        <item x="177"/>
        <item x="430"/>
        <item x="697"/>
        <item x="947"/>
        <item x="489"/>
        <item x="49"/>
        <item x="1366"/>
        <item x="918"/>
        <item x="1314"/>
        <item x="944"/>
        <item x="98"/>
        <item x="465"/>
        <item x="478"/>
        <item x="572"/>
        <item x="437"/>
        <item x="968"/>
        <item x="29"/>
        <item x="355"/>
        <item x="352"/>
        <item x="1135"/>
        <item x="361"/>
        <item x="598"/>
        <item x="1174"/>
        <item x="1114"/>
        <item x="194"/>
        <item x="239"/>
        <item x="379"/>
        <item x="457"/>
        <item x="1469"/>
        <item x="976"/>
        <item x="8"/>
        <item x="1284"/>
        <item x="66"/>
        <item x="436"/>
        <item x="337"/>
        <item x="693"/>
        <item x="346"/>
        <item x="1025"/>
        <item x="452"/>
        <item x="543"/>
        <item x="1129"/>
        <item x="503"/>
        <item x="151"/>
        <item x="351"/>
        <item x="663"/>
        <item x="864"/>
        <item x="329"/>
        <item x="863"/>
        <item x="879"/>
        <item x="17"/>
        <item x="1302"/>
        <item x="1413"/>
        <item x="203"/>
        <item x="675"/>
        <item x="1325"/>
        <item x="924"/>
        <item x="266"/>
        <item x="597"/>
        <item x="577"/>
        <item x="842"/>
        <item x="941"/>
        <item x="301"/>
        <item x="1381"/>
        <item x="179"/>
        <item x="726"/>
        <item x="539"/>
        <item x="1084"/>
        <item x="645"/>
        <item x="714"/>
        <item x="553"/>
        <item x="376"/>
        <item x="1179"/>
        <item x="931"/>
        <item x="185"/>
        <item x="381"/>
        <item x="723"/>
        <item x="850"/>
        <item x="1047"/>
        <item x="1171"/>
        <item x="208"/>
        <item x="559"/>
        <item x="1219"/>
        <item x="762"/>
        <item x="350"/>
        <item x="827"/>
        <item x="873"/>
        <item x="31"/>
        <item x="897"/>
        <item x="240"/>
        <item x="1142"/>
        <item x="978"/>
        <item x="1298"/>
        <item x="689"/>
        <item x="3"/>
        <item x="939"/>
        <item x="1099"/>
        <item x="822"/>
        <item x="400"/>
        <item x="1146"/>
        <item x="455"/>
        <item x="724"/>
        <item x="125"/>
        <item x="892"/>
        <item x="149"/>
        <item x="150"/>
        <item x="284"/>
        <item x="637"/>
        <item x="141"/>
        <item x="643"/>
        <item x="46"/>
        <item x="213"/>
        <item x="799"/>
        <item x="449"/>
        <item x="330"/>
        <item x="909"/>
        <item x="1434"/>
        <item x="1287"/>
        <item x="419"/>
        <item x="1032"/>
        <item x="698"/>
        <item x="1153"/>
        <item x="1383"/>
        <item x="252"/>
        <item x="839"/>
        <item x="147"/>
        <item x="348"/>
        <item x="11"/>
        <item x="826"/>
        <item x="961"/>
        <item x="989"/>
        <item x="1108"/>
        <item x="1122"/>
        <item x="629"/>
        <item x="1085"/>
        <item x="1347"/>
        <item x="1352"/>
        <item x="620"/>
        <item x="811"/>
        <item x="155"/>
        <item x="803"/>
        <item x="1357"/>
        <item x="304"/>
        <item x="188"/>
        <item x="33"/>
        <item x="1155"/>
        <item x="170"/>
        <item x="1204"/>
        <item x="106"/>
        <item x="963"/>
        <item x="1365"/>
        <item x="1051"/>
        <item x="920"/>
        <item x="289"/>
        <item x="1446"/>
        <item x="377"/>
        <item x="638"/>
        <item x="837"/>
        <item x="738"/>
        <item x="1428"/>
        <item x="903"/>
        <item x="658"/>
        <item x="1329"/>
        <item x="1110"/>
        <item x="981"/>
        <item x="83"/>
        <item x="238"/>
        <item x="218"/>
        <item x="945"/>
        <item x="176"/>
        <item x="671"/>
        <item x="615"/>
        <item x="721"/>
        <item x="10"/>
        <item x="834"/>
        <item x="222"/>
        <item x="228"/>
        <item x="130"/>
        <item x="335"/>
        <item x="1230"/>
        <item x="1002"/>
        <item x="921"/>
        <item x="241"/>
        <item x="979"/>
        <item x="1098"/>
        <item x="1420"/>
        <item x="275"/>
        <item x="722"/>
        <item x="349"/>
        <item x="387"/>
        <item x="678"/>
        <item x="417"/>
        <item x="1182"/>
        <item x="718"/>
        <item x="456"/>
        <item x="1309"/>
        <item x="490"/>
        <item x="1057"/>
        <item x="1340"/>
        <item x="1145"/>
        <item x="606"/>
        <item x="1457"/>
        <item x="936"/>
        <item x="1087"/>
        <item x="1373"/>
        <item x="729"/>
        <item x="1223"/>
        <item x="1418"/>
        <item x="445"/>
        <item x="1104"/>
        <item x="113"/>
        <item x="717"/>
        <item x="1132"/>
        <item x="807"/>
        <item x="1360"/>
        <item x="434"/>
        <item x="468"/>
        <item x="1170"/>
        <item x="446"/>
        <item x="1305"/>
        <item x="1178"/>
        <item x="609"/>
        <item x="1005"/>
        <item x="1353"/>
        <item x="701"/>
        <item x="249"/>
        <item x="1024"/>
        <item x="1277"/>
        <item x="55"/>
        <item x="1440"/>
        <item x="607"/>
        <item x="99"/>
        <item x="159"/>
        <item x="378"/>
        <item x="1398"/>
        <item x="617"/>
        <item x="794"/>
        <item x="69"/>
        <item x="1121"/>
        <item x="1019"/>
        <item x="514"/>
        <item x="94"/>
        <item x="506"/>
        <item x="716"/>
        <item x="613"/>
        <item x="561"/>
        <item x="48"/>
        <item x="1147"/>
        <item x="1260"/>
        <item x="207"/>
        <item x="1432"/>
        <item x="1417"/>
        <item x="1080"/>
        <item x="1217"/>
        <item x="1206"/>
        <item x="313"/>
        <item x="1411"/>
        <item x="394"/>
        <item x="410"/>
        <item x="316"/>
        <item x="360"/>
        <item x="1316"/>
        <item x="1016"/>
        <item x="1445"/>
        <item x="773"/>
        <item x="38"/>
        <item x="399"/>
        <item x="1374"/>
        <item x="1187"/>
        <item x="1334"/>
        <item x="299"/>
        <item x="1181"/>
        <item x="1425"/>
        <item x="758"/>
        <item x="202"/>
        <item x="1311"/>
        <item x="823"/>
        <item x="0"/>
        <item x="1148"/>
        <item x="1400"/>
        <item x="1307"/>
        <item x="655"/>
        <item x="1359"/>
        <item x="50"/>
        <item x="56"/>
        <item x="211"/>
        <item x="601"/>
        <item x="68"/>
        <item x="1063"/>
        <item x="380"/>
        <item x="1023"/>
        <item x="588"/>
        <item x="1270"/>
        <item x="1310"/>
        <item x="1324"/>
        <item x="669"/>
        <item x="801"/>
        <item x="757"/>
        <item x="656"/>
        <item x="200"/>
        <item x="236"/>
        <item x="1404"/>
        <item x="389"/>
        <item x="148"/>
        <item x="654"/>
        <item x="735"/>
        <item x="659"/>
        <item x="1055"/>
        <item x="1458"/>
        <item x="573"/>
        <item x="548"/>
        <item x="692"/>
        <item x="338"/>
        <item x="395"/>
        <item x="868"/>
        <item x="1392"/>
        <item x="510"/>
        <item x="583"/>
        <item x="347"/>
        <item x="908"/>
        <item x="772"/>
        <item x="624"/>
        <item x="552"/>
        <item x="34"/>
        <item x="142"/>
        <item x="1380"/>
        <item x="215"/>
        <item x="1172"/>
        <item x="1183"/>
        <item x="262"/>
        <item x="566"/>
        <item x="1272"/>
        <item x="1160"/>
        <item x="1370"/>
        <item x="712"/>
        <item x="1154"/>
        <item x="1073"/>
        <item x="650"/>
        <item x="1036"/>
        <item x="1263"/>
        <item x="297"/>
        <item x="1176"/>
        <item x="1450"/>
        <item x="1332"/>
        <item x="1256"/>
        <item x="1067"/>
        <item x="1140"/>
        <item x="600"/>
        <item x="759"/>
        <item x="932"/>
        <item x="713"/>
        <item x="484"/>
        <item x="118"/>
        <item x="517"/>
        <item x="1117"/>
        <item x="1452"/>
        <item x="1165"/>
        <item x="486"/>
        <item x="305"/>
        <item x="818"/>
        <item x="1210"/>
        <item x="760"/>
        <item x="504"/>
        <item x="744"/>
        <item x="544"/>
        <item x="1454"/>
        <item x="133"/>
        <item x="1326"/>
        <item x="793"/>
        <item x="554"/>
        <item x="1094"/>
        <item x="1031"/>
        <item x="269"/>
        <item x="838"/>
        <item x="1273"/>
        <item x="121"/>
        <item x="1278"/>
        <item x="58"/>
        <item x="1227"/>
        <item x="1419"/>
        <item x="32"/>
        <item x="37"/>
        <item x="1437"/>
        <item x="1157"/>
        <item x="396"/>
        <item x="232"/>
        <item x="1363"/>
        <item x="1103"/>
        <item x="363"/>
        <item x="929"/>
        <item x="622"/>
        <item x="788"/>
        <item x="623"/>
        <item x="1294"/>
        <item x="736"/>
        <item x="1321"/>
        <item x="875"/>
        <item x="248"/>
        <item x="1197"/>
        <item x="1186"/>
        <item x="980"/>
        <item x="943"/>
        <item x="201"/>
        <item x="664"/>
        <item x="412"/>
        <item x="393"/>
        <item x="887"/>
        <item x="1255"/>
        <item x="406"/>
        <item x="1021"/>
        <item x="186"/>
        <item x="500"/>
        <item x="407"/>
        <item x="336"/>
        <item x="1222"/>
        <item x="433"/>
        <item x="274"/>
        <item x="852"/>
        <item x="1409"/>
        <item x="787"/>
        <item x="859"/>
        <item x="87"/>
        <item x="267"/>
        <item x="1291"/>
        <item x="589"/>
        <item x="397"/>
        <item x="1231"/>
        <item x="636"/>
        <item x="912"/>
        <item x="459"/>
        <item x="1151"/>
        <item x="322"/>
        <item x="1112"/>
        <item x="1175"/>
        <item x="365"/>
        <item x="1362"/>
        <item x="440"/>
        <item x="1346"/>
        <item x="877"/>
        <item x="781"/>
        <item x="732"/>
        <item x="696"/>
        <item x="1427"/>
        <item x="340"/>
        <item x="928"/>
        <item x="424"/>
        <item x="333"/>
        <item x="1247"/>
        <item x="497"/>
        <item x="676"/>
        <item x="1436"/>
        <item x="331"/>
        <item x="630"/>
        <item x="318"/>
        <item x="1221"/>
        <item x="894"/>
        <item x="494"/>
        <item x="255"/>
        <item x="471"/>
        <item x="1082"/>
        <item x="1463"/>
        <item x="515"/>
        <item x="1293"/>
        <item x="990"/>
        <item x="1243"/>
        <item x="1001"/>
        <item x="398"/>
        <item x="372"/>
        <item x="107"/>
        <item x="699"/>
        <item x="830"/>
        <item x="1188"/>
        <item x="1330"/>
        <item x="768"/>
        <item x="1387"/>
        <item x="778"/>
        <item x="296"/>
        <item x="1200"/>
        <item x="1250"/>
        <item x="824"/>
        <item x="612"/>
        <item x="536"/>
        <item x="1386"/>
        <item x="1238"/>
        <item x="154"/>
        <item x="499"/>
        <item x="59"/>
        <item x="538"/>
        <item x="527"/>
        <item x="708"/>
        <item x="691"/>
        <item x="467"/>
        <item x="425"/>
        <item x="76"/>
        <item x="1189"/>
        <item x="134"/>
        <item x="911"/>
        <item x="135"/>
        <item x="366"/>
        <item x="45"/>
        <item x="1143"/>
        <item x="774"/>
        <item x="965"/>
        <item x="95"/>
        <item x="111"/>
        <item x="764"/>
        <item x="303"/>
        <item x="831"/>
        <item x="123"/>
        <item x="1438"/>
        <item x="1190"/>
        <item x="878"/>
        <item x="244"/>
        <item x="679"/>
        <item x="1059"/>
        <item x="1460"/>
        <item x="1075"/>
        <item x="997"/>
        <item x="1209"/>
        <item x="1239"/>
        <item x="86"/>
        <item x="428"/>
        <item x="260"/>
        <item x="666"/>
        <item x="690"/>
        <item x="1164"/>
        <item x="1246"/>
        <item x="7"/>
        <item x="1071"/>
        <item x="1039"/>
        <item x="1331"/>
        <item x="1351"/>
        <item x="1248"/>
        <item x="558"/>
        <item x="513"/>
        <item x="479"/>
        <item x="1107"/>
        <item x="1382"/>
        <item x="157"/>
        <item x="1093"/>
        <item x="231"/>
        <item x="1101"/>
        <item x="1421"/>
        <item x="282"/>
        <item x="1443"/>
        <item x="435"/>
        <item x="114"/>
        <item x="408"/>
        <item x="1030"/>
        <item x="599"/>
        <item x="727"/>
        <item x="401"/>
        <item x="1276"/>
        <item x="286"/>
        <item x="855"/>
        <item x="746"/>
        <item x="1070"/>
        <item x="844"/>
        <item x="1455"/>
        <item x="782"/>
        <item x="581"/>
        <item x="1280"/>
        <item x="1111"/>
        <item x="1292"/>
        <item x="1348"/>
        <item x="950"/>
        <item x="1203"/>
        <item x="463"/>
        <item x="1198"/>
        <item x="1120"/>
        <item x="626"/>
        <item x="288"/>
        <item x="574"/>
        <item x="707"/>
        <item x="682"/>
        <item x="1261"/>
        <item x="1037"/>
        <item x="555"/>
        <item x="71"/>
        <item x="1158"/>
        <item x="290"/>
        <item x="542"/>
        <item x="1317"/>
        <item x="1354"/>
        <item x="279"/>
        <item x="84"/>
        <item x="40"/>
        <item x="1212"/>
        <item x="103"/>
        <item x="1232"/>
        <item x="605"/>
        <item x="1113"/>
        <item x="1300"/>
        <item x="930"/>
        <item x="1399"/>
        <item x="272"/>
        <item x="590"/>
        <item x="800"/>
        <item x="1285"/>
        <item x="475"/>
        <item x="905"/>
        <item x="443"/>
        <item x="881"/>
        <item x="1431"/>
        <item x="233"/>
        <item x="1303"/>
        <item x="1068"/>
        <item x="856"/>
        <item x="530"/>
        <item x="568"/>
        <item x="421"/>
        <item x="602"/>
        <item x="790"/>
        <item x="524"/>
        <item x="137"/>
        <item x="277"/>
        <item x="204"/>
        <item x="79"/>
        <item x="739"/>
        <item x="221"/>
        <item x="769"/>
        <item x="368"/>
        <item x="610"/>
        <item x="51"/>
        <item x="1337"/>
        <item x="90"/>
        <item x="1044"/>
        <item x="1040"/>
        <item x="480"/>
        <item x="985"/>
        <item x="291"/>
        <item x="582"/>
        <item x="47"/>
        <item x="224"/>
        <item x="1308"/>
        <item x="60"/>
        <item x="1192"/>
        <item x="904"/>
        <item x="516"/>
        <item x="770"/>
        <item x="751"/>
        <item x="900"/>
        <item x="81"/>
        <item x="319"/>
        <item x="1081"/>
        <item x="1288"/>
        <item x="1361"/>
        <item x="576"/>
        <item x="132"/>
        <item x="958"/>
        <item x="165"/>
        <item x="715"/>
        <item x="230"/>
        <item x="1077"/>
        <item x="353"/>
        <item x="779"/>
        <item x="569"/>
        <item x="1266"/>
        <item x="325"/>
        <item x="391"/>
        <item x="343"/>
        <item x="1058"/>
        <item x="473"/>
        <item x="1379"/>
        <item x="917"/>
        <item x="1423"/>
        <item x="492"/>
        <item x="339"/>
        <item x="1424"/>
        <item x="633"/>
        <item x="345"/>
        <item x="1035"/>
        <item x="53"/>
        <item x="93"/>
        <item x="680"/>
        <item x="1459"/>
        <item x="367"/>
        <item x="1388"/>
        <item x="326"/>
        <item x="791"/>
        <item x="1038"/>
        <item x="388"/>
        <item x="1462"/>
        <item x="901"/>
        <item x="429"/>
        <item x="786"/>
        <item x="755"/>
        <item x="1045"/>
        <item x="6"/>
        <item x="158"/>
        <item x="893"/>
        <item x="1126"/>
        <item x="1349"/>
        <item x="108"/>
        <item x="798"/>
        <item x="344"/>
        <item x="906"/>
        <item x="632"/>
        <item x="925"/>
        <item x="451"/>
        <item x="916"/>
        <item x="364"/>
        <item x="644"/>
        <item x="1185"/>
        <item x="1312"/>
        <item x="392"/>
        <item x="833"/>
        <item x="567"/>
        <item x="627"/>
        <item x="991"/>
        <item x="190"/>
        <item x="1062"/>
        <item x="206"/>
        <item x="789"/>
        <item x="550"/>
        <item x="311"/>
        <item x="1149"/>
        <item x="234"/>
        <item x="1327"/>
        <item x="919"/>
        <item x="668"/>
        <item x="621"/>
        <item x="1064"/>
        <item x="948"/>
        <item x="404"/>
        <item x="913"/>
        <item x="761"/>
        <item x="1163"/>
        <item x="971"/>
        <item x="116"/>
        <item x="253"/>
        <item x="820"/>
        <item x="77"/>
        <item x="571"/>
        <item x="591"/>
        <item x="1208"/>
        <item x="1265"/>
        <item x="672"/>
        <item x="840"/>
        <item x="1384"/>
        <item x="61"/>
        <item x="507"/>
        <item x="212"/>
        <item x="560"/>
        <item x="173"/>
        <item x="1078"/>
        <item x="341"/>
        <item x="1422"/>
        <item x="956"/>
        <item x="124"/>
        <item x="167"/>
        <item x="910"/>
        <item x="70"/>
        <item x="705"/>
        <item x="405"/>
        <item x="441"/>
        <item x="972"/>
        <item x="1358"/>
        <item x="814"/>
        <item x="562"/>
        <item x="258"/>
        <item x="608"/>
        <item x="994"/>
        <item x="357"/>
        <item x="420"/>
        <item x="709"/>
        <item x="848"/>
        <item x="1264"/>
        <item x="199"/>
        <item x="953"/>
        <item x="578"/>
        <item x="1010"/>
        <item x="109"/>
        <item x="423"/>
        <item x="557"/>
        <item x="766"/>
        <item x="1127"/>
        <item x="585"/>
        <item x="1049"/>
        <item x="776"/>
        <item x="891"/>
        <item x="545"/>
        <item x="101"/>
        <item x="872"/>
        <item x="1123"/>
        <item x="1218"/>
        <item x="753"/>
        <item x="22"/>
        <item x="1397"/>
        <item x="884"/>
        <item x="1199"/>
        <item x="1236"/>
        <item x="1258"/>
        <item x="1426"/>
        <item x="1301"/>
        <item x="453"/>
        <item x="432"/>
        <item x="225"/>
        <item x="323"/>
        <item x="563"/>
        <item x="1467"/>
        <item x="181"/>
        <item x="1295"/>
        <item x="1274"/>
        <item x="276"/>
        <item x="163"/>
        <item x="983"/>
        <item x="287"/>
        <item x="371"/>
        <item x="140"/>
        <item x="986"/>
        <item x="1226"/>
        <item x="1202"/>
        <item x="219"/>
        <item x="749"/>
        <item x="687"/>
        <item x="525"/>
        <item x="431"/>
        <item x="487"/>
        <item x="1074"/>
        <item x="511"/>
        <item x="1286"/>
        <item x="78"/>
        <item x="105"/>
        <item x="634"/>
        <item x="43"/>
        <item x="122"/>
        <item x="652"/>
        <item x="880"/>
        <item x="145"/>
        <item x="458"/>
        <item x="1408"/>
        <item x="104"/>
        <item x="217"/>
        <item x="250"/>
        <item x="614"/>
        <item x="521"/>
        <item x="815"/>
        <item x="74"/>
        <item x="1180"/>
        <item x="1106"/>
        <item x="1429"/>
        <item x="418"/>
        <item x="268"/>
        <item x="523"/>
        <item x="359"/>
        <item x="594"/>
        <item x="641"/>
        <item x="885"/>
        <item x="1315"/>
        <item x="564"/>
        <item x="270"/>
        <item x="534"/>
        <item x="741"/>
        <item x="1289"/>
        <item x="385"/>
        <item x="1060"/>
        <item x="1109"/>
        <item x="706"/>
        <item x="541"/>
        <item x="832"/>
        <item x="1116"/>
        <item x="745"/>
        <item x="565"/>
        <item x="1395"/>
        <item x="1214"/>
        <item x="5"/>
        <item x="1465"/>
        <item x="889"/>
        <item x="765"/>
        <item x="871"/>
        <item x="816"/>
        <item x="1449"/>
        <item x="482"/>
        <item x="1096"/>
        <item x="1461"/>
        <item x="935"/>
        <item x="1043"/>
        <item x="977"/>
        <item x="748"/>
        <item x="1244"/>
        <item x="1042"/>
        <item x="1390"/>
        <item x="1412"/>
        <item x="836"/>
        <item x="1441"/>
        <item x="129"/>
        <item x="685"/>
        <item x="851"/>
        <item x="1115"/>
        <item x="763"/>
        <item x="752"/>
        <item x="888"/>
        <item x="265"/>
        <item x="1173"/>
        <item x="923"/>
        <item x="710"/>
        <item x="1297"/>
        <item x="743"/>
        <item x="1161"/>
        <item x="883"/>
        <item x="174"/>
        <item x="1456"/>
        <item x="74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6">
        <item x="5"/>
        <item x="0"/>
        <item x="3"/>
        <item x="2"/>
        <item x="1"/>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Job Role" axis="axisRow" compact="0" outline="0" showAll="0" defaultSubtotal="0">
      <items count="9">
        <item x="4"/>
        <item x="8"/>
        <item x="2"/>
        <item x="5"/>
        <item x="3"/>
        <item x="7"/>
        <item x="1"/>
        <item x="0"/>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9"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4">
        <item x="3"/>
        <item x="1"/>
        <item x="2"/>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2">
    <field x="0"/>
    <field x="13"/>
  </rowFields>
  <rowItems count="11">
    <i>
      <x v="257"/>
      <x v="6"/>
    </i>
    <i>
      <x v="283"/>
      <x v="2"/>
    </i>
    <i>
      <x v="362"/>
      <x v="6"/>
    </i>
    <i>
      <x v="461"/>
      <x v="4"/>
    </i>
    <i>
      <x v="672"/>
      <x/>
    </i>
    <i>
      <x v="712"/>
      <x v="6"/>
    </i>
    <i>
      <x v="759"/>
      <x v="2"/>
    </i>
    <i>
      <x v="770"/>
      <x v="6"/>
    </i>
    <i>
      <x v="845"/>
      <x v="1"/>
    </i>
    <i>
      <x v="1056"/>
      <x v="6"/>
    </i>
    <i>
      <x v="1202"/>
      <x v="2"/>
    </i>
  </rowItems>
  <colFields count="1">
    <field x="-2"/>
  </colFields>
  <colItems count="2">
    <i>
      <x/>
    </i>
    <i i="1">
      <x v="1"/>
    </i>
  </colItems>
  <pageFields count="2">
    <pageField fld="31" item="0" hier="-1"/>
    <pageField fld="42" hier="-1"/>
  </pageFields>
  <dataFields count="2">
    <dataField name="Risk (%)" fld="41" baseField="0" baseItem="672" numFmtId="9"/>
    <dataField name="Performance Rating" fld="21" baseField="0" baseItem="672"/>
  </dataFields>
  <pivotTableStyleInfo name="PivotStyleLight16" showRowHeaders="1" showColHeaders="1" showRowStripes="0" showColStripes="0" showLastColumn="1"/>
  <filters count="1">
    <filter fld="0" type="count" evalOrder="-1" id="5"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C558F0-FB4B-4B5D-9E4F-3E0695EDCAE9}" name="Pivot_IncomeAtRisk"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47:A48" firstHeaderRow="1" firstDataRow="1" firstDataCol="0" rowPageCount="1" colPageCount="1"/>
  <pivotFields count="44">
    <pivotField showAll="0"/>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numFmtId="9" showAll="0"/>
    <pivotField showAll="0"/>
    <pivotField showAll="0"/>
    <pivotField showAll="0"/>
    <pivotField showAll="0"/>
    <pivotField showAll="0"/>
    <pivotField showAll="0"/>
    <pivotField showAll="0"/>
    <pivotField showAll="0"/>
    <pivotField showAll="0"/>
    <pivotField showAll="0"/>
    <pivotField axis="axisPage" showAll="0">
      <items count="3">
        <item x="1"/>
        <item x="0"/>
        <item t="default"/>
      </items>
    </pivotField>
    <pivotField showAll="0"/>
    <pivotField showAll="0"/>
    <pivotField showAll="0"/>
    <pivotField showAll="0"/>
    <pivotField showAll="0"/>
    <pivotField showAll="0"/>
    <pivotField showAll="0"/>
    <pivotField showAll="0"/>
    <pivotField showAll="0"/>
    <pivotField numFmtId="9" showAll="0"/>
    <pivotField showAll="0">
      <items count="5">
        <item x="3"/>
        <item x="1"/>
        <item x="2"/>
        <item x="0"/>
        <item t="default"/>
      </items>
    </pivotField>
    <pivotField dataField="1" showAll="0"/>
  </pivotFields>
  <rowItems count="1">
    <i/>
  </rowItems>
  <colItems count="1">
    <i/>
  </colItems>
  <pageFields count="1">
    <pageField fld="31" item="0" hier="-1"/>
  </pageFields>
  <dataFields count="1">
    <dataField name="Sum of IncomeAtRisk" fld="43"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F16D13-8B2E-42D1-B0CA-67380D73BF90}" name="Pivot_Tenure_Risk"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Age Group">
  <location ref="A6:B15" firstHeaderRow="1" firstDataRow="1" firstDataCol="1"/>
  <pivotFields count="44">
    <pivotField showAll="0"/>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axis="axisRow" showAll="0" sortType="descending">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9" showAll="0"/>
    <pivotField showAll="0">
      <items count="5">
        <item x="3"/>
        <item x="1"/>
        <item x="2"/>
        <item x="0"/>
        <item t="default"/>
      </items>
    </pivotField>
    <pivotField showAll="0"/>
  </pivotFields>
  <rowFields count="1">
    <field x="27"/>
  </rowFields>
  <rowItems count="9">
    <i>
      <x v="1"/>
    </i>
    <i>
      <x v="7"/>
    </i>
    <i>
      <x v="2"/>
    </i>
    <i>
      <x v="4"/>
    </i>
    <i>
      <x v="3"/>
    </i>
    <i>
      <x v="6"/>
    </i>
    <i>
      <x v="5"/>
    </i>
    <i>
      <x v="8"/>
    </i>
    <i t="grand">
      <x/>
    </i>
  </rowItems>
  <colItems count="1">
    <i/>
  </colItems>
  <dataFields count="1">
    <dataField name="Average of Attrition_Risk_Percentage" fld="41" subtotal="average" baseField="27" baseItem="0" numFmtId="9"/>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F82D4E-261C-40CC-8D34-74BFB567D6EC}" name="Pivot_Dept_Ro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Department_Role">
  <location ref="E1:F16" firstHeaderRow="1" firstDataRow="1" firstDataCol="1"/>
  <pivotFields count="44">
    <pivotField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5"/>
        <item x="0"/>
        <item x="3"/>
        <item x="2"/>
        <item x="1"/>
        <item x="4"/>
        <item t="default"/>
      </items>
    </pivotField>
    <pivotField showAll="0"/>
    <pivotField showAll="0">
      <items count="3">
        <item x="0"/>
        <item x="1"/>
        <item t="default"/>
      </items>
    </pivotField>
    <pivotField showAll="0"/>
    <pivotField showAll="0"/>
    <pivotField showAll="0"/>
    <pivotField axis="axisRow" showAll="0" sortType="descending">
      <items count="10">
        <item x="6"/>
        <item x="0"/>
        <item x="1"/>
        <item x="7"/>
        <item x="3"/>
        <item x="5"/>
        <item x="2"/>
        <item x="8"/>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numFmtId="9" showAll="0"/>
    <pivotField showAll="0">
      <items count="5">
        <item x="3"/>
        <item x="1"/>
        <item x="2"/>
        <item x="0"/>
        <item t="default"/>
      </items>
    </pivotField>
    <pivotField showAll="0"/>
  </pivotFields>
  <rowFields count="2">
    <field x="4"/>
    <field x="13"/>
  </rowFields>
  <rowItems count="15">
    <i>
      <x v="1"/>
    </i>
    <i r="1">
      <x v="6"/>
    </i>
    <i r="1">
      <x v="2"/>
    </i>
    <i r="1">
      <x v="4"/>
    </i>
    <i r="1">
      <x v="8"/>
    </i>
    <i r="1">
      <x v="5"/>
    </i>
    <i r="1">
      <x v="3"/>
    </i>
    <i>
      <x/>
    </i>
    <i r="1">
      <x v="1"/>
    </i>
    <i r="1">
      <x/>
    </i>
    <i r="1">
      <x v="5"/>
    </i>
    <i>
      <x v="2"/>
    </i>
    <i r="1">
      <x v="7"/>
    </i>
    <i r="1">
      <x v="5"/>
    </i>
    <i t="grand">
      <x/>
    </i>
  </rowItems>
  <colItems count="1">
    <i/>
  </colItems>
  <dataFields count="1">
    <dataField name="Sum of Attrition" fld="31" baseField="0" baseItem="0"/>
  </dataFields>
  <chartFormats count="1">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E24555-023C-4B56-A96C-9159AC51214B}" name="Pivot_Headlines"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4:E37" firstHeaderRow="0" firstDataRow="1" firstDataCol="1"/>
  <pivotFields count="44">
    <pivotField dataField="1" showAll="0"/>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axis="axisRow"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items count="3">
        <item x="1"/>
        <item x="0"/>
        <item t="default"/>
      </items>
    </pivotField>
    <pivotField numFmtId="9"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numFmtId="9" showAll="0"/>
    <pivotField showAll="0">
      <items count="5">
        <item x="3"/>
        <item x="1"/>
        <item x="2"/>
        <item x="0"/>
        <item t="default"/>
      </items>
    </pivotField>
    <pivotField showAll="0"/>
  </pivotFields>
  <rowFields count="1">
    <field x="9"/>
  </rowFields>
  <rowItems count="3">
    <i>
      <x/>
    </i>
    <i>
      <x v="1"/>
    </i>
    <i t="grand">
      <x/>
    </i>
  </rowItems>
  <colFields count="1">
    <field x="-2"/>
  </colFields>
  <colItems count="4">
    <i>
      <x/>
    </i>
    <i i="1">
      <x v="1"/>
    </i>
    <i i="2">
      <x v="2"/>
    </i>
    <i i="3">
      <x v="3"/>
    </i>
  </colItems>
  <dataFields count="4">
    <dataField name="Count of EmployeeID" fld="0" subtotal="count" baseField="0" baseItem="0"/>
    <dataField name="Sum of Attrition" fld="31" baseField="0" baseItem="0"/>
    <dataField name="Average of Attrition" fld="31" subtotal="average" baseField="0" baseItem="2" numFmtId="10"/>
    <dataField name="Average of MonthlyIncome" fld="16" subtotal="average" baseField="0" baseItem="3"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3F5668-19B6-4CCD-8021-64A491344479}" name="Pivot_Demographic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0:M24" firstHeaderRow="1" firstDataRow="2" firstDataCol="1"/>
  <pivotFields count="44">
    <pivotField showAll="0"/>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axis="axisRow" showAll="0">
      <items count="3">
        <item x="0"/>
        <item x="1"/>
        <item t="default"/>
      </items>
    </pivotField>
    <pivotField showAll="0"/>
    <pivotField showAll="0"/>
    <pivotField showAll="0"/>
    <pivotField showAll="0"/>
    <pivotField showAll="0"/>
    <pivotField axis="axisCol" showAll="0">
      <items count="4">
        <item x="2"/>
        <item x="1"/>
        <item x="0"/>
        <item t="default"/>
      </items>
    </pivotField>
    <pivotField showAll="0"/>
    <pivotField showAll="0"/>
    <pivotField showAll="0"/>
    <pivotField showAll="0">
      <items count="3">
        <item x="1"/>
        <item x="0"/>
        <item t="default"/>
      </items>
    </pivotField>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9" showAll="0"/>
    <pivotField showAll="0">
      <items count="5">
        <item x="3"/>
        <item x="1"/>
        <item x="2"/>
        <item x="0"/>
        <item t="default"/>
      </items>
    </pivotField>
    <pivotField showAll="0"/>
  </pivotFields>
  <rowFields count="1">
    <field x="9"/>
  </rowFields>
  <rowItems count="3">
    <i>
      <x/>
    </i>
    <i>
      <x v="1"/>
    </i>
    <i t="grand">
      <x/>
    </i>
  </rowItems>
  <colFields count="1">
    <field x="15"/>
  </colFields>
  <colItems count="4">
    <i>
      <x/>
    </i>
    <i>
      <x v="1"/>
    </i>
    <i>
      <x v="2"/>
    </i>
    <i t="grand">
      <x/>
    </i>
  </colItems>
  <dataFields count="1">
    <dataField name="Average of Attrition_Risk_Percentage" fld="41" subtotal="average" baseField="9"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D34CD4D-D0BA-40E6-A3B3-C89991BC079F}" name="Pivot_Educ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ducation Field">
  <location ref="A21:C28" firstHeaderRow="0" firstDataRow="1" firstDataCol="1"/>
  <pivotFields count="44">
    <pivotField dataField="1" showAll="0"/>
    <pivotField showAll="0"/>
    <pivotField showAll="0"/>
    <pivotField showAll="0"/>
    <pivotField showAll="0">
      <items count="4">
        <item x="2"/>
        <item x="1"/>
        <item x="0"/>
        <item t="default"/>
      </items>
    </pivotField>
    <pivotField showAll="0"/>
    <pivotField showAll="0"/>
    <pivotField axis="axisRow" showAll="0">
      <items count="7">
        <item x="5"/>
        <item x="0"/>
        <item x="3"/>
        <item x="2"/>
        <item x="1"/>
        <item x="4"/>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9" showAll="0"/>
    <pivotField showAll="0">
      <items count="5">
        <item x="3"/>
        <item x="1"/>
        <item x="2"/>
        <item x="0"/>
        <item t="default"/>
      </items>
    </pivotField>
    <pivotField showAll="0"/>
  </pivotFields>
  <rowFields count="1">
    <field x="7"/>
  </rowFields>
  <rowItems count="7">
    <i>
      <x/>
    </i>
    <i>
      <x v="1"/>
    </i>
    <i>
      <x v="2"/>
    </i>
    <i>
      <x v="3"/>
    </i>
    <i>
      <x v="4"/>
    </i>
    <i>
      <x v="5"/>
    </i>
    <i t="grand">
      <x/>
    </i>
  </rowItems>
  <colFields count="1">
    <field x="-2"/>
  </colFields>
  <colItems count="2">
    <i>
      <x/>
    </i>
    <i i="1">
      <x v="1"/>
    </i>
  </colItems>
  <dataFields count="2">
    <dataField name="Count of EmployeeID" fld="0" subtotal="count" baseField="0" baseItem="0"/>
    <dataField name="Average of Attrition_Risk_Percentage" fld="41" subtotal="average" baseField="0" baseItem="1"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31BFD4E-093A-4851-AD1D-19A0C00EAACB}" name="Pivot_Core_KP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2" firstHeaderRow="0" firstDataRow="1" firstDataCol="0"/>
  <pivotFields count="44">
    <pivotField dataField="1" showAll="0"/>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dataField="1" numFmtId="9" showAll="0"/>
    <pivotField showAll="0">
      <items count="5">
        <item x="3"/>
        <item x="1"/>
        <item x="2"/>
        <item x="0"/>
        <item t="default"/>
      </items>
    </pivotField>
    <pivotField showAll="0"/>
  </pivotFields>
  <rowItems count="1">
    <i/>
  </rowItems>
  <colFields count="1">
    <field x="-2"/>
  </colFields>
  <colItems count="3">
    <i>
      <x/>
    </i>
    <i i="1">
      <x v="1"/>
    </i>
    <i i="2">
      <x v="2"/>
    </i>
  </colItems>
  <dataFields count="3">
    <dataField name="Count of EmployeeID" fld="0" subtotal="count" baseField="0" baseItem="0"/>
    <dataField name="Average of Attrition" fld="31" subtotal="average" baseField="0" baseItem="1" numFmtId="10"/>
    <dataField name="Average of Attrition_Risk_Percentage" fld="41" subtotal="average" baseField="0" baseItem="1" numFmtId="9"/>
  </dataFields>
  <formats count="1">
    <format dxfId="1">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AE97039-A26C-41B9-B8AD-898074A179B0}" name="Pivot_WorkLif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vertime" colHeaderCaption="">
  <location ref="M1:Q5" firstHeaderRow="1" firstDataRow="2" firstDataCol="1"/>
  <pivotFields count="44">
    <pivotField showAll="0"/>
    <pivotField showAll="0"/>
    <pivotField axis="axisCol"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9" showAll="0"/>
    <pivotField showAll="0">
      <items count="5">
        <item x="3"/>
        <item x="1"/>
        <item x="2"/>
        <item x="0"/>
        <item t="default"/>
      </items>
    </pivotField>
    <pivotField showAll="0"/>
  </pivotFields>
  <rowFields count="1">
    <field x="19"/>
  </rowFields>
  <rowItems count="3">
    <i>
      <x/>
    </i>
    <i>
      <x v="1"/>
    </i>
    <i t="grand">
      <x/>
    </i>
  </rowItems>
  <colFields count="1">
    <field x="2"/>
  </colFields>
  <colItems count="4">
    <i>
      <x/>
    </i>
    <i>
      <x v="1"/>
    </i>
    <i>
      <x v="2"/>
    </i>
    <i t="grand">
      <x/>
    </i>
  </colItems>
  <dataFields count="1">
    <dataField name="Average of Attrition_Risk_Percentage" fld="41" subtotal="average" baseField="19" baseItem="0" numFmtId="9"/>
  </dataFields>
  <formats count="18">
    <format dxfId="19">
      <pivotArea field="19" type="button" dataOnly="0" labelOnly="1" outline="0" axis="axisRow" fieldPosition="0"/>
    </format>
    <format dxfId="18">
      <pivotArea dataOnly="0" labelOnly="1" fieldPosition="0">
        <references count="1">
          <reference field="2" count="0"/>
        </references>
      </pivotArea>
    </format>
    <format dxfId="17">
      <pivotArea dataOnly="0" labelOnly="1" grandCol="1" outline="0" fieldPosition="0"/>
    </format>
    <format dxfId="16">
      <pivotArea grandRow="1" outline="0" collapsedLevelsAreSubtotals="1" fieldPosition="0"/>
    </format>
    <format dxfId="15">
      <pivotArea dataOnly="0" labelOnly="1" grandRow="1" outline="0" fieldPosition="0"/>
    </format>
    <format dxfId="14">
      <pivotArea field="19" type="button" dataOnly="0" labelOnly="1" outline="0" axis="axisRow" fieldPosition="0"/>
    </format>
    <format dxfId="13">
      <pivotArea dataOnly="0" labelOnly="1" fieldPosition="0">
        <references count="1">
          <reference field="2" count="0"/>
        </references>
      </pivotArea>
    </format>
    <format dxfId="12">
      <pivotArea dataOnly="0" labelOnly="1" grandCol="1" outline="0" fieldPosition="0"/>
    </format>
    <format dxfId="11">
      <pivotArea outline="0" collapsedLevelsAreSubtotals="1" fieldPosition="0"/>
    </format>
    <format dxfId="10">
      <pivotArea dataOnly="0" labelOnly="1" fieldPosition="0">
        <references count="1">
          <reference field="19" count="0"/>
        </references>
      </pivotArea>
    </format>
    <format dxfId="9">
      <pivotArea dataOnly="0" labelOnly="1" grandRow="1" outline="0" fieldPosition="0"/>
    </format>
    <format dxfId="8">
      <pivotArea dataOnly="0" labelOnly="1" fieldPosition="0">
        <references count="1">
          <reference field="2" count="1">
            <x v="1"/>
          </reference>
        </references>
      </pivotArea>
    </format>
    <format dxfId="7">
      <pivotArea dataOnly="0" labelOnly="1" fieldPosition="0">
        <references count="1">
          <reference field="2" count="1">
            <x v="1"/>
          </reference>
        </references>
      </pivotArea>
    </format>
    <format dxfId="6">
      <pivotArea dataOnly="0" labelOnly="1" fieldPosition="0">
        <references count="1">
          <reference field="2" count="1">
            <x v="1"/>
          </reference>
        </references>
      </pivotArea>
    </format>
    <format dxfId="5">
      <pivotArea field="19" type="button" dataOnly="0" labelOnly="1" outline="0" axis="axisRow" fieldPosition="0"/>
    </format>
    <format dxfId="4">
      <pivotArea dataOnly="0" labelOnly="1" fieldPosition="0">
        <references count="1">
          <reference field="2" count="0"/>
        </references>
      </pivotArea>
    </format>
    <format dxfId="3">
      <pivotArea dataOnly="0" labelOnly="1" grandCol="1" outline="0" fieldPosition="0"/>
    </format>
    <format dxfId="2">
      <pivotArea dataOnly="0" labelOnly="1" fieldPosition="0">
        <references count="1">
          <reference field="2" count="1">
            <x v="1"/>
          </reference>
        </references>
      </pivotArea>
    </format>
  </formats>
  <conditionalFormats count="1">
    <conditionalFormat priority="1">
      <pivotAreas count="1">
        <pivotArea type="data" collapsedLevelsAreSubtotals="1" fieldPosition="0">
          <references count="3">
            <reference field="4294967294" count="1" selected="0">
              <x v="0"/>
            </reference>
            <reference field="2" count="3" selected="0">
              <x v="0"/>
              <x v="1"/>
              <x v="2"/>
            </reference>
            <reference field="19" count="2">
              <x v="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BBD09F7-A51D-480B-9C9A-428510113D7D}" name="Pivot_Risk_Check"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5" rowHeaderCaption="Risk Category">
  <location ref="I1:K6" firstHeaderRow="0" firstDataRow="1" firstDataCol="1"/>
  <pivotFields count="44">
    <pivotField dataField="1" showAll="0"/>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numFmtId="9" showAll="0"/>
    <pivotField axis="axisRow" showAll="0">
      <items count="5">
        <item x="3"/>
        <item x="1"/>
        <item x="0"/>
        <item x="2"/>
        <item t="default"/>
      </items>
    </pivotField>
    <pivotField showAll="0"/>
  </pivotFields>
  <rowFields count="1">
    <field x="42"/>
  </rowFields>
  <rowItems count="5">
    <i>
      <x/>
    </i>
    <i>
      <x v="1"/>
    </i>
    <i>
      <x v="2"/>
    </i>
    <i>
      <x v="3"/>
    </i>
    <i t="grand">
      <x/>
    </i>
  </rowItems>
  <colFields count="1">
    <field x="-2"/>
  </colFields>
  <colItems count="2">
    <i>
      <x/>
    </i>
    <i i="1">
      <x v="1"/>
    </i>
  </colItems>
  <dataFields count="2">
    <dataField name="Count of EmployeeID" fld="0" subtotal="count" baseField="0" baseItem="0"/>
    <dataField name="Sum of Attrition" fld="31" baseField="0" baseItem="0"/>
  </dataFields>
  <chartFormats count="30">
    <chartFormat chart="40" format="2" series="1">
      <pivotArea type="data" outline="0" fieldPosition="0">
        <references count="1">
          <reference field="4294967294" count="1" selected="0">
            <x v="0"/>
          </reference>
        </references>
      </pivotArea>
    </chartFormat>
    <chartFormat chart="40" format="3">
      <pivotArea type="data" outline="0" fieldPosition="0">
        <references count="2">
          <reference field="4294967294" count="1" selected="0">
            <x v="0"/>
          </reference>
          <reference field="42" count="1" selected="0">
            <x v="0"/>
          </reference>
        </references>
      </pivotArea>
    </chartFormat>
    <chartFormat chart="40" format="4">
      <pivotArea type="data" outline="0" fieldPosition="0">
        <references count="2">
          <reference field="4294967294" count="1" selected="0">
            <x v="0"/>
          </reference>
          <reference field="42" count="1" selected="0">
            <x v="1"/>
          </reference>
        </references>
      </pivotArea>
    </chartFormat>
    <chartFormat chart="40" format="5">
      <pivotArea type="data" outline="0" fieldPosition="0">
        <references count="2">
          <reference field="4294967294" count="1" selected="0">
            <x v="0"/>
          </reference>
          <reference field="42" count="1" selected="0">
            <x v="3"/>
          </reference>
        </references>
      </pivotArea>
    </chartFormat>
    <chartFormat chart="40" format="6">
      <pivotArea type="data" outline="0" fieldPosition="0">
        <references count="2">
          <reference field="4294967294" count="1" selected="0">
            <x v="0"/>
          </reference>
          <reference field="42" count="1" selected="0">
            <x v="2"/>
          </reference>
        </references>
      </pivotArea>
    </chartFormat>
    <chartFormat chart="40" format="7" series="1">
      <pivotArea type="data" outline="0" fieldPosition="0">
        <references count="1">
          <reference field="4294967294" count="1" selected="0">
            <x v="1"/>
          </reference>
        </references>
      </pivotArea>
    </chartFormat>
    <chartFormat chart="40" format="8">
      <pivotArea type="data" outline="0" fieldPosition="0">
        <references count="2">
          <reference field="4294967294" count="1" selected="0">
            <x v="1"/>
          </reference>
          <reference field="42" count="1" selected="0">
            <x v="0"/>
          </reference>
        </references>
      </pivotArea>
    </chartFormat>
    <chartFormat chart="40" format="9">
      <pivotArea type="data" outline="0" fieldPosition="0">
        <references count="2">
          <reference field="4294967294" count="1" selected="0">
            <x v="1"/>
          </reference>
          <reference field="42" count="1" selected="0">
            <x v="1"/>
          </reference>
        </references>
      </pivotArea>
    </chartFormat>
    <chartFormat chart="40" format="10">
      <pivotArea type="data" outline="0" fieldPosition="0">
        <references count="2">
          <reference field="4294967294" count="1" selected="0">
            <x v="1"/>
          </reference>
          <reference field="42" count="1" selected="0">
            <x v="3"/>
          </reference>
        </references>
      </pivotArea>
    </chartFormat>
    <chartFormat chart="40" format="11">
      <pivotArea type="data" outline="0" fieldPosition="0">
        <references count="2">
          <reference field="4294967294" count="1" selected="0">
            <x v="1"/>
          </reference>
          <reference field="42" count="1" selected="0">
            <x v="2"/>
          </reference>
        </references>
      </pivotArea>
    </chartFormat>
    <chartFormat chart="41" format="12" series="1">
      <pivotArea type="data" outline="0" fieldPosition="0">
        <references count="1">
          <reference field="4294967294" count="1" selected="0">
            <x v="0"/>
          </reference>
        </references>
      </pivotArea>
    </chartFormat>
    <chartFormat chart="41" format="13">
      <pivotArea type="data" outline="0" fieldPosition="0">
        <references count="2">
          <reference field="4294967294" count="1" selected="0">
            <x v="0"/>
          </reference>
          <reference field="42" count="1" selected="0">
            <x v="0"/>
          </reference>
        </references>
      </pivotArea>
    </chartFormat>
    <chartFormat chart="41" format="14">
      <pivotArea type="data" outline="0" fieldPosition="0">
        <references count="2">
          <reference field="4294967294" count="1" selected="0">
            <x v="0"/>
          </reference>
          <reference field="42" count="1" selected="0">
            <x v="1"/>
          </reference>
        </references>
      </pivotArea>
    </chartFormat>
    <chartFormat chart="41" format="15">
      <pivotArea type="data" outline="0" fieldPosition="0">
        <references count="2">
          <reference field="4294967294" count="1" selected="0">
            <x v="0"/>
          </reference>
          <reference field="42" count="1" selected="0">
            <x v="3"/>
          </reference>
        </references>
      </pivotArea>
    </chartFormat>
    <chartFormat chart="41" format="16">
      <pivotArea type="data" outline="0" fieldPosition="0">
        <references count="2">
          <reference field="4294967294" count="1" selected="0">
            <x v="0"/>
          </reference>
          <reference field="42" count="1" selected="0">
            <x v="2"/>
          </reference>
        </references>
      </pivotArea>
    </chartFormat>
    <chartFormat chart="41" format="17" series="1">
      <pivotArea type="data" outline="0" fieldPosition="0">
        <references count="1">
          <reference field="4294967294" count="1" selected="0">
            <x v="1"/>
          </reference>
        </references>
      </pivotArea>
    </chartFormat>
    <chartFormat chart="41" format="18">
      <pivotArea type="data" outline="0" fieldPosition="0">
        <references count="2">
          <reference field="4294967294" count="1" selected="0">
            <x v="1"/>
          </reference>
          <reference field="42" count="1" selected="0">
            <x v="0"/>
          </reference>
        </references>
      </pivotArea>
    </chartFormat>
    <chartFormat chart="41" format="19">
      <pivotArea type="data" outline="0" fieldPosition="0">
        <references count="2">
          <reference field="4294967294" count="1" selected="0">
            <x v="1"/>
          </reference>
          <reference field="42" count="1" selected="0">
            <x v="1"/>
          </reference>
        </references>
      </pivotArea>
    </chartFormat>
    <chartFormat chart="41" format="20">
      <pivotArea type="data" outline="0" fieldPosition="0">
        <references count="2">
          <reference field="4294967294" count="1" selected="0">
            <x v="1"/>
          </reference>
          <reference field="42" count="1" selected="0">
            <x v="3"/>
          </reference>
        </references>
      </pivotArea>
    </chartFormat>
    <chartFormat chart="41" format="21">
      <pivotArea type="data" outline="0" fieldPosition="0">
        <references count="2">
          <reference field="4294967294" count="1" selected="0">
            <x v="1"/>
          </reference>
          <reference field="42" count="1" selected="0">
            <x v="2"/>
          </reference>
        </references>
      </pivotArea>
    </chartFormat>
    <chartFormat chart="43" format="12" series="1">
      <pivotArea type="data" outline="0" fieldPosition="0">
        <references count="1">
          <reference field="4294967294" count="1" selected="0">
            <x v="0"/>
          </reference>
        </references>
      </pivotArea>
    </chartFormat>
    <chartFormat chart="43" format="13">
      <pivotArea type="data" outline="0" fieldPosition="0">
        <references count="2">
          <reference field="4294967294" count="1" selected="0">
            <x v="0"/>
          </reference>
          <reference field="42" count="1" selected="0">
            <x v="0"/>
          </reference>
        </references>
      </pivotArea>
    </chartFormat>
    <chartFormat chart="43" format="14">
      <pivotArea type="data" outline="0" fieldPosition="0">
        <references count="2">
          <reference field="4294967294" count="1" selected="0">
            <x v="0"/>
          </reference>
          <reference field="42" count="1" selected="0">
            <x v="1"/>
          </reference>
        </references>
      </pivotArea>
    </chartFormat>
    <chartFormat chart="43" format="15">
      <pivotArea type="data" outline="0" fieldPosition="0">
        <references count="2">
          <reference field="4294967294" count="1" selected="0">
            <x v="0"/>
          </reference>
          <reference field="42" count="1" selected="0">
            <x v="3"/>
          </reference>
        </references>
      </pivotArea>
    </chartFormat>
    <chartFormat chart="43" format="16">
      <pivotArea type="data" outline="0" fieldPosition="0">
        <references count="2">
          <reference field="4294967294" count="1" selected="0">
            <x v="0"/>
          </reference>
          <reference field="42" count="1" selected="0">
            <x v="2"/>
          </reference>
        </references>
      </pivotArea>
    </chartFormat>
    <chartFormat chart="43" format="17" series="1">
      <pivotArea type="data" outline="0" fieldPosition="0">
        <references count="1">
          <reference field="4294967294" count="1" selected="0">
            <x v="1"/>
          </reference>
        </references>
      </pivotArea>
    </chartFormat>
    <chartFormat chart="43" format="18">
      <pivotArea type="data" outline="0" fieldPosition="0">
        <references count="2">
          <reference field="4294967294" count="1" selected="0">
            <x v="1"/>
          </reference>
          <reference field="42" count="1" selected="0">
            <x v="0"/>
          </reference>
        </references>
      </pivotArea>
    </chartFormat>
    <chartFormat chart="43" format="19">
      <pivotArea type="data" outline="0" fieldPosition="0">
        <references count="2">
          <reference field="4294967294" count="1" selected="0">
            <x v="1"/>
          </reference>
          <reference field="42" count="1" selected="0">
            <x v="1"/>
          </reference>
        </references>
      </pivotArea>
    </chartFormat>
    <chartFormat chart="43" format="20">
      <pivotArea type="data" outline="0" fieldPosition="0">
        <references count="2">
          <reference field="4294967294" count="1" selected="0">
            <x v="1"/>
          </reference>
          <reference field="42" count="1" selected="0">
            <x v="3"/>
          </reference>
        </references>
      </pivotArea>
    </chartFormat>
    <chartFormat chart="43" format="21">
      <pivotArea type="data" outline="0" fieldPosition="0">
        <references count="2">
          <reference field="4294967294" count="1" selected="0">
            <x v="1"/>
          </reference>
          <reference field="4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Category" xr10:uid="{F0AE0760-0C21-4D66-A7A8-5BCC83C471C7}" sourceName="Risk_Category">
  <pivotTables>
    <pivotTable tabId="4" name="Pivot_Risk_Check"/>
    <pivotTable tabId="4" name="Pivot_Core_KPIs"/>
    <pivotTable tabId="4" name="Pivot_Demographics"/>
    <pivotTable tabId="4" name="Pivot_Dept_Role"/>
    <pivotTable tabId="4" name="Pivot_Education"/>
    <pivotTable tabId="4" name="Pivot_Headlines"/>
    <pivotTable tabId="4" name="Pivot_Income_Risk"/>
    <pivotTable tabId="4" name="Pivot_Tenure_Risk"/>
    <pivotTable tabId="4" name="Pivot_Watchlist"/>
    <pivotTable tabId="4" name="Pivot_WorkLife"/>
    <pivotTable tabId="4" name="Pivot_IncomeAtRisk"/>
  </pivotTables>
  <data>
    <tabular pivotCacheId="20698239">
      <items count="4">
        <i x="3"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F2F707B-2704-419C-9C72-B0B4E198F465}" sourceName="Department">
  <pivotTables>
    <pivotTable tabId="4" name="Pivot_Risk_Check"/>
    <pivotTable tabId="4" name="Pivot_Core_KPIs"/>
    <pivotTable tabId="4" name="Pivot_Demographics"/>
    <pivotTable tabId="4" name="Pivot_Dept_Role"/>
    <pivotTable tabId="4" name="Pivot_Education"/>
    <pivotTable tabId="4" name="Pivot_Headlines"/>
    <pivotTable tabId="4" name="Pivot_Income_Risk"/>
    <pivotTable tabId="4" name="Pivot_Tenure_Risk"/>
    <pivotTable tabId="4" name="Pivot_Watchlist"/>
    <pivotTable tabId="4" name="Pivot_WorkLife"/>
    <pivotTable tabId="4" name="Pivot_IncomeAtRisk"/>
  </pivotTables>
  <data>
    <tabular pivotCacheId="2069823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76E5552B-C1D7-4D50-8AFD-E3096A9A3C29}" sourceName="EducationField">
  <pivotTables>
    <pivotTable tabId="4" name="Pivot_Risk_Check"/>
    <pivotTable tabId="4" name="Pivot_Core_KPIs"/>
    <pivotTable tabId="4" name="Pivot_Demographics"/>
    <pivotTable tabId="4" name="Pivot_Dept_Role"/>
    <pivotTable tabId="4" name="Pivot_Education"/>
    <pivotTable tabId="4" name="Pivot_Headlines"/>
    <pivotTable tabId="4" name="Pivot_Income_Risk"/>
    <pivotTable tabId="4" name="Pivot_Tenure_Risk"/>
    <pivotTable tabId="4" name="Pivot_Watchlist"/>
    <pivotTable tabId="4" name="Pivot_WorkLife"/>
    <pivotTable tabId="4" name="Pivot_IncomeAtRisk"/>
  </pivotTables>
  <data>
    <tabular pivotCacheId="20698239">
      <items count="6">
        <i x="5" s="1"/>
        <i x="0" s="1"/>
        <i x="3" s="1"/>
        <i x="2"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E5551A1-A058-4CE6-AFE6-1A88887813B2}" sourceName="Gender">
  <pivotTables>
    <pivotTable tabId="4" name="Pivot_Risk_Check"/>
    <pivotTable tabId="4" name="Pivot_Core_KPIs"/>
    <pivotTable tabId="4" name="Pivot_Demographics"/>
    <pivotTable tabId="4" name="Pivot_Dept_Role"/>
    <pivotTable tabId="4" name="Pivot_Education"/>
    <pivotTable tabId="4" name="Pivot_Headlines"/>
    <pivotTable tabId="4" name="Pivot_Income_Risk"/>
    <pivotTable tabId="4" name="Pivot_Tenure_Risk"/>
    <pivotTable tabId="4" name="Pivot_Watchlist"/>
    <pivotTable tabId="4" name="Pivot_WorkLife"/>
    <pivotTable tabId="4" name="Pivot_IncomeAtRisk"/>
  </pivotTables>
  <data>
    <tabular pivotCacheId="20698239">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9113F570-A889-4E52-8565-06E75684F9E9}" sourceName="OverTime">
  <pivotTables>
    <pivotTable tabId="4" name="Pivot_Dept_Role"/>
    <pivotTable tabId="4" name="Pivot_Core_KPIs"/>
    <pivotTable tabId="4" name="Pivot_Demographics"/>
    <pivotTable tabId="4" name="Pivot_Education"/>
    <pivotTable tabId="4" name="Pivot_Headlines"/>
    <pivotTable tabId="4" name="Pivot_Income_Risk"/>
    <pivotTable tabId="4" name="Pivot_Risk_Check"/>
    <pivotTable tabId="4" name="Pivot_Tenure_Risk"/>
    <pivotTable tabId="4" name="Pivot_Watchlist"/>
    <pivotTable tabId="4" name="Pivot_WorkLife"/>
    <pivotTable tabId="4" name="Pivot_IncomeAtRisk"/>
  </pivotTables>
  <data>
    <tabular pivotCacheId="2069823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isk_Category" xr10:uid="{7910EE43-31A5-46C8-8E76-6625BF4EB7CD}" cache="Slicer_Risk_Category" caption="Risk_Category" columnCount="2" style="custom1" rowHeight="241300"/>
  <slicer name="Department" xr10:uid="{ECD8A6B9-EC5B-489F-9034-9054CD3CBD0A}" cache="Slicer_Department" caption="Department" style="custom1" rowHeight="241300"/>
  <slicer name="EducationField" xr10:uid="{DEBB4426-1349-4906-BBD4-E7376F3B092E}" cache="Slicer_EducationField" caption="EducationField" columnCount="2" style="custom1" rowHeight="241300"/>
  <slicer name="Gender" xr10:uid="{038B8634-B78E-49D2-A2EB-594D5C3FC57D}" cache="Slicer_Gender" caption="Gender" columnCount="2" style="custom1" rowHeight="241300"/>
  <slicer name="OverTime" xr10:uid="{DF147866-BF99-45EA-BF87-467210CEB328}" cache="Slicer_OverTime" caption="OverTime" columnCount="2" style="custom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1BE0B6-04AD-4673-B898-56F00AFE2F43}" name="tbl_HR_Data" displayName="tbl_HR_Data" ref="A1:AR1471" totalsRowShown="0" headerRowDxfId="53">
  <autoFilter ref="A1:AR1471" xr:uid="{D51BE0B6-04AD-4673-B898-56F00AFE2F43}"/>
  <tableColumns count="44">
    <tableColumn id="8" xr3:uid="{16A355E5-87CC-484A-B765-73ED7F67DBC7}" name="EmployeeID"/>
    <tableColumn id="1" xr3:uid="{8E726D23-C57B-4093-8510-CBA41B6FA261}" name="Age"/>
    <tableColumn id="2" xr3:uid="{16DE396D-CB5F-42A6-9B90-321DDAC8B1B7}" name="BusinessTravel" dataDxfId="52"/>
    <tableColumn id="3" xr3:uid="{1E36979E-2C88-413A-844D-A5144AE48A34}" name="DailyRate"/>
    <tableColumn id="4" xr3:uid="{86679378-FC30-4D44-818A-737218F35235}" name="Department" dataDxfId="51"/>
    <tableColumn id="5" xr3:uid="{D39A907D-79B5-464C-BCA7-1FC932233CC2}" name="DistanceFromHome"/>
    <tableColumn id="6" xr3:uid="{5DAC4F09-F79C-4E5A-8848-6DA07D16400C}" name="Education"/>
    <tableColumn id="7" xr3:uid="{55D5A82C-B600-40F7-80BC-D4529C9958E1}" name="EducationField" dataDxfId="50"/>
    <tableColumn id="10" xr3:uid="{86CAA060-E33C-41C5-B819-86BC38F2FC2F}" name="EnvironmentSatisfaction"/>
    <tableColumn id="11" xr3:uid="{B61DEE44-95BD-4CC7-B963-742D8098FBBA}" name="Gender" dataDxfId="49"/>
    <tableColumn id="12" xr3:uid="{74BFEF15-DE41-4A1F-98D5-927FE8755FCB}" name="HourlyRate"/>
    <tableColumn id="13" xr3:uid="{0DC43B1F-9F82-4A05-A425-8845DA701400}" name="JobInvolvement"/>
    <tableColumn id="14" xr3:uid="{23F78ADC-88C7-4D6C-B2CC-8D2CDDCEC9FA}" name="JobLevel"/>
    <tableColumn id="15" xr3:uid="{4C559C30-EE4C-4A71-9AC7-68CA49BDD905}" name="JobRole" dataDxfId="48"/>
    <tableColumn id="16" xr3:uid="{60753AC1-E9AF-4723-907D-F9D989BAF29C}" name="JobSatisfaction"/>
    <tableColumn id="17" xr3:uid="{BD332833-1BE3-410F-882E-9856C5AAA560}" name="MaritalStatus" dataDxfId="47"/>
    <tableColumn id="18" xr3:uid="{01874B20-BAA6-45F7-BA4F-EE1CC341E51E}" name="MonthlyIncome"/>
    <tableColumn id="19" xr3:uid="{223C0B1E-7F9E-4DA0-BCED-66A21283C6AF}" name="MonthlyRate"/>
    <tableColumn id="20" xr3:uid="{E08C44AB-D72A-44B1-B58E-F2C732A040B3}" name="NumCompaniesWorked"/>
    <tableColumn id="22" xr3:uid="{872DDD9F-B62E-4F6C-B9C1-B4C2E0844EFF}" name="OverTime"/>
    <tableColumn id="9" xr3:uid="{1260C597-DCE5-4B68-BC4A-482244FCE4A2}" name="PercentSalaryHike" dataDxfId="46"/>
    <tableColumn id="24" xr3:uid="{85EBCECA-C5A0-4379-A943-757AC86557FF}" name="PerformanceRating"/>
    <tableColumn id="25" xr3:uid="{272D58CF-E0CE-4D79-A0C4-20F983E20F03}" name="RelationshipSatisfaction"/>
    <tableColumn id="27" xr3:uid="{C52C9562-294C-47A7-9C44-2C1EB05691D5}" name="StockOptionLevel"/>
    <tableColumn id="28" xr3:uid="{C1B6CCCE-D1DA-4A46-B213-F537DF0E35AE}" name="TotalWorkingYears"/>
    <tableColumn id="29" xr3:uid="{AAC3A9AA-B773-41F0-B8B4-7922EFA0E1C1}" name="TrainingTimesLastYear"/>
    <tableColumn id="30" xr3:uid="{973E3F90-B06D-4E72-82D6-F82E1CD1FF4A}" name="WorkLifeBalance"/>
    <tableColumn id="31" xr3:uid="{3D6C8702-D010-4A06-AD28-1BD404BEB136}" name="YearsAtCompany"/>
    <tableColumn id="32" xr3:uid="{84360F65-D7A2-4062-A577-3079974C2F2F}" name="YearsInCurrentRole"/>
    <tableColumn id="33" xr3:uid="{97363C33-72AA-4656-83B7-2F71C73297D2}" name="YearsSinceLastPromotion"/>
    <tableColumn id="34" xr3:uid="{5C97C8C2-6455-4581-9464-50D013A1C439}" name="YearsWithCurrManager"/>
    <tableColumn id="35" xr3:uid="{19C8DEA0-B71A-4E9E-A2CD-E95AB1BCD0D9}" name="Attrition"/>
    <tableColumn id="26" xr3:uid="{604A1D89-83C0-4C7F-8B97-A4D221118624}" name="Gender_Code" dataDxfId="45">
      <calculatedColumnFormula>IF(tbl_HR_Data[[#This Row],[Gender]]="Male",1,0)</calculatedColumnFormula>
    </tableColumn>
    <tableColumn id="36" xr3:uid="{4B98F9AC-4848-4CB1-991B-96AB6E2EE13C}" name="Travel_Code" dataDxfId="44">
      <calculatedColumnFormula array="1">_xlfn.SWITCH(tbl_HR_Data[[#This Row],[BusinessTravel]], "Non-Travel", 0, "Travel_Rarely", 1, "Travel_Frequently", 2)</calculatedColumnFormula>
    </tableColumn>
    <tableColumn id="37" xr3:uid="{BF406C65-A79F-4D43-BE9C-782C8BA3396F}" name="Marital_Code" dataDxfId="43">
      <calculatedColumnFormula array="1">_xlfn.SWITCH(tbl_HR_Data[[#This Row],[MaritalStatus]],"Single",0,"Married",1,"Divorced",2)</calculatedColumnFormula>
    </tableColumn>
    <tableColumn id="38" xr3:uid="{E9174711-8F3F-4FFE-86C3-1333D98F5A1E}" name="Flag_OT" dataDxfId="42">
      <calculatedColumnFormula>IF(tbl_HR_Data[[#This Row],[OverTime]]=1,1,0)</calculatedColumnFormula>
    </tableColumn>
    <tableColumn id="39" xr3:uid="{2E403974-991B-4BD7-9E49-E563D31E5093}" name="Flag_Distance" dataDxfId="41">
      <calculatedColumnFormula>IF(tbl_HR_Data[[#This Row],[DistanceFromHome]]&gt;15,1,0)</calculatedColumnFormula>
    </tableColumn>
    <tableColumn id="40" xr3:uid="{2366143B-19DA-4D6D-AE6B-F042D8E77D84}" name="Flag_Satisfaction" dataDxfId="40">
      <calculatedColumnFormula>IF(tbl_HR_Data[[#This Row],[JobSatisfaction]]&lt;=2,1,0)</calculatedColumnFormula>
    </tableColumn>
    <tableColumn id="41" xr3:uid="{4BCEC0A9-A20C-45AF-8E93-E0D2D0417A7E}" name="Flag_Income" dataDxfId="39">
      <calculatedColumnFormula>IF(tbl_HR_Data[[#This Row],[MonthlyIncome]]&lt;$AT$2,1,0)</calculatedColumnFormula>
    </tableColumn>
    <tableColumn id="42" xr3:uid="{38405B0D-4EDF-4691-A1E6-B372600B00EE}" name="Flag_Travel" dataDxfId="38">
      <calculatedColumnFormula>IF(tbl_HR_Data[[#This Row],[Travel_Code]]=2,1,0)</calculatedColumnFormula>
    </tableColumn>
    <tableColumn id="44" xr3:uid="{0E4E463E-575F-4B62-8237-A55B629F434B}" name="Risk_Score_Raw" dataDxfId="37">
      <calculatedColumnFormula>(tbl_HR_Data[[#This Row],[Flag_OT]] * Logic_Parameters!$B$2) +
 (tbl_HR_Data[[#This Row],[Flag_Travel]] * Logic_Parameters!$B$3) +
 (tbl_HR_Data[[#This Row],[Flag_Satisfaction]] * Logic_Parameters!$B$4) +
 (tbl_HR_Data[[#This Row],[Flag_Distance]]* Logic_Parameters!$B$5) +
 (tbl_HR_Data[[#This Row],[Flag_Income]] * Logic_Parameters!$B$6)</calculatedColumnFormula>
    </tableColumn>
    <tableColumn id="45" xr3:uid="{870D3A95-1189-4341-ACC2-19B9C439BD1A}" name="Attrition_Risk_Percentage" dataCellStyle="Percent">
      <calculatedColumnFormula>tbl_HR_Data[[#This Row],[Risk_Score_Raw]] / SUM(Logic_Parameters!$B$2:$B$6)</calculatedColumnFormula>
    </tableColumn>
    <tableColumn id="46" xr3:uid="{217B3CDB-40B3-4A52-868B-B5C5C36C14CF}" name="Risk_Category" dataDxfId="36">
      <calculatedColumnFormula array="1">_xlfn.IFS(tbl_HR_Data[[#This Row],[Attrition_Risk_Percentage]] &gt;= 0.75, "Critical",tbl_HR_Data[ [#This Row],[Attrition_Risk_Percentage] ]&gt;= 0.5, "High",tbl_HR_Data[[#This Row],[Attrition_Risk_Percentage]] &gt;= 0.25, "Medium",TRUE, "Low")</calculatedColumnFormula>
    </tableColumn>
    <tableColumn id="23" xr3:uid="{7D828E52-69BB-4AB1-80B0-163311789219}" name="IncomeAtRisk" dataDxfId="35">
      <calculatedColumnFormula array="1">IFERROR(_xlfn.IFS(tbl_HR_Data[[#This Row],[Risk_Category]]="Critical",tbl_HR_Data[[#This Row],[MonthlyIncome]]*1.5,tbl_HR_Data[[#This Row],[Risk_Category]]="High",tbl_HR_Data[[#This Row],[MonthlyIncome]]*1.5),0)</calculatedColumnFormula>
    </tableColumn>
  </tableColumns>
  <tableStyleInfo name="TableStyleLight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FEFBA2-F2E9-49D5-993B-5D852552763C}" name="tbl_correl" displayName="tbl_correl" ref="E1:H6" totalsRowShown="0" headerRowDxfId="34" headerRowBorderDxfId="33" tableBorderDxfId="32" totalsRowBorderDxfId="31">
  <autoFilter ref="E1:H6" xr:uid="{BCFEFBA2-F2E9-49D5-993B-5D852552763C}"/>
  <tableColumns count="4">
    <tableColumn id="1" xr3:uid="{B292C99A-188F-484F-BE4F-830B58BA0A53}" name="Factor" dataDxfId="30"/>
    <tableColumn id="2" xr3:uid="{2E3B2692-C888-4D9B-BA02-5489E277FA60}" name="Raw Correlation" dataDxfId="29"/>
    <tableColumn id="3" xr3:uid="{BAB5548F-32B5-4D8E-9461-AF4B78F393C1}" name="Strength (Absolute)" dataDxfId="28">
      <calculatedColumnFormula>ABS(tbl_correl[[#This Row],[Raw Correlation]])</calculatedColumnFormula>
    </tableColumn>
    <tableColumn id="4" xr3:uid="{5C5CF8EE-49EE-470A-9F68-5C19EBD5DBDD}" name="Final Weight (1-10)" dataDxfId="27">
      <calculatedColumnFormula>(tbl_correl[[#This Row],[Strength (Absolute)]]/MAX(tbl_correl[Strength (Absolute)]))*10</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C84EE24-B5FD-403F-9A4B-4D74D450DFE1}" name="tbl_risk_scoring" displayName="tbl_risk_scoring" ref="A1:C6" totalsRowShown="0" headerRowDxfId="26" headerRowBorderDxfId="25" tableBorderDxfId="24" totalsRowBorderDxfId="23">
  <autoFilter ref="A1:C6" xr:uid="{EC84EE24-B5FD-403F-9A4B-4D74D450DFE1}"/>
  <tableColumns count="3">
    <tableColumn id="1" xr3:uid="{490477C7-1463-400A-8EBA-5B6F044653A4}" name="Factor" dataDxfId="22"/>
    <tableColumn id="2" xr3:uid="{772A4DCE-2E94-4251-82AA-8D80A6118131}" name="Weight (1-10)" dataDxfId="21">
      <calculatedColumnFormula>tbl_correl[[#This Row],[Final Weight (1-10)]]</calculatedColumnFormula>
    </tableColumn>
    <tableColumn id="3" xr3:uid="{2EBE457B-DAF9-402D-BDBF-CFBFE4A7A57C}" name="Description" dataDxfId="2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4.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E97CA-DBC3-4767-86A7-9F6BE3FAD413}">
  <sheetPr>
    <pageSetUpPr fitToPage="1"/>
  </sheetPr>
  <dimension ref="A1:BQ33"/>
  <sheetViews>
    <sheetView showGridLines="0" tabSelected="1" zoomScale="61" zoomScaleNormal="61" workbookViewId="0">
      <selection activeCell="BT3" sqref="BT3"/>
    </sheetView>
  </sheetViews>
  <sheetFormatPr defaultColWidth="2.6328125" defaultRowHeight="16.5" x14ac:dyDescent="0.45"/>
  <cols>
    <col min="1" max="3" width="2.6328125" style="24"/>
    <col min="4" max="5" width="2.6328125" style="24" customWidth="1"/>
    <col min="6" max="7" width="2.6328125" style="24"/>
    <col min="8" max="8" width="2.6328125" style="24" customWidth="1"/>
    <col min="9" max="9" width="2.6328125" style="24"/>
    <col min="10" max="10" width="2.6328125" style="24" customWidth="1"/>
    <col min="11" max="11" width="16.6328125" style="24" customWidth="1"/>
    <col min="12" max="12" width="3.1796875" style="24" customWidth="1"/>
    <col min="13" max="13" width="2.6328125" style="24" customWidth="1"/>
    <col min="14" max="14" width="2.6328125" style="24"/>
    <col min="15" max="15" width="2.6328125" style="24" customWidth="1"/>
    <col min="16" max="16" width="2.6328125" style="24"/>
    <col min="17" max="17" width="2.90625" style="24" customWidth="1"/>
    <col min="18" max="18" width="5.36328125" style="24" customWidth="1"/>
    <col min="19" max="21" width="2.6328125" style="24"/>
    <col min="22" max="22" width="5.453125" style="24" bestFit="1" customWidth="1"/>
    <col min="23" max="25" width="2.6328125" style="24"/>
    <col min="26" max="26" width="2.08984375" style="24" customWidth="1"/>
    <col min="27" max="28" width="2.6328125" style="24"/>
    <col min="29" max="29" width="2.6328125" style="24" customWidth="1"/>
    <col min="30" max="36" width="2.6328125" style="24"/>
    <col min="37" max="37" width="4.90625" style="24" customWidth="1"/>
    <col min="38" max="38" width="2.6328125" style="24"/>
    <col min="39" max="39" width="2.6328125" style="24" customWidth="1"/>
    <col min="40" max="42" width="2.6328125" style="24"/>
    <col min="43" max="43" width="2.6328125" style="24" customWidth="1"/>
    <col min="44" max="51" width="2.6328125" style="24"/>
    <col min="52" max="52" width="4.453125" style="24" bestFit="1" customWidth="1"/>
    <col min="53" max="62" width="2.6328125" style="24"/>
    <col min="63" max="63" width="2.6328125" style="24" customWidth="1"/>
    <col min="64" max="64" width="3.54296875" style="24" customWidth="1"/>
    <col min="65" max="65" width="13.26953125" style="24" customWidth="1"/>
    <col min="66" max="66" width="24.81640625" style="24" bestFit="1" customWidth="1"/>
    <col min="67" max="67" width="13.1796875" style="24" customWidth="1"/>
    <col min="68" max="68" width="14.6328125" style="24" customWidth="1"/>
    <col min="69" max="16384" width="2.6328125" style="24"/>
  </cols>
  <sheetData>
    <row r="1" spans="1:69" ht="16.5" customHeight="1" thickTop="1" x14ac:dyDescent="0.45">
      <c r="A1" s="82" t="s">
        <v>1610</v>
      </c>
      <c r="B1" s="83"/>
      <c r="C1" s="83"/>
      <c r="D1" s="83"/>
      <c r="E1" s="83"/>
      <c r="F1" s="83"/>
      <c r="G1" s="83"/>
      <c r="H1" s="83"/>
      <c r="I1" s="83"/>
      <c r="J1" s="83"/>
      <c r="K1" s="84"/>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row>
    <row r="2" spans="1:69" ht="35" customHeight="1" thickBot="1" x14ac:dyDescent="0.5">
      <c r="A2" s="85"/>
      <c r="B2" s="86"/>
      <c r="C2" s="86"/>
      <c r="D2" s="86"/>
      <c r="E2" s="86"/>
      <c r="F2" s="86"/>
      <c r="G2" s="86"/>
      <c r="H2" s="86"/>
      <c r="I2" s="86"/>
      <c r="J2" s="86"/>
      <c r="K2" s="87"/>
      <c r="L2" s="58"/>
      <c r="M2" s="59"/>
      <c r="N2" s="59"/>
      <c r="O2" s="59"/>
      <c r="P2" s="59"/>
      <c r="Q2" s="60"/>
      <c r="R2" s="59"/>
      <c r="S2" s="59"/>
      <c r="T2" s="59"/>
      <c r="U2" s="59"/>
      <c r="V2" s="59"/>
      <c r="W2" s="59"/>
      <c r="X2" s="59"/>
      <c r="Y2" s="59"/>
      <c r="Z2" s="58"/>
      <c r="AA2" s="59"/>
      <c r="AB2" s="59"/>
      <c r="AC2" s="59"/>
      <c r="AD2" s="59"/>
      <c r="AE2" s="59"/>
      <c r="AF2" s="59"/>
      <c r="AG2" s="59"/>
      <c r="AH2" s="59"/>
      <c r="AI2" s="59"/>
      <c r="AJ2" s="59"/>
      <c r="AK2" s="59"/>
      <c r="AL2" s="59"/>
      <c r="AM2" s="58"/>
      <c r="AN2" s="59"/>
      <c r="AO2" s="59"/>
      <c r="AP2" s="59"/>
      <c r="AQ2" s="59"/>
      <c r="AR2" s="59"/>
      <c r="AS2" s="59"/>
      <c r="AT2" s="59"/>
      <c r="AU2" s="59"/>
      <c r="AV2" s="59"/>
      <c r="AW2" s="59"/>
      <c r="AX2" s="59"/>
      <c r="AY2" s="59"/>
      <c r="AZ2" s="58"/>
      <c r="BA2" s="59"/>
      <c r="BB2" s="59"/>
      <c r="BC2" s="59"/>
      <c r="BD2" s="59"/>
      <c r="BE2" s="59"/>
      <c r="BF2" s="59"/>
      <c r="BG2" s="59"/>
      <c r="BH2" s="59"/>
      <c r="BI2" s="59"/>
      <c r="BJ2" s="59"/>
      <c r="BK2" s="59"/>
      <c r="BL2" s="59"/>
      <c r="BM2" s="90"/>
      <c r="BN2" s="90"/>
      <c r="BO2" s="88"/>
      <c r="BP2" s="88"/>
      <c r="BQ2" s="23"/>
    </row>
    <row r="3" spans="1:69" ht="35.5" thickTop="1" x14ac:dyDescent="0.9">
      <c r="A3" s="64"/>
      <c r="B3" s="64"/>
      <c r="C3" s="64"/>
      <c r="D3" s="64"/>
      <c r="E3" s="64"/>
      <c r="F3" s="64"/>
      <c r="G3" s="64"/>
      <c r="H3" s="64"/>
      <c r="I3" s="64"/>
      <c r="J3" s="64"/>
      <c r="K3" s="64"/>
      <c r="L3" s="23"/>
      <c r="M3" s="57"/>
      <c r="N3" s="57"/>
      <c r="O3" s="57"/>
      <c r="P3" s="57"/>
      <c r="Q3" s="76">
        <f>GETPIVOTDATA("Count of EmployeeID",Pivot_Engine!$A$34)</f>
        <v>1470</v>
      </c>
      <c r="R3" s="76"/>
      <c r="S3" s="76"/>
      <c r="T3" s="76"/>
      <c r="U3" s="76"/>
      <c r="V3" s="76"/>
      <c r="W3" s="23"/>
      <c r="X3" s="23"/>
      <c r="Y3" s="23"/>
      <c r="Z3" s="23"/>
      <c r="AA3" s="56"/>
      <c r="AB3" s="56"/>
      <c r="AC3" s="56"/>
      <c r="AD3" s="56"/>
      <c r="AE3" s="56"/>
      <c r="AF3" s="77">
        <f>GETPIVOTDATA("Average of Attrition",Pivot_Engine!$A$34)</f>
        <v>0.16122448979591836</v>
      </c>
      <c r="AG3" s="77"/>
      <c r="AH3" s="77"/>
      <c r="AI3" s="77"/>
      <c r="AJ3" s="77"/>
      <c r="AK3" s="77"/>
      <c r="AL3" s="23"/>
      <c r="AM3" s="23"/>
      <c r="AN3" s="61"/>
      <c r="AO3" s="61"/>
      <c r="AP3" s="61"/>
      <c r="AQ3" s="79">
        <f>GETPIVOTDATA("Average of Attrition_Risk_Percentage",Pivot_Engine!$A$1)</f>
        <v>0.32335820492109479</v>
      </c>
      <c r="AR3" s="79"/>
      <c r="AS3" s="79"/>
      <c r="AT3" s="79"/>
      <c r="AU3" s="79"/>
      <c r="AV3" s="79"/>
      <c r="AW3" s="79"/>
      <c r="AX3" s="79"/>
      <c r="AY3" s="79"/>
      <c r="AZ3" s="23"/>
      <c r="BA3" s="62"/>
      <c r="BB3" s="62"/>
      <c r="BC3" s="62"/>
      <c r="BD3" s="78">
        <f>SUM(Pivot_Engine!J8:J9)</f>
        <v>114</v>
      </c>
      <c r="BE3" s="78"/>
      <c r="BF3" s="78"/>
      <c r="BG3" s="78"/>
      <c r="BH3" s="78"/>
      <c r="BI3" s="78"/>
      <c r="BJ3" s="78"/>
      <c r="BK3" s="23"/>
      <c r="BL3" s="23"/>
      <c r="BM3" s="89">
        <f>GETPIVOTDATA("IncomeAtRisk",Pivot_Engine!$A$47)</f>
        <v>1497031.5</v>
      </c>
      <c r="BN3" s="89"/>
      <c r="BO3" s="89">
        <f>GETPIVOTDATA("Average of MonthlyIncome",Pivot_Engine!$A$34)</f>
        <v>6502.931292517007</v>
      </c>
      <c r="BP3" s="89"/>
      <c r="BQ3" s="23"/>
    </row>
    <row r="4" spans="1:69" ht="16.5" customHeight="1" x14ac:dyDescent="0.45">
      <c r="A4" s="23"/>
      <c r="B4" s="23"/>
      <c r="C4" s="23"/>
      <c r="D4" s="23"/>
      <c r="E4" s="23"/>
      <c r="F4" s="23"/>
      <c r="G4" s="23"/>
      <c r="H4" s="23"/>
      <c r="I4" s="23"/>
      <c r="J4" s="23"/>
      <c r="K4" s="23"/>
      <c r="L4" s="23"/>
      <c r="M4" s="23"/>
      <c r="N4" s="23"/>
      <c r="O4" s="23"/>
      <c r="P4" s="23"/>
      <c r="Q4" s="67"/>
      <c r="R4" s="80">
        <f>GETPIVOTDATA("Count of EmployeeID",Pivot_Engine!$A$34,"Gender","Male")</f>
        <v>882</v>
      </c>
      <c r="S4" s="23"/>
      <c r="T4" s="23"/>
      <c r="U4" s="23"/>
      <c r="V4" s="80">
        <f>GETPIVOTDATA("Count of EmployeeID",Pivot_Engine!$A$34,"Gender","Female")</f>
        <v>588</v>
      </c>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row>
    <row r="5" spans="1:69" ht="17" customHeight="1" thickBot="1" x14ac:dyDescent="0.5">
      <c r="A5" s="23"/>
      <c r="B5" s="23"/>
      <c r="C5" s="23"/>
      <c r="D5" s="23"/>
      <c r="E5" s="23"/>
      <c r="F5" s="23"/>
      <c r="G5" s="23"/>
      <c r="H5" s="23"/>
      <c r="I5" s="23"/>
      <c r="J5" s="23"/>
      <c r="K5" s="23"/>
      <c r="L5" s="23"/>
      <c r="M5" s="23"/>
      <c r="N5" s="23"/>
      <c r="O5" s="23"/>
      <c r="P5" s="23"/>
      <c r="Q5" s="68"/>
      <c r="R5" s="81"/>
      <c r="S5" s="23"/>
      <c r="T5" s="23"/>
      <c r="U5" s="23"/>
      <c r="V5" s="81"/>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c r="BM5" s="23"/>
      <c r="BN5" s="23"/>
      <c r="BO5" s="23"/>
      <c r="BP5" s="23"/>
      <c r="BQ5" s="23"/>
    </row>
    <row r="6" spans="1:69" ht="17" thickBot="1" x14ac:dyDescent="0.5">
      <c r="A6" s="25"/>
      <c r="B6" s="25"/>
      <c r="C6" s="25"/>
      <c r="D6" s="25"/>
      <c r="E6" s="25"/>
      <c r="F6" s="25"/>
      <c r="G6" s="25"/>
      <c r="H6" s="25"/>
      <c r="I6" s="25"/>
      <c r="J6" s="25"/>
      <c r="K6" s="25"/>
      <c r="L6" s="26"/>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c r="BH6" s="27"/>
      <c r="BI6" s="27"/>
      <c r="BJ6" s="27"/>
      <c r="BK6" s="27"/>
      <c r="BL6" s="27"/>
      <c r="BM6" s="28" t="s">
        <v>1607</v>
      </c>
      <c r="BN6" s="28"/>
      <c r="BO6" s="27"/>
      <c r="BP6" s="27"/>
      <c r="BQ6" s="29"/>
    </row>
    <row r="7" spans="1:69" x14ac:dyDescent="0.45">
      <c r="A7" s="25"/>
      <c r="B7" s="25"/>
      <c r="C7" s="25"/>
      <c r="D7" s="25"/>
      <c r="E7" s="25"/>
      <c r="F7" s="25"/>
      <c r="G7" s="25"/>
      <c r="H7" s="25"/>
      <c r="I7" s="25"/>
      <c r="J7" s="25"/>
      <c r="K7" s="25"/>
      <c r="L7" s="30"/>
      <c r="M7" s="31"/>
      <c r="N7" s="31"/>
      <c r="O7" s="31"/>
      <c r="P7" s="31"/>
      <c r="Q7" s="31"/>
      <c r="R7" s="31"/>
      <c r="S7" s="31"/>
      <c r="T7" s="31"/>
      <c r="U7" s="31"/>
      <c r="V7" s="31"/>
      <c r="W7" s="75" t="s">
        <v>1603</v>
      </c>
      <c r="X7" s="75"/>
      <c r="Y7" s="75"/>
      <c r="Z7" s="75"/>
      <c r="AA7" s="75"/>
      <c r="AB7" s="75"/>
      <c r="AC7" s="75"/>
      <c r="AD7" s="75"/>
      <c r="AE7" s="75"/>
      <c r="AF7" s="75"/>
      <c r="AG7" s="75"/>
      <c r="AH7" s="75"/>
      <c r="AI7" s="31"/>
      <c r="AJ7" s="31"/>
      <c r="AK7" s="31"/>
      <c r="AL7" s="31"/>
      <c r="AM7" s="31"/>
      <c r="AN7" s="31"/>
      <c r="AO7" s="31"/>
      <c r="AP7" s="31"/>
      <c r="AQ7" s="31"/>
      <c r="AR7" s="32"/>
      <c r="AS7" s="32"/>
      <c r="AT7" s="31"/>
      <c r="AU7" s="31"/>
      <c r="AV7" s="31"/>
      <c r="AW7" s="31"/>
      <c r="AX7" s="31"/>
      <c r="AY7" s="75" t="s">
        <v>1600</v>
      </c>
      <c r="AZ7" s="75"/>
      <c r="BA7" s="75"/>
      <c r="BB7" s="75"/>
      <c r="BC7" s="75"/>
      <c r="BD7" s="75"/>
      <c r="BE7" s="75"/>
      <c r="BF7" s="31"/>
      <c r="BG7" s="31"/>
      <c r="BH7" s="31"/>
      <c r="BI7" s="31"/>
      <c r="BJ7" s="31"/>
      <c r="BK7" s="32"/>
      <c r="BL7" s="32"/>
      <c r="BM7" s="33" t="s">
        <v>1594</v>
      </c>
      <c r="BN7" s="34" t="s">
        <v>1598</v>
      </c>
      <c r="BO7" s="35" t="s">
        <v>1596</v>
      </c>
      <c r="BP7" s="36" t="s">
        <v>1599</v>
      </c>
      <c r="BQ7" s="37"/>
    </row>
    <row r="8" spans="1:69" x14ac:dyDescent="0.45">
      <c r="A8" s="25"/>
      <c r="B8" s="25"/>
      <c r="C8" s="25"/>
      <c r="D8" s="25"/>
      <c r="E8" s="25"/>
      <c r="F8" s="25"/>
      <c r="G8" s="25"/>
      <c r="H8" s="25"/>
      <c r="I8" s="25"/>
      <c r="J8" s="25"/>
      <c r="K8" s="25"/>
      <c r="L8" s="30"/>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2"/>
      <c r="AS8" s="32"/>
      <c r="AT8" s="31"/>
      <c r="AU8" s="31"/>
      <c r="AV8" s="31"/>
      <c r="AW8" s="31"/>
      <c r="AX8" s="31"/>
      <c r="AY8" s="31"/>
      <c r="AZ8" s="31"/>
      <c r="BA8" s="31"/>
      <c r="BB8" s="31"/>
      <c r="BC8" s="31"/>
      <c r="BD8" s="31"/>
      <c r="BE8" s="31"/>
      <c r="BF8" s="31"/>
      <c r="BG8" s="31"/>
      <c r="BH8" s="31"/>
      <c r="BI8" s="31"/>
      <c r="BJ8" s="31"/>
      <c r="BK8" s="32"/>
      <c r="BL8" s="32"/>
      <c r="BM8" s="38" t="str">
        <f>Pivot_Engine!I34</f>
        <v>EMP-100258</v>
      </c>
      <c r="BN8" s="39" t="str">
        <f>Pivot_Engine!J34</f>
        <v>Research Scientist</v>
      </c>
      <c r="BO8" s="40">
        <f>Pivot_Engine!K34</f>
        <v>0.85514326691283105</v>
      </c>
      <c r="BP8" s="41" t="str">
        <f>REPT("★",Pivot_Engine!L34) &amp; REPT("☆",4-Pivot_Engine!L34)</f>
        <v>★★★☆</v>
      </c>
      <c r="BQ8" s="37"/>
    </row>
    <row r="9" spans="1:69" x14ac:dyDescent="0.45">
      <c r="A9" s="25"/>
      <c r="B9" s="25"/>
      <c r="C9" s="25"/>
      <c r="D9" s="25"/>
      <c r="E9" s="25"/>
      <c r="F9" s="25"/>
      <c r="G9" s="25"/>
      <c r="H9" s="25"/>
      <c r="I9" s="25"/>
      <c r="J9" s="25"/>
      <c r="K9" s="25"/>
      <c r="L9" s="30"/>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2"/>
      <c r="AS9" s="32"/>
      <c r="AT9" s="31"/>
      <c r="AU9" s="31"/>
      <c r="AV9" s="31"/>
      <c r="AW9" s="31"/>
      <c r="AX9" s="31"/>
      <c r="AY9" s="31"/>
      <c r="AZ9" s="31"/>
      <c r="BA9" s="31"/>
      <c r="BB9" s="31"/>
      <c r="BC9" s="31"/>
      <c r="BD9" s="31"/>
      <c r="BE9" s="31"/>
      <c r="BF9" s="31"/>
      <c r="BG9" s="31"/>
      <c r="BH9" s="31"/>
      <c r="BI9" s="31"/>
      <c r="BJ9" s="31"/>
      <c r="BK9" s="32"/>
      <c r="BL9" s="32"/>
      <c r="BM9" s="38" t="str">
        <f>Pivot_Engine!I35</f>
        <v>EMP-100284</v>
      </c>
      <c r="BN9" s="39" t="str">
        <f>Pivot_Engine!J35</f>
        <v>Laboratory Technician</v>
      </c>
      <c r="BO9" s="40">
        <f>Pivot_Engine!K35</f>
        <v>0.82221159616990469</v>
      </c>
      <c r="BP9" s="41" t="str">
        <f>REPT("★",Pivot_Engine!L35) &amp; REPT("☆",4-Pivot_Engine!L35)</f>
        <v>★★★☆</v>
      </c>
      <c r="BQ9" s="37"/>
    </row>
    <row r="10" spans="1:69" x14ac:dyDescent="0.45">
      <c r="A10" s="25"/>
      <c r="B10" s="25"/>
      <c r="C10" s="25"/>
      <c r="D10" s="25"/>
      <c r="E10" s="25"/>
      <c r="F10" s="25"/>
      <c r="G10" s="25"/>
      <c r="H10" s="25"/>
      <c r="I10" s="25"/>
      <c r="J10" s="25"/>
      <c r="K10" s="25"/>
      <c r="L10" s="30"/>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2"/>
      <c r="AS10" s="32"/>
      <c r="AT10" s="31"/>
      <c r="AU10" s="31"/>
      <c r="AV10" s="31"/>
      <c r="AW10" s="31"/>
      <c r="AX10" s="31"/>
      <c r="AY10" s="31"/>
      <c r="AZ10" s="31"/>
      <c r="BA10" s="31"/>
      <c r="BB10" s="31"/>
      <c r="BC10" s="31"/>
      <c r="BD10" s="31"/>
      <c r="BE10" s="31"/>
      <c r="BF10" s="31"/>
      <c r="BG10" s="31"/>
      <c r="BH10" s="31"/>
      <c r="BI10" s="31"/>
      <c r="BJ10" s="31"/>
      <c r="BK10" s="32"/>
      <c r="BL10" s="32"/>
      <c r="BM10" s="38" t="str">
        <f>Pivot_Engine!I36</f>
        <v>EMP-100363</v>
      </c>
      <c r="BN10" s="39" t="str">
        <f>Pivot_Engine!J36</f>
        <v>Research Scientist</v>
      </c>
      <c r="BO10" s="40">
        <f>Pivot_Engine!K36</f>
        <v>0.82221159616990469</v>
      </c>
      <c r="BP10" s="41" t="str">
        <f>REPT("★",Pivot_Engine!L36) &amp; REPT("☆",4-Pivot_Engine!L36)</f>
        <v>★★★☆</v>
      </c>
      <c r="BQ10" s="37"/>
    </row>
    <row r="11" spans="1:69" x14ac:dyDescent="0.45">
      <c r="A11" s="25"/>
      <c r="B11" s="25"/>
      <c r="C11" s="25"/>
      <c r="D11" s="25"/>
      <c r="E11" s="25"/>
      <c r="F11" s="25"/>
      <c r="G11" s="25"/>
      <c r="H11" s="65"/>
      <c r="I11" s="66"/>
      <c r="J11" s="25"/>
      <c r="K11" s="25"/>
      <c r="L11" s="30"/>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2"/>
      <c r="AS11" s="32"/>
      <c r="AT11" s="31"/>
      <c r="AU11" s="31"/>
      <c r="AV11" s="31"/>
      <c r="AW11" s="31"/>
      <c r="AX11" s="31"/>
      <c r="AY11" s="31"/>
      <c r="AZ11" s="31"/>
      <c r="BA11" s="31"/>
      <c r="BB11" s="31"/>
      <c r="BC11" s="31"/>
      <c r="BD11" s="31"/>
      <c r="BE11" s="31"/>
      <c r="BF11" s="31"/>
      <c r="BG11" s="31"/>
      <c r="BH11" s="31"/>
      <c r="BI11" s="31"/>
      <c r="BJ11" s="31"/>
      <c r="BK11" s="32"/>
      <c r="BL11" s="32"/>
      <c r="BM11" s="38" t="str">
        <f>Pivot_Engine!I37</f>
        <v>EMP-100462</v>
      </c>
      <c r="BN11" s="39" t="str">
        <f>Pivot_Engine!J37</f>
        <v>Manufacturing Director</v>
      </c>
      <c r="BO11" s="40">
        <f>Pivot_Engine!K37</f>
        <v>0.82221159616990469</v>
      </c>
      <c r="BP11" s="41" t="str">
        <f>REPT("★",Pivot_Engine!L37) &amp; REPT("☆",4-Pivot_Engine!L37)</f>
        <v>★★★☆</v>
      </c>
      <c r="BQ11" s="37"/>
    </row>
    <row r="12" spans="1:69" x14ac:dyDescent="0.45">
      <c r="A12" s="25"/>
      <c r="B12" s="25"/>
      <c r="C12" s="25"/>
      <c r="D12" s="25"/>
      <c r="E12" s="25"/>
      <c r="F12" s="25"/>
      <c r="G12" s="25"/>
      <c r="H12" s="65"/>
      <c r="I12" s="66"/>
      <c r="J12" s="25"/>
      <c r="K12" s="25"/>
      <c r="L12" s="30"/>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2"/>
      <c r="AS12" s="32"/>
      <c r="AT12" s="31"/>
      <c r="AU12" s="31"/>
      <c r="AV12" s="31"/>
      <c r="AW12" s="31"/>
      <c r="AX12" s="31"/>
      <c r="AY12" s="31"/>
      <c r="AZ12" s="31"/>
      <c r="BA12" s="31"/>
      <c r="BB12" s="31"/>
      <c r="BC12" s="31"/>
      <c r="BD12" s="31"/>
      <c r="BE12" s="31"/>
      <c r="BF12" s="31"/>
      <c r="BG12" s="31"/>
      <c r="BH12" s="31"/>
      <c r="BI12" s="31"/>
      <c r="BJ12" s="31"/>
      <c r="BK12" s="32"/>
      <c r="BL12" s="32"/>
      <c r="BM12" s="38" t="str">
        <f>Pivot_Engine!I38</f>
        <v>EMP-100673</v>
      </c>
      <c r="BN12" s="39" t="str">
        <f>Pivot_Engine!J38</f>
        <v>Healthcare Representative</v>
      </c>
      <c r="BO12" s="40">
        <f>Pivot_Engine!K38</f>
        <v>0.8909196673228964</v>
      </c>
      <c r="BP12" s="41" t="str">
        <f>REPT("★",Pivot_Engine!L38) &amp; REPT("☆",4-Pivot_Engine!L38)</f>
        <v>★★★☆</v>
      </c>
      <c r="BQ12" s="37"/>
    </row>
    <row r="13" spans="1:69" x14ac:dyDescent="0.45">
      <c r="A13" s="25"/>
      <c r="B13" s="25"/>
      <c r="C13" s="25"/>
      <c r="D13" s="25"/>
      <c r="E13" s="25"/>
      <c r="F13" s="25"/>
      <c r="G13" s="25"/>
      <c r="H13" s="65"/>
      <c r="I13" s="66"/>
      <c r="J13" s="25"/>
      <c r="K13" s="25"/>
      <c r="L13" s="30"/>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2"/>
      <c r="AS13" s="32"/>
      <c r="AT13" s="31"/>
      <c r="AU13" s="31"/>
      <c r="AV13" s="31"/>
      <c r="AW13" s="31"/>
      <c r="AX13" s="31"/>
      <c r="AY13" s="31"/>
      <c r="AZ13" s="31"/>
      <c r="BA13" s="31"/>
      <c r="BB13" s="31"/>
      <c r="BC13" s="31"/>
      <c r="BD13" s="31"/>
      <c r="BE13" s="31"/>
      <c r="BF13" s="31"/>
      <c r="BG13" s="31"/>
      <c r="BH13" s="31"/>
      <c r="BI13" s="31"/>
      <c r="BJ13" s="31"/>
      <c r="BK13" s="32"/>
      <c r="BL13" s="32"/>
      <c r="BM13" s="38" t="str">
        <f>Pivot_Engine!I39</f>
        <v>EMP-100713</v>
      </c>
      <c r="BN13" s="39" t="str">
        <f>Pivot_Engine!J39</f>
        <v>Research Scientist</v>
      </c>
      <c r="BO13" s="40">
        <f>Pivot_Engine!K39</f>
        <v>0.82221159616990469</v>
      </c>
      <c r="BP13" s="41" t="str">
        <f>REPT("★",Pivot_Engine!L39) &amp; REPT("☆",4-Pivot_Engine!L39)</f>
        <v>★★★☆</v>
      </c>
      <c r="BQ13" s="37"/>
    </row>
    <row r="14" spans="1:69" ht="17" thickBot="1" x14ac:dyDescent="0.5">
      <c r="A14" s="25"/>
      <c r="B14" s="25"/>
      <c r="C14" s="25"/>
      <c r="D14" s="25"/>
      <c r="E14" s="25"/>
      <c r="F14" s="25"/>
      <c r="G14" s="25"/>
      <c r="H14" s="65"/>
      <c r="I14" s="66"/>
      <c r="J14" s="25"/>
      <c r="K14" s="25"/>
      <c r="L14" s="30"/>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2"/>
      <c r="AS14" s="32"/>
      <c r="AT14" s="31"/>
      <c r="AU14" s="31"/>
      <c r="AV14" s="31"/>
      <c r="AW14" s="31"/>
      <c r="AX14" s="31"/>
      <c r="AY14" s="31"/>
      <c r="AZ14" s="31"/>
      <c r="BA14" s="31"/>
      <c r="BB14" s="31"/>
      <c r="BC14" s="31"/>
      <c r="BD14" s="31"/>
      <c r="BE14" s="31"/>
      <c r="BF14" s="31"/>
      <c r="BG14" s="31"/>
      <c r="BH14" s="31"/>
      <c r="BI14" s="31"/>
      <c r="BJ14" s="31"/>
      <c r="BK14" s="32"/>
      <c r="BL14" s="32"/>
      <c r="BM14" s="42" t="str">
        <f>Pivot_Engine!I40</f>
        <v>EMP-100760</v>
      </c>
      <c r="BN14" s="43" t="str">
        <f>Pivot_Engine!J40</f>
        <v>Laboratory Technician</v>
      </c>
      <c r="BO14" s="44">
        <f>Pivot_Engine!K40</f>
        <v>0.82221159616990469</v>
      </c>
      <c r="BP14" s="45" t="str">
        <f>REPT("★",Pivot_Engine!L40) &amp; REPT("☆",4-Pivot_Engine!L40)</f>
        <v>★★★☆</v>
      </c>
      <c r="BQ14" s="37"/>
    </row>
    <row r="15" spans="1:69" x14ac:dyDescent="0.45">
      <c r="A15" s="25"/>
      <c r="B15" s="25"/>
      <c r="C15" s="25"/>
      <c r="D15" s="25"/>
      <c r="E15" s="25"/>
      <c r="F15" s="25"/>
      <c r="G15" s="25"/>
      <c r="H15" s="25"/>
      <c r="I15" s="25"/>
      <c r="J15" s="25"/>
      <c r="K15" s="25"/>
      <c r="L15" s="30"/>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2"/>
      <c r="AS15" s="32"/>
      <c r="AT15" s="31"/>
      <c r="AU15" s="31"/>
      <c r="AV15" s="31"/>
      <c r="AW15" s="31"/>
      <c r="AX15" s="31"/>
      <c r="AY15" s="31"/>
      <c r="AZ15" s="31"/>
      <c r="BA15" s="31"/>
      <c r="BB15" s="31"/>
      <c r="BC15" s="31"/>
      <c r="BD15" s="31"/>
      <c r="BE15" s="31"/>
      <c r="BF15" s="31"/>
      <c r="BG15" s="31"/>
      <c r="BH15" s="31"/>
      <c r="BI15" s="31"/>
      <c r="BJ15" s="31"/>
      <c r="BK15" s="32"/>
      <c r="BL15" s="32"/>
      <c r="BM15" s="32"/>
      <c r="BN15" s="32"/>
      <c r="BO15" s="32"/>
      <c r="BP15" s="32"/>
      <c r="BQ15" s="37"/>
    </row>
    <row r="16" spans="1:69" x14ac:dyDescent="0.45">
      <c r="A16" s="25"/>
      <c r="B16" s="25"/>
      <c r="C16" s="25"/>
      <c r="D16" s="25"/>
      <c r="E16" s="25"/>
      <c r="F16" s="25"/>
      <c r="G16" s="25"/>
      <c r="H16" s="25"/>
      <c r="I16" s="25"/>
      <c r="J16" s="25"/>
      <c r="K16" s="25"/>
      <c r="L16" s="30"/>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2"/>
      <c r="AS16" s="32"/>
      <c r="AT16" s="31"/>
      <c r="AU16" s="31"/>
      <c r="AV16" s="31"/>
      <c r="AW16" s="31"/>
      <c r="AX16" s="31"/>
      <c r="AY16" s="31"/>
      <c r="AZ16" s="31"/>
      <c r="BA16" s="31"/>
      <c r="BB16" s="31"/>
      <c r="BC16" s="31"/>
      <c r="BD16" s="31"/>
      <c r="BE16" s="31"/>
      <c r="BF16" s="31"/>
      <c r="BG16" s="31"/>
      <c r="BH16" s="31"/>
      <c r="BI16" s="31"/>
      <c r="BJ16" s="31"/>
      <c r="BK16" s="32"/>
      <c r="BL16" s="32"/>
      <c r="BM16" s="32"/>
      <c r="BN16" s="32"/>
      <c r="BO16" s="32"/>
      <c r="BP16" s="32"/>
      <c r="BQ16" s="37"/>
    </row>
    <row r="17" spans="1:69" x14ac:dyDescent="0.45">
      <c r="A17" s="25"/>
      <c r="B17" s="25"/>
      <c r="C17" s="25"/>
      <c r="D17" s="25"/>
      <c r="E17" s="25"/>
      <c r="F17" s="25"/>
      <c r="G17" s="25"/>
      <c r="H17" s="25"/>
      <c r="I17" s="25"/>
      <c r="J17" s="25"/>
      <c r="K17" s="25"/>
      <c r="L17" s="30"/>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2"/>
      <c r="AS17" s="32"/>
      <c r="AT17" s="31"/>
      <c r="AU17" s="31"/>
      <c r="AV17" s="31"/>
      <c r="AW17" s="31"/>
      <c r="AX17" s="31"/>
      <c r="AY17" s="31"/>
      <c r="AZ17" s="31"/>
      <c r="BA17" s="31"/>
      <c r="BB17" s="31"/>
      <c r="BC17" s="31"/>
      <c r="BD17" s="31"/>
      <c r="BE17" s="31"/>
      <c r="BF17" s="31"/>
      <c r="BG17" s="31"/>
      <c r="BH17" s="31"/>
      <c r="BI17" s="31"/>
      <c r="BJ17" s="31"/>
      <c r="BK17" s="32"/>
      <c r="BL17" s="32"/>
      <c r="BM17" s="32"/>
      <c r="BN17" s="32"/>
      <c r="BO17" s="32"/>
      <c r="BP17" s="32"/>
      <c r="BQ17" s="37"/>
    </row>
    <row r="18" spans="1:69" x14ac:dyDescent="0.45">
      <c r="A18" s="25"/>
      <c r="B18" s="25"/>
      <c r="C18" s="25"/>
      <c r="D18" s="25"/>
      <c r="E18" s="25"/>
      <c r="F18" s="25"/>
      <c r="G18" s="25"/>
      <c r="H18" s="25"/>
      <c r="I18" s="25"/>
      <c r="J18" s="25"/>
      <c r="K18" s="25"/>
      <c r="L18" s="30"/>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2"/>
      <c r="AS18" s="32"/>
      <c r="AT18" s="31"/>
      <c r="AU18" s="31"/>
      <c r="AV18" s="31"/>
      <c r="AW18" s="31"/>
      <c r="AX18" s="31"/>
      <c r="AY18" s="31"/>
      <c r="AZ18" s="31"/>
      <c r="BA18" s="31"/>
      <c r="BB18" s="31"/>
      <c r="BC18" s="31"/>
      <c r="BD18" s="31"/>
      <c r="BE18" s="31"/>
      <c r="BF18" s="31"/>
      <c r="BG18" s="31"/>
      <c r="BH18" s="31"/>
      <c r="BI18" s="31"/>
      <c r="BJ18" s="31"/>
      <c r="BK18" s="32"/>
      <c r="BL18" s="32"/>
      <c r="BM18" s="32"/>
      <c r="BN18" s="32"/>
      <c r="BO18" s="32"/>
      <c r="BP18" s="32"/>
      <c r="BQ18" s="37"/>
    </row>
    <row r="19" spans="1:69" x14ac:dyDescent="0.45">
      <c r="A19" s="25"/>
      <c r="B19" s="25"/>
      <c r="C19" s="25"/>
      <c r="D19" s="25"/>
      <c r="E19" s="25"/>
      <c r="F19" s="25"/>
      <c r="G19" s="25"/>
      <c r="H19" s="25"/>
      <c r="I19" s="25"/>
      <c r="J19" s="25"/>
      <c r="K19" s="25"/>
      <c r="L19" s="30"/>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2"/>
      <c r="AS19" s="32"/>
      <c r="AT19" s="31"/>
      <c r="AU19" s="31"/>
      <c r="AV19" s="31"/>
      <c r="AW19" s="31"/>
      <c r="AX19" s="31"/>
      <c r="AY19" s="31"/>
      <c r="AZ19" s="31"/>
      <c r="BA19" s="31"/>
      <c r="BB19" s="31"/>
      <c r="BC19" s="31"/>
      <c r="BD19" s="31"/>
      <c r="BE19" s="31"/>
      <c r="BF19" s="31"/>
      <c r="BG19" s="31"/>
      <c r="BH19" s="31"/>
      <c r="BI19" s="31"/>
      <c r="BJ19" s="31"/>
      <c r="BK19" s="32"/>
      <c r="BL19" s="32"/>
      <c r="BM19" s="32"/>
      <c r="BN19" s="32"/>
      <c r="BO19" s="32"/>
      <c r="BP19" s="32"/>
      <c r="BQ19" s="37"/>
    </row>
    <row r="20" spans="1:69" x14ac:dyDescent="0.45">
      <c r="A20" s="25"/>
      <c r="B20" s="25"/>
      <c r="C20" s="25"/>
      <c r="D20" s="25"/>
      <c r="E20" s="25"/>
      <c r="F20" s="25"/>
      <c r="G20" s="25"/>
      <c r="H20" s="25"/>
      <c r="I20" s="25"/>
      <c r="J20" s="25"/>
      <c r="K20" s="25"/>
      <c r="L20" s="30"/>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2"/>
      <c r="BK20" s="32"/>
      <c r="BL20" s="32"/>
      <c r="BM20" s="32"/>
      <c r="BN20" s="32"/>
      <c r="BO20" s="32"/>
      <c r="BP20" s="32"/>
      <c r="BQ20" s="37"/>
    </row>
    <row r="21" spans="1:69" x14ac:dyDescent="0.45">
      <c r="A21" s="25"/>
      <c r="B21" s="25"/>
      <c r="C21" s="25"/>
      <c r="D21" s="25"/>
      <c r="E21" s="25"/>
      <c r="F21" s="25"/>
      <c r="G21" s="25"/>
      <c r="H21" s="25"/>
      <c r="I21" s="25"/>
      <c r="J21" s="25"/>
      <c r="K21" s="25"/>
      <c r="L21" s="30"/>
      <c r="M21" s="31"/>
      <c r="N21" s="31"/>
      <c r="O21" s="31"/>
      <c r="P21" s="31"/>
      <c r="Q21" s="31"/>
      <c r="R21" s="31"/>
      <c r="S21" s="31"/>
      <c r="T21" s="31"/>
      <c r="U21" s="31"/>
      <c r="V21" s="31"/>
      <c r="W21" s="49"/>
      <c r="X21" s="49"/>
      <c r="Y21" s="75" t="s">
        <v>1604</v>
      </c>
      <c r="Z21" s="75"/>
      <c r="AA21" s="75"/>
      <c r="AB21" s="75"/>
      <c r="AC21" s="75"/>
      <c r="AD21" s="75"/>
      <c r="AE21" s="75"/>
      <c r="AF21" s="75"/>
      <c r="AG21" s="75"/>
      <c r="AH21" s="75"/>
      <c r="AI21" s="75"/>
      <c r="AJ21" s="75"/>
      <c r="AK21" s="31"/>
      <c r="AL21" s="31"/>
      <c r="AM21" s="31"/>
      <c r="AN21" s="31"/>
      <c r="AO21" s="31"/>
      <c r="AP21" s="31"/>
      <c r="AQ21" s="31"/>
      <c r="AR21" s="31"/>
      <c r="AS21" s="31"/>
      <c r="AT21" s="31"/>
      <c r="AU21" s="31"/>
      <c r="AV21" s="31"/>
      <c r="AW21" s="32"/>
      <c r="AX21" s="32"/>
      <c r="AY21" s="32"/>
      <c r="AZ21" s="31"/>
      <c r="BA21" s="31"/>
      <c r="BB21" s="31"/>
      <c r="BC21" s="31"/>
      <c r="BD21" s="31"/>
      <c r="BE21" s="31"/>
      <c r="BF21" s="31"/>
      <c r="BG21" s="31"/>
      <c r="BH21" s="31"/>
      <c r="BI21" s="31"/>
      <c r="BJ21" s="31"/>
      <c r="BK21" s="31"/>
      <c r="BL21" s="75" t="s">
        <v>1606</v>
      </c>
      <c r="BM21" s="75"/>
      <c r="BN21" s="75"/>
      <c r="BO21" s="31"/>
      <c r="BP21" s="31"/>
      <c r="BQ21" s="37"/>
    </row>
    <row r="22" spans="1:69" x14ac:dyDescent="0.45">
      <c r="A22" s="25"/>
      <c r="B22" s="25"/>
      <c r="C22" s="25"/>
      <c r="D22" s="25"/>
      <c r="E22" s="25"/>
      <c r="F22" s="25"/>
      <c r="G22" s="25"/>
      <c r="H22" s="25"/>
      <c r="I22" s="25"/>
      <c r="J22" s="25"/>
      <c r="K22" s="25"/>
      <c r="L22" s="30"/>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2"/>
      <c r="AX22" s="32"/>
      <c r="AY22" s="32"/>
      <c r="AZ22" s="31"/>
      <c r="BA22" s="31"/>
      <c r="BB22" s="31"/>
      <c r="BC22" s="31"/>
      <c r="BD22" s="31"/>
      <c r="BE22" s="31"/>
      <c r="BF22" s="31"/>
      <c r="BG22" s="31"/>
      <c r="BH22" s="31"/>
      <c r="BI22" s="31"/>
      <c r="BJ22" s="31"/>
      <c r="BK22" s="31"/>
      <c r="BL22" s="31"/>
      <c r="BM22" s="31"/>
      <c r="BN22" s="31"/>
      <c r="BO22" s="31"/>
      <c r="BP22" s="31"/>
      <c r="BQ22" s="37"/>
    </row>
    <row r="23" spans="1:69" x14ac:dyDescent="0.45">
      <c r="A23" s="25"/>
      <c r="B23" s="25"/>
      <c r="C23" s="25"/>
      <c r="D23" s="25"/>
      <c r="E23" s="25"/>
      <c r="F23" s="25"/>
      <c r="G23" s="25"/>
      <c r="H23" s="25"/>
      <c r="I23" s="25"/>
      <c r="J23" s="25"/>
      <c r="K23" s="25"/>
      <c r="L23" s="30"/>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2"/>
      <c r="AX23" s="32"/>
      <c r="AY23" s="32"/>
      <c r="AZ23" s="31"/>
      <c r="BA23" s="31"/>
      <c r="BB23" s="31"/>
      <c r="BC23" s="31"/>
      <c r="BD23" s="31"/>
      <c r="BE23" s="31"/>
      <c r="BF23" s="31"/>
      <c r="BG23" s="31"/>
      <c r="BH23" s="31"/>
      <c r="BI23" s="31"/>
      <c r="BJ23" s="31"/>
      <c r="BK23" s="31"/>
      <c r="BL23" s="31"/>
      <c r="BM23" s="31"/>
      <c r="BN23" s="31"/>
      <c r="BO23" s="31"/>
      <c r="BP23" s="31"/>
      <c r="BQ23" s="37"/>
    </row>
    <row r="24" spans="1:69" x14ac:dyDescent="0.45">
      <c r="A24" s="25"/>
      <c r="B24" s="25"/>
      <c r="C24" s="25"/>
      <c r="D24" s="25"/>
      <c r="E24" s="25"/>
      <c r="F24" s="25"/>
      <c r="G24" s="25"/>
      <c r="H24" s="25"/>
      <c r="I24" s="25"/>
      <c r="J24" s="25"/>
      <c r="K24" s="25"/>
      <c r="L24" s="30"/>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2"/>
      <c r="AX24" s="32"/>
      <c r="AY24" s="32"/>
      <c r="AZ24" s="31"/>
      <c r="BA24" s="31"/>
      <c r="BB24" s="31"/>
      <c r="BC24" s="31"/>
      <c r="BD24" s="31"/>
      <c r="BE24" s="31"/>
      <c r="BF24" s="31"/>
      <c r="BG24" s="31"/>
      <c r="BH24" s="31"/>
      <c r="BI24" s="31"/>
      <c r="BJ24" s="31"/>
      <c r="BK24" s="31"/>
      <c r="BL24" s="31"/>
      <c r="BM24" s="31"/>
      <c r="BN24" s="31"/>
      <c r="BO24" s="31"/>
      <c r="BP24" s="31"/>
      <c r="BQ24" s="37"/>
    </row>
    <row r="25" spans="1:69" x14ac:dyDescent="0.45">
      <c r="A25" s="25"/>
      <c r="B25" s="25"/>
      <c r="C25" s="25"/>
      <c r="D25" s="25"/>
      <c r="E25" s="25"/>
      <c r="F25" s="25"/>
      <c r="G25" s="25"/>
      <c r="H25" s="25"/>
      <c r="I25" s="25"/>
      <c r="J25" s="25"/>
      <c r="K25" s="25"/>
      <c r="L25" s="30"/>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2"/>
      <c r="AX25" s="32"/>
      <c r="AY25" s="32"/>
      <c r="AZ25" s="31"/>
      <c r="BA25" s="31"/>
      <c r="BB25" s="31"/>
      <c r="BC25" s="31"/>
      <c r="BD25" s="31"/>
      <c r="BE25" s="31"/>
      <c r="BF25" s="31"/>
      <c r="BG25" s="31"/>
      <c r="BH25" s="31"/>
      <c r="BI25" s="31"/>
      <c r="BJ25" s="31"/>
      <c r="BK25" s="31"/>
      <c r="BL25" s="31"/>
      <c r="BM25" s="31"/>
      <c r="BN25" s="31"/>
      <c r="BO25" s="31"/>
      <c r="BP25" s="31"/>
      <c r="BQ25" s="37"/>
    </row>
    <row r="26" spans="1:69" x14ac:dyDescent="0.45">
      <c r="A26" s="25"/>
      <c r="B26" s="25"/>
      <c r="C26" s="25"/>
      <c r="D26" s="25"/>
      <c r="E26" s="25"/>
      <c r="F26" s="25"/>
      <c r="G26" s="25"/>
      <c r="H26" s="25"/>
      <c r="I26" s="25"/>
      <c r="J26" s="25"/>
      <c r="K26" s="25"/>
      <c r="L26" s="30"/>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2"/>
      <c r="AX26" s="32"/>
      <c r="AY26" s="32"/>
      <c r="AZ26" s="31"/>
      <c r="BA26" s="31"/>
      <c r="BB26" s="31"/>
      <c r="BC26" s="31"/>
      <c r="BD26" s="31"/>
      <c r="BE26" s="31"/>
      <c r="BF26" s="31"/>
      <c r="BG26" s="31"/>
      <c r="BH26" s="31"/>
      <c r="BI26" s="31"/>
      <c r="BJ26" s="31"/>
      <c r="BK26" s="31"/>
      <c r="BL26" s="31"/>
      <c r="BM26" s="31"/>
      <c r="BN26" s="31"/>
      <c r="BO26" s="31"/>
      <c r="BP26" s="31"/>
      <c r="BQ26" s="37"/>
    </row>
    <row r="27" spans="1:69" x14ac:dyDescent="0.45">
      <c r="A27" s="25"/>
      <c r="B27" s="25"/>
      <c r="C27" s="25"/>
      <c r="D27" s="25"/>
      <c r="E27" s="25"/>
      <c r="F27" s="25"/>
      <c r="G27" s="25"/>
      <c r="H27" s="25"/>
      <c r="I27" s="25"/>
      <c r="J27" s="25"/>
      <c r="K27" s="25"/>
      <c r="L27" s="30"/>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2"/>
      <c r="AX27" s="32"/>
      <c r="AY27" s="32"/>
      <c r="AZ27" s="31"/>
      <c r="BA27" s="31"/>
      <c r="BB27" s="31"/>
      <c r="BC27" s="31"/>
      <c r="BD27" s="31"/>
      <c r="BE27" s="31"/>
      <c r="BF27" s="31"/>
      <c r="BG27" s="31"/>
      <c r="BH27" s="31"/>
      <c r="BI27" s="31"/>
      <c r="BJ27" s="31"/>
      <c r="BK27" s="31"/>
      <c r="BL27" s="31"/>
      <c r="BM27" s="31"/>
      <c r="BN27" s="31"/>
      <c r="BO27" s="31"/>
      <c r="BP27" s="31"/>
      <c r="BQ27" s="37"/>
    </row>
    <row r="28" spans="1:69" x14ac:dyDescent="0.45">
      <c r="A28" s="25"/>
      <c r="B28" s="25"/>
      <c r="C28" s="25"/>
      <c r="D28" s="25"/>
      <c r="E28" s="25"/>
      <c r="F28" s="25"/>
      <c r="G28" s="25"/>
      <c r="H28" s="25"/>
      <c r="I28" s="25"/>
      <c r="J28" s="25"/>
      <c r="K28" s="25"/>
      <c r="L28" s="30"/>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2"/>
      <c r="AX28" s="32"/>
      <c r="AY28" s="32"/>
      <c r="AZ28" s="31"/>
      <c r="BA28" s="31"/>
      <c r="BB28" s="31"/>
      <c r="BC28" s="31"/>
      <c r="BD28" s="31"/>
      <c r="BE28" s="31"/>
      <c r="BF28" s="31"/>
      <c r="BG28" s="31"/>
      <c r="BH28" s="31"/>
      <c r="BI28" s="31"/>
      <c r="BJ28" s="31"/>
      <c r="BK28" s="31"/>
      <c r="BL28" s="31"/>
      <c r="BM28" s="31"/>
      <c r="BN28" s="31"/>
      <c r="BO28" s="31"/>
      <c r="BP28" s="31"/>
      <c r="BQ28" s="37"/>
    </row>
    <row r="29" spans="1:69" x14ac:dyDescent="0.45">
      <c r="A29" s="25"/>
      <c r="B29" s="25"/>
      <c r="C29" s="25"/>
      <c r="D29" s="25"/>
      <c r="E29" s="25"/>
      <c r="F29" s="25"/>
      <c r="G29" s="25"/>
      <c r="H29" s="25"/>
      <c r="I29" s="25"/>
      <c r="J29" s="25"/>
      <c r="K29" s="25"/>
      <c r="L29" s="30"/>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2"/>
      <c r="AX29" s="32"/>
      <c r="AY29" s="32"/>
      <c r="AZ29" s="31"/>
      <c r="BA29" s="31"/>
      <c r="BB29" s="31"/>
      <c r="BC29" s="31"/>
      <c r="BD29" s="31"/>
      <c r="BE29" s="31"/>
      <c r="BF29" s="31"/>
      <c r="BG29" s="31"/>
      <c r="BH29" s="31"/>
      <c r="BI29" s="31"/>
      <c r="BJ29" s="31"/>
      <c r="BK29" s="31"/>
      <c r="BL29" s="31"/>
      <c r="BM29" s="31"/>
      <c r="BN29" s="31"/>
      <c r="BO29" s="31"/>
      <c r="BP29" s="31"/>
      <c r="BQ29" s="37"/>
    </row>
    <row r="30" spans="1:69" x14ac:dyDescent="0.45">
      <c r="A30" s="25"/>
      <c r="B30" s="25"/>
      <c r="C30" s="25"/>
      <c r="D30" s="25"/>
      <c r="E30" s="25"/>
      <c r="F30" s="25"/>
      <c r="G30" s="25"/>
      <c r="H30" s="25"/>
      <c r="I30" s="25"/>
      <c r="J30" s="25"/>
      <c r="K30" s="25"/>
      <c r="L30" s="30"/>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2"/>
      <c r="AX30" s="32"/>
      <c r="AY30" s="32"/>
      <c r="AZ30" s="31"/>
      <c r="BA30" s="31"/>
      <c r="BB30" s="31"/>
      <c r="BC30" s="31"/>
      <c r="BD30" s="31"/>
      <c r="BE30" s="31"/>
      <c r="BF30" s="31"/>
      <c r="BG30" s="31"/>
      <c r="BH30" s="31"/>
      <c r="BI30" s="31"/>
      <c r="BJ30" s="31"/>
      <c r="BK30" s="31"/>
      <c r="BL30" s="31"/>
      <c r="BM30" s="31"/>
      <c r="BN30" s="31"/>
      <c r="BO30" s="31"/>
      <c r="BP30" s="31"/>
      <c r="BQ30" s="37"/>
    </row>
    <row r="31" spans="1:69" x14ac:dyDescent="0.45">
      <c r="A31" s="25"/>
      <c r="B31" s="25"/>
      <c r="C31" s="25"/>
      <c r="D31" s="25"/>
      <c r="E31" s="25"/>
      <c r="F31" s="25"/>
      <c r="G31" s="25"/>
      <c r="H31" s="25"/>
      <c r="I31" s="25"/>
      <c r="J31" s="25"/>
      <c r="K31" s="25"/>
      <c r="L31" s="30"/>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2"/>
      <c r="AX31" s="32"/>
      <c r="AY31" s="32"/>
      <c r="AZ31" s="31"/>
      <c r="BA31" s="31"/>
      <c r="BB31" s="31"/>
      <c r="BC31" s="31"/>
      <c r="BD31" s="31"/>
      <c r="BE31" s="31"/>
      <c r="BF31" s="31"/>
      <c r="BG31" s="31"/>
      <c r="BH31" s="31"/>
      <c r="BI31" s="31"/>
      <c r="BJ31" s="31"/>
      <c r="BK31" s="31"/>
      <c r="BL31" s="31"/>
      <c r="BM31" s="31"/>
      <c r="BN31" s="31"/>
      <c r="BO31" s="31"/>
      <c r="BP31" s="31"/>
      <c r="BQ31" s="37"/>
    </row>
    <row r="32" spans="1:69" x14ac:dyDescent="0.45">
      <c r="A32" s="25"/>
      <c r="B32" s="25"/>
      <c r="C32" s="25"/>
      <c r="D32" s="25"/>
      <c r="E32" s="25"/>
      <c r="F32" s="25"/>
      <c r="G32" s="25"/>
      <c r="H32" s="25"/>
      <c r="I32" s="25"/>
      <c r="J32" s="25"/>
      <c r="K32" s="25"/>
      <c r="L32" s="30"/>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2"/>
      <c r="AX32" s="32"/>
      <c r="AY32" s="32"/>
      <c r="AZ32" s="31"/>
      <c r="BA32" s="31"/>
      <c r="BB32" s="31"/>
      <c r="BC32" s="31"/>
      <c r="BD32" s="31"/>
      <c r="BE32" s="31"/>
      <c r="BF32" s="31"/>
      <c r="BG32" s="31"/>
      <c r="BH32" s="31"/>
      <c r="BI32" s="31"/>
      <c r="BJ32" s="31"/>
      <c r="BK32" s="31"/>
      <c r="BL32" s="31"/>
      <c r="BM32" s="31"/>
      <c r="BN32" s="31"/>
      <c r="BO32" s="31"/>
      <c r="BP32" s="31"/>
      <c r="BQ32" s="37"/>
    </row>
    <row r="33" spans="1:69" ht="17" thickBot="1" x14ac:dyDescent="0.5">
      <c r="A33" s="25"/>
      <c r="B33" s="25"/>
      <c r="C33" s="25"/>
      <c r="D33" s="25"/>
      <c r="E33" s="25"/>
      <c r="F33" s="25"/>
      <c r="G33" s="25"/>
      <c r="H33" s="25"/>
      <c r="I33" s="25"/>
      <c r="J33" s="25"/>
      <c r="K33" s="25"/>
      <c r="L33" s="46"/>
      <c r="M33" s="47"/>
      <c r="N33" s="47"/>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AY33" s="47"/>
      <c r="AZ33" s="47"/>
      <c r="BA33" s="47"/>
      <c r="BB33" s="47"/>
      <c r="BC33" s="47"/>
      <c r="BD33" s="47"/>
      <c r="BE33" s="47"/>
      <c r="BF33" s="47"/>
      <c r="BG33" s="47"/>
      <c r="BH33" s="47"/>
      <c r="BI33" s="47"/>
      <c r="BJ33" s="47"/>
      <c r="BK33" s="47"/>
      <c r="BL33" s="47"/>
      <c r="BM33" s="47"/>
      <c r="BN33" s="47"/>
      <c r="BO33" s="47"/>
      <c r="BP33" s="47"/>
      <c r="BQ33" s="48"/>
    </row>
  </sheetData>
  <mergeCells count="15">
    <mergeCell ref="A1:K2"/>
    <mergeCell ref="BO2:BP2"/>
    <mergeCell ref="BO3:BP3"/>
    <mergeCell ref="BM3:BN3"/>
    <mergeCell ref="BM2:BN2"/>
    <mergeCell ref="Y21:AJ21"/>
    <mergeCell ref="BL21:BN21"/>
    <mergeCell ref="AY7:BE7"/>
    <mergeCell ref="Q3:V3"/>
    <mergeCell ref="AF3:AK3"/>
    <mergeCell ref="BD3:BJ3"/>
    <mergeCell ref="AQ3:AY3"/>
    <mergeCell ref="W7:AH7"/>
    <mergeCell ref="V4:V5"/>
    <mergeCell ref="R4:R5"/>
  </mergeCells>
  <conditionalFormatting sqref="BO8:BO14">
    <cfRule type="dataBar" priority="1">
      <dataBar>
        <cfvo type="num" val="0"/>
        <cfvo type="num" val="1"/>
        <color rgb="FFF60000"/>
      </dataBar>
      <extLst>
        <ext xmlns:x14="http://schemas.microsoft.com/office/spreadsheetml/2009/9/main" uri="{B025F937-C7B1-47D3-B67F-A62EFF666E3E}">
          <x14:id>{A1371C83-2839-49A9-9A8F-23E3D7F94725}</x14:id>
        </ext>
      </extLst>
    </cfRule>
  </conditionalFormatting>
  <printOptions horizontalCentered="1" verticalCentered="1"/>
  <pageMargins left="0" right="0" top="0" bottom="0" header="0" footer="0"/>
  <pageSetup paperSize="74" scale="39" orientation="landscape" r:id="rId1"/>
  <drawing r:id="rId2"/>
  <legacyDrawing r:id="rId3"/>
  <extLst>
    <ext xmlns:x14="http://schemas.microsoft.com/office/spreadsheetml/2009/9/main" uri="{78C0D931-6437-407d-A8EE-F0AAD7539E65}">
      <x14:conditionalFormattings>
        <x14:conditionalFormatting xmlns:xm="http://schemas.microsoft.com/office/excel/2006/main">
          <x14:cfRule type="dataBar" id="{A1371C83-2839-49A9-9A8F-23E3D7F94725}">
            <x14:dataBar minLength="0" maxLength="100">
              <x14:cfvo type="num">
                <xm:f>0</xm:f>
              </x14:cfvo>
              <x14:cfvo type="num">
                <xm:f>1</xm:f>
              </x14:cfvo>
              <x14:negativeFillColor rgb="FFFF0000"/>
              <x14:axisColor rgb="FF000000"/>
            </x14:dataBar>
          </x14:cfRule>
          <xm:sqref>BO8:BO14</xm:sqref>
        </x14:conditionalFormatting>
      </x14:conditionalFormattings>
    </ex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8FA04-58DD-4057-8F7B-076C2CAA2457}">
  <dimension ref="A1:AT1471"/>
  <sheetViews>
    <sheetView zoomScale="115" zoomScaleNormal="115" workbookViewId="0">
      <selection activeCell="B1352" sqref="B1352"/>
    </sheetView>
  </sheetViews>
  <sheetFormatPr defaultRowHeight="14.5" x14ac:dyDescent="0.35"/>
  <cols>
    <col min="1" max="1" width="14.36328125" customWidth="1"/>
    <col min="2" max="2" width="6.1796875" bestFit="1" customWidth="1"/>
    <col min="3" max="3" width="15.90625" bestFit="1" customWidth="1"/>
    <col min="4" max="4" width="14.08984375" customWidth="1"/>
    <col min="5" max="5" width="22" customWidth="1"/>
    <col min="6" max="6" width="13.54296875" customWidth="1"/>
    <col min="7" max="7" width="15.90625" bestFit="1" customWidth="1"/>
    <col min="8" max="8" width="23.90625" bestFit="1" customWidth="1"/>
    <col min="9" max="9" width="12.08984375" customWidth="1"/>
    <col min="10" max="10" width="12.453125" bestFit="1" customWidth="1"/>
    <col min="11" max="11" width="16.453125" bestFit="1" customWidth="1"/>
    <col min="12" max="12" width="10.08984375" bestFit="1" customWidth="1"/>
    <col min="13" max="14" width="23" bestFit="1" customWidth="1"/>
    <col min="15" max="15" width="14.453125" bestFit="1" customWidth="1"/>
    <col min="16" max="16" width="16.453125" bestFit="1" customWidth="1"/>
    <col min="17" max="17" width="14" bestFit="1" customWidth="1"/>
    <col min="18" max="18" width="23.36328125" bestFit="1" customWidth="1"/>
    <col min="19" max="19" width="11.1796875" bestFit="1" customWidth="1"/>
    <col min="20" max="20" width="18.36328125" bestFit="1" customWidth="1"/>
    <col min="21" max="21" width="19.36328125" bestFit="1" customWidth="1"/>
    <col min="22" max="22" width="15.81640625" bestFit="1" customWidth="1"/>
    <col min="23" max="23" width="19.08984375" bestFit="1" customWidth="1"/>
    <col min="24" max="24" width="22" bestFit="1" customWidth="1"/>
    <col min="25" max="25" width="17.1796875" bestFit="1" customWidth="1"/>
    <col min="26" max="26" width="17.54296875" bestFit="1" customWidth="1"/>
    <col min="27" max="27" width="19.54296875" bestFit="1" customWidth="1"/>
    <col min="28" max="28" width="24.54296875" bestFit="1" customWidth="1"/>
    <col min="29" max="29" width="23" bestFit="1" customWidth="1"/>
    <col min="30" max="30" width="10.26953125" bestFit="1" customWidth="1"/>
    <col min="32" max="32" width="8.7265625" customWidth="1"/>
    <col min="33" max="33" width="6.90625" customWidth="1"/>
    <col min="34" max="34" width="8" customWidth="1"/>
    <col min="35" max="35" width="7.6328125" customWidth="1"/>
    <col min="36" max="36" width="9.08984375" customWidth="1"/>
    <col min="37" max="37" width="7.54296875" customWidth="1"/>
    <col min="38" max="38" width="7.26953125" customWidth="1"/>
    <col min="39" max="39" width="6.81640625" customWidth="1"/>
    <col min="40" max="40" width="15.6328125" customWidth="1"/>
    <col min="41" max="41" width="14" customWidth="1"/>
    <col min="42" max="42" width="15.1796875" customWidth="1"/>
  </cols>
  <sheetData>
    <row r="1" spans="1:46" ht="43.5" x14ac:dyDescent="0.35">
      <c r="A1" s="1" t="s">
        <v>1524</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1526</v>
      </c>
      <c r="AH1" s="1" t="s">
        <v>1527</v>
      </c>
      <c r="AI1" s="1" t="s">
        <v>1528</v>
      </c>
      <c r="AJ1" s="1" t="s">
        <v>1545</v>
      </c>
      <c r="AK1" s="1" t="s">
        <v>1546</v>
      </c>
      <c r="AL1" s="1" t="s">
        <v>1547</v>
      </c>
      <c r="AM1" s="1" t="s">
        <v>1548</v>
      </c>
      <c r="AN1" s="1" t="s">
        <v>1549</v>
      </c>
      <c r="AO1" s="1" t="s">
        <v>1551</v>
      </c>
      <c r="AP1" s="1" t="s">
        <v>1552</v>
      </c>
      <c r="AQ1" s="1" t="s">
        <v>1553</v>
      </c>
      <c r="AR1" s="1" t="s">
        <v>1608</v>
      </c>
    </row>
    <row r="2" spans="1:46" x14ac:dyDescent="0.35">
      <c r="A2" t="s">
        <v>897</v>
      </c>
      <c r="B2">
        <v>41</v>
      </c>
      <c r="C2" t="s">
        <v>31</v>
      </c>
      <c r="D2">
        <v>1102</v>
      </c>
      <c r="E2" t="s">
        <v>32</v>
      </c>
      <c r="F2">
        <v>1</v>
      </c>
      <c r="G2">
        <v>2</v>
      </c>
      <c r="H2" t="s">
        <v>33</v>
      </c>
      <c r="I2">
        <v>2</v>
      </c>
      <c r="J2" t="s">
        <v>34</v>
      </c>
      <c r="K2">
        <v>94</v>
      </c>
      <c r="L2">
        <v>3</v>
      </c>
      <c r="M2">
        <v>2</v>
      </c>
      <c r="N2" t="s">
        <v>35</v>
      </c>
      <c r="O2">
        <v>4</v>
      </c>
      <c r="P2" t="s">
        <v>36</v>
      </c>
      <c r="Q2">
        <v>5993</v>
      </c>
      <c r="R2">
        <v>19479</v>
      </c>
      <c r="S2">
        <v>8</v>
      </c>
      <c r="T2">
        <v>1</v>
      </c>
      <c r="U2" s="17">
        <v>0.11</v>
      </c>
      <c r="V2">
        <v>3</v>
      </c>
      <c r="W2">
        <v>1</v>
      </c>
      <c r="X2">
        <v>0</v>
      </c>
      <c r="Y2">
        <v>8</v>
      </c>
      <c r="Z2">
        <v>0</v>
      </c>
      <c r="AA2">
        <v>1</v>
      </c>
      <c r="AB2">
        <v>6</v>
      </c>
      <c r="AC2">
        <v>4</v>
      </c>
      <c r="AD2">
        <v>0</v>
      </c>
      <c r="AE2">
        <v>5</v>
      </c>
      <c r="AF2">
        <v>1</v>
      </c>
      <c r="AG2">
        <f>IF(tbl_HR_Data[[#This Row],[Gender]]="Male",1,0)</f>
        <v>0</v>
      </c>
      <c r="AH2" cm="1">
        <f t="array" ref="AH2">_xlfn.SWITCH(tbl_HR_Data[[#This Row],[BusinessTravel]], "Non-Travel", 0, "Travel_Rarely", 1, "Travel_Frequently", 2)</f>
        <v>1</v>
      </c>
      <c r="AI2" cm="1">
        <f t="array" ref="AI2">_xlfn.SWITCH(tbl_HR_Data[[#This Row],[MaritalStatus]],"Single",0,"Married",1,"Divorced",2)</f>
        <v>0</v>
      </c>
      <c r="AJ2">
        <f>IF(tbl_HR_Data[[#This Row],[OverTime]]=1,1,0)</f>
        <v>1</v>
      </c>
      <c r="AK2">
        <f>IF(tbl_HR_Data[[#This Row],[DistanceFromHome]]&gt;15,1,0)</f>
        <v>0</v>
      </c>
      <c r="AL2">
        <f>IF(tbl_HR_Data[[#This Row],[JobSatisfaction]]&lt;=2,1,0)</f>
        <v>0</v>
      </c>
      <c r="AM2">
        <f>IF(tbl_HR_Data[[#This Row],[MonthlyIncome]]&lt;$AT$2,1,0)</f>
        <v>0</v>
      </c>
      <c r="AN2">
        <f>IF(tbl_HR_Data[[#This Row],[Travel_Code]]=2,1,0)</f>
        <v>0</v>
      </c>
      <c r="AO2">
        <f>(tbl_HR_Data[[#This Row],[Flag_OT]] * Logic_Parameters!$B$2) +
 (tbl_HR_Data[[#This Row],[Flag_Travel]] * Logic_Parameters!$B$3) +
 (tbl_HR_Data[[#This Row],[Flag_Satisfaction]] * Logic_Parameters!$B$4) +
 (tbl_HR_Data[[#This Row],[Flag_Distance]]* Logic_Parameters!$B$5) +
 (tbl_HR_Data[[#This Row],[Flag_Income]] * Logic_Parameters!$B$6)</f>
        <v>10</v>
      </c>
      <c r="AP2" s="15">
        <f>tbl_HR_Data[[#This Row],[Risk_Score_Raw]] / SUM(Logic_Parameters!$B$2:$B$6)</f>
        <v>0.3445251318258073</v>
      </c>
      <c r="AQ2" s="16" t="str" cm="1">
        <f t="array" ref="AQ2">_xlfn.IFS(tbl_HR_Data[[#This Row],[Attrition_Risk_Percentage]] &gt;= 0.75, "Critical",tbl_HR_Data[ [#This Row],[Attrition_Risk_Percentage] ]&gt;= 0.5, "High",tbl_HR_Data[[#This Row],[Attrition_Risk_Percentage]] &gt;= 0.25, "Medium",TRUE, "Low")</f>
        <v>Medium</v>
      </c>
      <c r="AR2" s="16" cm="1">
        <f t="array" ref="AR2">IFERROR(_xlfn.IFS(tbl_HR_Data[[#This Row],[Risk_Category]]="Critical",tbl_HR_Data[[#This Row],[MonthlyIncome]]*1.5,tbl_HR_Data[[#This Row],[Risk_Category]]="High",tbl_HR_Data[[#This Row],[MonthlyIncome]]*1.5),0)</f>
        <v>0</v>
      </c>
      <c r="AS2" t="s">
        <v>1550</v>
      </c>
      <c r="AT2">
        <f>MEDIAN(tbl_HR_Data[MonthlyIncome])</f>
        <v>4919</v>
      </c>
    </row>
    <row r="3" spans="1:46" x14ac:dyDescent="0.35">
      <c r="A3" t="s">
        <v>92</v>
      </c>
      <c r="B3">
        <v>49</v>
      </c>
      <c r="C3" t="s">
        <v>37</v>
      </c>
      <c r="D3">
        <v>279</v>
      </c>
      <c r="E3" t="s">
        <v>38</v>
      </c>
      <c r="F3">
        <v>8</v>
      </c>
      <c r="G3">
        <v>1</v>
      </c>
      <c r="H3" t="s">
        <v>33</v>
      </c>
      <c r="I3">
        <v>3</v>
      </c>
      <c r="J3" t="s">
        <v>39</v>
      </c>
      <c r="K3">
        <v>61</v>
      </c>
      <c r="L3">
        <v>2</v>
      </c>
      <c r="M3">
        <v>2</v>
      </c>
      <c r="N3" t="s">
        <v>40</v>
      </c>
      <c r="O3">
        <v>2</v>
      </c>
      <c r="P3" t="s">
        <v>41</v>
      </c>
      <c r="Q3">
        <v>5130</v>
      </c>
      <c r="R3">
        <v>24907</v>
      </c>
      <c r="S3">
        <v>1</v>
      </c>
      <c r="T3">
        <v>0</v>
      </c>
      <c r="U3" s="17">
        <v>0.23</v>
      </c>
      <c r="V3">
        <v>4</v>
      </c>
      <c r="W3">
        <v>4</v>
      </c>
      <c r="X3">
        <v>1</v>
      </c>
      <c r="Y3">
        <v>10</v>
      </c>
      <c r="Z3">
        <v>3</v>
      </c>
      <c r="AA3">
        <v>3</v>
      </c>
      <c r="AB3">
        <v>10</v>
      </c>
      <c r="AC3">
        <v>7</v>
      </c>
      <c r="AD3">
        <v>1</v>
      </c>
      <c r="AE3">
        <v>7</v>
      </c>
      <c r="AF3">
        <v>0</v>
      </c>
      <c r="AG3">
        <f>IF(tbl_HR_Data[[#This Row],[Gender]]="Male",1,0)</f>
        <v>1</v>
      </c>
      <c r="AH3" cm="1">
        <f t="array" ref="AH3">_xlfn.SWITCH(tbl_HR_Data[[#This Row],[BusinessTravel]], "Non-Travel", 0, "Travel_Rarely", 1, "Travel_Frequently", 2)</f>
        <v>2</v>
      </c>
      <c r="AI3" cm="1">
        <f t="array" ref="AI3">_xlfn.SWITCH(tbl_HR_Data[[#This Row],[MaritalStatus]],"Single",0,"Married",1,"Divorced",2)</f>
        <v>1</v>
      </c>
      <c r="AJ3">
        <f>IF(tbl_HR_Data[[#This Row],[OverTime]]=1,1,0)</f>
        <v>0</v>
      </c>
      <c r="AK3">
        <f>IF(tbl_HR_Data[[#This Row],[DistanceFromHome]]&gt;15,1,0)</f>
        <v>0</v>
      </c>
      <c r="AL3">
        <f>IF(tbl_HR_Data[[#This Row],[JobSatisfaction]]&lt;=2,1,0)</f>
        <v>1</v>
      </c>
      <c r="AM3">
        <f>IF(tbl_HR_Data[[#This Row],[MonthlyIncome]]&lt;$AT$2,1,0)</f>
        <v>0</v>
      </c>
      <c r="AN3">
        <f>IF(tbl_HR_Data[[#This Row],[Travel_Code]]=2,1,0)</f>
        <v>1</v>
      </c>
      <c r="AO3">
        <f>(tbl_HR_Data[[#This Row],[Flag_OT]] * Logic_Parameters!$B$2) +
 (tbl_HR_Data[[#This Row],[Flag_Travel]] * Logic_Parameters!$B$3) +
 (tbl_HR_Data[[#This Row],[Flag_Satisfaction]] * Logic_Parameters!$B$4) +
 (tbl_HR_Data[[#This Row],[Flag_Distance]]* Logic_Parameters!$B$5) +
 (tbl_HR_Data[[#This Row],[Flag_Income]] * Logic_Parameters!$B$6)</f>
        <v>9.3649231104683075</v>
      </c>
      <c r="AP3" s="15">
        <f>tbl_HR_Data[[#This Row],[Risk_Score_Raw]] / SUM(Logic_Parameters!$B$2:$B$6)</f>
        <v>0.32264513691726432</v>
      </c>
      <c r="AQ3" s="16" t="str" cm="1">
        <f t="array" ref="AQ3">_xlfn.IFS(tbl_HR_Data[[#This Row],[Attrition_Risk_Percentage]] &gt;= 0.75, "Critical",tbl_HR_Data[ [#This Row],[Attrition_Risk_Percentage] ]&gt;= 0.5, "High",tbl_HR_Data[[#This Row],[Attrition_Risk_Percentage]] &gt;= 0.25, "Medium",TRUE, "Low")</f>
        <v>Medium</v>
      </c>
      <c r="AR3" s="16" cm="1">
        <f t="array" ref="AR3">IFERROR(_xlfn.IFS(tbl_HR_Data[[#This Row],[Risk_Category]]="Critical",tbl_HR_Data[[#This Row],[MonthlyIncome]]*1.5,tbl_HR_Data[[#This Row],[Risk_Category]]="High",tbl_HR_Data[[#This Row],[MonthlyIncome]]*1.5),0)</f>
        <v>0</v>
      </c>
    </row>
    <row r="4" spans="1:46" x14ac:dyDescent="0.35">
      <c r="A4" t="s">
        <v>75</v>
      </c>
      <c r="B4">
        <v>37</v>
      </c>
      <c r="C4" t="s">
        <v>31</v>
      </c>
      <c r="D4">
        <v>1373</v>
      </c>
      <c r="E4" t="s">
        <v>38</v>
      </c>
      <c r="F4">
        <v>2</v>
      </c>
      <c r="G4">
        <v>2</v>
      </c>
      <c r="H4" t="s">
        <v>42</v>
      </c>
      <c r="I4">
        <v>4</v>
      </c>
      <c r="J4" t="s">
        <v>39</v>
      </c>
      <c r="K4">
        <v>92</v>
      </c>
      <c r="L4">
        <v>2</v>
      </c>
      <c r="M4">
        <v>1</v>
      </c>
      <c r="N4" t="s">
        <v>43</v>
      </c>
      <c r="O4">
        <v>3</v>
      </c>
      <c r="P4" t="s">
        <v>36</v>
      </c>
      <c r="Q4">
        <v>2090</v>
      </c>
      <c r="R4">
        <v>2396</v>
      </c>
      <c r="S4">
        <v>6</v>
      </c>
      <c r="T4">
        <v>1</v>
      </c>
      <c r="U4" s="17">
        <v>0.15</v>
      </c>
      <c r="V4">
        <v>3</v>
      </c>
      <c r="W4">
        <v>2</v>
      </c>
      <c r="X4">
        <v>0</v>
      </c>
      <c r="Y4">
        <v>7</v>
      </c>
      <c r="Z4">
        <v>3</v>
      </c>
      <c r="AA4">
        <v>3</v>
      </c>
      <c r="AB4">
        <v>0</v>
      </c>
      <c r="AC4">
        <v>0</v>
      </c>
      <c r="AD4">
        <v>0</v>
      </c>
      <c r="AE4">
        <v>0</v>
      </c>
      <c r="AF4">
        <v>1</v>
      </c>
      <c r="AG4">
        <f>IF(tbl_HR_Data[[#This Row],[Gender]]="Male",1,0)</f>
        <v>1</v>
      </c>
      <c r="AH4" cm="1">
        <f t="array" ref="AH4">_xlfn.SWITCH(tbl_HR_Data[[#This Row],[BusinessTravel]], "Non-Travel", 0, "Travel_Rarely", 1, "Travel_Frequently", 2)</f>
        <v>1</v>
      </c>
      <c r="AI4" cm="1">
        <f t="array" ref="AI4">_xlfn.SWITCH(tbl_HR_Data[[#This Row],[MaritalStatus]],"Single",0,"Married",1,"Divorced",2)</f>
        <v>0</v>
      </c>
      <c r="AJ4">
        <f>IF(tbl_HR_Data[[#This Row],[OverTime]]=1,1,0)</f>
        <v>1</v>
      </c>
      <c r="AK4">
        <f>IF(tbl_HR_Data[[#This Row],[DistanceFromHome]]&gt;15,1,0)</f>
        <v>0</v>
      </c>
      <c r="AL4">
        <f>IF(tbl_HR_Data[[#This Row],[JobSatisfaction]]&lt;=2,1,0)</f>
        <v>0</v>
      </c>
      <c r="AM4">
        <f>IF(tbl_HR_Data[[#This Row],[MonthlyIncome]]&lt;$AT$2,1,0)</f>
        <v>1</v>
      </c>
      <c r="AN4">
        <f>IF(tbl_HR_Data[[#This Row],[Travel_Code]]=2,1,0)</f>
        <v>0</v>
      </c>
      <c r="AO4">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4" s="15">
        <f>tbl_HR_Data[[#This Row],[Risk_Score_Raw]] / SUM(Logic_Parameters!$B$2:$B$6)</f>
        <v>0.56827453040563214</v>
      </c>
      <c r="AQ4" s="16" t="str" cm="1">
        <f t="array" ref="AQ4">_xlfn.IFS(tbl_HR_Data[[#This Row],[Attrition_Risk_Percentage]] &gt;= 0.75, "Critical",tbl_HR_Data[ [#This Row],[Attrition_Risk_Percentage] ]&gt;= 0.5, "High",tbl_HR_Data[[#This Row],[Attrition_Risk_Percentage]] &gt;= 0.25, "Medium",TRUE, "Low")</f>
        <v>High</v>
      </c>
      <c r="AR4" s="16" cm="1">
        <f t="array" ref="AR4">IFERROR(_xlfn.IFS(tbl_HR_Data[[#This Row],[Risk_Category]]="Critical",tbl_HR_Data[[#This Row],[MonthlyIncome]]*1.5,tbl_HR_Data[[#This Row],[Risk_Category]]="High",tbl_HR_Data[[#This Row],[MonthlyIncome]]*1.5),0)</f>
        <v>3135</v>
      </c>
    </row>
    <row r="5" spans="1:46" x14ac:dyDescent="0.35">
      <c r="A5" t="s">
        <v>714</v>
      </c>
      <c r="B5">
        <v>33</v>
      </c>
      <c r="C5" t="s">
        <v>37</v>
      </c>
      <c r="D5">
        <v>1392</v>
      </c>
      <c r="E5" t="s">
        <v>38</v>
      </c>
      <c r="F5">
        <v>3</v>
      </c>
      <c r="G5">
        <v>4</v>
      </c>
      <c r="H5" t="s">
        <v>33</v>
      </c>
      <c r="I5">
        <v>4</v>
      </c>
      <c r="J5" t="s">
        <v>34</v>
      </c>
      <c r="K5">
        <v>56</v>
      </c>
      <c r="L5">
        <v>3</v>
      </c>
      <c r="M5">
        <v>1</v>
      </c>
      <c r="N5" t="s">
        <v>40</v>
      </c>
      <c r="O5">
        <v>3</v>
      </c>
      <c r="P5" t="s">
        <v>41</v>
      </c>
      <c r="Q5">
        <v>2909</v>
      </c>
      <c r="R5">
        <v>23159</v>
      </c>
      <c r="S5">
        <v>1</v>
      </c>
      <c r="T5">
        <v>1</v>
      </c>
      <c r="U5" s="17">
        <v>0.11</v>
      </c>
      <c r="V5">
        <v>3</v>
      </c>
      <c r="W5">
        <v>3</v>
      </c>
      <c r="X5">
        <v>0</v>
      </c>
      <c r="Y5">
        <v>8</v>
      </c>
      <c r="Z5">
        <v>3</v>
      </c>
      <c r="AA5">
        <v>3</v>
      </c>
      <c r="AB5">
        <v>8</v>
      </c>
      <c r="AC5">
        <v>7</v>
      </c>
      <c r="AD5">
        <v>3</v>
      </c>
      <c r="AE5">
        <v>0</v>
      </c>
      <c r="AF5">
        <v>0</v>
      </c>
      <c r="AG5">
        <f>IF(tbl_HR_Data[[#This Row],[Gender]]="Male",1,0)</f>
        <v>0</v>
      </c>
      <c r="AH5" cm="1">
        <f t="array" ref="AH5">_xlfn.SWITCH(tbl_HR_Data[[#This Row],[BusinessTravel]], "Non-Travel", 0, "Travel_Rarely", 1, "Travel_Frequently", 2)</f>
        <v>2</v>
      </c>
      <c r="AI5" cm="1">
        <f t="array" ref="AI5">_xlfn.SWITCH(tbl_HR_Data[[#This Row],[MaritalStatus]],"Single",0,"Married",1,"Divorced",2)</f>
        <v>1</v>
      </c>
      <c r="AJ5">
        <f>IF(tbl_HR_Data[[#This Row],[OverTime]]=1,1,0)</f>
        <v>1</v>
      </c>
      <c r="AK5">
        <f>IF(tbl_HR_Data[[#This Row],[DistanceFromHome]]&gt;15,1,0)</f>
        <v>0</v>
      </c>
      <c r="AL5">
        <f>IF(tbl_HR_Data[[#This Row],[JobSatisfaction]]&lt;=2,1,0)</f>
        <v>0</v>
      </c>
      <c r="AM5">
        <f>IF(tbl_HR_Data[[#This Row],[MonthlyIncome]]&lt;$AT$2,1,0)</f>
        <v>1</v>
      </c>
      <c r="AN5">
        <f>IF(tbl_HR_Data[[#This Row],[Travel_Code]]=2,1,0)</f>
        <v>1</v>
      </c>
      <c r="AO5">
        <f>(tbl_HR_Data[[#This Row],[Flag_OT]] * Logic_Parameters!$B$2) +
 (tbl_HR_Data[[#This Row],[Flag_Travel]] * Logic_Parameters!$B$3) +
 (tbl_HR_Data[[#This Row],[Flag_Satisfaction]] * Logic_Parameters!$B$4) +
 (tbl_HR_Data[[#This Row],[Flag_Distance]]* Logic_Parameters!$B$5) +
 (tbl_HR_Data[[#This Row],[Flag_Income]] * Logic_Parameters!$B$6)</f>
        <v>21.654818917911005</v>
      </c>
      <c r="AP5" s="15">
        <f>tbl_HR_Data[[#This Row],[Risk_Score_Raw]] / SUM(Logic_Parameters!$B$2:$B$6)</f>
        <v>0.74606293423572745</v>
      </c>
      <c r="AQ5" s="16" t="str" cm="1">
        <f t="array" ref="AQ5">_xlfn.IFS(tbl_HR_Data[[#This Row],[Attrition_Risk_Percentage]] &gt;= 0.75, "Critical",tbl_HR_Data[ [#This Row],[Attrition_Risk_Percentage] ]&gt;= 0.5, "High",tbl_HR_Data[[#This Row],[Attrition_Risk_Percentage]] &gt;= 0.25, "Medium",TRUE, "Low")</f>
        <v>High</v>
      </c>
      <c r="AR5" s="16" cm="1">
        <f t="array" ref="AR5">IFERROR(_xlfn.IFS(tbl_HR_Data[[#This Row],[Risk_Category]]="Critical",tbl_HR_Data[[#This Row],[MonthlyIncome]]*1.5,tbl_HR_Data[[#This Row],[Risk_Category]]="High",tbl_HR_Data[[#This Row],[MonthlyIncome]]*1.5),0)</f>
        <v>4363.5</v>
      </c>
    </row>
    <row r="6" spans="1:46" x14ac:dyDescent="0.35">
      <c r="A6" t="s">
        <v>527</v>
      </c>
      <c r="B6">
        <v>27</v>
      </c>
      <c r="C6" t="s">
        <v>31</v>
      </c>
      <c r="D6">
        <v>591</v>
      </c>
      <c r="E6" t="s">
        <v>38</v>
      </c>
      <c r="F6">
        <v>2</v>
      </c>
      <c r="G6">
        <v>1</v>
      </c>
      <c r="H6" t="s">
        <v>44</v>
      </c>
      <c r="I6">
        <v>1</v>
      </c>
      <c r="J6" t="s">
        <v>39</v>
      </c>
      <c r="K6">
        <v>40</v>
      </c>
      <c r="L6">
        <v>3</v>
      </c>
      <c r="M6">
        <v>1</v>
      </c>
      <c r="N6" t="s">
        <v>43</v>
      </c>
      <c r="O6">
        <v>2</v>
      </c>
      <c r="P6" t="s">
        <v>41</v>
      </c>
      <c r="Q6">
        <v>3468</v>
      </c>
      <c r="R6">
        <v>16632</v>
      </c>
      <c r="S6">
        <v>9</v>
      </c>
      <c r="T6">
        <v>0</v>
      </c>
      <c r="U6" s="17">
        <v>0.12</v>
      </c>
      <c r="V6">
        <v>3</v>
      </c>
      <c r="W6">
        <v>4</v>
      </c>
      <c r="X6">
        <v>1</v>
      </c>
      <c r="Y6">
        <v>6</v>
      </c>
      <c r="Z6">
        <v>3</v>
      </c>
      <c r="AA6">
        <v>3</v>
      </c>
      <c r="AB6">
        <v>2</v>
      </c>
      <c r="AC6">
        <v>2</v>
      </c>
      <c r="AD6">
        <v>2</v>
      </c>
      <c r="AE6">
        <v>2</v>
      </c>
      <c r="AF6">
        <v>0</v>
      </c>
      <c r="AG6">
        <f>IF(tbl_HR_Data[[#This Row],[Gender]]="Male",1,0)</f>
        <v>1</v>
      </c>
      <c r="AH6" cm="1">
        <f t="array" ref="AH6">_xlfn.SWITCH(tbl_HR_Data[[#This Row],[BusinessTravel]], "Non-Travel", 0, "Travel_Rarely", 1, "Travel_Frequently", 2)</f>
        <v>1</v>
      </c>
      <c r="AI6" cm="1">
        <f t="array" ref="AI6">_xlfn.SWITCH(tbl_HR_Data[[#This Row],[MaritalStatus]],"Single",0,"Married",1,"Divorced",2)</f>
        <v>1</v>
      </c>
      <c r="AJ6">
        <f>IF(tbl_HR_Data[[#This Row],[OverTime]]=1,1,0)</f>
        <v>0</v>
      </c>
      <c r="AK6">
        <f>IF(tbl_HR_Data[[#This Row],[DistanceFromHome]]&gt;15,1,0)</f>
        <v>0</v>
      </c>
      <c r="AL6">
        <f>IF(tbl_HR_Data[[#This Row],[JobSatisfaction]]&lt;=2,1,0)</f>
        <v>1</v>
      </c>
      <c r="AM6">
        <f>IF(tbl_HR_Data[[#This Row],[MonthlyIncome]]&lt;$AT$2,1,0)</f>
        <v>1</v>
      </c>
      <c r="AN6">
        <f>IF(tbl_HR_Data[[#This Row],[Travel_Code]]=2,1,0)</f>
        <v>0</v>
      </c>
      <c r="AO6">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6" s="15">
        <f>tbl_HR_Data[[#This Row],[Risk_Score_Raw]] / SUM(Logic_Parameters!$B$2:$B$6)</f>
        <v>0.3686061316669938</v>
      </c>
      <c r="AQ6" s="16" t="str" cm="1">
        <f t="array" ref="AQ6">_xlfn.IFS(tbl_HR_Data[[#This Row],[Attrition_Risk_Percentage]] &gt;= 0.75, "Critical",tbl_HR_Data[ [#This Row],[Attrition_Risk_Percentage] ]&gt;= 0.5, "High",tbl_HR_Data[[#This Row],[Attrition_Risk_Percentage]] &gt;= 0.25, "Medium",TRUE, "Low")</f>
        <v>Medium</v>
      </c>
      <c r="AR6" s="16" cm="1">
        <f t="array" ref="AR6">IFERROR(_xlfn.IFS(tbl_HR_Data[[#This Row],[Risk_Category]]="Critical",tbl_HR_Data[[#This Row],[MonthlyIncome]]*1.5,tbl_HR_Data[[#This Row],[Risk_Category]]="High",tbl_HR_Data[[#This Row],[MonthlyIncome]]*1.5),0)</f>
        <v>0</v>
      </c>
    </row>
    <row r="7" spans="1:46" x14ac:dyDescent="0.35">
      <c r="A7" t="s">
        <v>1486</v>
      </c>
      <c r="B7">
        <v>32</v>
      </c>
      <c r="C7" t="s">
        <v>37</v>
      </c>
      <c r="D7">
        <v>1005</v>
      </c>
      <c r="E7" t="s">
        <v>38</v>
      </c>
      <c r="F7">
        <v>2</v>
      </c>
      <c r="G7">
        <v>2</v>
      </c>
      <c r="H7" t="s">
        <v>33</v>
      </c>
      <c r="I7">
        <v>4</v>
      </c>
      <c r="J7" t="s">
        <v>39</v>
      </c>
      <c r="K7">
        <v>79</v>
      </c>
      <c r="L7">
        <v>3</v>
      </c>
      <c r="M7">
        <v>1</v>
      </c>
      <c r="N7" t="s">
        <v>43</v>
      </c>
      <c r="O7">
        <v>4</v>
      </c>
      <c r="P7" t="s">
        <v>36</v>
      </c>
      <c r="Q7">
        <v>3068</v>
      </c>
      <c r="R7">
        <v>11864</v>
      </c>
      <c r="S7">
        <v>0</v>
      </c>
      <c r="T7">
        <v>0</v>
      </c>
      <c r="U7" s="17">
        <v>0.13</v>
      </c>
      <c r="V7">
        <v>3</v>
      </c>
      <c r="W7">
        <v>3</v>
      </c>
      <c r="X7">
        <v>0</v>
      </c>
      <c r="Y7">
        <v>8</v>
      </c>
      <c r="Z7">
        <v>2</v>
      </c>
      <c r="AA7">
        <v>2</v>
      </c>
      <c r="AB7">
        <v>7</v>
      </c>
      <c r="AC7">
        <v>7</v>
      </c>
      <c r="AD7">
        <v>3</v>
      </c>
      <c r="AE7">
        <v>6</v>
      </c>
      <c r="AF7">
        <v>0</v>
      </c>
      <c r="AG7">
        <f>IF(tbl_HR_Data[[#This Row],[Gender]]="Male",1,0)</f>
        <v>1</v>
      </c>
      <c r="AH7" cm="1">
        <f t="array" ref="AH7">_xlfn.SWITCH(tbl_HR_Data[[#This Row],[BusinessTravel]], "Non-Travel", 0, "Travel_Rarely", 1, "Travel_Frequently", 2)</f>
        <v>2</v>
      </c>
      <c r="AI7" cm="1">
        <f t="array" ref="AI7">_xlfn.SWITCH(tbl_HR_Data[[#This Row],[MaritalStatus]],"Single",0,"Married",1,"Divorced",2)</f>
        <v>0</v>
      </c>
      <c r="AJ7">
        <f>IF(tbl_HR_Data[[#This Row],[OverTime]]=1,1,0)</f>
        <v>0</v>
      </c>
      <c r="AK7">
        <f>IF(tbl_HR_Data[[#This Row],[DistanceFromHome]]&gt;15,1,0)</f>
        <v>0</v>
      </c>
      <c r="AL7">
        <f>IF(tbl_HR_Data[[#This Row],[JobSatisfaction]]&lt;=2,1,0)</f>
        <v>0</v>
      </c>
      <c r="AM7">
        <f>IF(tbl_HR_Data[[#This Row],[MonthlyIncome]]&lt;$AT$2,1,0)</f>
        <v>1</v>
      </c>
      <c r="AN7">
        <f>IF(tbl_HR_Data[[#This Row],[Travel_Code]]=2,1,0)</f>
        <v>1</v>
      </c>
      <c r="AO7">
        <f>(tbl_HR_Data[[#This Row],[Flag_OT]] * Logic_Parameters!$B$2) +
 (tbl_HR_Data[[#This Row],[Flag_Travel]] * Logic_Parameters!$B$3) +
 (tbl_HR_Data[[#This Row],[Flag_Satisfaction]] * Logic_Parameters!$B$4) +
 (tbl_HR_Data[[#This Row],[Flag_Distance]]* Logic_Parameters!$B$5) +
 (tbl_HR_Data[[#This Row],[Flag_Income]] * Logic_Parameters!$B$6)</f>
        <v>11.654818917911005</v>
      </c>
      <c r="AP7" s="15">
        <f>tbl_HR_Data[[#This Row],[Risk_Score_Raw]] / SUM(Logic_Parameters!$B$2:$B$6)</f>
        <v>0.40153780240992015</v>
      </c>
      <c r="AQ7" s="16" t="str" cm="1">
        <f t="array" ref="AQ7">_xlfn.IFS(tbl_HR_Data[[#This Row],[Attrition_Risk_Percentage]] &gt;= 0.75, "Critical",tbl_HR_Data[ [#This Row],[Attrition_Risk_Percentage] ]&gt;= 0.5, "High",tbl_HR_Data[[#This Row],[Attrition_Risk_Percentage]] &gt;= 0.25, "Medium",TRUE, "Low")</f>
        <v>Medium</v>
      </c>
      <c r="AR7" s="16" cm="1">
        <f t="array" ref="AR7">IFERROR(_xlfn.IFS(tbl_HR_Data[[#This Row],[Risk_Category]]="Critical",tbl_HR_Data[[#This Row],[MonthlyIncome]]*1.5,tbl_HR_Data[[#This Row],[Risk_Category]]="High",tbl_HR_Data[[#This Row],[MonthlyIncome]]*1.5),0)</f>
        <v>0</v>
      </c>
    </row>
    <row r="8" spans="1:46" x14ac:dyDescent="0.35">
      <c r="A8" t="s">
        <v>1308</v>
      </c>
      <c r="B8">
        <v>59</v>
      </c>
      <c r="C8" t="s">
        <v>31</v>
      </c>
      <c r="D8">
        <v>1324</v>
      </c>
      <c r="E8" t="s">
        <v>38</v>
      </c>
      <c r="F8">
        <v>3</v>
      </c>
      <c r="G8">
        <v>3</v>
      </c>
      <c r="H8" t="s">
        <v>44</v>
      </c>
      <c r="I8">
        <v>3</v>
      </c>
      <c r="J8" t="s">
        <v>34</v>
      </c>
      <c r="K8">
        <v>81</v>
      </c>
      <c r="L8">
        <v>4</v>
      </c>
      <c r="M8">
        <v>1</v>
      </c>
      <c r="N8" t="s">
        <v>43</v>
      </c>
      <c r="O8">
        <v>1</v>
      </c>
      <c r="P8" t="s">
        <v>41</v>
      </c>
      <c r="Q8">
        <v>2670</v>
      </c>
      <c r="R8">
        <v>9964</v>
      </c>
      <c r="S8">
        <v>4</v>
      </c>
      <c r="T8">
        <v>1</v>
      </c>
      <c r="U8" s="17">
        <v>0.2</v>
      </c>
      <c r="V8">
        <v>4</v>
      </c>
      <c r="W8">
        <v>1</v>
      </c>
      <c r="X8">
        <v>3</v>
      </c>
      <c r="Y8">
        <v>12</v>
      </c>
      <c r="Z8">
        <v>3</v>
      </c>
      <c r="AA8">
        <v>2</v>
      </c>
      <c r="AB8">
        <v>1</v>
      </c>
      <c r="AC8">
        <v>0</v>
      </c>
      <c r="AD8">
        <v>0</v>
      </c>
      <c r="AE8">
        <v>0</v>
      </c>
      <c r="AF8">
        <v>0</v>
      </c>
      <c r="AG8">
        <f>IF(tbl_HR_Data[[#This Row],[Gender]]="Male",1,0)</f>
        <v>0</v>
      </c>
      <c r="AH8" cm="1">
        <f t="array" ref="AH8">_xlfn.SWITCH(tbl_HR_Data[[#This Row],[BusinessTravel]], "Non-Travel", 0, "Travel_Rarely", 1, "Travel_Frequently", 2)</f>
        <v>1</v>
      </c>
      <c r="AI8" cm="1">
        <f t="array" ref="AI8">_xlfn.SWITCH(tbl_HR_Data[[#This Row],[MaritalStatus]],"Single",0,"Married",1,"Divorced",2)</f>
        <v>1</v>
      </c>
      <c r="AJ8">
        <f>IF(tbl_HR_Data[[#This Row],[OverTime]]=1,1,0)</f>
        <v>1</v>
      </c>
      <c r="AK8">
        <f>IF(tbl_HR_Data[[#This Row],[DistanceFromHome]]&gt;15,1,0)</f>
        <v>0</v>
      </c>
      <c r="AL8">
        <f>IF(tbl_HR_Data[[#This Row],[JobSatisfaction]]&lt;=2,1,0)</f>
        <v>1</v>
      </c>
      <c r="AM8">
        <f>IF(tbl_HR_Data[[#This Row],[MonthlyIncome]]&lt;$AT$2,1,0)</f>
        <v>1</v>
      </c>
      <c r="AN8">
        <f>IF(tbl_HR_Data[[#This Row],[Travel_Code]]=2,1,0)</f>
        <v>0</v>
      </c>
      <c r="AO8">
        <f>(tbl_HR_Data[[#This Row],[Flag_OT]] * Logic_Parameters!$B$2) +
 (tbl_HR_Data[[#This Row],[Flag_Travel]] * Logic_Parameters!$B$3) +
 (tbl_HR_Data[[#This Row],[Flag_Satisfaction]] * Logic_Parameters!$B$4) +
 (tbl_HR_Data[[#This Row],[Flag_Distance]]* Logic_Parameters!$B$5) +
 (tbl_HR_Data[[#This Row],[Flag_Income]] * Logic_Parameters!$B$6)</f>
        <v>20.698962067398959</v>
      </c>
      <c r="AP8" s="15">
        <f>tbl_HR_Data[[#This Row],[Risk_Score_Raw]] / SUM(Logic_Parameters!$B$2:$B$6)</f>
        <v>0.71313126349280109</v>
      </c>
      <c r="AQ8" s="16" t="str" cm="1">
        <f t="array" ref="AQ8">_xlfn.IFS(tbl_HR_Data[[#This Row],[Attrition_Risk_Percentage]] &gt;= 0.75, "Critical",tbl_HR_Data[ [#This Row],[Attrition_Risk_Percentage] ]&gt;= 0.5, "High",tbl_HR_Data[[#This Row],[Attrition_Risk_Percentage]] &gt;= 0.25, "Medium",TRUE, "Low")</f>
        <v>High</v>
      </c>
      <c r="AR8" s="16" cm="1">
        <f t="array" ref="AR8">IFERROR(_xlfn.IFS(tbl_HR_Data[[#This Row],[Risk_Category]]="Critical",tbl_HR_Data[[#This Row],[MonthlyIncome]]*1.5,tbl_HR_Data[[#This Row],[Risk_Category]]="High",tbl_HR_Data[[#This Row],[MonthlyIncome]]*1.5),0)</f>
        <v>4005</v>
      </c>
    </row>
    <row r="9" spans="1:46" x14ac:dyDescent="0.35">
      <c r="A9" t="s">
        <v>1147</v>
      </c>
      <c r="B9">
        <v>30</v>
      </c>
      <c r="C9" t="s">
        <v>31</v>
      </c>
      <c r="D9">
        <v>1358</v>
      </c>
      <c r="E9" t="s">
        <v>38</v>
      </c>
      <c r="F9">
        <v>24</v>
      </c>
      <c r="G9">
        <v>1</v>
      </c>
      <c r="H9" t="s">
        <v>33</v>
      </c>
      <c r="I9">
        <v>4</v>
      </c>
      <c r="J9" t="s">
        <v>39</v>
      </c>
      <c r="K9">
        <v>67</v>
      </c>
      <c r="L9">
        <v>3</v>
      </c>
      <c r="M9">
        <v>1</v>
      </c>
      <c r="N9" t="s">
        <v>43</v>
      </c>
      <c r="O9">
        <v>3</v>
      </c>
      <c r="P9" t="s">
        <v>45</v>
      </c>
      <c r="Q9">
        <v>2693</v>
      </c>
      <c r="R9">
        <v>13335</v>
      </c>
      <c r="S9">
        <v>1</v>
      </c>
      <c r="T9">
        <v>0</v>
      </c>
      <c r="U9" s="17">
        <v>0.22</v>
      </c>
      <c r="V9">
        <v>4</v>
      </c>
      <c r="W9">
        <v>2</v>
      </c>
      <c r="X9">
        <v>1</v>
      </c>
      <c r="Y9">
        <v>1</v>
      </c>
      <c r="Z9">
        <v>2</v>
      </c>
      <c r="AA9">
        <v>3</v>
      </c>
      <c r="AB9">
        <v>1</v>
      </c>
      <c r="AC9">
        <v>0</v>
      </c>
      <c r="AD9">
        <v>0</v>
      </c>
      <c r="AE9">
        <v>0</v>
      </c>
      <c r="AF9">
        <v>0</v>
      </c>
      <c r="AG9">
        <f>IF(tbl_HR_Data[[#This Row],[Gender]]="Male",1,0)</f>
        <v>1</v>
      </c>
      <c r="AH9" cm="1">
        <f t="array" ref="AH9">_xlfn.SWITCH(tbl_HR_Data[[#This Row],[BusinessTravel]], "Non-Travel", 0, "Travel_Rarely", 1, "Travel_Frequently", 2)</f>
        <v>1</v>
      </c>
      <c r="AI9" cm="1">
        <f t="array" ref="AI9">_xlfn.SWITCH(tbl_HR_Data[[#This Row],[MaritalStatus]],"Single",0,"Married",1,"Divorced",2)</f>
        <v>2</v>
      </c>
      <c r="AJ9">
        <f>IF(tbl_HR_Data[[#This Row],[OverTime]]=1,1,0)</f>
        <v>0</v>
      </c>
      <c r="AK9">
        <f>IF(tbl_HR_Data[[#This Row],[DistanceFromHome]]&gt;15,1,0)</f>
        <v>1</v>
      </c>
      <c r="AL9">
        <f>IF(tbl_HR_Data[[#This Row],[JobSatisfaction]]&lt;=2,1,0)</f>
        <v>0</v>
      </c>
      <c r="AM9">
        <f>IF(tbl_HR_Data[[#This Row],[MonthlyIncome]]&lt;$AT$2,1,0)</f>
        <v>1</v>
      </c>
      <c r="AN9">
        <f>IF(tbl_HR_Data[[#This Row],[Travel_Code]]=2,1,0)</f>
        <v>0</v>
      </c>
      <c r="AO9">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9" s="15">
        <f>tbl_HR_Data[[#This Row],[Risk_Score_Raw]] / SUM(Logic_Parameters!$B$2:$B$6)</f>
        <v>0.33282973125692844</v>
      </c>
      <c r="AQ9" s="16" t="str" cm="1">
        <f t="array" ref="AQ9">_xlfn.IFS(tbl_HR_Data[[#This Row],[Attrition_Risk_Percentage]] &gt;= 0.75, "Critical",tbl_HR_Data[ [#This Row],[Attrition_Risk_Percentage] ]&gt;= 0.5, "High",tbl_HR_Data[[#This Row],[Attrition_Risk_Percentage]] &gt;= 0.25, "Medium",TRUE, "Low")</f>
        <v>Medium</v>
      </c>
      <c r="AR9" s="16" cm="1">
        <f t="array" ref="AR9">IFERROR(_xlfn.IFS(tbl_HR_Data[[#This Row],[Risk_Category]]="Critical",tbl_HR_Data[[#This Row],[MonthlyIncome]]*1.5,tbl_HR_Data[[#This Row],[Risk_Category]]="High",tbl_HR_Data[[#This Row],[MonthlyIncome]]*1.5),0)</f>
        <v>0</v>
      </c>
    </row>
    <row r="10" spans="1:46" x14ac:dyDescent="0.35">
      <c r="A10" t="s">
        <v>651</v>
      </c>
      <c r="B10">
        <v>38</v>
      </c>
      <c r="C10" t="s">
        <v>37</v>
      </c>
      <c r="D10">
        <v>216</v>
      </c>
      <c r="E10" t="s">
        <v>38</v>
      </c>
      <c r="F10">
        <v>23</v>
      </c>
      <c r="G10">
        <v>3</v>
      </c>
      <c r="H10" t="s">
        <v>33</v>
      </c>
      <c r="I10">
        <v>4</v>
      </c>
      <c r="J10" t="s">
        <v>39</v>
      </c>
      <c r="K10">
        <v>44</v>
      </c>
      <c r="L10">
        <v>2</v>
      </c>
      <c r="M10">
        <v>3</v>
      </c>
      <c r="N10" t="s">
        <v>46</v>
      </c>
      <c r="O10">
        <v>3</v>
      </c>
      <c r="P10" t="s">
        <v>36</v>
      </c>
      <c r="Q10">
        <v>9526</v>
      </c>
      <c r="R10">
        <v>8787</v>
      </c>
      <c r="S10">
        <v>0</v>
      </c>
      <c r="T10">
        <v>0</v>
      </c>
      <c r="U10" s="17">
        <v>0.21</v>
      </c>
      <c r="V10">
        <v>4</v>
      </c>
      <c r="W10">
        <v>2</v>
      </c>
      <c r="X10">
        <v>0</v>
      </c>
      <c r="Y10">
        <v>10</v>
      </c>
      <c r="Z10">
        <v>2</v>
      </c>
      <c r="AA10">
        <v>3</v>
      </c>
      <c r="AB10">
        <v>9</v>
      </c>
      <c r="AC10">
        <v>7</v>
      </c>
      <c r="AD10">
        <v>1</v>
      </c>
      <c r="AE10">
        <v>8</v>
      </c>
      <c r="AF10">
        <v>0</v>
      </c>
      <c r="AG10">
        <f>IF(tbl_HR_Data[[#This Row],[Gender]]="Male",1,0)</f>
        <v>1</v>
      </c>
      <c r="AH10" cm="1">
        <f t="array" ref="AH10">_xlfn.SWITCH(tbl_HR_Data[[#This Row],[BusinessTravel]], "Non-Travel", 0, "Travel_Rarely", 1, "Travel_Frequently", 2)</f>
        <v>2</v>
      </c>
      <c r="AI10" cm="1">
        <f t="array" ref="AI10">_xlfn.SWITCH(tbl_HR_Data[[#This Row],[MaritalStatus]],"Single",0,"Married",1,"Divorced",2)</f>
        <v>0</v>
      </c>
      <c r="AJ10">
        <f>IF(tbl_HR_Data[[#This Row],[OverTime]]=1,1,0)</f>
        <v>0</v>
      </c>
      <c r="AK10">
        <f>IF(tbl_HR_Data[[#This Row],[DistanceFromHome]]&gt;15,1,0)</f>
        <v>1</v>
      </c>
      <c r="AL10">
        <f>IF(tbl_HR_Data[[#This Row],[JobSatisfaction]]&lt;=2,1,0)</f>
        <v>0</v>
      </c>
      <c r="AM10">
        <f>IF(tbl_HR_Data[[#This Row],[MonthlyIncome]]&lt;$AT$2,1,0)</f>
        <v>0</v>
      </c>
      <c r="AN10">
        <f>IF(tbl_HR_Data[[#This Row],[Travel_Code]]=2,1,0)</f>
        <v>1</v>
      </c>
      <c r="AO10">
        <f>(tbl_HR_Data[[#This Row],[Flag_OT]] * Logic_Parameters!$B$2) +
 (tbl_HR_Data[[#This Row],[Flag_Travel]] * Logic_Parameters!$B$3) +
 (tbl_HR_Data[[#This Row],[Flag_Satisfaction]] * Logic_Parameters!$B$4) +
 (tbl_HR_Data[[#This Row],[Flag_Distance]]* Logic_Parameters!$B$5) +
 (tbl_HR_Data[[#This Row],[Flag_Income]] * Logic_Parameters!$B$6)</f>
        <v>8.3264966763655544</v>
      </c>
      <c r="AP10" s="15">
        <f>tbl_HR_Data[[#This Row],[Risk_Score_Raw]] / SUM(Logic_Parameters!$B$2:$B$6)</f>
        <v>0.28686873650719891</v>
      </c>
      <c r="AQ10" s="16" t="str" cm="1">
        <f t="array" ref="AQ10">_xlfn.IFS(tbl_HR_Data[[#This Row],[Attrition_Risk_Percentage]] &gt;= 0.75, "Critical",tbl_HR_Data[ [#This Row],[Attrition_Risk_Percentage] ]&gt;= 0.5, "High",tbl_HR_Data[[#This Row],[Attrition_Risk_Percentage]] &gt;= 0.25, "Medium",TRUE, "Low")</f>
        <v>Medium</v>
      </c>
      <c r="AR10" s="16" cm="1">
        <f t="array" ref="AR10">IFERROR(_xlfn.IFS(tbl_HR_Data[[#This Row],[Risk_Category]]="Critical",tbl_HR_Data[[#This Row],[MonthlyIncome]]*1.5,tbl_HR_Data[[#This Row],[Risk_Category]]="High",tbl_HR_Data[[#This Row],[MonthlyIncome]]*1.5),0)</f>
        <v>0</v>
      </c>
    </row>
    <row r="11" spans="1:46" x14ac:dyDescent="0.35">
      <c r="A11" t="s">
        <v>547</v>
      </c>
      <c r="B11">
        <v>36</v>
      </c>
      <c r="C11" t="s">
        <v>31</v>
      </c>
      <c r="D11">
        <v>1299</v>
      </c>
      <c r="E11" t="s">
        <v>38</v>
      </c>
      <c r="F11">
        <v>27</v>
      </c>
      <c r="G11">
        <v>3</v>
      </c>
      <c r="H11" t="s">
        <v>44</v>
      </c>
      <c r="I11">
        <v>3</v>
      </c>
      <c r="J11" t="s">
        <v>39</v>
      </c>
      <c r="K11">
        <v>94</v>
      </c>
      <c r="L11">
        <v>3</v>
      </c>
      <c r="M11">
        <v>2</v>
      </c>
      <c r="N11" t="s">
        <v>47</v>
      </c>
      <c r="O11">
        <v>3</v>
      </c>
      <c r="P11" t="s">
        <v>41</v>
      </c>
      <c r="Q11">
        <v>5237</v>
      </c>
      <c r="R11">
        <v>16577</v>
      </c>
      <c r="S11">
        <v>6</v>
      </c>
      <c r="T11">
        <v>0</v>
      </c>
      <c r="U11" s="17">
        <v>0.13</v>
      </c>
      <c r="V11">
        <v>3</v>
      </c>
      <c r="W11">
        <v>2</v>
      </c>
      <c r="X11">
        <v>2</v>
      </c>
      <c r="Y11">
        <v>17</v>
      </c>
      <c r="Z11">
        <v>3</v>
      </c>
      <c r="AA11">
        <v>2</v>
      </c>
      <c r="AB11">
        <v>7</v>
      </c>
      <c r="AC11">
        <v>7</v>
      </c>
      <c r="AD11">
        <v>7</v>
      </c>
      <c r="AE11">
        <v>7</v>
      </c>
      <c r="AF11">
        <v>0</v>
      </c>
      <c r="AG11">
        <f>IF(tbl_HR_Data[[#This Row],[Gender]]="Male",1,0)</f>
        <v>1</v>
      </c>
      <c r="AH11" cm="1">
        <f t="array" ref="AH11">_xlfn.SWITCH(tbl_HR_Data[[#This Row],[BusinessTravel]], "Non-Travel", 0, "Travel_Rarely", 1, "Travel_Frequently", 2)</f>
        <v>1</v>
      </c>
      <c r="AI11" cm="1">
        <f t="array" ref="AI11">_xlfn.SWITCH(tbl_HR_Data[[#This Row],[MaritalStatus]],"Single",0,"Married",1,"Divorced",2)</f>
        <v>1</v>
      </c>
      <c r="AJ11">
        <f>IF(tbl_HR_Data[[#This Row],[OverTime]]=1,1,0)</f>
        <v>0</v>
      </c>
      <c r="AK11">
        <f>IF(tbl_HR_Data[[#This Row],[DistanceFromHome]]&gt;15,1,0)</f>
        <v>1</v>
      </c>
      <c r="AL11">
        <f>IF(tbl_HR_Data[[#This Row],[JobSatisfaction]]&lt;=2,1,0)</f>
        <v>0</v>
      </c>
      <c r="AM11">
        <f>IF(tbl_HR_Data[[#This Row],[MonthlyIncome]]&lt;$AT$2,1,0)</f>
        <v>0</v>
      </c>
      <c r="AN11">
        <f>IF(tbl_HR_Data[[#This Row],[Travel_Code]]=2,1,0)</f>
        <v>0</v>
      </c>
      <c r="AO11">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11" s="15">
        <f>tbl_HR_Data[[#This Row],[Risk_Score_Raw]] / SUM(Logic_Parameters!$B$2:$B$6)</f>
        <v>0.10908033267710357</v>
      </c>
      <c r="AQ11" s="16" t="str" cm="1">
        <f t="array" ref="AQ11">_xlfn.IFS(tbl_HR_Data[[#This Row],[Attrition_Risk_Percentage]] &gt;= 0.75, "Critical",tbl_HR_Data[ [#This Row],[Attrition_Risk_Percentage] ]&gt;= 0.5, "High",tbl_HR_Data[[#This Row],[Attrition_Risk_Percentage]] &gt;= 0.25, "Medium",TRUE, "Low")</f>
        <v>Low</v>
      </c>
      <c r="AR11" s="16" cm="1">
        <f t="array" ref="AR11">IFERROR(_xlfn.IFS(tbl_HR_Data[[#This Row],[Risk_Category]]="Critical",tbl_HR_Data[[#This Row],[MonthlyIncome]]*1.5,tbl_HR_Data[[#This Row],[Risk_Category]]="High",tbl_HR_Data[[#This Row],[MonthlyIncome]]*1.5),0)</f>
        <v>0</v>
      </c>
    </row>
    <row r="12" spans="1:46" x14ac:dyDescent="0.35">
      <c r="A12" t="s">
        <v>793</v>
      </c>
      <c r="B12">
        <v>35</v>
      </c>
      <c r="C12" t="s">
        <v>31</v>
      </c>
      <c r="D12">
        <v>809</v>
      </c>
      <c r="E12" t="s">
        <v>38</v>
      </c>
      <c r="F12">
        <v>16</v>
      </c>
      <c r="G12">
        <v>3</v>
      </c>
      <c r="H12" t="s">
        <v>44</v>
      </c>
      <c r="I12">
        <v>1</v>
      </c>
      <c r="J12" t="s">
        <v>39</v>
      </c>
      <c r="K12">
        <v>84</v>
      </c>
      <c r="L12">
        <v>4</v>
      </c>
      <c r="M12">
        <v>1</v>
      </c>
      <c r="N12" t="s">
        <v>43</v>
      </c>
      <c r="O12">
        <v>2</v>
      </c>
      <c r="P12" t="s">
        <v>41</v>
      </c>
      <c r="Q12">
        <v>2426</v>
      </c>
      <c r="R12">
        <v>16479</v>
      </c>
      <c r="S12">
        <v>0</v>
      </c>
      <c r="T12">
        <v>0</v>
      </c>
      <c r="U12" s="17">
        <v>0.13</v>
      </c>
      <c r="V12">
        <v>3</v>
      </c>
      <c r="W12">
        <v>3</v>
      </c>
      <c r="X12">
        <v>1</v>
      </c>
      <c r="Y12">
        <v>6</v>
      </c>
      <c r="Z12">
        <v>5</v>
      </c>
      <c r="AA12">
        <v>3</v>
      </c>
      <c r="AB12">
        <v>5</v>
      </c>
      <c r="AC12">
        <v>4</v>
      </c>
      <c r="AD12">
        <v>0</v>
      </c>
      <c r="AE12">
        <v>3</v>
      </c>
      <c r="AF12">
        <v>0</v>
      </c>
      <c r="AG12">
        <f>IF(tbl_HR_Data[[#This Row],[Gender]]="Male",1,0)</f>
        <v>1</v>
      </c>
      <c r="AH12" cm="1">
        <f t="array" ref="AH12">_xlfn.SWITCH(tbl_HR_Data[[#This Row],[BusinessTravel]], "Non-Travel", 0, "Travel_Rarely", 1, "Travel_Frequently", 2)</f>
        <v>1</v>
      </c>
      <c r="AI12" cm="1">
        <f t="array" ref="AI12">_xlfn.SWITCH(tbl_HR_Data[[#This Row],[MaritalStatus]],"Single",0,"Married",1,"Divorced",2)</f>
        <v>1</v>
      </c>
      <c r="AJ12">
        <f>IF(tbl_HR_Data[[#This Row],[OverTime]]=1,1,0)</f>
        <v>0</v>
      </c>
      <c r="AK12">
        <f>IF(tbl_HR_Data[[#This Row],[DistanceFromHome]]&gt;15,1,0)</f>
        <v>1</v>
      </c>
      <c r="AL12">
        <f>IF(tbl_HR_Data[[#This Row],[JobSatisfaction]]&lt;=2,1,0)</f>
        <v>1</v>
      </c>
      <c r="AM12">
        <f>IF(tbl_HR_Data[[#This Row],[MonthlyIncome]]&lt;$AT$2,1,0)</f>
        <v>1</v>
      </c>
      <c r="AN12">
        <f>IF(tbl_HR_Data[[#This Row],[Travel_Code]]=2,1,0)</f>
        <v>0</v>
      </c>
      <c r="AO12">
        <f>(tbl_HR_Data[[#This Row],[Flag_OT]] * Logic_Parameters!$B$2) +
 (tbl_HR_Data[[#This Row],[Flag_Travel]] * Logic_Parameters!$B$3) +
 (tbl_HR_Data[[#This Row],[Flag_Satisfaction]] * Logic_Parameters!$B$4) +
 (tbl_HR_Data[[#This Row],[Flag_Distance]]* Logic_Parameters!$B$5) +
 (tbl_HR_Data[[#This Row],[Flag_Income]] * Logic_Parameters!$B$6)</f>
        <v>13.865068763274337</v>
      </c>
      <c r="AP12" s="15">
        <f>tbl_HR_Data[[#This Row],[Risk_Score_Raw]] / SUM(Logic_Parameters!$B$2:$B$6)</f>
        <v>0.47768646434409739</v>
      </c>
      <c r="AQ12" s="16" t="str" cm="1">
        <f t="array" ref="AQ12">_xlfn.IFS(tbl_HR_Data[[#This Row],[Attrition_Risk_Percentage]] &gt;= 0.75, "Critical",tbl_HR_Data[ [#This Row],[Attrition_Risk_Percentage] ]&gt;= 0.5, "High",tbl_HR_Data[[#This Row],[Attrition_Risk_Percentage]] &gt;= 0.25, "Medium",TRUE, "Low")</f>
        <v>Medium</v>
      </c>
      <c r="AR12" s="16" cm="1">
        <f t="array" ref="AR12">IFERROR(_xlfn.IFS(tbl_HR_Data[[#This Row],[Risk_Category]]="Critical",tbl_HR_Data[[#This Row],[MonthlyIncome]]*1.5,tbl_HR_Data[[#This Row],[Risk_Category]]="High",tbl_HR_Data[[#This Row],[MonthlyIncome]]*1.5),0)</f>
        <v>0</v>
      </c>
    </row>
    <row r="13" spans="1:46" x14ac:dyDescent="0.35">
      <c r="A13" t="s">
        <v>747</v>
      </c>
      <c r="B13">
        <v>29</v>
      </c>
      <c r="C13" t="s">
        <v>31</v>
      </c>
      <c r="D13">
        <v>153</v>
      </c>
      <c r="E13" t="s">
        <v>38</v>
      </c>
      <c r="F13">
        <v>15</v>
      </c>
      <c r="G13">
        <v>2</v>
      </c>
      <c r="H13" t="s">
        <v>33</v>
      </c>
      <c r="I13">
        <v>4</v>
      </c>
      <c r="J13" t="s">
        <v>34</v>
      </c>
      <c r="K13">
        <v>49</v>
      </c>
      <c r="L13">
        <v>2</v>
      </c>
      <c r="M13">
        <v>2</v>
      </c>
      <c r="N13" t="s">
        <v>43</v>
      </c>
      <c r="O13">
        <v>3</v>
      </c>
      <c r="P13" t="s">
        <v>36</v>
      </c>
      <c r="Q13">
        <v>4193</v>
      </c>
      <c r="R13">
        <v>12682</v>
      </c>
      <c r="S13">
        <v>0</v>
      </c>
      <c r="T13">
        <v>1</v>
      </c>
      <c r="U13" s="17">
        <v>0.12</v>
      </c>
      <c r="V13">
        <v>3</v>
      </c>
      <c r="W13">
        <v>4</v>
      </c>
      <c r="X13">
        <v>0</v>
      </c>
      <c r="Y13">
        <v>10</v>
      </c>
      <c r="Z13">
        <v>3</v>
      </c>
      <c r="AA13">
        <v>3</v>
      </c>
      <c r="AB13">
        <v>9</v>
      </c>
      <c r="AC13">
        <v>5</v>
      </c>
      <c r="AD13">
        <v>0</v>
      </c>
      <c r="AE13">
        <v>8</v>
      </c>
      <c r="AF13">
        <v>0</v>
      </c>
      <c r="AG13">
        <f>IF(tbl_HR_Data[[#This Row],[Gender]]="Male",1,0)</f>
        <v>0</v>
      </c>
      <c r="AH13" cm="1">
        <f t="array" ref="AH13">_xlfn.SWITCH(tbl_HR_Data[[#This Row],[BusinessTravel]], "Non-Travel", 0, "Travel_Rarely", 1, "Travel_Frequently", 2)</f>
        <v>1</v>
      </c>
      <c r="AI13" cm="1">
        <f t="array" ref="AI13">_xlfn.SWITCH(tbl_HR_Data[[#This Row],[MaritalStatus]],"Single",0,"Married",1,"Divorced",2)</f>
        <v>0</v>
      </c>
      <c r="AJ13">
        <f>IF(tbl_HR_Data[[#This Row],[OverTime]]=1,1,0)</f>
        <v>1</v>
      </c>
      <c r="AK13">
        <f>IF(tbl_HR_Data[[#This Row],[DistanceFromHome]]&gt;15,1,0)</f>
        <v>0</v>
      </c>
      <c r="AL13">
        <f>IF(tbl_HR_Data[[#This Row],[JobSatisfaction]]&lt;=2,1,0)</f>
        <v>0</v>
      </c>
      <c r="AM13">
        <f>IF(tbl_HR_Data[[#This Row],[MonthlyIncome]]&lt;$AT$2,1,0)</f>
        <v>1</v>
      </c>
      <c r="AN13">
        <f>IF(tbl_HR_Data[[#This Row],[Travel_Code]]=2,1,0)</f>
        <v>0</v>
      </c>
      <c r="AO13">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13" s="15">
        <f>tbl_HR_Data[[#This Row],[Risk_Score_Raw]] / SUM(Logic_Parameters!$B$2:$B$6)</f>
        <v>0.56827453040563214</v>
      </c>
      <c r="AQ13" s="16" t="str" cm="1">
        <f t="array" ref="AQ13">_xlfn.IFS(tbl_HR_Data[[#This Row],[Attrition_Risk_Percentage]] &gt;= 0.75, "Critical",tbl_HR_Data[ [#This Row],[Attrition_Risk_Percentage] ]&gt;= 0.5, "High",tbl_HR_Data[[#This Row],[Attrition_Risk_Percentage]] &gt;= 0.25, "Medium",TRUE, "Low")</f>
        <v>High</v>
      </c>
      <c r="AR13" s="16" cm="1">
        <f t="array" ref="AR13">IFERROR(_xlfn.IFS(tbl_HR_Data[[#This Row],[Risk_Category]]="Critical",tbl_HR_Data[[#This Row],[MonthlyIncome]]*1.5,tbl_HR_Data[[#This Row],[Risk_Category]]="High",tbl_HR_Data[[#This Row],[MonthlyIncome]]*1.5),0)</f>
        <v>6289.5</v>
      </c>
    </row>
    <row r="14" spans="1:46" x14ac:dyDescent="0.35">
      <c r="A14" t="s">
        <v>96</v>
      </c>
      <c r="B14">
        <v>31</v>
      </c>
      <c r="C14" t="s">
        <v>31</v>
      </c>
      <c r="D14">
        <v>670</v>
      </c>
      <c r="E14" t="s">
        <v>38</v>
      </c>
      <c r="F14">
        <v>26</v>
      </c>
      <c r="G14">
        <v>1</v>
      </c>
      <c r="H14" t="s">
        <v>33</v>
      </c>
      <c r="I14">
        <v>1</v>
      </c>
      <c r="J14" t="s">
        <v>39</v>
      </c>
      <c r="K14">
        <v>31</v>
      </c>
      <c r="L14">
        <v>3</v>
      </c>
      <c r="M14">
        <v>1</v>
      </c>
      <c r="N14" t="s">
        <v>40</v>
      </c>
      <c r="O14">
        <v>3</v>
      </c>
      <c r="P14" t="s">
        <v>45</v>
      </c>
      <c r="Q14">
        <v>2911</v>
      </c>
      <c r="R14">
        <v>15170</v>
      </c>
      <c r="S14">
        <v>1</v>
      </c>
      <c r="T14">
        <v>0</v>
      </c>
      <c r="U14" s="17">
        <v>0.17</v>
      </c>
      <c r="V14">
        <v>3</v>
      </c>
      <c r="W14">
        <v>4</v>
      </c>
      <c r="X14">
        <v>1</v>
      </c>
      <c r="Y14">
        <v>5</v>
      </c>
      <c r="Z14">
        <v>1</v>
      </c>
      <c r="AA14">
        <v>2</v>
      </c>
      <c r="AB14">
        <v>5</v>
      </c>
      <c r="AC14">
        <v>2</v>
      </c>
      <c r="AD14">
        <v>4</v>
      </c>
      <c r="AE14">
        <v>3</v>
      </c>
      <c r="AF14">
        <v>0</v>
      </c>
      <c r="AG14">
        <f>IF(tbl_HR_Data[[#This Row],[Gender]]="Male",1,0)</f>
        <v>1</v>
      </c>
      <c r="AH14" cm="1">
        <f t="array" ref="AH14">_xlfn.SWITCH(tbl_HR_Data[[#This Row],[BusinessTravel]], "Non-Travel", 0, "Travel_Rarely", 1, "Travel_Frequently", 2)</f>
        <v>1</v>
      </c>
      <c r="AI14" cm="1">
        <f t="array" ref="AI14">_xlfn.SWITCH(tbl_HR_Data[[#This Row],[MaritalStatus]],"Single",0,"Married",1,"Divorced",2)</f>
        <v>2</v>
      </c>
      <c r="AJ14">
        <f>IF(tbl_HR_Data[[#This Row],[OverTime]]=1,1,0)</f>
        <v>0</v>
      </c>
      <c r="AK14">
        <f>IF(tbl_HR_Data[[#This Row],[DistanceFromHome]]&gt;15,1,0)</f>
        <v>1</v>
      </c>
      <c r="AL14">
        <f>IF(tbl_HR_Data[[#This Row],[JobSatisfaction]]&lt;=2,1,0)</f>
        <v>0</v>
      </c>
      <c r="AM14">
        <f>IF(tbl_HR_Data[[#This Row],[MonthlyIncome]]&lt;$AT$2,1,0)</f>
        <v>1</v>
      </c>
      <c r="AN14">
        <f>IF(tbl_HR_Data[[#This Row],[Travel_Code]]=2,1,0)</f>
        <v>0</v>
      </c>
      <c r="AO14">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14" s="15">
        <f>tbl_HR_Data[[#This Row],[Risk_Score_Raw]] / SUM(Logic_Parameters!$B$2:$B$6)</f>
        <v>0.33282973125692844</v>
      </c>
      <c r="AQ14" s="16" t="str" cm="1">
        <f t="array" ref="AQ14">_xlfn.IFS(tbl_HR_Data[[#This Row],[Attrition_Risk_Percentage]] &gt;= 0.75, "Critical",tbl_HR_Data[ [#This Row],[Attrition_Risk_Percentage] ]&gt;= 0.5, "High",tbl_HR_Data[[#This Row],[Attrition_Risk_Percentage]] &gt;= 0.25, "Medium",TRUE, "Low")</f>
        <v>Medium</v>
      </c>
      <c r="AR14" s="16" cm="1">
        <f t="array" ref="AR14">IFERROR(_xlfn.IFS(tbl_HR_Data[[#This Row],[Risk_Category]]="Critical",tbl_HR_Data[[#This Row],[MonthlyIncome]]*1.5,tbl_HR_Data[[#This Row],[Risk_Category]]="High",tbl_HR_Data[[#This Row],[MonthlyIncome]]*1.5),0)</f>
        <v>0</v>
      </c>
    </row>
    <row r="15" spans="1:46" x14ac:dyDescent="0.35">
      <c r="A15" t="s">
        <v>440</v>
      </c>
      <c r="B15">
        <v>34</v>
      </c>
      <c r="C15" t="s">
        <v>31</v>
      </c>
      <c r="D15">
        <v>1346</v>
      </c>
      <c r="E15" t="s">
        <v>38</v>
      </c>
      <c r="F15">
        <v>19</v>
      </c>
      <c r="G15">
        <v>2</v>
      </c>
      <c r="H15" t="s">
        <v>44</v>
      </c>
      <c r="I15">
        <v>2</v>
      </c>
      <c r="J15" t="s">
        <v>39</v>
      </c>
      <c r="K15">
        <v>93</v>
      </c>
      <c r="L15">
        <v>3</v>
      </c>
      <c r="M15">
        <v>1</v>
      </c>
      <c r="N15" t="s">
        <v>43</v>
      </c>
      <c r="O15">
        <v>4</v>
      </c>
      <c r="P15" t="s">
        <v>45</v>
      </c>
      <c r="Q15">
        <v>2661</v>
      </c>
      <c r="R15">
        <v>8758</v>
      </c>
      <c r="S15">
        <v>0</v>
      </c>
      <c r="T15">
        <v>0</v>
      </c>
      <c r="U15" s="17">
        <v>0.11</v>
      </c>
      <c r="V15">
        <v>3</v>
      </c>
      <c r="W15">
        <v>3</v>
      </c>
      <c r="X15">
        <v>1</v>
      </c>
      <c r="Y15">
        <v>3</v>
      </c>
      <c r="Z15">
        <v>2</v>
      </c>
      <c r="AA15">
        <v>3</v>
      </c>
      <c r="AB15">
        <v>2</v>
      </c>
      <c r="AC15">
        <v>2</v>
      </c>
      <c r="AD15">
        <v>1</v>
      </c>
      <c r="AE15">
        <v>2</v>
      </c>
      <c r="AF15">
        <v>0</v>
      </c>
      <c r="AG15">
        <f>IF(tbl_HR_Data[[#This Row],[Gender]]="Male",1,0)</f>
        <v>1</v>
      </c>
      <c r="AH15" cm="1">
        <f t="array" ref="AH15">_xlfn.SWITCH(tbl_HR_Data[[#This Row],[BusinessTravel]], "Non-Travel", 0, "Travel_Rarely", 1, "Travel_Frequently", 2)</f>
        <v>1</v>
      </c>
      <c r="AI15" cm="1">
        <f t="array" ref="AI15">_xlfn.SWITCH(tbl_HR_Data[[#This Row],[MaritalStatus]],"Single",0,"Married",1,"Divorced",2)</f>
        <v>2</v>
      </c>
      <c r="AJ15">
        <f>IF(tbl_HR_Data[[#This Row],[OverTime]]=1,1,0)</f>
        <v>0</v>
      </c>
      <c r="AK15">
        <f>IF(tbl_HR_Data[[#This Row],[DistanceFromHome]]&gt;15,1,0)</f>
        <v>1</v>
      </c>
      <c r="AL15">
        <f>IF(tbl_HR_Data[[#This Row],[JobSatisfaction]]&lt;=2,1,0)</f>
        <v>0</v>
      </c>
      <c r="AM15">
        <f>IF(tbl_HR_Data[[#This Row],[MonthlyIncome]]&lt;$AT$2,1,0)</f>
        <v>1</v>
      </c>
      <c r="AN15">
        <f>IF(tbl_HR_Data[[#This Row],[Travel_Code]]=2,1,0)</f>
        <v>0</v>
      </c>
      <c r="AO15">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15" s="15">
        <f>tbl_HR_Data[[#This Row],[Risk_Score_Raw]] / SUM(Logic_Parameters!$B$2:$B$6)</f>
        <v>0.33282973125692844</v>
      </c>
      <c r="AQ15" s="16" t="str" cm="1">
        <f t="array" ref="AQ15">_xlfn.IFS(tbl_HR_Data[[#This Row],[Attrition_Risk_Percentage]] &gt;= 0.75, "Critical",tbl_HR_Data[ [#This Row],[Attrition_Risk_Percentage] ]&gt;= 0.5, "High",tbl_HR_Data[[#This Row],[Attrition_Risk_Percentage]] &gt;= 0.25, "Medium",TRUE, "Low")</f>
        <v>Medium</v>
      </c>
      <c r="AR15" s="16" cm="1">
        <f t="array" ref="AR15">IFERROR(_xlfn.IFS(tbl_HR_Data[[#This Row],[Risk_Category]]="Critical",tbl_HR_Data[[#This Row],[MonthlyIncome]]*1.5,tbl_HR_Data[[#This Row],[Risk_Category]]="High",tbl_HR_Data[[#This Row],[MonthlyIncome]]*1.5),0)</f>
        <v>0</v>
      </c>
    </row>
    <row r="16" spans="1:46" x14ac:dyDescent="0.35">
      <c r="A16" t="s">
        <v>444</v>
      </c>
      <c r="B16">
        <v>28</v>
      </c>
      <c r="C16" t="s">
        <v>31</v>
      </c>
      <c r="D16">
        <v>103</v>
      </c>
      <c r="E16" t="s">
        <v>38</v>
      </c>
      <c r="F16">
        <v>24</v>
      </c>
      <c r="G16">
        <v>3</v>
      </c>
      <c r="H16" t="s">
        <v>33</v>
      </c>
      <c r="I16">
        <v>3</v>
      </c>
      <c r="J16" t="s">
        <v>39</v>
      </c>
      <c r="K16">
        <v>50</v>
      </c>
      <c r="L16">
        <v>2</v>
      </c>
      <c r="M16">
        <v>1</v>
      </c>
      <c r="N16" t="s">
        <v>43</v>
      </c>
      <c r="O16">
        <v>3</v>
      </c>
      <c r="P16" t="s">
        <v>36</v>
      </c>
      <c r="Q16">
        <v>2028</v>
      </c>
      <c r="R16">
        <v>12947</v>
      </c>
      <c r="S16">
        <v>5</v>
      </c>
      <c r="T16">
        <v>1</v>
      </c>
      <c r="U16" s="17">
        <v>0.14000000000000001</v>
      </c>
      <c r="V16">
        <v>3</v>
      </c>
      <c r="W16">
        <v>2</v>
      </c>
      <c r="X16">
        <v>0</v>
      </c>
      <c r="Y16">
        <v>6</v>
      </c>
      <c r="Z16">
        <v>4</v>
      </c>
      <c r="AA16">
        <v>3</v>
      </c>
      <c r="AB16">
        <v>4</v>
      </c>
      <c r="AC16">
        <v>2</v>
      </c>
      <c r="AD16">
        <v>0</v>
      </c>
      <c r="AE16">
        <v>3</v>
      </c>
      <c r="AF16">
        <v>1</v>
      </c>
      <c r="AG16">
        <f>IF(tbl_HR_Data[[#This Row],[Gender]]="Male",1,0)</f>
        <v>1</v>
      </c>
      <c r="AH16" cm="1">
        <f t="array" ref="AH16">_xlfn.SWITCH(tbl_HR_Data[[#This Row],[BusinessTravel]], "Non-Travel", 0, "Travel_Rarely", 1, "Travel_Frequently", 2)</f>
        <v>1</v>
      </c>
      <c r="AI16" cm="1">
        <f t="array" ref="AI16">_xlfn.SWITCH(tbl_HR_Data[[#This Row],[MaritalStatus]],"Single",0,"Married",1,"Divorced",2)</f>
        <v>0</v>
      </c>
      <c r="AJ16">
        <f>IF(tbl_HR_Data[[#This Row],[OverTime]]=1,1,0)</f>
        <v>1</v>
      </c>
      <c r="AK16">
        <f>IF(tbl_HR_Data[[#This Row],[DistanceFromHome]]&gt;15,1,0)</f>
        <v>1</v>
      </c>
      <c r="AL16">
        <f>IF(tbl_HR_Data[[#This Row],[JobSatisfaction]]&lt;=2,1,0)</f>
        <v>0</v>
      </c>
      <c r="AM16">
        <f>IF(tbl_HR_Data[[#This Row],[MonthlyIncome]]&lt;$AT$2,1,0)</f>
        <v>1</v>
      </c>
      <c r="AN16">
        <f>IF(tbl_HR_Data[[#This Row],[Travel_Code]]=2,1,0)</f>
        <v>0</v>
      </c>
      <c r="AO16">
        <f>(tbl_HR_Data[[#This Row],[Flag_OT]] * Logic_Parameters!$B$2) +
 (tbl_HR_Data[[#This Row],[Flag_Travel]] * Logic_Parameters!$B$3) +
 (tbl_HR_Data[[#This Row],[Flag_Satisfaction]] * Logic_Parameters!$B$4) +
 (tbl_HR_Data[[#This Row],[Flag_Distance]]* Logic_Parameters!$B$5) +
 (tbl_HR_Data[[#This Row],[Flag_Income]] * Logic_Parameters!$B$6)</f>
        <v>19.660535633296206</v>
      </c>
      <c r="AP16" s="15">
        <f>tbl_HR_Data[[#This Row],[Risk_Score_Raw]] / SUM(Logic_Parameters!$B$2:$B$6)</f>
        <v>0.67735486308273574</v>
      </c>
      <c r="AQ16" s="16" t="str" cm="1">
        <f t="array" ref="AQ16">_xlfn.IFS(tbl_HR_Data[[#This Row],[Attrition_Risk_Percentage]] &gt;= 0.75, "Critical",tbl_HR_Data[ [#This Row],[Attrition_Risk_Percentage] ]&gt;= 0.5, "High",tbl_HR_Data[[#This Row],[Attrition_Risk_Percentage]] &gt;= 0.25, "Medium",TRUE, "Low")</f>
        <v>High</v>
      </c>
      <c r="AR16" s="16" cm="1">
        <f t="array" ref="AR16">IFERROR(_xlfn.IFS(tbl_HR_Data[[#This Row],[Risk_Category]]="Critical",tbl_HR_Data[[#This Row],[MonthlyIncome]]*1.5,tbl_HR_Data[[#This Row],[Risk_Category]]="High",tbl_HR_Data[[#This Row],[MonthlyIncome]]*1.5),0)</f>
        <v>3042</v>
      </c>
    </row>
    <row r="17" spans="1:44" x14ac:dyDescent="0.35">
      <c r="A17" t="s">
        <v>379</v>
      </c>
      <c r="B17">
        <v>29</v>
      </c>
      <c r="C17" t="s">
        <v>31</v>
      </c>
      <c r="D17">
        <v>1389</v>
      </c>
      <c r="E17" t="s">
        <v>38</v>
      </c>
      <c r="F17">
        <v>21</v>
      </c>
      <c r="G17">
        <v>4</v>
      </c>
      <c r="H17" t="s">
        <v>33</v>
      </c>
      <c r="I17">
        <v>2</v>
      </c>
      <c r="J17" t="s">
        <v>34</v>
      </c>
      <c r="K17">
        <v>51</v>
      </c>
      <c r="L17">
        <v>4</v>
      </c>
      <c r="M17">
        <v>3</v>
      </c>
      <c r="N17" t="s">
        <v>46</v>
      </c>
      <c r="O17">
        <v>1</v>
      </c>
      <c r="P17" t="s">
        <v>45</v>
      </c>
      <c r="Q17">
        <v>9980</v>
      </c>
      <c r="R17">
        <v>10195</v>
      </c>
      <c r="S17">
        <v>1</v>
      </c>
      <c r="T17">
        <v>0</v>
      </c>
      <c r="U17" s="17">
        <v>0.11</v>
      </c>
      <c r="V17">
        <v>3</v>
      </c>
      <c r="W17">
        <v>3</v>
      </c>
      <c r="X17">
        <v>1</v>
      </c>
      <c r="Y17">
        <v>10</v>
      </c>
      <c r="Z17">
        <v>1</v>
      </c>
      <c r="AA17">
        <v>3</v>
      </c>
      <c r="AB17">
        <v>10</v>
      </c>
      <c r="AC17">
        <v>9</v>
      </c>
      <c r="AD17">
        <v>8</v>
      </c>
      <c r="AE17">
        <v>8</v>
      </c>
      <c r="AF17">
        <v>0</v>
      </c>
      <c r="AG17">
        <f>IF(tbl_HR_Data[[#This Row],[Gender]]="Male",1,0)</f>
        <v>0</v>
      </c>
      <c r="AH17" cm="1">
        <f t="array" ref="AH17">_xlfn.SWITCH(tbl_HR_Data[[#This Row],[BusinessTravel]], "Non-Travel", 0, "Travel_Rarely", 1, "Travel_Frequently", 2)</f>
        <v>1</v>
      </c>
      <c r="AI17" cm="1">
        <f t="array" ref="AI17">_xlfn.SWITCH(tbl_HR_Data[[#This Row],[MaritalStatus]],"Single",0,"Married",1,"Divorced",2)</f>
        <v>2</v>
      </c>
      <c r="AJ17">
        <f>IF(tbl_HR_Data[[#This Row],[OverTime]]=1,1,0)</f>
        <v>0</v>
      </c>
      <c r="AK17">
        <f>IF(tbl_HR_Data[[#This Row],[DistanceFromHome]]&gt;15,1,0)</f>
        <v>1</v>
      </c>
      <c r="AL17">
        <f>IF(tbl_HR_Data[[#This Row],[JobSatisfaction]]&lt;=2,1,0)</f>
        <v>1</v>
      </c>
      <c r="AM17">
        <f>IF(tbl_HR_Data[[#This Row],[MonthlyIncome]]&lt;$AT$2,1,0)</f>
        <v>0</v>
      </c>
      <c r="AN17">
        <f>IF(tbl_HR_Data[[#This Row],[Travel_Code]]=2,1,0)</f>
        <v>0</v>
      </c>
      <c r="AO17">
        <f>(tbl_HR_Data[[#This Row],[Flag_OT]] * Logic_Parameters!$B$2) +
 (tbl_HR_Data[[#This Row],[Flag_Travel]] * Logic_Parameters!$B$3) +
 (tbl_HR_Data[[#This Row],[Flag_Satisfaction]] * Logic_Parameters!$B$4) +
 (tbl_HR_Data[[#This Row],[Flag_Distance]]* Logic_Parameters!$B$5) +
 (tbl_HR_Data[[#This Row],[Flag_Income]] * Logic_Parameters!$B$6)</f>
        <v>7.3706398258535089</v>
      </c>
      <c r="AP17" s="15">
        <f>tbl_HR_Data[[#This Row],[Risk_Score_Raw]] / SUM(Logic_Parameters!$B$2:$B$6)</f>
        <v>0.25393706576427255</v>
      </c>
      <c r="AQ17" s="16" t="str" cm="1">
        <f t="array" ref="AQ17">_xlfn.IFS(tbl_HR_Data[[#This Row],[Attrition_Risk_Percentage]] &gt;= 0.75, "Critical",tbl_HR_Data[ [#This Row],[Attrition_Risk_Percentage] ]&gt;= 0.5, "High",tbl_HR_Data[[#This Row],[Attrition_Risk_Percentage]] &gt;= 0.25, "Medium",TRUE, "Low")</f>
        <v>Medium</v>
      </c>
      <c r="AR17" s="16" cm="1">
        <f t="array" ref="AR17">IFERROR(_xlfn.IFS(tbl_HR_Data[[#This Row],[Risk_Category]]="Critical",tbl_HR_Data[[#This Row],[MonthlyIncome]]*1.5,tbl_HR_Data[[#This Row],[Risk_Category]]="High",tbl_HR_Data[[#This Row],[MonthlyIncome]]*1.5),0)</f>
        <v>0</v>
      </c>
    </row>
    <row r="18" spans="1:44" x14ac:dyDescent="0.35">
      <c r="A18" t="s">
        <v>203</v>
      </c>
      <c r="B18">
        <v>32</v>
      </c>
      <c r="C18" t="s">
        <v>31</v>
      </c>
      <c r="D18">
        <v>334</v>
      </c>
      <c r="E18" t="s">
        <v>38</v>
      </c>
      <c r="F18">
        <v>5</v>
      </c>
      <c r="G18">
        <v>2</v>
      </c>
      <c r="H18" t="s">
        <v>33</v>
      </c>
      <c r="I18">
        <v>1</v>
      </c>
      <c r="J18" t="s">
        <v>39</v>
      </c>
      <c r="K18">
        <v>80</v>
      </c>
      <c r="L18">
        <v>4</v>
      </c>
      <c r="M18">
        <v>1</v>
      </c>
      <c r="N18" t="s">
        <v>40</v>
      </c>
      <c r="O18">
        <v>2</v>
      </c>
      <c r="P18" t="s">
        <v>45</v>
      </c>
      <c r="Q18">
        <v>3298</v>
      </c>
      <c r="R18">
        <v>15053</v>
      </c>
      <c r="S18">
        <v>0</v>
      </c>
      <c r="T18">
        <v>1</v>
      </c>
      <c r="U18" s="17">
        <v>0.12</v>
      </c>
      <c r="V18">
        <v>3</v>
      </c>
      <c r="W18">
        <v>4</v>
      </c>
      <c r="X18">
        <v>2</v>
      </c>
      <c r="Y18">
        <v>7</v>
      </c>
      <c r="Z18">
        <v>5</v>
      </c>
      <c r="AA18">
        <v>2</v>
      </c>
      <c r="AB18">
        <v>6</v>
      </c>
      <c r="AC18">
        <v>2</v>
      </c>
      <c r="AD18">
        <v>0</v>
      </c>
      <c r="AE18">
        <v>5</v>
      </c>
      <c r="AF18">
        <v>0</v>
      </c>
      <c r="AG18">
        <f>IF(tbl_HR_Data[[#This Row],[Gender]]="Male",1,0)</f>
        <v>1</v>
      </c>
      <c r="AH18" cm="1">
        <f t="array" ref="AH18">_xlfn.SWITCH(tbl_HR_Data[[#This Row],[BusinessTravel]], "Non-Travel", 0, "Travel_Rarely", 1, "Travel_Frequently", 2)</f>
        <v>1</v>
      </c>
      <c r="AI18" cm="1">
        <f t="array" ref="AI18">_xlfn.SWITCH(tbl_HR_Data[[#This Row],[MaritalStatus]],"Single",0,"Married",1,"Divorced",2)</f>
        <v>2</v>
      </c>
      <c r="AJ18">
        <f>IF(tbl_HR_Data[[#This Row],[OverTime]]=1,1,0)</f>
        <v>1</v>
      </c>
      <c r="AK18">
        <f>IF(tbl_HR_Data[[#This Row],[DistanceFromHome]]&gt;15,1,0)</f>
        <v>0</v>
      </c>
      <c r="AL18">
        <f>IF(tbl_HR_Data[[#This Row],[JobSatisfaction]]&lt;=2,1,0)</f>
        <v>1</v>
      </c>
      <c r="AM18">
        <f>IF(tbl_HR_Data[[#This Row],[MonthlyIncome]]&lt;$AT$2,1,0)</f>
        <v>1</v>
      </c>
      <c r="AN18">
        <f>IF(tbl_HR_Data[[#This Row],[Travel_Code]]=2,1,0)</f>
        <v>0</v>
      </c>
      <c r="AO18">
        <f>(tbl_HR_Data[[#This Row],[Flag_OT]] * Logic_Parameters!$B$2) +
 (tbl_HR_Data[[#This Row],[Flag_Travel]] * Logic_Parameters!$B$3) +
 (tbl_HR_Data[[#This Row],[Flag_Satisfaction]] * Logic_Parameters!$B$4) +
 (tbl_HR_Data[[#This Row],[Flag_Distance]]* Logic_Parameters!$B$5) +
 (tbl_HR_Data[[#This Row],[Flag_Income]] * Logic_Parameters!$B$6)</f>
        <v>20.698962067398959</v>
      </c>
      <c r="AP18" s="15">
        <f>tbl_HR_Data[[#This Row],[Risk_Score_Raw]] / SUM(Logic_Parameters!$B$2:$B$6)</f>
        <v>0.71313126349280109</v>
      </c>
      <c r="AQ18" s="16" t="str" cm="1">
        <f t="array" ref="AQ18">_xlfn.IFS(tbl_HR_Data[[#This Row],[Attrition_Risk_Percentage]] &gt;= 0.75, "Critical",tbl_HR_Data[ [#This Row],[Attrition_Risk_Percentage] ]&gt;= 0.5, "High",tbl_HR_Data[[#This Row],[Attrition_Risk_Percentage]] &gt;= 0.25, "Medium",TRUE, "Low")</f>
        <v>High</v>
      </c>
      <c r="AR18" s="16" cm="1">
        <f t="array" ref="AR18">IFERROR(_xlfn.IFS(tbl_HR_Data[[#This Row],[Risk_Category]]="Critical",tbl_HR_Data[[#This Row],[MonthlyIncome]]*1.5,tbl_HR_Data[[#This Row],[Risk_Category]]="High",tbl_HR_Data[[#This Row],[MonthlyIncome]]*1.5),0)</f>
        <v>4947</v>
      </c>
    </row>
    <row r="19" spans="1:44" x14ac:dyDescent="0.35">
      <c r="A19" t="s">
        <v>670</v>
      </c>
      <c r="B19">
        <v>22</v>
      </c>
      <c r="C19" t="s">
        <v>1525</v>
      </c>
      <c r="D19">
        <v>1123</v>
      </c>
      <c r="E19" t="s">
        <v>38</v>
      </c>
      <c r="F19">
        <v>16</v>
      </c>
      <c r="G19">
        <v>2</v>
      </c>
      <c r="H19" t="s">
        <v>44</v>
      </c>
      <c r="I19">
        <v>4</v>
      </c>
      <c r="J19" t="s">
        <v>39</v>
      </c>
      <c r="K19">
        <v>96</v>
      </c>
      <c r="L19">
        <v>4</v>
      </c>
      <c r="M19">
        <v>1</v>
      </c>
      <c r="N19" t="s">
        <v>43</v>
      </c>
      <c r="O19">
        <v>4</v>
      </c>
      <c r="P19" t="s">
        <v>45</v>
      </c>
      <c r="Q19">
        <v>2935</v>
      </c>
      <c r="R19">
        <v>7324</v>
      </c>
      <c r="S19">
        <v>1</v>
      </c>
      <c r="T19">
        <v>1</v>
      </c>
      <c r="U19" s="17">
        <v>0.13</v>
      </c>
      <c r="V19">
        <v>3</v>
      </c>
      <c r="W19">
        <v>2</v>
      </c>
      <c r="X19">
        <v>2</v>
      </c>
      <c r="Y19">
        <v>1</v>
      </c>
      <c r="Z19">
        <v>2</v>
      </c>
      <c r="AA19">
        <v>2</v>
      </c>
      <c r="AB19">
        <v>1</v>
      </c>
      <c r="AC19">
        <v>0</v>
      </c>
      <c r="AD19">
        <v>0</v>
      </c>
      <c r="AE19">
        <v>0</v>
      </c>
      <c r="AF19">
        <v>0</v>
      </c>
      <c r="AG19">
        <f>IF(tbl_HR_Data[[#This Row],[Gender]]="Male",1,0)</f>
        <v>1</v>
      </c>
      <c r="AH19" cm="1">
        <f t="array" ref="AH19">_xlfn.SWITCH(tbl_HR_Data[[#This Row],[BusinessTravel]], "Non-Travel", 0, "Travel_Rarely", 1, "Travel_Frequently", 2)</f>
        <v>0</v>
      </c>
      <c r="AI19" cm="1">
        <f t="array" ref="AI19">_xlfn.SWITCH(tbl_HR_Data[[#This Row],[MaritalStatus]],"Single",0,"Married",1,"Divorced",2)</f>
        <v>2</v>
      </c>
      <c r="AJ19">
        <f>IF(tbl_HR_Data[[#This Row],[OverTime]]=1,1,0)</f>
        <v>1</v>
      </c>
      <c r="AK19">
        <f>IF(tbl_HR_Data[[#This Row],[DistanceFromHome]]&gt;15,1,0)</f>
        <v>1</v>
      </c>
      <c r="AL19">
        <f>IF(tbl_HR_Data[[#This Row],[JobSatisfaction]]&lt;=2,1,0)</f>
        <v>0</v>
      </c>
      <c r="AM19">
        <f>IF(tbl_HR_Data[[#This Row],[MonthlyIncome]]&lt;$AT$2,1,0)</f>
        <v>1</v>
      </c>
      <c r="AN19">
        <f>IF(tbl_HR_Data[[#This Row],[Travel_Code]]=2,1,0)</f>
        <v>0</v>
      </c>
      <c r="AO19">
        <f>(tbl_HR_Data[[#This Row],[Flag_OT]] * Logic_Parameters!$B$2) +
 (tbl_HR_Data[[#This Row],[Flag_Travel]] * Logic_Parameters!$B$3) +
 (tbl_HR_Data[[#This Row],[Flag_Satisfaction]] * Logic_Parameters!$B$4) +
 (tbl_HR_Data[[#This Row],[Flag_Distance]]* Logic_Parameters!$B$5) +
 (tbl_HR_Data[[#This Row],[Flag_Income]] * Logic_Parameters!$B$6)</f>
        <v>19.660535633296206</v>
      </c>
      <c r="AP19" s="15">
        <f>tbl_HR_Data[[#This Row],[Risk_Score_Raw]] / SUM(Logic_Parameters!$B$2:$B$6)</f>
        <v>0.67735486308273574</v>
      </c>
      <c r="AQ19" s="16" t="str" cm="1">
        <f t="array" ref="AQ19">_xlfn.IFS(tbl_HR_Data[[#This Row],[Attrition_Risk_Percentage]] &gt;= 0.75, "Critical",tbl_HR_Data[ [#This Row],[Attrition_Risk_Percentage] ]&gt;= 0.5, "High",tbl_HR_Data[[#This Row],[Attrition_Risk_Percentage]] &gt;= 0.25, "Medium",TRUE, "Low")</f>
        <v>High</v>
      </c>
      <c r="AR19" s="16" cm="1">
        <f t="array" ref="AR19">IFERROR(_xlfn.IFS(tbl_HR_Data[[#This Row],[Risk_Category]]="Critical",tbl_HR_Data[[#This Row],[MonthlyIncome]]*1.5,tbl_HR_Data[[#This Row],[Risk_Category]]="High",tbl_HR_Data[[#This Row],[MonthlyIncome]]*1.5),0)</f>
        <v>4402.5</v>
      </c>
    </row>
    <row r="20" spans="1:44" x14ac:dyDescent="0.35">
      <c r="A20" t="s">
        <v>163</v>
      </c>
      <c r="B20">
        <v>53</v>
      </c>
      <c r="C20" t="s">
        <v>31</v>
      </c>
      <c r="D20">
        <v>1219</v>
      </c>
      <c r="E20" t="s">
        <v>32</v>
      </c>
      <c r="F20">
        <v>2</v>
      </c>
      <c r="G20">
        <v>4</v>
      </c>
      <c r="H20" t="s">
        <v>33</v>
      </c>
      <c r="I20">
        <v>1</v>
      </c>
      <c r="J20" t="s">
        <v>34</v>
      </c>
      <c r="K20">
        <v>78</v>
      </c>
      <c r="L20">
        <v>2</v>
      </c>
      <c r="M20">
        <v>4</v>
      </c>
      <c r="N20" t="s">
        <v>48</v>
      </c>
      <c r="O20">
        <v>4</v>
      </c>
      <c r="P20" t="s">
        <v>41</v>
      </c>
      <c r="Q20">
        <v>15427</v>
      </c>
      <c r="R20">
        <v>22021</v>
      </c>
      <c r="S20">
        <v>2</v>
      </c>
      <c r="T20">
        <v>0</v>
      </c>
      <c r="U20" s="17">
        <v>0.16</v>
      </c>
      <c r="V20">
        <v>3</v>
      </c>
      <c r="W20">
        <v>3</v>
      </c>
      <c r="X20">
        <v>0</v>
      </c>
      <c r="Y20">
        <v>31</v>
      </c>
      <c r="Z20">
        <v>3</v>
      </c>
      <c r="AA20">
        <v>3</v>
      </c>
      <c r="AB20">
        <v>25</v>
      </c>
      <c r="AC20">
        <v>8</v>
      </c>
      <c r="AD20">
        <v>3</v>
      </c>
      <c r="AE20">
        <v>7</v>
      </c>
      <c r="AF20">
        <v>0</v>
      </c>
      <c r="AG20">
        <f>IF(tbl_HR_Data[[#This Row],[Gender]]="Male",1,0)</f>
        <v>0</v>
      </c>
      <c r="AH20" cm="1">
        <f t="array" ref="AH20">_xlfn.SWITCH(tbl_HR_Data[[#This Row],[BusinessTravel]], "Non-Travel", 0, "Travel_Rarely", 1, "Travel_Frequently", 2)</f>
        <v>1</v>
      </c>
      <c r="AI20" cm="1">
        <f t="array" ref="AI20">_xlfn.SWITCH(tbl_HR_Data[[#This Row],[MaritalStatus]],"Single",0,"Married",1,"Divorced",2)</f>
        <v>1</v>
      </c>
      <c r="AJ20">
        <f>IF(tbl_HR_Data[[#This Row],[OverTime]]=1,1,0)</f>
        <v>0</v>
      </c>
      <c r="AK20">
        <f>IF(tbl_HR_Data[[#This Row],[DistanceFromHome]]&gt;15,1,0)</f>
        <v>0</v>
      </c>
      <c r="AL20">
        <f>IF(tbl_HR_Data[[#This Row],[JobSatisfaction]]&lt;=2,1,0)</f>
        <v>0</v>
      </c>
      <c r="AM20">
        <f>IF(tbl_HR_Data[[#This Row],[MonthlyIncome]]&lt;$AT$2,1,0)</f>
        <v>0</v>
      </c>
      <c r="AN20">
        <f>IF(tbl_HR_Data[[#This Row],[Travel_Code]]=2,1,0)</f>
        <v>0</v>
      </c>
      <c r="AO20">
        <f>(tbl_HR_Data[[#This Row],[Flag_OT]] * Logic_Parameters!$B$2) +
 (tbl_HR_Data[[#This Row],[Flag_Travel]] * Logic_Parameters!$B$3) +
 (tbl_HR_Data[[#This Row],[Flag_Satisfaction]] * Logic_Parameters!$B$4) +
 (tbl_HR_Data[[#This Row],[Flag_Distance]]* Logic_Parameters!$B$5) +
 (tbl_HR_Data[[#This Row],[Flag_Income]] * Logic_Parameters!$B$6)</f>
        <v>0</v>
      </c>
      <c r="AP20" s="15">
        <f>tbl_HR_Data[[#This Row],[Risk_Score_Raw]] / SUM(Logic_Parameters!$B$2:$B$6)</f>
        <v>0</v>
      </c>
      <c r="AQ20" s="16" t="str" cm="1">
        <f t="array" ref="AQ20">_xlfn.IFS(tbl_HR_Data[[#This Row],[Attrition_Risk_Percentage]] &gt;= 0.75, "Critical",tbl_HR_Data[ [#This Row],[Attrition_Risk_Percentage] ]&gt;= 0.5, "High",tbl_HR_Data[[#This Row],[Attrition_Risk_Percentage]] &gt;= 0.25, "Medium",TRUE, "Low")</f>
        <v>Low</v>
      </c>
      <c r="AR20" s="16" cm="1">
        <f t="array" ref="AR20">IFERROR(_xlfn.IFS(tbl_HR_Data[[#This Row],[Risk_Category]]="Critical",tbl_HR_Data[[#This Row],[MonthlyIncome]]*1.5,tbl_HR_Data[[#This Row],[Risk_Category]]="High",tbl_HR_Data[[#This Row],[MonthlyIncome]]*1.5),0)</f>
        <v>0</v>
      </c>
    </row>
    <row r="21" spans="1:44" x14ac:dyDescent="0.35">
      <c r="A21" t="s">
        <v>95</v>
      </c>
      <c r="B21">
        <v>38</v>
      </c>
      <c r="C21" t="s">
        <v>31</v>
      </c>
      <c r="D21">
        <v>371</v>
      </c>
      <c r="E21" t="s">
        <v>38</v>
      </c>
      <c r="F21">
        <v>2</v>
      </c>
      <c r="G21">
        <v>3</v>
      </c>
      <c r="H21" t="s">
        <v>33</v>
      </c>
      <c r="I21">
        <v>4</v>
      </c>
      <c r="J21" t="s">
        <v>39</v>
      </c>
      <c r="K21">
        <v>45</v>
      </c>
      <c r="L21">
        <v>3</v>
      </c>
      <c r="M21">
        <v>1</v>
      </c>
      <c r="N21" t="s">
        <v>40</v>
      </c>
      <c r="O21">
        <v>4</v>
      </c>
      <c r="P21" t="s">
        <v>36</v>
      </c>
      <c r="Q21">
        <v>3944</v>
      </c>
      <c r="R21">
        <v>4306</v>
      </c>
      <c r="S21">
        <v>5</v>
      </c>
      <c r="T21">
        <v>1</v>
      </c>
      <c r="U21" s="17">
        <v>0.11</v>
      </c>
      <c r="V21">
        <v>3</v>
      </c>
      <c r="W21">
        <v>3</v>
      </c>
      <c r="X21">
        <v>0</v>
      </c>
      <c r="Y21">
        <v>6</v>
      </c>
      <c r="Z21">
        <v>3</v>
      </c>
      <c r="AA21">
        <v>3</v>
      </c>
      <c r="AB21">
        <v>3</v>
      </c>
      <c r="AC21">
        <v>2</v>
      </c>
      <c r="AD21">
        <v>1</v>
      </c>
      <c r="AE21">
        <v>2</v>
      </c>
      <c r="AF21">
        <v>0</v>
      </c>
      <c r="AG21">
        <f>IF(tbl_HR_Data[[#This Row],[Gender]]="Male",1,0)</f>
        <v>1</v>
      </c>
      <c r="AH21" cm="1">
        <f t="array" ref="AH21">_xlfn.SWITCH(tbl_HR_Data[[#This Row],[BusinessTravel]], "Non-Travel", 0, "Travel_Rarely", 1, "Travel_Frequently", 2)</f>
        <v>1</v>
      </c>
      <c r="AI21" cm="1">
        <f t="array" ref="AI21">_xlfn.SWITCH(tbl_HR_Data[[#This Row],[MaritalStatus]],"Single",0,"Married",1,"Divorced",2)</f>
        <v>0</v>
      </c>
      <c r="AJ21">
        <f>IF(tbl_HR_Data[[#This Row],[OverTime]]=1,1,0)</f>
        <v>1</v>
      </c>
      <c r="AK21">
        <f>IF(tbl_HR_Data[[#This Row],[DistanceFromHome]]&gt;15,1,0)</f>
        <v>0</v>
      </c>
      <c r="AL21">
        <f>IF(tbl_HR_Data[[#This Row],[JobSatisfaction]]&lt;=2,1,0)</f>
        <v>0</v>
      </c>
      <c r="AM21">
        <f>IF(tbl_HR_Data[[#This Row],[MonthlyIncome]]&lt;$AT$2,1,0)</f>
        <v>1</v>
      </c>
      <c r="AN21">
        <f>IF(tbl_HR_Data[[#This Row],[Travel_Code]]=2,1,0)</f>
        <v>0</v>
      </c>
      <c r="AO21">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21" s="15">
        <f>tbl_HR_Data[[#This Row],[Risk_Score_Raw]] / SUM(Logic_Parameters!$B$2:$B$6)</f>
        <v>0.56827453040563214</v>
      </c>
      <c r="AQ21" s="16" t="str" cm="1">
        <f t="array" ref="AQ21">_xlfn.IFS(tbl_HR_Data[[#This Row],[Attrition_Risk_Percentage]] &gt;= 0.75, "Critical",tbl_HR_Data[ [#This Row],[Attrition_Risk_Percentage] ]&gt;= 0.5, "High",tbl_HR_Data[[#This Row],[Attrition_Risk_Percentage]] &gt;= 0.25, "Medium",TRUE, "Low")</f>
        <v>High</v>
      </c>
      <c r="AR21" s="16" cm="1">
        <f t="array" ref="AR21">IFERROR(_xlfn.IFS(tbl_HR_Data[[#This Row],[Risk_Category]]="Critical",tbl_HR_Data[[#This Row],[MonthlyIncome]]*1.5,tbl_HR_Data[[#This Row],[Risk_Category]]="High",tbl_HR_Data[[#This Row],[MonthlyIncome]]*1.5),0)</f>
        <v>5916</v>
      </c>
    </row>
    <row r="22" spans="1:44" x14ac:dyDescent="0.35">
      <c r="A22" t="s">
        <v>612</v>
      </c>
      <c r="B22">
        <v>24</v>
      </c>
      <c r="C22" t="s">
        <v>1525</v>
      </c>
      <c r="D22">
        <v>673</v>
      </c>
      <c r="E22" t="s">
        <v>38</v>
      </c>
      <c r="F22">
        <v>11</v>
      </c>
      <c r="G22">
        <v>2</v>
      </c>
      <c r="H22" t="s">
        <v>42</v>
      </c>
      <c r="I22">
        <v>1</v>
      </c>
      <c r="J22" t="s">
        <v>34</v>
      </c>
      <c r="K22">
        <v>96</v>
      </c>
      <c r="L22">
        <v>4</v>
      </c>
      <c r="M22">
        <v>2</v>
      </c>
      <c r="N22" t="s">
        <v>46</v>
      </c>
      <c r="O22">
        <v>3</v>
      </c>
      <c r="P22" t="s">
        <v>45</v>
      </c>
      <c r="Q22">
        <v>4011</v>
      </c>
      <c r="R22">
        <v>8232</v>
      </c>
      <c r="S22">
        <v>0</v>
      </c>
      <c r="T22">
        <v>0</v>
      </c>
      <c r="U22" s="17">
        <v>0.18</v>
      </c>
      <c r="V22">
        <v>3</v>
      </c>
      <c r="W22">
        <v>4</v>
      </c>
      <c r="X22">
        <v>1</v>
      </c>
      <c r="Y22">
        <v>5</v>
      </c>
      <c r="Z22">
        <v>5</v>
      </c>
      <c r="AA22">
        <v>2</v>
      </c>
      <c r="AB22">
        <v>4</v>
      </c>
      <c r="AC22">
        <v>2</v>
      </c>
      <c r="AD22">
        <v>1</v>
      </c>
      <c r="AE22">
        <v>3</v>
      </c>
      <c r="AF22">
        <v>0</v>
      </c>
      <c r="AG22">
        <f>IF(tbl_HR_Data[[#This Row],[Gender]]="Male",1,0)</f>
        <v>0</v>
      </c>
      <c r="AH22" cm="1">
        <f t="array" ref="AH22">_xlfn.SWITCH(tbl_HR_Data[[#This Row],[BusinessTravel]], "Non-Travel", 0, "Travel_Rarely", 1, "Travel_Frequently", 2)</f>
        <v>0</v>
      </c>
      <c r="AI22" cm="1">
        <f t="array" ref="AI22">_xlfn.SWITCH(tbl_HR_Data[[#This Row],[MaritalStatus]],"Single",0,"Married",1,"Divorced",2)</f>
        <v>2</v>
      </c>
      <c r="AJ22">
        <f>IF(tbl_HR_Data[[#This Row],[OverTime]]=1,1,0)</f>
        <v>0</v>
      </c>
      <c r="AK22">
        <f>IF(tbl_HR_Data[[#This Row],[DistanceFromHome]]&gt;15,1,0)</f>
        <v>0</v>
      </c>
      <c r="AL22">
        <f>IF(tbl_HR_Data[[#This Row],[JobSatisfaction]]&lt;=2,1,0)</f>
        <v>0</v>
      </c>
      <c r="AM22">
        <f>IF(tbl_HR_Data[[#This Row],[MonthlyIncome]]&lt;$AT$2,1,0)</f>
        <v>1</v>
      </c>
      <c r="AN22">
        <f>IF(tbl_HR_Data[[#This Row],[Travel_Code]]=2,1,0)</f>
        <v>0</v>
      </c>
      <c r="AO22">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22" s="15">
        <f>tbl_HR_Data[[#This Row],[Risk_Score_Raw]] / SUM(Logic_Parameters!$B$2:$B$6)</f>
        <v>0.22374939857982484</v>
      </c>
      <c r="AQ22" s="16" t="str" cm="1">
        <f t="array" ref="AQ22">_xlfn.IFS(tbl_HR_Data[[#This Row],[Attrition_Risk_Percentage]] &gt;= 0.75, "Critical",tbl_HR_Data[ [#This Row],[Attrition_Risk_Percentage] ]&gt;= 0.5, "High",tbl_HR_Data[[#This Row],[Attrition_Risk_Percentage]] &gt;= 0.25, "Medium",TRUE, "Low")</f>
        <v>Low</v>
      </c>
      <c r="AR22" s="16" cm="1">
        <f t="array" ref="AR22">IFERROR(_xlfn.IFS(tbl_HR_Data[[#This Row],[Risk_Category]]="Critical",tbl_HR_Data[[#This Row],[MonthlyIncome]]*1.5,tbl_HR_Data[[#This Row],[Risk_Category]]="High",tbl_HR_Data[[#This Row],[MonthlyIncome]]*1.5),0)</f>
        <v>0</v>
      </c>
    </row>
    <row r="23" spans="1:44" x14ac:dyDescent="0.35">
      <c r="A23" t="s">
        <v>97</v>
      </c>
      <c r="B23">
        <v>36</v>
      </c>
      <c r="C23" t="s">
        <v>31</v>
      </c>
      <c r="D23">
        <v>1218</v>
      </c>
      <c r="E23" t="s">
        <v>32</v>
      </c>
      <c r="F23">
        <v>9</v>
      </c>
      <c r="G23">
        <v>4</v>
      </c>
      <c r="H23" t="s">
        <v>33</v>
      </c>
      <c r="I23">
        <v>3</v>
      </c>
      <c r="J23" t="s">
        <v>39</v>
      </c>
      <c r="K23">
        <v>82</v>
      </c>
      <c r="L23">
        <v>2</v>
      </c>
      <c r="M23">
        <v>1</v>
      </c>
      <c r="N23" t="s">
        <v>49</v>
      </c>
      <c r="O23">
        <v>1</v>
      </c>
      <c r="P23" t="s">
        <v>36</v>
      </c>
      <c r="Q23">
        <v>3407</v>
      </c>
      <c r="R23">
        <v>6986</v>
      </c>
      <c r="S23">
        <v>7</v>
      </c>
      <c r="T23">
        <v>0</v>
      </c>
      <c r="U23" s="17">
        <v>0.23</v>
      </c>
      <c r="V23">
        <v>4</v>
      </c>
      <c r="W23">
        <v>2</v>
      </c>
      <c r="X23">
        <v>0</v>
      </c>
      <c r="Y23">
        <v>10</v>
      </c>
      <c r="Z23">
        <v>4</v>
      </c>
      <c r="AA23">
        <v>3</v>
      </c>
      <c r="AB23">
        <v>5</v>
      </c>
      <c r="AC23">
        <v>3</v>
      </c>
      <c r="AD23">
        <v>0</v>
      </c>
      <c r="AE23">
        <v>3</v>
      </c>
      <c r="AF23">
        <v>1</v>
      </c>
      <c r="AG23">
        <f>IF(tbl_HR_Data[[#This Row],[Gender]]="Male",1,0)</f>
        <v>1</v>
      </c>
      <c r="AH23" cm="1">
        <f t="array" ref="AH23">_xlfn.SWITCH(tbl_HR_Data[[#This Row],[BusinessTravel]], "Non-Travel", 0, "Travel_Rarely", 1, "Travel_Frequently", 2)</f>
        <v>1</v>
      </c>
      <c r="AI23" cm="1">
        <f t="array" ref="AI23">_xlfn.SWITCH(tbl_HR_Data[[#This Row],[MaritalStatus]],"Single",0,"Married",1,"Divorced",2)</f>
        <v>0</v>
      </c>
      <c r="AJ23">
        <f>IF(tbl_HR_Data[[#This Row],[OverTime]]=1,1,0)</f>
        <v>0</v>
      </c>
      <c r="AK23">
        <f>IF(tbl_HR_Data[[#This Row],[DistanceFromHome]]&gt;15,1,0)</f>
        <v>0</v>
      </c>
      <c r="AL23">
        <f>IF(tbl_HR_Data[[#This Row],[JobSatisfaction]]&lt;=2,1,0)</f>
        <v>1</v>
      </c>
      <c r="AM23">
        <f>IF(tbl_HR_Data[[#This Row],[MonthlyIncome]]&lt;$AT$2,1,0)</f>
        <v>1</v>
      </c>
      <c r="AN23">
        <f>IF(tbl_HR_Data[[#This Row],[Travel_Code]]=2,1,0)</f>
        <v>0</v>
      </c>
      <c r="AO23">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23" s="15">
        <f>tbl_HR_Data[[#This Row],[Risk_Score_Raw]] / SUM(Logic_Parameters!$B$2:$B$6)</f>
        <v>0.3686061316669938</v>
      </c>
      <c r="AQ23" s="16" t="str" cm="1">
        <f t="array" ref="AQ23">_xlfn.IFS(tbl_HR_Data[[#This Row],[Attrition_Risk_Percentage]] &gt;= 0.75, "Critical",tbl_HR_Data[ [#This Row],[Attrition_Risk_Percentage] ]&gt;= 0.5, "High",tbl_HR_Data[[#This Row],[Attrition_Risk_Percentage]] &gt;= 0.25, "Medium",TRUE, "Low")</f>
        <v>Medium</v>
      </c>
      <c r="AR23" s="16" cm="1">
        <f t="array" ref="AR23">IFERROR(_xlfn.IFS(tbl_HR_Data[[#This Row],[Risk_Category]]="Critical",tbl_HR_Data[[#This Row],[MonthlyIncome]]*1.5,tbl_HR_Data[[#This Row],[Risk_Category]]="High",tbl_HR_Data[[#This Row],[MonthlyIncome]]*1.5),0)</f>
        <v>0</v>
      </c>
    </row>
    <row r="24" spans="1:44" x14ac:dyDescent="0.35">
      <c r="A24" t="s">
        <v>1407</v>
      </c>
      <c r="B24">
        <v>34</v>
      </c>
      <c r="C24" t="s">
        <v>31</v>
      </c>
      <c r="D24">
        <v>419</v>
      </c>
      <c r="E24" t="s">
        <v>38</v>
      </c>
      <c r="F24">
        <v>7</v>
      </c>
      <c r="G24">
        <v>4</v>
      </c>
      <c r="H24" t="s">
        <v>33</v>
      </c>
      <c r="I24">
        <v>1</v>
      </c>
      <c r="J24" t="s">
        <v>34</v>
      </c>
      <c r="K24">
        <v>53</v>
      </c>
      <c r="L24">
        <v>3</v>
      </c>
      <c r="M24">
        <v>3</v>
      </c>
      <c r="N24" t="s">
        <v>50</v>
      </c>
      <c r="O24">
        <v>2</v>
      </c>
      <c r="P24" t="s">
        <v>36</v>
      </c>
      <c r="Q24">
        <v>11994</v>
      </c>
      <c r="R24">
        <v>21293</v>
      </c>
      <c r="S24">
        <v>0</v>
      </c>
      <c r="T24">
        <v>0</v>
      </c>
      <c r="U24" s="17">
        <v>0.11</v>
      </c>
      <c r="V24">
        <v>3</v>
      </c>
      <c r="W24">
        <v>3</v>
      </c>
      <c r="X24">
        <v>0</v>
      </c>
      <c r="Y24">
        <v>13</v>
      </c>
      <c r="Z24">
        <v>4</v>
      </c>
      <c r="AA24">
        <v>3</v>
      </c>
      <c r="AB24">
        <v>12</v>
      </c>
      <c r="AC24">
        <v>6</v>
      </c>
      <c r="AD24">
        <v>2</v>
      </c>
      <c r="AE24">
        <v>11</v>
      </c>
      <c r="AF24">
        <v>0</v>
      </c>
      <c r="AG24">
        <f>IF(tbl_HR_Data[[#This Row],[Gender]]="Male",1,0)</f>
        <v>0</v>
      </c>
      <c r="AH24" cm="1">
        <f t="array" ref="AH24">_xlfn.SWITCH(tbl_HR_Data[[#This Row],[BusinessTravel]], "Non-Travel", 0, "Travel_Rarely", 1, "Travel_Frequently", 2)</f>
        <v>1</v>
      </c>
      <c r="AI24" cm="1">
        <f t="array" ref="AI24">_xlfn.SWITCH(tbl_HR_Data[[#This Row],[MaritalStatus]],"Single",0,"Married",1,"Divorced",2)</f>
        <v>0</v>
      </c>
      <c r="AJ24">
        <f>IF(tbl_HR_Data[[#This Row],[OverTime]]=1,1,0)</f>
        <v>0</v>
      </c>
      <c r="AK24">
        <f>IF(tbl_HR_Data[[#This Row],[DistanceFromHome]]&gt;15,1,0)</f>
        <v>0</v>
      </c>
      <c r="AL24">
        <f>IF(tbl_HR_Data[[#This Row],[JobSatisfaction]]&lt;=2,1,0)</f>
        <v>1</v>
      </c>
      <c r="AM24">
        <f>IF(tbl_HR_Data[[#This Row],[MonthlyIncome]]&lt;$AT$2,1,0)</f>
        <v>0</v>
      </c>
      <c r="AN24">
        <f>IF(tbl_HR_Data[[#This Row],[Travel_Code]]=2,1,0)</f>
        <v>0</v>
      </c>
      <c r="AO24">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24" s="15">
        <f>tbl_HR_Data[[#This Row],[Risk_Score_Raw]] / SUM(Logic_Parameters!$B$2:$B$6)</f>
        <v>0.14485673308716898</v>
      </c>
      <c r="AQ24" s="16" t="str" cm="1">
        <f t="array" ref="AQ24">_xlfn.IFS(tbl_HR_Data[[#This Row],[Attrition_Risk_Percentage]] &gt;= 0.75, "Critical",tbl_HR_Data[ [#This Row],[Attrition_Risk_Percentage] ]&gt;= 0.5, "High",tbl_HR_Data[[#This Row],[Attrition_Risk_Percentage]] &gt;= 0.25, "Medium",TRUE, "Low")</f>
        <v>Low</v>
      </c>
      <c r="AR24" s="16" cm="1">
        <f t="array" ref="AR24">IFERROR(_xlfn.IFS(tbl_HR_Data[[#This Row],[Risk_Category]]="Critical",tbl_HR_Data[[#This Row],[MonthlyIncome]]*1.5,tbl_HR_Data[[#This Row],[Risk_Category]]="High",tbl_HR_Data[[#This Row],[MonthlyIncome]]*1.5),0)</f>
        <v>0</v>
      </c>
    </row>
    <row r="25" spans="1:44" x14ac:dyDescent="0.35">
      <c r="A25" t="s">
        <v>134</v>
      </c>
      <c r="B25">
        <v>21</v>
      </c>
      <c r="C25" t="s">
        <v>31</v>
      </c>
      <c r="D25">
        <v>391</v>
      </c>
      <c r="E25" t="s">
        <v>38</v>
      </c>
      <c r="F25">
        <v>15</v>
      </c>
      <c r="G25">
        <v>2</v>
      </c>
      <c r="H25" t="s">
        <v>33</v>
      </c>
      <c r="I25">
        <v>3</v>
      </c>
      <c r="J25" t="s">
        <v>39</v>
      </c>
      <c r="K25">
        <v>96</v>
      </c>
      <c r="L25">
        <v>3</v>
      </c>
      <c r="M25">
        <v>1</v>
      </c>
      <c r="N25" t="s">
        <v>40</v>
      </c>
      <c r="O25">
        <v>4</v>
      </c>
      <c r="P25" t="s">
        <v>36</v>
      </c>
      <c r="Q25">
        <v>1232</v>
      </c>
      <c r="R25">
        <v>19281</v>
      </c>
      <c r="S25">
        <v>1</v>
      </c>
      <c r="T25">
        <v>0</v>
      </c>
      <c r="U25" s="17">
        <v>0.14000000000000001</v>
      </c>
      <c r="V25">
        <v>3</v>
      </c>
      <c r="W25">
        <v>4</v>
      </c>
      <c r="X25">
        <v>0</v>
      </c>
      <c r="Y25">
        <v>0</v>
      </c>
      <c r="Z25">
        <v>6</v>
      </c>
      <c r="AA25">
        <v>3</v>
      </c>
      <c r="AB25">
        <v>0</v>
      </c>
      <c r="AC25">
        <v>0</v>
      </c>
      <c r="AD25">
        <v>0</v>
      </c>
      <c r="AE25">
        <v>0</v>
      </c>
      <c r="AF25">
        <v>0</v>
      </c>
      <c r="AG25">
        <f>IF(tbl_HR_Data[[#This Row],[Gender]]="Male",1,0)</f>
        <v>1</v>
      </c>
      <c r="AH25" cm="1">
        <f t="array" ref="AH25">_xlfn.SWITCH(tbl_HR_Data[[#This Row],[BusinessTravel]], "Non-Travel", 0, "Travel_Rarely", 1, "Travel_Frequently", 2)</f>
        <v>1</v>
      </c>
      <c r="AI25" cm="1">
        <f t="array" ref="AI25">_xlfn.SWITCH(tbl_HR_Data[[#This Row],[MaritalStatus]],"Single",0,"Married",1,"Divorced",2)</f>
        <v>0</v>
      </c>
      <c r="AJ25">
        <f>IF(tbl_HR_Data[[#This Row],[OverTime]]=1,1,0)</f>
        <v>0</v>
      </c>
      <c r="AK25">
        <f>IF(tbl_HR_Data[[#This Row],[DistanceFromHome]]&gt;15,1,0)</f>
        <v>0</v>
      </c>
      <c r="AL25">
        <f>IF(tbl_HR_Data[[#This Row],[JobSatisfaction]]&lt;=2,1,0)</f>
        <v>0</v>
      </c>
      <c r="AM25">
        <f>IF(tbl_HR_Data[[#This Row],[MonthlyIncome]]&lt;$AT$2,1,0)</f>
        <v>1</v>
      </c>
      <c r="AN25">
        <f>IF(tbl_HR_Data[[#This Row],[Travel_Code]]=2,1,0)</f>
        <v>0</v>
      </c>
      <c r="AO25">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25" s="15">
        <f>tbl_HR_Data[[#This Row],[Risk_Score_Raw]] / SUM(Logic_Parameters!$B$2:$B$6)</f>
        <v>0.22374939857982484</v>
      </c>
      <c r="AQ25" s="16" t="str" cm="1">
        <f t="array" ref="AQ25">_xlfn.IFS(tbl_HR_Data[[#This Row],[Attrition_Risk_Percentage]] &gt;= 0.75, "Critical",tbl_HR_Data[ [#This Row],[Attrition_Risk_Percentage] ]&gt;= 0.5, "High",tbl_HR_Data[[#This Row],[Attrition_Risk_Percentage]] &gt;= 0.25, "Medium",TRUE, "Low")</f>
        <v>Low</v>
      </c>
      <c r="AR25" s="16" cm="1">
        <f t="array" ref="AR25">IFERROR(_xlfn.IFS(tbl_HR_Data[[#This Row],[Risk_Category]]="Critical",tbl_HR_Data[[#This Row],[MonthlyIncome]]*1.5,tbl_HR_Data[[#This Row],[Risk_Category]]="High",tbl_HR_Data[[#This Row],[MonthlyIncome]]*1.5),0)</f>
        <v>0</v>
      </c>
    </row>
    <row r="26" spans="1:44" x14ac:dyDescent="0.35">
      <c r="A26" t="s">
        <v>317</v>
      </c>
      <c r="B26">
        <v>34</v>
      </c>
      <c r="C26" t="s">
        <v>31</v>
      </c>
      <c r="D26">
        <v>699</v>
      </c>
      <c r="E26" t="s">
        <v>38</v>
      </c>
      <c r="F26">
        <v>6</v>
      </c>
      <c r="G26">
        <v>1</v>
      </c>
      <c r="H26" t="s">
        <v>44</v>
      </c>
      <c r="I26">
        <v>2</v>
      </c>
      <c r="J26" t="s">
        <v>39</v>
      </c>
      <c r="K26">
        <v>83</v>
      </c>
      <c r="L26">
        <v>3</v>
      </c>
      <c r="M26">
        <v>1</v>
      </c>
      <c r="N26" t="s">
        <v>40</v>
      </c>
      <c r="O26">
        <v>1</v>
      </c>
      <c r="P26" t="s">
        <v>36</v>
      </c>
      <c r="Q26">
        <v>2960</v>
      </c>
      <c r="R26">
        <v>17102</v>
      </c>
      <c r="S26">
        <v>2</v>
      </c>
      <c r="T26">
        <v>0</v>
      </c>
      <c r="U26" s="17">
        <v>0.11</v>
      </c>
      <c r="V26">
        <v>3</v>
      </c>
      <c r="W26">
        <v>3</v>
      </c>
      <c r="X26">
        <v>0</v>
      </c>
      <c r="Y26">
        <v>8</v>
      </c>
      <c r="Z26">
        <v>2</v>
      </c>
      <c r="AA26">
        <v>3</v>
      </c>
      <c r="AB26">
        <v>4</v>
      </c>
      <c r="AC26">
        <v>2</v>
      </c>
      <c r="AD26">
        <v>1</v>
      </c>
      <c r="AE26">
        <v>3</v>
      </c>
      <c r="AF26">
        <v>1</v>
      </c>
      <c r="AG26">
        <f>IF(tbl_HR_Data[[#This Row],[Gender]]="Male",1,0)</f>
        <v>1</v>
      </c>
      <c r="AH26" cm="1">
        <f t="array" ref="AH26">_xlfn.SWITCH(tbl_HR_Data[[#This Row],[BusinessTravel]], "Non-Travel", 0, "Travel_Rarely", 1, "Travel_Frequently", 2)</f>
        <v>1</v>
      </c>
      <c r="AI26" cm="1">
        <f t="array" ref="AI26">_xlfn.SWITCH(tbl_HR_Data[[#This Row],[MaritalStatus]],"Single",0,"Married",1,"Divorced",2)</f>
        <v>0</v>
      </c>
      <c r="AJ26">
        <f>IF(tbl_HR_Data[[#This Row],[OverTime]]=1,1,0)</f>
        <v>0</v>
      </c>
      <c r="AK26">
        <f>IF(tbl_HR_Data[[#This Row],[DistanceFromHome]]&gt;15,1,0)</f>
        <v>0</v>
      </c>
      <c r="AL26">
        <f>IF(tbl_HR_Data[[#This Row],[JobSatisfaction]]&lt;=2,1,0)</f>
        <v>1</v>
      </c>
      <c r="AM26">
        <f>IF(tbl_HR_Data[[#This Row],[MonthlyIncome]]&lt;$AT$2,1,0)</f>
        <v>1</v>
      </c>
      <c r="AN26">
        <f>IF(tbl_HR_Data[[#This Row],[Travel_Code]]=2,1,0)</f>
        <v>0</v>
      </c>
      <c r="AO26">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26" s="15">
        <f>tbl_HR_Data[[#This Row],[Risk_Score_Raw]] / SUM(Logic_Parameters!$B$2:$B$6)</f>
        <v>0.3686061316669938</v>
      </c>
      <c r="AQ26" s="16" t="str" cm="1">
        <f t="array" ref="AQ26">_xlfn.IFS(tbl_HR_Data[[#This Row],[Attrition_Risk_Percentage]] &gt;= 0.75, "Critical",tbl_HR_Data[ [#This Row],[Attrition_Risk_Percentage] ]&gt;= 0.5, "High",tbl_HR_Data[[#This Row],[Attrition_Risk_Percentage]] &gt;= 0.25, "Medium",TRUE, "Low")</f>
        <v>Medium</v>
      </c>
      <c r="AR26" s="16" cm="1">
        <f t="array" ref="AR26">IFERROR(_xlfn.IFS(tbl_HR_Data[[#This Row],[Risk_Category]]="Critical",tbl_HR_Data[[#This Row],[MonthlyIncome]]*1.5,tbl_HR_Data[[#This Row],[Risk_Category]]="High",tbl_HR_Data[[#This Row],[MonthlyIncome]]*1.5),0)</f>
        <v>0</v>
      </c>
    </row>
    <row r="27" spans="1:44" x14ac:dyDescent="0.35">
      <c r="A27" t="s">
        <v>155</v>
      </c>
      <c r="B27">
        <v>53</v>
      </c>
      <c r="C27" t="s">
        <v>31</v>
      </c>
      <c r="D27">
        <v>1282</v>
      </c>
      <c r="E27" t="s">
        <v>38</v>
      </c>
      <c r="F27">
        <v>5</v>
      </c>
      <c r="G27">
        <v>3</v>
      </c>
      <c r="H27" t="s">
        <v>42</v>
      </c>
      <c r="I27">
        <v>3</v>
      </c>
      <c r="J27" t="s">
        <v>34</v>
      </c>
      <c r="K27">
        <v>58</v>
      </c>
      <c r="L27">
        <v>3</v>
      </c>
      <c r="M27">
        <v>5</v>
      </c>
      <c r="N27" t="s">
        <v>48</v>
      </c>
      <c r="O27">
        <v>3</v>
      </c>
      <c r="P27" t="s">
        <v>45</v>
      </c>
      <c r="Q27">
        <v>19094</v>
      </c>
      <c r="R27">
        <v>10735</v>
      </c>
      <c r="S27">
        <v>4</v>
      </c>
      <c r="T27">
        <v>0</v>
      </c>
      <c r="U27" s="17">
        <v>0.11</v>
      </c>
      <c r="V27">
        <v>3</v>
      </c>
      <c r="W27">
        <v>4</v>
      </c>
      <c r="X27">
        <v>1</v>
      </c>
      <c r="Y27">
        <v>26</v>
      </c>
      <c r="Z27">
        <v>3</v>
      </c>
      <c r="AA27">
        <v>2</v>
      </c>
      <c r="AB27">
        <v>14</v>
      </c>
      <c r="AC27">
        <v>13</v>
      </c>
      <c r="AD27">
        <v>4</v>
      </c>
      <c r="AE27">
        <v>8</v>
      </c>
      <c r="AF27">
        <v>0</v>
      </c>
      <c r="AG27">
        <f>IF(tbl_HR_Data[[#This Row],[Gender]]="Male",1,0)</f>
        <v>0</v>
      </c>
      <c r="AH27" cm="1">
        <f t="array" ref="AH27">_xlfn.SWITCH(tbl_HR_Data[[#This Row],[BusinessTravel]], "Non-Travel", 0, "Travel_Rarely", 1, "Travel_Frequently", 2)</f>
        <v>1</v>
      </c>
      <c r="AI27" cm="1">
        <f t="array" ref="AI27">_xlfn.SWITCH(tbl_HR_Data[[#This Row],[MaritalStatus]],"Single",0,"Married",1,"Divorced",2)</f>
        <v>2</v>
      </c>
      <c r="AJ27">
        <f>IF(tbl_HR_Data[[#This Row],[OverTime]]=1,1,0)</f>
        <v>0</v>
      </c>
      <c r="AK27">
        <f>IF(tbl_HR_Data[[#This Row],[DistanceFromHome]]&gt;15,1,0)</f>
        <v>0</v>
      </c>
      <c r="AL27">
        <f>IF(tbl_HR_Data[[#This Row],[JobSatisfaction]]&lt;=2,1,0)</f>
        <v>0</v>
      </c>
      <c r="AM27">
        <f>IF(tbl_HR_Data[[#This Row],[MonthlyIncome]]&lt;$AT$2,1,0)</f>
        <v>0</v>
      </c>
      <c r="AN27">
        <f>IF(tbl_HR_Data[[#This Row],[Travel_Code]]=2,1,0)</f>
        <v>0</v>
      </c>
      <c r="AO27">
        <f>(tbl_HR_Data[[#This Row],[Flag_OT]] * Logic_Parameters!$B$2) +
 (tbl_HR_Data[[#This Row],[Flag_Travel]] * Logic_Parameters!$B$3) +
 (tbl_HR_Data[[#This Row],[Flag_Satisfaction]] * Logic_Parameters!$B$4) +
 (tbl_HR_Data[[#This Row],[Flag_Distance]]* Logic_Parameters!$B$5) +
 (tbl_HR_Data[[#This Row],[Flag_Income]] * Logic_Parameters!$B$6)</f>
        <v>0</v>
      </c>
      <c r="AP27" s="15">
        <f>tbl_HR_Data[[#This Row],[Risk_Score_Raw]] / SUM(Logic_Parameters!$B$2:$B$6)</f>
        <v>0</v>
      </c>
      <c r="AQ27" s="16" t="str" cm="1">
        <f t="array" ref="AQ27">_xlfn.IFS(tbl_HR_Data[[#This Row],[Attrition_Risk_Percentage]] &gt;= 0.75, "Critical",tbl_HR_Data[ [#This Row],[Attrition_Risk_Percentage] ]&gt;= 0.5, "High",tbl_HR_Data[[#This Row],[Attrition_Risk_Percentage]] &gt;= 0.25, "Medium",TRUE, "Low")</f>
        <v>Low</v>
      </c>
      <c r="AR27" s="16" cm="1">
        <f t="array" ref="AR27">IFERROR(_xlfn.IFS(tbl_HR_Data[[#This Row],[Risk_Category]]="Critical",tbl_HR_Data[[#This Row],[MonthlyIncome]]*1.5,tbl_HR_Data[[#This Row],[Risk_Category]]="High",tbl_HR_Data[[#This Row],[MonthlyIncome]]*1.5),0)</f>
        <v>0</v>
      </c>
    </row>
    <row r="28" spans="1:44" x14ac:dyDescent="0.35">
      <c r="A28" t="s">
        <v>150</v>
      </c>
      <c r="B28">
        <v>32</v>
      </c>
      <c r="C28" t="s">
        <v>37</v>
      </c>
      <c r="D28">
        <v>1125</v>
      </c>
      <c r="E28" t="s">
        <v>38</v>
      </c>
      <c r="F28">
        <v>16</v>
      </c>
      <c r="G28">
        <v>1</v>
      </c>
      <c r="H28" t="s">
        <v>33</v>
      </c>
      <c r="I28">
        <v>2</v>
      </c>
      <c r="J28" t="s">
        <v>34</v>
      </c>
      <c r="K28">
        <v>72</v>
      </c>
      <c r="L28">
        <v>1</v>
      </c>
      <c r="M28">
        <v>1</v>
      </c>
      <c r="N28" t="s">
        <v>40</v>
      </c>
      <c r="O28">
        <v>1</v>
      </c>
      <c r="P28" t="s">
        <v>36</v>
      </c>
      <c r="Q28">
        <v>3919</v>
      </c>
      <c r="R28">
        <v>4681</v>
      </c>
      <c r="S28">
        <v>1</v>
      </c>
      <c r="T28">
        <v>1</v>
      </c>
      <c r="U28" s="17">
        <v>0.22</v>
      </c>
      <c r="V28">
        <v>4</v>
      </c>
      <c r="W28">
        <v>2</v>
      </c>
      <c r="X28">
        <v>0</v>
      </c>
      <c r="Y28">
        <v>10</v>
      </c>
      <c r="Z28">
        <v>5</v>
      </c>
      <c r="AA28">
        <v>3</v>
      </c>
      <c r="AB28">
        <v>10</v>
      </c>
      <c r="AC28">
        <v>2</v>
      </c>
      <c r="AD28">
        <v>6</v>
      </c>
      <c r="AE28">
        <v>7</v>
      </c>
      <c r="AF28">
        <v>1</v>
      </c>
      <c r="AG28">
        <f>IF(tbl_HR_Data[[#This Row],[Gender]]="Male",1,0)</f>
        <v>0</v>
      </c>
      <c r="AH28" cm="1">
        <f t="array" ref="AH28">_xlfn.SWITCH(tbl_HR_Data[[#This Row],[BusinessTravel]], "Non-Travel", 0, "Travel_Rarely", 1, "Travel_Frequently", 2)</f>
        <v>2</v>
      </c>
      <c r="AI28" cm="1">
        <f t="array" ref="AI28">_xlfn.SWITCH(tbl_HR_Data[[#This Row],[MaritalStatus]],"Single",0,"Married",1,"Divorced",2)</f>
        <v>0</v>
      </c>
      <c r="AJ28">
        <f>IF(tbl_HR_Data[[#This Row],[OverTime]]=1,1,0)</f>
        <v>1</v>
      </c>
      <c r="AK28">
        <f>IF(tbl_HR_Data[[#This Row],[DistanceFromHome]]&gt;15,1,0)</f>
        <v>1</v>
      </c>
      <c r="AL28">
        <f>IF(tbl_HR_Data[[#This Row],[JobSatisfaction]]&lt;=2,1,0)</f>
        <v>1</v>
      </c>
      <c r="AM28">
        <f>IF(tbl_HR_Data[[#This Row],[MonthlyIncome]]&lt;$AT$2,1,0)</f>
        <v>1</v>
      </c>
      <c r="AN28">
        <f>IF(tbl_HR_Data[[#This Row],[Travel_Code]]=2,1,0)</f>
        <v>1</v>
      </c>
      <c r="AO28">
        <f>(tbl_HR_Data[[#This Row],[Flag_OT]] * Logic_Parameters!$B$2) +
 (tbl_HR_Data[[#This Row],[Flag_Travel]] * Logic_Parameters!$B$3) +
 (tbl_HR_Data[[#This Row],[Flag_Satisfaction]] * Logic_Parameters!$B$4) +
 (tbl_HR_Data[[#This Row],[Flag_Distance]]* Logic_Parameters!$B$5) +
 (tbl_HR_Data[[#This Row],[Flag_Income]] * Logic_Parameters!$B$6)</f>
        <v>29.025458743764514</v>
      </c>
      <c r="AP28" s="15">
        <f>tbl_HR_Data[[#This Row],[Risk_Score_Raw]] / SUM(Logic_Parameters!$B$2:$B$6)</f>
        <v>1</v>
      </c>
      <c r="AQ28" s="16" t="str" cm="1">
        <f t="array" ref="AQ28">_xlfn.IFS(tbl_HR_Data[[#This Row],[Attrition_Risk_Percentage]] &gt;= 0.75, "Critical",tbl_HR_Data[ [#This Row],[Attrition_Risk_Percentage] ]&gt;= 0.5, "High",tbl_HR_Data[[#This Row],[Attrition_Risk_Percentage]] &gt;= 0.25, "Medium",TRUE, "Low")</f>
        <v>Critical</v>
      </c>
      <c r="AR28" s="16" cm="1">
        <f t="array" ref="AR28">IFERROR(_xlfn.IFS(tbl_HR_Data[[#This Row],[Risk_Category]]="Critical",tbl_HR_Data[[#This Row],[MonthlyIncome]]*1.5,tbl_HR_Data[[#This Row],[Risk_Category]]="High",tbl_HR_Data[[#This Row],[MonthlyIncome]]*1.5),0)</f>
        <v>5878.5</v>
      </c>
    </row>
    <row r="29" spans="1:44" x14ac:dyDescent="0.35">
      <c r="A29" t="s">
        <v>102</v>
      </c>
      <c r="B29">
        <v>42</v>
      </c>
      <c r="C29" t="s">
        <v>31</v>
      </c>
      <c r="D29">
        <v>691</v>
      </c>
      <c r="E29" t="s">
        <v>32</v>
      </c>
      <c r="F29">
        <v>8</v>
      </c>
      <c r="G29">
        <v>4</v>
      </c>
      <c r="H29" t="s">
        <v>51</v>
      </c>
      <c r="I29">
        <v>3</v>
      </c>
      <c r="J29" t="s">
        <v>39</v>
      </c>
      <c r="K29">
        <v>48</v>
      </c>
      <c r="L29">
        <v>3</v>
      </c>
      <c r="M29">
        <v>2</v>
      </c>
      <c r="N29" t="s">
        <v>35</v>
      </c>
      <c r="O29">
        <v>2</v>
      </c>
      <c r="P29" t="s">
        <v>41</v>
      </c>
      <c r="Q29">
        <v>6825</v>
      </c>
      <c r="R29">
        <v>21173</v>
      </c>
      <c r="S29">
        <v>0</v>
      </c>
      <c r="T29">
        <v>0</v>
      </c>
      <c r="U29" s="17">
        <v>0.11</v>
      </c>
      <c r="V29">
        <v>3</v>
      </c>
      <c r="W29">
        <v>4</v>
      </c>
      <c r="X29">
        <v>1</v>
      </c>
      <c r="Y29">
        <v>10</v>
      </c>
      <c r="Z29">
        <v>2</v>
      </c>
      <c r="AA29">
        <v>3</v>
      </c>
      <c r="AB29">
        <v>9</v>
      </c>
      <c r="AC29">
        <v>7</v>
      </c>
      <c r="AD29">
        <v>4</v>
      </c>
      <c r="AE29">
        <v>2</v>
      </c>
      <c r="AF29">
        <v>0</v>
      </c>
      <c r="AG29">
        <f>IF(tbl_HR_Data[[#This Row],[Gender]]="Male",1,0)</f>
        <v>1</v>
      </c>
      <c r="AH29" cm="1">
        <f t="array" ref="AH29">_xlfn.SWITCH(tbl_HR_Data[[#This Row],[BusinessTravel]], "Non-Travel", 0, "Travel_Rarely", 1, "Travel_Frequently", 2)</f>
        <v>1</v>
      </c>
      <c r="AI29" cm="1">
        <f t="array" ref="AI29">_xlfn.SWITCH(tbl_HR_Data[[#This Row],[MaritalStatus]],"Single",0,"Married",1,"Divorced",2)</f>
        <v>1</v>
      </c>
      <c r="AJ29">
        <f>IF(tbl_HR_Data[[#This Row],[OverTime]]=1,1,0)</f>
        <v>0</v>
      </c>
      <c r="AK29">
        <f>IF(tbl_HR_Data[[#This Row],[DistanceFromHome]]&gt;15,1,0)</f>
        <v>0</v>
      </c>
      <c r="AL29">
        <f>IF(tbl_HR_Data[[#This Row],[JobSatisfaction]]&lt;=2,1,0)</f>
        <v>1</v>
      </c>
      <c r="AM29">
        <f>IF(tbl_HR_Data[[#This Row],[MonthlyIncome]]&lt;$AT$2,1,0)</f>
        <v>0</v>
      </c>
      <c r="AN29">
        <f>IF(tbl_HR_Data[[#This Row],[Travel_Code]]=2,1,0)</f>
        <v>0</v>
      </c>
      <c r="AO29">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29" s="15">
        <f>tbl_HR_Data[[#This Row],[Risk_Score_Raw]] / SUM(Logic_Parameters!$B$2:$B$6)</f>
        <v>0.14485673308716898</v>
      </c>
      <c r="AQ29" s="16" t="str" cm="1">
        <f t="array" ref="AQ29">_xlfn.IFS(tbl_HR_Data[[#This Row],[Attrition_Risk_Percentage]] &gt;= 0.75, "Critical",tbl_HR_Data[ [#This Row],[Attrition_Risk_Percentage] ]&gt;= 0.5, "High",tbl_HR_Data[[#This Row],[Attrition_Risk_Percentage]] &gt;= 0.25, "Medium",TRUE, "Low")</f>
        <v>Low</v>
      </c>
      <c r="AR29" s="16" cm="1">
        <f t="array" ref="AR29">IFERROR(_xlfn.IFS(tbl_HR_Data[[#This Row],[Risk_Category]]="Critical",tbl_HR_Data[[#This Row],[MonthlyIncome]]*1.5,tbl_HR_Data[[#This Row],[Risk_Category]]="High",tbl_HR_Data[[#This Row],[MonthlyIncome]]*1.5),0)</f>
        <v>0</v>
      </c>
    </row>
    <row r="30" spans="1:44" x14ac:dyDescent="0.35">
      <c r="A30" t="s">
        <v>363</v>
      </c>
      <c r="B30">
        <v>44</v>
      </c>
      <c r="C30" t="s">
        <v>31</v>
      </c>
      <c r="D30">
        <v>477</v>
      </c>
      <c r="E30" t="s">
        <v>38</v>
      </c>
      <c r="F30">
        <v>7</v>
      </c>
      <c r="G30">
        <v>4</v>
      </c>
      <c r="H30" t="s">
        <v>44</v>
      </c>
      <c r="I30">
        <v>1</v>
      </c>
      <c r="J30" t="s">
        <v>34</v>
      </c>
      <c r="K30">
        <v>42</v>
      </c>
      <c r="L30">
        <v>2</v>
      </c>
      <c r="M30">
        <v>3</v>
      </c>
      <c r="N30" t="s">
        <v>47</v>
      </c>
      <c r="O30">
        <v>4</v>
      </c>
      <c r="P30" t="s">
        <v>41</v>
      </c>
      <c r="Q30">
        <v>10248</v>
      </c>
      <c r="R30">
        <v>2094</v>
      </c>
      <c r="S30">
        <v>3</v>
      </c>
      <c r="T30">
        <v>0</v>
      </c>
      <c r="U30" s="17">
        <v>0.14000000000000001</v>
      </c>
      <c r="V30">
        <v>3</v>
      </c>
      <c r="W30">
        <v>4</v>
      </c>
      <c r="X30">
        <v>1</v>
      </c>
      <c r="Y30">
        <v>24</v>
      </c>
      <c r="Z30">
        <v>4</v>
      </c>
      <c r="AA30">
        <v>3</v>
      </c>
      <c r="AB30">
        <v>22</v>
      </c>
      <c r="AC30">
        <v>6</v>
      </c>
      <c r="AD30">
        <v>5</v>
      </c>
      <c r="AE30">
        <v>17</v>
      </c>
      <c r="AF30">
        <v>0</v>
      </c>
      <c r="AG30">
        <f>IF(tbl_HR_Data[[#This Row],[Gender]]="Male",1,0)</f>
        <v>0</v>
      </c>
      <c r="AH30" cm="1">
        <f t="array" ref="AH30">_xlfn.SWITCH(tbl_HR_Data[[#This Row],[BusinessTravel]], "Non-Travel", 0, "Travel_Rarely", 1, "Travel_Frequently", 2)</f>
        <v>1</v>
      </c>
      <c r="AI30" cm="1">
        <f t="array" ref="AI30">_xlfn.SWITCH(tbl_HR_Data[[#This Row],[MaritalStatus]],"Single",0,"Married",1,"Divorced",2)</f>
        <v>1</v>
      </c>
      <c r="AJ30">
        <f>IF(tbl_HR_Data[[#This Row],[OverTime]]=1,1,0)</f>
        <v>0</v>
      </c>
      <c r="AK30">
        <f>IF(tbl_HR_Data[[#This Row],[DistanceFromHome]]&gt;15,1,0)</f>
        <v>0</v>
      </c>
      <c r="AL30">
        <f>IF(tbl_HR_Data[[#This Row],[JobSatisfaction]]&lt;=2,1,0)</f>
        <v>0</v>
      </c>
      <c r="AM30">
        <f>IF(tbl_HR_Data[[#This Row],[MonthlyIncome]]&lt;$AT$2,1,0)</f>
        <v>0</v>
      </c>
      <c r="AN30">
        <f>IF(tbl_HR_Data[[#This Row],[Travel_Code]]=2,1,0)</f>
        <v>0</v>
      </c>
      <c r="AO30">
        <f>(tbl_HR_Data[[#This Row],[Flag_OT]] * Logic_Parameters!$B$2) +
 (tbl_HR_Data[[#This Row],[Flag_Travel]] * Logic_Parameters!$B$3) +
 (tbl_HR_Data[[#This Row],[Flag_Satisfaction]] * Logic_Parameters!$B$4) +
 (tbl_HR_Data[[#This Row],[Flag_Distance]]* Logic_Parameters!$B$5) +
 (tbl_HR_Data[[#This Row],[Flag_Income]] * Logic_Parameters!$B$6)</f>
        <v>0</v>
      </c>
      <c r="AP30" s="15">
        <f>tbl_HR_Data[[#This Row],[Risk_Score_Raw]] / SUM(Logic_Parameters!$B$2:$B$6)</f>
        <v>0</v>
      </c>
      <c r="AQ30" s="16" t="str" cm="1">
        <f t="array" ref="AQ30">_xlfn.IFS(tbl_HR_Data[[#This Row],[Attrition_Risk_Percentage]] &gt;= 0.75, "Critical",tbl_HR_Data[ [#This Row],[Attrition_Risk_Percentage] ]&gt;= 0.5, "High",tbl_HR_Data[[#This Row],[Attrition_Risk_Percentage]] &gt;= 0.25, "Medium",TRUE, "Low")</f>
        <v>Low</v>
      </c>
      <c r="AR30" s="16" cm="1">
        <f t="array" ref="AR30">IFERROR(_xlfn.IFS(tbl_HR_Data[[#This Row],[Risk_Category]]="Critical",tbl_HR_Data[[#This Row],[MonthlyIncome]]*1.5,tbl_HR_Data[[#This Row],[Risk_Category]]="High",tbl_HR_Data[[#This Row],[MonthlyIncome]]*1.5),0)</f>
        <v>0</v>
      </c>
    </row>
    <row r="31" spans="1:44" x14ac:dyDescent="0.35">
      <c r="A31" t="s">
        <v>637</v>
      </c>
      <c r="B31">
        <v>46</v>
      </c>
      <c r="C31" t="s">
        <v>31</v>
      </c>
      <c r="D31">
        <v>705</v>
      </c>
      <c r="E31" t="s">
        <v>32</v>
      </c>
      <c r="F31">
        <v>2</v>
      </c>
      <c r="G31">
        <v>4</v>
      </c>
      <c r="H31" t="s">
        <v>51</v>
      </c>
      <c r="I31">
        <v>2</v>
      </c>
      <c r="J31" t="s">
        <v>34</v>
      </c>
      <c r="K31">
        <v>83</v>
      </c>
      <c r="L31">
        <v>3</v>
      </c>
      <c r="M31">
        <v>5</v>
      </c>
      <c r="N31" t="s">
        <v>48</v>
      </c>
      <c r="O31">
        <v>1</v>
      </c>
      <c r="P31" t="s">
        <v>36</v>
      </c>
      <c r="Q31">
        <v>18947</v>
      </c>
      <c r="R31">
        <v>22822</v>
      </c>
      <c r="S31">
        <v>3</v>
      </c>
      <c r="T31">
        <v>0</v>
      </c>
      <c r="U31" s="17">
        <v>0.12</v>
      </c>
      <c r="V31">
        <v>3</v>
      </c>
      <c r="W31">
        <v>4</v>
      </c>
      <c r="X31">
        <v>0</v>
      </c>
      <c r="Y31">
        <v>22</v>
      </c>
      <c r="Z31">
        <v>2</v>
      </c>
      <c r="AA31">
        <v>2</v>
      </c>
      <c r="AB31">
        <v>2</v>
      </c>
      <c r="AC31">
        <v>2</v>
      </c>
      <c r="AD31">
        <v>2</v>
      </c>
      <c r="AE31">
        <v>1</v>
      </c>
      <c r="AF31">
        <v>0</v>
      </c>
      <c r="AG31">
        <f>IF(tbl_HR_Data[[#This Row],[Gender]]="Male",1,0)</f>
        <v>0</v>
      </c>
      <c r="AH31" cm="1">
        <f t="array" ref="AH31">_xlfn.SWITCH(tbl_HR_Data[[#This Row],[BusinessTravel]], "Non-Travel", 0, "Travel_Rarely", 1, "Travel_Frequently", 2)</f>
        <v>1</v>
      </c>
      <c r="AI31" cm="1">
        <f t="array" ref="AI31">_xlfn.SWITCH(tbl_HR_Data[[#This Row],[MaritalStatus]],"Single",0,"Married",1,"Divorced",2)</f>
        <v>0</v>
      </c>
      <c r="AJ31">
        <f>IF(tbl_HR_Data[[#This Row],[OverTime]]=1,1,0)</f>
        <v>0</v>
      </c>
      <c r="AK31">
        <f>IF(tbl_HR_Data[[#This Row],[DistanceFromHome]]&gt;15,1,0)</f>
        <v>0</v>
      </c>
      <c r="AL31">
        <f>IF(tbl_HR_Data[[#This Row],[JobSatisfaction]]&lt;=2,1,0)</f>
        <v>1</v>
      </c>
      <c r="AM31">
        <f>IF(tbl_HR_Data[[#This Row],[MonthlyIncome]]&lt;$AT$2,1,0)</f>
        <v>0</v>
      </c>
      <c r="AN31">
        <f>IF(tbl_HR_Data[[#This Row],[Travel_Code]]=2,1,0)</f>
        <v>0</v>
      </c>
      <c r="AO31">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31" s="15">
        <f>tbl_HR_Data[[#This Row],[Risk_Score_Raw]] / SUM(Logic_Parameters!$B$2:$B$6)</f>
        <v>0.14485673308716898</v>
      </c>
      <c r="AQ31" s="16" t="str" cm="1">
        <f t="array" ref="AQ31">_xlfn.IFS(tbl_HR_Data[[#This Row],[Attrition_Risk_Percentage]] &gt;= 0.75, "Critical",tbl_HR_Data[ [#This Row],[Attrition_Risk_Percentage] ]&gt;= 0.5, "High",tbl_HR_Data[[#This Row],[Attrition_Risk_Percentage]] &gt;= 0.25, "Medium",TRUE, "Low")</f>
        <v>Low</v>
      </c>
      <c r="AR31" s="16" cm="1">
        <f t="array" ref="AR31">IFERROR(_xlfn.IFS(tbl_HR_Data[[#This Row],[Risk_Category]]="Critical",tbl_HR_Data[[#This Row],[MonthlyIncome]]*1.5,tbl_HR_Data[[#This Row],[Risk_Category]]="High",tbl_HR_Data[[#This Row],[MonthlyIncome]]*1.5),0)</f>
        <v>0</v>
      </c>
    </row>
    <row r="32" spans="1:44" x14ac:dyDescent="0.35">
      <c r="A32" t="s">
        <v>391</v>
      </c>
      <c r="B32">
        <v>33</v>
      </c>
      <c r="C32" t="s">
        <v>31</v>
      </c>
      <c r="D32">
        <v>924</v>
      </c>
      <c r="E32" t="s">
        <v>38</v>
      </c>
      <c r="F32">
        <v>2</v>
      </c>
      <c r="G32">
        <v>3</v>
      </c>
      <c r="H32" t="s">
        <v>44</v>
      </c>
      <c r="I32">
        <v>3</v>
      </c>
      <c r="J32" t="s">
        <v>39</v>
      </c>
      <c r="K32">
        <v>78</v>
      </c>
      <c r="L32">
        <v>3</v>
      </c>
      <c r="M32">
        <v>1</v>
      </c>
      <c r="N32" t="s">
        <v>43</v>
      </c>
      <c r="O32">
        <v>4</v>
      </c>
      <c r="P32" t="s">
        <v>36</v>
      </c>
      <c r="Q32">
        <v>2496</v>
      </c>
      <c r="R32">
        <v>6670</v>
      </c>
      <c r="S32">
        <v>4</v>
      </c>
      <c r="T32">
        <v>0</v>
      </c>
      <c r="U32" s="17">
        <v>0.11</v>
      </c>
      <c r="V32">
        <v>3</v>
      </c>
      <c r="W32">
        <v>4</v>
      </c>
      <c r="X32">
        <v>0</v>
      </c>
      <c r="Y32">
        <v>7</v>
      </c>
      <c r="Z32">
        <v>3</v>
      </c>
      <c r="AA32">
        <v>3</v>
      </c>
      <c r="AB32">
        <v>1</v>
      </c>
      <c r="AC32">
        <v>1</v>
      </c>
      <c r="AD32">
        <v>0</v>
      </c>
      <c r="AE32">
        <v>0</v>
      </c>
      <c r="AF32">
        <v>0</v>
      </c>
      <c r="AG32">
        <f>IF(tbl_HR_Data[[#This Row],[Gender]]="Male",1,0)</f>
        <v>1</v>
      </c>
      <c r="AH32" cm="1">
        <f t="array" ref="AH32">_xlfn.SWITCH(tbl_HR_Data[[#This Row],[BusinessTravel]], "Non-Travel", 0, "Travel_Rarely", 1, "Travel_Frequently", 2)</f>
        <v>1</v>
      </c>
      <c r="AI32" cm="1">
        <f t="array" ref="AI32">_xlfn.SWITCH(tbl_HR_Data[[#This Row],[MaritalStatus]],"Single",0,"Married",1,"Divorced",2)</f>
        <v>0</v>
      </c>
      <c r="AJ32">
        <f>IF(tbl_HR_Data[[#This Row],[OverTime]]=1,1,0)</f>
        <v>0</v>
      </c>
      <c r="AK32">
        <f>IF(tbl_HR_Data[[#This Row],[DistanceFromHome]]&gt;15,1,0)</f>
        <v>0</v>
      </c>
      <c r="AL32">
        <f>IF(tbl_HR_Data[[#This Row],[JobSatisfaction]]&lt;=2,1,0)</f>
        <v>0</v>
      </c>
      <c r="AM32">
        <f>IF(tbl_HR_Data[[#This Row],[MonthlyIncome]]&lt;$AT$2,1,0)</f>
        <v>1</v>
      </c>
      <c r="AN32">
        <f>IF(tbl_HR_Data[[#This Row],[Travel_Code]]=2,1,0)</f>
        <v>0</v>
      </c>
      <c r="AO32">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32" s="15">
        <f>tbl_HR_Data[[#This Row],[Risk_Score_Raw]] / SUM(Logic_Parameters!$B$2:$B$6)</f>
        <v>0.22374939857982484</v>
      </c>
      <c r="AQ32" s="16" t="str" cm="1">
        <f t="array" ref="AQ32">_xlfn.IFS(tbl_HR_Data[[#This Row],[Attrition_Risk_Percentage]] &gt;= 0.75, "Critical",tbl_HR_Data[ [#This Row],[Attrition_Risk_Percentage] ]&gt;= 0.5, "High",tbl_HR_Data[[#This Row],[Attrition_Risk_Percentage]] &gt;= 0.25, "Medium",TRUE, "Low")</f>
        <v>Low</v>
      </c>
      <c r="AR32" s="16" cm="1">
        <f t="array" ref="AR32">IFERROR(_xlfn.IFS(tbl_HR_Data[[#This Row],[Risk_Category]]="Critical",tbl_HR_Data[[#This Row],[MonthlyIncome]]*1.5,tbl_HR_Data[[#This Row],[Risk_Category]]="High",tbl_HR_Data[[#This Row],[MonthlyIncome]]*1.5),0)</f>
        <v>0</v>
      </c>
    </row>
    <row r="33" spans="1:44" x14ac:dyDescent="0.35">
      <c r="A33" t="s">
        <v>707</v>
      </c>
      <c r="B33">
        <v>44</v>
      </c>
      <c r="C33" t="s">
        <v>31</v>
      </c>
      <c r="D33">
        <v>1459</v>
      </c>
      <c r="E33" t="s">
        <v>38</v>
      </c>
      <c r="F33">
        <v>10</v>
      </c>
      <c r="G33">
        <v>4</v>
      </c>
      <c r="H33" t="s">
        <v>42</v>
      </c>
      <c r="I33">
        <v>4</v>
      </c>
      <c r="J33" t="s">
        <v>39</v>
      </c>
      <c r="K33">
        <v>41</v>
      </c>
      <c r="L33">
        <v>3</v>
      </c>
      <c r="M33">
        <v>2</v>
      </c>
      <c r="N33" t="s">
        <v>47</v>
      </c>
      <c r="O33">
        <v>4</v>
      </c>
      <c r="P33" t="s">
        <v>41</v>
      </c>
      <c r="Q33">
        <v>6465</v>
      </c>
      <c r="R33">
        <v>19121</v>
      </c>
      <c r="S33">
        <v>2</v>
      </c>
      <c r="T33">
        <v>1</v>
      </c>
      <c r="U33" s="17">
        <v>0.13</v>
      </c>
      <c r="V33">
        <v>3</v>
      </c>
      <c r="W33">
        <v>4</v>
      </c>
      <c r="X33">
        <v>0</v>
      </c>
      <c r="Y33">
        <v>9</v>
      </c>
      <c r="Z33">
        <v>5</v>
      </c>
      <c r="AA33">
        <v>4</v>
      </c>
      <c r="AB33">
        <v>4</v>
      </c>
      <c r="AC33">
        <v>2</v>
      </c>
      <c r="AD33">
        <v>1</v>
      </c>
      <c r="AE33">
        <v>3</v>
      </c>
      <c r="AF33">
        <v>0</v>
      </c>
      <c r="AG33">
        <f>IF(tbl_HR_Data[[#This Row],[Gender]]="Male",1,0)</f>
        <v>1</v>
      </c>
      <c r="AH33" cm="1">
        <f t="array" ref="AH33">_xlfn.SWITCH(tbl_HR_Data[[#This Row],[BusinessTravel]], "Non-Travel", 0, "Travel_Rarely", 1, "Travel_Frequently", 2)</f>
        <v>1</v>
      </c>
      <c r="AI33" cm="1">
        <f t="array" ref="AI33">_xlfn.SWITCH(tbl_HR_Data[[#This Row],[MaritalStatus]],"Single",0,"Married",1,"Divorced",2)</f>
        <v>1</v>
      </c>
      <c r="AJ33">
        <f>IF(tbl_HR_Data[[#This Row],[OverTime]]=1,1,0)</f>
        <v>1</v>
      </c>
      <c r="AK33">
        <f>IF(tbl_HR_Data[[#This Row],[DistanceFromHome]]&gt;15,1,0)</f>
        <v>0</v>
      </c>
      <c r="AL33">
        <f>IF(tbl_HR_Data[[#This Row],[JobSatisfaction]]&lt;=2,1,0)</f>
        <v>0</v>
      </c>
      <c r="AM33">
        <f>IF(tbl_HR_Data[[#This Row],[MonthlyIncome]]&lt;$AT$2,1,0)</f>
        <v>0</v>
      </c>
      <c r="AN33">
        <f>IF(tbl_HR_Data[[#This Row],[Travel_Code]]=2,1,0)</f>
        <v>0</v>
      </c>
      <c r="AO33">
        <f>(tbl_HR_Data[[#This Row],[Flag_OT]] * Logic_Parameters!$B$2) +
 (tbl_HR_Data[[#This Row],[Flag_Travel]] * Logic_Parameters!$B$3) +
 (tbl_HR_Data[[#This Row],[Flag_Satisfaction]] * Logic_Parameters!$B$4) +
 (tbl_HR_Data[[#This Row],[Flag_Distance]]* Logic_Parameters!$B$5) +
 (tbl_HR_Data[[#This Row],[Flag_Income]] * Logic_Parameters!$B$6)</f>
        <v>10</v>
      </c>
      <c r="AP33" s="15">
        <f>tbl_HR_Data[[#This Row],[Risk_Score_Raw]] / SUM(Logic_Parameters!$B$2:$B$6)</f>
        <v>0.3445251318258073</v>
      </c>
      <c r="AQ33" s="16" t="str" cm="1">
        <f t="array" ref="AQ33">_xlfn.IFS(tbl_HR_Data[[#This Row],[Attrition_Risk_Percentage]] &gt;= 0.75, "Critical",tbl_HR_Data[ [#This Row],[Attrition_Risk_Percentage] ]&gt;= 0.5, "High",tbl_HR_Data[[#This Row],[Attrition_Risk_Percentage]] &gt;= 0.25, "Medium",TRUE, "Low")</f>
        <v>Medium</v>
      </c>
      <c r="AR33" s="16" cm="1">
        <f t="array" ref="AR33">IFERROR(_xlfn.IFS(tbl_HR_Data[[#This Row],[Risk_Category]]="Critical",tbl_HR_Data[[#This Row],[MonthlyIncome]]*1.5,tbl_HR_Data[[#This Row],[Risk_Category]]="High",tbl_HR_Data[[#This Row],[MonthlyIncome]]*1.5),0)</f>
        <v>0</v>
      </c>
    </row>
    <row r="34" spans="1:44" x14ac:dyDescent="0.35">
      <c r="A34" t="s">
        <v>1000</v>
      </c>
      <c r="B34">
        <v>30</v>
      </c>
      <c r="C34" t="s">
        <v>31</v>
      </c>
      <c r="D34">
        <v>125</v>
      </c>
      <c r="E34" t="s">
        <v>38</v>
      </c>
      <c r="F34">
        <v>9</v>
      </c>
      <c r="G34">
        <v>2</v>
      </c>
      <c r="H34" t="s">
        <v>44</v>
      </c>
      <c r="I34">
        <v>4</v>
      </c>
      <c r="J34" t="s">
        <v>39</v>
      </c>
      <c r="K34">
        <v>83</v>
      </c>
      <c r="L34">
        <v>2</v>
      </c>
      <c r="M34">
        <v>1</v>
      </c>
      <c r="N34" t="s">
        <v>43</v>
      </c>
      <c r="O34">
        <v>3</v>
      </c>
      <c r="P34" t="s">
        <v>36</v>
      </c>
      <c r="Q34">
        <v>2206</v>
      </c>
      <c r="R34">
        <v>16117</v>
      </c>
      <c r="S34">
        <v>1</v>
      </c>
      <c r="T34">
        <v>0</v>
      </c>
      <c r="U34" s="17">
        <v>0.13</v>
      </c>
      <c r="V34">
        <v>3</v>
      </c>
      <c r="W34">
        <v>1</v>
      </c>
      <c r="X34">
        <v>0</v>
      </c>
      <c r="Y34">
        <v>10</v>
      </c>
      <c r="Z34">
        <v>5</v>
      </c>
      <c r="AA34">
        <v>3</v>
      </c>
      <c r="AB34">
        <v>10</v>
      </c>
      <c r="AC34">
        <v>0</v>
      </c>
      <c r="AD34">
        <v>1</v>
      </c>
      <c r="AE34">
        <v>8</v>
      </c>
      <c r="AF34">
        <v>0</v>
      </c>
      <c r="AG34">
        <f>IF(tbl_HR_Data[[#This Row],[Gender]]="Male",1,0)</f>
        <v>1</v>
      </c>
      <c r="AH34" cm="1">
        <f t="array" ref="AH34">_xlfn.SWITCH(tbl_HR_Data[[#This Row],[BusinessTravel]], "Non-Travel", 0, "Travel_Rarely", 1, "Travel_Frequently", 2)</f>
        <v>1</v>
      </c>
      <c r="AI34" cm="1">
        <f t="array" ref="AI34">_xlfn.SWITCH(tbl_HR_Data[[#This Row],[MaritalStatus]],"Single",0,"Married",1,"Divorced",2)</f>
        <v>0</v>
      </c>
      <c r="AJ34">
        <f>IF(tbl_HR_Data[[#This Row],[OverTime]]=1,1,0)</f>
        <v>0</v>
      </c>
      <c r="AK34">
        <f>IF(tbl_HR_Data[[#This Row],[DistanceFromHome]]&gt;15,1,0)</f>
        <v>0</v>
      </c>
      <c r="AL34">
        <f>IF(tbl_HR_Data[[#This Row],[JobSatisfaction]]&lt;=2,1,0)</f>
        <v>0</v>
      </c>
      <c r="AM34">
        <f>IF(tbl_HR_Data[[#This Row],[MonthlyIncome]]&lt;$AT$2,1,0)</f>
        <v>1</v>
      </c>
      <c r="AN34">
        <f>IF(tbl_HR_Data[[#This Row],[Travel_Code]]=2,1,0)</f>
        <v>0</v>
      </c>
      <c r="AO34">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34" s="15">
        <f>tbl_HR_Data[[#This Row],[Risk_Score_Raw]] / SUM(Logic_Parameters!$B$2:$B$6)</f>
        <v>0.22374939857982484</v>
      </c>
      <c r="AQ34" s="16" t="str" cm="1">
        <f t="array" ref="AQ34">_xlfn.IFS(tbl_HR_Data[[#This Row],[Attrition_Risk_Percentage]] &gt;= 0.75, "Critical",tbl_HR_Data[ [#This Row],[Attrition_Risk_Percentage] ]&gt;= 0.5, "High",tbl_HR_Data[[#This Row],[Attrition_Risk_Percentage]] &gt;= 0.25, "Medium",TRUE, "Low")</f>
        <v>Low</v>
      </c>
      <c r="AR34" s="16" cm="1">
        <f t="array" ref="AR34">IFERROR(_xlfn.IFS(tbl_HR_Data[[#This Row],[Risk_Category]]="Critical",tbl_HR_Data[[#This Row],[MonthlyIncome]]*1.5,tbl_HR_Data[[#This Row],[Risk_Category]]="High",tbl_HR_Data[[#This Row],[MonthlyIncome]]*1.5),0)</f>
        <v>0</v>
      </c>
    </row>
    <row r="35" spans="1:44" x14ac:dyDescent="0.35">
      <c r="A35" t="s">
        <v>764</v>
      </c>
      <c r="B35">
        <v>39</v>
      </c>
      <c r="C35" t="s">
        <v>31</v>
      </c>
      <c r="D35">
        <v>895</v>
      </c>
      <c r="E35" t="s">
        <v>32</v>
      </c>
      <c r="F35">
        <v>5</v>
      </c>
      <c r="G35">
        <v>3</v>
      </c>
      <c r="H35" t="s">
        <v>52</v>
      </c>
      <c r="I35">
        <v>4</v>
      </c>
      <c r="J35" t="s">
        <v>39</v>
      </c>
      <c r="K35">
        <v>56</v>
      </c>
      <c r="L35">
        <v>3</v>
      </c>
      <c r="M35">
        <v>2</v>
      </c>
      <c r="N35" t="s">
        <v>49</v>
      </c>
      <c r="O35">
        <v>4</v>
      </c>
      <c r="P35" t="s">
        <v>41</v>
      </c>
      <c r="Q35">
        <v>2086</v>
      </c>
      <c r="R35">
        <v>3335</v>
      </c>
      <c r="S35">
        <v>3</v>
      </c>
      <c r="T35">
        <v>0</v>
      </c>
      <c r="U35" s="17">
        <v>0.14000000000000001</v>
      </c>
      <c r="V35">
        <v>3</v>
      </c>
      <c r="W35">
        <v>3</v>
      </c>
      <c r="X35">
        <v>1</v>
      </c>
      <c r="Y35">
        <v>19</v>
      </c>
      <c r="Z35">
        <v>6</v>
      </c>
      <c r="AA35">
        <v>4</v>
      </c>
      <c r="AB35">
        <v>1</v>
      </c>
      <c r="AC35">
        <v>0</v>
      </c>
      <c r="AD35">
        <v>0</v>
      </c>
      <c r="AE35">
        <v>0</v>
      </c>
      <c r="AF35">
        <v>1</v>
      </c>
      <c r="AG35">
        <f>IF(tbl_HR_Data[[#This Row],[Gender]]="Male",1,0)</f>
        <v>1</v>
      </c>
      <c r="AH35" cm="1">
        <f t="array" ref="AH35">_xlfn.SWITCH(tbl_HR_Data[[#This Row],[BusinessTravel]], "Non-Travel", 0, "Travel_Rarely", 1, "Travel_Frequently", 2)</f>
        <v>1</v>
      </c>
      <c r="AI35" cm="1">
        <f t="array" ref="AI35">_xlfn.SWITCH(tbl_HR_Data[[#This Row],[MaritalStatus]],"Single",0,"Married",1,"Divorced",2)</f>
        <v>1</v>
      </c>
      <c r="AJ35">
        <f>IF(tbl_HR_Data[[#This Row],[OverTime]]=1,1,0)</f>
        <v>0</v>
      </c>
      <c r="AK35">
        <f>IF(tbl_HR_Data[[#This Row],[DistanceFromHome]]&gt;15,1,0)</f>
        <v>0</v>
      </c>
      <c r="AL35">
        <f>IF(tbl_HR_Data[[#This Row],[JobSatisfaction]]&lt;=2,1,0)</f>
        <v>0</v>
      </c>
      <c r="AM35">
        <f>IF(tbl_HR_Data[[#This Row],[MonthlyIncome]]&lt;$AT$2,1,0)</f>
        <v>1</v>
      </c>
      <c r="AN35">
        <f>IF(tbl_HR_Data[[#This Row],[Travel_Code]]=2,1,0)</f>
        <v>0</v>
      </c>
      <c r="AO35">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35" s="15">
        <f>tbl_HR_Data[[#This Row],[Risk_Score_Raw]] / SUM(Logic_Parameters!$B$2:$B$6)</f>
        <v>0.22374939857982484</v>
      </c>
      <c r="AQ35" s="16" t="str" cm="1">
        <f t="array" ref="AQ35">_xlfn.IFS(tbl_HR_Data[[#This Row],[Attrition_Risk_Percentage]] &gt;= 0.75, "Critical",tbl_HR_Data[ [#This Row],[Attrition_Risk_Percentage] ]&gt;= 0.5, "High",tbl_HR_Data[[#This Row],[Attrition_Risk_Percentage]] &gt;= 0.25, "Medium",TRUE, "Low")</f>
        <v>Low</v>
      </c>
      <c r="AR35" s="16" cm="1">
        <f t="array" ref="AR35">IFERROR(_xlfn.IFS(tbl_HR_Data[[#This Row],[Risk_Category]]="Critical",tbl_HR_Data[[#This Row],[MonthlyIncome]]*1.5,tbl_HR_Data[[#This Row],[Risk_Category]]="High",tbl_HR_Data[[#This Row],[MonthlyIncome]]*1.5),0)</f>
        <v>0</v>
      </c>
    </row>
    <row r="36" spans="1:44" x14ac:dyDescent="0.35">
      <c r="A36" t="s">
        <v>943</v>
      </c>
      <c r="B36">
        <v>24</v>
      </c>
      <c r="C36" t="s">
        <v>31</v>
      </c>
      <c r="D36">
        <v>813</v>
      </c>
      <c r="E36" t="s">
        <v>38</v>
      </c>
      <c r="F36">
        <v>1</v>
      </c>
      <c r="G36">
        <v>3</v>
      </c>
      <c r="H36" t="s">
        <v>44</v>
      </c>
      <c r="I36">
        <v>2</v>
      </c>
      <c r="J36" t="s">
        <v>39</v>
      </c>
      <c r="K36">
        <v>61</v>
      </c>
      <c r="L36">
        <v>3</v>
      </c>
      <c r="M36">
        <v>1</v>
      </c>
      <c r="N36" t="s">
        <v>40</v>
      </c>
      <c r="O36">
        <v>4</v>
      </c>
      <c r="P36" t="s">
        <v>41</v>
      </c>
      <c r="Q36">
        <v>2293</v>
      </c>
      <c r="R36">
        <v>3020</v>
      </c>
      <c r="S36">
        <v>2</v>
      </c>
      <c r="T36">
        <v>1</v>
      </c>
      <c r="U36" s="17">
        <v>0.16</v>
      </c>
      <c r="V36">
        <v>3</v>
      </c>
      <c r="W36">
        <v>1</v>
      </c>
      <c r="X36">
        <v>1</v>
      </c>
      <c r="Y36">
        <v>6</v>
      </c>
      <c r="Z36">
        <v>2</v>
      </c>
      <c r="AA36">
        <v>2</v>
      </c>
      <c r="AB36">
        <v>2</v>
      </c>
      <c r="AC36">
        <v>0</v>
      </c>
      <c r="AD36">
        <v>2</v>
      </c>
      <c r="AE36">
        <v>0</v>
      </c>
      <c r="AF36">
        <v>1</v>
      </c>
      <c r="AG36">
        <f>IF(tbl_HR_Data[[#This Row],[Gender]]="Male",1,0)</f>
        <v>1</v>
      </c>
      <c r="AH36" cm="1">
        <f t="array" ref="AH36">_xlfn.SWITCH(tbl_HR_Data[[#This Row],[BusinessTravel]], "Non-Travel", 0, "Travel_Rarely", 1, "Travel_Frequently", 2)</f>
        <v>1</v>
      </c>
      <c r="AI36" cm="1">
        <f t="array" ref="AI36">_xlfn.SWITCH(tbl_HR_Data[[#This Row],[MaritalStatus]],"Single",0,"Married",1,"Divorced",2)</f>
        <v>1</v>
      </c>
      <c r="AJ36">
        <f>IF(tbl_HR_Data[[#This Row],[OverTime]]=1,1,0)</f>
        <v>1</v>
      </c>
      <c r="AK36">
        <f>IF(tbl_HR_Data[[#This Row],[DistanceFromHome]]&gt;15,1,0)</f>
        <v>0</v>
      </c>
      <c r="AL36">
        <f>IF(tbl_HR_Data[[#This Row],[JobSatisfaction]]&lt;=2,1,0)</f>
        <v>0</v>
      </c>
      <c r="AM36">
        <f>IF(tbl_HR_Data[[#This Row],[MonthlyIncome]]&lt;$AT$2,1,0)</f>
        <v>1</v>
      </c>
      <c r="AN36">
        <f>IF(tbl_HR_Data[[#This Row],[Travel_Code]]=2,1,0)</f>
        <v>0</v>
      </c>
      <c r="AO36">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36" s="15">
        <f>tbl_HR_Data[[#This Row],[Risk_Score_Raw]] / SUM(Logic_Parameters!$B$2:$B$6)</f>
        <v>0.56827453040563214</v>
      </c>
      <c r="AQ36" s="16" t="str" cm="1">
        <f t="array" ref="AQ36">_xlfn.IFS(tbl_HR_Data[[#This Row],[Attrition_Risk_Percentage]] &gt;= 0.75, "Critical",tbl_HR_Data[ [#This Row],[Attrition_Risk_Percentage] ]&gt;= 0.5, "High",tbl_HR_Data[[#This Row],[Attrition_Risk_Percentage]] &gt;= 0.25, "Medium",TRUE, "Low")</f>
        <v>High</v>
      </c>
      <c r="AR36" s="16" cm="1">
        <f t="array" ref="AR36">IFERROR(_xlfn.IFS(tbl_HR_Data[[#This Row],[Risk_Category]]="Critical",tbl_HR_Data[[#This Row],[MonthlyIncome]]*1.5,tbl_HR_Data[[#This Row],[Risk_Category]]="High",tbl_HR_Data[[#This Row],[MonthlyIncome]]*1.5),0)</f>
        <v>3439.5</v>
      </c>
    </row>
    <row r="37" spans="1:44" x14ac:dyDescent="0.35">
      <c r="A37" t="s">
        <v>235</v>
      </c>
      <c r="B37">
        <v>43</v>
      </c>
      <c r="C37" t="s">
        <v>31</v>
      </c>
      <c r="D37">
        <v>1273</v>
      </c>
      <c r="E37" t="s">
        <v>38</v>
      </c>
      <c r="F37">
        <v>2</v>
      </c>
      <c r="G37">
        <v>2</v>
      </c>
      <c r="H37" t="s">
        <v>44</v>
      </c>
      <c r="I37">
        <v>4</v>
      </c>
      <c r="J37" t="s">
        <v>34</v>
      </c>
      <c r="K37">
        <v>72</v>
      </c>
      <c r="L37">
        <v>4</v>
      </c>
      <c r="M37">
        <v>1</v>
      </c>
      <c r="N37" t="s">
        <v>40</v>
      </c>
      <c r="O37">
        <v>3</v>
      </c>
      <c r="P37" t="s">
        <v>45</v>
      </c>
      <c r="Q37">
        <v>2645</v>
      </c>
      <c r="R37">
        <v>21923</v>
      </c>
      <c r="S37">
        <v>1</v>
      </c>
      <c r="T37">
        <v>0</v>
      </c>
      <c r="U37" s="17">
        <v>0.12</v>
      </c>
      <c r="V37">
        <v>3</v>
      </c>
      <c r="W37">
        <v>4</v>
      </c>
      <c r="X37">
        <v>2</v>
      </c>
      <c r="Y37">
        <v>6</v>
      </c>
      <c r="Z37">
        <v>3</v>
      </c>
      <c r="AA37">
        <v>2</v>
      </c>
      <c r="AB37">
        <v>5</v>
      </c>
      <c r="AC37">
        <v>3</v>
      </c>
      <c r="AD37">
        <v>1</v>
      </c>
      <c r="AE37">
        <v>4</v>
      </c>
      <c r="AF37">
        <v>0</v>
      </c>
      <c r="AG37">
        <f>IF(tbl_HR_Data[[#This Row],[Gender]]="Male",1,0)</f>
        <v>0</v>
      </c>
      <c r="AH37" cm="1">
        <f t="array" ref="AH37">_xlfn.SWITCH(tbl_HR_Data[[#This Row],[BusinessTravel]], "Non-Travel", 0, "Travel_Rarely", 1, "Travel_Frequently", 2)</f>
        <v>1</v>
      </c>
      <c r="AI37" cm="1">
        <f t="array" ref="AI37">_xlfn.SWITCH(tbl_HR_Data[[#This Row],[MaritalStatus]],"Single",0,"Married",1,"Divorced",2)</f>
        <v>2</v>
      </c>
      <c r="AJ37">
        <f>IF(tbl_HR_Data[[#This Row],[OverTime]]=1,1,0)</f>
        <v>0</v>
      </c>
      <c r="AK37">
        <f>IF(tbl_HR_Data[[#This Row],[DistanceFromHome]]&gt;15,1,0)</f>
        <v>0</v>
      </c>
      <c r="AL37">
        <f>IF(tbl_HR_Data[[#This Row],[JobSatisfaction]]&lt;=2,1,0)</f>
        <v>0</v>
      </c>
      <c r="AM37">
        <f>IF(tbl_HR_Data[[#This Row],[MonthlyIncome]]&lt;$AT$2,1,0)</f>
        <v>1</v>
      </c>
      <c r="AN37">
        <f>IF(tbl_HR_Data[[#This Row],[Travel_Code]]=2,1,0)</f>
        <v>0</v>
      </c>
      <c r="AO37">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37" s="15">
        <f>tbl_HR_Data[[#This Row],[Risk_Score_Raw]] / SUM(Logic_Parameters!$B$2:$B$6)</f>
        <v>0.22374939857982484</v>
      </c>
      <c r="AQ37" s="16" t="str" cm="1">
        <f t="array" ref="AQ37">_xlfn.IFS(tbl_HR_Data[[#This Row],[Attrition_Risk_Percentage]] &gt;= 0.75, "Critical",tbl_HR_Data[ [#This Row],[Attrition_Risk_Percentage] ]&gt;= 0.5, "High",tbl_HR_Data[[#This Row],[Attrition_Risk_Percentage]] &gt;= 0.25, "Medium",TRUE, "Low")</f>
        <v>Low</v>
      </c>
      <c r="AR37" s="16" cm="1">
        <f t="array" ref="AR37">IFERROR(_xlfn.IFS(tbl_HR_Data[[#This Row],[Risk_Category]]="Critical",tbl_HR_Data[[#This Row],[MonthlyIncome]]*1.5,tbl_HR_Data[[#This Row],[Risk_Category]]="High",tbl_HR_Data[[#This Row],[MonthlyIncome]]*1.5),0)</f>
        <v>0</v>
      </c>
    </row>
    <row r="38" spans="1:44" x14ac:dyDescent="0.35">
      <c r="A38" t="s">
        <v>238</v>
      </c>
      <c r="B38">
        <v>50</v>
      </c>
      <c r="C38" t="s">
        <v>31</v>
      </c>
      <c r="D38">
        <v>869</v>
      </c>
      <c r="E38" t="s">
        <v>32</v>
      </c>
      <c r="F38">
        <v>3</v>
      </c>
      <c r="G38">
        <v>2</v>
      </c>
      <c r="H38" t="s">
        <v>51</v>
      </c>
      <c r="I38">
        <v>1</v>
      </c>
      <c r="J38" t="s">
        <v>39</v>
      </c>
      <c r="K38">
        <v>86</v>
      </c>
      <c r="L38">
        <v>2</v>
      </c>
      <c r="M38">
        <v>1</v>
      </c>
      <c r="N38" t="s">
        <v>49</v>
      </c>
      <c r="O38">
        <v>3</v>
      </c>
      <c r="P38" t="s">
        <v>41</v>
      </c>
      <c r="Q38">
        <v>2683</v>
      </c>
      <c r="R38">
        <v>3810</v>
      </c>
      <c r="S38">
        <v>1</v>
      </c>
      <c r="T38">
        <v>1</v>
      </c>
      <c r="U38" s="17">
        <v>0.14000000000000001</v>
      </c>
      <c r="V38">
        <v>3</v>
      </c>
      <c r="W38">
        <v>3</v>
      </c>
      <c r="X38">
        <v>0</v>
      </c>
      <c r="Y38">
        <v>3</v>
      </c>
      <c r="Z38">
        <v>2</v>
      </c>
      <c r="AA38">
        <v>3</v>
      </c>
      <c r="AB38">
        <v>3</v>
      </c>
      <c r="AC38">
        <v>2</v>
      </c>
      <c r="AD38">
        <v>0</v>
      </c>
      <c r="AE38">
        <v>2</v>
      </c>
      <c r="AF38">
        <v>1</v>
      </c>
      <c r="AG38">
        <f>IF(tbl_HR_Data[[#This Row],[Gender]]="Male",1,0)</f>
        <v>1</v>
      </c>
      <c r="AH38" cm="1">
        <f t="array" ref="AH38">_xlfn.SWITCH(tbl_HR_Data[[#This Row],[BusinessTravel]], "Non-Travel", 0, "Travel_Rarely", 1, "Travel_Frequently", 2)</f>
        <v>1</v>
      </c>
      <c r="AI38" cm="1">
        <f t="array" ref="AI38">_xlfn.SWITCH(tbl_HR_Data[[#This Row],[MaritalStatus]],"Single",0,"Married",1,"Divorced",2)</f>
        <v>1</v>
      </c>
      <c r="AJ38">
        <f>IF(tbl_HR_Data[[#This Row],[OverTime]]=1,1,0)</f>
        <v>1</v>
      </c>
      <c r="AK38">
        <f>IF(tbl_HR_Data[[#This Row],[DistanceFromHome]]&gt;15,1,0)</f>
        <v>0</v>
      </c>
      <c r="AL38">
        <f>IF(tbl_HR_Data[[#This Row],[JobSatisfaction]]&lt;=2,1,0)</f>
        <v>0</v>
      </c>
      <c r="AM38">
        <f>IF(tbl_HR_Data[[#This Row],[MonthlyIncome]]&lt;$AT$2,1,0)</f>
        <v>1</v>
      </c>
      <c r="AN38">
        <f>IF(tbl_HR_Data[[#This Row],[Travel_Code]]=2,1,0)</f>
        <v>0</v>
      </c>
      <c r="AO38">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38" s="15">
        <f>tbl_HR_Data[[#This Row],[Risk_Score_Raw]] / SUM(Logic_Parameters!$B$2:$B$6)</f>
        <v>0.56827453040563214</v>
      </c>
      <c r="AQ38" s="16" t="str" cm="1">
        <f t="array" ref="AQ38">_xlfn.IFS(tbl_HR_Data[[#This Row],[Attrition_Risk_Percentage]] &gt;= 0.75, "Critical",tbl_HR_Data[ [#This Row],[Attrition_Risk_Percentage] ]&gt;= 0.5, "High",tbl_HR_Data[[#This Row],[Attrition_Risk_Percentage]] &gt;= 0.25, "Medium",TRUE, "Low")</f>
        <v>High</v>
      </c>
      <c r="AR38" s="16" cm="1">
        <f t="array" ref="AR38">IFERROR(_xlfn.IFS(tbl_HR_Data[[#This Row],[Risk_Category]]="Critical",tbl_HR_Data[[#This Row],[MonthlyIncome]]*1.5,tbl_HR_Data[[#This Row],[Risk_Category]]="High",tbl_HR_Data[[#This Row],[MonthlyIncome]]*1.5),0)</f>
        <v>4024.5</v>
      </c>
    </row>
    <row r="39" spans="1:44" x14ac:dyDescent="0.35">
      <c r="A39" t="s">
        <v>1001</v>
      </c>
      <c r="B39">
        <v>35</v>
      </c>
      <c r="C39" t="s">
        <v>31</v>
      </c>
      <c r="D39">
        <v>890</v>
      </c>
      <c r="E39" t="s">
        <v>32</v>
      </c>
      <c r="F39">
        <v>2</v>
      </c>
      <c r="G39">
        <v>3</v>
      </c>
      <c r="H39" t="s">
        <v>51</v>
      </c>
      <c r="I39">
        <v>4</v>
      </c>
      <c r="J39" t="s">
        <v>34</v>
      </c>
      <c r="K39">
        <v>97</v>
      </c>
      <c r="L39">
        <v>3</v>
      </c>
      <c r="M39">
        <v>1</v>
      </c>
      <c r="N39" t="s">
        <v>49</v>
      </c>
      <c r="O39">
        <v>4</v>
      </c>
      <c r="P39" t="s">
        <v>41</v>
      </c>
      <c r="Q39">
        <v>2014</v>
      </c>
      <c r="R39">
        <v>9687</v>
      </c>
      <c r="S39">
        <v>1</v>
      </c>
      <c r="T39">
        <v>0</v>
      </c>
      <c r="U39" s="17">
        <v>0.13</v>
      </c>
      <c r="V39">
        <v>3</v>
      </c>
      <c r="W39">
        <v>1</v>
      </c>
      <c r="X39">
        <v>0</v>
      </c>
      <c r="Y39">
        <v>2</v>
      </c>
      <c r="Z39">
        <v>3</v>
      </c>
      <c r="AA39">
        <v>3</v>
      </c>
      <c r="AB39">
        <v>2</v>
      </c>
      <c r="AC39">
        <v>2</v>
      </c>
      <c r="AD39">
        <v>2</v>
      </c>
      <c r="AE39">
        <v>2</v>
      </c>
      <c r="AF39">
        <v>0</v>
      </c>
      <c r="AG39">
        <f>IF(tbl_HR_Data[[#This Row],[Gender]]="Male",1,0)</f>
        <v>0</v>
      </c>
      <c r="AH39" cm="1">
        <f t="array" ref="AH39">_xlfn.SWITCH(tbl_HR_Data[[#This Row],[BusinessTravel]], "Non-Travel", 0, "Travel_Rarely", 1, "Travel_Frequently", 2)</f>
        <v>1</v>
      </c>
      <c r="AI39" cm="1">
        <f t="array" ref="AI39">_xlfn.SWITCH(tbl_HR_Data[[#This Row],[MaritalStatus]],"Single",0,"Married",1,"Divorced",2)</f>
        <v>1</v>
      </c>
      <c r="AJ39">
        <f>IF(tbl_HR_Data[[#This Row],[OverTime]]=1,1,0)</f>
        <v>0</v>
      </c>
      <c r="AK39">
        <f>IF(tbl_HR_Data[[#This Row],[DistanceFromHome]]&gt;15,1,0)</f>
        <v>0</v>
      </c>
      <c r="AL39">
        <f>IF(tbl_HR_Data[[#This Row],[JobSatisfaction]]&lt;=2,1,0)</f>
        <v>0</v>
      </c>
      <c r="AM39">
        <f>IF(tbl_HR_Data[[#This Row],[MonthlyIncome]]&lt;$AT$2,1,0)</f>
        <v>1</v>
      </c>
      <c r="AN39">
        <f>IF(tbl_HR_Data[[#This Row],[Travel_Code]]=2,1,0)</f>
        <v>0</v>
      </c>
      <c r="AO39">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39" s="15">
        <f>tbl_HR_Data[[#This Row],[Risk_Score_Raw]] / SUM(Logic_Parameters!$B$2:$B$6)</f>
        <v>0.22374939857982484</v>
      </c>
      <c r="AQ39" s="16" t="str" cm="1">
        <f t="array" ref="AQ39">_xlfn.IFS(tbl_HR_Data[[#This Row],[Attrition_Risk_Percentage]] &gt;= 0.75, "Critical",tbl_HR_Data[ [#This Row],[Attrition_Risk_Percentage] ]&gt;= 0.5, "High",tbl_HR_Data[[#This Row],[Attrition_Risk_Percentage]] &gt;= 0.25, "Medium",TRUE, "Low")</f>
        <v>Low</v>
      </c>
      <c r="AR39" s="16" cm="1">
        <f t="array" ref="AR39">IFERROR(_xlfn.IFS(tbl_HR_Data[[#This Row],[Risk_Category]]="Critical",tbl_HR_Data[[#This Row],[MonthlyIncome]]*1.5,tbl_HR_Data[[#This Row],[Risk_Category]]="High",tbl_HR_Data[[#This Row],[MonthlyIncome]]*1.5),0)</f>
        <v>0</v>
      </c>
    </row>
    <row r="40" spans="1:44" x14ac:dyDescent="0.35">
      <c r="A40" t="s">
        <v>885</v>
      </c>
      <c r="B40">
        <v>36</v>
      </c>
      <c r="C40" t="s">
        <v>31</v>
      </c>
      <c r="D40">
        <v>852</v>
      </c>
      <c r="E40" t="s">
        <v>38</v>
      </c>
      <c r="F40">
        <v>5</v>
      </c>
      <c r="G40">
        <v>4</v>
      </c>
      <c r="H40" t="s">
        <v>33</v>
      </c>
      <c r="I40">
        <v>2</v>
      </c>
      <c r="J40" t="s">
        <v>34</v>
      </c>
      <c r="K40">
        <v>82</v>
      </c>
      <c r="L40">
        <v>2</v>
      </c>
      <c r="M40">
        <v>1</v>
      </c>
      <c r="N40" t="s">
        <v>40</v>
      </c>
      <c r="O40">
        <v>1</v>
      </c>
      <c r="P40" t="s">
        <v>41</v>
      </c>
      <c r="Q40">
        <v>3419</v>
      </c>
      <c r="R40">
        <v>13072</v>
      </c>
      <c r="S40">
        <v>9</v>
      </c>
      <c r="T40">
        <v>1</v>
      </c>
      <c r="U40" s="17">
        <v>0.14000000000000001</v>
      </c>
      <c r="V40">
        <v>3</v>
      </c>
      <c r="W40">
        <v>4</v>
      </c>
      <c r="X40">
        <v>1</v>
      </c>
      <c r="Y40">
        <v>6</v>
      </c>
      <c r="Z40">
        <v>3</v>
      </c>
      <c r="AA40">
        <v>4</v>
      </c>
      <c r="AB40">
        <v>1</v>
      </c>
      <c r="AC40">
        <v>1</v>
      </c>
      <c r="AD40">
        <v>0</v>
      </c>
      <c r="AE40">
        <v>0</v>
      </c>
      <c r="AF40">
        <v>0</v>
      </c>
      <c r="AG40">
        <f>IF(tbl_HR_Data[[#This Row],[Gender]]="Male",1,0)</f>
        <v>0</v>
      </c>
      <c r="AH40" cm="1">
        <f t="array" ref="AH40">_xlfn.SWITCH(tbl_HR_Data[[#This Row],[BusinessTravel]], "Non-Travel", 0, "Travel_Rarely", 1, "Travel_Frequently", 2)</f>
        <v>1</v>
      </c>
      <c r="AI40" cm="1">
        <f t="array" ref="AI40">_xlfn.SWITCH(tbl_HR_Data[[#This Row],[MaritalStatus]],"Single",0,"Married",1,"Divorced",2)</f>
        <v>1</v>
      </c>
      <c r="AJ40">
        <f>IF(tbl_HR_Data[[#This Row],[OverTime]]=1,1,0)</f>
        <v>1</v>
      </c>
      <c r="AK40">
        <f>IF(tbl_HR_Data[[#This Row],[DistanceFromHome]]&gt;15,1,0)</f>
        <v>0</v>
      </c>
      <c r="AL40">
        <f>IF(tbl_HR_Data[[#This Row],[JobSatisfaction]]&lt;=2,1,0)</f>
        <v>1</v>
      </c>
      <c r="AM40">
        <f>IF(tbl_HR_Data[[#This Row],[MonthlyIncome]]&lt;$AT$2,1,0)</f>
        <v>1</v>
      </c>
      <c r="AN40">
        <f>IF(tbl_HR_Data[[#This Row],[Travel_Code]]=2,1,0)</f>
        <v>0</v>
      </c>
      <c r="AO40">
        <f>(tbl_HR_Data[[#This Row],[Flag_OT]] * Logic_Parameters!$B$2) +
 (tbl_HR_Data[[#This Row],[Flag_Travel]] * Logic_Parameters!$B$3) +
 (tbl_HR_Data[[#This Row],[Flag_Satisfaction]] * Logic_Parameters!$B$4) +
 (tbl_HR_Data[[#This Row],[Flag_Distance]]* Logic_Parameters!$B$5) +
 (tbl_HR_Data[[#This Row],[Flag_Income]] * Logic_Parameters!$B$6)</f>
        <v>20.698962067398959</v>
      </c>
      <c r="AP40" s="15">
        <f>tbl_HR_Data[[#This Row],[Risk_Score_Raw]] / SUM(Logic_Parameters!$B$2:$B$6)</f>
        <v>0.71313126349280109</v>
      </c>
      <c r="AQ40" s="16" t="str" cm="1">
        <f t="array" ref="AQ40">_xlfn.IFS(tbl_HR_Data[[#This Row],[Attrition_Risk_Percentage]] &gt;= 0.75, "Critical",tbl_HR_Data[ [#This Row],[Attrition_Risk_Percentage] ]&gt;= 0.5, "High",tbl_HR_Data[[#This Row],[Attrition_Risk_Percentage]] &gt;= 0.25, "Medium",TRUE, "Low")</f>
        <v>High</v>
      </c>
      <c r="AR40" s="16" cm="1">
        <f t="array" ref="AR40">IFERROR(_xlfn.IFS(tbl_HR_Data[[#This Row],[Risk_Category]]="Critical",tbl_HR_Data[[#This Row],[MonthlyIncome]]*1.5,tbl_HR_Data[[#This Row],[Risk_Category]]="High",tbl_HR_Data[[#This Row],[MonthlyIncome]]*1.5),0)</f>
        <v>5128.5</v>
      </c>
    </row>
    <row r="41" spans="1:44" x14ac:dyDescent="0.35">
      <c r="A41" t="s">
        <v>616</v>
      </c>
      <c r="B41">
        <v>33</v>
      </c>
      <c r="C41" t="s">
        <v>37</v>
      </c>
      <c r="D41">
        <v>1141</v>
      </c>
      <c r="E41" t="s">
        <v>32</v>
      </c>
      <c r="F41">
        <v>1</v>
      </c>
      <c r="G41">
        <v>3</v>
      </c>
      <c r="H41" t="s">
        <v>33</v>
      </c>
      <c r="I41">
        <v>3</v>
      </c>
      <c r="J41" t="s">
        <v>34</v>
      </c>
      <c r="K41">
        <v>42</v>
      </c>
      <c r="L41">
        <v>4</v>
      </c>
      <c r="M41">
        <v>2</v>
      </c>
      <c r="N41" t="s">
        <v>35</v>
      </c>
      <c r="O41">
        <v>1</v>
      </c>
      <c r="P41" t="s">
        <v>41</v>
      </c>
      <c r="Q41">
        <v>5376</v>
      </c>
      <c r="R41">
        <v>3193</v>
      </c>
      <c r="S41">
        <v>2</v>
      </c>
      <c r="T41">
        <v>0</v>
      </c>
      <c r="U41" s="17">
        <v>0.19</v>
      </c>
      <c r="V41">
        <v>3</v>
      </c>
      <c r="W41">
        <v>1</v>
      </c>
      <c r="X41">
        <v>2</v>
      </c>
      <c r="Y41">
        <v>10</v>
      </c>
      <c r="Z41">
        <v>3</v>
      </c>
      <c r="AA41">
        <v>3</v>
      </c>
      <c r="AB41">
        <v>5</v>
      </c>
      <c r="AC41">
        <v>3</v>
      </c>
      <c r="AD41">
        <v>1</v>
      </c>
      <c r="AE41">
        <v>3</v>
      </c>
      <c r="AF41">
        <v>0</v>
      </c>
      <c r="AG41">
        <f>IF(tbl_HR_Data[[#This Row],[Gender]]="Male",1,0)</f>
        <v>0</v>
      </c>
      <c r="AH41" cm="1">
        <f t="array" ref="AH41">_xlfn.SWITCH(tbl_HR_Data[[#This Row],[BusinessTravel]], "Non-Travel", 0, "Travel_Rarely", 1, "Travel_Frequently", 2)</f>
        <v>2</v>
      </c>
      <c r="AI41" cm="1">
        <f t="array" ref="AI41">_xlfn.SWITCH(tbl_HR_Data[[#This Row],[MaritalStatus]],"Single",0,"Married",1,"Divorced",2)</f>
        <v>1</v>
      </c>
      <c r="AJ41">
        <f>IF(tbl_HR_Data[[#This Row],[OverTime]]=1,1,0)</f>
        <v>0</v>
      </c>
      <c r="AK41">
        <f>IF(tbl_HR_Data[[#This Row],[DistanceFromHome]]&gt;15,1,0)</f>
        <v>0</v>
      </c>
      <c r="AL41">
        <f>IF(tbl_HR_Data[[#This Row],[JobSatisfaction]]&lt;=2,1,0)</f>
        <v>1</v>
      </c>
      <c r="AM41">
        <f>IF(tbl_HR_Data[[#This Row],[MonthlyIncome]]&lt;$AT$2,1,0)</f>
        <v>0</v>
      </c>
      <c r="AN41">
        <f>IF(tbl_HR_Data[[#This Row],[Travel_Code]]=2,1,0)</f>
        <v>1</v>
      </c>
      <c r="AO41">
        <f>(tbl_HR_Data[[#This Row],[Flag_OT]] * Logic_Parameters!$B$2) +
 (tbl_HR_Data[[#This Row],[Flag_Travel]] * Logic_Parameters!$B$3) +
 (tbl_HR_Data[[#This Row],[Flag_Satisfaction]] * Logic_Parameters!$B$4) +
 (tbl_HR_Data[[#This Row],[Flag_Distance]]* Logic_Parameters!$B$5) +
 (tbl_HR_Data[[#This Row],[Flag_Income]] * Logic_Parameters!$B$6)</f>
        <v>9.3649231104683075</v>
      </c>
      <c r="AP41" s="15">
        <f>tbl_HR_Data[[#This Row],[Risk_Score_Raw]] / SUM(Logic_Parameters!$B$2:$B$6)</f>
        <v>0.32264513691726432</v>
      </c>
      <c r="AQ41" s="16" t="str" cm="1">
        <f t="array" ref="AQ41">_xlfn.IFS(tbl_HR_Data[[#This Row],[Attrition_Risk_Percentage]] &gt;= 0.75, "Critical",tbl_HR_Data[ [#This Row],[Attrition_Risk_Percentage] ]&gt;= 0.5, "High",tbl_HR_Data[[#This Row],[Attrition_Risk_Percentage]] &gt;= 0.25, "Medium",TRUE, "Low")</f>
        <v>Medium</v>
      </c>
      <c r="AR41" s="16" cm="1">
        <f t="array" ref="AR41">IFERROR(_xlfn.IFS(tbl_HR_Data[[#This Row],[Risk_Category]]="Critical",tbl_HR_Data[[#This Row],[MonthlyIncome]]*1.5,tbl_HR_Data[[#This Row],[Risk_Category]]="High",tbl_HR_Data[[#This Row],[MonthlyIncome]]*1.5),0)</f>
        <v>0</v>
      </c>
    </row>
    <row r="42" spans="1:44" x14ac:dyDescent="0.35">
      <c r="A42" t="s">
        <v>1206</v>
      </c>
      <c r="B42">
        <v>35</v>
      </c>
      <c r="C42" t="s">
        <v>31</v>
      </c>
      <c r="D42">
        <v>464</v>
      </c>
      <c r="E42" t="s">
        <v>38</v>
      </c>
      <c r="F42">
        <v>4</v>
      </c>
      <c r="G42">
        <v>2</v>
      </c>
      <c r="H42" t="s">
        <v>42</v>
      </c>
      <c r="I42">
        <v>3</v>
      </c>
      <c r="J42" t="s">
        <v>39</v>
      </c>
      <c r="K42">
        <v>75</v>
      </c>
      <c r="L42">
        <v>3</v>
      </c>
      <c r="M42">
        <v>1</v>
      </c>
      <c r="N42" t="s">
        <v>43</v>
      </c>
      <c r="O42">
        <v>4</v>
      </c>
      <c r="P42" t="s">
        <v>45</v>
      </c>
      <c r="Q42">
        <v>1951</v>
      </c>
      <c r="R42">
        <v>10910</v>
      </c>
      <c r="S42">
        <v>1</v>
      </c>
      <c r="T42">
        <v>0</v>
      </c>
      <c r="U42" s="17">
        <v>0.12</v>
      </c>
      <c r="V42">
        <v>3</v>
      </c>
      <c r="W42">
        <v>3</v>
      </c>
      <c r="X42">
        <v>1</v>
      </c>
      <c r="Y42">
        <v>1</v>
      </c>
      <c r="Z42">
        <v>3</v>
      </c>
      <c r="AA42">
        <v>3</v>
      </c>
      <c r="AB42">
        <v>1</v>
      </c>
      <c r="AC42">
        <v>0</v>
      </c>
      <c r="AD42">
        <v>0</v>
      </c>
      <c r="AE42">
        <v>0</v>
      </c>
      <c r="AF42">
        <v>0</v>
      </c>
      <c r="AG42">
        <f>IF(tbl_HR_Data[[#This Row],[Gender]]="Male",1,0)</f>
        <v>1</v>
      </c>
      <c r="AH42" cm="1">
        <f t="array" ref="AH42">_xlfn.SWITCH(tbl_HR_Data[[#This Row],[BusinessTravel]], "Non-Travel", 0, "Travel_Rarely", 1, "Travel_Frequently", 2)</f>
        <v>1</v>
      </c>
      <c r="AI42" cm="1">
        <f t="array" ref="AI42">_xlfn.SWITCH(tbl_HR_Data[[#This Row],[MaritalStatus]],"Single",0,"Married",1,"Divorced",2)</f>
        <v>2</v>
      </c>
      <c r="AJ42">
        <f>IF(tbl_HR_Data[[#This Row],[OverTime]]=1,1,0)</f>
        <v>0</v>
      </c>
      <c r="AK42">
        <f>IF(tbl_HR_Data[[#This Row],[DistanceFromHome]]&gt;15,1,0)</f>
        <v>0</v>
      </c>
      <c r="AL42">
        <f>IF(tbl_HR_Data[[#This Row],[JobSatisfaction]]&lt;=2,1,0)</f>
        <v>0</v>
      </c>
      <c r="AM42">
        <f>IF(tbl_HR_Data[[#This Row],[MonthlyIncome]]&lt;$AT$2,1,0)</f>
        <v>1</v>
      </c>
      <c r="AN42">
        <f>IF(tbl_HR_Data[[#This Row],[Travel_Code]]=2,1,0)</f>
        <v>0</v>
      </c>
      <c r="AO42">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42" s="15">
        <f>tbl_HR_Data[[#This Row],[Risk_Score_Raw]] / SUM(Logic_Parameters!$B$2:$B$6)</f>
        <v>0.22374939857982484</v>
      </c>
      <c r="AQ42" s="16" t="str" cm="1">
        <f t="array" ref="AQ42">_xlfn.IFS(tbl_HR_Data[[#This Row],[Attrition_Risk_Percentage]] &gt;= 0.75, "Critical",tbl_HR_Data[ [#This Row],[Attrition_Risk_Percentage] ]&gt;= 0.5, "High",tbl_HR_Data[[#This Row],[Attrition_Risk_Percentage]] &gt;= 0.25, "Medium",TRUE, "Low")</f>
        <v>Low</v>
      </c>
      <c r="AR42" s="16" cm="1">
        <f t="array" ref="AR42">IFERROR(_xlfn.IFS(tbl_HR_Data[[#This Row],[Risk_Category]]="Critical",tbl_HR_Data[[#This Row],[MonthlyIncome]]*1.5,tbl_HR_Data[[#This Row],[Risk_Category]]="High",tbl_HR_Data[[#This Row],[MonthlyIncome]]*1.5),0)</f>
        <v>0</v>
      </c>
    </row>
    <row r="43" spans="1:44" x14ac:dyDescent="0.35">
      <c r="A43" t="s">
        <v>441</v>
      </c>
      <c r="B43">
        <v>27</v>
      </c>
      <c r="C43" t="s">
        <v>31</v>
      </c>
      <c r="D43">
        <v>1240</v>
      </c>
      <c r="E43" t="s">
        <v>38</v>
      </c>
      <c r="F43">
        <v>2</v>
      </c>
      <c r="G43">
        <v>4</v>
      </c>
      <c r="H43" t="s">
        <v>33</v>
      </c>
      <c r="I43">
        <v>4</v>
      </c>
      <c r="J43" t="s">
        <v>34</v>
      </c>
      <c r="K43">
        <v>33</v>
      </c>
      <c r="L43">
        <v>3</v>
      </c>
      <c r="M43">
        <v>1</v>
      </c>
      <c r="N43" t="s">
        <v>43</v>
      </c>
      <c r="O43">
        <v>1</v>
      </c>
      <c r="P43" t="s">
        <v>45</v>
      </c>
      <c r="Q43">
        <v>2341</v>
      </c>
      <c r="R43">
        <v>19715</v>
      </c>
      <c r="S43">
        <v>1</v>
      </c>
      <c r="T43">
        <v>0</v>
      </c>
      <c r="U43" s="17">
        <v>0.13</v>
      </c>
      <c r="V43">
        <v>3</v>
      </c>
      <c r="W43">
        <v>4</v>
      </c>
      <c r="X43">
        <v>1</v>
      </c>
      <c r="Y43">
        <v>1</v>
      </c>
      <c r="Z43">
        <v>6</v>
      </c>
      <c r="AA43">
        <v>3</v>
      </c>
      <c r="AB43">
        <v>1</v>
      </c>
      <c r="AC43">
        <v>0</v>
      </c>
      <c r="AD43">
        <v>0</v>
      </c>
      <c r="AE43">
        <v>0</v>
      </c>
      <c r="AF43">
        <v>0</v>
      </c>
      <c r="AG43">
        <f>IF(tbl_HR_Data[[#This Row],[Gender]]="Male",1,0)</f>
        <v>0</v>
      </c>
      <c r="AH43" cm="1">
        <f t="array" ref="AH43">_xlfn.SWITCH(tbl_HR_Data[[#This Row],[BusinessTravel]], "Non-Travel", 0, "Travel_Rarely", 1, "Travel_Frequently", 2)</f>
        <v>1</v>
      </c>
      <c r="AI43" cm="1">
        <f t="array" ref="AI43">_xlfn.SWITCH(tbl_HR_Data[[#This Row],[MaritalStatus]],"Single",0,"Married",1,"Divorced",2)</f>
        <v>2</v>
      </c>
      <c r="AJ43">
        <f>IF(tbl_HR_Data[[#This Row],[OverTime]]=1,1,0)</f>
        <v>0</v>
      </c>
      <c r="AK43">
        <f>IF(tbl_HR_Data[[#This Row],[DistanceFromHome]]&gt;15,1,0)</f>
        <v>0</v>
      </c>
      <c r="AL43">
        <f>IF(tbl_HR_Data[[#This Row],[JobSatisfaction]]&lt;=2,1,0)</f>
        <v>1</v>
      </c>
      <c r="AM43">
        <f>IF(tbl_HR_Data[[#This Row],[MonthlyIncome]]&lt;$AT$2,1,0)</f>
        <v>1</v>
      </c>
      <c r="AN43">
        <f>IF(tbl_HR_Data[[#This Row],[Travel_Code]]=2,1,0)</f>
        <v>0</v>
      </c>
      <c r="AO43">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43" s="15">
        <f>tbl_HR_Data[[#This Row],[Risk_Score_Raw]] / SUM(Logic_Parameters!$B$2:$B$6)</f>
        <v>0.3686061316669938</v>
      </c>
      <c r="AQ43" s="16" t="str" cm="1">
        <f t="array" ref="AQ43">_xlfn.IFS(tbl_HR_Data[[#This Row],[Attrition_Risk_Percentage]] &gt;= 0.75, "Critical",tbl_HR_Data[ [#This Row],[Attrition_Risk_Percentage] ]&gt;= 0.5, "High",tbl_HR_Data[[#This Row],[Attrition_Risk_Percentage]] &gt;= 0.25, "Medium",TRUE, "Low")</f>
        <v>Medium</v>
      </c>
      <c r="AR43" s="16" cm="1">
        <f t="array" ref="AR43">IFERROR(_xlfn.IFS(tbl_HR_Data[[#This Row],[Risk_Category]]="Critical",tbl_HR_Data[[#This Row],[MonthlyIncome]]*1.5,tbl_HR_Data[[#This Row],[Risk_Category]]="High",tbl_HR_Data[[#This Row],[MonthlyIncome]]*1.5),0)</f>
        <v>0</v>
      </c>
    </row>
    <row r="44" spans="1:44" x14ac:dyDescent="0.35">
      <c r="A44" t="s">
        <v>428</v>
      </c>
      <c r="B44">
        <v>26</v>
      </c>
      <c r="C44" t="s">
        <v>31</v>
      </c>
      <c r="D44">
        <v>1357</v>
      </c>
      <c r="E44" t="s">
        <v>38</v>
      </c>
      <c r="F44">
        <v>25</v>
      </c>
      <c r="G44">
        <v>3</v>
      </c>
      <c r="H44" t="s">
        <v>33</v>
      </c>
      <c r="I44">
        <v>1</v>
      </c>
      <c r="J44" t="s">
        <v>39</v>
      </c>
      <c r="K44">
        <v>48</v>
      </c>
      <c r="L44">
        <v>1</v>
      </c>
      <c r="M44">
        <v>1</v>
      </c>
      <c r="N44" t="s">
        <v>43</v>
      </c>
      <c r="O44">
        <v>3</v>
      </c>
      <c r="P44" t="s">
        <v>36</v>
      </c>
      <c r="Q44">
        <v>2293</v>
      </c>
      <c r="R44">
        <v>10558</v>
      </c>
      <c r="S44">
        <v>1</v>
      </c>
      <c r="T44">
        <v>0</v>
      </c>
      <c r="U44" s="17">
        <v>0.12</v>
      </c>
      <c r="V44">
        <v>3</v>
      </c>
      <c r="W44">
        <v>3</v>
      </c>
      <c r="X44">
        <v>0</v>
      </c>
      <c r="Y44">
        <v>1</v>
      </c>
      <c r="Z44">
        <v>2</v>
      </c>
      <c r="AA44">
        <v>2</v>
      </c>
      <c r="AB44">
        <v>1</v>
      </c>
      <c r="AC44">
        <v>0</v>
      </c>
      <c r="AD44">
        <v>0</v>
      </c>
      <c r="AE44">
        <v>1</v>
      </c>
      <c r="AF44">
        <v>1</v>
      </c>
      <c r="AG44">
        <f>IF(tbl_HR_Data[[#This Row],[Gender]]="Male",1,0)</f>
        <v>1</v>
      </c>
      <c r="AH44" cm="1">
        <f t="array" ref="AH44">_xlfn.SWITCH(tbl_HR_Data[[#This Row],[BusinessTravel]], "Non-Travel", 0, "Travel_Rarely", 1, "Travel_Frequently", 2)</f>
        <v>1</v>
      </c>
      <c r="AI44" cm="1">
        <f t="array" ref="AI44">_xlfn.SWITCH(tbl_HR_Data[[#This Row],[MaritalStatus]],"Single",0,"Married",1,"Divorced",2)</f>
        <v>0</v>
      </c>
      <c r="AJ44">
        <f>IF(tbl_HR_Data[[#This Row],[OverTime]]=1,1,0)</f>
        <v>0</v>
      </c>
      <c r="AK44">
        <f>IF(tbl_HR_Data[[#This Row],[DistanceFromHome]]&gt;15,1,0)</f>
        <v>1</v>
      </c>
      <c r="AL44">
        <f>IF(tbl_HR_Data[[#This Row],[JobSatisfaction]]&lt;=2,1,0)</f>
        <v>0</v>
      </c>
      <c r="AM44">
        <f>IF(tbl_HR_Data[[#This Row],[MonthlyIncome]]&lt;$AT$2,1,0)</f>
        <v>1</v>
      </c>
      <c r="AN44">
        <f>IF(tbl_HR_Data[[#This Row],[Travel_Code]]=2,1,0)</f>
        <v>0</v>
      </c>
      <c r="AO44">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44" s="15">
        <f>tbl_HR_Data[[#This Row],[Risk_Score_Raw]] / SUM(Logic_Parameters!$B$2:$B$6)</f>
        <v>0.33282973125692844</v>
      </c>
      <c r="AQ44" s="16" t="str" cm="1">
        <f t="array" ref="AQ44">_xlfn.IFS(tbl_HR_Data[[#This Row],[Attrition_Risk_Percentage]] &gt;= 0.75, "Critical",tbl_HR_Data[ [#This Row],[Attrition_Risk_Percentage] ]&gt;= 0.5, "High",tbl_HR_Data[[#This Row],[Attrition_Risk_Percentage]] &gt;= 0.25, "Medium",TRUE, "Low")</f>
        <v>Medium</v>
      </c>
      <c r="AR44" s="16" cm="1">
        <f t="array" ref="AR44">IFERROR(_xlfn.IFS(tbl_HR_Data[[#This Row],[Risk_Category]]="Critical",tbl_HR_Data[[#This Row],[MonthlyIncome]]*1.5,tbl_HR_Data[[#This Row],[Risk_Category]]="High",tbl_HR_Data[[#This Row],[MonthlyIncome]]*1.5),0)</f>
        <v>0</v>
      </c>
    </row>
    <row r="45" spans="1:44" x14ac:dyDescent="0.35">
      <c r="A45" t="s">
        <v>1445</v>
      </c>
      <c r="B45">
        <v>27</v>
      </c>
      <c r="C45" t="s">
        <v>37</v>
      </c>
      <c r="D45">
        <v>994</v>
      </c>
      <c r="E45" t="s">
        <v>32</v>
      </c>
      <c r="F45">
        <v>8</v>
      </c>
      <c r="G45">
        <v>3</v>
      </c>
      <c r="H45" t="s">
        <v>33</v>
      </c>
      <c r="I45">
        <v>4</v>
      </c>
      <c r="J45" t="s">
        <v>39</v>
      </c>
      <c r="K45">
        <v>37</v>
      </c>
      <c r="L45">
        <v>3</v>
      </c>
      <c r="M45">
        <v>3</v>
      </c>
      <c r="N45" t="s">
        <v>35</v>
      </c>
      <c r="O45">
        <v>3</v>
      </c>
      <c r="P45" t="s">
        <v>36</v>
      </c>
      <c r="Q45">
        <v>8726</v>
      </c>
      <c r="R45">
        <v>2975</v>
      </c>
      <c r="S45">
        <v>1</v>
      </c>
      <c r="T45">
        <v>0</v>
      </c>
      <c r="U45" s="17">
        <v>0.15</v>
      </c>
      <c r="V45">
        <v>3</v>
      </c>
      <c r="W45">
        <v>4</v>
      </c>
      <c r="X45">
        <v>0</v>
      </c>
      <c r="Y45">
        <v>9</v>
      </c>
      <c r="Z45">
        <v>0</v>
      </c>
      <c r="AA45">
        <v>3</v>
      </c>
      <c r="AB45">
        <v>9</v>
      </c>
      <c r="AC45">
        <v>8</v>
      </c>
      <c r="AD45">
        <v>1</v>
      </c>
      <c r="AE45">
        <v>7</v>
      </c>
      <c r="AF45">
        <v>0</v>
      </c>
      <c r="AG45">
        <f>IF(tbl_HR_Data[[#This Row],[Gender]]="Male",1,0)</f>
        <v>1</v>
      </c>
      <c r="AH45" cm="1">
        <f t="array" ref="AH45">_xlfn.SWITCH(tbl_HR_Data[[#This Row],[BusinessTravel]], "Non-Travel", 0, "Travel_Rarely", 1, "Travel_Frequently", 2)</f>
        <v>2</v>
      </c>
      <c r="AI45" cm="1">
        <f t="array" ref="AI45">_xlfn.SWITCH(tbl_HR_Data[[#This Row],[MaritalStatus]],"Single",0,"Married",1,"Divorced",2)</f>
        <v>0</v>
      </c>
      <c r="AJ45">
        <f>IF(tbl_HR_Data[[#This Row],[OverTime]]=1,1,0)</f>
        <v>0</v>
      </c>
      <c r="AK45">
        <f>IF(tbl_HR_Data[[#This Row],[DistanceFromHome]]&gt;15,1,0)</f>
        <v>0</v>
      </c>
      <c r="AL45">
        <f>IF(tbl_HR_Data[[#This Row],[JobSatisfaction]]&lt;=2,1,0)</f>
        <v>0</v>
      </c>
      <c r="AM45">
        <f>IF(tbl_HR_Data[[#This Row],[MonthlyIncome]]&lt;$AT$2,1,0)</f>
        <v>0</v>
      </c>
      <c r="AN45">
        <f>IF(tbl_HR_Data[[#This Row],[Travel_Code]]=2,1,0)</f>
        <v>1</v>
      </c>
      <c r="AO45">
        <f>(tbl_HR_Data[[#This Row],[Flag_OT]] * Logic_Parameters!$B$2) +
 (tbl_HR_Data[[#This Row],[Flag_Travel]] * Logic_Parameters!$B$3) +
 (tbl_HR_Data[[#This Row],[Flag_Satisfaction]] * Logic_Parameters!$B$4) +
 (tbl_HR_Data[[#This Row],[Flag_Distance]]* Logic_Parameters!$B$5) +
 (tbl_HR_Data[[#This Row],[Flag_Income]] * Logic_Parameters!$B$6)</f>
        <v>5.1603899804901765</v>
      </c>
      <c r="AP45" s="15">
        <f>tbl_HR_Data[[#This Row],[Risk_Score_Raw]] / SUM(Logic_Parameters!$B$2:$B$6)</f>
        <v>0.17778840383009531</v>
      </c>
      <c r="AQ45" s="16" t="str" cm="1">
        <f t="array" ref="AQ45">_xlfn.IFS(tbl_HR_Data[[#This Row],[Attrition_Risk_Percentage]] &gt;= 0.75, "Critical",tbl_HR_Data[ [#This Row],[Attrition_Risk_Percentage] ]&gt;= 0.5, "High",tbl_HR_Data[[#This Row],[Attrition_Risk_Percentage]] &gt;= 0.25, "Medium",TRUE, "Low")</f>
        <v>Low</v>
      </c>
      <c r="AR45" s="16" cm="1">
        <f t="array" ref="AR45">IFERROR(_xlfn.IFS(tbl_HR_Data[[#This Row],[Risk_Category]]="Critical",tbl_HR_Data[[#This Row],[MonthlyIncome]]*1.5,tbl_HR_Data[[#This Row],[Risk_Category]]="High",tbl_HR_Data[[#This Row],[MonthlyIncome]]*1.5),0)</f>
        <v>0</v>
      </c>
    </row>
    <row r="46" spans="1:44" x14ac:dyDescent="0.35">
      <c r="A46" t="s">
        <v>191</v>
      </c>
      <c r="B46">
        <v>30</v>
      </c>
      <c r="C46" t="s">
        <v>37</v>
      </c>
      <c r="D46">
        <v>721</v>
      </c>
      <c r="E46" t="s">
        <v>38</v>
      </c>
      <c r="F46">
        <v>1</v>
      </c>
      <c r="G46">
        <v>2</v>
      </c>
      <c r="H46" t="s">
        <v>44</v>
      </c>
      <c r="I46">
        <v>3</v>
      </c>
      <c r="J46" t="s">
        <v>34</v>
      </c>
      <c r="K46">
        <v>58</v>
      </c>
      <c r="L46">
        <v>3</v>
      </c>
      <c r="M46">
        <v>2</v>
      </c>
      <c r="N46" t="s">
        <v>43</v>
      </c>
      <c r="O46">
        <v>4</v>
      </c>
      <c r="P46" t="s">
        <v>36</v>
      </c>
      <c r="Q46">
        <v>4011</v>
      </c>
      <c r="R46">
        <v>10781</v>
      </c>
      <c r="S46">
        <v>1</v>
      </c>
      <c r="T46">
        <v>0</v>
      </c>
      <c r="U46" s="17">
        <v>0.23</v>
      </c>
      <c r="V46">
        <v>4</v>
      </c>
      <c r="W46">
        <v>4</v>
      </c>
      <c r="X46">
        <v>0</v>
      </c>
      <c r="Y46">
        <v>12</v>
      </c>
      <c r="Z46">
        <v>2</v>
      </c>
      <c r="AA46">
        <v>3</v>
      </c>
      <c r="AB46">
        <v>12</v>
      </c>
      <c r="AC46">
        <v>8</v>
      </c>
      <c r="AD46">
        <v>3</v>
      </c>
      <c r="AE46">
        <v>7</v>
      </c>
      <c r="AF46">
        <v>0</v>
      </c>
      <c r="AG46">
        <f>IF(tbl_HR_Data[[#This Row],[Gender]]="Male",1,0)</f>
        <v>0</v>
      </c>
      <c r="AH46" cm="1">
        <f t="array" ref="AH46">_xlfn.SWITCH(tbl_HR_Data[[#This Row],[BusinessTravel]], "Non-Travel", 0, "Travel_Rarely", 1, "Travel_Frequently", 2)</f>
        <v>2</v>
      </c>
      <c r="AI46" cm="1">
        <f t="array" ref="AI46">_xlfn.SWITCH(tbl_HR_Data[[#This Row],[MaritalStatus]],"Single",0,"Married",1,"Divorced",2)</f>
        <v>0</v>
      </c>
      <c r="AJ46">
        <f>IF(tbl_HR_Data[[#This Row],[OverTime]]=1,1,0)</f>
        <v>0</v>
      </c>
      <c r="AK46">
        <f>IF(tbl_HR_Data[[#This Row],[DistanceFromHome]]&gt;15,1,0)</f>
        <v>0</v>
      </c>
      <c r="AL46">
        <f>IF(tbl_HR_Data[[#This Row],[JobSatisfaction]]&lt;=2,1,0)</f>
        <v>0</v>
      </c>
      <c r="AM46">
        <f>IF(tbl_HR_Data[[#This Row],[MonthlyIncome]]&lt;$AT$2,1,0)</f>
        <v>1</v>
      </c>
      <c r="AN46">
        <f>IF(tbl_HR_Data[[#This Row],[Travel_Code]]=2,1,0)</f>
        <v>1</v>
      </c>
      <c r="AO46">
        <f>(tbl_HR_Data[[#This Row],[Flag_OT]] * Logic_Parameters!$B$2) +
 (tbl_HR_Data[[#This Row],[Flag_Travel]] * Logic_Parameters!$B$3) +
 (tbl_HR_Data[[#This Row],[Flag_Satisfaction]] * Logic_Parameters!$B$4) +
 (tbl_HR_Data[[#This Row],[Flag_Distance]]* Logic_Parameters!$B$5) +
 (tbl_HR_Data[[#This Row],[Flag_Income]] * Logic_Parameters!$B$6)</f>
        <v>11.654818917911005</v>
      </c>
      <c r="AP46" s="15">
        <f>tbl_HR_Data[[#This Row],[Risk_Score_Raw]] / SUM(Logic_Parameters!$B$2:$B$6)</f>
        <v>0.40153780240992015</v>
      </c>
      <c r="AQ46" s="16" t="str" cm="1">
        <f t="array" ref="AQ46">_xlfn.IFS(tbl_HR_Data[[#This Row],[Attrition_Risk_Percentage]] &gt;= 0.75, "Critical",tbl_HR_Data[ [#This Row],[Attrition_Risk_Percentage] ]&gt;= 0.5, "High",tbl_HR_Data[[#This Row],[Attrition_Risk_Percentage]] &gt;= 0.25, "Medium",TRUE, "Low")</f>
        <v>Medium</v>
      </c>
      <c r="AR46" s="16" cm="1">
        <f t="array" ref="AR46">IFERROR(_xlfn.IFS(tbl_HR_Data[[#This Row],[Risk_Category]]="Critical",tbl_HR_Data[[#This Row],[MonthlyIncome]]*1.5,tbl_HR_Data[[#This Row],[Risk_Category]]="High",tbl_HR_Data[[#This Row],[MonthlyIncome]]*1.5),0)</f>
        <v>0</v>
      </c>
    </row>
    <row r="47" spans="1:44" x14ac:dyDescent="0.35">
      <c r="A47" t="s">
        <v>1119</v>
      </c>
      <c r="B47">
        <v>41</v>
      </c>
      <c r="C47" t="s">
        <v>31</v>
      </c>
      <c r="D47">
        <v>1360</v>
      </c>
      <c r="E47" t="s">
        <v>38</v>
      </c>
      <c r="F47">
        <v>12</v>
      </c>
      <c r="G47">
        <v>3</v>
      </c>
      <c r="H47" t="s">
        <v>52</v>
      </c>
      <c r="I47">
        <v>2</v>
      </c>
      <c r="J47" t="s">
        <v>34</v>
      </c>
      <c r="K47">
        <v>49</v>
      </c>
      <c r="L47">
        <v>3</v>
      </c>
      <c r="M47">
        <v>5</v>
      </c>
      <c r="N47" t="s">
        <v>50</v>
      </c>
      <c r="O47">
        <v>3</v>
      </c>
      <c r="P47" t="s">
        <v>41</v>
      </c>
      <c r="Q47">
        <v>19545</v>
      </c>
      <c r="R47">
        <v>16280</v>
      </c>
      <c r="S47">
        <v>1</v>
      </c>
      <c r="T47">
        <v>0</v>
      </c>
      <c r="U47" s="17">
        <v>0.12</v>
      </c>
      <c r="V47">
        <v>3</v>
      </c>
      <c r="W47">
        <v>4</v>
      </c>
      <c r="X47">
        <v>0</v>
      </c>
      <c r="Y47">
        <v>23</v>
      </c>
      <c r="Z47">
        <v>0</v>
      </c>
      <c r="AA47">
        <v>3</v>
      </c>
      <c r="AB47">
        <v>22</v>
      </c>
      <c r="AC47">
        <v>15</v>
      </c>
      <c r="AD47">
        <v>15</v>
      </c>
      <c r="AE47">
        <v>8</v>
      </c>
      <c r="AF47">
        <v>1</v>
      </c>
      <c r="AG47">
        <f>IF(tbl_HR_Data[[#This Row],[Gender]]="Male",1,0)</f>
        <v>0</v>
      </c>
      <c r="AH47" cm="1">
        <f t="array" ref="AH47">_xlfn.SWITCH(tbl_HR_Data[[#This Row],[BusinessTravel]], "Non-Travel", 0, "Travel_Rarely", 1, "Travel_Frequently", 2)</f>
        <v>1</v>
      </c>
      <c r="AI47" cm="1">
        <f t="array" ref="AI47">_xlfn.SWITCH(tbl_HR_Data[[#This Row],[MaritalStatus]],"Single",0,"Married",1,"Divorced",2)</f>
        <v>1</v>
      </c>
      <c r="AJ47">
        <f>IF(tbl_HR_Data[[#This Row],[OverTime]]=1,1,0)</f>
        <v>0</v>
      </c>
      <c r="AK47">
        <f>IF(tbl_HR_Data[[#This Row],[DistanceFromHome]]&gt;15,1,0)</f>
        <v>0</v>
      </c>
      <c r="AL47">
        <f>IF(tbl_HR_Data[[#This Row],[JobSatisfaction]]&lt;=2,1,0)</f>
        <v>0</v>
      </c>
      <c r="AM47">
        <f>IF(tbl_HR_Data[[#This Row],[MonthlyIncome]]&lt;$AT$2,1,0)</f>
        <v>0</v>
      </c>
      <c r="AN47">
        <f>IF(tbl_HR_Data[[#This Row],[Travel_Code]]=2,1,0)</f>
        <v>0</v>
      </c>
      <c r="AO47">
        <f>(tbl_HR_Data[[#This Row],[Flag_OT]] * Logic_Parameters!$B$2) +
 (tbl_HR_Data[[#This Row],[Flag_Travel]] * Logic_Parameters!$B$3) +
 (tbl_HR_Data[[#This Row],[Flag_Satisfaction]] * Logic_Parameters!$B$4) +
 (tbl_HR_Data[[#This Row],[Flag_Distance]]* Logic_Parameters!$B$5) +
 (tbl_HR_Data[[#This Row],[Flag_Income]] * Logic_Parameters!$B$6)</f>
        <v>0</v>
      </c>
      <c r="AP47" s="15">
        <f>tbl_HR_Data[[#This Row],[Risk_Score_Raw]] / SUM(Logic_Parameters!$B$2:$B$6)</f>
        <v>0</v>
      </c>
      <c r="AQ47" s="16" t="str" cm="1">
        <f t="array" ref="AQ47">_xlfn.IFS(tbl_HR_Data[[#This Row],[Attrition_Risk_Percentage]] &gt;= 0.75, "Critical",tbl_HR_Data[ [#This Row],[Attrition_Risk_Percentage] ]&gt;= 0.5, "High",tbl_HR_Data[[#This Row],[Attrition_Risk_Percentage]] &gt;= 0.25, "Medium",TRUE, "Low")</f>
        <v>Low</v>
      </c>
      <c r="AR47" s="16" cm="1">
        <f t="array" ref="AR47">IFERROR(_xlfn.IFS(tbl_HR_Data[[#This Row],[Risk_Category]]="Critical",tbl_HR_Data[[#This Row],[MonthlyIncome]]*1.5,tbl_HR_Data[[#This Row],[Risk_Category]]="High",tbl_HR_Data[[#This Row],[MonthlyIncome]]*1.5),0)</f>
        <v>0</v>
      </c>
    </row>
    <row r="48" spans="1:44" x14ac:dyDescent="0.35">
      <c r="A48" t="s">
        <v>730</v>
      </c>
      <c r="B48">
        <v>34</v>
      </c>
      <c r="C48" t="s">
        <v>1525</v>
      </c>
      <c r="D48">
        <v>1065</v>
      </c>
      <c r="E48" t="s">
        <v>32</v>
      </c>
      <c r="F48">
        <v>23</v>
      </c>
      <c r="G48">
        <v>4</v>
      </c>
      <c r="H48" t="s">
        <v>51</v>
      </c>
      <c r="I48">
        <v>2</v>
      </c>
      <c r="J48" t="s">
        <v>39</v>
      </c>
      <c r="K48">
        <v>72</v>
      </c>
      <c r="L48">
        <v>3</v>
      </c>
      <c r="M48">
        <v>2</v>
      </c>
      <c r="N48" t="s">
        <v>35</v>
      </c>
      <c r="O48">
        <v>3</v>
      </c>
      <c r="P48" t="s">
        <v>36</v>
      </c>
      <c r="Q48">
        <v>4568</v>
      </c>
      <c r="R48">
        <v>10034</v>
      </c>
      <c r="S48">
        <v>0</v>
      </c>
      <c r="T48">
        <v>0</v>
      </c>
      <c r="U48" s="17">
        <v>0.2</v>
      </c>
      <c r="V48">
        <v>4</v>
      </c>
      <c r="W48">
        <v>3</v>
      </c>
      <c r="X48">
        <v>0</v>
      </c>
      <c r="Y48">
        <v>10</v>
      </c>
      <c r="Z48">
        <v>2</v>
      </c>
      <c r="AA48">
        <v>3</v>
      </c>
      <c r="AB48">
        <v>9</v>
      </c>
      <c r="AC48">
        <v>5</v>
      </c>
      <c r="AD48">
        <v>8</v>
      </c>
      <c r="AE48">
        <v>7</v>
      </c>
      <c r="AF48">
        <v>0</v>
      </c>
      <c r="AG48">
        <f>IF(tbl_HR_Data[[#This Row],[Gender]]="Male",1,0)</f>
        <v>1</v>
      </c>
      <c r="AH48" cm="1">
        <f t="array" ref="AH48">_xlfn.SWITCH(tbl_HR_Data[[#This Row],[BusinessTravel]], "Non-Travel", 0, "Travel_Rarely", 1, "Travel_Frequently", 2)</f>
        <v>0</v>
      </c>
      <c r="AI48" cm="1">
        <f t="array" ref="AI48">_xlfn.SWITCH(tbl_HR_Data[[#This Row],[MaritalStatus]],"Single",0,"Married",1,"Divorced",2)</f>
        <v>0</v>
      </c>
      <c r="AJ48">
        <f>IF(tbl_HR_Data[[#This Row],[OverTime]]=1,1,0)</f>
        <v>0</v>
      </c>
      <c r="AK48">
        <f>IF(tbl_HR_Data[[#This Row],[DistanceFromHome]]&gt;15,1,0)</f>
        <v>1</v>
      </c>
      <c r="AL48">
        <f>IF(tbl_HR_Data[[#This Row],[JobSatisfaction]]&lt;=2,1,0)</f>
        <v>0</v>
      </c>
      <c r="AM48">
        <f>IF(tbl_HR_Data[[#This Row],[MonthlyIncome]]&lt;$AT$2,1,0)</f>
        <v>1</v>
      </c>
      <c r="AN48">
        <f>IF(tbl_HR_Data[[#This Row],[Travel_Code]]=2,1,0)</f>
        <v>0</v>
      </c>
      <c r="AO48">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48" s="15">
        <f>tbl_HR_Data[[#This Row],[Risk_Score_Raw]] / SUM(Logic_Parameters!$B$2:$B$6)</f>
        <v>0.33282973125692844</v>
      </c>
      <c r="AQ48" s="16" t="str" cm="1">
        <f t="array" ref="AQ48">_xlfn.IFS(tbl_HR_Data[[#This Row],[Attrition_Risk_Percentage]] &gt;= 0.75, "Critical",tbl_HR_Data[ [#This Row],[Attrition_Risk_Percentage] ]&gt;= 0.5, "High",tbl_HR_Data[[#This Row],[Attrition_Risk_Percentage]] &gt;= 0.25, "Medium",TRUE, "Low")</f>
        <v>Medium</v>
      </c>
      <c r="AR48" s="16" cm="1">
        <f t="array" ref="AR48">IFERROR(_xlfn.IFS(tbl_HR_Data[[#This Row],[Risk_Category]]="Critical",tbl_HR_Data[[#This Row],[MonthlyIncome]]*1.5,tbl_HR_Data[[#This Row],[Risk_Category]]="High",tbl_HR_Data[[#This Row],[MonthlyIncome]]*1.5),0)</f>
        <v>0</v>
      </c>
    </row>
    <row r="49" spans="1:44" x14ac:dyDescent="0.35">
      <c r="A49" t="s">
        <v>1252</v>
      </c>
      <c r="B49">
        <v>37</v>
      </c>
      <c r="C49" t="s">
        <v>31</v>
      </c>
      <c r="D49">
        <v>408</v>
      </c>
      <c r="E49" t="s">
        <v>38</v>
      </c>
      <c r="F49">
        <v>19</v>
      </c>
      <c r="G49">
        <v>2</v>
      </c>
      <c r="H49" t="s">
        <v>33</v>
      </c>
      <c r="I49">
        <v>2</v>
      </c>
      <c r="J49" t="s">
        <v>39</v>
      </c>
      <c r="K49">
        <v>73</v>
      </c>
      <c r="L49">
        <v>3</v>
      </c>
      <c r="M49">
        <v>1</v>
      </c>
      <c r="N49" t="s">
        <v>40</v>
      </c>
      <c r="O49">
        <v>2</v>
      </c>
      <c r="P49" t="s">
        <v>41</v>
      </c>
      <c r="Q49">
        <v>3022</v>
      </c>
      <c r="R49">
        <v>10227</v>
      </c>
      <c r="S49">
        <v>4</v>
      </c>
      <c r="T49">
        <v>0</v>
      </c>
      <c r="U49" s="17">
        <v>0.21</v>
      </c>
      <c r="V49">
        <v>4</v>
      </c>
      <c r="W49">
        <v>1</v>
      </c>
      <c r="X49">
        <v>0</v>
      </c>
      <c r="Y49">
        <v>8</v>
      </c>
      <c r="Z49">
        <v>1</v>
      </c>
      <c r="AA49">
        <v>3</v>
      </c>
      <c r="AB49">
        <v>1</v>
      </c>
      <c r="AC49">
        <v>0</v>
      </c>
      <c r="AD49">
        <v>0</v>
      </c>
      <c r="AE49">
        <v>0</v>
      </c>
      <c r="AF49">
        <v>0</v>
      </c>
      <c r="AG49">
        <f>IF(tbl_HR_Data[[#This Row],[Gender]]="Male",1,0)</f>
        <v>1</v>
      </c>
      <c r="AH49" cm="1">
        <f t="array" ref="AH49">_xlfn.SWITCH(tbl_HR_Data[[#This Row],[BusinessTravel]], "Non-Travel", 0, "Travel_Rarely", 1, "Travel_Frequently", 2)</f>
        <v>1</v>
      </c>
      <c r="AI49" cm="1">
        <f t="array" ref="AI49">_xlfn.SWITCH(tbl_HR_Data[[#This Row],[MaritalStatus]],"Single",0,"Married",1,"Divorced",2)</f>
        <v>1</v>
      </c>
      <c r="AJ49">
        <f>IF(tbl_HR_Data[[#This Row],[OverTime]]=1,1,0)</f>
        <v>0</v>
      </c>
      <c r="AK49">
        <f>IF(tbl_HR_Data[[#This Row],[DistanceFromHome]]&gt;15,1,0)</f>
        <v>1</v>
      </c>
      <c r="AL49">
        <f>IF(tbl_HR_Data[[#This Row],[JobSatisfaction]]&lt;=2,1,0)</f>
        <v>1</v>
      </c>
      <c r="AM49">
        <f>IF(tbl_HR_Data[[#This Row],[MonthlyIncome]]&lt;$AT$2,1,0)</f>
        <v>1</v>
      </c>
      <c r="AN49">
        <f>IF(tbl_HR_Data[[#This Row],[Travel_Code]]=2,1,0)</f>
        <v>0</v>
      </c>
      <c r="AO49">
        <f>(tbl_HR_Data[[#This Row],[Flag_OT]] * Logic_Parameters!$B$2) +
 (tbl_HR_Data[[#This Row],[Flag_Travel]] * Logic_Parameters!$B$3) +
 (tbl_HR_Data[[#This Row],[Flag_Satisfaction]] * Logic_Parameters!$B$4) +
 (tbl_HR_Data[[#This Row],[Flag_Distance]]* Logic_Parameters!$B$5) +
 (tbl_HR_Data[[#This Row],[Flag_Income]] * Logic_Parameters!$B$6)</f>
        <v>13.865068763274337</v>
      </c>
      <c r="AP49" s="15">
        <f>tbl_HR_Data[[#This Row],[Risk_Score_Raw]] / SUM(Logic_Parameters!$B$2:$B$6)</f>
        <v>0.47768646434409739</v>
      </c>
      <c r="AQ49" s="16" t="str" cm="1">
        <f t="array" ref="AQ49">_xlfn.IFS(tbl_HR_Data[[#This Row],[Attrition_Risk_Percentage]] &gt;= 0.75, "Critical",tbl_HR_Data[ [#This Row],[Attrition_Risk_Percentage] ]&gt;= 0.5, "High",tbl_HR_Data[[#This Row],[Attrition_Risk_Percentage]] &gt;= 0.25, "Medium",TRUE, "Low")</f>
        <v>Medium</v>
      </c>
      <c r="AR49" s="16" cm="1">
        <f t="array" ref="AR49">IFERROR(_xlfn.IFS(tbl_HR_Data[[#This Row],[Risk_Category]]="Critical",tbl_HR_Data[[#This Row],[MonthlyIncome]]*1.5,tbl_HR_Data[[#This Row],[Risk_Category]]="High",tbl_HR_Data[[#This Row],[MonthlyIncome]]*1.5),0)</f>
        <v>0</v>
      </c>
    </row>
    <row r="50" spans="1:44" x14ac:dyDescent="0.35">
      <c r="A50" t="s">
        <v>866</v>
      </c>
      <c r="B50">
        <v>46</v>
      </c>
      <c r="C50" t="s">
        <v>37</v>
      </c>
      <c r="D50">
        <v>1211</v>
      </c>
      <c r="E50" t="s">
        <v>32</v>
      </c>
      <c r="F50">
        <v>5</v>
      </c>
      <c r="G50">
        <v>4</v>
      </c>
      <c r="H50" t="s">
        <v>51</v>
      </c>
      <c r="I50">
        <v>1</v>
      </c>
      <c r="J50" t="s">
        <v>39</v>
      </c>
      <c r="K50">
        <v>98</v>
      </c>
      <c r="L50">
        <v>3</v>
      </c>
      <c r="M50">
        <v>2</v>
      </c>
      <c r="N50" t="s">
        <v>35</v>
      </c>
      <c r="O50">
        <v>4</v>
      </c>
      <c r="P50" t="s">
        <v>36</v>
      </c>
      <c r="Q50">
        <v>5772</v>
      </c>
      <c r="R50">
        <v>20445</v>
      </c>
      <c r="S50">
        <v>4</v>
      </c>
      <c r="T50">
        <v>1</v>
      </c>
      <c r="U50" s="17">
        <v>0.21</v>
      </c>
      <c r="V50">
        <v>4</v>
      </c>
      <c r="W50">
        <v>3</v>
      </c>
      <c r="X50">
        <v>0</v>
      </c>
      <c r="Y50">
        <v>14</v>
      </c>
      <c r="Z50">
        <v>4</v>
      </c>
      <c r="AA50">
        <v>3</v>
      </c>
      <c r="AB50">
        <v>9</v>
      </c>
      <c r="AC50">
        <v>6</v>
      </c>
      <c r="AD50">
        <v>0</v>
      </c>
      <c r="AE50">
        <v>8</v>
      </c>
      <c r="AF50">
        <v>0</v>
      </c>
      <c r="AG50">
        <f>IF(tbl_HR_Data[[#This Row],[Gender]]="Male",1,0)</f>
        <v>1</v>
      </c>
      <c r="AH50" cm="1">
        <f t="array" ref="AH50">_xlfn.SWITCH(tbl_HR_Data[[#This Row],[BusinessTravel]], "Non-Travel", 0, "Travel_Rarely", 1, "Travel_Frequently", 2)</f>
        <v>2</v>
      </c>
      <c r="AI50" cm="1">
        <f t="array" ref="AI50">_xlfn.SWITCH(tbl_HR_Data[[#This Row],[MaritalStatus]],"Single",0,"Married",1,"Divorced",2)</f>
        <v>0</v>
      </c>
      <c r="AJ50">
        <f>IF(tbl_HR_Data[[#This Row],[OverTime]]=1,1,0)</f>
        <v>1</v>
      </c>
      <c r="AK50">
        <f>IF(tbl_HR_Data[[#This Row],[DistanceFromHome]]&gt;15,1,0)</f>
        <v>0</v>
      </c>
      <c r="AL50">
        <f>IF(tbl_HR_Data[[#This Row],[JobSatisfaction]]&lt;=2,1,0)</f>
        <v>0</v>
      </c>
      <c r="AM50">
        <f>IF(tbl_HR_Data[[#This Row],[MonthlyIncome]]&lt;$AT$2,1,0)</f>
        <v>0</v>
      </c>
      <c r="AN50">
        <f>IF(tbl_HR_Data[[#This Row],[Travel_Code]]=2,1,0)</f>
        <v>1</v>
      </c>
      <c r="AO50">
        <f>(tbl_HR_Data[[#This Row],[Flag_OT]] * Logic_Parameters!$B$2) +
 (tbl_HR_Data[[#This Row],[Flag_Travel]] * Logic_Parameters!$B$3) +
 (tbl_HR_Data[[#This Row],[Flag_Satisfaction]] * Logic_Parameters!$B$4) +
 (tbl_HR_Data[[#This Row],[Flag_Distance]]* Logic_Parameters!$B$5) +
 (tbl_HR_Data[[#This Row],[Flag_Income]] * Logic_Parameters!$B$6)</f>
        <v>15.160389980490176</v>
      </c>
      <c r="AP50" s="15">
        <f>tbl_HR_Data[[#This Row],[Risk_Score_Raw]] / SUM(Logic_Parameters!$B$2:$B$6)</f>
        <v>0.52231353565590266</v>
      </c>
      <c r="AQ50" s="16" t="str" cm="1">
        <f t="array" ref="AQ50">_xlfn.IFS(tbl_HR_Data[[#This Row],[Attrition_Risk_Percentage]] &gt;= 0.75, "Critical",tbl_HR_Data[ [#This Row],[Attrition_Risk_Percentage] ]&gt;= 0.5, "High",tbl_HR_Data[[#This Row],[Attrition_Risk_Percentage]] &gt;= 0.25, "Medium",TRUE, "Low")</f>
        <v>High</v>
      </c>
      <c r="AR50" s="16" cm="1">
        <f t="array" ref="AR50">IFERROR(_xlfn.IFS(tbl_HR_Data[[#This Row],[Risk_Category]]="Critical",tbl_HR_Data[[#This Row],[MonthlyIncome]]*1.5,tbl_HR_Data[[#This Row],[Risk_Category]]="High",tbl_HR_Data[[#This Row],[MonthlyIncome]]*1.5),0)</f>
        <v>8658</v>
      </c>
    </row>
    <row r="51" spans="1:44" x14ac:dyDescent="0.35">
      <c r="A51" t="s">
        <v>626</v>
      </c>
      <c r="B51">
        <v>35</v>
      </c>
      <c r="C51" t="s">
        <v>31</v>
      </c>
      <c r="D51">
        <v>1229</v>
      </c>
      <c r="E51" t="s">
        <v>38</v>
      </c>
      <c r="F51">
        <v>8</v>
      </c>
      <c r="G51">
        <v>1</v>
      </c>
      <c r="H51" t="s">
        <v>33</v>
      </c>
      <c r="I51">
        <v>4</v>
      </c>
      <c r="J51" t="s">
        <v>39</v>
      </c>
      <c r="K51">
        <v>36</v>
      </c>
      <c r="L51">
        <v>4</v>
      </c>
      <c r="M51">
        <v>1</v>
      </c>
      <c r="N51" t="s">
        <v>43</v>
      </c>
      <c r="O51">
        <v>4</v>
      </c>
      <c r="P51" t="s">
        <v>41</v>
      </c>
      <c r="Q51">
        <v>2269</v>
      </c>
      <c r="R51">
        <v>4892</v>
      </c>
      <c r="S51">
        <v>1</v>
      </c>
      <c r="T51">
        <v>0</v>
      </c>
      <c r="U51" s="17">
        <v>0.19</v>
      </c>
      <c r="V51">
        <v>3</v>
      </c>
      <c r="W51">
        <v>4</v>
      </c>
      <c r="X51">
        <v>0</v>
      </c>
      <c r="Y51">
        <v>1</v>
      </c>
      <c r="Z51">
        <v>2</v>
      </c>
      <c r="AA51">
        <v>3</v>
      </c>
      <c r="AB51">
        <v>1</v>
      </c>
      <c r="AC51">
        <v>0</v>
      </c>
      <c r="AD51">
        <v>0</v>
      </c>
      <c r="AE51">
        <v>1</v>
      </c>
      <c r="AF51">
        <v>0</v>
      </c>
      <c r="AG51">
        <f>IF(tbl_HR_Data[[#This Row],[Gender]]="Male",1,0)</f>
        <v>1</v>
      </c>
      <c r="AH51" cm="1">
        <f t="array" ref="AH51">_xlfn.SWITCH(tbl_HR_Data[[#This Row],[BusinessTravel]], "Non-Travel", 0, "Travel_Rarely", 1, "Travel_Frequently", 2)</f>
        <v>1</v>
      </c>
      <c r="AI51" cm="1">
        <f t="array" ref="AI51">_xlfn.SWITCH(tbl_HR_Data[[#This Row],[MaritalStatus]],"Single",0,"Married",1,"Divorced",2)</f>
        <v>1</v>
      </c>
      <c r="AJ51">
        <f>IF(tbl_HR_Data[[#This Row],[OverTime]]=1,1,0)</f>
        <v>0</v>
      </c>
      <c r="AK51">
        <f>IF(tbl_HR_Data[[#This Row],[DistanceFromHome]]&gt;15,1,0)</f>
        <v>0</v>
      </c>
      <c r="AL51">
        <f>IF(tbl_HR_Data[[#This Row],[JobSatisfaction]]&lt;=2,1,0)</f>
        <v>0</v>
      </c>
      <c r="AM51">
        <f>IF(tbl_HR_Data[[#This Row],[MonthlyIncome]]&lt;$AT$2,1,0)</f>
        <v>1</v>
      </c>
      <c r="AN51">
        <f>IF(tbl_HR_Data[[#This Row],[Travel_Code]]=2,1,0)</f>
        <v>0</v>
      </c>
      <c r="AO51">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51" s="15">
        <f>tbl_HR_Data[[#This Row],[Risk_Score_Raw]] / SUM(Logic_Parameters!$B$2:$B$6)</f>
        <v>0.22374939857982484</v>
      </c>
      <c r="AQ51" s="16" t="str" cm="1">
        <f t="array" ref="AQ51">_xlfn.IFS(tbl_HR_Data[[#This Row],[Attrition_Risk_Percentage]] &gt;= 0.75, "Critical",tbl_HR_Data[ [#This Row],[Attrition_Risk_Percentage] ]&gt;= 0.5, "High",tbl_HR_Data[[#This Row],[Attrition_Risk_Percentage]] &gt;= 0.25, "Medium",TRUE, "Low")</f>
        <v>Low</v>
      </c>
      <c r="AR51" s="16" cm="1">
        <f t="array" ref="AR51">IFERROR(_xlfn.IFS(tbl_HR_Data[[#This Row],[Risk_Category]]="Critical",tbl_HR_Data[[#This Row],[MonthlyIncome]]*1.5,tbl_HR_Data[[#This Row],[Risk_Category]]="High",tbl_HR_Data[[#This Row],[MonthlyIncome]]*1.5),0)</f>
        <v>0</v>
      </c>
    </row>
    <row r="52" spans="1:44" x14ac:dyDescent="0.35">
      <c r="A52" t="s">
        <v>903</v>
      </c>
      <c r="B52">
        <v>48</v>
      </c>
      <c r="C52" t="s">
        <v>31</v>
      </c>
      <c r="D52">
        <v>626</v>
      </c>
      <c r="E52" t="s">
        <v>38</v>
      </c>
      <c r="F52">
        <v>1</v>
      </c>
      <c r="G52">
        <v>2</v>
      </c>
      <c r="H52" t="s">
        <v>33</v>
      </c>
      <c r="I52">
        <v>1</v>
      </c>
      <c r="J52" t="s">
        <v>39</v>
      </c>
      <c r="K52">
        <v>98</v>
      </c>
      <c r="L52">
        <v>2</v>
      </c>
      <c r="M52">
        <v>3</v>
      </c>
      <c r="N52" t="s">
        <v>43</v>
      </c>
      <c r="O52">
        <v>3</v>
      </c>
      <c r="P52" t="s">
        <v>36</v>
      </c>
      <c r="Q52">
        <v>5381</v>
      </c>
      <c r="R52">
        <v>19294</v>
      </c>
      <c r="S52">
        <v>9</v>
      </c>
      <c r="T52">
        <v>1</v>
      </c>
      <c r="U52" s="17">
        <v>0.13</v>
      </c>
      <c r="V52">
        <v>3</v>
      </c>
      <c r="W52">
        <v>4</v>
      </c>
      <c r="X52">
        <v>0</v>
      </c>
      <c r="Y52">
        <v>23</v>
      </c>
      <c r="Z52">
        <v>2</v>
      </c>
      <c r="AA52">
        <v>3</v>
      </c>
      <c r="AB52">
        <v>1</v>
      </c>
      <c r="AC52">
        <v>0</v>
      </c>
      <c r="AD52">
        <v>0</v>
      </c>
      <c r="AE52">
        <v>0</v>
      </c>
      <c r="AF52">
        <v>1</v>
      </c>
      <c r="AG52">
        <f>IF(tbl_HR_Data[[#This Row],[Gender]]="Male",1,0)</f>
        <v>1</v>
      </c>
      <c r="AH52" cm="1">
        <f t="array" ref="AH52">_xlfn.SWITCH(tbl_HR_Data[[#This Row],[BusinessTravel]], "Non-Travel", 0, "Travel_Rarely", 1, "Travel_Frequently", 2)</f>
        <v>1</v>
      </c>
      <c r="AI52" cm="1">
        <f t="array" ref="AI52">_xlfn.SWITCH(tbl_HR_Data[[#This Row],[MaritalStatus]],"Single",0,"Married",1,"Divorced",2)</f>
        <v>0</v>
      </c>
      <c r="AJ52">
        <f>IF(tbl_HR_Data[[#This Row],[OverTime]]=1,1,0)</f>
        <v>1</v>
      </c>
      <c r="AK52">
        <f>IF(tbl_HR_Data[[#This Row],[DistanceFromHome]]&gt;15,1,0)</f>
        <v>0</v>
      </c>
      <c r="AL52">
        <f>IF(tbl_HR_Data[[#This Row],[JobSatisfaction]]&lt;=2,1,0)</f>
        <v>0</v>
      </c>
      <c r="AM52">
        <f>IF(tbl_HR_Data[[#This Row],[MonthlyIncome]]&lt;$AT$2,1,0)</f>
        <v>0</v>
      </c>
      <c r="AN52">
        <f>IF(tbl_HR_Data[[#This Row],[Travel_Code]]=2,1,0)</f>
        <v>0</v>
      </c>
      <c r="AO52">
        <f>(tbl_HR_Data[[#This Row],[Flag_OT]] * Logic_Parameters!$B$2) +
 (tbl_HR_Data[[#This Row],[Flag_Travel]] * Logic_Parameters!$B$3) +
 (tbl_HR_Data[[#This Row],[Flag_Satisfaction]] * Logic_Parameters!$B$4) +
 (tbl_HR_Data[[#This Row],[Flag_Distance]]* Logic_Parameters!$B$5) +
 (tbl_HR_Data[[#This Row],[Flag_Income]] * Logic_Parameters!$B$6)</f>
        <v>10</v>
      </c>
      <c r="AP52" s="15">
        <f>tbl_HR_Data[[#This Row],[Risk_Score_Raw]] / SUM(Logic_Parameters!$B$2:$B$6)</f>
        <v>0.3445251318258073</v>
      </c>
      <c r="AQ52" s="16" t="str" cm="1">
        <f t="array" ref="AQ52">_xlfn.IFS(tbl_HR_Data[[#This Row],[Attrition_Risk_Percentage]] &gt;= 0.75, "Critical",tbl_HR_Data[ [#This Row],[Attrition_Risk_Percentage] ]&gt;= 0.5, "High",tbl_HR_Data[[#This Row],[Attrition_Risk_Percentage]] &gt;= 0.25, "Medium",TRUE, "Low")</f>
        <v>Medium</v>
      </c>
      <c r="AR52" s="16" cm="1">
        <f t="array" ref="AR52">IFERROR(_xlfn.IFS(tbl_HR_Data[[#This Row],[Risk_Category]]="Critical",tbl_HR_Data[[#This Row],[MonthlyIncome]]*1.5,tbl_HR_Data[[#This Row],[Risk_Category]]="High",tbl_HR_Data[[#This Row],[MonthlyIncome]]*1.5),0)</f>
        <v>0</v>
      </c>
    </row>
    <row r="53" spans="1:44" x14ac:dyDescent="0.35">
      <c r="A53" t="s">
        <v>1243</v>
      </c>
      <c r="B53">
        <v>28</v>
      </c>
      <c r="C53" t="s">
        <v>31</v>
      </c>
      <c r="D53">
        <v>1434</v>
      </c>
      <c r="E53" t="s">
        <v>38</v>
      </c>
      <c r="F53">
        <v>5</v>
      </c>
      <c r="G53">
        <v>4</v>
      </c>
      <c r="H53" t="s">
        <v>52</v>
      </c>
      <c r="I53">
        <v>3</v>
      </c>
      <c r="J53" t="s">
        <v>39</v>
      </c>
      <c r="K53">
        <v>50</v>
      </c>
      <c r="L53">
        <v>3</v>
      </c>
      <c r="M53">
        <v>1</v>
      </c>
      <c r="N53" t="s">
        <v>43</v>
      </c>
      <c r="O53">
        <v>3</v>
      </c>
      <c r="P53" t="s">
        <v>36</v>
      </c>
      <c r="Q53">
        <v>3441</v>
      </c>
      <c r="R53">
        <v>11179</v>
      </c>
      <c r="S53">
        <v>1</v>
      </c>
      <c r="T53">
        <v>1</v>
      </c>
      <c r="U53" s="17">
        <v>0.13</v>
      </c>
      <c r="V53">
        <v>3</v>
      </c>
      <c r="W53">
        <v>3</v>
      </c>
      <c r="X53">
        <v>0</v>
      </c>
      <c r="Y53">
        <v>2</v>
      </c>
      <c r="Z53">
        <v>3</v>
      </c>
      <c r="AA53">
        <v>2</v>
      </c>
      <c r="AB53">
        <v>2</v>
      </c>
      <c r="AC53">
        <v>2</v>
      </c>
      <c r="AD53">
        <v>2</v>
      </c>
      <c r="AE53">
        <v>2</v>
      </c>
      <c r="AF53">
        <v>1</v>
      </c>
      <c r="AG53">
        <f>IF(tbl_HR_Data[[#This Row],[Gender]]="Male",1,0)</f>
        <v>1</v>
      </c>
      <c r="AH53" cm="1">
        <f t="array" ref="AH53">_xlfn.SWITCH(tbl_HR_Data[[#This Row],[BusinessTravel]], "Non-Travel", 0, "Travel_Rarely", 1, "Travel_Frequently", 2)</f>
        <v>1</v>
      </c>
      <c r="AI53" cm="1">
        <f t="array" ref="AI53">_xlfn.SWITCH(tbl_HR_Data[[#This Row],[MaritalStatus]],"Single",0,"Married",1,"Divorced",2)</f>
        <v>0</v>
      </c>
      <c r="AJ53">
        <f>IF(tbl_HR_Data[[#This Row],[OverTime]]=1,1,0)</f>
        <v>1</v>
      </c>
      <c r="AK53">
        <f>IF(tbl_HR_Data[[#This Row],[DistanceFromHome]]&gt;15,1,0)</f>
        <v>0</v>
      </c>
      <c r="AL53">
        <f>IF(tbl_HR_Data[[#This Row],[JobSatisfaction]]&lt;=2,1,0)</f>
        <v>0</v>
      </c>
      <c r="AM53">
        <f>IF(tbl_HR_Data[[#This Row],[MonthlyIncome]]&lt;$AT$2,1,0)</f>
        <v>1</v>
      </c>
      <c r="AN53">
        <f>IF(tbl_HR_Data[[#This Row],[Travel_Code]]=2,1,0)</f>
        <v>0</v>
      </c>
      <c r="AO53">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53" s="15">
        <f>tbl_HR_Data[[#This Row],[Risk_Score_Raw]] / SUM(Logic_Parameters!$B$2:$B$6)</f>
        <v>0.56827453040563214</v>
      </c>
      <c r="AQ53" s="16" t="str" cm="1">
        <f t="array" ref="AQ53">_xlfn.IFS(tbl_HR_Data[[#This Row],[Attrition_Risk_Percentage]] &gt;= 0.75, "Critical",tbl_HR_Data[ [#This Row],[Attrition_Risk_Percentage] ]&gt;= 0.5, "High",tbl_HR_Data[[#This Row],[Attrition_Risk_Percentage]] &gt;= 0.25, "Medium",TRUE, "Low")</f>
        <v>High</v>
      </c>
      <c r="AR53" s="16" cm="1">
        <f t="array" ref="AR53">IFERROR(_xlfn.IFS(tbl_HR_Data[[#This Row],[Risk_Category]]="Critical",tbl_HR_Data[[#This Row],[MonthlyIncome]]*1.5,tbl_HR_Data[[#This Row],[Risk_Category]]="High",tbl_HR_Data[[#This Row],[MonthlyIncome]]*1.5),0)</f>
        <v>5161.5</v>
      </c>
    </row>
    <row r="54" spans="1:44" x14ac:dyDescent="0.35">
      <c r="A54" t="s">
        <v>160</v>
      </c>
      <c r="B54">
        <v>44</v>
      </c>
      <c r="C54" t="s">
        <v>31</v>
      </c>
      <c r="D54">
        <v>1488</v>
      </c>
      <c r="E54" t="s">
        <v>32</v>
      </c>
      <c r="F54">
        <v>1</v>
      </c>
      <c r="G54">
        <v>5</v>
      </c>
      <c r="H54" t="s">
        <v>51</v>
      </c>
      <c r="I54">
        <v>2</v>
      </c>
      <c r="J54" t="s">
        <v>34</v>
      </c>
      <c r="K54">
        <v>75</v>
      </c>
      <c r="L54">
        <v>3</v>
      </c>
      <c r="M54">
        <v>2</v>
      </c>
      <c r="N54" t="s">
        <v>35</v>
      </c>
      <c r="O54">
        <v>1</v>
      </c>
      <c r="P54" t="s">
        <v>45</v>
      </c>
      <c r="Q54">
        <v>5454</v>
      </c>
      <c r="R54">
        <v>4009</v>
      </c>
      <c r="S54">
        <v>5</v>
      </c>
      <c r="T54">
        <v>1</v>
      </c>
      <c r="U54" s="17">
        <v>0.21</v>
      </c>
      <c r="V54">
        <v>4</v>
      </c>
      <c r="W54">
        <v>3</v>
      </c>
      <c r="X54">
        <v>1</v>
      </c>
      <c r="Y54">
        <v>9</v>
      </c>
      <c r="Z54">
        <v>2</v>
      </c>
      <c r="AA54">
        <v>2</v>
      </c>
      <c r="AB54">
        <v>4</v>
      </c>
      <c r="AC54">
        <v>3</v>
      </c>
      <c r="AD54">
        <v>1</v>
      </c>
      <c r="AE54">
        <v>3</v>
      </c>
      <c r="AF54">
        <v>0</v>
      </c>
      <c r="AG54">
        <f>IF(tbl_HR_Data[[#This Row],[Gender]]="Male",1,0)</f>
        <v>0</v>
      </c>
      <c r="AH54" cm="1">
        <f t="array" ref="AH54">_xlfn.SWITCH(tbl_HR_Data[[#This Row],[BusinessTravel]], "Non-Travel", 0, "Travel_Rarely", 1, "Travel_Frequently", 2)</f>
        <v>1</v>
      </c>
      <c r="AI54" cm="1">
        <f t="array" ref="AI54">_xlfn.SWITCH(tbl_HR_Data[[#This Row],[MaritalStatus]],"Single",0,"Married",1,"Divorced",2)</f>
        <v>2</v>
      </c>
      <c r="AJ54">
        <f>IF(tbl_HR_Data[[#This Row],[OverTime]]=1,1,0)</f>
        <v>1</v>
      </c>
      <c r="AK54">
        <f>IF(tbl_HR_Data[[#This Row],[DistanceFromHome]]&gt;15,1,0)</f>
        <v>0</v>
      </c>
      <c r="AL54">
        <f>IF(tbl_HR_Data[[#This Row],[JobSatisfaction]]&lt;=2,1,0)</f>
        <v>1</v>
      </c>
      <c r="AM54">
        <f>IF(tbl_HR_Data[[#This Row],[MonthlyIncome]]&lt;$AT$2,1,0)</f>
        <v>0</v>
      </c>
      <c r="AN54">
        <f>IF(tbl_HR_Data[[#This Row],[Travel_Code]]=2,1,0)</f>
        <v>0</v>
      </c>
      <c r="AO54">
        <f>(tbl_HR_Data[[#This Row],[Flag_OT]] * Logic_Parameters!$B$2) +
 (tbl_HR_Data[[#This Row],[Flag_Travel]] * Logic_Parameters!$B$3) +
 (tbl_HR_Data[[#This Row],[Flag_Satisfaction]] * Logic_Parameters!$B$4) +
 (tbl_HR_Data[[#This Row],[Flag_Distance]]* Logic_Parameters!$B$5) +
 (tbl_HR_Data[[#This Row],[Flag_Income]] * Logic_Parameters!$B$6)</f>
        <v>14.204533129978131</v>
      </c>
      <c r="AP54" s="15">
        <f>tbl_HR_Data[[#This Row],[Risk_Score_Raw]] / SUM(Logic_Parameters!$B$2:$B$6)</f>
        <v>0.48938186491297625</v>
      </c>
      <c r="AQ54" s="16" t="str" cm="1">
        <f t="array" ref="AQ54">_xlfn.IFS(tbl_HR_Data[[#This Row],[Attrition_Risk_Percentage]] &gt;= 0.75, "Critical",tbl_HR_Data[ [#This Row],[Attrition_Risk_Percentage] ]&gt;= 0.5, "High",tbl_HR_Data[[#This Row],[Attrition_Risk_Percentage]] &gt;= 0.25, "Medium",TRUE, "Low")</f>
        <v>Medium</v>
      </c>
      <c r="AR54" s="16" cm="1">
        <f t="array" ref="AR54">IFERROR(_xlfn.IFS(tbl_HR_Data[[#This Row],[Risk_Category]]="Critical",tbl_HR_Data[[#This Row],[MonthlyIncome]]*1.5,tbl_HR_Data[[#This Row],[Risk_Category]]="High",tbl_HR_Data[[#This Row],[MonthlyIncome]]*1.5),0)</f>
        <v>0</v>
      </c>
    </row>
    <row r="55" spans="1:44" x14ac:dyDescent="0.35">
      <c r="A55" t="s">
        <v>1292</v>
      </c>
      <c r="B55">
        <v>35</v>
      </c>
      <c r="C55" t="s">
        <v>1525</v>
      </c>
      <c r="D55">
        <v>1097</v>
      </c>
      <c r="E55" t="s">
        <v>38</v>
      </c>
      <c r="F55">
        <v>11</v>
      </c>
      <c r="G55">
        <v>2</v>
      </c>
      <c r="H55" t="s">
        <v>44</v>
      </c>
      <c r="I55">
        <v>3</v>
      </c>
      <c r="J55" t="s">
        <v>39</v>
      </c>
      <c r="K55">
        <v>79</v>
      </c>
      <c r="L55">
        <v>2</v>
      </c>
      <c r="M55">
        <v>3</v>
      </c>
      <c r="N55" t="s">
        <v>47</v>
      </c>
      <c r="O55">
        <v>1</v>
      </c>
      <c r="P55" t="s">
        <v>41</v>
      </c>
      <c r="Q55">
        <v>9884</v>
      </c>
      <c r="R55">
        <v>8302</v>
      </c>
      <c r="S55">
        <v>2</v>
      </c>
      <c r="T55">
        <v>1</v>
      </c>
      <c r="U55" s="17">
        <v>0.13</v>
      </c>
      <c r="V55">
        <v>3</v>
      </c>
      <c r="W55">
        <v>3</v>
      </c>
      <c r="X55">
        <v>1</v>
      </c>
      <c r="Y55">
        <v>10</v>
      </c>
      <c r="Z55">
        <v>3</v>
      </c>
      <c r="AA55">
        <v>3</v>
      </c>
      <c r="AB55">
        <v>4</v>
      </c>
      <c r="AC55">
        <v>0</v>
      </c>
      <c r="AD55">
        <v>2</v>
      </c>
      <c r="AE55">
        <v>3</v>
      </c>
      <c r="AF55">
        <v>0</v>
      </c>
      <c r="AG55">
        <f>IF(tbl_HR_Data[[#This Row],[Gender]]="Male",1,0)</f>
        <v>1</v>
      </c>
      <c r="AH55" cm="1">
        <f t="array" ref="AH55">_xlfn.SWITCH(tbl_HR_Data[[#This Row],[BusinessTravel]], "Non-Travel", 0, "Travel_Rarely", 1, "Travel_Frequently", 2)</f>
        <v>0</v>
      </c>
      <c r="AI55" cm="1">
        <f t="array" ref="AI55">_xlfn.SWITCH(tbl_HR_Data[[#This Row],[MaritalStatus]],"Single",0,"Married",1,"Divorced",2)</f>
        <v>1</v>
      </c>
      <c r="AJ55">
        <f>IF(tbl_HR_Data[[#This Row],[OverTime]]=1,1,0)</f>
        <v>1</v>
      </c>
      <c r="AK55">
        <f>IF(tbl_HR_Data[[#This Row],[DistanceFromHome]]&gt;15,1,0)</f>
        <v>0</v>
      </c>
      <c r="AL55">
        <f>IF(tbl_HR_Data[[#This Row],[JobSatisfaction]]&lt;=2,1,0)</f>
        <v>1</v>
      </c>
      <c r="AM55">
        <f>IF(tbl_HR_Data[[#This Row],[MonthlyIncome]]&lt;$AT$2,1,0)</f>
        <v>0</v>
      </c>
      <c r="AN55">
        <f>IF(tbl_HR_Data[[#This Row],[Travel_Code]]=2,1,0)</f>
        <v>0</v>
      </c>
      <c r="AO55">
        <f>(tbl_HR_Data[[#This Row],[Flag_OT]] * Logic_Parameters!$B$2) +
 (tbl_HR_Data[[#This Row],[Flag_Travel]] * Logic_Parameters!$B$3) +
 (tbl_HR_Data[[#This Row],[Flag_Satisfaction]] * Logic_Parameters!$B$4) +
 (tbl_HR_Data[[#This Row],[Flag_Distance]]* Logic_Parameters!$B$5) +
 (tbl_HR_Data[[#This Row],[Flag_Income]] * Logic_Parameters!$B$6)</f>
        <v>14.204533129978131</v>
      </c>
      <c r="AP55" s="15">
        <f>tbl_HR_Data[[#This Row],[Risk_Score_Raw]] / SUM(Logic_Parameters!$B$2:$B$6)</f>
        <v>0.48938186491297625</v>
      </c>
      <c r="AQ55" s="16" t="str" cm="1">
        <f t="array" ref="AQ55">_xlfn.IFS(tbl_HR_Data[[#This Row],[Attrition_Risk_Percentage]] &gt;= 0.75, "Critical",tbl_HR_Data[ [#This Row],[Attrition_Risk_Percentage] ]&gt;= 0.5, "High",tbl_HR_Data[[#This Row],[Attrition_Risk_Percentage]] &gt;= 0.25, "Medium",TRUE, "Low")</f>
        <v>Medium</v>
      </c>
      <c r="AR55" s="16" cm="1">
        <f t="array" ref="AR55">IFERROR(_xlfn.IFS(tbl_HR_Data[[#This Row],[Risk_Category]]="Critical",tbl_HR_Data[[#This Row],[MonthlyIncome]]*1.5,tbl_HR_Data[[#This Row],[Risk_Category]]="High",tbl_HR_Data[[#This Row],[MonthlyIncome]]*1.5),0)</f>
        <v>0</v>
      </c>
    </row>
    <row r="56" spans="1:44" x14ac:dyDescent="0.35">
      <c r="A56" t="s">
        <v>74</v>
      </c>
      <c r="B56">
        <v>26</v>
      </c>
      <c r="C56" t="s">
        <v>31</v>
      </c>
      <c r="D56">
        <v>1443</v>
      </c>
      <c r="E56" t="s">
        <v>32</v>
      </c>
      <c r="F56">
        <v>23</v>
      </c>
      <c r="G56">
        <v>3</v>
      </c>
      <c r="H56" t="s">
        <v>51</v>
      </c>
      <c r="I56">
        <v>3</v>
      </c>
      <c r="J56" t="s">
        <v>34</v>
      </c>
      <c r="K56">
        <v>47</v>
      </c>
      <c r="L56">
        <v>2</v>
      </c>
      <c r="M56">
        <v>2</v>
      </c>
      <c r="N56" t="s">
        <v>35</v>
      </c>
      <c r="O56">
        <v>4</v>
      </c>
      <c r="P56" t="s">
        <v>41</v>
      </c>
      <c r="Q56">
        <v>4157</v>
      </c>
      <c r="R56">
        <v>21436</v>
      </c>
      <c r="S56">
        <v>7</v>
      </c>
      <c r="T56">
        <v>1</v>
      </c>
      <c r="U56" s="17">
        <v>0.19</v>
      </c>
      <c r="V56">
        <v>3</v>
      </c>
      <c r="W56">
        <v>3</v>
      </c>
      <c r="X56">
        <v>1</v>
      </c>
      <c r="Y56">
        <v>5</v>
      </c>
      <c r="Z56">
        <v>2</v>
      </c>
      <c r="AA56">
        <v>2</v>
      </c>
      <c r="AB56">
        <v>2</v>
      </c>
      <c r="AC56">
        <v>2</v>
      </c>
      <c r="AD56">
        <v>0</v>
      </c>
      <c r="AE56">
        <v>0</v>
      </c>
      <c r="AF56">
        <v>0</v>
      </c>
      <c r="AG56">
        <f>IF(tbl_HR_Data[[#This Row],[Gender]]="Male",1,0)</f>
        <v>0</v>
      </c>
      <c r="AH56" cm="1">
        <f t="array" ref="AH56">_xlfn.SWITCH(tbl_HR_Data[[#This Row],[BusinessTravel]], "Non-Travel", 0, "Travel_Rarely", 1, "Travel_Frequently", 2)</f>
        <v>1</v>
      </c>
      <c r="AI56" cm="1">
        <f t="array" ref="AI56">_xlfn.SWITCH(tbl_HR_Data[[#This Row],[MaritalStatus]],"Single",0,"Married",1,"Divorced",2)</f>
        <v>1</v>
      </c>
      <c r="AJ56">
        <f>IF(tbl_HR_Data[[#This Row],[OverTime]]=1,1,0)</f>
        <v>1</v>
      </c>
      <c r="AK56">
        <f>IF(tbl_HR_Data[[#This Row],[DistanceFromHome]]&gt;15,1,0)</f>
        <v>1</v>
      </c>
      <c r="AL56">
        <f>IF(tbl_HR_Data[[#This Row],[JobSatisfaction]]&lt;=2,1,0)</f>
        <v>0</v>
      </c>
      <c r="AM56">
        <f>IF(tbl_HR_Data[[#This Row],[MonthlyIncome]]&lt;$AT$2,1,0)</f>
        <v>1</v>
      </c>
      <c r="AN56">
        <f>IF(tbl_HR_Data[[#This Row],[Travel_Code]]=2,1,0)</f>
        <v>0</v>
      </c>
      <c r="AO56">
        <f>(tbl_HR_Data[[#This Row],[Flag_OT]] * Logic_Parameters!$B$2) +
 (tbl_HR_Data[[#This Row],[Flag_Travel]] * Logic_Parameters!$B$3) +
 (tbl_HR_Data[[#This Row],[Flag_Satisfaction]] * Logic_Parameters!$B$4) +
 (tbl_HR_Data[[#This Row],[Flag_Distance]]* Logic_Parameters!$B$5) +
 (tbl_HR_Data[[#This Row],[Flag_Income]] * Logic_Parameters!$B$6)</f>
        <v>19.660535633296206</v>
      </c>
      <c r="AP56" s="15">
        <f>tbl_HR_Data[[#This Row],[Risk_Score_Raw]] / SUM(Logic_Parameters!$B$2:$B$6)</f>
        <v>0.67735486308273574</v>
      </c>
      <c r="AQ56" s="16" t="str" cm="1">
        <f t="array" ref="AQ56">_xlfn.IFS(tbl_HR_Data[[#This Row],[Attrition_Risk_Percentage]] &gt;= 0.75, "Critical",tbl_HR_Data[ [#This Row],[Attrition_Risk_Percentage] ]&gt;= 0.5, "High",tbl_HR_Data[[#This Row],[Attrition_Risk_Percentage]] &gt;= 0.25, "Medium",TRUE, "Low")</f>
        <v>High</v>
      </c>
      <c r="AR56" s="16" cm="1">
        <f t="array" ref="AR56">IFERROR(_xlfn.IFS(tbl_HR_Data[[#This Row],[Risk_Category]]="Critical",tbl_HR_Data[[#This Row],[MonthlyIncome]]*1.5,tbl_HR_Data[[#This Row],[Risk_Category]]="High",tbl_HR_Data[[#This Row],[MonthlyIncome]]*1.5),0)</f>
        <v>6235.5</v>
      </c>
    </row>
    <row r="57" spans="1:44" x14ac:dyDescent="0.35">
      <c r="A57" t="s">
        <v>848</v>
      </c>
      <c r="B57">
        <v>33</v>
      </c>
      <c r="C57" t="s">
        <v>37</v>
      </c>
      <c r="D57">
        <v>515</v>
      </c>
      <c r="E57" t="s">
        <v>38</v>
      </c>
      <c r="F57">
        <v>1</v>
      </c>
      <c r="G57">
        <v>2</v>
      </c>
      <c r="H57" t="s">
        <v>33</v>
      </c>
      <c r="I57">
        <v>1</v>
      </c>
      <c r="J57" t="s">
        <v>34</v>
      </c>
      <c r="K57">
        <v>98</v>
      </c>
      <c r="L57">
        <v>3</v>
      </c>
      <c r="M57">
        <v>3</v>
      </c>
      <c r="N57" t="s">
        <v>50</v>
      </c>
      <c r="O57">
        <v>4</v>
      </c>
      <c r="P57" t="s">
        <v>36</v>
      </c>
      <c r="Q57">
        <v>13458</v>
      </c>
      <c r="R57">
        <v>15146</v>
      </c>
      <c r="S57">
        <v>1</v>
      </c>
      <c r="T57">
        <v>1</v>
      </c>
      <c r="U57" s="17">
        <v>0.12</v>
      </c>
      <c r="V57">
        <v>3</v>
      </c>
      <c r="W57">
        <v>3</v>
      </c>
      <c r="X57">
        <v>0</v>
      </c>
      <c r="Y57">
        <v>15</v>
      </c>
      <c r="Z57">
        <v>1</v>
      </c>
      <c r="AA57">
        <v>3</v>
      </c>
      <c r="AB57">
        <v>15</v>
      </c>
      <c r="AC57">
        <v>14</v>
      </c>
      <c r="AD57">
        <v>8</v>
      </c>
      <c r="AE57">
        <v>12</v>
      </c>
      <c r="AF57">
        <v>0</v>
      </c>
      <c r="AG57">
        <f>IF(tbl_HR_Data[[#This Row],[Gender]]="Male",1,0)</f>
        <v>0</v>
      </c>
      <c r="AH57" cm="1">
        <f t="array" ref="AH57">_xlfn.SWITCH(tbl_HR_Data[[#This Row],[BusinessTravel]], "Non-Travel", 0, "Travel_Rarely", 1, "Travel_Frequently", 2)</f>
        <v>2</v>
      </c>
      <c r="AI57" cm="1">
        <f t="array" ref="AI57">_xlfn.SWITCH(tbl_HR_Data[[#This Row],[MaritalStatus]],"Single",0,"Married",1,"Divorced",2)</f>
        <v>0</v>
      </c>
      <c r="AJ57">
        <f>IF(tbl_HR_Data[[#This Row],[OverTime]]=1,1,0)</f>
        <v>1</v>
      </c>
      <c r="AK57">
        <f>IF(tbl_HR_Data[[#This Row],[DistanceFromHome]]&gt;15,1,0)</f>
        <v>0</v>
      </c>
      <c r="AL57">
        <f>IF(tbl_HR_Data[[#This Row],[JobSatisfaction]]&lt;=2,1,0)</f>
        <v>0</v>
      </c>
      <c r="AM57">
        <f>IF(tbl_HR_Data[[#This Row],[MonthlyIncome]]&lt;$AT$2,1,0)</f>
        <v>0</v>
      </c>
      <c r="AN57">
        <f>IF(tbl_HR_Data[[#This Row],[Travel_Code]]=2,1,0)</f>
        <v>1</v>
      </c>
      <c r="AO57">
        <f>(tbl_HR_Data[[#This Row],[Flag_OT]] * Logic_Parameters!$B$2) +
 (tbl_HR_Data[[#This Row],[Flag_Travel]] * Logic_Parameters!$B$3) +
 (tbl_HR_Data[[#This Row],[Flag_Satisfaction]] * Logic_Parameters!$B$4) +
 (tbl_HR_Data[[#This Row],[Flag_Distance]]* Logic_Parameters!$B$5) +
 (tbl_HR_Data[[#This Row],[Flag_Income]] * Logic_Parameters!$B$6)</f>
        <v>15.160389980490176</v>
      </c>
      <c r="AP57" s="15">
        <f>tbl_HR_Data[[#This Row],[Risk_Score_Raw]] / SUM(Logic_Parameters!$B$2:$B$6)</f>
        <v>0.52231353565590266</v>
      </c>
      <c r="AQ57" s="16" t="str" cm="1">
        <f t="array" ref="AQ57">_xlfn.IFS(tbl_HR_Data[[#This Row],[Attrition_Risk_Percentage]] &gt;= 0.75, "Critical",tbl_HR_Data[ [#This Row],[Attrition_Risk_Percentage] ]&gt;= 0.5, "High",tbl_HR_Data[[#This Row],[Attrition_Risk_Percentage]] &gt;= 0.25, "Medium",TRUE, "Low")</f>
        <v>High</v>
      </c>
      <c r="AR57" s="16" cm="1">
        <f t="array" ref="AR57">IFERROR(_xlfn.IFS(tbl_HR_Data[[#This Row],[Risk_Category]]="Critical",tbl_HR_Data[[#This Row],[MonthlyIncome]]*1.5,tbl_HR_Data[[#This Row],[Risk_Category]]="High",tbl_HR_Data[[#This Row],[MonthlyIncome]]*1.5),0)</f>
        <v>20187</v>
      </c>
    </row>
    <row r="58" spans="1:44" x14ac:dyDescent="0.35">
      <c r="A58" t="s">
        <v>904</v>
      </c>
      <c r="B58">
        <v>35</v>
      </c>
      <c r="C58" t="s">
        <v>37</v>
      </c>
      <c r="D58">
        <v>853</v>
      </c>
      <c r="E58" t="s">
        <v>32</v>
      </c>
      <c r="F58">
        <v>18</v>
      </c>
      <c r="G58">
        <v>5</v>
      </c>
      <c r="H58" t="s">
        <v>33</v>
      </c>
      <c r="I58">
        <v>2</v>
      </c>
      <c r="J58" t="s">
        <v>39</v>
      </c>
      <c r="K58">
        <v>71</v>
      </c>
      <c r="L58">
        <v>3</v>
      </c>
      <c r="M58">
        <v>3</v>
      </c>
      <c r="N58" t="s">
        <v>35</v>
      </c>
      <c r="O58">
        <v>1</v>
      </c>
      <c r="P58" t="s">
        <v>41</v>
      </c>
      <c r="Q58">
        <v>9069</v>
      </c>
      <c r="R58">
        <v>11031</v>
      </c>
      <c r="S58">
        <v>1</v>
      </c>
      <c r="T58">
        <v>0</v>
      </c>
      <c r="U58" s="17">
        <v>0.22</v>
      </c>
      <c r="V58">
        <v>4</v>
      </c>
      <c r="W58">
        <v>4</v>
      </c>
      <c r="X58">
        <v>1</v>
      </c>
      <c r="Y58">
        <v>9</v>
      </c>
      <c r="Z58">
        <v>3</v>
      </c>
      <c r="AA58">
        <v>2</v>
      </c>
      <c r="AB58">
        <v>9</v>
      </c>
      <c r="AC58">
        <v>8</v>
      </c>
      <c r="AD58">
        <v>1</v>
      </c>
      <c r="AE58">
        <v>8</v>
      </c>
      <c r="AF58">
        <v>0</v>
      </c>
      <c r="AG58">
        <f>IF(tbl_HR_Data[[#This Row],[Gender]]="Male",1,0)</f>
        <v>1</v>
      </c>
      <c r="AH58" cm="1">
        <f t="array" ref="AH58">_xlfn.SWITCH(tbl_HR_Data[[#This Row],[BusinessTravel]], "Non-Travel", 0, "Travel_Rarely", 1, "Travel_Frequently", 2)</f>
        <v>2</v>
      </c>
      <c r="AI58" cm="1">
        <f t="array" ref="AI58">_xlfn.SWITCH(tbl_HR_Data[[#This Row],[MaritalStatus]],"Single",0,"Married",1,"Divorced",2)</f>
        <v>1</v>
      </c>
      <c r="AJ58">
        <f>IF(tbl_HR_Data[[#This Row],[OverTime]]=1,1,0)</f>
        <v>0</v>
      </c>
      <c r="AK58">
        <f>IF(tbl_HR_Data[[#This Row],[DistanceFromHome]]&gt;15,1,0)</f>
        <v>1</v>
      </c>
      <c r="AL58">
        <f>IF(tbl_HR_Data[[#This Row],[JobSatisfaction]]&lt;=2,1,0)</f>
        <v>1</v>
      </c>
      <c r="AM58">
        <f>IF(tbl_HR_Data[[#This Row],[MonthlyIncome]]&lt;$AT$2,1,0)</f>
        <v>0</v>
      </c>
      <c r="AN58">
        <f>IF(tbl_HR_Data[[#This Row],[Travel_Code]]=2,1,0)</f>
        <v>1</v>
      </c>
      <c r="AO58">
        <f>(tbl_HR_Data[[#This Row],[Flag_OT]] * Logic_Parameters!$B$2) +
 (tbl_HR_Data[[#This Row],[Flag_Travel]] * Logic_Parameters!$B$3) +
 (tbl_HR_Data[[#This Row],[Flag_Satisfaction]] * Logic_Parameters!$B$4) +
 (tbl_HR_Data[[#This Row],[Flag_Distance]]* Logic_Parameters!$B$5) +
 (tbl_HR_Data[[#This Row],[Flag_Income]] * Logic_Parameters!$B$6)</f>
        <v>12.531029806343685</v>
      </c>
      <c r="AP58" s="15">
        <f>tbl_HR_Data[[#This Row],[Risk_Score_Raw]] / SUM(Logic_Parameters!$B$2:$B$6)</f>
        <v>0.43172546959436786</v>
      </c>
      <c r="AQ58" s="16" t="str" cm="1">
        <f t="array" ref="AQ58">_xlfn.IFS(tbl_HR_Data[[#This Row],[Attrition_Risk_Percentage]] &gt;= 0.75, "Critical",tbl_HR_Data[ [#This Row],[Attrition_Risk_Percentage] ]&gt;= 0.5, "High",tbl_HR_Data[[#This Row],[Attrition_Risk_Percentage]] &gt;= 0.25, "Medium",TRUE, "Low")</f>
        <v>Medium</v>
      </c>
      <c r="AR58" s="16" cm="1">
        <f t="array" ref="AR58">IFERROR(_xlfn.IFS(tbl_HR_Data[[#This Row],[Risk_Category]]="Critical",tbl_HR_Data[[#This Row],[MonthlyIncome]]*1.5,tbl_HR_Data[[#This Row],[Risk_Category]]="High",tbl_HR_Data[[#This Row],[MonthlyIncome]]*1.5),0)</f>
        <v>0</v>
      </c>
    </row>
    <row r="59" spans="1:44" x14ac:dyDescent="0.35">
      <c r="A59" t="s">
        <v>337</v>
      </c>
      <c r="B59">
        <v>35</v>
      </c>
      <c r="C59" t="s">
        <v>31</v>
      </c>
      <c r="D59">
        <v>1142</v>
      </c>
      <c r="E59" t="s">
        <v>38</v>
      </c>
      <c r="F59">
        <v>23</v>
      </c>
      <c r="G59">
        <v>4</v>
      </c>
      <c r="H59" t="s">
        <v>44</v>
      </c>
      <c r="I59">
        <v>3</v>
      </c>
      <c r="J59" t="s">
        <v>34</v>
      </c>
      <c r="K59">
        <v>30</v>
      </c>
      <c r="L59">
        <v>3</v>
      </c>
      <c r="M59">
        <v>1</v>
      </c>
      <c r="N59" t="s">
        <v>43</v>
      </c>
      <c r="O59">
        <v>1</v>
      </c>
      <c r="P59" t="s">
        <v>41</v>
      </c>
      <c r="Q59">
        <v>4014</v>
      </c>
      <c r="R59">
        <v>16002</v>
      </c>
      <c r="S59">
        <v>3</v>
      </c>
      <c r="T59">
        <v>1</v>
      </c>
      <c r="U59" s="17">
        <v>0.15</v>
      </c>
      <c r="V59">
        <v>3</v>
      </c>
      <c r="W59">
        <v>3</v>
      </c>
      <c r="X59">
        <v>1</v>
      </c>
      <c r="Y59">
        <v>4</v>
      </c>
      <c r="Z59">
        <v>3</v>
      </c>
      <c r="AA59">
        <v>3</v>
      </c>
      <c r="AB59">
        <v>2</v>
      </c>
      <c r="AC59">
        <v>2</v>
      </c>
      <c r="AD59">
        <v>2</v>
      </c>
      <c r="AE59">
        <v>2</v>
      </c>
      <c r="AF59">
        <v>0</v>
      </c>
      <c r="AG59">
        <f>IF(tbl_HR_Data[[#This Row],[Gender]]="Male",1,0)</f>
        <v>0</v>
      </c>
      <c r="AH59" cm="1">
        <f t="array" ref="AH59">_xlfn.SWITCH(tbl_HR_Data[[#This Row],[BusinessTravel]], "Non-Travel", 0, "Travel_Rarely", 1, "Travel_Frequently", 2)</f>
        <v>1</v>
      </c>
      <c r="AI59" cm="1">
        <f t="array" ref="AI59">_xlfn.SWITCH(tbl_HR_Data[[#This Row],[MaritalStatus]],"Single",0,"Married",1,"Divorced",2)</f>
        <v>1</v>
      </c>
      <c r="AJ59">
        <f>IF(tbl_HR_Data[[#This Row],[OverTime]]=1,1,0)</f>
        <v>1</v>
      </c>
      <c r="AK59">
        <f>IF(tbl_HR_Data[[#This Row],[DistanceFromHome]]&gt;15,1,0)</f>
        <v>1</v>
      </c>
      <c r="AL59">
        <f>IF(tbl_HR_Data[[#This Row],[JobSatisfaction]]&lt;=2,1,0)</f>
        <v>1</v>
      </c>
      <c r="AM59">
        <f>IF(tbl_HR_Data[[#This Row],[MonthlyIncome]]&lt;$AT$2,1,0)</f>
        <v>1</v>
      </c>
      <c r="AN59">
        <f>IF(tbl_HR_Data[[#This Row],[Travel_Code]]=2,1,0)</f>
        <v>0</v>
      </c>
      <c r="AO59">
        <f>(tbl_HR_Data[[#This Row],[Flag_OT]] * Logic_Parameters!$B$2) +
 (tbl_HR_Data[[#This Row],[Flag_Travel]] * Logic_Parameters!$B$3) +
 (tbl_HR_Data[[#This Row],[Flag_Satisfaction]] * Logic_Parameters!$B$4) +
 (tbl_HR_Data[[#This Row],[Flag_Distance]]* Logic_Parameters!$B$5) +
 (tbl_HR_Data[[#This Row],[Flag_Income]] * Logic_Parameters!$B$6)</f>
        <v>23.865068763274337</v>
      </c>
      <c r="AP59" s="15">
        <f>tbl_HR_Data[[#This Row],[Risk_Score_Raw]] / SUM(Logic_Parameters!$B$2:$B$6)</f>
        <v>0.82221159616990469</v>
      </c>
      <c r="AQ59" s="16" t="str" cm="1">
        <f t="array" ref="AQ59">_xlfn.IFS(tbl_HR_Data[[#This Row],[Attrition_Risk_Percentage]] &gt;= 0.75, "Critical",tbl_HR_Data[ [#This Row],[Attrition_Risk_Percentage] ]&gt;= 0.5, "High",tbl_HR_Data[[#This Row],[Attrition_Risk_Percentage]] &gt;= 0.25, "Medium",TRUE, "Low")</f>
        <v>Critical</v>
      </c>
      <c r="AR59" s="16" cm="1">
        <f t="array" ref="AR59">IFERROR(_xlfn.IFS(tbl_HR_Data[[#This Row],[Risk_Category]]="Critical",tbl_HR_Data[[#This Row],[MonthlyIncome]]*1.5,tbl_HR_Data[[#This Row],[Risk_Category]]="High",tbl_HR_Data[[#This Row],[MonthlyIncome]]*1.5),0)</f>
        <v>6021</v>
      </c>
    </row>
    <row r="60" spans="1:44" x14ac:dyDescent="0.35">
      <c r="A60" t="s">
        <v>997</v>
      </c>
      <c r="B60">
        <v>31</v>
      </c>
      <c r="C60" t="s">
        <v>31</v>
      </c>
      <c r="D60">
        <v>655</v>
      </c>
      <c r="E60" t="s">
        <v>38</v>
      </c>
      <c r="F60">
        <v>7</v>
      </c>
      <c r="G60">
        <v>4</v>
      </c>
      <c r="H60" t="s">
        <v>33</v>
      </c>
      <c r="I60">
        <v>4</v>
      </c>
      <c r="J60" t="s">
        <v>39</v>
      </c>
      <c r="K60">
        <v>48</v>
      </c>
      <c r="L60">
        <v>3</v>
      </c>
      <c r="M60">
        <v>2</v>
      </c>
      <c r="N60" t="s">
        <v>43</v>
      </c>
      <c r="O60">
        <v>4</v>
      </c>
      <c r="P60" t="s">
        <v>45</v>
      </c>
      <c r="Q60">
        <v>5915</v>
      </c>
      <c r="R60">
        <v>9528</v>
      </c>
      <c r="S60">
        <v>3</v>
      </c>
      <c r="T60">
        <v>0</v>
      </c>
      <c r="U60" s="17">
        <v>0.22</v>
      </c>
      <c r="V60">
        <v>4</v>
      </c>
      <c r="W60">
        <v>4</v>
      </c>
      <c r="X60">
        <v>1</v>
      </c>
      <c r="Y60">
        <v>10</v>
      </c>
      <c r="Z60">
        <v>3</v>
      </c>
      <c r="AA60">
        <v>2</v>
      </c>
      <c r="AB60">
        <v>7</v>
      </c>
      <c r="AC60">
        <v>7</v>
      </c>
      <c r="AD60">
        <v>1</v>
      </c>
      <c r="AE60">
        <v>7</v>
      </c>
      <c r="AF60">
        <v>0</v>
      </c>
      <c r="AG60">
        <f>IF(tbl_HR_Data[[#This Row],[Gender]]="Male",1,0)</f>
        <v>1</v>
      </c>
      <c r="AH60" cm="1">
        <f t="array" ref="AH60">_xlfn.SWITCH(tbl_HR_Data[[#This Row],[BusinessTravel]], "Non-Travel", 0, "Travel_Rarely", 1, "Travel_Frequently", 2)</f>
        <v>1</v>
      </c>
      <c r="AI60" cm="1">
        <f t="array" ref="AI60">_xlfn.SWITCH(tbl_HR_Data[[#This Row],[MaritalStatus]],"Single",0,"Married",1,"Divorced",2)</f>
        <v>2</v>
      </c>
      <c r="AJ60">
        <f>IF(tbl_HR_Data[[#This Row],[OverTime]]=1,1,0)</f>
        <v>0</v>
      </c>
      <c r="AK60">
        <f>IF(tbl_HR_Data[[#This Row],[DistanceFromHome]]&gt;15,1,0)</f>
        <v>0</v>
      </c>
      <c r="AL60">
        <f>IF(tbl_HR_Data[[#This Row],[JobSatisfaction]]&lt;=2,1,0)</f>
        <v>0</v>
      </c>
      <c r="AM60">
        <f>IF(tbl_HR_Data[[#This Row],[MonthlyIncome]]&lt;$AT$2,1,0)</f>
        <v>0</v>
      </c>
      <c r="AN60">
        <f>IF(tbl_HR_Data[[#This Row],[Travel_Code]]=2,1,0)</f>
        <v>0</v>
      </c>
      <c r="AO60">
        <f>(tbl_HR_Data[[#This Row],[Flag_OT]] * Logic_Parameters!$B$2) +
 (tbl_HR_Data[[#This Row],[Flag_Travel]] * Logic_Parameters!$B$3) +
 (tbl_HR_Data[[#This Row],[Flag_Satisfaction]] * Logic_Parameters!$B$4) +
 (tbl_HR_Data[[#This Row],[Flag_Distance]]* Logic_Parameters!$B$5) +
 (tbl_HR_Data[[#This Row],[Flag_Income]] * Logic_Parameters!$B$6)</f>
        <v>0</v>
      </c>
      <c r="AP60" s="15">
        <f>tbl_HR_Data[[#This Row],[Risk_Score_Raw]] / SUM(Logic_Parameters!$B$2:$B$6)</f>
        <v>0</v>
      </c>
      <c r="AQ60" s="16" t="str" cm="1">
        <f t="array" ref="AQ60">_xlfn.IFS(tbl_HR_Data[[#This Row],[Attrition_Risk_Percentage]] &gt;= 0.75, "Critical",tbl_HR_Data[ [#This Row],[Attrition_Risk_Percentage] ]&gt;= 0.5, "High",tbl_HR_Data[[#This Row],[Attrition_Risk_Percentage]] &gt;= 0.25, "Medium",TRUE, "Low")</f>
        <v>Low</v>
      </c>
      <c r="AR60" s="16" cm="1">
        <f t="array" ref="AR60">IFERROR(_xlfn.IFS(tbl_HR_Data[[#This Row],[Risk_Category]]="Critical",tbl_HR_Data[[#This Row],[MonthlyIncome]]*1.5,tbl_HR_Data[[#This Row],[Risk_Category]]="High",tbl_HR_Data[[#This Row],[MonthlyIncome]]*1.5),0)</f>
        <v>0</v>
      </c>
    </row>
    <row r="61" spans="1:44" x14ac:dyDescent="0.35">
      <c r="A61" t="s">
        <v>1106</v>
      </c>
      <c r="B61">
        <v>37</v>
      </c>
      <c r="C61" t="s">
        <v>31</v>
      </c>
      <c r="D61">
        <v>1115</v>
      </c>
      <c r="E61" t="s">
        <v>38</v>
      </c>
      <c r="F61">
        <v>1</v>
      </c>
      <c r="G61">
        <v>4</v>
      </c>
      <c r="H61" t="s">
        <v>33</v>
      </c>
      <c r="I61">
        <v>1</v>
      </c>
      <c r="J61" t="s">
        <v>39</v>
      </c>
      <c r="K61">
        <v>51</v>
      </c>
      <c r="L61">
        <v>2</v>
      </c>
      <c r="M61">
        <v>2</v>
      </c>
      <c r="N61" t="s">
        <v>46</v>
      </c>
      <c r="O61">
        <v>3</v>
      </c>
      <c r="P61" t="s">
        <v>45</v>
      </c>
      <c r="Q61">
        <v>5993</v>
      </c>
      <c r="R61">
        <v>2689</v>
      </c>
      <c r="S61">
        <v>1</v>
      </c>
      <c r="T61">
        <v>0</v>
      </c>
      <c r="U61" s="17">
        <v>0.18</v>
      </c>
      <c r="V61">
        <v>3</v>
      </c>
      <c r="W61">
        <v>3</v>
      </c>
      <c r="X61">
        <v>1</v>
      </c>
      <c r="Y61">
        <v>7</v>
      </c>
      <c r="Z61">
        <v>2</v>
      </c>
      <c r="AA61">
        <v>4</v>
      </c>
      <c r="AB61">
        <v>7</v>
      </c>
      <c r="AC61">
        <v>5</v>
      </c>
      <c r="AD61">
        <v>0</v>
      </c>
      <c r="AE61">
        <v>7</v>
      </c>
      <c r="AF61">
        <v>0</v>
      </c>
      <c r="AG61">
        <f>IF(tbl_HR_Data[[#This Row],[Gender]]="Male",1,0)</f>
        <v>1</v>
      </c>
      <c r="AH61" cm="1">
        <f t="array" ref="AH61">_xlfn.SWITCH(tbl_HR_Data[[#This Row],[BusinessTravel]], "Non-Travel", 0, "Travel_Rarely", 1, "Travel_Frequently", 2)</f>
        <v>1</v>
      </c>
      <c r="AI61" cm="1">
        <f t="array" ref="AI61">_xlfn.SWITCH(tbl_HR_Data[[#This Row],[MaritalStatus]],"Single",0,"Married",1,"Divorced",2)</f>
        <v>2</v>
      </c>
      <c r="AJ61">
        <f>IF(tbl_HR_Data[[#This Row],[OverTime]]=1,1,0)</f>
        <v>0</v>
      </c>
      <c r="AK61">
        <f>IF(tbl_HR_Data[[#This Row],[DistanceFromHome]]&gt;15,1,0)</f>
        <v>0</v>
      </c>
      <c r="AL61">
        <f>IF(tbl_HR_Data[[#This Row],[JobSatisfaction]]&lt;=2,1,0)</f>
        <v>0</v>
      </c>
      <c r="AM61">
        <f>IF(tbl_HR_Data[[#This Row],[MonthlyIncome]]&lt;$AT$2,1,0)</f>
        <v>0</v>
      </c>
      <c r="AN61">
        <f>IF(tbl_HR_Data[[#This Row],[Travel_Code]]=2,1,0)</f>
        <v>0</v>
      </c>
      <c r="AO61">
        <f>(tbl_HR_Data[[#This Row],[Flag_OT]] * Logic_Parameters!$B$2) +
 (tbl_HR_Data[[#This Row],[Flag_Travel]] * Logic_Parameters!$B$3) +
 (tbl_HR_Data[[#This Row],[Flag_Satisfaction]] * Logic_Parameters!$B$4) +
 (tbl_HR_Data[[#This Row],[Flag_Distance]]* Logic_Parameters!$B$5) +
 (tbl_HR_Data[[#This Row],[Flag_Income]] * Logic_Parameters!$B$6)</f>
        <v>0</v>
      </c>
      <c r="AP61" s="15">
        <f>tbl_HR_Data[[#This Row],[Risk_Score_Raw]] / SUM(Logic_Parameters!$B$2:$B$6)</f>
        <v>0</v>
      </c>
      <c r="AQ61" s="16" t="str" cm="1">
        <f t="array" ref="AQ61">_xlfn.IFS(tbl_HR_Data[[#This Row],[Attrition_Risk_Percentage]] &gt;= 0.75, "Critical",tbl_HR_Data[ [#This Row],[Attrition_Risk_Percentage] ]&gt;= 0.5, "High",tbl_HR_Data[[#This Row],[Attrition_Risk_Percentage]] &gt;= 0.25, "Medium",TRUE, "Low")</f>
        <v>Low</v>
      </c>
      <c r="AR61" s="16" cm="1">
        <f t="array" ref="AR61">IFERROR(_xlfn.IFS(tbl_HR_Data[[#This Row],[Risk_Category]]="Critical",tbl_HR_Data[[#This Row],[MonthlyIncome]]*1.5,tbl_HR_Data[[#This Row],[Risk_Category]]="High",tbl_HR_Data[[#This Row],[MonthlyIncome]]*1.5),0)</f>
        <v>0</v>
      </c>
    </row>
    <row r="62" spans="1:44" x14ac:dyDescent="0.35">
      <c r="A62" t="s">
        <v>1255</v>
      </c>
      <c r="B62">
        <v>32</v>
      </c>
      <c r="C62" t="s">
        <v>31</v>
      </c>
      <c r="D62">
        <v>427</v>
      </c>
      <c r="E62" t="s">
        <v>38</v>
      </c>
      <c r="F62">
        <v>1</v>
      </c>
      <c r="G62">
        <v>3</v>
      </c>
      <c r="H62" t="s">
        <v>44</v>
      </c>
      <c r="I62">
        <v>1</v>
      </c>
      <c r="J62" t="s">
        <v>39</v>
      </c>
      <c r="K62">
        <v>33</v>
      </c>
      <c r="L62">
        <v>3</v>
      </c>
      <c r="M62">
        <v>2</v>
      </c>
      <c r="N62" t="s">
        <v>46</v>
      </c>
      <c r="O62">
        <v>4</v>
      </c>
      <c r="P62" t="s">
        <v>41</v>
      </c>
      <c r="Q62">
        <v>6162</v>
      </c>
      <c r="R62">
        <v>10877</v>
      </c>
      <c r="S62">
        <v>1</v>
      </c>
      <c r="T62">
        <v>1</v>
      </c>
      <c r="U62" s="17">
        <v>0.22</v>
      </c>
      <c r="V62">
        <v>4</v>
      </c>
      <c r="W62">
        <v>2</v>
      </c>
      <c r="X62">
        <v>1</v>
      </c>
      <c r="Y62">
        <v>9</v>
      </c>
      <c r="Z62">
        <v>3</v>
      </c>
      <c r="AA62">
        <v>3</v>
      </c>
      <c r="AB62">
        <v>9</v>
      </c>
      <c r="AC62">
        <v>8</v>
      </c>
      <c r="AD62">
        <v>7</v>
      </c>
      <c r="AE62">
        <v>8</v>
      </c>
      <c r="AF62">
        <v>0</v>
      </c>
      <c r="AG62">
        <f>IF(tbl_HR_Data[[#This Row],[Gender]]="Male",1,0)</f>
        <v>1</v>
      </c>
      <c r="AH62" cm="1">
        <f t="array" ref="AH62">_xlfn.SWITCH(tbl_HR_Data[[#This Row],[BusinessTravel]], "Non-Travel", 0, "Travel_Rarely", 1, "Travel_Frequently", 2)</f>
        <v>1</v>
      </c>
      <c r="AI62" cm="1">
        <f t="array" ref="AI62">_xlfn.SWITCH(tbl_HR_Data[[#This Row],[MaritalStatus]],"Single",0,"Married",1,"Divorced",2)</f>
        <v>1</v>
      </c>
      <c r="AJ62">
        <f>IF(tbl_HR_Data[[#This Row],[OverTime]]=1,1,0)</f>
        <v>1</v>
      </c>
      <c r="AK62">
        <f>IF(tbl_HR_Data[[#This Row],[DistanceFromHome]]&gt;15,1,0)</f>
        <v>0</v>
      </c>
      <c r="AL62">
        <f>IF(tbl_HR_Data[[#This Row],[JobSatisfaction]]&lt;=2,1,0)</f>
        <v>0</v>
      </c>
      <c r="AM62">
        <f>IF(tbl_HR_Data[[#This Row],[MonthlyIncome]]&lt;$AT$2,1,0)</f>
        <v>0</v>
      </c>
      <c r="AN62">
        <f>IF(tbl_HR_Data[[#This Row],[Travel_Code]]=2,1,0)</f>
        <v>0</v>
      </c>
      <c r="AO62">
        <f>(tbl_HR_Data[[#This Row],[Flag_OT]] * Logic_Parameters!$B$2) +
 (tbl_HR_Data[[#This Row],[Flag_Travel]] * Logic_Parameters!$B$3) +
 (tbl_HR_Data[[#This Row],[Flag_Satisfaction]] * Logic_Parameters!$B$4) +
 (tbl_HR_Data[[#This Row],[Flag_Distance]]* Logic_Parameters!$B$5) +
 (tbl_HR_Data[[#This Row],[Flag_Income]] * Logic_Parameters!$B$6)</f>
        <v>10</v>
      </c>
      <c r="AP62" s="15">
        <f>tbl_HR_Data[[#This Row],[Risk_Score_Raw]] / SUM(Logic_Parameters!$B$2:$B$6)</f>
        <v>0.3445251318258073</v>
      </c>
      <c r="AQ62" s="16" t="str" cm="1">
        <f t="array" ref="AQ62">_xlfn.IFS(tbl_HR_Data[[#This Row],[Attrition_Risk_Percentage]] &gt;= 0.75, "Critical",tbl_HR_Data[ [#This Row],[Attrition_Risk_Percentage] ]&gt;= 0.5, "High",tbl_HR_Data[[#This Row],[Attrition_Risk_Percentage]] &gt;= 0.25, "Medium",TRUE, "Low")</f>
        <v>Medium</v>
      </c>
      <c r="AR62" s="16" cm="1">
        <f t="array" ref="AR62">IFERROR(_xlfn.IFS(tbl_HR_Data[[#This Row],[Risk_Category]]="Critical",tbl_HR_Data[[#This Row],[MonthlyIncome]]*1.5,tbl_HR_Data[[#This Row],[Risk_Category]]="High",tbl_HR_Data[[#This Row],[MonthlyIncome]]*1.5),0)</f>
        <v>0</v>
      </c>
    </row>
    <row r="63" spans="1:44" x14ac:dyDescent="0.35">
      <c r="A63" t="s">
        <v>1360</v>
      </c>
      <c r="B63">
        <v>38</v>
      </c>
      <c r="C63" t="s">
        <v>37</v>
      </c>
      <c r="D63">
        <v>653</v>
      </c>
      <c r="E63" t="s">
        <v>38</v>
      </c>
      <c r="F63">
        <v>29</v>
      </c>
      <c r="G63">
        <v>5</v>
      </c>
      <c r="H63" t="s">
        <v>33</v>
      </c>
      <c r="I63">
        <v>4</v>
      </c>
      <c r="J63" t="s">
        <v>34</v>
      </c>
      <c r="K63">
        <v>50</v>
      </c>
      <c r="L63">
        <v>3</v>
      </c>
      <c r="M63">
        <v>2</v>
      </c>
      <c r="N63" t="s">
        <v>43</v>
      </c>
      <c r="O63">
        <v>4</v>
      </c>
      <c r="P63" t="s">
        <v>36</v>
      </c>
      <c r="Q63">
        <v>2406</v>
      </c>
      <c r="R63">
        <v>5456</v>
      </c>
      <c r="S63">
        <v>1</v>
      </c>
      <c r="T63">
        <v>0</v>
      </c>
      <c r="U63" s="17">
        <v>0.11</v>
      </c>
      <c r="V63">
        <v>3</v>
      </c>
      <c r="W63">
        <v>4</v>
      </c>
      <c r="X63">
        <v>0</v>
      </c>
      <c r="Y63">
        <v>10</v>
      </c>
      <c r="Z63">
        <v>2</v>
      </c>
      <c r="AA63">
        <v>3</v>
      </c>
      <c r="AB63">
        <v>10</v>
      </c>
      <c r="AC63">
        <v>3</v>
      </c>
      <c r="AD63">
        <v>9</v>
      </c>
      <c r="AE63">
        <v>9</v>
      </c>
      <c r="AF63">
        <v>0</v>
      </c>
      <c r="AG63">
        <f>IF(tbl_HR_Data[[#This Row],[Gender]]="Male",1,0)</f>
        <v>0</v>
      </c>
      <c r="AH63" cm="1">
        <f t="array" ref="AH63">_xlfn.SWITCH(tbl_HR_Data[[#This Row],[BusinessTravel]], "Non-Travel", 0, "Travel_Rarely", 1, "Travel_Frequently", 2)</f>
        <v>2</v>
      </c>
      <c r="AI63" cm="1">
        <f t="array" ref="AI63">_xlfn.SWITCH(tbl_HR_Data[[#This Row],[MaritalStatus]],"Single",0,"Married",1,"Divorced",2)</f>
        <v>0</v>
      </c>
      <c r="AJ63">
        <f>IF(tbl_HR_Data[[#This Row],[OverTime]]=1,1,0)</f>
        <v>0</v>
      </c>
      <c r="AK63">
        <f>IF(tbl_HR_Data[[#This Row],[DistanceFromHome]]&gt;15,1,0)</f>
        <v>1</v>
      </c>
      <c r="AL63">
        <f>IF(tbl_HR_Data[[#This Row],[JobSatisfaction]]&lt;=2,1,0)</f>
        <v>0</v>
      </c>
      <c r="AM63">
        <f>IF(tbl_HR_Data[[#This Row],[MonthlyIncome]]&lt;$AT$2,1,0)</f>
        <v>1</v>
      </c>
      <c r="AN63">
        <f>IF(tbl_HR_Data[[#This Row],[Travel_Code]]=2,1,0)</f>
        <v>1</v>
      </c>
      <c r="AO63">
        <f>(tbl_HR_Data[[#This Row],[Flag_OT]] * Logic_Parameters!$B$2) +
 (tbl_HR_Data[[#This Row],[Flag_Travel]] * Logic_Parameters!$B$3) +
 (tbl_HR_Data[[#This Row],[Flag_Satisfaction]] * Logic_Parameters!$B$4) +
 (tbl_HR_Data[[#This Row],[Flag_Distance]]* Logic_Parameters!$B$5) +
 (tbl_HR_Data[[#This Row],[Flag_Income]] * Logic_Parameters!$B$6)</f>
        <v>14.820925613786383</v>
      </c>
      <c r="AP63" s="15">
        <f>tbl_HR_Data[[#This Row],[Risk_Score_Raw]] / SUM(Logic_Parameters!$B$2:$B$6)</f>
        <v>0.51061813508702369</v>
      </c>
      <c r="AQ63" s="16" t="str" cm="1">
        <f t="array" ref="AQ63">_xlfn.IFS(tbl_HR_Data[[#This Row],[Attrition_Risk_Percentage]] &gt;= 0.75, "Critical",tbl_HR_Data[ [#This Row],[Attrition_Risk_Percentage] ]&gt;= 0.5, "High",tbl_HR_Data[[#This Row],[Attrition_Risk_Percentage]] &gt;= 0.25, "Medium",TRUE, "Low")</f>
        <v>High</v>
      </c>
      <c r="AR63" s="16" cm="1">
        <f t="array" ref="AR63">IFERROR(_xlfn.IFS(tbl_HR_Data[[#This Row],[Risk_Category]]="Critical",tbl_HR_Data[[#This Row],[MonthlyIncome]]*1.5,tbl_HR_Data[[#This Row],[Risk_Category]]="High",tbl_HR_Data[[#This Row],[MonthlyIncome]]*1.5),0)</f>
        <v>3609</v>
      </c>
    </row>
    <row r="64" spans="1:44" x14ac:dyDescent="0.35">
      <c r="A64" t="s">
        <v>448</v>
      </c>
      <c r="B64">
        <v>50</v>
      </c>
      <c r="C64" t="s">
        <v>31</v>
      </c>
      <c r="D64">
        <v>989</v>
      </c>
      <c r="E64" t="s">
        <v>38</v>
      </c>
      <c r="F64">
        <v>7</v>
      </c>
      <c r="G64">
        <v>2</v>
      </c>
      <c r="H64" t="s">
        <v>44</v>
      </c>
      <c r="I64">
        <v>2</v>
      </c>
      <c r="J64" t="s">
        <v>34</v>
      </c>
      <c r="K64">
        <v>43</v>
      </c>
      <c r="L64">
        <v>2</v>
      </c>
      <c r="M64">
        <v>5</v>
      </c>
      <c r="N64" t="s">
        <v>50</v>
      </c>
      <c r="O64">
        <v>3</v>
      </c>
      <c r="P64" t="s">
        <v>45</v>
      </c>
      <c r="Q64">
        <v>18740</v>
      </c>
      <c r="R64">
        <v>16701</v>
      </c>
      <c r="S64">
        <v>5</v>
      </c>
      <c r="T64">
        <v>1</v>
      </c>
      <c r="U64" s="17">
        <v>0.12</v>
      </c>
      <c r="V64">
        <v>3</v>
      </c>
      <c r="W64">
        <v>4</v>
      </c>
      <c r="X64">
        <v>1</v>
      </c>
      <c r="Y64">
        <v>29</v>
      </c>
      <c r="Z64">
        <v>2</v>
      </c>
      <c r="AA64">
        <v>2</v>
      </c>
      <c r="AB64">
        <v>27</v>
      </c>
      <c r="AC64">
        <v>3</v>
      </c>
      <c r="AD64">
        <v>13</v>
      </c>
      <c r="AE64">
        <v>8</v>
      </c>
      <c r="AF64">
        <v>0</v>
      </c>
      <c r="AG64">
        <f>IF(tbl_HR_Data[[#This Row],[Gender]]="Male",1,0)</f>
        <v>0</v>
      </c>
      <c r="AH64" cm="1">
        <f t="array" ref="AH64">_xlfn.SWITCH(tbl_HR_Data[[#This Row],[BusinessTravel]], "Non-Travel", 0, "Travel_Rarely", 1, "Travel_Frequently", 2)</f>
        <v>1</v>
      </c>
      <c r="AI64" cm="1">
        <f t="array" ref="AI64">_xlfn.SWITCH(tbl_HR_Data[[#This Row],[MaritalStatus]],"Single",0,"Married",1,"Divorced",2)</f>
        <v>2</v>
      </c>
      <c r="AJ64">
        <f>IF(tbl_HR_Data[[#This Row],[OverTime]]=1,1,0)</f>
        <v>1</v>
      </c>
      <c r="AK64">
        <f>IF(tbl_HR_Data[[#This Row],[DistanceFromHome]]&gt;15,1,0)</f>
        <v>0</v>
      </c>
      <c r="AL64">
        <f>IF(tbl_HR_Data[[#This Row],[JobSatisfaction]]&lt;=2,1,0)</f>
        <v>0</v>
      </c>
      <c r="AM64">
        <f>IF(tbl_HR_Data[[#This Row],[MonthlyIncome]]&lt;$AT$2,1,0)</f>
        <v>0</v>
      </c>
      <c r="AN64">
        <f>IF(tbl_HR_Data[[#This Row],[Travel_Code]]=2,1,0)</f>
        <v>0</v>
      </c>
      <c r="AO64">
        <f>(tbl_HR_Data[[#This Row],[Flag_OT]] * Logic_Parameters!$B$2) +
 (tbl_HR_Data[[#This Row],[Flag_Travel]] * Logic_Parameters!$B$3) +
 (tbl_HR_Data[[#This Row],[Flag_Satisfaction]] * Logic_Parameters!$B$4) +
 (tbl_HR_Data[[#This Row],[Flag_Distance]]* Logic_Parameters!$B$5) +
 (tbl_HR_Data[[#This Row],[Flag_Income]] * Logic_Parameters!$B$6)</f>
        <v>10</v>
      </c>
      <c r="AP64" s="15">
        <f>tbl_HR_Data[[#This Row],[Risk_Score_Raw]] / SUM(Logic_Parameters!$B$2:$B$6)</f>
        <v>0.3445251318258073</v>
      </c>
      <c r="AQ64" s="16" t="str" cm="1">
        <f t="array" ref="AQ64">_xlfn.IFS(tbl_HR_Data[[#This Row],[Attrition_Risk_Percentage]] &gt;= 0.75, "Critical",tbl_HR_Data[ [#This Row],[Attrition_Risk_Percentage] ]&gt;= 0.5, "High",tbl_HR_Data[[#This Row],[Attrition_Risk_Percentage]] &gt;= 0.25, "Medium",TRUE, "Low")</f>
        <v>Medium</v>
      </c>
      <c r="AR64" s="16" cm="1">
        <f t="array" ref="AR64">IFERROR(_xlfn.IFS(tbl_HR_Data[[#This Row],[Risk_Category]]="Critical",tbl_HR_Data[[#This Row],[MonthlyIncome]]*1.5,tbl_HR_Data[[#This Row],[Risk_Category]]="High",tbl_HR_Data[[#This Row],[MonthlyIncome]]*1.5),0)</f>
        <v>0</v>
      </c>
    </row>
    <row r="65" spans="1:44" x14ac:dyDescent="0.35">
      <c r="A65" t="s">
        <v>144</v>
      </c>
      <c r="B65">
        <v>59</v>
      </c>
      <c r="C65" t="s">
        <v>31</v>
      </c>
      <c r="D65">
        <v>1435</v>
      </c>
      <c r="E65" t="s">
        <v>32</v>
      </c>
      <c r="F65">
        <v>25</v>
      </c>
      <c r="G65">
        <v>3</v>
      </c>
      <c r="H65" t="s">
        <v>33</v>
      </c>
      <c r="I65">
        <v>1</v>
      </c>
      <c r="J65" t="s">
        <v>34</v>
      </c>
      <c r="K65">
        <v>99</v>
      </c>
      <c r="L65">
        <v>3</v>
      </c>
      <c r="M65">
        <v>3</v>
      </c>
      <c r="N65" t="s">
        <v>35</v>
      </c>
      <c r="O65">
        <v>1</v>
      </c>
      <c r="P65" t="s">
        <v>36</v>
      </c>
      <c r="Q65">
        <v>7637</v>
      </c>
      <c r="R65">
        <v>2354</v>
      </c>
      <c r="S65">
        <v>7</v>
      </c>
      <c r="T65">
        <v>0</v>
      </c>
      <c r="U65" s="17">
        <v>0.11</v>
      </c>
      <c r="V65">
        <v>3</v>
      </c>
      <c r="W65">
        <v>4</v>
      </c>
      <c r="X65">
        <v>0</v>
      </c>
      <c r="Y65">
        <v>28</v>
      </c>
      <c r="Z65">
        <v>3</v>
      </c>
      <c r="AA65">
        <v>2</v>
      </c>
      <c r="AB65">
        <v>21</v>
      </c>
      <c r="AC65">
        <v>16</v>
      </c>
      <c r="AD65">
        <v>7</v>
      </c>
      <c r="AE65">
        <v>9</v>
      </c>
      <c r="AF65">
        <v>0</v>
      </c>
      <c r="AG65">
        <f>IF(tbl_HR_Data[[#This Row],[Gender]]="Male",1,0)</f>
        <v>0</v>
      </c>
      <c r="AH65" cm="1">
        <f t="array" ref="AH65">_xlfn.SWITCH(tbl_HR_Data[[#This Row],[BusinessTravel]], "Non-Travel", 0, "Travel_Rarely", 1, "Travel_Frequently", 2)</f>
        <v>1</v>
      </c>
      <c r="AI65" cm="1">
        <f t="array" ref="AI65">_xlfn.SWITCH(tbl_HR_Data[[#This Row],[MaritalStatus]],"Single",0,"Married",1,"Divorced",2)</f>
        <v>0</v>
      </c>
      <c r="AJ65">
        <f>IF(tbl_HR_Data[[#This Row],[OverTime]]=1,1,0)</f>
        <v>0</v>
      </c>
      <c r="AK65">
        <f>IF(tbl_HR_Data[[#This Row],[DistanceFromHome]]&gt;15,1,0)</f>
        <v>1</v>
      </c>
      <c r="AL65">
        <f>IF(tbl_HR_Data[[#This Row],[JobSatisfaction]]&lt;=2,1,0)</f>
        <v>1</v>
      </c>
      <c r="AM65">
        <f>IF(tbl_HR_Data[[#This Row],[MonthlyIncome]]&lt;$AT$2,1,0)</f>
        <v>0</v>
      </c>
      <c r="AN65">
        <f>IF(tbl_HR_Data[[#This Row],[Travel_Code]]=2,1,0)</f>
        <v>0</v>
      </c>
      <c r="AO65">
        <f>(tbl_HR_Data[[#This Row],[Flag_OT]] * Logic_Parameters!$B$2) +
 (tbl_HR_Data[[#This Row],[Flag_Travel]] * Logic_Parameters!$B$3) +
 (tbl_HR_Data[[#This Row],[Flag_Satisfaction]] * Logic_Parameters!$B$4) +
 (tbl_HR_Data[[#This Row],[Flag_Distance]]* Logic_Parameters!$B$5) +
 (tbl_HR_Data[[#This Row],[Flag_Income]] * Logic_Parameters!$B$6)</f>
        <v>7.3706398258535089</v>
      </c>
      <c r="AP65" s="15">
        <f>tbl_HR_Data[[#This Row],[Risk_Score_Raw]] / SUM(Logic_Parameters!$B$2:$B$6)</f>
        <v>0.25393706576427255</v>
      </c>
      <c r="AQ65" s="16" t="str" cm="1">
        <f t="array" ref="AQ65">_xlfn.IFS(tbl_HR_Data[[#This Row],[Attrition_Risk_Percentage]] &gt;= 0.75, "Critical",tbl_HR_Data[ [#This Row],[Attrition_Risk_Percentage] ]&gt;= 0.5, "High",tbl_HR_Data[[#This Row],[Attrition_Risk_Percentage]] &gt;= 0.25, "Medium",TRUE, "Low")</f>
        <v>Medium</v>
      </c>
      <c r="AR65" s="16" cm="1">
        <f t="array" ref="AR65">IFERROR(_xlfn.IFS(tbl_HR_Data[[#This Row],[Risk_Category]]="Critical",tbl_HR_Data[[#This Row],[MonthlyIncome]]*1.5,tbl_HR_Data[[#This Row],[Risk_Category]]="High",tbl_HR_Data[[#This Row],[MonthlyIncome]]*1.5),0)</f>
        <v>0</v>
      </c>
    </row>
    <row r="66" spans="1:44" x14ac:dyDescent="0.35">
      <c r="A66" t="s">
        <v>443</v>
      </c>
      <c r="B66">
        <v>36</v>
      </c>
      <c r="C66" t="s">
        <v>31</v>
      </c>
      <c r="D66">
        <v>1223</v>
      </c>
      <c r="E66" t="s">
        <v>38</v>
      </c>
      <c r="F66">
        <v>8</v>
      </c>
      <c r="G66">
        <v>3</v>
      </c>
      <c r="H66" t="s">
        <v>52</v>
      </c>
      <c r="I66">
        <v>3</v>
      </c>
      <c r="J66" t="s">
        <v>34</v>
      </c>
      <c r="K66">
        <v>59</v>
      </c>
      <c r="L66">
        <v>3</v>
      </c>
      <c r="M66">
        <v>3</v>
      </c>
      <c r="N66" t="s">
        <v>47</v>
      </c>
      <c r="O66">
        <v>3</v>
      </c>
      <c r="P66" t="s">
        <v>45</v>
      </c>
      <c r="Q66">
        <v>10096</v>
      </c>
      <c r="R66">
        <v>8202</v>
      </c>
      <c r="S66">
        <v>1</v>
      </c>
      <c r="T66">
        <v>0</v>
      </c>
      <c r="U66" s="17">
        <v>0.13</v>
      </c>
      <c r="V66">
        <v>3</v>
      </c>
      <c r="W66">
        <v>2</v>
      </c>
      <c r="X66">
        <v>3</v>
      </c>
      <c r="Y66">
        <v>17</v>
      </c>
      <c r="Z66">
        <v>2</v>
      </c>
      <c r="AA66">
        <v>3</v>
      </c>
      <c r="AB66">
        <v>17</v>
      </c>
      <c r="AC66">
        <v>14</v>
      </c>
      <c r="AD66">
        <v>12</v>
      </c>
      <c r="AE66">
        <v>8</v>
      </c>
      <c r="AF66">
        <v>0</v>
      </c>
      <c r="AG66">
        <f>IF(tbl_HR_Data[[#This Row],[Gender]]="Male",1,0)</f>
        <v>0</v>
      </c>
      <c r="AH66" cm="1">
        <f t="array" ref="AH66">_xlfn.SWITCH(tbl_HR_Data[[#This Row],[BusinessTravel]], "Non-Travel", 0, "Travel_Rarely", 1, "Travel_Frequently", 2)</f>
        <v>1</v>
      </c>
      <c r="AI66" cm="1">
        <f t="array" ref="AI66">_xlfn.SWITCH(tbl_HR_Data[[#This Row],[MaritalStatus]],"Single",0,"Married",1,"Divorced",2)</f>
        <v>2</v>
      </c>
      <c r="AJ66">
        <f>IF(tbl_HR_Data[[#This Row],[OverTime]]=1,1,0)</f>
        <v>0</v>
      </c>
      <c r="AK66">
        <f>IF(tbl_HR_Data[[#This Row],[DistanceFromHome]]&gt;15,1,0)</f>
        <v>0</v>
      </c>
      <c r="AL66">
        <f>IF(tbl_HR_Data[[#This Row],[JobSatisfaction]]&lt;=2,1,0)</f>
        <v>0</v>
      </c>
      <c r="AM66">
        <f>IF(tbl_HR_Data[[#This Row],[MonthlyIncome]]&lt;$AT$2,1,0)</f>
        <v>0</v>
      </c>
      <c r="AN66">
        <f>IF(tbl_HR_Data[[#This Row],[Travel_Code]]=2,1,0)</f>
        <v>0</v>
      </c>
      <c r="AO66">
        <f>(tbl_HR_Data[[#This Row],[Flag_OT]] * Logic_Parameters!$B$2) +
 (tbl_HR_Data[[#This Row],[Flag_Travel]] * Logic_Parameters!$B$3) +
 (tbl_HR_Data[[#This Row],[Flag_Satisfaction]] * Logic_Parameters!$B$4) +
 (tbl_HR_Data[[#This Row],[Flag_Distance]]* Logic_Parameters!$B$5) +
 (tbl_HR_Data[[#This Row],[Flag_Income]] * Logic_Parameters!$B$6)</f>
        <v>0</v>
      </c>
      <c r="AP66" s="15">
        <f>tbl_HR_Data[[#This Row],[Risk_Score_Raw]] / SUM(Logic_Parameters!$B$2:$B$6)</f>
        <v>0</v>
      </c>
      <c r="AQ66" s="16" t="str" cm="1">
        <f t="array" ref="AQ66">_xlfn.IFS(tbl_HR_Data[[#This Row],[Attrition_Risk_Percentage]] &gt;= 0.75, "Critical",tbl_HR_Data[ [#This Row],[Attrition_Risk_Percentage] ]&gt;= 0.5, "High",tbl_HR_Data[[#This Row],[Attrition_Risk_Percentage]] &gt;= 0.25, "Medium",TRUE, "Low")</f>
        <v>Low</v>
      </c>
      <c r="AR66" s="16" cm="1">
        <f t="array" ref="AR66">IFERROR(_xlfn.IFS(tbl_HR_Data[[#This Row],[Risk_Category]]="Critical",tbl_HR_Data[[#This Row],[MonthlyIncome]]*1.5,tbl_HR_Data[[#This Row],[Risk_Category]]="High",tbl_HR_Data[[#This Row],[MonthlyIncome]]*1.5),0)</f>
        <v>0</v>
      </c>
    </row>
    <row r="67" spans="1:44" x14ac:dyDescent="0.35">
      <c r="A67" t="s">
        <v>246</v>
      </c>
      <c r="B67">
        <v>55</v>
      </c>
      <c r="C67" t="s">
        <v>31</v>
      </c>
      <c r="D67">
        <v>836</v>
      </c>
      <c r="E67" t="s">
        <v>38</v>
      </c>
      <c r="F67">
        <v>8</v>
      </c>
      <c r="G67">
        <v>3</v>
      </c>
      <c r="H67" t="s">
        <v>44</v>
      </c>
      <c r="I67">
        <v>4</v>
      </c>
      <c r="J67" t="s">
        <v>34</v>
      </c>
      <c r="K67">
        <v>33</v>
      </c>
      <c r="L67">
        <v>3</v>
      </c>
      <c r="M67">
        <v>4</v>
      </c>
      <c r="N67" t="s">
        <v>48</v>
      </c>
      <c r="O67">
        <v>3</v>
      </c>
      <c r="P67" t="s">
        <v>45</v>
      </c>
      <c r="Q67">
        <v>14756</v>
      </c>
      <c r="R67">
        <v>19730</v>
      </c>
      <c r="S67">
        <v>2</v>
      </c>
      <c r="T67">
        <v>1</v>
      </c>
      <c r="U67" s="17">
        <v>0.14000000000000001</v>
      </c>
      <c r="V67">
        <v>3</v>
      </c>
      <c r="W67">
        <v>3</v>
      </c>
      <c r="X67">
        <v>3</v>
      </c>
      <c r="Y67">
        <v>21</v>
      </c>
      <c r="Z67">
        <v>2</v>
      </c>
      <c r="AA67">
        <v>3</v>
      </c>
      <c r="AB67">
        <v>5</v>
      </c>
      <c r="AC67">
        <v>0</v>
      </c>
      <c r="AD67">
        <v>0</v>
      </c>
      <c r="AE67">
        <v>2</v>
      </c>
      <c r="AF67">
        <v>0</v>
      </c>
      <c r="AG67">
        <f>IF(tbl_HR_Data[[#This Row],[Gender]]="Male",1,0)</f>
        <v>0</v>
      </c>
      <c r="AH67" cm="1">
        <f t="array" ref="AH67">_xlfn.SWITCH(tbl_HR_Data[[#This Row],[BusinessTravel]], "Non-Travel", 0, "Travel_Rarely", 1, "Travel_Frequently", 2)</f>
        <v>1</v>
      </c>
      <c r="AI67" cm="1">
        <f t="array" ref="AI67">_xlfn.SWITCH(tbl_HR_Data[[#This Row],[MaritalStatus]],"Single",0,"Married",1,"Divorced",2)</f>
        <v>2</v>
      </c>
      <c r="AJ67">
        <f>IF(tbl_HR_Data[[#This Row],[OverTime]]=1,1,0)</f>
        <v>1</v>
      </c>
      <c r="AK67">
        <f>IF(tbl_HR_Data[[#This Row],[DistanceFromHome]]&gt;15,1,0)</f>
        <v>0</v>
      </c>
      <c r="AL67">
        <f>IF(tbl_HR_Data[[#This Row],[JobSatisfaction]]&lt;=2,1,0)</f>
        <v>0</v>
      </c>
      <c r="AM67">
        <f>IF(tbl_HR_Data[[#This Row],[MonthlyIncome]]&lt;$AT$2,1,0)</f>
        <v>0</v>
      </c>
      <c r="AN67">
        <f>IF(tbl_HR_Data[[#This Row],[Travel_Code]]=2,1,0)</f>
        <v>0</v>
      </c>
      <c r="AO67">
        <f>(tbl_HR_Data[[#This Row],[Flag_OT]] * Logic_Parameters!$B$2) +
 (tbl_HR_Data[[#This Row],[Flag_Travel]] * Logic_Parameters!$B$3) +
 (tbl_HR_Data[[#This Row],[Flag_Satisfaction]] * Logic_Parameters!$B$4) +
 (tbl_HR_Data[[#This Row],[Flag_Distance]]* Logic_Parameters!$B$5) +
 (tbl_HR_Data[[#This Row],[Flag_Income]] * Logic_Parameters!$B$6)</f>
        <v>10</v>
      </c>
      <c r="AP67" s="15">
        <f>tbl_HR_Data[[#This Row],[Risk_Score_Raw]] / SUM(Logic_Parameters!$B$2:$B$6)</f>
        <v>0.3445251318258073</v>
      </c>
      <c r="AQ67" s="16" t="str" cm="1">
        <f t="array" ref="AQ67">_xlfn.IFS(tbl_HR_Data[[#This Row],[Attrition_Risk_Percentage]] &gt;= 0.75, "Critical",tbl_HR_Data[ [#This Row],[Attrition_Risk_Percentage] ]&gt;= 0.5, "High",tbl_HR_Data[[#This Row],[Attrition_Risk_Percentage]] &gt;= 0.25, "Medium",TRUE, "Low")</f>
        <v>Medium</v>
      </c>
      <c r="AR67" s="16" cm="1">
        <f t="array" ref="AR67">IFERROR(_xlfn.IFS(tbl_HR_Data[[#This Row],[Risk_Category]]="Critical",tbl_HR_Data[[#This Row],[MonthlyIncome]]*1.5,tbl_HR_Data[[#This Row],[Risk_Category]]="High",tbl_HR_Data[[#This Row],[MonthlyIncome]]*1.5),0)</f>
        <v>0</v>
      </c>
    </row>
    <row r="68" spans="1:44" x14ac:dyDescent="0.35">
      <c r="A68" t="s">
        <v>653</v>
      </c>
      <c r="B68">
        <v>36</v>
      </c>
      <c r="C68" t="s">
        <v>37</v>
      </c>
      <c r="D68">
        <v>1195</v>
      </c>
      <c r="E68" t="s">
        <v>38</v>
      </c>
      <c r="F68">
        <v>11</v>
      </c>
      <c r="G68">
        <v>3</v>
      </c>
      <c r="H68" t="s">
        <v>33</v>
      </c>
      <c r="I68">
        <v>2</v>
      </c>
      <c r="J68" t="s">
        <v>39</v>
      </c>
      <c r="K68">
        <v>95</v>
      </c>
      <c r="L68">
        <v>2</v>
      </c>
      <c r="M68">
        <v>2</v>
      </c>
      <c r="N68" t="s">
        <v>46</v>
      </c>
      <c r="O68">
        <v>2</v>
      </c>
      <c r="P68" t="s">
        <v>36</v>
      </c>
      <c r="Q68">
        <v>6499</v>
      </c>
      <c r="R68">
        <v>22656</v>
      </c>
      <c r="S68">
        <v>1</v>
      </c>
      <c r="T68">
        <v>0</v>
      </c>
      <c r="U68" s="17">
        <v>0.13</v>
      </c>
      <c r="V68">
        <v>3</v>
      </c>
      <c r="W68">
        <v>3</v>
      </c>
      <c r="X68">
        <v>0</v>
      </c>
      <c r="Y68">
        <v>6</v>
      </c>
      <c r="Z68">
        <v>3</v>
      </c>
      <c r="AA68">
        <v>3</v>
      </c>
      <c r="AB68">
        <v>6</v>
      </c>
      <c r="AC68">
        <v>5</v>
      </c>
      <c r="AD68">
        <v>0</v>
      </c>
      <c r="AE68">
        <v>3</v>
      </c>
      <c r="AF68">
        <v>0</v>
      </c>
      <c r="AG68">
        <f>IF(tbl_HR_Data[[#This Row],[Gender]]="Male",1,0)</f>
        <v>1</v>
      </c>
      <c r="AH68" cm="1">
        <f t="array" ref="AH68">_xlfn.SWITCH(tbl_HR_Data[[#This Row],[BusinessTravel]], "Non-Travel", 0, "Travel_Rarely", 1, "Travel_Frequently", 2)</f>
        <v>2</v>
      </c>
      <c r="AI68" cm="1">
        <f t="array" ref="AI68">_xlfn.SWITCH(tbl_HR_Data[[#This Row],[MaritalStatus]],"Single",0,"Married",1,"Divorced",2)</f>
        <v>0</v>
      </c>
      <c r="AJ68">
        <f>IF(tbl_HR_Data[[#This Row],[OverTime]]=1,1,0)</f>
        <v>0</v>
      </c>
      <c r="AK68">
        <f>IF(tbl_HR_Data[[#This Row],[DistanceFromHome]]&gt;15,1,0)</f>
        <v>0</v>
      </c>
      <c r="AL68">
        <f>IF(tbl_HR_Data[[#This Row],[JobSatisfaction]]&lt;=2,1,0)</f>
        <v>1</v>
      </c>
      <c r="AM68">
        <f>IF(tbl_HR_Data[[#This Row],[MonthlyIncome]]&lt;$AT$2,1,0)</f>
        <v>0</v>
      </c>
      <c r="AN68">
        <f>IF(tbl_HR_Data[[#This Row],[Travel_Code]]=2,1,0)</f>
        <v>1</v>
      </c>
      <c r="AO68">
        <f>(tbl_HR_Data[[#This Row],[Flag_OT]] * Logic_Parameters!$B$2) +
 (tbl_HR_Data[[#This Row],[Flag_Travel]] * Logic_Parameters!$B$3) +
 (tbl_HR_Data[[#This Row],[Flag_Satisfaction]] * Logic_Parameters!$B$4) +
 (tbl_HR_Data[[#This Row],[Flag_Distance]]* Logic_Parameters!$B$5) +
 (tbl_HR_Data[[#This Row],[Flag_Income]] * Logic_Parameters!$B$6)</f>
        <v>9.3649231104683075</v>
      </c>
      <c r="AP68" s="15">
        <f>tbl_HR_Data[[#This Row],[Risk_Score_Raw]] / SUM(Logic_Parameters!$B$2:$B$6)</f>
        <v>0.32264513691726432</v>
      </c>
      <c r="AQ68" s="16" t="str" cm="1">
        <f t="array" ref="AQ68">_xlfn.IFS(tbl_HR_Data[[#This Row],[Attrition_Risk_Percentage]] &gt;= 0.75, "Critical",tbl_HR_Data[ [#This Row],[Attrition_Risk_Percentage] ]&gt;= 0.5, "High",tbl_HR_Data[[#This Row],[Attrition_Risk_Percentage]] &gt;= 0.25, "Medium",TRUE, "Low")</f>
        <v>Medium</v>
      </c>
      <c r="AR68" s="16" cm="1">
        <f t="array" ref="AR68">IFERROR(_xlfn.IFS(tbl_HR_Data[[#This Row],[Risk_Category]]="Critical",tbl_HR_Data[[#This Row],[MonthlyIncome]]*1.5,tbl_HR_Data[[#This Row],[Risk_Category]]="High",tbl_HR_Data[[#This Row],[MonthlyIncome]]*1.5),0)</f>
        <v>0</v>
      </c>
    </row>
    <row r="69" spans="1:44" x14ac:dyDescent="0.35">
      <c r="A69" t="s">
        <v>562</v>
      </c>
      <c r="B69">
        <v>45</v>
      </c>
      <c r="C69" t="s">
        <v>31</v>
      </c>
      <c r="D69">
        <v>1339</v>
      </c>
      <c r="E69" t="s">
        <v>38</v>
      </c>
      <c r="F69">
        <v>7</v>
      </c>
      <c r="G69">
        <v>3</v>
      </c>
      <c r="H69" t="s">
        <v>33</v>
      </c>
      <c r="I69">
        <v>2</v>
      </c>
      <c r="J69" t="s">
        <v>39</v>
      </c>
      <c r="K69">
        <v>59</v>
      </c>
      <c r="L69">
        <v>3</v>
      </c>
      <c r="M69">
        <v>3</v>
      </c>
      <c r="N69" t="s">
        <v>40</v>
      </c>
      <c r="O69">
        <v>1</v>
      </c>
      <c r="P69" t="s">
        <v>45</v>
      </c>
      <c r="Q69">
        <v>9724</v>
      </c>
      <c r="R69">
        <v>18787</v>
      </c>
      <c r="S69">
        <v>2</v>
      </c>
      <c r="T69">
        <v>0</v>
      </c>
      <c r="U69" s="17">
        <v>0.17</v>
      </c>
      <c r="V69">
        <v>3</v>
      </c>
      <c r="W69">
        <v>3</v>
      </c>
      <c r="X69">
        <v>1</v>
      </c>
      <c r="Y69">
        <v>25</v>
      </c>
      <c r="Z69">
        <v>2</v>
      </c>
      <c r="AA69">
        <v>3</v>
      </c>
      <c r="AB69">
        <v>1</v>
      </c>
      <c r="AC69">
        <v>0</v>
      </c>
      <c r="AD69">
        <v>0</v>
      </c>
      <c r="AE69">
        <v>0</v>
      </c>
      <c r="AF69">
        <v>0</v>
      </c>
      <c r="AG69">
        <f>IF(tbl_HR_Data[[#This Row],[Gender]]="Male",1,0)</f>
        <v>1</v>
      </c>
      <c r="AH69" cm="1">
        <f t="array" ref="AH69">_xlfn.SWITCH(tbl_HR_Data[[#This Row],[BusinessTravel]], "Non-Travel", 0, "Travel_Rarely", 1, "Travel_Frequently", 2)</f>
        <v>1</v>
      </c>
      <c r="AI69" cm="1">
        <f t="array" ref="AI69">_xlfn.SWITCH(tbl_HR_Data[[#This Row],[MaritalStatus]],"Single",0,"Married",1,"Divorced",2)</f>
        <v>2</v>
      </c>
      <c r="AJ69">
        <f>IF(tbl_HR_Data[[#This Row],[OverTime]]=1,1,0)</f>
        <v>0</v>
      </c>
      <c r="AK69">
        <f>IF(tbl_HR_Data[[#This Row],[DistanceFromHome]]&gt;15,1,0)</f>
        <v>0</v>
      </c>
      <c r="AL69">
        <f>IF(tbl_HR_Data[[#This Row],[JobSatisfaction]]&lt;=2,1,0)</f>
        <v>1</v>
      </c>
      <c r="AM69">
        <f>IF(tbl_HR_Data[[#This Row],[MonthlyIncome]]&lt;$AT$2,1,0)</f>
        <v>0</v>
      </c>
      <c r="AN69">
        <f>IF(tbl_HR_Data[[#This Row],[Travel_Code]]=2,1,0)</f>
        <v>0</v>
      </c>
      <c r="AO69">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69" s="15">
        <f>tbl_HR_Data[[#This Row],[Risk_Score_Raw]] / SUM(Logic_Parameters!$B$2:$B$6)</f>
        <v>0.14485673308716898</v>
      </c>
      <c r="AQ69" s="16" t="str" cm="1">
        <f t="array" ref="AQ69">_xlfn.IFS(tbl_HR_Data[[#This Row],[Attrition_Risk_Percentage]] &gt;= 0.75, "Critical",tbl_HR_Data[ [#This Row],[Attrition_Risk_Percentage] ]&gt;= 0.5, "High",tbl_HR_Data[[#This Row],[Attrition_Risk_Percentage]] &gt;= 0.25, "Medium",TRUE, "Low")</f>
        <v>Low</v>
      </c>
      <c r="AR69" s="16" cm="1">
        <f t="array" ref="AR69">IFERROR(_xlfn.IFS(tbl_HR_Data[[#This Row],[Risk_Category]]="Critical",tbl_HR_Data[[#This Row],[MonthlyIncome]]*1.5,tbl_HR_Data[[#This Row],[Risk_Category]]="High",tbl_HR_Data[[#This Row],[MonthlyIncome]]*1.5),0)</f>
        <v>0</v>
      </c>
    </row>
    <row r="70" spans="1:44" x14ac:dyDescent="0.35">
      <c r="A70" t="s">
        <v>907</v>
      </c>
      <c r="B70">
        <v>35</v>
      </c>
      <c r="C70" t="s">
        <v>37</v>
      </c>
      <c r="D70">
        <v>664</v>
      </c>
      <c r="E70" t="s">
        <v>38</v>
      </c>
      <c r="F70">
        <v>1</v>
      </c>
      <c r="G70">
        <v>3</v>
      </c>
      <c r="H70" t="s">
        <v>44</v>
      </c>
      <c r="I70">
        <v>2</v>
      </c>
      <c r="J70" t="s">
        <v>39</v>
      </c>
      <c r="K70">
        <v>79</v>
      </c>
      <c r="L70">
        <v>3</v>
      </c>
      <c r="M70">
        <v>1</v>
      </c>
      <c r="N70" t="s">
        <v>40</v>
      </c>
      <c r="O70">
        <v>1</v>
      </c>
      <c r="P70" t="s">
        <v>41</v>
      </c>
      <c r="Q70">
        <v>2194</v>
      </c>
      <c r="R70">
        <v>5868</v>
      </c>
      <c r="S70">
        <v>4</v>
      </c>
      <c r="T70">
        <v>0</v>
      </c>
      <c r="U70" s="17">
        <v>0.13</v>
      </c>
      <c r="V70">
        <v>3</v>
      </c>
      <c r="W70">
        <v>4</v>
      </c>
      <c r="X70">
        <v>1</v>
      </c>
      <c r="Y70">
        <v>5</v>
      </c>
      <c r="Z70">
        <v>2</v>
      </c>
      <c r="AA70">
        <v>2</v>
      </c>
      <c r="AB70">
        <v>3</v>
      </c>
      <c r="AC70">
        <v>2</v>
      </c>
      <c r="AD70">
        <v>1</v>
      </c>
      <c r="AE70">
        <v>2</v>
      </c>
      <c r="AF70">
        <v>0</v>
      </c>
      <c r="AG70">
        <f>IF(tbl_HR_Data[[#This Row],[Gender]]="Male",1,0)</f>
        <v>1</v>
      </c>
      <c r="AH70" cm="1">
        <f t="array" ref="AH70">_xlfn.SWITCH(tbl_HR_Data[[#This Row],[BusinessTravel]], "Non-Travel", 0, "Travel_Rarely", 1, "Travel_Frequently", 2)</f>
        <v>2</v>
      </c>
      <c r="AI70" cm="1">
        <f t="array" ref="AI70">_xlfn.SWITCH(tbl_HR_Data[[#This Row],[MaritalStatus]],"Single",0,"Married",1,"Divorced",2)</f>
        <v>1</v>
      </c>
      <c r="AJ70">
        <f>IF(tbl_HR_Data[[#This Row],[OverTime]]=1,1,0)</f>
        <v>0</v>
      </c>
      <c r="AK70">
        <f>IF(tbl_HR_Data[[#This Row],[DistanceFromHome]]&gt;15,1,0)</f>
        <v>0</v>
      </c>
      <c r="AL70">
        <f>IF(tbl_HR_Data[[#This Row],[JobSatisfaction]]&lt;=2,1,0)</f>
        <v>1</v>
      </c>
      <c r="AM70">
        <f>IF(tbl_HR_Data[[#This Row],[MonthlyIncome]]&lt;$AT$2,1,0)</f>
        <v>1</v>
      </c>
      <c r="AN70">
        <f>IF(tbl_HR_Data[[#This Row],[Travel_Code]]=2,1,0)</f>
        <v>1</v>
      </c>
      <c r="AO70">
        <f>(tbl_HR_Data[[#This Row],[Flag_OT]] * Logic_Parameters!$B$2) +
 (tbl_HR_Data[[#This Row],[Flag_Travel]] * Logic_Parameters!$B$3) +
 (tbl_HR_Data[[#This Row],[Flag_Satisfaction]] * Logic_Parameters!$B$4) +
 (tbl_HR_Data[[#This Row],[Flag_Distance]]* Logic_Parameters!$B$5) +
 (tbl_HR_Data[[#This Row],[Flag_Income]] * Logic_Parameters!$B$6)</f>
        <v>15.859352047889136</v>
      </c>
      <c r="AP70" s="15">
        <f>tbl_HR_Data[[#This Row],[Risk_Score_Raw]] / SUM(Logic_Parameters!$B$2:$B$6)</f>
        <v>0.54639453549708916</v>
      </c>
      <c r="AQ70" s="16" t="str" cm="1">
        <f t="array" ref="AQ70">_xlfn.IFS(tbl_HR_Data[[#This Row],[Attrition_Risk_Percentage]] &gt;= 0.75, "Critical",tbl_HR_Data[ [#This Row],[Attrition_Risk_Percentage] ]&gt;= 0.5, "High",tbl_HR_Data[[#This Row],[Attrition_Risk_Percentage]] &gt;= 0.25, "Medium",TRUE, "Low")</f>
        <v>High</v>
      </c>
      <c r="AR70" s="16" cm="1">
        <f t="array" ref="AR70">IFERROR(_xlfn.IFS(tbl_HR_Data[[#This Row],[Risk_Category]]="Critical",tbl_HR_Data[[#This Row],[MonthlyIncome]]*1.5,tbl_HR_Data[[#This Row],[Risk_Category]]="High",tbl_HR_Data[[#This Row],[MonthlyIncome]]*1.5),0)</f>
        <v>3291</v>
      </c>
    </row>
    <row r="71" spans="1:44" x14ac:dyDescent="0.35">
      <c r="A71" t="s">
        <v>857</v>
      </c>
      <c r="B71">
        <v>36</v>
      </c>
      <c r="C71" t="s">
        <v>31</v>
      </c>
      <c r="D71">
        <v>318</v>
      </c>
      <c r="E71" t="s">
        <v>38</v>
      </c>
      <c r="F71">
        <v>9</v>
      </c>
      <c r="G71">
        <v>3</v>
      </c>
      <c r="H71" t="s">
        <v>44</v>
      </c>
      <c r="I71">
        <v>4</v>
      </c>
      <c r="J71" t="s">
        <v>39</v>
      </c>
      <c r="K71">
        <v>79</v>
      </c>
      <c r="L71">
        <v>2</v>
      </c>
      <c r="M71">
        <v>1</v>
      </c>
      <c r="N71" t="s">
        <v>40</v>
      </c>
      <c r="O71">
        <v>3</v>
      </c>
      <c r="P71" t="s">
        <v>41</v>
      </c>
      <c r="Q71">
        <v>3388</v>
      </c>
      <c r="R71">
        <v>21777</v>
      </c>
      <c r="S71">
        <v>0</v>
      </c>
      <c r="T71">
        <v>1</v>
      </c>
      <c r="U71" s="17">
        <v>0.17</v>
      </c>
      <c r="V71">
        <v>3</v>
      </c>
      <c r="W71">
        <v>1</v>
      </c>
      <c r="X71">
        <v>1</v>
      </c>
      <c r="Y71">
        <v>2</v>
      </c>
      <c r="Z71">
        <v>0</v>
      </c>
      <c r="AA71">
        <v>2</v>
      </c>
      <c r="AB71">
        <v>1</v>
      </c>
      <c r="AC71">
        <v>0</v>
      </c>
      <c r="AD71">
        <v>0</v>
      </c>
      <c r="AE71">
        <v>0</v>
      </c>
      <c r="AF71">
        <v>1</v>
      </c>
      <c r="AG71">
        <f>IF(tbl_HR_Data[[#This Row],[Gender]]="Male",1,0)</f>
        <v>1</v>
      </c>
      <c r="AH71" cm="1">
        <f t="array" ref="AH71">_xlfn.SWITCH(tbl_HR_Data[[#This Row],[BusinessTravel]], "Non-Travel", 0, "Travel_Rarely", 1, "Travel_Frequently", 2)</f>
        <v>1</v>
      </c>
      <c r="AI71" cm="1">
        <f t="array" ref="AI71">_xlfn.SWITCH(tbl_HR_Data[[#This Row],[MaritalStatus]],"Single",0,"Married",1,"Divorced",2)</f>
        <v>1</v>
      </c>
      <c r="AJ71">
        <f>IF(tbl_HR_Data[[#This Row],[OverTime]]=1,1,0)</f>
        <v>1</v>
      </c>
      <c r="AK71">
        <f>IF(tbl_HR_Data[[#This Row],[DistanceFromHome]]&gt;15,1,0)</f>
        <v>0</v>
      </c>
      <c r="AL71">
        <f>IF(tbl_HR_Data[[#This Row],[JobSatisfaction]]&lt;=2,1,0)</f>
        <v>0</v>
      </c>
      <c r="AM71">
        <f>IF(tbl_HR_Data[[#This Row],[MonthlyIncome]]&lt;$AT$2,1,0)</f>
        <v>1</v>
      </c>
      <c r="AN71">
        <f>IF(tbl_HR_Data[[#This Row],[Travel_Code]]=2,1,0)</f>
        <v>0</v>
      </c>
      <c r="AO71">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71" s="15">
        <f>tbl_HR_Data[[#This Row],[Risk_Score_Raw]] / SUM(Logic_Parameters!$B$2:$B$6)</f>
        <v>0.56827453040563214</v>
      </c>
      <c r="AQ71" s="16" t="str" cm="1">
        <f t="array" ref="AQ71">_xlfn.IFS(tbl_HR_Data[[#This Row],[Attrition_Risk_Percentage]] &gt;= 0.75, "Critical",tbl_HR_Data[ [#This Row],[Attrition_Risk_Percentage] ]&gt;= 0.5, "High",tbl_HR_Data[[#This Row],[Attrition_Risk_Percentage]] &gt;= 0.25, "Medium",TRUE, "Low")</f>
        <v>High</v>
      </c>
      <c r="AR71" s="16" cm="1">
        <f t="array" ref="AR71">IFERROR(_xlfn.IFS(tbl_HR_Data[[#This Row],[Risk_Category]]="Critical",tbl_HR_Data[[#This Row],[MonthlyIncome]]*1.5,tbl_HR_Data[[#This Row],[Risk_Category]]="High",tbl_HR_Data[[#This Row],[MonthlyIncome]]*1.5),0)</f>
        <v>5082</v>
      </c>
    </row>
    <row r="72" spans="1:44" x14ac:dyDescent="0.35">
      <c r="A72" t="s">
        <v>1372</v>
      </c>
      <c r="B72">
        <v>59</v>
      </c>
      <c r="C72" t="s">
        <v>37</v>
      </c>
      <c r="D72">
        <v>1225</v>
      </c>
      <c r="E72" t="s">
        <v>32</v>
      </c>
      <c r="F72">
        <v>1</v>
      </c>
      <c r="G72">
        <v>1</v>
      </c>
      <c r="H72" t="s">
        <v>33</v>
      </c>
      <c r="I72">
        <v>1</v>
      </c>
      <c r="J72" t="s">
        <v>34</v>
      </c>
      <c r="K72">
        <v>57</v>
      </c>
      <c r="L72">
        <v>2</v>
      </c>
      <c r="M72">
        <v>2</v>
      </c>
      <c r="N72" t="s">
        <v>35</v>
      </c>
      <c r="O72">
        <v>3</v>
      </c>
      <c r="P72" t="s">
        <v>36</v>
      </c>
      <c r="Q72">
        <v>5473</v>
      </c>
      <c r="R72">
        <v>24668</v>
      </c>
      <c r="S72">
        <v>7</v>
      </c>
      <c r="T72">
        <v>0</v>
      </c>
      <c r="U72" s="17">
        <v>0.11</v>
      </c>
      <c r="V72">
        <v>3</v>
      </c>
      <c r="W72">
        <v>4</v>
      </c>
      <c r="X72">
        <v>0</v>
      </c>
      <c r="Y72">
        <v>20</v>
      </c>
      <c r="Z72">
        <v>2</v>
      </c>
      <c r="AA72">
        <v>2</v>
      </c>
      <c r="AB72">
        <v>4</v>
      </c>
      <c r="AC72">
        <v>3</v>
      </c>
      <c r="AD72">
        <v>1</v>
      </c>
      <c r="AE72">
        <v>3</v>
      </c>
      <c r="AF72">
        <v>0</v>
      </c>
      <c r="AG72">
        <f>IF(tbl_HR_Data[[#This Row],[Gender]]="Male",1,0)</f>
        <v>0</v>
      </c>
      <c r="AH72" cm="1">
        <f t="array" ref="AH72">_xlfn.SWITCH(tbl_HR_Data[[#This Row],[BusinessTravel]], "Non-Travel", 0, "Travel_Rarely", 1, "Travel_Frequently", 2)</f>
        <v>2</v>
      </c>
      <c r="AI72" cm="1">
        <f t="array" ref="AI72">_xlfn.SWITCH(tbl_HR_Data[[#This Row],[MaritalStatus]],"Single",0,"Married",1,"Divorced",2)</f>
        <v>0</v>
      </c>
      <c r="AJ72">
        <f>IF(tbl_HR_Data[[#This Row],[OverTime]]=1,1,0)</f>
        <v>0</v>
      </c>
      <c r="AK72">
        <f>IF(tbl_HR_Data[[#This Row],[DistanceFromHome]]&gt;15,1,0)</f>
        <v>0</v>
      </c>
      <c r="AL72">
        <f>IF(tbl_HR_Data[[#This Row],[JobSatisfaction]]&lt;=2,1,0)</f>
        <v>0</v>
      </c>
      <c r="AM72">
        <f>IF(tbl_HR_Data[[#This Row],[MonthlyIncome]]&lt;$AT$2,1,0)</f>
        <v>0</v>
      </c>
      <c r="AN72">
        <f>IF(tbl_HR_Data[[#This Row],[Travel_Code]]=2,1,0)</f>
        <v>1</v>
      </c>
      <c r="AO72">
        <f>(tbl_HR_Data[[#This Row],[Flag_OT]] * Logic_Parameters!$B$2) +
 (tbl_HR_Data[[#This Row],[Flag_Travel]] * Logic_Parameters!$B$3) +
 (tbl_HR_Data[[#This Row],[Flag_Satisfaction]] * Logic_Parameters!$B$4) +
 (tbl_HR_Data[[#This Row],[Flag_Distance]]* Logic_Parameters!$B$5) +
 (tbl_HR_Data[[#This Row],[Flag_Income]] * Logic_Parameters!$B$6)</f>
        <v>5.1603899804901765</v>
      </c>
      <c r="AP72" s="15">
        <f>tbl_HR_Data[[#This Row],[Risk_Score_Raw]] / SUM(Logic_Parameters!$B$2:$B$6)</f>
        <v>0.17778840383009531</v>
      </c>
      <c r="AQ72" s="16" t="str" cm="1">
        <f t="array" ref="AQ72">_xlfn.IFS(tbl_HR_Data[[#This Row],[Attrition_Risk_Percentage]] &gt;= 0.75, "Critical",tbl_HR_Data[ [#This Row],[Attrition_Risk_Percentage] ]&gt;= 0.5, "High",tbl_HR_Data[[#This Row],[Attrition_Risk_Percentage]] &gt;= 0.25, "Medium",TRUE, "Low")</f>
        <v>Low</v>
      </c>
      <c r="AR72" s="16" cm="1">
        <f t="array" ref="AR72">IFERROR(_xlfn.IFS(tbl_HR_Data[[#This Row],[Risk_Category]]="Critical",tbl_HR_Data[[#This Row],[MonthlyIncome]]*1.5,tbl_HR_Data[[#This Row],[Risk_Category]]="High",tbl_HR_Data[[#This Row],[MonthlyIncome]]*1.5),0)</f>
        <v>0</v>
      </c>
    </row>
    <row r="73" spans="1:44" x14ac:dyDescent="0.35">
      <c r="A73" t="s">
        <v>1198</v>
      </c>
      <c r="B73">
        <v>29</v>
      </c>
      <c r="C73" t="s">
        <v>31</v>
      </c>
      <c r="D73">
        <v>1328</v>
      </c>
      <c r="E73" t="s">
        <v>38</v>
      </c>
      <c r="F73">
        <v>2</v>
      </c>
      <c r="G73">
        <v>3</v>
      </c>
      <c r="H73" t="s">
        <v>33</v>
      </c>
      <c r="I73">
        <v>3</v>
      </c>
      <c r="J73" t="s">
        <v>39</v>
      </c>
      <c r="K73">
        <v>76</v>
      </c>
      <c r="L73">
        <v>3</v>
      </c>
      <c r="M73">
        <v>1</v>
      </c>
      <c r="N73" t="s">
        <v>40</v>
      </c>
      <c r="O73">
        <v>2</v>
      </c>
      <c r="P73" t="s">
        <v>41</v>
      </c>
      <c r="Q73">
        <v>2703</v>
      </c>
      <c r="R73">
        <v>4956</v>
      </c>
      <c r="S73">
        <v>0</v>
      </c>
      <c r="T73">
        <v>0</v>
      </c>
      <c r="U73" s="17">
        <v>0.23</v>
      </c>
      <c r="V73">
        <v>4</v>
      </c>
      <c r="W73">
        <v>4</v>
      </c>
      <c r="X73">
        <v>1</v>
      </c>
      <c r="Y73">
        <v>6</v>
      </c>
      <c r="Z73">
        <v>3</v>
      </c>
      <c r="AA73">
        <v>3</v>
      </c>
      <c r="AB73">
        <v>5</v>
      </c>
      <c r="AC73">
        <v>4</v>
      </c>
      <c r="AD73">
        <v>0</v>
      </c>
      <c r="AE73">
        <v>4</v>
      </c>
      <c r="AF73">
        <v>0</v>
      </c>
      <c r="AG73">
        <f>IF(tbl_HR_Data[[#This Row],[Gender]]="Male",1,0)</f>
        <v>1</v>
      </c>
      <c r="AH73" cm="1">
        <f t="array" ref="AH73">_xlfn.SWITCH(tbl_HR_Data[[#This Row],[BusinessTravel]], "Non-Travel", 0, "Travel_Rarely", 1, "Travel_Frequently", 2)</f>
        <v>1</v>
      </c>
      <c r="AI73" cm="1">
        <f t="array" ref="AI73">_xlfn.SWITCH(tbl_HR_Data[[#This Row],[MaritalStatus]],"Single",0,"Married",1,"Divorced",2)</f>
        <v>1</v>
      </c>
      <c r="AJ73">
        <f>IF(tbl_HR_Data[[#This Row],[OverTime]]=1,1,0)</f>
        <v>0</v>
      </c>
      <c r="AK73">
        <f>IF(tbl_HR_Data[[#This Row],[DistanceFromHome]]&gt;15,1,0)</f>
        <v>0</v>
      </c>
      <c r="AL73">
        <f>IF(tbl_HR_Data[[#This Row],[JobSatisfaction]]&lt;=2,1,0)</f>
        <v>1</v>
      </c>
      <c r="AM73">
        <f>IF(tbl_HR_Data[[#This Row],[MonthlyIncome]]&lt;$AT$2,1,0)</f>
        <v>1</v>
      </c>
      <c r="AN73">
        <f>IF(tbl_HR_Data[[#This Row],[Travel_Code]]=2,1,0)</f>
        <v>0</v>
      </c>
      <c r="AO73">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73" s="15">
        <f>tbl_HR_Data[[#This Row],[Risk_Score_Raw]] / SUM(Logic_Parameters!$B$2:$B$6)</f>
        <v>0.3686061316669938</v>
      </c>
      <c r="AQ73" s="16" t="str" cm="1">
        <f t="array" ref="AQ73">_xlfn.IFS(tbl_HR_Data[[#This Row],[Attrition_Risk_Percentage]] &gt;= 0.75, "Critical",tbl_HR_Data[ [#This Row],[Attrition_Risk_Percentage] ]&gt;= 0.5, "High",tbl_HR_Data[[#This Row],[Attrition_Risk_Percentage]] &gt;= 0.25, "Medium",TRUE, "Low")</f>
        <v>Medium</v>
      </c>
      <c r="AR73" s="16" cm="1">
        <f t="array" ref="AR73">IFERROR(_xlfn.IFS(tbl_HR_Data[[#This Row],[Risk_Category]]="Critical",tbl_HR_Data[[#This Row],[MonthlyIncome]]*1.5,tbl_HR_Data[[#This Row],[Risk_Category]]="High",tbl_HR_Data[[#This Row],[MonthlyIncome]]*1.5),0)</f>
        <v>0</v>
      </c>
    </row>
    <row r="74" spans="1:44" x14ac:dyDescent="0.35">
      <c r="A74" t="s">
        <v>179</v>
      </c>
      <c r="B74">
        <v>31</v>
      </c>
      <c r="C74" t="s">
        <v>31</v>
      </c>
      <c r="D74">
        <v>1082</v>
      </c>
      <c r="E74" t="s">
        <v>38</v>
      </c>
      <c r="F74">
        <v>1</v>
      </c>
      <c r="G74">
        <v>4</v>
      </c>
      <c r="H74" t="s">
        <v>44</v>
      </c>
      <c r="I74">
        <v>3</v>
      </c>
      <c r="J74" t="s">
        <v>39</v>
      </c>
      <c r="K74">
        <v>87</v>
      </c>
      <c r="L74">
        <v>3</v>
      </c>
      <c r="M74">
        <v>1</v>
      </c>
      <c r="N74" t="s">
        <v>40</v>
      </c>
      <c r="O74">
        <v>2</v>
      </c>
      <c r="P74" t="s">
        <v>36</v>
      </c>
      <c r="Q74">
        <v>2501</v>
      </c>
      <c r="R74">
        <v>18775</v>
      </c>
      <c r="S74">
        <v>1</v>
      </c>
      <c r="T74">
        <v>0</v>
      </c>
      <c r="U74" s="17">
        <v>0.17</v>
      </c>
      <c r="V74">
        <v>3</v>
      </c>
      <c r="W74">
        <v>2</v>
      </c>
      <c r="X74">
        <v>0</v>
      </c>
      <c r="Y74">
        <v>1</v>
      </c>
      <c r="Z74">
        <v>4</v>
      </c>
      <c r="AA74">
        <v>3</v>
      </c>
      <c r="AB74">
        <v>1</v>
      </c>
      <c r="AC74">
        <v>1</v>
      </c>
      <c r="AD74">
        <v>1</v>
      </c>
      <c r="AE74">
        <v>0</v>
      </c>
      <c r="AF74">
        <v>0</v>
      </c>
      <c r="AG74">
        <f>IF(tbl_HR_Data[[#This Row],[Gender]]="Male",1,0)</f>
        <v>1</v>
      </c>
      <c r="AH74" cm="1">
        <f t="array" ref="AH74">_xlfn.SWITCH(tbl_HR_Data[[#This Row],[BusinessTravel]], "Non-Travel", 0, "Travel_Rarely", 1, "Travel_Frequently", 2)</f>
        <v>1</v>
      </c>
      <c r="AI74" cm="1">
        <f t="array" ref="AI74">_xlfn.SWITCH(tbl_HR_Data[[#This Row],[MaritalStatus]],"Single",0,"Married",1,"Divorced",2)</f>
        <v>0</v>
      </c>
      <c r="AJ74">
        <f>IF(tbl_HR_Data[[#This Row],[OverTime]]=1,1,0)</f>
        <v>0</v>
      </c>
      <c r="AK74">
        <f>IF(tbl_HR_Data[[#This Row],[DistanceFromHome]]&gt;15,1,0)</f>
        <v>0</v>
      </c>
      <c r="AL74">
        <f>IF(tbl_HR_Data[[#This Row],[JobSatisfaction]]&lt;=2,1,0)</f>
        <v>1</v>
      </c>
      <c r="AM74">
        <f>IF(tbl_HR_Data[[#This Row],[MonthlyIncome]]&lt;$AT$2,1,0)</f>
        <v>1</v>
      </c>
      <c r="AN74">
        <f>IF(tbl_HR_Data[[#This Row],[Travel_Code]]=2,1,0)</f>
        <v>0</v>
      </c>
      <c r="AO74">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74" s="15">
        <f>tbl_HR_Data[[#This Row],[Risk_Score_Raw]] / SUM(Logic_Parameters!$B$2:$B$6)</f>
        <v>0.3686061316669938</v>
      </c>
      <c r="AQ74" s="16" t="str" cm="1">
        <f t="array" ref="AQ74">_xlfn.IFS(tbl_HR_Data[[#This Row],[Attrition_Risk_Percentage]] &gt;= 0.75, "Critical",tbl_HR_Data[ [#This Row],[Attrition_Risk_Percentage] ]&gt;= 0.5, "High",tbl_HR_Data[[#This Row],[Attrition_Risk_Percentage]] &gt;= 0.25, "Medium",TRUE, "Low")</f>
        <v>Medium</v>
      </c>
      <c r="AR74" s="16" cm="1">
        <f t="array" ref="AR74">IFERROR(_xlfn.IFS(tbl_HR_Data[[#This Row],[Risk_Category]]="Critical",tbl_HR_Data[[#This Row],[MonthlyIncome]]*1.5,tbl_HR_Data[[#This Row],[Risk_Category]]="High",tbl_HR_Data[[#This Row],[MonthlyIncome]]*1.5),0)</f>
        <v>0</v>
      </c>
    </row>
    <row r="75" spans="1:44" x14ac:dyDescent="0.35">
      <c r="A75" t="s">
        <v>412</v>
      </c>
      <c r="B75">
        <v>32</v>
      </c>
      <c r="C75" t="s">
        <v>31</v>
      </c>
      <c r="D75">
        <v>548</v>
      </c>
      <c r="E75" t="s">
        <v>38</v>
      </c>
      <c r="F75">
        <v>1</v>
      </c>
      <c r="G75">
        <v>3</v>
      </c>
      <c r="H75" t="s">
        <v>33</v>
      </c>
      <c r="I75">
        <v>2</v>
      </c>
      <c r="J75" t="s">
        <v>39</v>
      </c>
      <c r="K75">
        <v>66</v>
      </c>
      <c r="L75">
        <v>3</v>
      </c>
      <c r="M75">
        <v>2</v>
      </c>
      <c r="N75" t="s">
        <v>40</v>
      </c>
      <c r="O75">
        <v>2</v>
      </c>
      <c r="P75" t="s">
        <v>41</v>
      </c>
      <c r="Q75">
        <v>6220</v>
      </c>
      <c r="R75">
        <v>7346</v>
      </c>
      <c r="S75">
        <v>1</v>
      </c>
      <c r="T75">
        <v>0</v>
      </c>
      <c r="U75" s="17">
        <v>0.17</v>
      </c>
      <c r="V75">
        <v>3</v>
      </c>
      <c r="W75">
        <v>2</v>
      </c>
      <c r="X75">
        <v>2</v>
      </c>
      <c r="Y75">
        <v>10</v>
      </c>
      <c r="Z75">
        <v>3</v>
      </c>
      <c r="AA75">
        <v>3</v>
      </c>
      <c r="AB75">
        <v>10</v>
      </c>
      <c r="AC75">
        <v>4</v>
      </c>
      <c r="AD75">
        <v>0</v>
      </c>
      <c r="AE75">
        <v>9</v>
      </c>
      <c r="AF75">
        <v>0</v>
      </c>
      <c r="AG75">
        <f>IF(tbl_HR_Data[[#This Row],[Gender]]="Male",1,0)</f>
        <v>1</v>
      </c>
      <c r="AH75" cm="1">
        <f t="array" ref="AH75">_xlfn.SWITCH(tbl_HR_Data[[#This Row],[BusinessTravel]], "Non-Travel", 0, "Travel_Rarely", 1, "Travel_Frequently", 2)</f>
        <v>1</v>
      </c>
      <c r="AI75" cm="1">
        <f t="array" ref="AI75">_xlfn.SWITCH(tbl_HR_Data[[#This Row],[MaritalStatus]],"Single",0,"Married",1,"Divorced",2)</f>
        <v>1</v>
      </c>
      <c r="AJ75">
        <f>IF(tbl_HR_Data[[#This Row],[OverTime]]=1,1,0)</f>
        <v>0</v>
      </c>
      <c r="AK75">
        <f>IF(tbl_HR_Data[[#This Row],[DistanceFromHome]]&gt;15,1,0)</f>
        <v>0</v>
      </c>
      <c r="AL75">
        <f>IF(tbl_HR_Data[[#This Row],[JobSatisfaction]]&lt;=2,1,0)</f>
        <v>1</v>
      </c>
      <c r="AM75">
        <f>IF(tbl_HR_Data[[#This Row],[MonthlyIncome]]&lt;$AT$2,1,0)</f>
        <v>0</v>
      </c>
      <c r="AN75">
        <f>IF(tbl_HR_Data[[#This Row],[Travel_Code]]=2,1,0)</f>
        <v>0</v>
      </c>
      <c r="AO75">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75" s="15">
        <f>tbl_HR_Data[[#This Row],[Risk_Score_Raw]] / SUM(Logic_Parameters!$B$2:$B$6)</f>
        <v>0.14485673308716898</v>
      </c>
      <c r="AQ75" s="16" t="str" cm="1">
        <f t="array" ref="AQ75">_xlfn.IFS(tbl_HR_Data[[#This Row],[Attrition_Risk_Percentage]] &gt;= 0.75, "Critical",tbl_HR_Data[ [#This Row],[Attrition_Risk_Percentage] ]&gt;= 0.5, "High",tbl_HR_Data[[#This Row],[Attrition_Risk_Percentage]] &gt;= 0.25, "Medium",TRUE, "Low")</f>
        <v>Low</v>
      </c>
      <c r="AR75" s="16" cm="1">
        <f t="array" ref="AR75">IFERROR(_xlfn.IFS(tbl_HR_Data[[#This Row],[Risk_Category]]="Critical",tbl_HR_Data[[#This Row],[MonthlyIncome]]*1.5,tbl_HR_Data[[#This Row],[Risk_Category]]="High",tbl_HR_Data[[#This Row],[MonthlyIncome]]*1.5),0)</f>
        <v>0</v>
      </c>
    </row>
    <row r="76" spans="1:44" x14ac:dyDescent="0.35">
      <c r="A76" t="s">
        <v>1458</v>
      </c>
      <c r="B76">
        <v>36</v>
      </c>
      <c r="C76" t="s">
        <v>31</v>
      </c>
      <c r="D76">
        <v>132</v>
      </c>
      <c r="E76" t="s">
        <v>38</v>
      </c>
      <c r="F76">
        <v>6</v>
      </c>
      <c r="G76">
        <v>3</v>
      </c>
      <c r="H76" t="s">
        <v>33</v>
      </c>
      <c r="I76">
        <v>2</v>
      </c>
      <c r="J76" t="s">
        <v>34</v>
      </c>
      <c r="K76">
        <v>55</v>
      </c>
      <c r="L76">
        <v>4</v>
      </c>
      <c r="M76">
        <v>1</v>
      </c>
      <c r="N76" t="s">
        <v>43</v>
      </c>
      <c r="O76">
        <v>4</v>
      </c>
      <c r="P76" t="s">
        <v>41</v>
      </c>
      <c r="Q76">
        <v>3038</v>
      </c>
      <c r="R76">
        <v>22002</v>
      </c>
      <c r="S76">
        <v>3</v>
      </c>
      <c r="T76">
        <v>0</v>
      </c>
      <c r="U76" s="17">
        <v>0.12</v>
      </c>
      <c r="V76">
        <v>3</v>
      </c>
      <c r="W76">
        <v>2</v>
      </c>
      <c r="X76">
        <v>0</v>
      </c>
      <c r="Y76">
        <v>5</v>
      </c>
      <c r="Z76">
        <v>3</v>
      </c>
      <c r="AA76">
        <v>3</v>
      </c>
      <c r="AB76">
        <v>1</v>
      </c>
      <c r="AC76">
        <v>0</v>
      </c>
      <c r="AD76">
        <v>0</v>
      </c>
      <c r="AE76">
        <v>0</v>
      </c>
      <c r="AF76">
        <v>0</v>
      </c>
      <c r="AG76">
        <f>IF(tbl_HR_Data[[#This Row],[Gender]]="Male",1,0)</f>
        <v>0</v>
      </c>
      <c r="AH76" cm="1">
        <f t="array" ref="AH76">_xlfn.SWITCH(tbl_HR_Data[[#This Row],[BusinessTravel]], "Non-Travel", 0, "Travel_Rarely", 1, "Travel_Frequently", 2)</f>
        <v>1</v>
      </c>
      <c r="AI76" cm="1">
        <f t="array" ref="AI76">_xlfn.SWITCH(tbl_HR_Data[[#This Row],[MaritalStatus]],"Single",0,"Married",1,"Divorced",2)</f>
        <v>1</v>
      </c>
      <c r="AJ76">
        <f>IF(tbl_HR_Data[[#This Row],[OverTime]]=1,1,0)</f>
        <v>0</v>
      </c>
      <c r="AK76">
        <f>IF(tbl_HR_Data[[#This Row],[DistanceFromHome]]&gt;15,1,0)</f>
        <v>0</v>
      </c>
      <c r="AL76">
        <f>IF(tbl_HR_Data[[#This Row],[JobSatisfaction]]&lt;=2,1,0)</f>
        <v>0</v>
      </c>
      <c r="AM76">
        <f>IF(tbl_HR_Data[[#This Row],[MonthlyIncome]]&lt;$AT$2,1,0)</f>
        <v>1</v>
      </c>
      <c r="AN76">
        <f>IF(tbl_HR_Data[[#This Row],[Travel_Code]]=2,1,0)</f>
        <v>0</v>
      </c>
      <c r="AO76">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76" s="15">
        <f>tbl_HR_Data[[#This Row],[Risk_Score_Raw]] / SUM(Logic_Parameters!$B$2:$B$6)</f>
        <v>0.22374939857982484</v>
      </c>
      <c r="AQ76" s="16" t="str" cm="1">
        <f t="array" ref="AQ76">_xlfn.IFS(tbl_HR_Data[[#This Row],[Attrition_Risk_Percentage]] &gt;= 0.75, "Critical",tbl_HR_Data[ [#This Row],[Attrition_Risk_Percentage] ]&gt;= 0.5, "High",tbl_HR_Data[[#This Row],[Attrition_Risk_Percentage]] &gt;= 0.25, "Medium",TRUE, "Low")</f>
        <v>Low</v>
      </c>
      <c r="AR76" s="16" cm="1">
        <f t="array" ref="AR76">IFERROR(_xlfn.IFS(tbl_HR_Data[[#This Row],[Risk_Category]]="Critical",tbl_HR_Data[[#This Row],[MonthlyIncome]]*1.5,tbl_HR_Data[[#This Row],[Risk_Category]]="High",tbl_HR_Data[[#This Row],[MonthlyIncome]]*1.5),0)</f>
        <v>0</v>
      </c>
    </row>
    <row r="77" spans="1:44" x14ac:dyDescent="0.35">
      <c r="A77" t="s">
        <v>603</v>
      </c>
      <c r="B77">
        <v>31</v>
      </c>
      <c r="C77" t="s">
        <v>31</v>
      </c>
      <c r="D77">
        <v>746</v>
      </c>
      <c r="E77" t="s">
        <v>38</v>
      </c>
      <c r="F77">
        <v>8</v>
      </c>
      <c r="G77">
        <v>4</v>
      </c>
      <c r="H77" t="s">
        <v>33</v>
      </c>
      <c r="I77">
        <v>3</v>
      </c>
      <c r="J77" t="s">
        <v>34</v>
      </c>
      <c r="K77">
        <v>61</v>
      </c>
      <c r="L77">
        <v>3</v>
      </c>
      <c r="M77">
        <v>2</v>
      </c>
      <c r="N77" t="s">
        <v>46</v>
      </c>
      <c r="O77">
        <v>4</v>
      </c>
      <c r="P77" t="s">
        <v>36</v>
      </c>
      <c r="Q77">
        <v>4424</v>
      </c>
      <c r="R77">
        <v>20682</v>
      </c>
      <c r="S77">
        <v>1</v>
      </c>
      <c r="T77">
        <v>0</v>
      </c>
      <c r="U77" s="17">
        <v>0.23</v>
      </c>
      <c r="V77">
        <v>4</v>
      </c>
      <c r="W77">
        <v>4</v>
      </c>
      <c r="X77">
        <v>0</v>
      </c>
      <c r="Y77">
        <v>11</v>
      </c>
      <c r="Z77">
        <v>2</v>
      </c>
      <c r="AA77">
        <v>3</v>
      </c>
      <c r="AB77">
        <v>11</v>
      </c>
      <c r="AC77">
        <v>7</v>
      </c>
      <c r="AD77">
        <v>1</v>
      </c>
      <c r="AE77">
        <v>8</v>
      </c>
      <c r="AF77">
        <v>0</v>
      </c>
      <c r="AG77">
        <f>IF(tbl_HR_Data[[#This Row],[Gender]]="Male",1,0)</f>
        <v>0</v>
      </c>
      <c r="AH77" cm="1">
        <f t="array" ref="AH77">_xlfn.SWITCH(tbl_HR_Data[[#This Row],[BusinessTravel]], "Non-Travel", 0, "Travel_Rarely", 1, "Travel_Frequently", 2)</f>
        <v>1</v>
      </c>
      <c r="AI77" cm="1">
        <f t="array" ref="AI77">_xlfn.SWITCH(tbl_HR_Data[[#This Row],[MaritalStatus]],"Single",0,"Married",1,"Divorced",2)</f>
        <v>0</v>
      </c>
      <c r="AJ77">
        <f>IF(tbl_HR_Data[[#This Row],[OverTime]]=1,1,0)</f>
        <v>0</v>
      </c>
      <c r="AK77">
        <f>IF(tbl_HR_Data[[#This Row],[DistanceFromHome]]&gt;15,1,0)</f>
        <v>0</v>
      </c>
      <c r="AL77">
        <f>IF(tbl_HR_Data[[#This Row],[JobSatisfaction]]&lt;=2,1,0)</f>
        <v>0</v>
      </c>
      <c r="AM77">
        <f>IF(tbl_HR_Data[[#This Row],[MonthlyIncome]]&lt;$AT$2,1,0)</f>
        <v>1</v>
      </c>
      <c r="AN77">
        <f>IF(tbl_HR_Data[[#This Row],[Travel_Code]]=2,1,0)</f>
        <v>0</v>
      </c>
      <c r="AO77">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77" s="15">
        <f>tbl_HR_Data[[#This Row],[Risk_Score_Raw]] / SUM(Logic_Parameters!$B$2:$B$6)</f>
        <v>0.22374939857982484</v>
      </c>
      <c r="AQ77" s="16" t="str" cm="1">
        <f t="array" ref="AQ77">_xlfn.IFS(tbl_HR_Data[[#This Row],[Attrition_Risk_Percentage]] &gt;= 0.75, "Critical",tbl_HR_Data[ [#This Row],[Attrition_Risk_Percentage] ]&gt;= 0.5, "High",tbl_HR_Data[[#This Row],[Attrition_Risk_Percentage]] &gt;= 0.25, "Medium",TRUE, "Low")</f>
        <v>Low</v>
      </c>
      <c r="AR77" s="16" cm="1">
        <f t="array" ref="AR77">IFERROR(_xlfn.IFS(tbl_HR_Data[[#This Row],[Risk_Category]]="Critical",tbl_HR_Data[[#This Row],[MonthlyIncome]]*1.5,tbl_HR_Data[[#This Row],[Risk_Category]]="High",tbl_HR_Data[[#This Row],[MonthlyIncome]]*1.5),0)</f>
        <v>0</v>
      </c>
    </row>
    <row r="78" spans="1:44" x14ac:dyDescent="0.35">
      <c r="A78" t="s">
        <v>1113</v>
      </c>
      <c r="B78">
        <v>35</v>
      </c>
      <c r="C78" t="s">
        <v>31</v>
      </c>
      <c r="D78">
        <v>776</v>
      </c>
      <c r="E78" t="s">
        <v>32</v>
      </c>
      <c r="F78">
        <v>1</v>
      </c>
      <c r="G78">
        <v>4</v>
      </c>
      <c r="H78" t="s">
        <v>51</v>
      </c>
      <c r="I78">
        <v>3</v>
      </c>
      <c r="J78" t="s">
        <v>39</v>
      </c>
      <c r="K78">
        <v>32</v>
      </c>
      <c r="L78">
        <v>2</v>
      </c>
      <c r="M78">
        <v>2</v>
      </c>
      <c r="N78" t="s">
        <v>35</v>
      </c>
      <c r="O78">
        <v>1</v>
      </c>
      <c r="P78" t="s">
        <v>36</v>
      </c>
      <c r="Q78">
        <v>4312</v>
      </c>
      <c r="R78">
        <v>23016</v>
      </c>
      <c r="S78">
        <v>0</v>
      </c>
      <c r="T78">
        <v>0</v>
      </c>
      <c r="U78" s="17">
        <v>0.14000000000000001</v>
      </c>
      <c r="V78">
        <v>3</v>
      </c>
      <c r="W78">
        <v>2</v>
      </c>
      <c r="X78">
        <v>0</v>
      </c>
      <c r="Y78">
        <v>16</v>
      </c>
      <c r="Z78">
        <v>2</v>
      </c>
      <c r="AA78">
        <v>3</v>
      </c>
      <c r="AB78">
        <v>15</v>
      </c>
      <c r="AC78">
        <v>13</v>
      </c>
      <c r="AD78">
        <v>2</v>
      </c>
      <c r="AE78">
        <v>8</v>
      </c>
      <c r="AF78">
        <v>0</v>
      </c>
      <c r="AG78">
        <f>IF(tbl_HR_Data[[#This Row],[Gender]]="Male",1,0)</f>
        <v>1</v>
      </c>
      <c r="AH78" cm="1">
        <f t="array" ref="AH78">_xlfn.SWITCH(tbl_HR_Data[[#This Row],[BusinessTravel]], "Non-Travel", 0, "Travel_Rarely", 1, "Travel_Frequently", 2)</f>
        <v>1</v>
      </c>
      <c r="AI78" cm="1">
        <f t="array" ref="AI78">_xlfn.SWITCH(tbl_HR_Data[[#This Row],[MaritalStatus]],"Single",0,"Married",1,"Divorced",2)</f>
        <v>0</v>
      </c>
      <c r="AJ78">
        <f>IF(tbl_HR_Data[[#This Row],[OverTime]]=1,1,0)</f>
        <v>0</v>
      </c>
      <c r="AK78">
        <f>IF(tbl_HR_Data[[#This Row],[DistanceFromHome]]&gt;15,1,0)</f>
        <v>0</v>
      </c>
      <c r="AL78">
        <f>IF(tbl_HR_Data[[#This Row],[JobSatisfaction]]&lt;=2,1,0)</f>
        <v>1</v>
      </c>
      <c r="AM78">
        <f>IF(tbl_HR_Data[[#This Row],[MonthlyIncome]]&lt;$AT$2,1,0)</f>
        <v>1</v>
      </c>
      <c r="AN78">
        <f>IF(tbl_HR_Data[[#This Row],[Travel_Code]]=2,1,0)</f>
        <v>0</v>
      </c>
      <c r="AO78">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78" s="15">
        <f>tbl_HR_Data[[#This Row],[Risk_Score_Raw]] / SUM(Logic_Parameters!$B$2:$B$6)</f>
        <v>0.3686061316669938</v>
      </c>
      <c r="AQ78" s="16" t="str" cm="1">
        <f t="array" ref="AQ78">_xlfn.IFS(tbl_HR_Data[[#This Row],[Attrition_Risk_Percentage]] &gt;= 0.75, "Critical",tbl_HR_Data[ [#This Row],[Attrition_Risk_Percentage] ]&gt;= 0.5, "High",tbl_HR_Data[[#This Row],[Attrition_Risk_Percentage]] &gt;= 0.25, "Medium",TRUE, "Low")</f>
        <v>Medium</v>
      </c>
      <c r="AR78" s="16" cm="1">
        <f t="array" ref="AR78">IFERROR(_xlfn.IFS(tbl_HR_Data[[#This Row],[Risk_Category]]="Critical",tbl_HR_Data[[#This Row],[MonthlyIncome]]*1.5,tbl_HR_Data[[#This Row],[Risk_Category]]="High",tbl_HR_Data[[#This Row],[MonthlyIncome]]*1.5),0)</f>
        <v>0</v>
      </c>
    </row>
    <row r="79" spans="1:44" x14ac:dyDescent="0.35">
      <c r="A79" t="s">
        <v>1352</v>
      </c>
      <c r="B79">
        <v>45</v>
      </c>
      <c r="C79" t="s">
        <v>31</v>
      </c>
      <c r="D79">
        <v>193</v>
      </c>
      <c r="E79" t="s">
        <v>38</v>
      </c>
      <c r="F79">
        <v>6</v>
      </c>
      <c r="G79">
        <v>4</v>
      </c>
      <c r="H79" t="s">
        <v>42</v>
      </c>
      <c r="I79">
        <v>4</v>
      </c>
      <c r="J79" t="s">
        <v>39</v>
      </c>
      <c r="K79">
        <v>52</v>
      </c>
      <c r="L79">
        <v>3</v>
      </c>
      <c r="M79">
        <v>3</v>
      </c>
      <c r="N79" t="s">
        <v>50</v>
      </c>
      <c r="O79">
        <v>1</v>
      </c>
      <c r="P79" t="s">
        <v>41</v>
      </c>
      <c r="Q79">
        <v>13245</v>
      </c>
      <c r="R79">
        <v>15067</v>
      </c>
      <c r="S79">
        <v>4</v>
      </c>
      <c r="T79">
        <v>1</v>
      </c>
      <c r="U79" s="17">
        <v>0.14000000000000001</v>
      </c>
      <c r="V79">
        <v>3</v>
      </c>
      <c r="W79">
        <v>2</v>
      </c>
      <c r="X79">
        <v>0</v>
      </c>
      <c r="Y79">
        <v>17</v>
      </c>
      <c r="Z79">
        <v>3</v>
      </c>
      <c r="AA79">
        <v>4</v>
      </c>
      <c r="AB79">
        <v>0</v>
      </c>
      <c r="AC79">
        <v>0</v>
      </c>
      <c r="AD79">
        <v>0</v>
      </c>
      <c r="AE79">
        <v>0</v>
      </c>
      <c r="AF79">
        <v>0</v>
      </c>
      <c r="AG79">
        <f>IF(tbl_HR_Data[[#This Row],[Gender]]="Male",1,0)</f>
        <v>1</v>
      </c>
      <c r="AH79" cm="1">
        <f t="array" ref="AH79">_xlfn.SWITCH(tbl_HR_Data[[#This Row],[BusinessTravel]], "Non-Travel", 0, "Travel_Rarely", 1, "Travel_Frequently", 2)</f>
        <v>1</v>
      </c>
      <c r="AI79" cm="1">
        <f t="array" ref="AI79">_xlfn.SWITCH(tbl_HR_Data[[#This Row],[MaritalStatus]],"Single",0,"Married",1,"Divorced",2)</f>
        <v>1</v>
      </c>
      <c r="AJ79">
        <f>IF(tbl_HR_Data[[#This Row],[OverTime]]=1,1,0)</f>
        <v>1</v>
      </c>
      <c r="AK79">
        <f>IF(tbl_HR_Data[[#This Row],[DistanceFromHome]]&gt;15,1,0)</f>
        <v>0</v>
      </c>
      <c r="AL79">
        <f>IF(tbl_HR_Data[[#This Row],[JobSatisfaction]]&lt;=2,1,0)</f>
        <v>1</v>
      </c>
      <c r="AM79">
        <f>IF(tbl_HR_Data[[#This Row],[MonthlyIncome]]&lt;$AT$2,1,0)</f>
        <v>0</v>
      </c>
      <c r="AN79">
        <f>IF(tbl_HR_Data[[#This Row],[Travel_Code]]=2,1,0)</f>
        <v>0</v>
      </c>
      <c r="AO79">
        <f>(tbl_HR_Data[[#This Row],[Flag_OT]] * Logic_Parameters!$B$2) +
 (tbl_HR_Data[[#This Row],[Flag_Travel]] * Logic_Parameters!$B$3) +
 (tbl_HR_Data[[#This Row],[Flag_Satisfaction]] * Logic_Parameters!$B$4) +
 (tbl_HR_Data[[#This Row],[Flag_Distance]]* Logic_Parameters!$B$5) +
 (tbl_HR_Data[[#This Row],[Flag_Income]] * Logic_Parameters!$B$6)</f>
        <v>14.204533129978131</v>
      </c>
      <c r="AP79" s="15">
        <f>tbl_HR_Data[[#This Row],[Risk_Score_Raw]] / SUM(Logic_Parameters!$B$2:$B$6)</f>
        <v>0.48938186491297625</v>
      </c>
      <c r="AQ79" s="16" t="str" cm="1">
        <f t="array" ref="AQ79">_xlfn.IFS(tbl_HR_Data[[#This Row],[Attrition_Risk_Percentage]] &gt;= 0.75, "Critical",tbl_HR_Data[ [#This Row],[Attrition_Risk_Percentage] ]&gt;= 0.5, "High",tbl_HR_Data[[#This Row],[Attrition_Risk_Percentage]] &gt;= 0.25, "Medium",TRUE, "Low")</f>
        <v>Medium</v>
      </c>
      <c r="AR79" s="16" cm="1">
        <f t="array" ref="AR79">IFERROR(_xlfn.IFS(tbl_HR_Data[[#This Row],[Risk_Category]]="Critical",tbl_HR_Data[[#This Row],[MonthlyIncome]]*1.5,tbl_HR_Data[[#This Row],[Risk_Category]]="High",tbl_HR_Data[[#This Row],[MonthlyIncome]]*1.5),0)</f>
        <v>0</v>
      </c>
    </row>
    <row r="80" spans="1:44" x14ac:dyDescent="0.35">
      <c r="A80" t="s">
        <v>1442</v>
      </c>
      <c r="B80">
        <v>37</v>
      </c>
      <c r="C80" t="s">
        <v>31</v>
      </c>
      <c r="D80">
        <v>397</v>
      </c>
      <c r="E80" t="s">
        <v>38</v>
      </c>
      <c r="F80">
        <v>7</v>
      </c>
      <c r="G80">
        <v>4</v>
      </c>
      <c r="H80" t="s">
        <v>44</v>
      </c>
      <c r="I80">
        <v>1</v>
      </c>
      <c r="J80" t="s">
        <v>39</v>
      </c>
      <c r="K80">
        <v>30</v>
      </c>
      <c r="L80">
        <v>3</v>
      </c>
      <c r="M80">
        <v>3</v>
      </c>
      <c r="N80" t="s">
        <v>50</v>
      </c>
      <c r="O80">
        <v>3</v>
      </c>
      <c r="P80" t="s">
        <v>36</v>
      </c>
      <c r="Q80">
        <v>13664</v>
      </c>
      <c r="R80">
        <v>25258</v>
      </c>
      <c r="S80">
        <v>4</v>
      </c>
      <c r="T80">
        <v>0</v>
      </c>
      <c r="U80" s="17">
        <v>0.13</v>
      </c>
      <c r="V80">
        <v>3</v>
      </c>
      <c r="W80">
        <v>1</v>
      </c>
      <c r="X80">
        <v>0</v>
      </c>
      <c r="Y80">
        <v>16</v>
      </c>
      <c r="Z80">
        <v>3</v>
      </c>
      <c r="AA80">
        <v>4</v>
      </c>
      <c r="AB80">
        <v>5</v>
      </c>
      <c r="AC80">
        <v>2</v>
      </c>
      <c r="AD80">
        <v>0</v>
      </c>
      <c r="AE80">
        <v>2</v>
      </c>
      <c r="AF80">
        <v>0</v>
      </c>
      <c r="AG80">
        <f>IF(tbl_HR_Data[[#This Row],[Gender]]="Male",1,0)</f>
        <v>1</v>
      </c>
      <c r="AH80" cm="1">
        <f t="array" ref="AH80">_xlfn.SWITCH(tbl_HR_Data[[#This Row],[BusinessTravel]], "Non-Travel", 0, "Travel_Rarely", 1, "Travel_Frequently", 2)</f>
        <v>1</v>
      </c>
      <c r="AI80" cm="1">
        <f t="array" ref="AI80">_xlfn.SWITCH(tbl_HR_Data[[#This Row],[MaritalStatus]],"Single",0,"Married",1,"Divorced",2)</f>
        <v>0</v>
      </c>
      <c r="AJ80">
        <f>IF(tbl_HR_Data[[#This Row],[OverTime]]=1,1,0)</f>
        <v>0</v>
      </c>
      <c r="AK80">
        <f>IF(tbl_HR_Data[[#This Row],[DistanceFromHome]]&gt;15,1,0)</f>
        <v>0</v>
      </c>
      <c r="AL80">
        <f>IF(tbl_HR_Data[[#This Row],[JobSatisfaction]]&lt;=2,1,0)</f>
        <v>0</v>
      </c>
      <c r="AM80">
        <f>IF(tbl_HR_Data[[#This Row],[MonthlyIncome]]&lt;$AT$2,1,0)</f>
        <v>0</v>
      </c>
      <c r="AN80">
        <f>IF(tbl_HR_Data[[#This Row],[Travel_Code]]=2,1,0)</f>
        <v>0</v>
      </c>
      <c r="AO80">
        <f>(tbl_HR_Data[[#This Row],[Flag_OT]] * Logic_Parameters!$B$2) +
 (tbl_HR_Data[[#This Row],[Flag_Travel]] * Logic_Parameters!$B$3) +
 (tbl_HR_Data[[#This Row],[Flag_Satisfaction]] * Logic_Parameters!$B$4) +
 (tbl_HR_Data[[#This Row],[Flag_Distance]]* Logic_Parameters!$B$5) +
 (tbl_HR_Data[[#This Row],[Flag_Income]] * Logic_Parameters!$B$6)</f>
        <v>0</v>
      </c>
      <c r="AP80" s="15">
        <f>tbl_HR_Data[[#This Row],[Risk_Score_Raw]] / SUM(Logic_Parameters!$B$2:$B$6)</f>
        <v>0</v>
      </c>
      <c r="AQ80" s="16" t="str" cm="1">
        <f t="array" ref="AQ80">_xlfn.IFS(tbl_HR_Data[[#This Row],[Attrition_Risk_Percentage]] &gt;= 0.75, "Critical",tbl_HR_Data[ [#This Row],[Attrition_Risk_Percentage] ]&gt;= 0.5, "High",tbl_HR_Data[[#This Row],[Attrition_Risk_Percentage]] &gt;= 0.25, "Medium",TRUE, "Low")</f>
        <v>Low</v>
      </c>
      <c r="AR80" s="16" cm="1">
        <f t="array" ref="AR80">IFERROR(_xlfn.IFS(tbl_HR_Data[[#This Row],[Risk_Category]]="Critical",tbl_HR_Data[[#This Row],[MonthlyIncome]]*1.5,tbl_HR_Data[[#This Row],[Risk_Category]]="High",tbl_HR_Data[[#This Row],[MonthlyIncome]]*1.5),0)</f>
        <v>0</v>
      </c>
    </row>
    <row r="81" spans="1:44" x14ac:dyDescent="0.35">
      <c r="A81" t="s">
        <v>1237</v>
      </c>
      <c r="B81">
        <v>46</v>
      </c>
      <c r="C81" t="s">
        <v>31</v>
      </c>
      <c r="D81">
        <v>945</v>
      </c>
      <c r="E81" t="s">
        <v>53</v>
      </c>
      <c r="F81">
        <v>5</v>
      </c>
      <c r="G81">
        <v>2</v>
      </c>
      <c r="H81" t="s">
        <v>44</v>
      </c>
      <c r="I81">
        <v>2</v>
      </c>
      <c r="J81" t="s">
        <v>39</v>
      </c>
      <c r="K81">
        <v>80</v>
      </c>
      <c r="L81">
        <v>3</v>
      </c>
      <c r="M81">
        <v>2</v>
      </c>
      <c r="N81" t="s">
        <v>53</v>
      </c>
      <c r="O81">
        <v>2</v>
      </c>
      <c r="P81" t="s">
        <v>45</v>
      </c>
      <c r="Q81">
        <v>5021</v>
      </c>
      <c r="R81">
        <v>10425</v>
      </c>
      <c r="S81">
        <v>8</v>
      </c>
      <c r="T81">
        <v>1</v>
      </c>
      <c r="U81" s="17">
        <v>0.22</v>
      </c>
      <c r="V81">
        <v>4</v>
      </c>
      <c r="W81">
        <v>4</v>
      </c>
      <c r="X81">
        <v>1</v>
      </c>
      <c r="Y81">
        <v>16</v>
      </c>
      <c r="Z81">
        <v>2</v>
      </c>
      <c r="AA81">
        <v>3</v>
      </c>
      <c r="AB81">
        <v>4</v>
      </c>
      <c r="AC81">
        <v>2</v>
      </c>
      <c r="AD81">
        <v>0</v>
      </c>
      <c r="AE81">
        <v>2</v>
      </c>
      <c r="AF81">
        <v>0</v>
      </c>
      <c r="AG81">
        <f>IF(tbl_HR_Data[[#This Row],[Gender]]="Male",1,0)</f>
        <v>1</v>
      </c>
      <c r="AH81" cm="1">
        <f t="array" ref="AH81">_xlfn.SWITCH(tbl_HR_Data[[#This Row],[BusinessTravel]], "Non-Travel", 0, "Travel_Rarely", 1, "Travel_Frequently", 2)</f>
        <v>1</v>
      </c>
      <c r="AI81" cm="1">
        <f t="array" ref="AI81">_xlfn.SWITCH(tbl_HR_Data[[#This Row],[MaritalStatus]],"Single",0,"Married",1,"Divorced",2)</f>
        <v>2</v>
      </c>
      <c r="AJ81">
        <f>IF(tbl_HR_Data[[#This Row],[OverTime]]=1,1,0)</f>
        <v>1</v>
      </c>
      <c r="AK81">
        <f>IF(tbl_HR_Data[[#This Row],[DistanceFromHome]]&gt;15,1,0)</f>
        <v>0</v>
      </c>
      <c r="AL81">
        <f>IF(tbl_HR_Data[[#This Row],[JobSatisfaction]]&lt;=2,1,0)</f>
        <v>1</v>
      </c>
      <c r="AM81">
        <f>IF(tbl_HR_Data[[#This Row],[MonthlyIncome]]&lt;$AT$2,1,0)</f>
        <v>0</v>
      </c>
      <c r="AN81">
        <f>IF(tbl_HR_Data[[#This Row],[Travel_Code]]=2,1,0)</f>
        <v>0</v>
      </c>
      <c r="AO81">
        <f>(tbl_HR_Data[[#This Row],[Flag_OT]] * Logic_Parameters!$B$2) +
 (tbl_HR_Data[[#This Row],[Flag_Travel]] * Logic_Parameters!$B$3) +
 (tbl_HR_Data[[#This Row],[Flag_Satisfaction]] * Logic_Parameters!$B$4) +
 (tbl_HR_Data[[#This Row],[Flag_Distance]]* Logic_Parameters!$B$5) +
 (tbl_HR_Data[[#This Row],[Flag_Income]] * Logic_Parameters!$B$6)</f>
        <v>14.204533129978131</v>
      </c>
      <c r="AP81" s="15">
        <f>tbl_HR_Data[[#This Row],[Risk_Score_Raw]] / SUM(Logic_Parameters!$B$2:$B$6)</f>
        <v>0.48938186491297625</v>
      </c>
      <c r="AQ81" s="16" t="str" cm="1">
        <f t="array" ref="AQ81">_xlfn.IFS(tbl_HR_Data[[#This Row],[Attrition_Risk_Percentage]] &gt;= 0.75, "Critical",tbl_HR_Data[ [#This Row],[Attrition_Risk_Percentage] ]&gt;= 0.5, "High",tbl_HR_Data[[#This Row],[Attrition_Risk_Percentage]] &gt;= 0.25, "Medium",TRUE, "Low")</f>
        <v>Medium</v>
      </c>
      <c r="AR81" s="16" cm="1">
        <f t="array" ref="AR81">IFERROR(_xlfn.IFS(tbl_HR_Data[[#This Row],[Risk_Category]]="Critical",tbl_HR_Data[[#This Row],[MonthlyIncome]]*1.5,tbl_HR_Data[[#This Row],[Risk_Category]]="High",tbl_HR_Data[[#This Row],[MonthlyIncome]]*1.5),0)</f>
        <v>0</v>
      </c>
    </row>
    <row r="82" spans="1:44" x14ac:dyDescent="0.35">
      <c r="A82" t="s">
        <v>250</v>
      </c>
      <c r="B82">
        <v>30</v>
      </c>
      <c r="C82" t="s">
        <v>31</v>
      </c>
      <c r="D82">
        <v>852</v>
      </c>
      <c r="E82" t="s">
        <v>38</v>
      </c>
      <c r="F82">
        <v>1</v>
      </c>
      <c r="G82">
        <v>1</v>
      </c>
      <c r="H82" t="s">
        <v>33</v>
      </c>
      <c r="I82">
        <v>4</v>
      </c>
      <c r="J82" t="s">
        <v>39</v>
      </c>
      <c r="K82">
        <v>55</v>
      </c>
      <c r="L82">
        <v>2</v>
      </c>
      <c r="M82">
        <v>2</v>
      </c>
      <c r="N82" t="s">
        <v>43</v>
      </c>
      <c r="O82">
        <v>4</v>
      </c>
      <c r="P82" t="s">
        <v>41</v>
      </c>
      <c r="Q82">
        <v>5126</v>
      </c>
      <c r="R82">
        <v>15998</v>
      </c>
      <c r="S82">
        <v>1</v>
      </c>
      <c r="T82">
        <v>1</v>
      </c>
      <c r="U82" s="17">
        <v>0.12</v>
      </c>
      <c r="V82">
        <v>3</v>
      </c>
      <c r="W82">
        <v>3</v>
      </c>
      <c r="X82">
        <v>2</v>
      </c>
      <c r="Y82">
        <v>10</v>
      </c>
      <c r="Z82">
        <v>1</v>
      </c>
      <c r="AA82">
        <v>2</v>
      </c>
      <c r="AB82">
        <v>10</v>
      </c>
      <c r="AC82">
        <v>8</v>
      </c>
      <c r="AD82">
        <v>3</v>
      </c>
      <c r="AE82">
        <v>0</v>
      </c>
      <c r="AF82">
        <v>0</v>
      </c>
      <c r="AG82">
        <f>IF(tbl_HR_Data[[#This Row],[Gender]]="Male",1,0)</f>
        <v>1</v>
      </c>
      <c r="AH82" cm="1">
        <f t="array" ref="AH82">_xlfn.SWITCH(tbl_HR_Data[[#This Row],[BusinessTravel]], "Non-Travel", 0, "Travel_Rarely", 1, "Travel_Frequently", 2)</f>
        <v>1</v>
      </c>
      <c r="AI82" cm="1">
        <f t="array" ref="AI82">_xlfn.SWITCH(tbl_HR_Data[[#This Row],[MaritalStatus]],"Single",0,"Married",1,"Divorced",2)</f>
        <v>1</v>
      </c>
      <c r="AJ82">
        <f>IF(tbl_HR_Data[[#This Row],[OverTime]]=1,1,0)</f>
        <v>1</v>
      </c>
      <c r="AK82">
        <f>IF(tbl_HR_Data[[#This Row],[DistanceFromHome]]&gt;15,1,0)</f>
        <v>0</v>
      </c>
      <c r="AL82">
        <f>IF(tbl_HR_Data[[#This Row],[JobSatisfaction]]&lt;=2,1,0)</f>
        <v>0</v>
      </c>
      <c r="AM82">
        <f>IF(tbl_HR_Data[[#This Row],[MonthlyIncome]]&lt;$AT$2,1,0)</f>
        <v>0</v>
      </c>
      <c r="AN82">
        <f>IF(tbl_HR_Data[[#This Row],[Travel_Code]]=2,1,0)</f>
        <v>0</v>
      </c>
      <c r="AO82">
        <f>(tbl_HR_Data[[#This Row],[Flag_OT]] * Logic_Parameters!$B$2) +
 (tbl_HR_Data[[#This Row],[Flag_Travel]] * Logic_Parameters!$B$3) +
 (tbl_HR_Data[[#This Row],[Flag_Satisfaction]] * Logic_Parameters!$B$4) +
 (tbl_HR_Data[[#This Row],[Flag_Distance]]* Logic_Parameters!$B$5) +
 (tbl_HR_Data[[#This Row],[Flag_Income]] * Logic_Parameters!$B$6)</f>
        <v>10</v>
      </c>
      <c r="AP82" s="15">
        <f>tbl_HR_Data[[#This Row],[Risk_Score_Raw]] / SUM(Logic_Parameters!$B$2:$B$6)</f>
        <v>0.3445251318258073</v>
      </c>
      <c r="AQ82" s="16" t="str" cm="1">
        <f t="array" ref="AQ82">_xlfn.IFS(tbl_HR_Data[[#This Row],[Attrition_Risk_Percentage]] &gt;= 0.75, "Critical",tbl_HR_Data[ [#This Row],[Attrition_Risk_Percentage] ]&gt;= 0.5, "High",tbl_HR_Data[[#This Row],[Attrition_Risk_Percentage]] &gt;= 0.25, "Medium",TRUE, "Low")</f>
        <v>Medium</v>
      </c>
      <c r="AR82" s="16" cm="1">
        <f t="array" ref="AR82">IFERROR(_xlfn.IFS(tbl_HR_Data[[#This Row],[Risk_Category]]="Critical",tbl_HR_Data[[#This Row],[MonthlyIncome]]*1.5,tbl_HR_Data[[#This Row],[Risk_Category]]="High",tbl_HR_Data[[#This Row],[MonthlyIncome]]*1.5),0)</f>
        <v>0</v>
      </c>
    </row>
    <row r="83" spans="1:44" x14ac:dyDescent="0.35">
      <c r="A83" t="s">
        <v>1262</v>
      </c>
      <c r="B83">
        <v>35</v>
      </c>
      <c r="C83" t="s">
        <v>31</v>
      </c>
      <c r="D83">
        <v>1214</v>
      </c>
      <c r="E83" t="s">
        <v>38</v>
      </c>
      <c r="F83">
        <v>1</v>
      </c>
      <c r="G83">
        <v>3</v>
      </c>
      <c r="H83" t="s">
        <v>44</v>
      </c>
      <c r="I83">
        <v>2</v>
      </c>
      <c r="J83" t="s">
        <v>39</v>
      </c>
      <c r="K83">
        <v>30</v>
      </c>
      <c r="L83">
        <v>2</v>
      </c>
      <c r="M83">
        <v>1</v>
      </c>
      <c r="N83" t="s">
        <v>40</v>
      </c>
      <c r="O83">
        <v>3</v>
      </c>
      <c r="P83" t="s">
        <v>36</v>
      </c>
      <c r="Q83">
        <v>2859</v>
      </c>
      <c r="R83">
        <v>26278</v>
      </c>
      <c r="S83">
        <v>1</v>
      </c>
      <c r="T83">
        <v>0</v>
      </c>
      <c r="U83" s="17">
        <v>0.18</v>
      </c>
      <c r="V83">
        <v>3</v>
      </c>
      <c r="W83">
        <v>1</v>
      </c>
      <c r="X83">
        <v>0</v>
      </c>
      <c r="Y83">
        <v>6</v>
      </c>
      <c r="Z83">
        <v>3</v>
      </c>
      <c r="AA83">
        <v>3</v>
      </c>
      <c r="AB83">
        <v>6</v>
      </c>
      <c r="AC83">
        <v>4</v>
      </c>
      <c r="AD83">
        <v>0</v>
      </c>
      <c r="AE83">
        <v>4</v>
      </c>
      <c r="AF83">
        <v>0</v>
      </c>
      <c r="AG83">
        <f>IF(tbl_HR_Data[[#This Row],[Gender]]="Male",1,0)</f>
        <v>1</v>
      </c>
      <c r="AH83" cm="1">
        <f t="array" ref="AH83">_xlfn.SWITCH(tbl_HR_Data[[#This Row],[BusinessTravel]], "Non-Travel", 0, "Travel_Rarely", 1, "Travel_Frequently", 2)</f>
        <v>1</v>
      </c>
      <c r="AI83" cm="1">
        <f t="array" ref="AI83">_xlfn.SWITCH(tbl_HR_Data[[#This Row],[MaritalStatus]],"Single",0,"Married",1,"Divorced",2)</f>
        <v>0</v>
      </c>
      <c r="AJ83">
        <f>IF(tbl_HR_Data[[#This Row],[OverTime]]=1,1,0)</f>
        <v>0</v>
      </c>
      <c r="AK83">
        <f>IF(tbl_HR_Data[[#This Row],[DistanceFromHome]]&gt;15,1,0)</f>
        <v>0</v>
      </c>
      <c r="AL83">
        <f>IF(tbl_HR_Data[[#This Row],[JobSatisfaction]]&lt;=2,1,0)</f>
        <v>0</v>
      </c>
      <c r="AM83">
        <f>IF(tbl_HR_Data[[#This Row],[MonthlyIncome]]&lt;$AT$2,1,0)</f>
        <v>1</v>
      </c>
      <c r="AN83">
        <f>IF(tbl_HR_Data[[#This Row],[Travel_Code]]=2,1,0)</f>
        <v>0</v>
      </c>
      <c r="AO83">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83" s="15">
        <f>tbl_HR_Data[[#This Row],[Risk_Score_Raw]] / SUM(Logic_Parameters!$B$2:$B$6)</f>
        <v>0.22374939857982484</v>
      </c>
      <c r="AQ83" s="16" t="str" cm="1">
        <f t="array" ref="AQ83">_xlfn.IFS(tbl_HR_Data[[#This Row],[Attrition_Risk_Percentage]] &gt;= 0.75, "Critical",tbl_HR_Data[ [#This Row],[Attrition_Risk_Percentage] ]&gt;= 0.5, "High",tbl_HR_Data[[#This Row],[Attrition_Risk_Percentage]] &gt;= 0.25, "Medium",TRUE, "Low")</f>
        <v>Low</v>
      </c>
      <c r="AR83" s="16" cm="1">
        <f t="array" ref="AR83">IFERROR(_xlfn.IFS(tbl_HR_Data[[#This Row],[Risk_Category]]="Critical",tbl_HR_Data[[#This Row],[MonthlyIncome]]*1.5,tbl_HR_Data[[#This Row],[Risk_Category]]="High",tbl_HR_Data[[#This Row],[MonthlyIncome]]*1.5),0)</f>
        <v>0</v>
      </c>
    </row>
    <row r="84" spans="1:44" x14ac:dyDescent="0.35">
      <c r="A84" t="s">
        <v>413</v>
      </c>
      <c r="B84">
        <v>55</v>
      </c>
      <c r="C84" t="s">
        <v>31</v>
      </c>
      <c r="D84">
        <v>111</v>
      </c>
      <c r="E84" t="s">
        <v>32</v>
      </c>
      <c r="F84">
        <v>1</v>
      </c>
      <c r="G84">
        <v>2</v>
      </c>
      <c r="H84" t="s">
        <v>33</v>
      </c>
      <c r="I84">
        <v>1</v>
      </c>
      <c r="J84" t="s">
        <v>39</v>
      </c>
      <c r="K84">
        <v>70</v>
      </c>
      <c r="L84">
        <v>3</v>
      </c>
      <c r="M84">
        <v>3</v>
      </c>
      <c r="N84" t="s">
        <v>35</v>
      </c>
      <c r="O84">
        <v>4</v>
      </c>
      <c r="P84" t="s">
        <v>41</v>
      </c>
      <c r="Q84">
        <v>10239</v>
      </c>
      <c r="R84">
        <v>18092</v>
      </c>
      <c r="S84">
        <v>3</v>
      </c>
      <c r="T84">
        <v>0</v>
      </c>
      <c r="U84" s="17">
        <v>0.14000000000000001</v>
      </c>
      <c r="V84">
        <v>3</v>
      </c>
      <c r="W84">
        <v>4</v>
      </c>
      <c r="X84">
        <v>1</v>
      </c>
      <c r="Y84">
        <v>24</v>
      </c>
      <c r="Z84">
        <v>4</v>
      </c>
      <c r="AA84">
        <v>3</v>
      </c>
      <c r="AB84">
        <v>1</v>
      </c>
      <c r="AC84">
        <v>0</v>
      </c>
      <c r="AD84">
        <v>1</v>
      </c>
      <c r="AE84">
        <v>0</v>
      </c>
      <c r="AF84">
        <v>0</v>
      </c>
      <c r="AG84">
        <f>IF(tbl_HR_Data[[#This Row],[Gender]]="Male",1,0)</f>
        <v>1</v>
      </c>
      <c r="AH84" cm="1">
        <f t="array" ref="AH84">_xlfn.SWITCH(tbl_HR_Data[[#This Row],[BusinessTravel]], "Non-Travel", 0, "Travel_Rarely", 1, "Travel_Frequently", 2)</f>
        <v>1</v>
      </c>
      <c r="AI84" cm="1">
        <f t="array" ref="AI84">_xlfn.SWITCH(tbl_HR_Data[[#This Row],[MaritalStatus]],"Single",0,"Married",1,"Divorced",2)</f>
        <v>1</v>
      </c>
      <c r="AJ84">
        <f>IF(tbl_HR_Data[[#This Row],[OverTime]]=1,1,0)</f>
        <v>0</v>
      </c>
      <c r="AK84">
        <f>IF(tbl_HR_Data[[#This Row],[DistanceFromHome]]&gt;15,1,0)</f>
        <v>0</v>
      </c>
      <c r="AL84">
        <f>IF(tbl_HR_Data[[#This Row],[JobSatisfaction]]&lt;=2,1,0)</f>
        <v>0</v>
      </c>
      <c r="AM84">
        <f>IF(tbl_HR_Data[[#This Row],[MonthlyIncome]]&lt;$AT$2,1,0)</f>
        <v>0</v>
      </c>
      <c r="AN84">
        <f>IF(tbl_HR_Data[[#This Row],[Travel_Code]]=2,1,0)</f>
        <v>0</v>
      </c>
      <c r="AO84">
        <f>(tbl_HR_Data[[#This Row],[Flag_OT]] * Logic_Parameters!$B$2) +
 (tbl_HR_Data[[#This Row],[Flag_Travel]] * Logic_Parameters!$B$3) +
 (tbl_HR_Data[[#This Row],[Flag_Satisfaction]] * Logic_Parameters!$B$4) +
 (tbl_HR_Data[[#This Row],[Flag_Distance]]* Logic_Parameters!$B$5) +
 (tbl_HR_Data[[#This Row],[Flag_Income]] * Logic_Parameters!$B$6)</f>
        <v>0</v>
      </c>
      <c r="AP84" s="15">
        <f>tbl_HR_Data[[#This Row],[Risk_Score_Raw]] / SUM(Logic_Parameters!$B$2:$B$6)</f>
        <v>0</v>
      </c>
      <c r="AQ84" s="16" t="str" cm="1">
        <f t="array" ref="AQ84">_xlfn.IFS(tbl_HR_Data[[#This Row],[Attrition_Risk_Percentage]] &gt;= 0.75, "Critical",tbl_HR_Data[ [#This Row],[Attrition_Risk_Percentage] ]&gt;= 0.5, "High",tbl_HR_Data[[#This Row],[Attrition_Risk_Percentage]] &gt;= 0.25, "Medium",TRUE, "Low")</f>
        <v>Low</v>
      </c>
      <c r="AR84" s="16" cm="1">
        <f t="array" ref="AR84">IFERROR(_xlfn.IFS(tbl_HR_Data[[#This Row],[Risk_Category]]="Critical",tbl_HR_Data[[#This Row],[MonthlyIncome]]*1.5,tbl_HR_Data[[#This Row],[Risk_Category]]="High",tbl_HR_Data[[#This Row],[MonthlyIncome]]*1.5),0)</f>
        <v>0</v>
      </c>
    </row>
    <row r="85" spans="1:44" x14ac:dyDescent="0.35">
      <c r="A85" t="s">
        <v>785</v>
      </c>
      <c r="B85">
        <v>38</v>
      </c>
      <c r="C85" t="s">
        <v>1525</v>
      </c>
      <c r="D85">
        <v>573</v>
      </c>
      <c r="E85" t="s">
        <v>38</v>
      </c>
      <c r="F85">
        <v>6</v>
      </c>
      <c r="G85">
        <v>3</v>
      </c>
      <c r="H85" t="s">
        <v>44</v>
      </c>
      <c r="I85">
        <v>2</v>
      </c>
      <c r="J85" t="s">
        <v>34</v>
      </c>
      <c r="K85">
        <v>79</v>
      </c>
      <c r="L85">
        <v>1</v>
      </c>
      <c r="M85">
        <v>2</v>
      </c>
      <c r="N85" t="s">
        <v>40</v>
      </c>
      <c r="O85">
        <v>4</v>
      </c>
      <c r="P85" t="s">
        <v>45</v>
      </c>
      <c r="Q85">
        <v>5329</v>
      </c>
      <c r="R85">
        <v>15717</v>
      </c>
      <c r="S85">
        <v>7</v>
      </c>
      <c r="T85">
        <v>1</v>
      </c>
      <c r="U85" s="17">
        <v>0.12</v>
      </c>
      <c r="V85">
        <v>3</v>
      </c>
      <c r="W85">
        <v>4</v>
      </c>
      <c r="X85">
        <v>3</v>
      </c>
      <c r="Y85">
        <v>17</v>
      </c>
      <c r="Z85">
        <v>3</v>
      </c>
      <c r="AA85">
        <v>3</v>
      </c>
      <c r="AB85">
        <v>13</v>
      </c>
      <c r="AC85">
        <v>11</v>
      </c>
      <c r="AD85">
        <v>1</v>
      </c>
      <c r="AE85">
        <v>9</v>
      </c>
      <c r="AF85">
        <v>0</v>
      </c>
      <c r="AG85">
        <f>IF(tbl_HR_Data[[#This Row],[Gender]]="Male",1,0)</f>
        <v>0</v>
      </c>
      <c r="AH85" cm="1">
        <f t="array" ref="AH85">_xlfn.SWITCH(tbl_HR_Data[[#This Row],[BusinessTravel]], "Non-Travel", 0, "Travel_Rarely", 1, "Travel_Frequently", 2)</f>
        <v>0</v>
      </c>
      <c r="AI85" cm="1">
        <f t="array" ref="AI85">_xlfn.SWITCH(tbl_HR_Data[[#This Row],[MaritalStatus]],"Single",0,"Married",1,"Divorced",2)</f>
        <v>2</v>
      </c>
      <c r="AJ85">
        <f>IF(tbl_HR_Data[[#This Row],[OverTime]]=1,1,0)</f>
        <v>1</v>
      </c>
      <c r="AK85">
        <f>IF(tbl_HR_Data[[#This Row],[DistanceFromHome]]&gt;15,1,0)</f>
        <v>0</v>
      </c>
      <c r="AL85">
        <f>IF(tbl_HR_Data[[#This Row],[JobSatisfaction]]&lt;=2,1,0)</f>
        <v>0</v>
      </c>
      <c r="AM85">
        <f>IF(tbl_HR_Data[[#This Row],[MonthlyIncome]]&lt;$AT$2,1,0)</f>
        <v>0</v>
      </c>
      <c r="AN85">
        <f>IF(tbl_HR_Data[[#This Row],[Travel_Code]]=2,1,0)</f>
        <v>0</v>
      </c>
      <c r="AO85">
        <f>(tbl_HR_Data[[#This Row],[Flag_OT]] * Logic_Parameters!$B$2) +
 (tbl_HR_Data[[#This Row],[Flag_Travel]] * Logic_Parameters!$B$3) +
 (tbl_HR_Data[[#This Row],[Flag_Satisfaction]] * Logic_Parameters!$B$4) +
 (tbl_HR_Data[[#This Row],[Flag_Distance]]* Logic_Parameters!$B$5) +
 (tbl_HR_Data[[#This Row],[Flag_Income]] * Logic_Parameters!$B$6)</f>
        <v>10</v>
      </c>
      <c r="AP85" s="15">
        <f>tbl_HR_Data[[#This Row],[Risk_Score_Raw]] / SUM(Logic_Parameters!$B$2:$B$6)</f>
        <v>0.3445251318258073</v>
      </c>
      <c r="AQ85" s="16" t="str" cm="1">
        <f t="array" ref="AQ85">_xlfn.IFS(tbl_HR_Data[[#This Row],[Attrition_Risk_Percentage]] &gt;= 0.75, "Critical",tbl_HR_Data[ [#This Row],[Attrition_Risk_Percentage] ]&gt;= 0.5, "High",tbl_HR_Data[[#This Row],[Attrition_Risk_Percentage]] &gt;= 0.25, "Medium",TRUE, "Low")</f>
        <v>Medium</v>
      </c>
      <c r="AR85" s="16" cm="1">
        <f t="array" ref="AR85">IFERROR(_xlfn.IFS(tbl_HR_Data[[#This Row],[Risk_Category]]="Critical",tbl_HR_Data[[#This Row],[MonthlyIncome]]*1.5,tbl_HR_Data[[#This Row],[Risk_Category]]="High",tbl_HR_Data[[#This Row],[MonthlyIncome]]*1.5),0)</f>
        <v>0</v>
      </c>
    </row>
    <row r="86" spans="1:44" x14ac:dyDescent="0.35">
      <c r="A86" t="s">
        <v>1205</v>
      </c>
      <c r="B86">
        <v>34</v>
      </c>
      <c r="C86" t="s">
        <v>31</v>
      </c>
      <c r="D86">
        <v>1153</v>
      </c>
      <c r="E86" t="s">
        <v>38</v>
      </c>
      <c r="F86">
        <v>1</v>
      </c>
      <c r="G86">
        <v>2</v>
      </c>
      <c r="H86" t="s">
        <v>44</v>
      </c>
      <c r="I86">
        <v>1</v>
      </c>
      <c r="J86" t="s">
        <v>39</v>
      </c>
      <c r="K86">
        <v>94</v>
      </c>
      <c r="L86">
        <v>3</v>
      </c>
      <c r="M86">
        <v>2</v>
      </c>
      <c r="N86" t="s">
        <v>46</v>
      </c>
      <c r="O86">
        <v>2</v>
      </c>
      <c r="P86" t="s">
        <v>41</v>
      </c>
      <c r="Q86">
        <v>4325</v>
      </c>
      <c r="R86">
        <v>17736</v>
      </c>
      <c r="S86">
        <v>1</v>
      </c>
      <c r="T86">
        <v>0</v>
      </c>
      <c r="U86" s="17">
        <v>0.15</v>
      </c>
      <c r="V86">
        <v>3</v>
      </c>
      <c r="W86">
        <v>3</v>
      </c>
      <c r="X86">
        <v>0</v>
      </c>
      <c r="Y86">
        <v>5</v>
      </c>
      <c r="Z86">
        <v>2</v>
      </c>
      <c r="AA86">
        <v>3</v>
      </c>
      <c r="AB86">
        <v>5</v>
      </c>
      <c r="AC86">
        <v>2</v>
      </c>
      <c r="AD86">
        <v>1</v>
      </c>
      <c r="AE86">
        <v>3</v>
      </c>
      <c r="AF86">
        <v>0</v>
      </c>
      <c r="AG86">
        <f>IF(tbl_HR_Data[[#This Row],[Gender]]="Male",1,0)</f>
        <v>1</v>
      </c>
      <c r="AH86" cm="1">
        <f t="array" ref="AH86">_xlfn.SWITCH(tbl_HR_Data[[#This Row],[BusinessTravel]], "Non-Travel", 0, "Travel_Rarely", 1, "Travel_Frequently", 2)</f>
        <v>1</v>
      </c>
      <c r="AI86" cm="1">
        <f t="array" ref="AI86">_xlfn.SWITCH(tbl_HR_Data[[#This Row],[MaritalStatus]],"Single",0,"Married",1,"Divorced",2)</f>
        <v>1</v>
      </c>
      <c r="AJ86">
        <f>IF(tbl_HR_Data[[#This Row],[OverTime]]=1,1,0)</f>
        <v>0</v>
      </c>
      <c r="AK86">
        <f>IF(tbl_HR_Data[[#This Row],[DistanceFromHome]]&gt;15,1,0)</f>
        <v>0</v>
      </c>
      <c r="AL86">
        <f>IF(tbl_HR_Data[[#This Row],[JobSatisfaction]]&lt;=2,1,0)</f>
        <v>1</v>
      </c>
      <c r="AM86">
        <f>IF(tbl_HR_Data[[#This Row],[MonthlyIncome]]&lt;$AT$2,1,0)</f>
        <v>1</v>
      </c>
      <c r="AN86">
        <f>IF(tbl_HR_Data[[#This Row],[Travel_Code]]=2,1,0)</f>
        <v>0</v>
      </c>
      <c r="AO86">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86" s="15">
        <f>tbl_HR_Data[[#This Row],[Risk_Score_Raw]] / SUM(Logic_Parameters!$B$2:$B$6)</f>
        <v>0.3686061316669938</v>
      </c>
      <c r="AQ86" s="16" t="str" cm="1">
        <f t="array" ref="AQ86">_xlfn.IFS(tbl_HR_Data[[#This Row],[Attrition_Risk_Percentage]] &gt;= 0.75, "Critical",tbl_HR_Data[ [#This Row],[Attrition_Risk_Percentage] ]&gt;= 0.5, "High",tbl_HR_Data[[#This Row],[Attrition_Risk_Percentage]] &gt;= 0.25, "Medium",TRUE, "Low")</f>
        <v>Medium</v>
      </c>
      <c r="AR86" s="16" cm="1">
        <f t="array" ref="AR86">IFERROR(_xlfn.IFS(tbl_HR_Data[[#This Row],[Risk_Category]]="Critical",tbl_HR_Data[[#This Row],[MonthlyIncome]]*1.5,tbl_HR_Data[[#This Row],[Risk_Category]]="High",tbl_HR_Data[[#This Row],[MonthlyIncome]]*1.5),0)</f>
        <v>0</v>
      </c>
    </row>
    <row r="87" spans="1:44" x14ac:dyDescent="0.35">
      <c r="A87" t="s">
        <v>471</v>
      </c>
      <c r="B87">
        <v>56</v>
      </c>
      <c r="C87" t="s">
        <v>31</v>
      </c>
      <c r="D87">
        <v>1400</v>
      </c>
      <c r="E87" t="s">
        <v>38</v>
      </c>
      <c r="F87">
        <v>7</v>
      </c>
      <c r="G87">
        <v>3</v>
      </c>
      <c r="H87" t="s">
        <v>33</v>
      </c>
      <c r="I87">
        <v>4</v>
      </c>
      <c r="J87" t="s">
        <v>39</v>
      </c>
      <c r="K87">
        <v>49</v>
      </c>
      <c r="L87">
        <v>1</v>
      </c>
      <c r="M87">
        <v>3</v>
      </c>
      <c r="N87" t="s">
        <v>46</v>
      </c>
      <c r="O87">
        <v>4</v>
      </c>
      <c r="P87" t="s">
        <v>36</v>
      </c>
      <c r="Q87">
        <v>7260</v>
      </c>
      <c r="R87">
        <v>21698</v>
      </c>
      <c r="S87">
        <v>4</v>
      </c>
      <c r="T87">
        <v>0</v>
      </c>
      <c r="U87" s="17">
        <v>0.11</v>
      </c>
      <c r="V87">
        <v>3</v>
      </c>
      <c r="W87">
        <v>1</v>
      </c>
      <c r="X87">
        <v>0</v>
      </c>
      <c r="Y87">
        <v>37</v>
      </c>
      <c r="Z87">
        <v>3</v>
      </c>
      <c r="AA87">
        <v>2</v>
      </c>
      <c r="AB87">
        <v>6</v>
      </c>
      <c r="AC87">
        <v>4</v>
      </c>
      <c r="AD87">
        <v>0</v>
      </c>
      <c r="AE87">
        <v>2</v>
      </c>
      <c r="AF87">
        <v>0</v>
      </c>
      <c r="AG87">
        <f>IF(tbl_HR_Data[[#This Row],[Gender]]="Male",1,0)</f>
        <v>1</v>
      </c>
      <c r="AH87" cm="1">
        <f t="array" ref="AH87">_xlfn.SWITCH(tbl_HR_Data[[#This Row],[BusinessTravel]], "Non-Travel", 0, "Travel_Rarely", 1, "Travel_Frequently", 2)</f>
        <v>1</v>
      </c>
      <c r="AI87" cm="1">
        <f t="array" ref="AI87">_xlfn.SWITCH(tbl_HR_Data[[#This Row],[MaritalStatus]],"Single",0,"Married",1,"Divorced",2)</f>
        <v>0</v>
      </c>
      <c r="AJ87">
        <f>IF(tbl_HR_Data[[#This Row],[OverTime]]=1,1,0)</f>
        <v>0</v>
      </c>
      <c r="AK87">
        <f>IF(tbl_HR_Data[[#This Row],[DistanceFromHome]]&gt;15,1,0)</f>
        <v>0</v>
      </c>
      <c r="AL87">
        <f>IF(tbl_HR_Data[[#This Row],[JobSatisfaction]]&lt;=2,1,0)</f>
        <v>0</v>
      </c>
      <c r="AM87">
        <f>IF(tbl_HR_Data[[#This Row],[MonthlyIncome]]&lt;$AT$2,1,0)</f>
        <v>0</v>
      </c>
      <c r="AN87">
        <f>IF(tbl_HR_Data[[#This Row],[Travel_Code]]=2,1,0)</f>
        <v>0</v>
      </c>
      <c r="AO87">
        <f>(tbl_HR_Data[[#This Row],[Flag_OT]] * Logic_Parameters!$B$2) +
 (tbl_HR_Data[[#This Row],[Flag_Travel]] * Logic_Parameters!$B$3) +
 (tbl_HR_Data[[#This Row],[Flag_Satisfaction]] * Logic_Parameters!$B$4) +
 (tbl_HR_Data[[#This Row],[Flag_Distance]]* Logic_Parameters!$B$5) +
 (tbl_HR_Data[[#This Row],[Flag_Income]] * Logic_Parameters!$B$6)</f>
        <v>0</v>
      </c>
      <c r="AP87" s="15">
        <f>tbl_HR_Data[[#This Row],[Risk_Score_Raw]] / SUM(Logic_Parameters!$B$2:$B$6)</f>
        <v>0</v>
      </c>
      <c r="AQ87" s="16" t="str" cm="1">
        <f t="array" ref="AQ87">_xlfn.IFS(tbl_HR_Data[[#This Row],[Attrition_Risk_Percentage]] &gt;= 0.75, "Critical",tbl_HR_Data[ [#This Row],[Attrition_Risk_Percentage] ]&gt;= 0.5, "High",tbl_HR_Data[[#This Row],[Attrition_Risk_Percentage]] &gt;= 0.25, "Medium",TRUE, "Low")</f>
        <v>Low</v>
      </c>
      <c r="AR87" s="16" cm="1">
        <f t="array" ref="AR87">IFERROR(_xlfn.IFS(tbl_HR_Data[[#This Row],[Risk_Category]]="Critical",tbl_HR_Data[[#This Row],[MonthlyIncome]]*1.5,tbl_HR_Data[[#This Row],[Risk_Category]]="High",tbl_HR_Data[[#This Row],[MonthlyIncome]]*1.5),0)</f>
        <v>0</v>
      </c>
    </row>
    <row r="88" spans="1:44" x14ac:dyDescent="0.35">
      <c r="A88" t="s">
        <v>1140</v>
      </c>
      <c r="B88">
        <v>23</v>
      </c>
      <c r="C88" t="s">
        <v>31</v>
      </c>
      <c r="D88">
        <v>541</v>
      </c>
      <c r="E88" t="s">
        <v>32</v>
      </c>
      <c r="F88">
        <v>2</v>
      </c>
      <c r="G88">
        <v>1</v>
      </c>
      <c r="H88" t="s">
        <v>52</v>
      </c>
      <c r="I88">
        <v>3</v>
      </c>
      <c r="J88" t="s">
        <v>39</v>
      </c>
      <c r="K88">
        <v>62</v>
      </c>
      <c r="L88">
        <v>3</v>
      </c>
      <c r="M88">
        <v>1</v>
      </c>
      <c r="N88" t="s">
        <v>49</v>
      </c>
      <c r="O88">
        <v>1</v>
      </c>
      <c r="P88" t="s">
        <v>45</v>
      </c>
      <c r="Q88">
        <v>2322</v>
      </c>
      <c r="R88">
        <v>9518</v>
      </c>
      <c r="S88">
        <v>3</v>
      </c>
      <c r="T88">
        <v>0</v>
      </c>
      <c r="U88" s="17">
        <v>0.13</v>
      </c>
      <c r="V88">
        <v>3</v>
      </c>
      <c r="W88">
        <v>3</v>
      </c>
      <c r="X88">
        <v>1</v>
      </c>
      <c r="Y88">
        <v>3</v>
      </c>
      <c r="Z88">
        <v>3</v>
      </c>
      <c r="AA88">
        <v>3</v>
      </c>
      <c r="AB88">
        <v>0</v>
      </c>
      <c r="AC88">
        <v>0</v>
      </c>
      <c r="AD88">
        <v>0</v>
      </c>
      <c r="AE88">
        <v>0</v>
      </c>
      <c r="AF88">
        <v>0</v>
      </c>
      <c r="AG88">
        <f>IF(tbl_HR_Data[[#This Row],[Gender]]="Male",1,0)</f>
        <v>1</v>
      </c>
      <c r="AH88" cm="1">
        <f t="array" ref="AH88">_xlfn.SWITCH(tbl_HR_Data[[#This Row],[BusinessTravel]], "Non-Travel", 0, "Travel_Rarely", 1, "Travel_Frequently", 2)</f>
        <v>1</v>
      </c>
      <c r="AI88" cm="1">
        <f t="array" ref="AI88">_xlfn.SWITCH(tbl_HR_Data[[#This Row],[MaritalStatus]],"Single",0,"Married",1,"Divorced",2)</f>
        <v>2</v>
      </c>
      <c r="AJ88">
        <f>IF(tbl_HR_Data[[#This Row],[OverTime]]=1,1,0)</f>
        <v>0</v>
      </c>
      <c r="AK88">
        <f>IF(tbl_HR_Data[[#This Row],[DistanceFromHome]]&gt;15,1,0)</f>
        <v>0</v>
      </c>
      <c r="AL88">
        <f>IF(tbl_HR_Data[[#This Row],[JobSatisfaction]]&lt;=2,1,0)</f>
        <v>1</v>
      </c>
      <c r="AM88">
        <f>IF(tbl_HR_Data[[#This Row],[MonthlyIncome]]&lt;$AT$2,1,0)</f>
        <v>1</v>
      </c>
      <c r="AN88">
        <f>IF(tbl_HR_Data[[#This Row],[Travel_Code]]=2,1,0)</f>
        <v>0</v>
      </c>
      <c r="AO88">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88" s="15">
        <f>tbl_HR_Data[[#This Row],[Risk_Score_Raw]] / SUM(Logic_Parameters!$B$2:$B$6)</f>
        <v>0.3686061316669938</v>
      </c>
      <c r="AQ88" s="16" t="str" cm="1">
        <f t="array" ref="AQ88">_xlfn.IFS(tbl_HR_Data[[#This Row],[Attrition_Risk_Percentage]] &gt;= 0.75, "Critical",tbl_HR_Data[ [#This Row],[Attrition_Risk_Percentage] ]&gt;= 0.5, "High",tbl_HR_Data[[#This Row],[Attrition_Risk_Percentage]] &gt;= 0.25, "Medium",TRUE, "Low")</f>
        <v>Medium</v>
      </c>
      <c r="AR88" s="16" cm="1">
        <f t="array" ref="AR88">IFERROR(_xlfn.IFS(tbl_HR_Data[[#This Row],[Risk_Category]]="Critical",tbl_HR_Data[[#This Row],[MonthlyIncome]]*1.5,tbl_HR_Data[[#This Row],[Risk_Category]]="High",tbl_HR_Data[[#This Row],[MonthlyIncome]]*1.5),0)</f>
        <v>0</v>
      </c>
    </row>
    <row r="89" spans="1:44" x14ac:dyDescent="0.35">
      <c r="A89" t="s">
        <v>1041</v>
      </c>
      <c r="B89">
        <v>51</v>
      </c>
      <c r="C89" t="s">
        <v>31</v>
      </c>
      <c r="D89">
        <v>432</v>
      </c>
      <c r="E89" t="s">
        <v>38</v>
      </c>
      <c r="F89">
        <v>9</v>
      </c>
      <c r="G89">
        <v>4</v>
      </c>
      <c r="H89" t="s">
        <v>33</v>
      </c>
      <c r="I89">
        <v>4</v>
      </c>
      <c r="J89" t="s">
        <v>39</v>
      </c>
      <c r="K89">
        <v>96</v>
      </c>
      <c r="L89">
        <v>3</v>
      </c>
      <c r="M89">
        <v>1</v>
      </c>
      <c r="N89" t="s">
        <v>43</v>
      </c>
      <c r="O89">
        <v>4</v>
      </c>
      <c r="P89" t="s">
        <v>41</v>
      </c>
      <c r="Q89">
        <v>2075</v>
      </c>
      <c r="R89">
        <v>18725</v>
      </c>
      <c r="S89">
        <v>3</v>
      </c>
      <c r="T89">
        <v>0</v>
      </c>
      <c r="U89" s="17">
        <v>0.23</v>
      </c>
      <c r="V89">
        <v>4</v>
      </c>
      <c r="W89">
        <v>2</v>
      </c>
      <c r="X89">
        <v>2</v>
      </c>
      <c r="Y89">
        <v>10</v>
      </c>
      <c r="Z89">
        <v>4</v>
      </c>
      <c r="AA89">
        <v>3</v>
      </c>
      <c r="AB89">
        <v>4</v>
      </c>
      <c r="AC89">
        <v>2</v>
      </c>
      <c r="AD89">
        <v>0</v>
      </c>
      <c r="AE89">
        <v>3</v>
      </c>
      <c r="AF89">
        <v>0</v>
      </c>
      <c r="AG89">
        <f>IF(tbl_HR_Data[[#This Row],[Gender]]="Male",1,0)</f>
        <v>1</v>
      </c>
      <c r="AH89" cm="1">
        <f t="array" ref="AH89">_xlfn.SWITCH(tbl_HR_Data[[#This Row],[BusinessTravel]], "Non-Travel", 0, "Travel_Rarely", 1, "Travel_Frequently", 2)</f>
        <v>1</v>
      </c>
      <c r="AI89" cm="1">
        <f t="array" ref="AI89">_xlfn.SWITCH(tbl_HR_Data[[#This Row],[MaritalStatus]],"Single",0,"Married",1,"Divorced",2)</f>
        <v>1</v>
      </c>
      <c r="AJ89">
        <f>IF(tbl_HR_Data[[#This Row],[OverTime]]=1,1,0)</f>
        <v>0</v>
      </c>
      <c r="AK89">
        <f>IF(tbl_HR_Data[[#This Row],[DistanceFromHome]]&gt;15,1,0)</f>
        <v>0</v>
      </c>
      <c r="AL89">
        <f>IF(tbl_HR_Data[[#This Row],[JobSatisfaction]]&lt;=2,1,0)</f>
        <v>0</v>
      </c>
      <c r="AM89">
        <f>IF(tbl_HR_Data[[#This Row],[MonthlyIncome]]&lt;$AT$2,1,0)</f>
        <v>1</v>
      </c>
      <c r="AN89">
        <f>IF(tbl_HR_Data[[#This Row],[Travel_Code]]=2,1,0)</f>
        <v>0</v>
      </c>
      <c r="AO89">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89" s="15">
        <f>tbl_HR_Data[[#This Row],[Risk_Score_Raw]] / SUM(Logic_Parameters!$B$2:$B$6)</f>
        <v>0.22374939857982484</v>
      </c>
      <c r="AQ89" s="16" t="str" cm="1">
        <f t="array" ref="AQ89">_xlfn.IFS(tbl_HR_Data[[#This Row],[Attrition_Risk_Percentage]] &gt;= 0.75, "Critical",tbl_HR_Data[ [#This Row],[Attrition_Risk_Percentage] ]&gt;= 0.5, "High",tbl_HR_Data[[#This Row],[Attrition_Risk_Percentage]] &gt;= 0.25, "Medium",TRUE, "Low")</f>
        <v>Low</v>
      </c>
      <c r="AR89" s="16" cm="1">
        <f t="array" ref="AR89">IFERROR(_xlfn.IFS(tbl_HR_Data[[#This Row],[Risk_Category]]="Critical",tbl_HR_Data[[#This Row],[MonthlyIncome]]*1.5,tbl_HR_Data[[#This Row],[Risk_Category]]="High",tbl_HR_Data[[#This Row],[MonthlyIncome]]*1.5),0)</f>
        <v>0</v>
      </c>
    </row>
    <row r="90" spans="1:44" x14ac:dyDescent="0.35">
      <c r="A90" t="s">
        <v>592</v>
      </c>
      <c r="B90">
        <v>30</v>
      </c>
      <c r="C90" t="s">
        <v>31</v>
      </c>
      <c r="D90">
        <v>288</v>
      </c>
      <c r="E90" t="s">
        <v>38</v>
      </c>
      <c r="F90">
        <v>2</v>
      </c>
      <c r="G90">
        <v>3</v>
      </c>
      <c r="H90" t="s">
        <v>33</v>
      </c>
      <c r="I90">
        <v>3</v>
      </c>
      <c r="J90" t="s">
        <v>39</v>
      </c>
      <c r="K90">
        <v>99</v>
      </c>
      <c r="L90">
        <v>2</v>
      </c>
      <c r="M90">
        <v>2</v>
      </c>
      <c r="N90" t="s">
        <v>47</v>
      </c>
      <c r="O90">
        <v>4</v>
      </c>
      <c r="P90" t="s">
        <v>41</v>
      </c>
      <c r="Q90">
        <v>4152</v>
      </c>
      <c r="R90">
        <v>15830</v>
      </c>
      <c r="S90">
        <v>1</v>
      </c>
      <c r="T90">
        <v>0</v>
      </c>
      <c r="U90" s="17">
        <v>0.19</v>
      </c>
      <c r="V90">
        <v>3</v>
      </c>
      <c r="W90">
        <v>1</v>
      </c>
      <c r="X90">
        <v>3</v>
      </c>
      <c r="Y90">
        <v>11</v>
      </c>
      <c r="Z90">
        <v>3</v>
      </c>
      <c r="AA90">
        <v>3</v>
      </c>
      <c r="AB90">
        <v>11</v>
      </c>
      <c r="AC90">
        <v>10</v>
      </c>
      <c r="AD90">
        <v>10</v>
      </c>
      <c r="AE90">
        <v>8</v>
      </c>
      <c r="AF90">
        <v>0</v>
      </c>
      <c r="AG90">
        <f>IF(tbl_HR_Data[[#This Row],[Gender]]="Male",1,0)</f>
        <v>1</v>
      </c>
      <c r="AH90" cm="1">
        <f t="array" ref="AH90">_xlfn.SWITCH(tbl_HR_Data[[#This Row],[BusinessTravel]], "Non-Travel", 0, "Travel_Rarely", 1, "Travel_Frequently", 2)</f>
        <v>1</v>
      </c>
      <c r="AI90" cm="1">
        <f t="array" ref="AI90">_xlfn.SWITCH(tbl_HR_Data[[#This Row],[MaritalStatus]],"Single",0,"Married",1,"Divorced",2)</f>
        <v>1</v>
      </c>
      <c r="AJ90">
        <f>IF(tbl_HR_Data[[#This Row],[OverTime]]=1,1,0)</f>
        <v>0</v>
      </c>
      <c r="AK90">
        <f>IF(tbl_HR_Data[[#This Row],[DistanceFromHome]]&gt;15,1,0)</f>
        <v>0</v>
      </c>
      <c r="AL90">
        <f>IF(tbl_HR_Data[[#This Row],[JobSatisfaction]]&lt;=2,1,0)</f>
        <v>0</v>
      </c>
      <c r="AM90">
        <f>IF(tbl_HR_Data[[#This Row],[MonthlyIncome]]&lt;$AT$2,1,0)</f>
        <v>1</v>
      </c>
      <c r="AN90">
        <f>IF(tbl_HR_Data[[#This Row],[Travel_Code]]=2,1,0)</f>
        <v>0</v>
      </c>
      <c r="AO90">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90" s="15">
        <f>tbl_HR_Data[[#This Row],[Risk_Score_Raw]] / SUM(Logic_Parameters!$B$2:$B$6)</f>
        <v>0.22374939857982484</v>
      </c>
      <c r="AQ90" s="16" t="str" cm="1">
        <f t="array" ref="AQ90">_xlfn.IFS(tbl_HR_Data[[#This Row],[Attrition_Risk_Percentage]] &gt;= 0.75, "Critical",tbl_HR_Data[ [#This Row],[Attrition_Risk_Percentage] ]&gt;= 0.5, "High",tbl_HR_Data[[#This Row],[Attrition_Risk_Percentage]] &gt;= 0.25, "Medium",TRUE, "Low")</f>
        <v>Low</v>
      </c>
      <c r="AR90" s="16" cm="1">
        <f t="array" ref="AR90">IFERROR(_xlfn.IFS(tbl_HR_Data[[#This Row],[Risk_Category]]="Critical",tbl_HR_Data[[#This Row],[MonthlyIncome]]*1.5,tbl_HR_Data[[#This Row],[Risk_Category]]="High",tbl_HR_Data[[#This Row],[MonthlyIncome]]*1.5),0)</f>
        <v>0</v>
      </c>
    </row>
    <row r="91" spans="1:44" x14ac:dyDescent="0.35">
      <c r="A91" t="s">
        <v>70</v>
      </c>
      <c r="B91">
        <v>46</v>
      </c>
      <c r="C91" t="s">
        <v>31</v>
      </c>
      <c r="D91">
        <v>669</v>
      </c>
      <c r="E91" t="s">
        <v>32</v>
      </c>
      <c r="F91">
        <v>9</v>
      </c>
      <c r="G91">
        <v>2</v>
      </c>
      <c r="H91" t="s">
        <v>44</v>
      </c>
      <c r="I91">
        <v>3</v>
      </c>
      <c r="J91" t="s">
        <v>39</v>
      </c>
      <c r="K91">
        <v>64</v>
      </c>
      <c r="L91">
        <v>2</v>
      </c>
      <c r="M91">
        <v>3</v>
      </c>
      <c r="N91" t="s">
        <v>35</v>
      </c>
      <c r="O91">
        <v>4</v>
      </c>
      <c r="P91" t="s">
        <v>36</v>
      </c>
      <c r="Q91">
        <v>9619</v>
      </c>
      <c r="R91">
        <v>13596</v>
      </c>
      <c r="S91">
        <v>1</v>
      </c>
      <c r="T91">
        <v>0</v>
      </c>
      <c r="U91" s="17">
        <v>0.16</v>
      </c>
      <c r="V91">
        <v>3</v>
      </c>
      <c r="W91">
        <v>4</v>
      </c>
      <c r="X91">
        <v>0</v>
      </c>
      <c r="Y91">
        <v>9</v>
      </c>
      <c r="Z91">
        <v>3</v>
      </c>
      <c r="AA91">
        <v>3</v>
      </c>
      <c r="AB91">
        <v>9</v>
      </c>
      <c r="AC91">
        <v>8</v>
      </c>
      <c r="AD91">
        <v>4</v>
      </c>
      <c r="AE91">
        <v>7</v>
      </c>
      <c r="AF91">
        <v>1</v>
      </c>
      <c r="AG91">
        <f>IF(tbl_HR_Data[[#This Row],[Gender]]="Male",1,0)</f>
        <v>1</v>
      </c>
      <c r="AH91" cm="1">
        <f t="array" ref="AH91">_xlfn.SWITCH(tbl_HR_Data[[#This Row],[BusinessTravel]], "Non-Travel", 0, "Travel_Rarely", 1, "Travel_Frequently", 2)</f>
        <v>1</v>
      </c>
      <c r="AI91" cm="1">
        <f t="array" ref="AI91">_xlfn.SWITCH(tbl_HR_Data[[#This Row],[MaritalStatus]],"Single",0,"Married",1,"Divorced",2)</f>
        <v>0</v>
      </c>
      <c r="AJ91">
        <f>IF(tbl_HR_Data[[#This Row],[OverTime]]=1,1,0)</f>
        <v>0</v>
      </c>
      <c r="AK91">
        <f>IF(tbl_HR_Data[[#This Row],[DistanceFromHome]]&gt;15,1,0)</f>
        <v>0</v>
      </c>
      <c r="AL91">
        <f>IF(tbl_HR_Data[[#This Row],[JobSatisfaction]]&lt;=2,1,0)</f>
        <v>0</v>
      </c>
      <c r="AM91">
        <f>IF(tbl_HR_Data[[#This Row],[MonthlyIncome]]&lt;$AT$2,1,0)</f>
        <v>0</v>
      </c>
      <c r="AN91">
        <f>IF(tbl_HR_Data[[#This Row],[Travel_Code]]=2,1,0)</f>
        <v>0</v>
      </c>
      <c r="AO91">
        <f>(tbl_HR_Data[[#This Row],[Flag_OT]] * Logic_Parameters!$B$2) +
 (tbl_HR_Data[[#This Row],[Flag_Travel]] * Logic_Parameters!$B$3) +
 (tbl_HR_Data[[#This Row],[Flag_Satisfaction]] * Logic_Parameters!$B$4) +
 (tbl_HR_Data[[#This Row],[Flag_Distance]]* Logic_Parameters!$B$5) +
 (tbl_HR_Data[[#This Row],[Flag_Income]] * Logic_Parameters!$B$6)</f>
        <v>0</v>
      </c>
      <c r="AP91" s="15">
        <f>tbl_HR_Data[[#This Row],[Risk_Score_Raw]] / SUM(Logic_Parameters!$B$2:$B$6)</f>
        <v>0</v>
      </c>
      <c r="AQ91" s="16" t="str" cm="1">
        <f t="array" ref="AQ91">_xlfn.IFS(tbl_HR_Data[[#This Row],[Attrition_Risk_Percentage]] &gt;= 0.75, "Critical",tbl_HR_Data[ [#This Row],[Attrition_Risk_Percentage] ]&gt;= 0.5, "High",tbl_HR_Data[[#This Row],[Attrition_Risk_Percentage]] &gt;= 0.25, "Medium",TRUE, "Low")</f>
        <v>Low</v>
      </c>
      <c r="AR91" s="16" cm="1">
        <f t="array" ref="AR91">IFERROR(_xlfn.IFS(tbl_HR_Data[[#This Row],[Risk_Category]]="Critical",tbl_HR_Data[[#This Row],[MonthlyIncome]]*1.5,tbl_HR_Data[[#This Row],[Risk_Category]]="High",tbl_HR_Data[[#This Row],[MonthlyIncome]]*1.5),0)</f>
        <v>0</v>
      </c>
    </row>
    <row r="92" spans="1:44" x14ac:dyDescent="0.35">
      <c r="A92" t="s">
        <v>1245</v>
      </c>
      <c r="B92">
        <v>40</v>
      </c>
      <c r="C92" t="s">
        <v>37</v>
      </c>
      <c r="D92">
        <v>530</v>
      </c>
      <c r="E92" t="s">
        <v>38</v>
      </c>
      <c r="F92">
        <v>1</v>
      </c>
      <c r="G92">
        <v>4</v>
      </c>
      <c r="H92" t="s">
        <v>33</v>
      </c>
      <c r="I92">
        <v>3</v>
      </c>
      <c r="J92" t="s">
        <v>39</v>
      </c>
      <c r="K92">
        <v>78</v>
      </c>
      <c r="L92">
        <v>2</v>
      </c>
      <c r="M92">
        <v>4</v>
      </c>
      <c r="N92" t="s">
        <v>47</v>
      </c>
      <c r="O92">
        <v>2</v>
      </c>
      <c r="P92" t="s">
        <v>41</v>
      </c>
      <c r="Q92">
        <v>13503</v>
      </c>
      <c r="R92">
        <v>14115</v>
      </c>
      <c r="S92">
        <v>1</v>
      </c>
      <c r="T92">
        <v>0</v>
      </c>
      <c r="U92" s="17">
        <v>0.22</v>
      </c>
      <c r="V92">
        <v>4</v>
      </c>
      <c r="W92">
        <v>4</v>
      </c>
      <c r="X92">
        <v>1</v>
      </c>
      <c r="Y92">
        <v>22</v>
      </c>
      <c r="Z92">
        <v>3</v>
      </c>
      <c r="AA92">
        <v>2</v>
      </c>
      <c r="AB92">
        <v>22</v>
      </c>
      <c r="AC92">
        <v>3</v>
      </c>
      <c r="AD92">
        <v>11</v>
      </c>
      <c r="AE92">
        <v>11</v>
      </c>
      <c r="AF92">
        <v>0</v>
      </c>
      <c r="AG92">
        <f>IF(tbl_HR_Data[[#This Row],[Gender]]="Male",1,0)</f>
        <v>1</v>
      </c>
      <c r="AH92" cm="1">
        <f t="array" ref="AH92">_xlfn.SWITCH(tbl_HR_Data[[#This Row],[BusinessTravel]], "Non-Travel", 0, "Travel_Rarely", 1, "Travel_Frequently", 2)</f>
        <v>2</v>
      </c>
      <c r="AI92" cm="1">
        <f t="array" ref="AI92">_xlfn.SWITCH(tbl_HR_Data[[#This Row],[MaritalStatus]],"Single",0,"Married",1,"Divorced",2)</f>
        <v>1</v>
      </c>
      <c r="AJ92">
        <f>IF(tbl_HR_Data[[#This Row],[OverTime]]=1,1,0)</f>
        <v>0</v>
      </c>
      <c r="AK92">
        <f>IF(tbl_HR_Data[[#This Row],[DistanceFromHome]]&gt;15,1,0)</f>
        <v>0</v>
      </c>
      <c r="AL92">
        <f>IF(tbl_HR_Data[[#This Row],[JobSatisfaction]]&lt;=2,1,0)</f>
        <v>1</v>
      </c>
      <c r="AM92">
        <f>IF(tbl_HR_Data[[#This Row],[MonthlyIncome]]&lt;$AT$2,1,0)</f>
        <v>0</v>
      </c>
      <c r="AN92">
        <f>IF(tbl_HR_Data[[#This Row],[Travel_Code]]=2,1,0)</f>
        <v>1</v>
      </c>
      <c r="AO92">
        <f>(tbl_HR_Data[[#This Row],[Flag_OT]] * Logic_Parameters!$B$2) +
 (tbl_HR_Data[[#This Row],[Flag_Travel]] * Logic_Parameters!$B$3) +
 (tbl_HR_Data[[#This Row],[Flag_Satisfaction]] * Logic_Parameters!$B$4) +
 (tbl_HR_Data[[#This Row],[Flag_Distance]]* Logic_Parameters!$B$5) +
 (tbl_HR_Data[[#This Row],[Flag_Income]] * Logic_Parameters!$B$6)</f>
        <v>9.3649231104683075</v>
      </c>
      <c r="AP92" s="15">
        <f>tbl_HR_Data[[#This Row],[Risk_Score_Raw]] / SUM(Logic_Parameters!$B$2:$B$6)</f>
        <v>0.32264513691726432</v>
      </c>
      <c r="AQ92" s="16" t="str" cm="1">
        <f t="array" ref="AQ92">_xlfn.IFS(tbl_HR_Data[[#This Row],[Attrition_Risk_Percentage]] &gt;= 0.75, "Critical",tbl_HR_Data[ [#This Row],[Attrition_Risk_Percentage] ]&gt;= 0.5, "High",tbl_HR_Data[[#This Row],[Attrition_Risk_Percentage]] &gt;= 0.25, "Medium",TRUE, "Low")</f>
        <v>Medium</v>
      </c>
      <c r="AR92" s="16" cm="1">
        <f t="array" ref="AR92">IFERROR(_xlfn.IFS(tbl_HR_Data[[#This Row],[Risk_Category]]="Critical",tbl_HR_Data[[#This Row],[MonthlyIncome]]*1.5,tbl_HR_Data[[#This Row],[Risk_Category]]="High",tbl_HR_Data[[#This Row],[MonthlyIncome]]*1.5),0)</f>
        <v>0</v>
      </c>
    </row>
    <row r="93" spans="1:44" x14ac:dyDescent="0.35">
      <c r="A93" t="s">
        <v>128</v>
      </c>
      <c r="B93">
        <v>51</v>
      </c>
      <c r="C93" t="s">
        <v>31</v>
      </c>
      <c r="D93">
        <v>632</v>
      </c>
      <c r="E93" t="s">
        <v>32</v>
      </c>
      <c r="F93">
        <v>21</v>
      </c>
      <c r="G93">
        <v>4</v>
      </c>
      <c r="H93" t="s">
        <v>51</v>
      </c>
      <c r="I93">
        <v>3</v>
      </c>
      <c r="J93" t="s">
        <v>39</v>
      </c>
      <c r="K93">
        <v>71</v>
      </c>
      <c r="L93">
        <v>3</v>
      </c>
      <c r="M93">
        <v>2</v>
      </c>
      <c r="N93" t="s">
        <v>35</v>
      </c>
      <c r="O93">
        <v>4</v>
      </c>
      <c r="P93" t="s">
        <v>36</v>
      </c>
      <c r="Q93">
        <v>5441</v>
      </c>
      <c r="R93">
        <v>8423</v>
      </c>
      <c r="S93">
        <v>0</v>
      </c>
      <c r="T93">
        <v>1</v>
      </c>
      <c r="U93" s="17">
        <v>0.22</v>
      </c>
      <c r="V93">
        <v>4</v>
      </c>
      <c r="W93">
        <v>4</v>
      </c>
      <c r="X93">
        <v>0</v>
      </c>
      <c r="Y93">
        <v>11</v>
      </c>
      <c r="Z93">
        <v>2</v>
      </c>
      <c r="AA93">
        <v>1</v>
      </c>
      <c r="AB93">
        <v>10</v>
      </c>
      <c r="AC93">
        <v>7</v>
      </c>
      <c r="AD93">
        <v>1</v>
      </c>
      <c r="AE93">
        <v>0</v>
      </c>
      <c r="AF93">
        <v>0</v>
      </c>
      <c r="AG93">
        <f>IF(tbl_HR_Data[[#This Row],[Gender]]="Male",1,0)</f>
        <v>1</v>
      </c>
      <c r="AH93" cm="1">
        <f t="array" ref="AH93">_xlfn.SWITCH(tbl_HR_Data[[#This Row],[BusinessTravel]], "Non-Travel", 0, "Travel_Rarely", 1, "Travel_Frequently", 2)</f>
        <v>1</v>
      </c>
      <c r="AI93" cm="1">
        <f t="array" ref="AI93">_xlfn.SWITCH(tbl_HR_Data[[#This Row],[MaritalStatus]],"Single",0,"Married",1,"Divorced",2)</f>
        <v>0</v>
      </c>
      <c r="AJ93">
        <f>IF(tbl_HR_Data[[#This Row],[OverTime]]=1,1,0)</f>
        <v>1</v>
      </c>
      <c r="AK93">
        <f>IF(tbl_HR_Data[[#This Row],[DistanceFromHome]]&gt;15,1,0)</f>
        <v>1</v>
      </c>
      <c r="AL93">
        <f>IF(tbl_HR_Data[[#This Row],[JobSatisfaction]]&lt;=2,1,0)</f>
        <v>0</v>
      </c>
      <c r="AM93">
        <f>IF(tbl_HR_Data[[#This Row],[MonthlyIncome]]&lt;$AT$2,1,0)</f>
        <v>0</v>
      </c>
      <c r="AN93">
        <f>IF(tbl_HR_Data[[#This Row],[Travel_Code]]=2,1,0)</f>
        <v>0</v>
      </c>
      <c r="AO93">
        <f>(tbl_HR_Data[[#This Row],[Flag_OT]] * Logic_Parameters!$B$2) +
 (tbl_HR_Data[[#This Row],[Flag_Travel]] * Logic_Parameters!$B$3) +
 (tbl_HR_Data[[#This Row],[Flag_Satisfaction]] * Logic_Parameters!$B$4) +
 (tbl_HR_Data[[#This Row],[Flag_Distance]]* Logic_Parameters!$B$5) +
 (tbl_HR_Data[[#This Row],[Flag_Income]] * Logic_Parameters!$B$6)</f>
        <v>13.166106695875378</v>
      </c>
      <c r="AP93" s="15">
        <f>tbl_HR_Data[[#This Row],[Risk_Score_Raw]] / SUM(Logic_Parameters!$B$2:$B$6)</f>
        <v>0.45360546450291089</v>
      </c>
      <c r="AQ93" s="16" t="str" cm="1">
        <f t="array" ref="AQ93">_xlfn.IFS(tbl_HR_Data[[#This Row],[Attrition_Risk_Percentage]] &gt;= 0.75, "Critical",tbl_HR_Data[ [#This Row],[Attrition_Risk_Percentage] ]&gt;= 0.5, "High",tbl_HR_Data[[#This Row],[Attrition_Risk_Percentage]] &gt;= 0.25, "Medium",TRUE, "Low")</f>
        <v>Medium</v>
      </c>
      <c r="AR93" s="16" cm="1">
        <f t="array" ref="AR93">IFERROR(_xlfn.IFS(tbl_HR_Data[[#This Row],[Risk_Category]]="Critical",tbl_HR_Data[[#This Row],[MonthlyIncome]]*1.5,tbl_HR_Data[[#This Row],[Risk_Category]]="High",tbl_HR_Data[[#This Row],[MonthlyIncome]]*1.5),0)</f>
        <v>0</v>
      </c>
    </row>
    <row r="94" spans="1:44" x14ac:dyDescent="0.35">
      <c r="A94" t="s">
        <v>601</v>
      </c>
      <c r="B94">
        <v>30</v>
      </c>
      <c r="C94" t="s">
        <v>31</v>
      </c>
      <c r="D94">
        <v>1334</v>
      </c>
      <c r="E94" t="s">
        <v>32</v>
      </c>
      <c r="F94">
        <v>4</v>
      </c>
      <c r="G94">
        <v>2</v>
      </c>
      <c r="H94" t="s">
        <v>44</v>
      </c>
      <c r="I94">
        <v>3</v>
      </c>
      <c r="J94" t="s">
        <v>34</v>
      </c>
      <c r="K94">
        <v>63</v>
      </c>
      <c r="L94">
        <v>2</v>
      </c>
      <c r="M94">
        <v>2</v>
      </c>
      <c r="N94" t="s">
        <v>35</v>
      </c>
      <c r="O94">
        <v>2</v>
      </c>
      <c r="P94" t="s">
        <v>45</v>
      </c>
      <c r="Q94">
        <v>5209</v>
      </c>
      <c r="R94">
        <v>19760</v>
      </c>
      <c r="S94">
        <v>1</v>
      </c>
      <c r="T94">
        <v>1</v>
      </c>
      <c r="U94" s="17">
        <v>0.12</v>
      </c>
      <c r="V94">
        <v>3</v>
      </c>
      <c r="W94">
        <v>2</v>
      </c>
      <c r="X94">
        <v>3</v>
      </c>
      <c r="Y94">
        <v>11</v>
      </c>
      <c r="Z94">
        <v>4</v>
      </c>
      <c r="AA94">
        <v>2</v>
      </c>
      <c r="AB94">
        <v>11</v>
      </c>
      <c r="AC94">
        <v>8</v>
      </c>
      <c r="AD94">
        <v>2</v>
      </c>
      <c r="AE94">
        <v>7</v>
      </c>
      <c r="AF94">
        <v>0</v>
      </c>
      <c r="AG94">
        <f>IF(tbl_HR_Data[[#This Row],[Gender]]="Male",1,0)</f>
        <v>0</v>
      </c>
      <c r="AH94" cm="1">
        <f t="array" ref="AH94">_xlfn.SWITCH(tbl_HR_Data[[#This Row],[BusinessTravel]], "Non-Travel", 0, "Travel_Rarely", 1, "Travel_Frequently", 2)</f>
        <v>1</v>
      </c>
      <c r="AI94" cm="1">
        <f t="array" ref="AI94">_xlfn.SWITCH(tbl_HR_Data[[#This Row],[MaritalStatus]],"Single",0,"Married",1,"Divorced",2)</f>
        <v>2</v>
      </c>
      <c r="AJ94">
        <f>IF(tbl_HR_Data[[#This Row],[OverTime]]=1,1,0)</f>
        <v>1</v>
      </c>
      <c r="AK94">
        <f>IF(tbl_HR_Data[[#This Row],[DistanceFromHome]]&gt;15,1,0)</f>
        <v>0</v>
      </c>
      <c r="AL94">
        <f>IF(tbl_HR_Data[[#This Row],[JobSatisfaction]]&lt;=2,1,0)</f>
        <v>1</v>
      </c>
      <c r="AM94">
        <f>IF(tbl_HR_Data[[#This Row],[MonthlyIncome]]&lt;$AT$2,1,0)</f>
        <v>0</v>
      </c>
      <c r="AN94">
        <f>IF(tbl_HR_Data[[#This Row],[Travel_Code]]=2,1,0)</f>
        <v>0</v>
      </c>
      <c r="AO94">
        <f>(tbl_HR_Data[[#This Row],[Flag_OT]] * Logic_Parameters!$B$2) +
 (tbl_HR_Data[[#This Row],[Flag_Travel]] * Logic_Parameters!$B$3) +
 (tbl_HR_Data[[#This Row],[Flag_Satisfaction]] * Logic_Parameters!$B$4) +
 (tbl_HR_Data[[#This Row],[Flag_Distance]]* Logic_Parameters!$B$5) +
 (tbl_HR_Data[[#This Row],[Flag_Income]] * Logic_Parameters!$B$6)</f>
        <v>14.204533129978131</v>
      </c>
      <c r="AP94" s="15">
        <f>tbl_HR_Data[[#This Row],[Risk_Score_Raw]] / SUM(Logic_Parameters!$B$2:$B$6)</f>
        <v>0.48938186491297625</v>
      </c>
      <c r="AQ94" s="16" t="str" cm="1">
        <f t="array" ref="AQ94">_xlfn.IFS(tbl_HR_Data[[#This Row],[Attrition_Risk_Percentage]] &gt;= 0.75, "Critical",tbl_HR_Data[ [#This Row],[Attrition_Risk_Percentage] ]&gt;= 0.5, "High",tbl_HR_Data[[#This Row],[Attrition_Risk_Percentage]] &gt;= 0.25, "Medium",TRUE, "Low")</f>
        <v>Medium</v>
      </c>
      <c r="AR94" s="16" cm="1">
        <f t="array" ref="AR94">IFERROR(_xlfn.IFS(tbl_HR_Data[[#This Row],[Risk_Category]]="Critical",tbl_HR_Data[[#This Row],[MonthlyIncome]]*1.5,tbl_HR_Data[[#This Row],[Risk_Category]]="High",tbl_HR_Data[[#This Row],[MonthlyIncome]]*1.5),0)</f>
        <v>0</v>
      </c>
    </row>
    <row r="95" spans="1:44" x14ac:dyDescent="0.35">
      <c r="A95" t="s">
        <v>1293</v>
      </c>
      <c r="B95">
        <v>46</v>
      </c>
      <c r="C95" t="s">
        <v>37</v>
      </c>
      <c r="D95">
        <v>638</v>
      </c>
      <c r="E95" t="s">
        <v>38</v>
      </c>
      <c r="F95">
        <v>1</v>
      </c>
      <c r="G95">
        <v>3</v>
      </c>
      <c r="H95" t="s">
        <v>44</v>
      </c>
      <c r="I95">
        <v>3</v>
      </c>
      <c r="J95" t="s">
        <v>39</v>
      </c>
      <c r="K95">
        <v>40</v>
      </c>
      <c r="L95">
        <v>2</v>
      </c>
      <c r="M95">
        <v>3</v>
      </c>
      <c r="N95" t="s">
        <v>47</v>
      </c>
      <c r="O95">
        <v>1</v>
      </c>
      <c r="P95" t="s">
        <v>41</v>
      </c>
      <c r="Q95">
        <v>10673</v>
      </c>
      <c r="R95">
        <v>3142</v>
      </c>
      <c r="S95">
        <v>2</v>
      </c>
      <c r="T95">
        <v>1</v>
      </c>
      <c r="U95" s="17">
        <v>0.13</v>
      </c>
      <c r="V95">
        <v>3</v>
      </c>
      <c r="W95">
        <v>3</v>
      </c>
      <c r="X95">
        <v>1</v>
      </c>
      <c r="Y95">
        <v>21</v>
      </c>
      <c r="Z95">
        <v>5</v>
      </c>
      <c r="AA95">
        <v>2</v>
      </c>
      <c r="AB95">
        <v>10</v>
      </c>
      <c r="AC95">
        <v>9</v>
      </c>
      <c r="AD95">
        <v>9</v>
      </c>
      <c r="AE95">
        <v>5</v>
      </c>
      <c r="AF95">
        <v>0</v>
      </c>
      <c r="AG95">
        <f>IF(tbl_HR_Data[[#This Row],[Gender]]="Male",1,0)</f>
        <v>1</v>
      </c>
      <c r="AH95" cm="1">
        <f t="array" ref="AH95">_xlfn.SWITCH(tbl_HR_Data[[#This Row],[BusinessTravel]], "Non-Travel", 0, "Travel_Rarely", 1, "Travel_Frequently", 2)</f>
        <v>2</v>
      </c>
      <c r="AI95" cm="1">
        <f t="array" ref="AI95">_xlfn.SWITCH(tbl_HR_Data[[#This Row],[MaritalStatus]],"Single",0,"Married",1,"Divorced",2)</f>
        <v>1</v>
      </c>
      <c r="AJ95">
        <f>IF(tbl_HR_Data[[#This Row],[OverTime]]=1,1,0)</f>
        <v>1</v>
      </c>
      <c r="AK95">
        <f>IF(tbl_HR_Data[[#This Row],[DistanceFromHome]]&gt;15,1,0)</f>
        <v>0</v>
      </c>
      <c r="AL95">
        <f>IF(tbl_HR_Data[[#This Row],[JobSatisfaction]]&lt;=2,1,0)</f>
        <v>1</v>
      </c>
      <c r="AM95">
        <f>IF(tbl_HR_Data[[#This Row],[MonthlyIncome]]&lt;$AT$2,1,0)</f>
        <v>0</v>
      </c>
      <c r="AN95">
        <f>IF(tbl_HR_Data[[#This Row],[Travel_Code]]=2,1,0)</f>
        <v>1</v>
      </c>
      <c r="AO95">
        <f>(tbl_HR_Data[[#This Row],[Flag_OT]] * Logic_Parameters!$B$2) +
 (tbl_HR_Data[[#This Row],[Flag_Travel]] * Logic_Parameters!$B$3) +
 (tbl_HR_Data[[#This Row],[Flag_Satisfaction]] * Logic_Parameters!$B$4) +
 (tbl_HR_Data[[#This Row],[Flag_Distance]]* Logic_Parameters!$B$5) +
 (tbl_HR_Data[[#This Row],[Flag_Income]] * Logic_Parameters!$B$6)</f>
        <v>19.364923110468307</v>
      </c>
      <c r="AP95" s="15">
        <f>tbl_HR_Data[[#This Row],[Risk_Score_Raw]] / SUM(Logic_Parameters!$B$2:$B$6)</f>
        <v>0.66717026874307161</v>
      </c>
      <c r="AQ95" s="16" t="str" cm="1">
        <f t="array" ref="AQ95">_xlfn.IFS(tbl_HR_Data[[#This Row],[Attrition_Risk_Percentage]] &gt;= 0.75, "Critical",tbl_HR_Data[ [#This Row],[Attrition_Risk_Percentage] ]&gt;= 0.5, "High",tbl_HR_Data[[#This Row],[Attrition_Risk_Percentage]] &gt;= 0.25, "Medium",TRUE, "Low")</f>
        <v>High</v>
      </c>
      <c r="AR95" s="16" cm="1">
        <f t="array" ref="AR95">IFERROR(_xlfn.IFS(tbl_HR_Data[[#This Row],[Risk_Category]]="Critical",tbl_HR_Data[[#This Row],[MonthlyIncome]]*1.5,tbl_HR_Data[[#This Row],[Risk_Category]]="High",tbl_HR_Data[[#This Row],[MonthlyIncome]]*1.5),0)</f>
        <v>16009.5</v>
      </c>
    </row>
    <row r="96" spans="1:44" x14ac:dyDescent="0.35">
      <c r="A96" t="s">
        <v>861</v>
      </c>
      <c r="B96">
        <v>32</v>
      </c>
      <c r="C96" t="s">
        <v>31</v>
      </c>
      <c r="D96">
        <v>1093</v>
      </c>
      <c r="E96" t="s">
        <v>32</v>
      </c>
      <c r="F96">
        <v>6</v>
      </c>
      <c r="G96">
        <v>4</v>
      </c>
      <c r="H96" t="s">
        <v>44</v>
      </c>
      <c r="I96">
        <v>2</v>
      </c>
      <c r="J96" t="s">
        <v>39</v>
      </c>
      <c r="K96">
        <v>87</v>
      </c>
      <c r="L96">
        <v>3</v>
      </c>
      <c r="M96">
        <v>2</v>
      </c>
      <c r="N96" t="s">
        <v>35</v>
      </c>
      <c r="O96">
        <v>3</v>
      </c>
      <c r="P96" t="s">
        <v>36</v>
      </c>
      <c r="Q96">
        <v>5010</v>
      </c>
      <c r="R96">
        <v>24301</v>
      </c>
      <c r="S96">
        <v>1</v>
      </c>
      <c r="T96">
        <v>0</v>
      </c>
      <c r="U96" s="17">
        <v>0.16</v>
      </c>
      <c r="V96">
        <v>3</v>
      </c>
      <c r="W96">
        <v>1</v>
      </c>
      <c r="X96">
        <v>0</v>
      </c>
      <c r="Y96">
        <v>12</v>
      </c>
      <c r="Z96">
        <v>0</v>
      </c>
      <c r="AA96">
        <v>3</v>
      </c>
      <c r="AB96">
        <v>11</v>
      </c>
      <c r="AC96">
        <v>8</v>
      </c>
      <c r="AD96">
        <v>5</v>
      </c>
      <c r="AE96">
        <v>7</v>
      </c>
      <c r="AF96">
        <v>0</v>
      </c>
      <c r="AG96">
        <f>IF(tbl_HR_Data[[#This Row],[Gender]]="Male",1,0)</f>
        <v>1</v>
      </c>
      <c r="AH96" cm="1">
        <f t="array" ref="AH96">_xlfn.SWITCH(tbl_HR_Data[[#This Row],[BusinessTravel]], "Non-Travel", 0, "Travel_Rarely", 1, "Travel_Frequently", 2)</f>
        <v>1</v>
      </c>
      <c r="AI96" cm="1">
        <f t="array" ref="AI96">_xlfn.SWITCH(tbl_HR_Data[[#This Row],[MaritalStatus]],"Single",0,"Married",1,"Divorced",2)</f>
        <v>0</v>
      </c>
      <c r="AJ96">
        <f>IF(tbl_HR_Data[[#This Row],[OverTime]]=1,1,0)</f>
        <v>0</v>
      </c>
      <c r="AK96">
        <f>IF(tbl_HR_Data[[#This Row],[DistanceFromHome]]&gt;15,1,0)</f>
        <v>0</v>
      </c>
      <c r="AL96">
        <f>IF(tbl_HR_Data[[#This Row],[JobSatisfaction]]&lt;=2,1,0)</f>
        <v>0</v>
      </c>
      <c r="AM96">
        <f>IF(tbl_HR_Data[[#This Row],[MonthlyIncome]]&lt;$AT$2,1,0)</f>
        <v>0</v>
      </c>
      <c r="AN96">
        <f>IF(tbl_HR_Data[[#This Row],[Travel_Code]]=2,1,0)</f>
        <v>0</v>
      </c>
      <c r="AO96">
        <f>(tbl_HR_Data[[#This Row],[Flag_OT]] * Logic_Parameters!$B$2) +
 (tbl_HR_Data[[#This Row],[Flag_Travel]] * Logic_Parameters!$B$3) +
 (tbl_HR_Data[[#This Row],[Flag_Satisfaction]] * Logic_Parameters!$B$4) +
 (tbl_HR_Data[[#This Row],[Flag_Distance]]* Logic_Parameters!$B$5) +
 (tbl_HR_Data[[#This Row],[Flag_Income]] * Logic_Parameters!$B$6)</f>
        <v>0</v>
      </c>
      <c r="AP96" s="15">
        <f>tbl_HR_Data[[#This Row],[Risk_Score_Raw]] / SUM(Logic_Parameters!$B$2:$B$6)</f>
        <v>0</v>
      </c>
      <c r="AQ96" s="16" t="str" cm="1">
        <f t="array" ref="AQ96">_xlfn.IFS(tbl_HR_Data[[#This Row],[Attrition_Risk_Percentage]] &gt;= 0.75, "Critical",tbl_HR_Data[ [#This Row],[Attrition_Risk_Percentage] ]&gt;= 0.5, "High",tbl_HR_Data[[#This Row],[Attrition_Risk_Percentage]] &gt;= 0.25, "Medium",TRUE, "Low")</f>
        <v>Low</v>
      </c>
      <c r="AR96" s="16" cm="1">
        <f t="array" ref="AR96">IFERROR(_xlfn.IFS(tbl_HR_Data[[#This Row],[Risk_Category]]="Critical",tbl_HR_Data[[#This Row],[MonthlyIncome]]*1.5,tbl_HR_Data[[#This Row],[Risk_Category]]="High",tbl_HR_Data[[#This Row],[MonthlyIncome]]*1.5),0)</f>
        <v>0</v>
      </c>
    </row>
    <row r="97" spans="1:44" x14ac:dyDescent="0.35">
      <c r="A97" t="s">
        <v>1123</v>
      </c>
      <c r="B97">
        <v>54</v>
      </c>
      <c r="C97" t="s">
        <v>31</v>
      </c>
      <c r="D97">
        <v>1217</v>
      </c>
      <c r="E97" t="s">
        <v>38</v>
      </c>
      <c r="F97">
        <v>2</v>
      </c>
      <c r="G97">
        <v>4</v>
      </c>
      <c r="H97" t="s">
        <v>52</v>
      </c>
      <c r="I97">
        <v>1</v>
      </c>
      <c r="J97" t="s">
        <v>34</v>
      </c>
      <c r="K97">
        <v>60</v>
      </c>
      <c r="L97">
        <v>3</v>
      </c>
      <c r="M97">
        <v>3</v>
      </c>
      <c r="N97" t="s">
        <v>50</v>
      </c>
      <c r="O97">
        <v>3</v>
      </c>
      <c r="P97" t="s">
        <v>41</v>
      </c>
      <c r="Q97">
        <v>13549</v>
      </c>
      <c r="R97">
        <v>24001</v>
      </c>
      <c r="S97">
        <v>9</v>
      </c>
      <c r="T97">
        <v>0</v>
      </c>
      <c r="U97" s="17">
        <v>0.12</v>
      </c>
      <c r="V97">
        <v>3</v>
      </c>
      <c r="W97">
        <v>1</v>
      </c>
      <c r="X97">
        <v>1</v>
      </c>
      <c r="Y97">
        <v>16</v>
      </c>
      <c r="Z97">
        <v>5</v>
      </c>
      <c r="AA97">
        <v>1</v>
      </c>
      <c r="AB97">
        <v>4</v>
      </c>
      <c r="AC97">
        <v>3</v>
      </c>
      <c r="AD97">
        <v>0</v>
      </c>
      <c r="AE97">
        <v>3</v>
      </c>
      <c r="AF97">
        <v>0</v>
      </c>
      <c r="AG97">
        <f>IF(tbl_HR_Data[[#This Row],[Gender]]="Male",1,0)</f>
        <v>0</v>
      </c>
      <c r="AH97" cm="1">
        <f t="array" ref="AH97">_xlfn.SWITCH(tbl_HR_Data[[#This Row],[BusinessTravel]], "Non-Travel", 0, "Travel_Rarely", 1, "Travel_Frequently", 2)</f>
        <v>1</v>
      </c>
      <c r="AI97" cm="1">
        <f t="array" ref="AI97">_xlfn.SWITCH(tbl_HR_Data[[#This Row],[MaritalStatus]],"Single",0,"Married",1,"Divorced",2)</f>
        <v>1</v>
      </c>
      <c r="AJ97">
        <f>IF(tbl_HR_Data[[#This Row],[OverTime]]=1,1,0)</f>
        <v>0</v>
      </c>
      <c r="AK97">
        <f>IF(tbl_HR_Data[[#This Row],[DistanceFromHome]]&gt;15,1,0)</f>
        <v>0</v>
      </c>
      <c r="AL97">
        <f>IF(tbl_HR_Data[[#This Row],[JobSatisfaction]]&lt;=2,1,0)</f>
        <v>0</v>
      </c>
      <c r="AM97">
        <f>IF(tbl_HR_Data[[#This Row],[MonthlyIncome]]&lt;$AT$2,1,0)</f>
        <v>0</v>
      </c>
      <c r="AN97">
        <f>IF(tbl_HR_Data[[#This Row],[Travel_Code]]=2,1,0)</f>
        <v>0</v>
      </c>
      <c r="AO97">
        <f>(tbl_HR_Data[[#This Row],[Flag_OT]] * Logic_Parameters!$B$2) +
 (tbl_HR_Data[[#This Row],[Flag_Travel]] * Logic_Parameters!$B$3) +
 (tbl_HR_Data[[#This Row],[Flag_Satisfaction]] * Logic_Parameters!$B$4) +
 (tbl_HR_Data[[#This Row],[Flag_Distance]]* Logic_Parameters!$B$5) +
 (tbl_HR_Data[[#This Row],[Flag_Income]] * Logic_Parameters!$B$6)</f>
        <v>0</v>
      </c>
      <c r="AP97" s="15">
        <f>tbl_HR_Data[[#This Row],[Risk_Score_Raw]] / SUM(Logic_Parameters!$B$2:$B$6)</f>
        <v>0</v>
      </c>
      <c r="AQ97" s="16" t="str" cm="1">
        <f t="array" ref="AQ97">_xlfn.IFS(tbl_HR_Data[[#This Row],[Attrition_Risk_Percentage]] &gt;= 0.75, "Critical",tbl_HR_Data[ [#This Row],[Attrition_Risk_Percentage] ]&gt;= 0.5, "High",tbl_HR_Data[[#This Row],[Attrition_Risk_Percentage]] &gt;= 0.25, "Medium",TRUE, "Low")</f>
        <v>Low</v>
      </c>
      <c r="AR97" s="16" cm="1">
        <f t="array" ref="AR97">IFERROR(_xlfn.IFS(tbl_HR_Data[[#This Row],[Risk_Category]]="Critical",tbl_HR_Data[[#This Row],[MonthlyIncome]]*1.5,tbl_HR_Data[[#This Row],[Risk_Category]]="High",tbl_HR_Data[[#This Row],[MonthlyIncome]]*1.5),0)</f>
        <v>0</v>
      </c>
    </row>
    <row r="98" spans="1:44" x14ac:dyDescent="0.35">
      <c r="A98" t="s">
        <v>170</v>
      </c>
      <c r="B98">
        <v>24</v>
      </c>
      <c r="C98" t="s">
        <v>31</v>
      </c>
      <c r="D98">
        <v>1353</v>
      </c>
      <c r="E98" t="s">
        <v>32</v>
      </c>
      <c r="F98">
        <v>3</v>
      </c>
      <c r="G98">
        <v>2</v>
      </c>
      <c r="H98" t="s">
        <v>42</v>
      </c>
      <c r="I98">
        <v>1</v>
      </c>
      <c r="J98" t="s">
        <v>34</v>
      </c>
      <c r="K98">
        <v>33</v>
      </c>
      <c r="L98">
        <v>3</v>
      </c>
      <c r="M98">
        <v>2</v>
      </c>
      <c r="N98" t="s">
        <v>35</v>
      </c>
      <c r="O98">
        <v>3</v>
      </c>
      <c r="P98" t="s">
        <v>41</v>
      </c>
      <c r="Q98">
        <v>4999</v>
      </c>
      <c r="R98">
        <v>17519</v>
      </c>
      <c r="S98">
        <v>0</v>
      </c>
      <c r="T98">
        <v>0</v>
      </c>
      <c r="U98" s="17">
        <v>0.21</v>
      </c>
      <c r="V98">
        <v>4</v>
      </c>
      <c r="W98">
        <v>1</v>
      </c>
      <c r="X98">
        <v>1</v>
      </c>
      <c r="Y98">
        <v>4</v>
      </c>
      <c r="Z98">
        <v>2</v>
      </c>
      <c r="AA98">
        <v>2</v>
      </c>
      <c r="AB98">
        <v>3</v>
      </c>
      <c r="AC98">
        <v>2</v>
      </c>
      <c r="AD98">
        <v>0</v>
      </c>
      <c r="AE98">
        <v>2</v>
      </c>
      <c r="AF98">
        <v>0</v>
      </c>
      <c r="AG98">
        <f>IF(tbl_HR_Data[[#This Row],[Gender]]="Male",1,0)</f>
        <v>0</v>
      </c>
      <c r="AH98" cm="1">
        <f t="array" ref="AH98">_xlfn.SWITCH(tbl_HR_Data[[#This Row],[BusinessTravel]], "Non-Travel", 0, "Travel_Rarely", 1, "Travel_Frequently", 2)</f>
        <v>1</v>
      </c>
      <c r="AI98" cm="1">
        <f t="array" ref="AI98">_xlfn.SWITCH(tbl_HR_Data[[#This Row],[MaritalStatus]],"Single",0,"Married",1,"Divorced",2)</f>
        <v>1</v>
      </c>
      <c r="AJ98">
        <f>IF(tbl_HR_Data[[#This Row],[OverTime]]=1,1,0)</f>
        <v>0</v>
      </c>
      <c r="AK98">
        <f>IF(tbl_HR_Data[[#This Row],[DistanceFromHome]]&gt;15,1,0)</f>
        <v>0</v>
      </c>
      <c r="AL98">
        <f>IF(tbl_HR_Data[[#This Row],[JobSatisfaction]]&lt;=2,1,0)</f>
        <v>0</v>
      </c>
      <c r="AM98">
        <f>IF(tbl_HR_Data[[#This Row],[MonthlyIncome]]&lt;$AT$2,1,0)</f>
        <v>0</v>
      </c>
      <c r="AN98">
        <f>IF(tbl_HR_Data[[#This Row],[Travel_Code]]=2,1,0)</f>
        <v>0</v>
      </c>
      <c r="AO98">
        <f>(tbl_HR_Data[[#This Row],[Flag_OT]] * Logic_Parameters!$B$2) +
 (tbl_HR_Data[[#This Row],[Flag_Travel]] * Logic_Parameters!$B$3) +
 (tbl_HR_Data[[#This Row],[Flag_Satisfaction]] * Logic_Parameters!$B$4) +
 (tbl_HR_Data[[#This Row],[Flag_Distance]]* Logic_Parameters!$B$5) +
 (tbl_HR_Data[[#This Row],[Flag_Income]] * Logic_Parameters!$B$6)</f>
        <v>0</v>
      </c>
      <c r="AP98" s="15">
        <f>tbl_HR_Data[[#This Row],[Risk_Score_Raw]] / SUM(Logic_Parameters!$B$2:$B$6)</f>
        <v>0</v>
      </c>
      <c r="AQ98" s="16" t="str" cm="1">
        <f t="array" ref="AQ98">_xlfn.IFS(tbl_HR_Data[[#This Row],[Attrition_Risk_Percentage]] &gt;= 0.75, "Critical",tbl_HR_Data[ [#This Row],[Attrition_Risk_Percentage] ]&gt;= 0.5, "High",tbl_HR_Data[[#This Row],[Attrition_Risk_Percentage]] &gt;= 0.25, "Medium",TRUE, "Low")</f>
        <v>Low</v>
      </c>
      <c r="AR98" s="16" cm="1">
        <f t="array" ref="AR98">IFERROR(_xlfn.IFS(tbl_HR_Data[[#This Row],[Risk_Category]]="Critical",tbl_HR_Data[[#This Row],[MonthlyIncome]]*1.5,tbl_HR_Data[[#This Row],[Risk_Category]]="High",tbl_HR_Data[[#This Row],[MonthlyIncome]]*1.5),0)</f>
        <v>0</v>
      </c>
    </row>
    <row r="99" spans="1:44" x14ac:dyDescent="0.35">
      <c r="A99" t="s">
        <v>290</v>
      </c>
      <c r="B99">
        <v>28</v>
      </c>
      <c r="C99" t="s">
        <v>1525</v>
      </c>
      <c r="D99">
        <v>120</v>
      </c>
      <c r="E99" t="s">
        <v>32</v>
      </c>
      <c r="F99">
        <v>4</v>
      </c>
      <c r="G99">
        <v>3</v>
      </c>
      <c r="H99" t="s">
        <v>44</v>
      </c>
      <c r="I99">
        <v>2</v>
      </c>
      <c r="J99" t="s">
        <v>39</v>
      </c>
      <c r="K99">
        <v>43</v>
      </c>
      <c r="L99">
        <v>3</v>
      </c>
      <c r="M99">
        <v>2</v>
      </c>
      <c r="N99" t="s">
        <v>35</v>
      </c>
      <c r="O99">
        <v>3</v>
      </c>
      <c r="P99" t="s">
        <v>41</v>
      </c>
      <c r="Q99">
        <v>4221</v>
      </c>
      <c r="R99">
        <v>8863</v>
      </c>
      <c r="S99">
        <v>1</v>
      </c>
      <c r="T99">
        <v>0</v>
      </c>
      <c r="U99" s="17">
        <v>0.15</v>
      </c>
      <c r="V99">
        <v>3</v>
      </c>
      <c r="W99">
        <v>2</v>
      </c>
      <c r="X99">
        <v>0</v>
      </c>
      <c r="Y99">
        <v>5</v>
      </c>
      <c r="Z99">
        <v>3</v>
      </c>
      <c r="AA99">
        <v>4</v>
      </c>
      <c r="AB99">
        <v>5</v>
      </c>
      <c r="AC99">
        <v>4</v>
      </c>
      <c r="AD99">
        <v>0</v>
      </c>
      <c r="AE99">
        <v>4</v>
      </c>
      <c r="AF99">
        <v>0</v>
      </c>
      <c r="AG99">
        <f>IF(tbl_HR_Data[[#This Row],[Gender]]="Male",1,0)</f>
        <v>1</v>
      </c>
      <c r="AH99" cm="1">
        <f t="array" ref="AH99">_xlfn.SWITCH(tbl_HR_Data[[#This Row],[BusinessTravel]], "Non-Travel", 0, "Travel_Rarely", 1, "Travel_Frequently", 2)</f>
        <v>0</v>
      </c>
      <c r="AI99" cm="1">
        <f t="array" ref="AI99">_xlfn.SWITCH(tbl_HR_Data[[#This Row],[MaritalStatus]],"Single",0,"Married",1,"Divorced",2)</f>
        <v>1</v>
      </c>
      <c r="AJ99">
        <f>IF(tbl_HR_Data[[#This Row],[OverTime]]=1,1,0)</f>
        <v>0</v>
      </c>
      <c r="AK99">
        <f>IF(tbl_HR_Data[[#This Row],[DistanceFromHome]]&gt;15,1,0)</f>
        <v>0</v>
      </c>
      <c r="AL99">
        <f>IF(tbl_HR_Data[[#This Row],[JobSatisfaction]]&lt;=2,1,0)</f>
        <v>0</v>
      </c>
      <c r="AM99">
        <f>IF(tbl_HR_Data[[#This Row],[MonthlyIncome]]&lt;$AT$2,1,0)</f>
        <v>1</v>
      </c>
      <c r="AN99">
        <f>IF(tbl_HR_Data[[#This Row],[Travel_Code]]=2,1,0)</f>
        <v>0</v>
      </c>
      <c r="AO99">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99" s="15">
        <f>tbl_HR_Data[[#This Row],[Risk_Score_Raw]] / SUM(Logic_Parameters!$B$2:$B$6)</f>
        <v>0.22374939857982484</v>
      </c>
      <c r="AQ99" s="16" t="str" cm="1">
        <f t="array" ref="AQ99">_xlfn.IFS(tbl_HR_Data[[#This Row],[Attrition_Risk_Percentage]] &gt;= 0.75, "Critical",tbl_HR_Data[ [#This Row],[Attrition_Risk_Percentage] ]&gt;= 0.5, "High",tbl_HR_Data[[#This Row],[Attrition_Risk_Percentage]] &gt;= 0.25, "Medium",TRUE, "Low")</f>
        <v>Low</v>
      </c>
      <c r="AR99" s="16" cm="1">
        <f t="array" ref="AR99">IFERROR(_xlfn.IFS(tbl_HR_Data[[#This Row],[Risk_Category]]="Critical",tbl_HR_Data[[#This Row],[MonthlyIncome]]*1.5,tbl_HR_Data[[#This Row],[Risk_Category]]="High",tbl_HR_Data[[#This Row],[MonthlyIncome]]*1.5),0)</f>
        <v>0</v>
      </c>
    </row>
    <row r="100" spans="1:44" x14ac:dyDescent="0.35">
      <c r="A100" t="s">
        <v>631</v>
      </c>
      <c r="B100">
        <v>58</v>
      </c>
      <c r="C100" t="s">
        <v>31</v>
      </c>
      <c r="D100">
        <v>682</v>
      </c>
      <c r="E100" t="s">
        <v>32</v>
      </c>
      <c r="F100">
        <v>10</v>
      </c>
      <c r="G100">
        <v>4</v>
      </c>
      <c r="H100" t="s">
        <v>44</v>
      </c>
      <c r="I100">
        <v>4</v>
      </c>
      <c r="J100" t="s">
        <v>39</v>
      </c>
      <c r="K100">
        <v>37</v>
      </c>
      <c r="L100">
        <v>3</v>
      </c>
      <c r="M100">
        <v>4</v>
      </c>
      <c r="N100" t="s">
        <v>35</v>
      </c>
      <c r="O100">
        <v>3</v>
      </c>
      <c r="P100" t="s">
        <v>36</v>
      </c>
      <c r="Q100">
        <v>13872</v>
      </c>
      <c r="R100">
        <v>24409</v>
      </c>
      <c r="S100">
        <v>0</v>
      </c>
      <c r="T100">
        <v>0</v>
      </c>
      <c r="U100" s="17">
        <v>0.13</v>
      </c>
      <c r="V100">
        <v>3</v>
      </c>
      <c r="W100">
        <v>3</v>
      </c>
      <c r="X100">
        <v>0</v>
      </c>
      <c r="Y100">
        <v>38</v>
      </c>
      <c r="Z100">
        <v>1</v>
      </c>
      <c r="AA100">
        <v>2</v>
      </c>
      <c r="AB100">
        <v>37</v>
      </c>
      <c r="AC100">
        <v>10</v>
      </c>
      <c r="AD100">
        <v>1</v>
      </c>
      <c r="AE100">
        <v>8</v>
      </c>
      <c r="AF100">
        <v>0</v>
      </c>
      <c r="AG100">
        <f>IF(tbl_HR_Data[[#This Row],[Gender]]="Male",1,0)</f>
        <v>1</v>
      </c>
      <c r="AH100" cm="1">
        <f t="array" ref="AH100">_xlfn.SWITCH(tbl_HR_Data[[#This Row],[BusinessTravel]], "Non-Travel", 0, "Travel_Rarely", 1, "Travel_Frequently", 2)</f>
        <v>1</v>
      </c>
      <c r="AI100" cm="1">
        <f t="array" ref="AI100">_xlfn.SWITCH(tbl_HR_Data[[#This Row],[MaritalStatus]],"Single",0,"Married",1,"Divorced",2)</f>
        <v>0</v>
      </c>
      <c r="AJ100">
        <f>IF(tbl_HR_Data[[#This Row],[OverTime]]=1,1,0)</f>
        <v>0</v>
      </c>
      <c r="AK100">
        <f>IF(tbl_HR_Data[[#This Row],[DistanceFromHome]]&gt;15,1,0)</f>
        <v>0</v>
      </c>
      <c r="AL100">
        <f>IF(tbl_HR_Data[[#This Row],[JobSatisfaction]]&lt;=2,1,0)</f>
        <v>0</v>
      </c>
      <c r="AM100">
        <f>IF(tbl_HR_Data[[#This Row],[MonthlyIncome]]&lt;$AT$2,1,0)</f>
        <v>0</v>
      </c>
      <c r="AN100">
        <f>IF(tbl_HR_Data[[#This Row],[Travel_Code]]=2,1,0)</f>
        <v>0</v>
      </c>
      <c r="AO100">
        <f>(tbl_HR_Data[[#This Row],[Flag_OT]] * Logic_Parameters!$B$2) +
 (tbl_HR_Data[[#This Row],[Flag_Travel]] * Logic_Parameters!$B$3) +
 (tbl_HR_Data[[#This Row],[Flag_Satisfaction]] * Logic_Parameters!$B$4) +
 (tbl_HR_Data[[#This Row],[Flag_Distance]]* Logic_Parameters!$B$5) +
 (tbl_HR_Data[[#This Row],[Flag_Income]] * Logic_Parameters!$B$6)</f>
        <v>0</v>
      </c>
      <c r="AP100" s="15">
        <f>tbl_HR_Data[[#This Row],[Risk_Score_Raw]] / SUM(Logic_Parameters!$B$2:$B$6)</f>
        <v>0</v>
      </c>
      <c r="AQ100" s="16" t="str" cm="1">
        <f t="array" ref="AQ100">_xlfn.IFS(tbl_HR_Data[[#This Row],[Attrition_Risk_Percentage]] &gt;= 0.75, "Critical",tbl_HR_Data[ [#This Row],[Attrition_Risk_Percentage] ]&gt;= 0.5, "High",tbl_HR_Data[[#This Row],[Attrition_Risk_Percentage]] &gt;= 0.25, "Medium",TRUE, "Low")</f>
        <v>Low</v>
      </c>
      <c r="AR100" s="16" cm="1">
        <f t="array" ref="AR100">IFERROR(_xlfn.IFS(tbl_HR_Data[[#This Row],[Risk_Category]]="Critical",tbl_HR_Data[[#This Row],[MonthlyIncome]]*1.5,tbl_HR_Data[[#This Row],[Risk_Category]]="High",tbl_HR_Data[[#This Row],[MonthlyIncome]]*1.5),0)</f>
        <v>0</v>
      </c>
    </row>
    <row r="101" spans="1:44" x14ac:dyDescent="0.35">
      <c r="A101" t="s">
        <v>851</v>
      </c>
      <c r="B101">
        <v>44</v>
      </c>
      <c r="C101" t="s">
        <v>1525</v>
      </c>
      <c r="D101">
        <v>489</v>
      </c>
      <c r="E101" t="s">
        <v>38</v>
      </c>
      <c r="F101">
        <v>23</v>
      </c>
      <c r="G101">
        <v>3</v>
      </c>
      <c r="H101" t="s">
        <v>44</v>
      </c>
      <c r="I101">
        <v>2</v>
      </c>
      <c r="J101" t="s">
        <v>39</v>
      </c>
      <c r="K101">
        <v>67</v>
      </c>
      <c r="L101">
        <v>3</v>
      </c>
      <c r="M101">
        <v>2</v>
      </c>
      <c r="N101" t="s">
        <v>43</v>
      </c>
      <c r="O101">
        <v>2</v>
      </c>
      <c r="P101" t="s">
        <v>41</v>
      </c>
      <c r="Q101">
        <v>2042</v>
      </c>
      <c r="R101">
        <v>25043</v>
      </c>
      <c r="S101">
        <v>4</v>
      </c>
      <c r="T101">
        <v>0</v>
      </c>
      <c r="U101" s="17">
        <v>0.12</v>
      </c>
      <c r="V101">
        <v>3</v>
      </c>
      <c r="W101">
        <v>3</v>
      </c>
      <c r="X101">
        <v>1</v>
      </c>
      <c r="Y101">
        <v>17</v>
      </c>
      <c r="Z101">
        <v>3</v>
      </c>
      <c r="AA101">
        <v>4</v>
      </c>
      <c r="AB101">
        <v>3</v>
      </c>
      <c r="AC101">
        <v>2</v>
      </c>
      <c r="AD101">
        <v>1</v>
      </c>
      <c r="AE101">
        <v>2</v>
      </c>
      <c r="AF101">
        <v>0</v>
      </c>
      <c r="AG101">
        <f>IF(tbl_HR_Data[[#This Row],[Gender]]="Male",1,0)</f>
        <v>1</v>
      </c>
      <c r="AH101" cm="1">
        <f t="array" ref="AH101">_xlfn.SWITCH(tbl_HR_Data[[#This Row],[BusinessTravel]], "Non-Travel", 0, "Travel_Rarely", 1, "Travel_Frequently", 2)</f>
        <v>0</v>
      </c>
      <c r="AI101" cm="1">
        <f t="array" ref="AI101">_xlfn.SWITCH(tbl_HR_Data[[#This Row],[MaritalStatus]],"Single",0,"Married",1,"Divorced",2)</f>
        <v>1</v>
      </c>
      <c r="AJ101">
        <f>IF(tbl_HR_Data[[#This Row],[OverTime]]=1,1,0)</f>
        <v>0</v>
      </c>
      <c r="AK101">
        <f>IF(tbl_HR_Data[[#This Row],[DistanceFromHome]]&gt;15,1,0)</f>
        <v>1</v>
      </c>
      <c r="AL101">
        <f>IF(tbl_HR_Data[[#This Row],[JobSatisfaction]]&lt;=2,1,0)</f>
        <v>1</v>
      </c>
      <c r="AM101">
        <f>IF(tbl_HR_Data[[#This Row],[MonthlyIncome]]&lt;$AT$2,1,0)</f>
        <v>1</v>
      </c>
      <c r="AN101">
        <f>IF(tbl_HR_Data[[#This Row],[Travel_Code]]=2,1,0)</f>
        <v>0</v>
      </c>
      <c r="AO101">
        <f>(tbl_HR_Data[[#This Row],[Flag_OT]] * Logic_Parameters!$B$2) +
 (tbl_HR_Data[[#This Row],[Flag_Travel]] * Logic_Parameters!$B$3) +
 (tbl_HR_Data[[#This Row],[Flag_Satisfaction]] * Logic_Parameters!$B$4) +
 (tbl_HR_Data[[#This Row],[Flag_Distance]]* Logic_Parameters!$B$5) +
 (tbl_HR_Data[[#This Row],[Flag_Income]] * Logic_Parameters!$B$6)</f>
        <v>13.865068763274337</v>
      </c>
      <c r="AP101" s="15">
        <f>tbl_HR_Data[[#This Row],[Risk_Score_Raw]] / SUM(Logic_Parameters!$B$2:$B$6)</f>
        <v>0.47768646434409739</v>
      </c>
      <c r="AQ101" s="16" t="str" cm="1">
        <f t="array" ref="AQ101">_xlfn.IFS(tbl_HR_Data[[#This Row],[Attrition_Risk_Percentage]] &gt;= 0.75, "Critical",tbl_HR_Data[ [#This Row],[Attrition_Risk_Percentage] ]&gt;= 0.5, "High",tbl_HR_Data[[#This Row],[Attrition_Risk_Percentage]] &gt;= 0.25, "Medium",TRUE, "Low")</f>
        <v>Medium</v>
      </c>
      <c r="AR101" s="16" cm="1">
        <f t="array" ref="AR101">IFERROR(_xlfn.IFS(tbl_HR_Data[[#This Row],[Risk_Category]]="Critical",tbl_HR_Data[[#This Row],[MonthlyIncome]]*1.5,tbl_HR_Data[[#This Row],[Risk_Category]]="High",tbl_HR_Data[[#This Row],[MonthlyIncome]]*1.5),0)</f>
        <v>0</v>
      </c>
    </row>
    <row r="102" spans="1:44" x14ac:dyDescent="0.35">
      <c r="A102" t="s">
        <v>588</v>
      </c>
      <c r="B102">
        <v>37</v>
      </c>
      <c r="C102" t="s">
        <v>31</v>
      </c>
      <c r="D102">
        <v>807</v>
      </c>
      <c r="E102" t="s">
        <v>53</v>
      </c>
      <c r="F102">
        <v>6</v>
      </c>
      <c r="G102">
        <v>4</v>
      </c>
      <c r="H102" t="s">
        <v>53</v>
      </c>
      <c r="I102">
        <v>3</v>
      </c>
      <c r="J102" t="s">
        <v>39</v>
      </c>
      <c r="K102">
        <v>63</v>
      </c>
      <c r="L102">
        <v>3</v>
      </c>
      <c r="M102">
        <v>1</v>
      </c>
      <c r="N102" t="s">
        <v>53</v>
      </c>
      <c r="O102">
        <v>1</v>
      </c>
      <c r="P102" t="s">
        <v>45</v>
      </c>
      <c r="Q102">
        <v>2073</v>
      </c>
      <c r="R102">
        <v>23648</v>
      </c>
      <c r="S102">
        <v>4</v>
      </c>
      <c r="T102">
        <v>1</v>
      </c>
      <c r="U102" s="17">
        <v>0.22</v>
      </c>
      <c r="V102">
        <v>4</v>
      </c>
      <c r="W102">
        <v>4</v>
      </c>
      <c r="X102">
        <v>0</v>
      </c>
      <c r="Y102">
        <v>7</v>
      </c>
      <c r="Z102">
        <v>3</v>
      </c>
      <c r="AA102">
        <v>3</v>
      </c>
      <c r="AB102">
        <v>3</v>
      </c>
      <c r="AC102">
        <v>2</v>
      </c>
      <c r="AD102">
        <v>0</v>
      </c>
      <c r="AE102">
        <v>2</v>
      </c>
      <c r="AF102">
        <v>1</v>
      </c>
      <c r="AG102">
        <f>IF(tbl_HR_Data[[#This Row],[Gender]]="Male",1,0)</f>
        <v>1</v>
      </c>
      <c r="AH102" cm="1">
        <f t="array" ref="AH102">_xlfn.SWITCH(tbl_HR_Data[[#This Row],[BusinessTravel]], "Non-Travel", 0, "Travel_Rarely", 1, "Travel_Frequently", 2)</f>
        <v>1</v>
      </c>
      <c r="AI102" cm="1">
        <f t="array" ref="AI102">_xlfn.SWITCH(tbl_HR_Data[[#This Row],[MaritalStatus]],"Single",0,"Married",1,"Divorced",2)</f>
        <v>2</v>
      </c>
      <c r="AJ102">
        <f>IF(tbl_HR_Data[[#This Row],[OverTime]]=1,1,0)</f>
        <v>1</v>
      </c>
      <c r="AK102">
        <f>IF(tbl_HR_Data[[#This Row],[DistanceFromHome]]&gt;15,1,0)</f>
        <v>0</v>
      </c>
      <c r="AL102">
        <f>IF(tbl_HR_Data[[#This Row],[JobSatisfaction]]&lt;=2,1,0)</f>
        <v>1</v>
      </c>
      <c r="AM102">
        <f>IF(tbl_HR_Data[[#This Row],[MonthlyIncome]]&lt;$AT$2,1,0)</f>
        <v>1</v>
      </c>
      <c r="AN102">
        <f>IF(tbl_HR_Data[[#This Row],[Travel_Code]]=2,1,0)</f>
        <v>0</v>
      </c>
      <c r="AO102">
        <f>(tbl_HR_Data[[#This Row],[Flag_OT]] * Logic_Parameters!$B$2) +
 (tbl_HR_Data[[#This Row],[Flag_Travel]] * Logic_Parameters!$B$3) +
 (tbl_HR_Data[[#This Row],[Flag_Satisfaction]] * Logic_Parameters!$B$4) +
 (tbl_HR_Data[[#This Row],[Flag_Distance]]* Logic_Parameters!$B$5) +
 (tbl_HR_Data[[#This Row],[Flag_Income]] * Logic_Parameters!$B$6)</f>
        <v>20.698962067398959</v>
      </c>
      <c r="AP102" s="15">
        <f>tbl_HR_Data[[#This Row],[Risk_Score_Raw]] / SUM(Logic_Parameters!$B$2:$B$6)</f>
        <v>0.71313126349280109</v>
      </c>
      <c r="AQ102" s="16" t="str" cm="1">
        <f t="array" ref="AQ102">_xlfn.IFS(tbl_HR_Data[[#This Row],[Attrition_Risk_Percentage]] &gt;= 0.75, "Critical",tbl_HR_Data[ [#This Row],[Attrition_Risk_Percentage] ]&gt;= 0.5, "High",tbl_HR_Data[[#This Row],[Attrition_Risk_Percentage]] &gt;= 0.25, "Medium",TRUE, "Low")</f>
        <v>High</v>
      </c>
      <c r="AR102" s="16" cm="1">
        <f t="array" ref="AR102">IFERROR(_xlfn.IFS(tbl_HR_Data[[#This Row],[Risk_Category]]="Critical",tbl_HR_Data[[#This Row],[MonthlyIncome]]*1.5,tbl_HR_Data[[#This Row],[Risk_Category]]="High",tbl_HR_Data[[#This Row],[MonthlyIncome]]*1.5),0)</f>
        <v>3109.5</v>
      </c>
    </row>
    <row r="103" spans="1:44" x14ac:dyDescent="0.35">
      <c r="A103" t="s">
        <v>1402</v>
      </c>
      <c r="B103">
        <v>32</v>
      </c>
      <c r="C103" t="s">
        <v>31</v>
      </c>
      <c r="D103">
        <v>827</v>
      </c>
      <c r="E103" t="s">
        <v>38</v>
      </c>
      <c r="F103">
        <v>1</v>
      </c>
      <c r="G103">
        <v>1</v>
      </c>
      <c r="H103" t="s">
        <v>33</v>
      </c>
      <c r="I103">
        <v>4</v>
      </c>
      <c r="J103" t="s">
        <v>39</v>
      </c>
      <c r="K103">
        <v>71</v>
      </c>
      <c r="L103">
        <v>3</v>
      </c>
      <c r="M103">
        <v>1</v>
      </c>
      <c r="N103" t="s">
        <v>40</v>
      </c>
      <c r="O103">
        <v>1</v>
      </c>
      <c r="P103" t="s">
        <v>36</v>
      </c>
      <c r="Q103">
        <v>2956</v>
      </c>
      <c r="R103">
        <v>15178</v>
      </c>
      <c r="S103">
        <v>1</v>
      </c>
      <c r="T103">
        <v>0</v>
      </c>
      <c r="U103" s="17">
        <v>0.13</v>
      </c>
      <c r="V103">
        <v>3</v>
      </c>
      <c r="W103">
        <v>4</v>
      </c>
      <c r="X103">
        <v>0</v>
      </c>
      <c r="Y103">
        <v>1</v>
      </c>
      <c r="Z103">
        <v>2</v>
      </c>
      <c r="AA103">
        <v>3</v>
      </c>
      <c r="AB103">
        <v>1</v>
      </c>
      <c r="AC103">
        <v>0</v>
      </c>
      <c r="AD103">
        <v>0</v>
      </c>
      <c r="AE103">
        <v>0</v>
      </c>
      <c r="AF103">
        <v>0</v>
      </c>
      <c r="AG103">
        <f>IF(tbl_HR_Data[[#This Row],[Gender]]="Male",1,0)</f>
        <v>1</v>
      </c>
      <c r="AH103" cm="1">
        <f t="array" ref="AH103">_xlfn.SWITCH(tbl_HR_Data[[#This Row],[BusinessTravel]], "Non-Travel", 0, "Travel_Rarely", 1, "Travel_Frequently", 2)</f>
        <v>1</v>
      </c>
      <c r="AI103" cm="1">
        <f t="array" ref="AI103">_xlfn.SWITCH(tbl_HR_Data[[#This Row],[MaritalStatus]],"Single",0,"Married",1,"Divorced",2)</f>
        <v>0</v>
      </c>
      <c r="AJ103">
        <f>IF(tbl_HR_Data[[#This Row],[OverTime]]=1,1,0)</f>
        <v>0</v>
      </c>
      <c r="AK103">
        <f>IF(tbl_HR_Data[[#This Row],[DistanceFromHome]]&gt;15,1,0)</f>
        <v>0</v>
      </c>
      <c r="AL103">
        <f>IF(tbl_HR_Data[[#This Row],[JobSatisfaction]]&lt;=2,1,0)</f>
        <v>1</v>
      </c>
      <c r="AM103">
        <f>IF(tbl_HR_Data[[#This Row],[MonthlyIncome]]&lt;$AT$2,1,0)</f>
        <v>1</v>
      </c>
      <c r="AN103">
        <f>IF(tbl_HR_Data[[#This Row],[Travel_Code]]=2,1,0)</f>
        <v>0</v>
      </c>
      <c r="AO103">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03" s="15">
        <f>tbl_HR_Data[[#This Row],[Risk_Score_Raw]] / SUM(Logic_Parameters!$B$2:$B$6)</f>
        <v>0.3686061316669938</v>
      </c>
      <c r="AQ103" s="16" t="str" cm="1">
        <f t="array" ref="AQ103">_xlfn.IFS(tbl_HR_Data[[#This Row],[Attrition_Risk_Percentage]] &gt;= 0.75, "Critical",tbl_HR_Data[ [#This Row],[Attrition_Risk_Percentage] ]&gt;= 0.5, "High",tbl_HR_Data[[#This Row],[Attrition_Risk_Percentage]] &gt;= 0.25, "Medium",TRUE, "Low")</f>
        <v>Medium</v>
      </c>
      <c r="AR103" s="16" cm="1">
        <f t="array" ref="AR103">IFERROR(_xlfn.IFS(tbl_HR_Data[[#This Row],[Risk_Category]]="Critical",tbl_HR_Data[[#This Row],[MonthlyIncome]]*1.5,tbl_HR_Data[[#This Row],[Risk_Category]]="High",tbl_HR_Data[[#This Row],[MonthlyIncome]]*1.5),0)</f>
        <v>0</v>
      </c>
    </row>
    <row r="104" spans="1:44" x14ac:dyDescent="0.35">
      <c r="A104" t="s">
        <v>321</v>
      </c>
      <c r="B104">
        <v>20</v>
      </c>
      <c r="C104" t="s">
        <v>37</v>
      </c>
      <c r="D104">
        <v>871</v>
      </c>
      <c r="E104" t="s">
        <v>38</v>
      </c>
      <c r="F104">
        <v>6</v>
      </c>
      <c r="G104">
        <v>3</v>
      </c>
      <c r="H104" t="s">
        <v>33</v>
      </c>
      <c r="I104">
        <v>4</v>
      </c>
      <c r="J104" t="s">
        <v>34</v>
      </c>
      <c r="K104">
        <v>66</v>
      </c>
      <c r="L104">
        <v>2</v>
      </c>
      <c r="M104">
        <v>1</v>
      </c>
      <c r="N104" t="s">
        <v>43</v>
      </c>
      <c r="O104">
        <v>4</v>
      </c>
      <c r="P104" t="s">
        <v>36</v>
      </c>
      <c r="Q104">
        <v>2926</v>
      </c>
      <c r="R104">
        <v>19783</v>
      </c>
      <c r="S104">
        <v>1</v>
      </c>
      <c r="T104">
        <v>1</v>
      </c>
      <c r="U104" s="17">
        <v>0.18</v>
      </c>
      <c r="V104">
        <v>3</v>
      </c>
      <c r="W104">
        <v>2</v>
      </c>
      <c r="X104">
        <v>0</v>
      </c>
      <c r="Y104">
        <v>1</v>
      </c>
      <c r="Z104">
        <v>5</v>
      </c>
      <c r="AA104">
        <v>3</v>
      </c>
      <c r="AB104">
        <v>1</v>
      </c>
      <c r="AC104">
        <v>0</v>
      </c>
      <c r="AD104">
        <v>1</v>
      </c>
      <c r="AE104">
        <v>0</v>
      </c>
      <c r="AF104">
        <v>1</v>
      </c>
      <c r="AG104">
        <f>IF(tbl_HR_Data[[#This Row],[Gender]]="Male",1,0)</f>
        <v>0</v>
      </c>
      <c r="AH104" cm="1">
        <f t="array" ref="AH104">_xlfn.SWITCH(tbl_HR_Data[[#This Row],[BusinessTravel]], "Non-Travel", 0, "Travel_Rarely", 1, "Travel_Frequently", 2)</f>
        <v>2</v>
      </c>
      <c r="AI104" cm="1">
        <f t="array" ref="AI104">_xlfn.SWITCH(tbl_HR_Data[[#This Row],[MaritalStatus]],"Single",0,"Married",1,"Divorced",2)</f>
        <v>0</v>
      </c>
      <c r="AJ104">
        <f>IF(tbl_HR_Data[[#This Row],[OverTime]]=1,1,0)</f>
        <v>1</v>
      </c>
      <c r="AK104">
        <f>IF(tbl_HR_Data[[#This Row],[DistanceFromHome]]&gt;15,1,0)</f>
        <v>0</v>
      </c>
      <c r="AL104">
        <f>IF(tbl_HR_Data[[#This Row],[JobSatisfaction]]&lt;=2,1,0)</f>
        <v>0</v>
      </c>
      <c r="AM104">
        <f>IF(tbl_HR_Data[[#This Row],[MonthlyIncome]]&lt;$AT$2,1,0)</f>
        <v>1</v>
      </c>
      <c r="AN104">
        <f>IF(tbl_HR_Data[[#This Row],[Travel_Code]]=2,1,0)</f>
        <v>1</v>
      </c>
      <c r="AO104">
        <f>(tbl_HR_Data[[#This Row],[Flag_OT]] * Logic_Parameters!$B$2) +
 (tbl_HR_Data[[#This Row],[Flag_Travel]] * Logic_Parameters!$B$3) +
 (tbl_HR_Data[[#This Row],[Flag_Satisfaction]] * Logic_Parameters!$B$4) +
 (tbl_HR_Data[[#This Row],[Flag_Distance]]* Logic_Parameters!$B$5) +
 (tbl_HR_Data[[#This Row],[Flag_Income]] * Logic_Parameters!$B$6)</f>
        <v>21.654818917911005</v>
      </c>
      <c r="AP104" s="15">
        <f>tbl_HR_Data[[#This Row],[Risk_Score_Raw]] / SUM(Logic_Parameters!$B$2:$B$6)</f>
        <v>0.74606293423572745</v>
      </c>
      <c r="AQ104" s="16" t="str" cm="1">
        <f t="array" ref="AQ104">_xlfn.IFS(tbl_HR_Data[[#This Row],[Attrition_Risk_Percentage]] &gt;= 0.75, "Critical",tbl_HR_Data[ [#This Row],[Attrition_Risk_Percentage] ]&gt;= 0.5, "High",tbl_HR_Data[[#This Row],[Attrition_Risk_Percentage]] &gt;= 0.25, "Medium",TRUE, "Low")</f>
        <v>High</v>
      </c>
      <c r="AR104" s="16" cm="1">
        <f t="array" ref="AR104">IFERROR(_xlfn.IFS(tbl_HR_Data[[#This Row],[Risk_Category]]="Critical",tbl_HR_Data[[#This Row],[MonthlyIncome]]*1.5,tbl_HR_Data[[#This Row],[Risk_Category]]="High",tbl_HR_Data[[#This Row],[MonthlyIncome]]*1.5),0)</f>
        <v>4389</v>
      </c>
    </row>
    <row r="105" spans="1:44" x14ac:dyDescent="0.35">
      <c r="A105" t="s">
        <v>1208</v>
      </c>
      <c r="B105">
        <v>34</v>
      </c>
      <c r="C105" t="s">
        <v>31</v>
      </c>
      <c r="D105">
        <v>665</v>
      </c>
      <c r="E105" t="s">
        <v>38</v>
      </c>
      <c r="F105">
        <v>6</v>
      </c>
      <c r="G105">
        <v>4</v>
      </c>
      <c r="H105" t="s">
        <v>42</v>
      </c>
      <c r="I105">
        <v>1</v>
      </c>
      <c r="J105" t="s">
        <v>34</v>
      </c>
      <c r="K105">
        <v>41</v>
      </c>
      <c r="L105">
        <v>3</v>
      </c>
      <c r="M105">
        <v>2</v>
      </c>
      <c r="N105" t="s">
        <v>40</v>
      </c>
      <c r="O105">
        <v>3</v>
      </c>
      <c r="P105" t="s">
        <v>36</v>
      </c>
      <c r="Q105">
        <v>4809</v>
      </c>
      <c r="R105">
        <v>12482</v>
      </c>
      <c r="S105">
        <v>1</v>
      </c>
      <c r="T105">
        <v>0</v>
      </c>
      <c r="U105" s="17">
        <v>0.14000000000000001</v>
      </c>
      <c r="V105">
        <v>3</v>
      </c>
      <c r="W105">
        <v>3</v>
      </c>
      <c r="X105">
        <v>0</v>
      </c>
      <c r="Y105">
        <v>16</v>
      </c>
      <c r="Z105">
        <v>3</v>
      </c>
      <c r="AA105">
        <v>3</v>
      </c>
      <c r="AB105">
        <v>16</v>
      </c>
      <c r="AC105">
        <v>13</v>
      </c>
      <c r="AD105">
        <v>2</v>
      </c>
      <c r="AE105">
        <v>10</v>
      </c>
      <c r="AF105">
        <v>0</v>
      </c>
      <c r="AG105">
        <f>IF(tbl_HR_Data[[#This Row],[Gender]]="Male",1,0)</f>
        <v>0</v>
      </c>
      <c r="AH105" cm="1">
        <f t="array" ref="AH105">_xlfn.SWITCH(tbl_HR_Data[[#This Row],[BusinessTravel]], "Non-Travel", 0, "Travel_Rarely", 1, "Travel_Frequently", 2)</f>
        <v>1</v>
      </c>
      <c r="AI105" cm="1">
        <f t="array" ref="AI105">_xlfn.SWITCH(tbl_HR_Data[[#This Row],[MaritalStatus]],"Single",0,"Married",1,"Divorced",2)</f>
        <v>0</v>
      </c>
      <c r="AJ105">
        <f>IF(tbl_HR_Data[[#This Row],[OverTime]]=1,1,0)</f>
        <v>0</v>
      </c>
      <c r="AK105">
        <f>IF(tbl_HR_Data[[#This Row],[DistanceFromHome]]&gt;15,1,0)</f>
        <v>0</v>
      </c>
      <c r="AL105">
        <f>IF(tbl_HR_Data[[#This Row],[JobSatisfaction]]&lt;=2,1,0)</f>
        <v>0</v>
      </c>
      <c r="AM105">
        <f>IF(tbl_HR_Data[[#This Row],[MonthlyIncome]]&lt;$AT$2,1,0)</f>
        <v>1</v>
      </c>
      <c r="AN105">
        <f>IF(tbl_HR_Data[[#This Row],[Travel_Code]]=2,1,0)</f>
        <v>0</v>
      </c>
      <c r="AO105">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05" s="15">
        <f>tbl_HR_Data[[#This Row],[Risk_Score_Raw]] / SUM(Logic_Parameters!$B$2:$B$6)</f>
        <v>0.22374939857982484</v>
      </c>
      <c r="AQ105" s="16" t="str" cm="1">
        <f t="array" ref="AQ105">_xlfn.IFS(tbl_HR_Data[[#This Row],[Attrition_Risk_Percentage]] &gt;= 0.75, "Critical",tbl_HR_Data[ [#This Row],[Attrition_Risk_Percentage] ]&gt;= 0.5, "High",tbl_HR_Data[[#This Row],[Attrition_Risk_Percentage]] &gt;= 0.25, "Medium",TRUE, "Low")</f>
        <v>Low</v>
      </c>
      <c r="AR105" s="16" cm="1">
        <f t="array" ref="AR105">IFERROR(_xlfn.IFS(tbl_HR_Data[[#This Row],[Risk_Category]]="Critical",tbl_HR_Data[[#This Row],[MonthlyIncome]]*1.5,tbl_HR_Data[[#This Row],[Risk_Category]]="High",tbl_HR_Data[[#This Row],[MonthlyIncome]]*1.5),0)</f>
        <v>0</v>
      </c>
    </row>
    <row r="106" spans="1:44" x14ac:dyDescent="0.35">
      <c r="A106" t="s">
        <v>1452</v>
      </c>
      <c r="B106">
        <v>37</v>
      </c>
      <c r="C106" t="s">
        <v>1525</v>
      </c>
      <c r="D106">
        <v>1040</v>
      </c>
      <c r="E106" t="s">
        <v>38</v>
      </c>
      <c r="F106">
        <v>2</v>
      </c>
      <c r="G106">
        <v>2</v>
      </c>
      <c r="H106" t="s">
        <v>33</v>
      </c>
      <c r="I106">
        <v>3</v>
      </c>
      <c r="J106" t="s">
        <v>39</v>
      </c>
      <c r="K106">
        <v>100</v>
      </c>
      <c r="L106">
        <v>2</v>
      </c>
      <c r="M106">
        <v>2</v>
      </c>
      <c r="N106" t="s">
        <v>47</v>
      </c>
      <c r="O106">
        <v>4</v>
      </c>
      <c r="P106" t="s">
        <v>45</v>
      </c>
      <c r="Q106">
        <v>5163</v>
      </c>
      <c r="R106">
        <v>15850</v>
      </c>
      <c r="S106">
        <v>5</v>
      </c>
      <c r="T106">
        <v>0</v>
      </c>
      <c r="U106" s="17">
        <v>0.14000000000000001</v>
      </c>
      <c r="V106">
        <v>3</v>
      </c>
      <c r="W106">
        <v>4</v>
      </c>
      <c r="X106">
        <v>1</v>
      </c>
      <c r="Y106">
        <v>17</v>
      </c>
      <c r="Z106">
        <v>2</v>
      </c>
      <c r="AA106">
        <v>4</v>
      </c>
      <c r="AB106">
        <v>1</v>
      </c>
      <c r="AC106">
        <v>0</v>
      </c>
      <c r="AD106">
        <v>0</v>
      </c>
      <c r="AE106">
        <v>0</v>
      </c>
      <c r="AF106">
        <v>0</v>
      </c>
      <c r="AG106">
        <f>IF(tbl_HR_Data[[#This Row],[Gender]]="Male",1,0)</f>
        <v>1</v>
      </c>
      <c r="AH106" cm="1">
        <f t="array" ref="AH106">_xlfn.SWITCH(tbl_HR_Data[[#This Row],[BusinessTravel]], "Non-Travel", 0, "Travel_Rarely", 1, "Travel_Frequently", 2)</f>
        <v>0</v>
      </c>
      <c r="AI106" cm="1">
        <f t="array" ref="AI106">_xlfn.SWITCH(tbl_HR_Data[[#This Row],[MaritalStatus]],"Single",0,"Married",1,"Divorced",2)</f>
        <v>2</v>
      </c>
      <c r="AJ106">
        <f>IF(tbl_HR_Data[[#This Row],[OverTime]]=1,1,0)</f>
        <v>0</v>
      </c>
      <c r="AK106">
        <f>IF(tbl_HR_Data[[#This Row],[DistanceFromHome]]&gt;15,1,0)</f>
        <v>0</v>
      </c>
      <c r="AL106">
        <f>IF(tbl_HR_Data[[#This Row],[JobSatisfaction]]&lt;=2,1,0)</f>
        <v>0</v>
      </c>
      <c r="AM106">
        <f>IF(tbl_HR_Data[[#This Row],[MonthlyIncome]]&lt;$AT$2,1,0)</f>
        <v>0</v>
      </c>
      <c r="AN106">
        <f>IF(tbl_HR_Data[[#This Row],[Travel_Code]]=2,1,0)</f>
        <v>0</v>
      </c>
      <c r="AO106">
        <f>(tbl_HR_Data[[#This Row],[Flag_OT]] * Logic_Parameters!$B$2) +
 (tbl_HR_Data[[#This Row],[Flag_Travel]] * Logic_Parameters!$B$3) +
 (tbl_HR_Data[[#This Row],[Flag_Satisfaction]] * Logic_Parameters!$B$4) +
 (tbl_HR_Data[[#This Row],[Flag_Distance]]* Logic_Parameters!$B$5) +
 (tbl_HR_Data[[#This Row],[Flag_Income]] * Logic_Parameters!$B$6)</f>
        <v>0</v>
      </c>
      <c r="AP106" s="15">
        <f>tbl_HR_Data[[#This Row],[Risk_Score_Raw]] / SUM(Logic_Parameters!$B$2:$B$6)</f>
        <v>0</v>
      </c>
      <c r="AQ106" s="16" t="str" cm="1">
        <f t="array" ref="AQ106">_xlfn.IFS(tbl_HR_Data[[#This Row],[Attrition_Risk_Percentage]] &gt;= 0.75, "Critical",tbl_HR_Data[ [#This Row],[Attrition_Risk_Percentage] ]&gt;= 0.5, "High",tbl_HR_Data[[#This Row],[Attrition_Risk_Percentage]] &gt;= 0.25, "Medium",TRUE, "Low")</f>
        <v>Low</v>
      </c>
      <c r="AR106" s="16" cm="1">
        <f t="array" ref="AR106">IFERROR(_xlfn.IFS(tbl_HR_Data[[#This Row],[Risk_Category]]="Critical",tbl_HR_Data[[#This Row],[MonthlyIncome]]*1.5,tbl_HR_Data[[#This Row],[Risk_Category]]="High",tbl_HR_Data[[#This Row],[MonthlyIncome]]*1.5),0)</f>
        <v>0</v>
      </c>
    </row>
    <row r="107" spans="1:44" x14ac:dyDescent="0.35">
      <c r="A107" t="s">
        <v>1443</v>
      </c>
      <c r="B107">
        <v>59</v>
      </c>
      <c r="C107" t="s">
        <v>1525</v>
      </c>
      <c r="D107">
        <v>1420</v>
      </c>
      <c r="E107" t="s">
        <v>53</v>
      </c>
      <c r="F107">
        <v>2</v>
      </c>
      <c r="G107">
        <v>4</v>
      </c>
      <c r="H107" t="s">
        <v>53</v>
      </c>
      <c r="I107">
        <v>3</v>
      </c>
      <c r="J107" t="s">
        <v>34</v>
      </c>
      <c r="K107">
        <v>32</v>
      </c>
      <c r="L107">
        <v>2</v>
      </c>
      <c r="M107">
        <v>5</v>
      </c>
      <c r="N107" t="s">
        <v>48</v>
      </c>
      <c r="O107">
        <v>4</v>
      </c>
      <c r="P107" t="s">
        <v>41</v>
      </c>
      <c r="Q107">
        <v>18844</v>
      </c>
      <c r="R107">
        <v>21922</v>
      </c>
      <c r="S107">
        <v>9</v>
      </c>
      <c r="T107">
        <v>0</v>
      </c>
      <c r="U107" s="17">
        <v>0.21</v>
      </c>
      <c r="V107">
        <v>4</v>
      </c>
      <c r="W107">
        <v>4</v>
      </c>
      <c r="X107">
        <v>1</v>
      </c>
      <c r="Y107">
        <v>30</v>
      </c>
      <c r="Z107">
        <v>3</v>
      </c>
      <c r="AA107">
        <v>3</v>
      </c>
      <c r="AB107">
        <v>3</v>
      </c>
      <c r="AC107">
        <v>2</v>
      </c>
      <c r="AD107">
        <v>2</v>
      </c>
      <c r="AE107">
        <v>2</v>
      </c>
      <c r="AF107">
        <v>0</v>
      </c>
      <c r="AG107">
        <f>IF(tbl_HR_Data[[#This Row],[Gender]]="Male",1,0)</f>
        <v>0</v>
      </c>
      <c r="AH107" cm="1">
        <f t="array" ref="AH107">_xlfn.SWITCH(tbl_HR_Data[[#This Row],[BusinessTravel]], "Non-Travel", 0, "Travel_Rarely", 1, "Travel_Frequently", 2)</f>
        <v>0</v>
      </c>
      <c r="AI107" cm="1">
        <f t="array" ref="AI107">_xlfn.SWITCH(tbl_HR_Data[[#This Row],[MaritalStatus]],"Single",0,"Married",1,"Divorced",2)</f>
        <v>1</v>
      </c>
      <c r="AJ107">
        <f>IF(tbl_HR_Data[[#This Row],[OverTime]]=1,1,0)</f>
        <v>0</v>
      </c>
      <c r="AK107">
        <f>IF(tbl_HR_Data[[#This Row],[DistanceFromHome]]&gt;15,1,0)</f>
        <v>0</v>
      </c>
      <c r="AL107">
        <f>IF(tbl_HR_Data[[#This Row],[JobSatisfaction]]&lt;=2,1,0)</f>
        <v>0</v>
      </c>
      <c r="AM107">
        <f>IF(tbl_HR_Data[[#This Row],[MonthlyIncome]]&lt;$AT$2,1,0)</f>
        <v>0</v>
      </c>
      <c r="AN107">
        <f>IF(tbl_HR_Data[[#This Row],[Travel_Code]]=2,1,0)</f>
        <v>0</v>
      </c>
      <c r="AO107">
        <f>(tbl_HR_Data[[#This Row],[Flag_OT]] * Logic_Parameters!$B$2) +
 (tbl_HR_Data[[#This Row],[Flag_Travel]] * Logic_Parameters!$B$3) +
 (tbl_HR_Data[[#This Row],[Flag_Satisfaction]] * Logic_Parameters!$B$4) +
 (tbl_HR_Data[[#This Row],[Flag_Distance]]* Logic_Parameters!$B$5) +
 (tbl_HR_Data[[#This Row],[Flag_Income]] * Logic_Parameters!$B$6)</f>
        <v>0</v>
      </c>
      <c r="AP107" s="15">
        <f>tbl_HR_Data[[#This Row],[Risk_Score_Raw]] / SUM(Logic_Parameters!$B$2:$B$6)</f>
        <v>0</v>
      </c>
      <c r="AQ107" s="16" t="str" cm="1">
        <f t="array" ref="AQ107">_xlfn.IFS(tbl_HR_Data[[#This Row],[Attrition_Risk_Percentage]] &gt;= 0.75, "Critical",tbl_HR_Data[ [#This Row],[Attrition_Risk_Percentage] ]&gt;= 0.5, "High",tbl_HR_Data[[#This Row],[Attrition_Risk_Percentage]] &gt;= 0.25, "Medium",TRUE, "Low")</f>
        <v>Low</v>
      </c>
      <c r="AR107" s="16" cm="1">
        <f t="array" ref="AR107">IFERROR(_xlfn.IFS(tbl_HR_Data[[#This Row],[Risk_Category]]="Critical",tbl_HR_Data[[#This Row],[MonthlyIncome]]*1.5,tbl_HR_Data[[#This Row],[Risk_Category]]="High",tbl_HR_Data[[#This Row],[MonthlyIncome]]*1.5),0)</f>
        <v>0</v>
      </c>
    </row>
    <row r="108" spans="1:44" x14ac:dyDescent="0.35">
      <c r="A108" t="s">
        <v>768</v>
      </c>
      <c r="B108">
        <v>50</v>
      </c>
      <c r="C108" t="s">
        <v>37</v>
      </c>
      <c r="D108">
        <v>1115</v>
      </c>
      <c r="E108" t="s">
        <v>38</v>
      </c>
      <c r="F108">
        <v>1</v>
      </c>
      <c r="G108">
        <v>3</v>
      </c>
      <c r="H108" t="s">
        <v>33</v>
      </c>
      <c r="I108">
        <v>1</v>
      </c>
      <c r="J108" t="s">
        <v>34</v>
      </c>
      <c r="K108">
        <v>73</v>
      </c>
      <c r="L108">
        <v>3</v>
      </c>
      <c r="M108">
        <v>5</v>
      </c>
      <c r="N108" t="s">
        <v>50</v>
      </c>
      <c r="O108">
        <v>2</v>
      </c>
      <c r="P108" t="s">
        <v>41</v>
      </c>
      <c r="Q108">
        <v>18172</v>
      </c>
      <c r="R108">
        <v>9755</v>
      </c>
      <c r="S108">
        <v>3</v>
      </c>
      <c r="T108">
        <v>1</v>
      </c>
      <c r="U108" s="17">
        <v>0.19</v>
      </c>
      <c r="V108">
        <v>3</v>
      </c>
      <c r="W108">
        <v>1</v>
      </c>
      <c r="X108">
        <v>0</v>
      </c>
      <c r="Y108">
        <v>28</v>
      </c>
      <c r="Z108">
        <v>1</v>
      </c>
      <c r="AA108">
        <v>2</v>
      </c>
      <c r="AB108">
        <v>8</v>
      </c>
      <c r="AC108">
        <v>3</v>
      </c>
      <c r="AD108">
        <v>0</v>
      </c>
      <c r="AE108">
        <v>7</v>
      </c>
      <c r="AF108">
        <v>0</v>
      </c>
      <c r="AG108">
        <f>IF(tbl_HR_Data[[#This Row],[Gender]]="Male",1,0)</f>
        <v>0</v>
      </c>
      <c r="AH108" cm="1">
        <f t="array" ref="AH108">_xlfn.SWITCH(tbl_HR_Data[[#This Row],[BusinessTravel]], "Non-Travel", 0, "Travel_Rarely", 1, "Travel_Frequently", 2)</f>
        <v>2</v>
      </c>
      <c r="AI108" cm="1">
        <f t="array" ref="AI108">_xlfn.SWITCH(tbl_HR_Data[[#This Row],[MaritalStatus]],"Single",0,"Married",1,"Divorced",2)</f>
        <v>1</v>
      </c>
      <c r="AJ108">
        <f>IF(tbl_HR_Data[[#This Row],[OverTime]]=1,1,0)</f>
        <v>1</v>
      </c>
      <c r="AK108">
        <f>IF(tbl_HR_Data[[#This Row],[DistanceFromHome]]&gt;15,1,0)</f>
        <v>0</v>
      </c>
      <c r="AL108">
        <f>IF(tbl_HR_Data[[#This Row],[JobSatisfaction]]&lt;=2,1,0)</f>
        <v>1</v>
      </c>
      <c r="AM108">
        <f>IF(tbl_HR_Data[[#This Row],[MonthlyIncome]]&lt;$AT$2,1,0)</f>
        <v>0</v>
      </c>
      <c r="AN108">
        <f>IF(tbl_HR_Data[[#This Row],[Travel_Code]]=2,1,0)</f>
        <v>1</v>
      </c>
      <c r="AO108">
        <f>(tbl_HR_Data[[#This Row],[Flag_OT]] * Logic_Parameters!$B$2) +
 (tbl_HR_Data[[#This Row],[Flag_Travel]] * Logic_Parameters!$B$3) +
 (tbl_HR_Data[[#This Row],[Flag_Satisfaction]] * Logic_Parameters!$B$4) +
 (tbl_HR_Data[[#This Row],[Flag_Distance]]* Logic_Parameters!$B$5) +
 (tbl_HR_Data[[#This Row],[Flag_Income]] * Logic_Parameters!$B$6)</f>
        <v>19.364923110468307</v>
      </c>
      <c r="AP108" s="15">
        <f>tbl_HR_Data[[#This Row],[Risk_Score_Raw]] / SUM(Logic_Parameters!$B$2:$B$6)</f>
        <v>0.66717026874307161</v>
      </c>
      <c r="AQ108" s="16" t="str" cm="1">
        <f t="array" ref="AQ108">_xlfn.IFS(tbl_HR_Data[[#This Row],[Attrition_Risk_Percentage]] &gt;= 0.75, "Critical",tbl_HR_Data[ [#This Row],[Attrition_Risk_Percentage] ]&gt;= 0.5, "High",tbl_HR_Data[[#This Row],[Attrition_Risk_Percentage]] &gt;= 0.25, "Medium",TRUE, "Low")</f>
        <v>High</v>
      </c>
      <c r="AR108" s="16" cm="1">
        <f t="array" ref="AR108">IFERROR(_xlfn.IFS(tbl_HR_Data[[#This Row],[Risk_Category]]="Critical",tbl_HR_Data[[#This Row],[MonthlyIncome]]*1.5,tbl_HR_Data[[#This Row],[Risk_Category]]="High",tbl_HR_Data[[#This Row],[MonthlyIncome]]*1.5),0)</f>
        <v>27258</v>
      </c>
    </row>
    <row r="109" spans="1:44" x14ac:dyDescent="0.35">
      <c r="A109" t="s">
        <v>1088</v>
      </c>
      <c r="B109">
        <v>25</v>
      </c>
      <c r="C109" t="s">
        <v>31</v>
      </c>
      <c r="D109">
        <v>240</v>
      </c>
      <c r="E109" t="s">
        <v>32</v>
      </c>
      <c r="F109">
        <v>5</v>
      </c>
      <c r="G109">
        <v>3</v>
      </c>
      <c r="H109" t="s">
        <v>51</v>
      </c>
      <c r="I109">
        <v>3</v>
      </c>
      <c r="J109" t="s">
        <v>39</v>
      </c>
      <c r="K109">
        <v>46</v>
      </c>
      <c r="L109">
        <v>2</v>
      </c>
      <c r="M109">
        <v>2</v>
      </c>
      <c r="N109" t="s">
        <v>35</v>
      </c>
      <c r="O109">
        <v>3</v>
      </c>
      <c r="P109" t="s">
        <v>36</v>
      </c>
      <c r="Q109">
        <v>5744</v>
      </c>
      <c r="R109">
        <v>26959</v>
      </c>
      <c r="S109">
        <v>1</v>
      </c>
      <c r="T109">
        <v>1</v>
      </c>
      <c r="U109" s="17">
        <v>0.11</v>
      </c>
      <c r="V109">
        <v>3</v>
      </c>
      <c r="W109">
        <v>4</v>
      </c>
      <c r="X109">
        <v>0</v>
      </c>
      <c r="Y109">
        <v>6</v>
      </c>
      <c r="Z109">
        <v>1</v>
      </c>
      <c r="AA109">
        <v>3</v>
      </c>
      <c r="AB109">
        <v>6</v>
      </c>
      <c r="AC109">
        <v>4</v>
      </c>
      <c r="AD109">
        <v>0</v>
      </c>
      <c r="AE109">
        <v>3</v>
      </c>
      <c r="AF109">
        <v>1</v>
      </c>
      <c r="AG109">
        <f>IF(tbl_HR_Data[[#This Row],[Gender]]="Male",1,0)</f>
        <v>1</v>
      </c>
      <c r="AH109" cm="1">
        <f t="array" ref="AH109">_xlfn.SWITCH(tbl_HR_Data[[#This Row],[BusinessTravel]], "Non-Travel", 0, "Travel_Rarely", 1, "Travel_Frequently", 2)</f>
        <v>1</v>
      </c>
      <c r="AI109" cm="1">
        <f t="array" ref="AI109">_xlfn.SWITCH(tbl_HR_Data[[#This Row],[MaritalStatus]],"Single",0,"Married",1,"Divorced",2)</f>
        <v>0</v>
      </c>
      <c r="AJ109">
        <f>IF(tbl_HR_Data[[#This Row],[OverTime]]=1,1,0)</f>
        <v>1</v>
      </c>
      <c r="AK109">
        <f>IF(tbl_HR_Data[[#This Row],[DistanceFromHome]]&gt;15,1,0)</f>
        <v>0</v>
      </c>
      <c r="AL109">
        <f>IF(tbl_HR_Data[[#This Row],[JobSatisfaction]]&lt;=2,1,0)</f>
        <v>0</v>
      </c>
      <c r="AM109">
        <f>IF(tbl_HR_Data[[#This Row],[MonthlyIncome]]&lt;$AT$2,1,0)</f>
        <v>0</v>
      </c>
      <c r="AN109">
        <f>IF(tbl_HR_Data[[#This Row],[Travel_Code]]=2,1,0)</f>
        <v>0</v>
      </c>
      <c r="AO109">
        <f>(tbl_HR_Data[[#This Row],[Flag_OT]] * Logic_Parameters!$B$2) +
 (tbl_HR_Data[[#This Row],[Flag_Travel]] * Logic_Parameters!$B$3) +
 (tbl_HR_Data[[#This Row],[Flag_Satisfaction]] * Logic_Parameters!$B$4) +
 (tbl_HR_Data[[#This Row],[Flag_Distance]]* Logic_Parameters!$B$5) +
 (tbl_HR_Data[[#This Row],[Flag_Income]] * Logic_Parameters!$B$6)</f>
        <v>10</v>
      </c>
      <c r="AP109" s="15">
        <f>tbl_HR_Data[[#This Row],[Risk_Score_Raw]] / SUM(Logic_Parameters!$B$2:$B$6)</f>
        <v>0.3445251318258073</v>
      </c>
      <c r="AQ109" s="16" t="str" cm="1">
        <f t="array" ref="AQ109">_xlfn.IFS(tbl_HR_Data[[#This Row],[Attrition_Risk_Percentage]] &gt;= 0.75, "Critical",tbl_HR_Data[ [#This Row],[Attrition_Risk_Percentage] ]&gt;= 0.5, "High",tbl_HR_Data[[#This Row],[Attrition_Risk_Percentage]] &gt;= 0.25, "Medium",TRUE, "Low")</f>
        <v>Medium</v>
      </c>
      <c r="AR109" s="16" cm="1">
        <f t="array" ref="AR109">IFERROR(_xlfn.IFS(tbl_HR_Data[[#This Row],[Risk_Category]]="Critical",tbl_HR_Data[[#This Row],[MonthlyIncome]]*1.5,tbl_HR_Data[[#This Row],[Risk_Category]]="High",tbl_HR_Data[[#This Row],[MonthlyIncome]]*1.5),0)</f>
        <v>0</v>
      </c>
    </row>
    <row r="110" spans="1:44" x14ac:dyDescent="0.35">
      <c r="A110" t="s">
        <v>1313</v>
      </c>
      <c r="B110">
        <v>25</v>
      </c>
      <c r="C110" t="s">
        <v>31</v>
      </c>
      <c r="D110">
        <v>1280</v>
      </c>
      <c r="E110" t="s">
        <v>38</v>
      </c>
      <c r="F110">
        <v>7</v>
      </c>
      <c r="G110">
        <v>1</v>
      </c>
      <c r="H110" t="s">
        <v>44</v>
      </c>
      <c r="I110">
        <v>4</v>
      </c>
      <c r="J110" t="s">
        <v>39</v>
      </c>
      <c r="K110">
        <v>64</v>
      </c>
      <c r="L110">
        <v>2</v>
      </c>
      <c r="M110">
        <v>1</v>
      </c>
      <c r="N110" t="s">
        <v>40</v>
      </c>
      <c r="O110">
        <v>4</v>
      </c>
      <c r="P110" t="s">
        <v>41</v>
      </c>
      <c r="Q110">
        <v>2889</v>
      </c>
      <c r="R110">
        <v>26897</v>
      </c>
      <c r="S110">
        <v>1</v>
      </c>
      <c r="T110">
        <v>0</v>
      </c>
      <c r="U110" s="17">
        <v>0.11</v>
      </c>
      <c r="V110">
        <v>3</v>
      </c>
      <c r="W110">
        <v>3</v>
      </c>
      <c r="X110">
        <v>2</v>
      </c>
      <c r="Y110">
        <v>2</v>
      </c>
      <c r="Z110">
        <v>2</v>
      </c>
      <c r="AA110">
        <v>3</v>
      </c>
      <c r="AB110">
        <v>2</v>
      </c>
      <c r="AC110">
        <v>2</v>
      </c>
      <c r="AD110">
        <v>2</v>
      </c>
      <c r="AE110">
        <v>1</v>
      </c>
      <c r="AF110">
        <v>0</v>
      </c>
      <c r="AG110">
        <f>IF(tbl_HR_Data[[#This Row],[Gender]]="Male",1,0)</f>
        <v>1</v>
      </c>
      <c r="AH110" cm="1">
        <f t="array" ref="AH110">_xlfn.SWITCH(tbl_HR_Data[[#This Row],[BusinessTravel]], "Non-Travel", 0, "Travel_Rarely", 1, "Travel_Frequently", 2)</f>
        <v>1</v>
      </c>
      <c r="AI110" cm="1">
        <f t="array" ref="AI110">_xlfn.SWITCH(tbl_HR_Data[[#This Row],[MaritalStatus]],"Single",0,"Married",1,"Divorced",2)</f>
        <v>1</v>
      </c>
      <c r="AJ110">
        <f>IF(tbl_HR_Data[[#This Row],[OverTime]]=1,1,0)</f>
        <v>0</v>
      </c>
      <c r="AK110">
        <f>IF(tbl_HR_Data[[#This Row],[DistanceFromHome]]&gt;15,1,0)</f>
        <v>0</v>
      </c>
      <c r="AL110">
        <f>IF(tbl_HR_Data[[#This Row],[JobSatisfaction]]&lt;=2,1,0)</f>
        <v>0</v>
      </c>
      <c r="AM110">
        <f>IF(tbl_HR_Data[[#This Row],[MonthlyIncome]]&lt;$AT$2,1,0)</f>
        <v>1</v>
      </c>
      <c r="AN110">
        <f>IF(tbl_HR_Data[[#This Row],[Travel_Code]]=2,1,0)</f>
        <v>0</v>
      </c>
      <c r="AO110">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10" s="15">
        <f>tbl_HR_Data[[#This Row],[Risk_Score_Raw]] / SUM(Logic_Parameters!$B$2:$B$6)</f>
        <v>0.22374939857982484</v>
      </c>
      <c r="AQ110" s="16" t="str" cm="1">
        <f t="array" ref="AQ110">_xlfn.IFS(tbl_HR_Data[[#This Row],[Attrition_Risk_Percentage]] &gt;= 0.75, "Critical",tbl_HR_Data[ [#This Row],[Attrition_Risk_Percentage] ]&gt;= 0.5, "High",tbl_HR_Data[[#This Row],[Attrition_Risk_Percentage]] &gt;= 0.25, "Medium",TRUE, "Low")</f>
        <v>Low</v>
      </c>
      <c r="AR110" s="16" cm="1">
        <f t="array" ref="AR110">IFERROR(_xlfn.IFS(tbl_HR_Data[[#This Row],[Risk_Category]]="Critical",tbl_HR_Data[[#This Row],[MonthlyIncome]]*1.5,tbl_HR_Data[[#This Row],[Risk_Category]]="High",tbl_HR_Data[[#This Row],[MonthlyIncome]]*1.5),0)</f>
        <v>0</v>
      </c>
    </row>
    <row r="111" spans="1:44" x14ac:dyDescent="0.35">
      <c r="A111" t="s">
        <v>1392</v>
      </c>
      <c r="B111">
        <v>22</v>
      </c>
      <c r="C111" t="s">
        <v>31</v>
      </c>
      <c r="D111">
        <v>534</v>
      </c>
      <c r="E111" t="s">
        <v>38</v>
      </c>
      <c r="F111">
        <v>15</v>
      </c>
      <c r="G111">
        <v>3</v>
      </c>
      <c r="H111" t="s">
        <v>44</v>
      </c>
      <c r="I111">
        <v>2</v>
      </c>
      <c r="J111" t="s">
        <v>34</v>
      </c>
      <c r="K111">
        <v>59</v>
      </c>
      <c r="L111">
        <v>3</v>
      </c>
      <c r="M111">
        <v>1</v>
      </c>
      <c r="N111" t="s">
        <v>43</v>
      </c>
      <c r="O111">
        <v>4</v>
      </c>
      <c r="P111" t="s">
        <v>36</v>
      </c>
      <c r="Q111">
        <v>2871</v>
      </c>
      <c r="R111">
        <v>23785</v>
      </c>
      <c r="S111">
        <v>1</v>
      </c>
      <c r="T111">
        <v>0</v>
      </c>
      <c r="U111" s="17">
        <v>0.15</v>
      </c>
      <c r="V111">
        <v>3</v>
      </c>
      <c r="W111">
        <v>3</v>
      </c>
      <c r="X111">
        <v>0</v>
      </c>
      <c r="Y111">
        <v>1</v>
      </c>
      <c r="Z111">
        <v>5</v>
      </c>
      <c r="AA111">
        <v>3</v>
      </c>
      <c r="AB111">
        <v>0</v>
      </c>
      <c r="AC111">
        <v>0</v>
      </c>
      <c r="AD111">
        <v>0</v>
      </c>
      <c r="AE111">
        <v>0</v>
      </c>
      <c r="AF111">
        <v>0</v>
      </c>
      <c r="AG111">
        <f>IF(tbl_HR_Data[[#This Row],[Gender]]="Male",1,0)</f>
        <v>0</v>
      </c>
      <c r="AH111" cm="1">
        <f t="array" ref="AH111">_xlfn.SWITCH(tbl_HR_Data[[#This Row],[BusinessTravel]], "Non-Travel", 0, "Travel_Rarely", 1, "Travel_Frequently", 2)</f>
        <v>1</v>
      </c>
      <c r="AI111" cm="1">
        <f t="array" ref="AI111">_xlfn.SWITCH(tbl_HR_Data[[#This Row],[MaritalStatus]],"Single",0,"Married",1,"Divorced",2)</f>
        <v>0</v>
      </c>
      <c r="AJ111">
        <f>IF(tbl_HR_Data[[#This Row],[OverTime]]=1,1,0)</f>
        <v>0</v>
      </c>
      <c r="AK111">
        <f>IF(tbl_HR_Data[[#This Row],[DistanceFromHome]]&gt;15,1,0)</f>
        <v>0</v>
      </c>
      <c r="AL111">
        <f>IF(tbl_HR_Data[[#This Row],[JobSatisfaction]]&lt;=2,1,0)</f>
        <v>0</v>
      </c>
      <c r="AM111">
        <f>IF(tbl_HR_Data[[#This Row],[MonthlyIncome]]&lt;$AT$2,1,0)</f>
        <v>1</v>
      </c>
      <c r="AN111">
        <f>IF(tbl_HR_Data[[#This Row],[Travel_Code]]=2,1,0)</f>
        <v>0</v>
      </c>
      <c r="AO111">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11" s="15">
        <f>tbl_HR_Data[[#This Row],[Risk_Score_Raw]] / SUM(Logic_Parameters!$B$2:$B$6)</f>
        <v>0.22374939857982484</v>
      </c>
      <c r="AQ111" s="16" t="str" cm="1">
        <f t="array" ref="AQ111">_xlfn.IFS(tbl_HR_Data[[#This Row],[Attrition_Risk_Percentage]] &gt;= 0.75, "Critical",tbl_HR_Data[ [#This Row],[Attrition_Risk_Percentage] ]&gt;= 0.5, "High",tbl_HR_Data[[#This Row],[Attrition_Risk_Percentage]] &gt;= 0.25, "Medium",TRUE, "Low")</f>
        <v>Low</v>
      </c>
      <c r="AR111" s="16" cm="1">
        <f t="array" ref="AR111">IFERROR(_xlfn.IFS(tbl_HR_Data[[#This Row],[Risk_Category]]="Critical",tbl_HR_Data[[#This Row],[MonthlyIncome]]*1.5,tbl_HR_Data[[#This Row],[Risk_Category]]="High",tbl_HR_Data[[#This Row],[MonthlyIncome]]*1.5),0)</f>
        <v>0</v>
      </c>
    </row>
    <row r="112" spans="1:44" x14ac:dyDescent="0.35">
      <c r="A112" t="s">
        <v>84</v>
      </c>
      <c r="B112">
        <v>51</v>
      </c>
      <c r="C112" t="s">
        <v>37</v>
      </c>
      <c r="D112">
        <v>1456</v>
      </c>
      <c r="E112" t="s">
        <v>38</v>
      </c>
      <c r="F112">
        <v>1</v>
      </c>
      <c r="G112">
        <v>4</v>
      </c>
      <c r="H112" t="s">
        <v>44</v>
      </c>
      <c r="I112">
        <v>1</v>
      </c>
      <c r="J112" t="s">
        <v>34</v>
      </c>
      <c r="K112">
        <v>30</v>
      </c>
      <c r="L112">
        <v>2</v>
      </c>
      <c r="M112">
        <v>3</v>
      </c>
      <c r="N112" t="s">
        <v>47</v>
      </c>
      <c r="O112">
        <v>1</v>
      </c>
      <c r="P112" t="s">
        <v>36</v>
      </c>
      <c r="Q112">
        <v>7484</v>
      </c>
      <c r="R112">
        <v>25796</v>
      </c>
      <c r="S112">
        <v>3</v>
      </c>
      <c r="T112">
        <v>0</v>
      </c>
      <c r="U112" s="17">
        <v>0.2</v>
      </c>
      <c r="V112">
        <v>4</v>
      </c>
      <c r="W112">
        <v>3</v>
      </c>
      <c r="X112">
        <v>0</v>
      </c>
      <c r="Y112">
        <v>23</v>
      </c>
      <c r="Z112">
        <v>1</v>
      </c>
      <c r="AA112">
        <v>2</v>
      </c>
      <c r="AB112">
        <v>13</v>
      </c>
      <c r="AC112">
        <v>12</v>
      </c>
      <c r="AD112">
        <v>12</v>
      </c>
      <c r="AE112">
        <v>8</v>
      </c>
      <c r="AF112">
        <v>0</v>
      </c>
      <c r="AG112">
        <f>IF(tbl_HR_Data[[#This Row],[Gender]]="Male",1,0)</f>
        <v>0</v>
      </c>
      <c r="AH112" cm="1">
        <f t="array" ref="AH112">_xlfn.SWITCH(tbl_HR_Data[[#This Row],[BusinessTravel]], "Non-Travel", 0, "Travel_Rarely", 1, "Travel_Frequently", 2)</f>
        <v>2</v>
      </c>
      <c r="AI112" cm="1">
        <f t="array" ref="AI112">_xlfn.SWITCH(tbl_HR_Data[[#This Row],[MaritalStatus]],"Single",0,"Married",1,"Divorced",2)</f>
        <v>0</v>
      </c>
      <c r="AJ112">
        <f>IF(tbl_HR_Data[[#This Row],[OverTime]]=1,1,0)</f>
        <v>0</v>
      </c>
      <c r="AK112">
        <f>IF(tbl_HR_Data[[#This Row],[DistanceFromHome]]&gt;15,1,0)</f>
        <v>0</v>
      </c>
      <c r="AL112">
        <f>IF(tbl_HR_Data[[#This Row],[JobSatisfaction]]&lt;=2,1,0)</f>
        <v>1</v>
      </c>
      <c r="AM112">
        <f>IF(tbl_HR_Data[[#This Row],[MonthlyIncome]]&lt;$AT$2,1,0)</f>
        <v>0</v>
      </c>
      <c r="AN112">
        <f>IF(tbl_HR_Data[[#This Row],[Travel_Code]]=2,1,0)</f>
        <v>1</v>
      </c>
      <c r="AO112">
        <f>(tbl_HR_Data[[#This Row],[Flag_OT]] * Logic_Parameters!$B$2) +
 (tbl_HR_Data[[#This Row],[Flag_Travel]] * Logic_Parameters!$B$3) +
 (tbl_HR_Data[[#This Row],[Flag_Satisfaction]] * Logic_Parameters!$B$4) +
 (tbl_HR_Data[[#This Row],[Flag_Distance]]* Logic_Parameters!$B$5) +
 (tbl_HR_Data[[#This Row],[Flag_Income]] * Logic_Parameters!$B$6)</f>
        <v>9.3649231104683075</v>
      </c>
      <c r="AP112" s="15">
        <f>tbl_HR_Data[[#This Row],[Risk_Score_Raw]] / SUM(Logic_Parameters!$B$2:$B$6)</f>
        <v>0.32264513691726432</v>
      </c>
      <c r="AQ112" s="16" t="str" cm="1">
        <f t="array" ref="AQ112">_xlfn.IFS(tbl_HR_Data[[#This Row],[Attrition_Risk_Percentage]] &gt;= 0.75, "Critical",tbl_HR_Data[ [#This Row],[Attrition_Risk_Percentage] ]&gt;= 0.5, "High",tbl_HR_Data[[#This Row],[Attrition_Risk_Percentage]] &gt;= 0.25, "Medium",TRUE, "Low")</f>
        <v>Medium</v>
      </c>
      <c r="AR112" s="16" cm="1">
        <f t="array" ref="AR112">IFERROR(_xlfn.IFS(tbl_HR_Data[[#This Row],[Risk_Category]]="Critical",tbl_HR_Data[[#This Row],[MonthlyIncome]]*1.5,tbl_HR_Data[[#This Row],[Risk_Category]]="High",tbl_HR_Data[[#This Row],[MonthlyIncome]]*1.5),0)</f>
        <v>0</v>
      </c>
    </row>
    <row r="113" spans="1:44" x14ac:dyDescent="0.35">
      <c r="A113" t="s">
        <v>1124</v>
      </c>
      <c r="B113">
        <v>34</v>
      </c>
      <c r="C113" t="s">
        <v>37</v>
      </c>
      <c r="D113">
        <v>658</v>
      </c>
      <c r="E113" t="s">
        <v>38</v>
      </c>
      <c r="F113">
        <v>7</v>
      </c>
      <c r="G113">
        <v>3</v>
      </c>
      <c r="H113" t="s">
        <v>33</v>
      </c>
      <c r="I113">
        <v>1</v>
      </c>
      <c r="J113" t="s">
        <v>39</v>
      </c>
      <c r="K113">
        <v>66</v>
      </c>
      <c r="L113">
        <v>1</v>
      </c>
      <c r="M113">
        <v>2</v>
      </c>
      <c r="N113" t="s">
        <v>43</v>
      </c>
      <c r="O113">
        <v>3</v>
      </c>
      <c r="P113" t="s">
        <v>36</v>
      </c>
      <c r="Q113">
        <v>6074</v>
      </c>
      <c r="R113">
        <v>22887</v>
      </c>
      <c r="S113">
        <v>1</v>
      </c>
      <c r="T113">
        <v>1</v>
      </c>
      <c r="U113" s="17">
        <v>0.24</v>
      </c>
      <c r="V113">
        <v>4</v>
      </c>
      <c r="W113">
        <v>4</v>
      </c>
      <c r="X113">
        <v>0</v>
      </c>
      <c r="Y113">
        <v>9</v>
      </c>
      <c r="Z113">
        <v>3</v>
      </c>
      <c r="AA113">
        <v>3</v>
      </c>
      <c r="AB113">
        <v>9</v>
      </c>
      <c r="AC113">
        <v>7</v>
      </c>
      <c r="AD113">
        <v>0</v>
      </c>
      <c r="AE113">
        <v>6</v>
      </c>
      <c r="AF113">
        <v>1</v>
      </c>
      <c r="AG113">
        <f>IF(tbl_HR_Data[[#This Row],[Gender]]="Male",1,0)</f>
        <v>1</v>
      </c>
      <c r="AH113" cm="1">
        <f t="array" ref="AH113">_xlfn.SWITCH(tbl_HR_Data[[#This Row],[BusinessTravel]], "Non-Travel", 0, "Travel_Rarely", 1, "Travel_Frequently", 2)</f>
        <v>2</v>
      </c>
      <c r="AI113" cm="1">
        <f t="array" ref="AI113">_xlfn.SWITCH(tbl_HR_Data[[#This Row],[MaritalStatus]],"Single",0,"Married",1,"Divorced",2)</f>
        <v>0</v>
      </c>
      <c r="AJ113">
        <f>IF(tbl_HR_Data[[#This Row],[OverTime]]=1,1,0)</f>
        <v>1</v>
      </c>
      <c r="AK113">
        <f>IF(tbl_HR_Data[[#This Row],[DistanceFromHome]]&gt;15,1,0)</f>
        <v>0</v>
      </c>
      <c r="AL113">
        <f>IF(tbl_HR_Data[[#This Row],[JobSatisfaction]]&lt;=2,1,0)</f>
        <v>0</v>
      </c>
      <c r="AM113">
        <f>IF(tbl_HR_Data[[#This Row],[MonthlyIncome]]&lt;$AT$2,1,0)</f>
        <v>0</v>
      </c>
      <c r="AN113">
        <f>IF(tbl_HR_Data[[#This Row],[Travel_Code]]=2,1,0)</f>
        <v>1</v>
      </c>
      <c r="AO113">
        <f>(tbl_HR_Data[[#This Row],[Flag_OT]] * Logic_Parameters!$B$2) +
 (tbl_HR_Data[[#This Row],[Flag_Travel]] * Logic_Parameters!$B$3) +
 (tbl_HR_Data[[#This Row],[Flag_Satisfaction]] * Logic_Parameters!$B$4) +
 (tbl_HR_Data[[#This Row],[Flag_Distance]]* Logic_Parameters!$B$5) +
 (tbl_HR_Data[[#This Row],[Flag_Income]] * Logic_Parameters!$B$6)</f>
        <v>15.160389980490176</v>
      </c>
      <c r="AP113" s="15">
        <f>tbl_HR_Data[[#This Row],[Risk_Score_Raw]] / SUM(Logic_Parameters!$B$2:$B$6)</f>
        <v>0.52231353565590266</v>
      </c>
      <c r="AQ113" s="16" t="str" cm="1">
        <f t="array" ref="AQ113">_xlfn.IFS(tbl_HR_Data[[#This Row],[Attrition_Risk_Percentage]] &gt;= 0.75, "Critical",tbl_HR_Data[ [#This Row],[Attrition_Risk_Percentage] ]&gt;= 0.5, "High",tbl_HR_Data[[#This Row],[Attrition_Risk_Percentage]] &gt;= 0.25, "Medium",TRUE, "Low")</f>
        <v>High</v>
      </c>
      <c r="AR113" s="16" cm="1">
        <f t="array" ref="AR113">IFERROR(_xlfn.IFS(tbl_HR_Data[[#This Row],[Risk_Category]]="Critical",tbl_HR_Data[[#This Row],[MonthlyIncome]]*1.5,tbl_HR_Data[[#This Row],[Risk_Category]]="High",tbl_HR_Data[[#This Row],[MonthlyIncome]]*1.5),0)</f>
        <v>9111</v>
      </c>
    </row>
    <row r="114" spans="1:44" x14ac:dyDescent="0.35">
      <c r="A114" t="s">
        <v>470</v>
      </c>
      <c r="B114">
        <v>54</v>
      </c>
      <c r="C114" t="s">
        <v>1525</v>
      </c>
      <c r="D114">
        <v>142</v>
      </c>
      <c r="E114" t="s">
        <v>53</v>
      </c>
      <c r="F114">
        <v>26</v>
      </c>
      <c r="G114">
        <v>3</v>
      </c>
      <c r="H114" t="s">
        <v>53</v>
      </c>
      <c r="I114">
        <v>4</v>
      </c>
      <c r="J114" t="s">
        <v>34</v>
      </c>
      <c r="K114">
        <v>30</v>
      </c>
      <c r="L114">
        <v>4</v>
      </c>
      <c r="M114">
        <v>4</v>
      </c>
      <c r="N114" t="s">
        <v>48</v>
      </c>
      <c r="O114">
        <v>4</v>
      </c>
      <c r="P114" t="s">
        <v>36</v>
      </c>
      <c r="Q114">
        <v>17328</v>
      </c>
      <c r="R114">
        <v>13871</v>
      </c>
      <c r="S114">
        <v>2</v>
      </c>
      <c r="T114">
        <v>1</v>
      </c>
      <c r="U114" s="17">
        <v>0.12</v>
      </c>
      <c r="V114">
        <v>3</v>
      </c>
      <c r="W114">
        <v>3</v>
      </c>
      <c r="X114">
        <v>0</v>
      </c>
      <c r="Y114">
        <v>23</v>
      </c>
      <c r="Z114">
        <v>3</v>
      </c>
      <c r="AA114">
        <v>3</v>
      </c>
      <c r="AB114">
        <v>5</v>
      </c>
      <c r="AC114">
        <v>3</v>
      </c>
      <c r="AD114">
        <v>4</v>
      </c>
      <c r="AE114">
        <v>4</v>
      </c>
      <c r="AF114">
        <v>0</v>
      </c>
      <c r="AG114">
        <f>IF(tbl_HR_Data[[#This Row],[Gender]]="Male",1,0)</f>
        <v>0</v>
      </c>
      <c r="AH114" cm="1">
        <f t="array" ref="AH114">_xlfn.SWITCH(tbl_HR_Data[[#This Row],[BusinessTravel]], "Non-Travel", 0, "Travel_Rarely", 1, "Travel_Frequently", 2)</f>
        <v>0</v>
      </c>
      <c r="AI114" cm="1">
        <f t="array" ref="AI114">_xlfn.SWITCH(tbl_HR_Data[[#This Row],[MaritalStatus]],"Single",0,"Married",1,"Divorced",2)</f>
        <v>0</v>
      </c>
      <c r="AJ114">
        <f>IF(tbl_HR_Data[[#This Row],[OverTime]]=1,1,0)</f>
        <v>1</v>
      </c>
      <c r="AK114">
        <f>IF(tbl_HR_Data[[#This Row],[DistanceFromHome]]&gt;15,1,0)</f>
        <v>1</v>
      </c>
      <c r="AL114">
        <f>IF(tbl_HR_Data[[#This Row],[JobSatisfaction]]&lt;=2,1,0)</f>
        <v>0</v>
      </c>
      <c r="AM114">
        <f>IF(tbl_HR_Data[[#This Row],[MonthlyIncome]]&lt;$AT$2,1,0)</f>
        <v>0</v>
      </c>
      <c r="AN114">
        <f>IF(tbl_HR_Data[[#This Row],[Travel_Code]]=2,1,0)</f>
        <v>0</v>
      </c>
      <c r="AO114">
        <f>(tbl_HR_Data[[#This Row],[Flag_OT]] * Logic_Parameters!$B$2) +
 (tbl_HR_Data[[#This Row],[Flag_Travel]] * Logic_Parameters!$B$3) +
 (tbl_HR_Data[[#This Row],[Flag_Satisfaction]] * Logic_Parameters!$B$4) +
 (tbl_HR_Data[[#This Row],[Flag_Distance]]* Logic_Parameters!$B$5) +
 (tbl_HR_Data[[#This Row],[Flag_Income]] * Logic_Parameters!$B$6)</f>
        <v>13.166106695875378</v>
      </c>
      <c r="AP114" s="15">
        <f>tbl_HR_Data[[#This Row],[Risk_Score_Raw]] / SUM(Logic_Parameters!$B$2:$B$6)</f>
        <v>0.45360546450291089</v>
      </c>
      <c r="AQ114" s="16" t="str" cm="1">
        <f t="array" ref="AQ114">_xlfn.IFS(tbl_HR_Data[[#This Row],[Attrition_Risk_Percentage]] &gt;= 0.75, "Critical",tbl_HR_Data[ [#This Row],[Attrition_Risk_Percentage] ]&gt;= 0.5, "High",tbl_HR_Data[[#This Row],[Attrition_Risk_Percentage]] &gt;= 0.25, "Medium",TRUE, "Low")</f>
        <v>Medium</v>
      </c>
      <c r="AR114" s="16" cm="1">
        <f t="array" ref="AR114">IFERROR(_xlfn.IFS(tbl_HR_Data[[#This Row],[Risk_Category]]="Critical",tbl_HR_Data[[#This Row],[MonthlyIncome]]*1.5,tbl_HR_Data[[#This Row],[Risk_Category]]="High",tbl_HR_Data[[#This Row],[MonthlyIncome]]*1.5),0)</f>
        <v>0</v>
      </c>
    </row>
    <row r="115" spans="1:44" x14ac:dyDescent="0.35">
      <c r="A115" t="s">
        <v>830</v>
      </c>
      <c r="B115">
        <v>24</v>
      </c>
      <c r="C115" t="s">
        <v>31</v>
      </c>
      <c r="D115">
        <v>1127</v>
      </c>
      <c r="E115" t="s">
        <v>38</v>
      </c>
      <c r="F115">
        <v>18</v>
      </c>
      <c r="G115">
        <v>1</v>
      </c>
      <c r="H115" t="s">
        <v>33</v>
      </c>
      <c r="I115">
        <v>2</v>
      </c>
      <c r="J115" t="s">
        <v>39</v>
      </c>
      <c r="K115">
        <v>52</v>
      </c>
      <c r="L115">
        <v>3</v>
      </c>
      <c r="M115">
        <v>1</v>
      </c>
      <c r="N115" t="s">
        <v>43</v>
      </c>
      <c r="O115">
        <v>3</v>
      </c>
      <c r="P115" t="s">
        <v>41</v>
      </c>
      <c r="Q115">
        <v>2774</v>
      </c>
      <c r="R115">
        <v>13257</v>
      </c>
      <c r="S115">
        <v>0</v>
      </c>
      <c r="T115">
        <v>0</v>
      </c>
      <c r="U115" s="17">
        <v>0.12</v>
      </c>
      <c r="V115">
        <v>3</v>
      </c>
      <c r="W115">
        <v>3</v>
      </c>
      <c r="X115">
        <v>1</v>
      </c>
      <c r="Y115">
        <v>6</v>
      </c>
      <c r="Z115">
        <v>2</v>
      </c>
      <c r="AA115">
        <v>3</v>
      </c>
      <c r="AB115">
        <v>5</v>
      </c>
      <c r="AC115">
        <v>3</v>
      </c>
      <c r="AD115">
        <v>1</v>
      </c>
      <c r="AE115">
        <v>2</v>
      </c>
      <c r="AF115">
        <v>0</v>
      </c>
      <c r="AG115">
        <f>IF(tbl_HR_Data[[#This Row],[Gender]]="Male",1,0)</f>
        <v>1</v>
      </c>
      <c r="AH115" cm="1">
        <f t="array" ref="AH115">_xlfn.SWITCH(tbl_HR_Data[[#This Row],[BusinessTravel]], "Non-Travel", 0, "Travel_Rarely", 1, "Travel_Frequently", 2)</f>
        <v>1</v>
      </c>
      <c r="AI115" cm="1">
        <f t="array" ref="AI115">_xlfn.SWITCH(tbl_HR_Data[[#This Row],[MaritalStatus]],"Single",0,"Married",1,"Divorced",2)</f>
        <v>1</v>
      </c>
      <c r="AJ115">
        <f>IF(tbl_HR_Data[[#This Row],[OverTime]]=1,1,0)</f>
        <v>0</v>
      </c>
      <c r="AK115">
        <f>IF(tbl_HR_Data[[#This Row],[DistanceFromHome]]&gt;15,1,0)</f>
        <v>1</v>
      </c>
      <c r="AL115">
        <f>IF(tbl_HR_Data[[#This Row],[JobSatisfaction]]&lt;=2,1,0)</f>
        <v>0</v>
      </c>
      <c r="AM115">
        <f>IF(tbl_HR_Data[[#This Row],[MonthlyIncome]]&lt;$AT$2,1,0)</f>
        <v>1</v>
      </c>
      <c r="AN115">
        <f>IF(tbl_HR_Data[[#This Row],[Travel_Code]]=2,1,0)</f>
        <v>0</v>
      </c>
      <c r="AO115">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115" s="15">
        <f>tbl_HR_Data[[#This Row],[Risk_Score_Raw]] / SUM(Logic_Parameters!$B$2:$B$6)</f>
        <v>0.33282973125692844</v>
      </c>
      <c r="AQ115" s="16" t="str" cm="1">
        <f t="array" ref="AQ115">_xlfn.IFS(tbl_HR_Data[[#This Row],[Attrition_Risk_Percentage]] &gt;= 0.75, "Critical",tbl_HR_Data[ [#This Row],[Attrition_Risk_Percentage] ]&gt;= 0.5, "High",tbl_HR_Data[[#This Row],[Attrition_Risk_Percentage]] &gt;= 0.25, "Medium",TRUE, "Low")</f>
        <v>Medium</v>
      </c>
      <c r="AR115" s="16" cm="1">
        <f t="array" ref="AR115">IFERROR(_xlfn.IFS(tbl_HR_Data[[#This Row],[Risk_Category]]="Critical",tbl_HR_Data[[#This Row],[MonthlyIncome]]*1.5,tbl_HR_Data[[#This Row],[Risk_Category]]="High",tbl_HR_Data[[#This Row],[MonthlyIncome]]*1.5),0)</f>
        <v>0</v>
      </c>
    </row>
    <row r="116" spans="1:44" x14ac:dyDescent="0.35">
      <c r="A116" t="s">
        <v>1166</v>
      </c>
      <c r="B116">
        <v>34</v>
      </c>
      <c r="C116" t="s">
        <v>31</v>
      </c>
      <c r="D116">
        <v>1031</v>
      </c>
      <c r="E116" t="s">
        <v>38</v>
      </c>
      <c r="F116">
        <v>6</v>
      </c>
      <c r="G116">
        <v>4</v>
      </c>
      <c r="H116" t="s">
        <v>33</v>
      </c>
      <c r="I116">
        <v>3</v>
      </c>
      <c r="J116" t="s">
        <v>34</v>
      </c>
      <c r="K116">
        <v>45</v>
      </c>
      <c r="L116">
        <v>2</v>
      </c>
      <c r="M116">
        <v>2</v>
      </c>
      <c r="N116" t="s">
        <v>40</v>
      </c>
      <c r="O116">
        <v>2</v>
      </c>
      <c r="P116" t="s">
        <v>45</v>
      </c>
      <c r="Q116">
        <v>4505</v>
      </c>
      <c r="R116">
        <v>15000</v>
      </c>
      <c r="S116">
        <v>6</v>
      </c>
      <c r="T116">
        <v>0</v>
      </c>
      <c r="U116" s="17">
        <v>0.15</v>
      </c>
      <c r="V116">
        <v>3</v>
      </c>
      <c r="W116">
        <v>3</v>
      </c>
      <c r="X116">
        <v>1</v>
      </c>
      <c r="Y116">
        <v>12</v>
      </c>
      <c r="Z116">
        <v>3</v>
      </c>
      <c r="AA116">
        <v>3</v>
      </c>
      <c r="AB116">
        <v>1</v>
      </c>
      <c r="AC116">
        <v>0</v>
      </c>
      <c r="AD116">
        <v>0</v>
      </c>
      <c r="AE116">
        <v>0</v>
      </c>
      <c r="AF116">
        <v>0</v>
      </c>
      <c r="AG116">
        <f>IF(tbl_HR_Data[[#This Row],[Gender]]="Male",1,0)</f>
        <v>0</v>
      </c>
      <c r="AH116" cm="1">
        <f t="array" ref="AH116">_xlfn.SWITCH(tbl_HR_Data[[#This Row],[BusinessTravel]], "Non-Travel", 0, "Travel_Rarely", 1, "Travel_Frequently", 2)</f>
        <v>1</v>
      </c>
      <c r="AI116" cm="1">
        <f t="array" ref="AI116">_xlfn.SWITCH(tbl_HR_Data[[#This Row],[MaritalStatus]],"Single",0,"Married",1,"Divorced",2)</f>
        <v>2</v>
      </c>
      <c r="AJ116">
        <f>IF(tbl_HR_Data[[#This Row],[OverTime]]=1,1,0)</f>
        <v>0</v>
      </c>
      <c r="AK116">
        <f>IF(tbl_HR_Data[[#This Row],[DistanceFromHome]]&gt;15,1,0)</f>
        <v>0</v>
      </c>
      <c r="AL116">
        <f>IF(tbl_HR_Data[[#This Row],[JobSatisfaction]]&lt;=2,1,0)</f>
        <v>1</v>
      </c>
      <c r="AM116">
        <f>IF(tbl_HR_Data[[#This Row],[MonthlyIncome]]&lt;$AT$2,1,0)</f>
        <v>1</v>
      </c>
      <c r="AN116">
        <f>IF(tbl_HR_Data[[#This Row],[Travel_Code]]=2,1,0)</f>
        <v>0</v>
      </c>
      <c r="AO116">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16" s="15">
        <f>tbl_HR_Data[[#This Row],[Risk_Score_Raw]] / SUM(Logic_Parameters!$B$2:$B$6)</f>
        <v>0.3686061316669938</v>
      </c>
      <c r="AQ116" s="16" t="str" cm="1">
        <f t="array" ref="AQ116">_xlfn.IFS(tbl_HR_Data[[#This Row],[Attrition_Risk_Percentage]] &gt;= 0.75, "Critical",tbl_HR_Data[ [#This Row],[Attrition_Risk_Percentage] ]&gt;= 0.5, "High",tbl_HR_Data[[#This Row],[Attrition_Risk_Percentage]] &gt;= 0.25, "Medium",TRUE, "Low")</f>
        <v>Medium</v>
      </c>
      <c r="AR116" s="16" cm="1">
        <f t="array" ref="AR116">IFERROR(_xlfn.IFS(tbl_HR_Data[[#This Row],[Risk_Category]]="Critical",tbl_HR_Data[[#This Row],[MonthlyIncome]]*1.5,tbl_HR_Data[[#This Row],[Risk_Category]]="High",tbl_HR_Data[[#This Row],[MonthlyIncome]]*1.5),0)</f>
        <v>0</v>
      </c>
    </row>
    <row r="117" spans="1:44" x14ac:dyDescent="0.35">
      <c r="A117" t="s">
        <v>491</v>
      </c>
      <c r="B117">
        <v>37</v>
      </c>
      <c r="C117" t="s">
        <v>31</v>
      </c>
      <c r="D117">
        <v>1189</v>
      </c>
      <c r="E117" t="s">
        <v>32</v>
      </c>
      <c r="F117">
        <v>3</v>
      </c>
      <c r="G117">
        <v>3</v>
      </c>
      <c r="H117" t="s">
        <v>33</v>
      </c>
      <c r="I117">
        <v>3</v>
      </c>
      <c r="J117" t="s">
        <v>39</v>
      </c>
      <c r="K117">
        <v>87</v>
      </c>
      <c r="L117">
        <v>3</v>
      </c>
      <c r="M117">
        <v>3</v>
      </c>
      <c r="N117" t="s">
        <v>35</v>
      </c>
      <c r="O117">
        <v>4</v>
      </c>
      <c r="P117" t="s">
        <v>36</v>
      </c>
      <c r="Q117">
        <v>7428</v>
      </c>
      <c r="R117">
        <v>14506</v>
      </c>
      <c r="S117">
        <v>2</v>
      </c>
      <c r="T117">
        <v>0</v>
      </c>
      <c r="U117" s="17">
        <v>0.12</v>
      </c>
      <c r="V117">
        <v>3</v>
      </c>
      <c r="W117">
        <v>1</v>
      </c>
      <c r="X117">
        <v>0</v>
      </c>
      <c r="Y117">
        <v>12</v>
      </c>
      <c r="Z117">
        <v>3</v>
      </c>
      <c r="AA117">
        <v>3</v>
      </c>
      <c r="AB117">
        <v>5</v>
      </c>
      <c r="AC117">
        <v>3</v>
      </c>
      <c r="AD117">
        <v>1</v>
      </c>
      <c r="AE117">
        <v>3</v>
      </c>
      <c r="AF117">
        <v>0</v>
      </c>
      <c r="AG117">
        <f>IF(tbl_HR_Data[[#This Row],[Gender]]="Male",1,0)</f>
        <v>1</v>
      </c>
      <c r="AH117" cm="1">
        <f t="array" ref="AH117">_xlfn.SWITCH(tbl_HR_Data[[#This Row],[BusinessTravel]], "Non-Travel", 0, "Travel_Rarely", 1, "Travel_Frequently", 2)</f>
        <v>1</v>
      </c>
      <c r="AI117" cm="1">
        <f t="array" ref="AI117">_xlfn.SWITCH(tbl_HR_Data[[#This Row],[MaritalStatus]],"Single",0,"Married",1,"Divorced",2)</f>
        <v>0</v>
      </c>
      <c r="AJ117">
        <f>IF(tbl_HR_Data[[#This Row],[OverTime]]=1,1,0)</f>
        <v>0</v>
      </c>
      <c r="AK117">
        <f>IF(tbl_HR_Data[[#This Row],[DistanceFromHome]]&gt;15,1,0)</f>
        <v>0</v>
      </c>
      <c r="AL117">
        <f>IF(tbl_HR_Data[[#This Row],[JobSatisfaction]]&lt;=2,1,0)</f>
        <v>0</v>
      </c>
      <c r="AM117">
        <f>IF(tbl_HR_Data[[#This Row],[MonthlyIncome]]&lt;$AT$2,1,0)</f>
        <v>0</v>
      </c>
      <c r="AN117">
        <f>IF(tbl_HR_Data[[#This Row],[Travel_Code]]=2,1,0)</f>
        <v>0</v>
      </c>
      <c r="AO117">
        <f>(tbl_HR_Data[[#This Row],[Flag_OT]] * Logic_Parameters!$B$2) +
 (tbl_HR_Data[[#This Row],[Flag_Travel]] * Logic_Parameters!$B$3) +
 (tbl_HR_Data[[#This Row],[Flag_Satisfaction]] * Logic_Parameters!$B$4) +
 (tbl_HR_Data[[#This Row],[Flag_Distance]]* Logic_Parameters!$B$5) +
 (tbl_HR_Data[[#This Row],[Flag_Income]] * Logic_Parameters!$B$6)</f>
        <v>0</v>
      </c>
      <c r="AP117" s="15">
        <f>tbl_HR_Data[[#This Row],[Risk_Score_Raw]] / SUM(Logic_Parameters!$B$2:$B$6)</f>
        <v>0</v>
      </c>
      <c r="AQ117" s="16" t="str" cm="1">
        <f t="array" ref="AQ117">_xlfn.IFS(tbl_HR_Data[[#This Row],[Attrition_Risk_Percentage]] &gt;= 0.75, "Critical",tbl_HR_Data[ [#This Row],[Attrition_Risk_Percentage] ]&gt;= 0.5, "High",tbl_HR_Data[[#This Row],[Attrition_Risk_Percentage]] &gt;= 0.25, "Medium",TRUE, "Low")</f>
        <v>Low</v>
      </c>
      <c r="AR117" s="16" cm="1">
        <f t="array" ref="AR117">IFERROR(_xlfn.IFS(tbl_HR_Data[[#This Row],[Risk_Category]]="Critical",tbl_HR_Data[[#This Row],[MonthlyIncome]]*1.5,tbl_HR_Data[[#This Row],[Risk_Category]]="High",tbl_HR_Data[[#This Row],[MonthlyIncome]]*1.5),0)</f>
        <v>0</v>
      </c>
    </row>
    <row r="118" spans="1:44" x14ac:dyDescent="0.35">
      <c r="A118" t="s">
        <v>1349</v>
      </c>
      <c r="B118">
        <v>34</v>
      </c>
      <c r="C118" t="s">
        <v>31</v>
      </c>
      <c r="D118">
        <v>1354</v>
      </c>
      <c r="E118" t="s">
        <v>38</v>
      </c>
      <c r="F118">
        <v>5</v>
      </c>
      <c r="G118">
        <v>3</v>
      </c>
      <c r="H118" t="s">
        <v>44</v>
      </c>
      <c r="I118">
        <v>3</v>
      </c>
      <c r="J118" t="s">
        <v>34</v>
      </c>
      <c r="K118">
        <v>45</v>
      </c>
      <c r="L118">
        <v>2</v>
      </c>
      <c r="M118">
        <v>3</v>
      </c>
      <c r="N118" t="s">
        <v>48</v>
      </c>
      <c r="O118">
        <v>1</v>
      </c>
      <c r="P118" t="s">
        <v>36</v>
      </c>
      <c r="Q118">
        <v>11631</v>
      </c>
      <c r="R118">
        <v>5615</v>
      </c>
      <c r="S118">
        <v>2</v>
      </c>
      <c r="T118">
        <v>0</v>
      </c>
      <c r="U118" s="17">
        <v>0.12</v>
      </c>
      <c r="V118">
        <v>3</v>
      </c>
      <c r="W118">
        <v>4</v>
      </c>
      <c r="X118">
        <v>0</v>
      </c>
      <c r="Y118">
        <v>14</v>
      </c>
      <c r="Z118">
        <v>6</v>
      </c>
      <c r="AA118">
        <v>3</v>
      </c>
      <c r="AB118">
        <v>11</v>
      </c>
      <c r="AC118">
        <v>10</v>
      </c>
      <c r="AD118">
        <v>5</v>
      </c>
      <c r="AE118">
        <v>8</v>
      </c>
      <c r="AF118">
        <v>0</v>
      </c>
      <c r="AG118">
        <f>IF(tbl_HR_Data[[#This Row],[Gender]]="Male",1,0)</f>
        <v>0</v>
      </c>
      <c r="AH118" cm="1">
        <f t="array" ref="AH118">_xlfn.SWITCH(tbl_HR_Data[[#This Row],[BusinessTravel]], "Non-Travel", 0, "Travel_Rarely", 1, "Travel_Frequently", 2)</f>
        <v>1</v>
      </c>
      <c r="AI118" cm="1">
        <f t="array" ref="AI118">_xlfn.SWITCH(tbl_HR_Data[[#This Row],[MaritalStatus]],"Single",0,"Married",1,"Divorced",2)</f>
        <v>0</v>
      </c>
      <c r="AJ118">
        <f>IF(tbl_HR_Data[[#This Row],[OverTime]]=1,1,0)</f>
        <v>0</v>
      </c>
      <c r="AK118">
        <f>IF(tbl_HR_Data[[#This Row],[DistanceFromHome]]&gt;15,1,0)</f>
        <v>0</v>
      </c>
      <c r="AL118">
        <f>IF(tbl_HR_Data[[#This Row],[JobSatisfaction]]&lt;=2,1,0)</f>
        <v>1</v>
      </c>
      <c r="AM118">
        <f>IF(tbl_HR_Data[[#This Row],[MonthlyIncome]]&lt;$AT$2,1,0)</f>
        <v>0</v>
      </c>
      <c r="AN118">
        <f>IF(tbl_HR_Data[[#This Row],[Travel_Code]]=2,1,0)</f>
        <v>0</v>
      </c>
      <c r="AO118">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18" s="15">
        <f>tbl_HR_Data[[#This Row],[Risk_Score_Raw]] / SUM(Logic_Parameters!$B$2:$B$6)</f>
        <v>0.14485673308716898</v>
      </c>
      <c r="AQ118" s="16" t="str" cm="1">
        <f t="array" ref="AQ118">_xlfn.IFS(tbl_HR_Data[[#This Row],[Attrition_Risk_Percentage]] &gt;= 0.75, "Critical",tbl_HR_Data[ [#This Row],[Attrition_Risk_Percentage] ]&gt;= 0.5, "High",tbl_HR_Data[[#This Row],[Attrition_Risk_Percentage]] &gt;= 0.25, "Medium",TRUE, "Low")</f>
        <v>Low</v>
      </c>
      <c r="AR118" s="16" cm="1">
        <f t="array" ref="AR118">IFERROR(_xlfn.IFS(tbl_HR_Data[[#This Row],[Risk_Category]]="Critical",tbl_HR_Data[[#This Row],[MonthlyIncome]]*1.5,tbl_HR_Data[[#This Row],[Risk_Category]]="High",tbl_HR_Data[[#This Row],[MonthlyIncome]]*1.5),0)</f>
        <v>0</v>
      </c>
    </row>
    <row r="119" spans="1:44" x14ac:dyDescent="0.35">
      <c r="A119" t="s">
        <v>88</v>
      </c>
      <c r="B119">
        <v>36</v>
      </c>
      <c r="C119" t="s">
        <v>37</v>
      </c>
      <c r="D119">
        <v>1467</v>
      </c>
      <c r="E119" t="s">
        <v>32</v>
      </c>
      <c r="F119">
        <v>11</v>
      </c>
      <c r="G119">
        <v>2</v>
      </c>
      <c r="H119" t="s">
        <v>52</v>
      </c>
      <c r="I119">
        <v>2</v>
      </c>
      <c r="J119" t="s">
        <v>34</v>
      </c>
      <c r="K119">
        <v>92</v>
      </c>
      <c r="L119">
        <v>3</v>
      </c>
      <c r="M119">
        <v>3</v>
      </c>
      <c r="N119" t="s">
        <v>35</v>
      </c>
      <c r="O119">
        <v>4</v>
      </c>
      <c r="P119" t="s">
        <v>41</v>
      </c>
      <c r="Q119">
        <v>9738</v>
      </c>
      <c r="R119">
        <v>22952</v>
      </c>
      <c r="S119">
        <v>0</v>
      </c>
      <c r="T119">
        <v>0</v>
      </c>
      <c r="U119" s="17">
        <v>0.14000000000000001</v>
      </c>
      <c r="V119">
        <v>3</v>
      </c>
      <c r="W119">
        <v>3</v>
      </c>
      <c r="X119">
        <v>1</v>
      </c>
      <c r="Y119">
        <v>10</v>
      </c>
      <c r="Z119">
        <v>6</v>
      </c>
      <c r="AA119">
        <v>3</v>
      </c>
      <c r="AB119">
        <v>9</v>
      </c>
      <c r="AC119">
        <v>7</v>
      </c>
      <c r="AD119">
        <v>2</v>
      </c>
      <c r="AE119">
        <v>8</v>
      </c>
      <c r="AF119">
        <v>0</v>
      </c>
      <c r="AG119">
        <f>IF(tbl_HR_Data[[#This Row],[Gender]]="Male",1,0)</f>
        <v>0</v>
      </c>
      <c r="AH119" cm="1">
        <f t="array" ref="AH119">_xlfn.SWITCH(tbl_HR_Data[[#This Row],[BusinessTravel]], "Non-Travel", 0, "Travel_Rarely", 1, "Travel_Frequently", 2)</f>
        <v>2</v>
      </c>
      <c r="AI119" cm="1">
        <f t="array" ref="AI119">_xlfn.SWITCH(tbl_HR_Data[[#This Row],[MaritalStatus]],"Single",0,"Married",1,"Divorced",2)</f>
        <v>1</v>
      </c>
      <c r="AJ119">
        <f>IF(tbl_HR_Data[[#This Row],[OverTime]]=1,1,0)</f>
        <v>0</v>
      </c>
      <c r="AK119">
        <f>IF(tbl_HR_Data[[#This Row],[DistanceFromHome]]&gt;15,1,0)</f>
        <v>0</v>
      </c>
      <c r="AL119">
        <f>IF(tbl_HR_Data[[#This Row],[JobSatisfaction]]&lt;=2,1,0)</f>
        <v>0</v>
      </c>
      <c r="AM119">
        <f>IF(tbl_HR_Data[[#This Row],[MonthlyIncome]]&lt;$AT$2,1,0)</f>
        <v>0</v>
      </c>
      <c r="AN119">
        <f>IF(tbl_HR_Data[[#This Row],[Travel_Code]]=2,1,0)</f>
        <v>1</v>
      </c>
      <c r="AO119">
        <f>(tbl_HR_Data[[#This Row],[Flag_OT]] * Logic_Parameters!$B$2) +
 (tbl_HR_Data[[#This Row],[Flag_Travel]] * Logic_Parameters!$B$3) +
 (tbl_HR_Data[[#This Row],[Flag_Satisfaction]] * Logic_Parameters!$B$4) +
 (tbl_HR_Data[[#This Row],[Flag_Distance]]* Logic_Parameters!$B$5) +
 (tbl_HR_Data[[#This Row],[Flag_Income]] * Logic_Parameters!$B$6)</f>
        <v>5.1603899804901765</v>
      </c>
      <c r="AP119" s="15">
        <f>tbl_HR_Data[[#This Row],[Risk_Score_Raw]] / SUM(Logic_Parameters!$B$2:$B$6)</f>
        <v>0.17778840383009531</v>
      </c>
      <c r="AQ119" s="16" t="str" cm="1">
        <f t="array" ref="AQ119">_xlfn.IFS(tbl_HR_Data[[#This Row],[Attrition_Risk_Percentage]] &gt;= 0.75, "Critical",tbl_HR_Data[ [#This Row],[Attrition_Risk_Percentage] ]&gt;= 0.5, "High",tbl_HR_Data[[#This Row],[Attrition_Risk_Percentage]] &gt;= 0.25, "Medium",TRUE, "Low")</f>
        <v>Low</v>
      </c>
      <c r="AR119" s="16" cm="1">
        <f t="array" ref="AR119">IFERROR(_xlfn.IFS(tbl_HR_Data[[#This Row],[Risk_Category]]="Critical",tbl_HR_Data[[#This Row],[MonthlyIncome]]*1.5,tbl_HR_Data[[#This Row],[Risk_Category]]="High",tbl_HR_Data[[#This Row],[MonthlyIncome]]*1.5),0)</f>
        <v>0</v>
      </c>
    </row>
    <row r="120" spans="1:44" x14ac:dyDescent="0.35">
      <c r="A120" t="s">
        <v>972</v>
      </c>
      <c r="B120">
        <v>36</v>
      </c>
      <c r="C120" t="s">
        <v>31</v>
      </c>
      <c r="D120">
        <v>922</v>
      </c>
      <c r="E120" t="s">
        <v>38</v>
      </c>
      <c r="F120">
        <v>3</v>
      </c>
      <c r="G120">
        <v>2</v>
      </c>
      <c r="H120" t="s">
        <v>33</v>
      </c>
      <c r="I120">
        <v>1</v>
      </c>
      <c r="J120" t="s">
        <v>34</v>
      </c>
      <c r="K120">
        <v>39</v>
      </c>
      <c r="L120">
        <v>3</v>
      </c>
      <c r="M120">
        <v>1</v>
      </c>
      <c r="N120" t="s">
        <v>43</v>
      </c>
      <c r="O120">
        <v>4</v>
      </c>
      <c r="P120" t="s">
        <v>45</v>
      </c>
      <c r="Q120">
        <v>2835</v>
      </c>
      <c r="R120">
        <v>2561</v>
      </c>
      <c r="S120">
        <v>5</v>
      </c>
      <c r="T120">
        <v>0</v>
      </c>
      <c r="U120" s="17">
        <v>0.22</v>
      </c>
      <c r="V120">
        <v>4</v>
      </c>
      <c r="W120">
        <v>1</v>
      </c>
      <c r="X120">
        <v>1</v>
      </c>
      <c r="Y120">
        <v>7</v>
      </c>
      <c r="Z120">
        <v>2</v>
      </c>
      <c r="AA120">
        <v>3</v>
      </c>
      <c r="AB120">
        <v>1</v>
      </c>
      <c r="AC120">
        <v>0</v>
      </c>
      <c r="AD120">
        <v>0</v>
      </c>
      <c r="AE120">
        <v>0</v>
      </c>
      <c r="AF120">
        <v>0</v>
      </c>
      <c r="AG120">
        <f>IF(tbl_HR_Data[[#This Row],[Gender]]="Male",1,0)</f>
        <v>0</v>
      </c>
      <c r="AH120" cm="1">
        <f t="array" ref="AH120">_xlfn.SWITCH(tbl_HR_Data[[#This Row],[BusinessTravel]], "Non-Travel", 0, "Travel_Rarely", 1, "Travel_Frequently", 2)</f>
        <v>1</v>
      </c>
      <c r="AI120" cm="1">
        <f t="array" ref="AI120">_xlfn.SWITCH(tbl_HR_Data[[#This Row],[MaritalStatus]],"Single",0,"Married",1,"Divorced",2)</f>
        <v>2</v>
      </c>
      <c r="AJ120">
        <f>IF(tbl_HR_Data[[#This Row],[OverTime]]=1,1,0)</f>
        <v>0</v>
      </c>
      <c r="AK120">
        <f>IF(tbl_HR_Data[[#This Row],[DistanceFromHome]]&gt;15,1,0)</f>
        <v>0</v>
      </c>
      <c r="AL120">
        <f>IF(tbl_HR_Data[[#This Row],[JobSatisfaction]]&lt;=2,1,0)</f>
        <v>0</v>
      </c>
      <c r="AM120">
        <f>IF(tbl_HR_Data[[#This Row],[MonthlyIncome]]&lt;$AT$2,1,0)</f>
        <v>1</v>
      </c>
      <c r="AN120">
        <f>IF(tbl_HR_Data[[#This Row],[Travel_Code]]=2,1,0)</f>
        <v>0</v>
      </c>
      <c r="AO120">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20" s="15">
        <f>tbl_HR_Data[[#This Row],[Risk_Score_Raw]] / SUM(Logic_Parameters!$B$2:$B$6)</f>
        <v>0.22374939857982484</v>
      </c>
      <c r="AQ120" s="16" t="str" cm="1">
        <f t="array" ref="AQ120">_xlfn.IFS(tbl_HR_Data[[#This Row],[Attrition_Risk_Percentage]] &gt;= 0.75, "Critical",tbl_HR_Data[ [#This Row],[Attrition_Risk_Percentage] ]&gt;= 0.5, "High",tbl_HR_Data[[#This Row],[Attrition_Risk_Percentage]] &gt;= 0.25, "Medium",TRUE, "Low")</f>
        <v>Low</v>
      </c>
      <c r="AR120" s="16" cm="1">
        <f t="array" ref="AR120">IFERROR(_xlfn.IFS(tbl_HR_Data[[#This Row],[Risk_Category]]="Critical",tbl_HR_Data[[#This Row],[MonthlyIncome]]*1.5,tbl_HR_Data[[#This Row],[Risk_Category]]="High",tbl_HR_Data[[#This Row],[MonthlyIncome]]*1.5),0)</f>
        <v>0</v>
      </c>
    </row>
    <row r="121" spans="1:44" x14ac:dyDescent="0.35">
      <c r="A121" t="s">
        <v>225</v>
      </c>
      <c r="B121">
        <v>43</v>
      </c>
      <c r="C121" t="s">
        <v>37</v>
      </c>
      <c r="D121">
        <v>394</v>
      </c>
      <c r="E121" t="s">
        <v>32</v>
      </c>
      <c r="F121">
        <v>26</v>
      </c>
      <c r="G121">
        <v>2</v>
      </c>
      <c r="H121" t="s">
        <v>33</v>
      </c>
      <c r="I121">
        <v>3</v>
      </c>
      <c r="J121" t="s">
        <v>39</v>
      </c>
      <c r="K121">
        <v>92</v>
      </c>
      <c r="L121">
        <v>3</v>
      </c>
      <c r="M121">
        <v>4</v>
      </c>
      <c r="N121" t="s">
        <v>48</v>
      </c>
      <c r="O121">
        <v>4</v>
      </c>
      <c r="P121" t="s">
        <v>41</v>
      </c>
      <c r="Q121">
        <v>16959</v>
      </c>
      <c r="R121">
        <v>19494</v>
      </c>
      <c r="S121">
        <v>1</v>
      </c>
      <c r="T121">
        <v>1</v>
      </c>
      <c r="U121" s="17">
        <v>0.12</v>
      </c>
      <c r="V121">
        <v>3</v>
      </c>
      <c r="W121">
        <v>4</v>
      </c>
      <c r="X121">
        <v>2</v>
      </c>
      <c r="Y121">
        <v>25</v>
      </c>
      <c r="Z121">
        <v>3</v>
      </c>
      <c r="AA121">
        <v>4</v>
      </c>
      <c r="AB121">
        <v>25</v>
      </c>
      <c r="AC121">
        <v>12</v>
      </c>
      <c r="AD121">
        <v>4</v>
      </c>
      <c r="AE121">
        <v>12</v>
      </c>
      <c r="AF121">
        <v>0</v>
      </c>
      <c r="AG121">
        <f>IF(tbl_HR_Data[[#This Row],[Gender]]="Male",1,0)</f>
        <v>1</v>
      </c>
      <c r="AH121" cm="1">
        <f t="array" ref="AH121">_xlfn.SWITCH(tbl_HR_Data[[#This Row],[BusinessTravel]], "Non-Travel", 0, "Travel_Rarely", 1, "Travel_Frequently", 2)</f>
        <v>2</v>
      </c>
      <c r="AI121" cm="1">
        <f t="array" ref="AI121">_xlfn.SWITCH(tbl_HR_Data[[#This Row],[MaritalStatus]],"Single",0,"Married",1,"Divorced",2)</f>
        <v>1</v>
      </c>
      <c r="AJ121">
        <f>IF(tbl_HR_Data[[#This Row],[OverTime]]=1,1,0)</f>
        <v>1</v>
      </c>
      <c r="AK121">
        <f>IF(tbl_HR_Data[[#This Row],[DistanceFromHome]]&gt;15,1,0)</f>
        <v>1</v>
      </c>
      <c r="AL121">
        <f>IF(tbl_HR_Data[[#This Row],[JobSatisfaction]]&lt;=2,1,0)</f>
        <v>0</v>
      </c>
      <c r="AM121">
        <f>IF(tbl_HR_Data[[#This Row],[MonthlyIncome]]&lt;$AT$2,1,0)</f>
        <v>0</v>
      </c>
      <c r="AN121">
        <f>IF(tbl_HR_Data[[#This Row],[Travel_Code]]=2,1,0)</f>
        <v>1</v>
      </c>
      <c r="AO121">
        <f>(tbl_HR_Data[[#This Row],[Flag_OT]] * Logic_Parameters!$B$2) +
 (tbl_HR_Data[[#This Row],[Flag_Travel]] * Logic_Parameters!$B$3) +
 (tbl_HR_Data[[#This Row],[Flag_Satisfaction]] * Logic_Parameters!$B$4) +
 (tbl_HR_Data[[#This Row],[Flag_Distance]]* Logic_Parameters!$B$5) +
 (tbl_HR_Data[[#This Row],[Flag_Income]] * Logic_Parameters!$B$6)</f>
        <v>18.326496676365554</v>
      </c>
      <c r="AP121" s="15">
        <f>tbl_HR_Data[[#This Row],[Risk_Score_Raw]] / SUM(Logic_Parameters!$B$2:$B$6)</f>
        <v>0.63139386833300615</v>
      </c>
      <c r="AQ121" s="16" t="str" cm="1">
        <f t="array" ref="AQ121">_xlfn.IFS(tbl_HR_Data[[#This Row],[Attrition_Risk_Percentage]] &gt;= 0.75, "Critical",tbl_HR_Data[ [#This Row],[Attrition_Risk_Percentage] ]&gt;= 0.5, "High",tbl_HR_Data[[#This Row],[Attrition_Risk_Percentage]] &gt;= 0.25, "Medium",TRUE, "Low")</f>
        <v>High</v>
      </c>
      <c r="AR121" s="16" cm="1">
        <f t="array" ref="AR121">IFERROR(_xlfn.IFS(tbl_HR_Data[[#This Row],[Risk_Category]]="Critical",tbl_HR_Data[[#This Row],[MonthlyIncome]]*1.5,tbl_HR_Data[[#This Row],[Risk_Category]]="High",tbl_HR_Data[[#This Row],[MonthlyIncome]]*1.5),0)</f>
        <v>25438.5</v>
      </c>
    </row>
    <row r="122" spans="1:44" x14ac:dyDescent="0.35">
      <c r="A122" t="s">
        <v>519</v>
      </c>
      <c r="B122">
        <v>30</v>
      </c>
      <c r="C122" t="s">
        <v>37</v>
      </c>
      <c r="D122">
        <v>1312</v>
      </c>
      <c r="E122" t="s">
        <v>38</v>
      </c>
      <c r="F122">
        <v>23</v>
      </c>
      <c r="G122">
        <v>3</v>
      </c>
      <c r="H122" t="s">
        <v>33</v>
      </c>
      <c r="I122">
        <v>1</v>
      </c>
      <c r="J122" t="s">
        <v>39</v>
      </c>
      <c r="K122">
        <v>96</v>
      </c>
      <c r="L122">
        <v>1</v>
      </c>
      <c r="M122">
        <v>1</v>
      </c>
      <c r="N122" t="s">
        <v>40</v>
      </c>
      <c r="O122">
        <v>3</v>
      </c>
      <c r="P122" t="s">
        <v>45</v>
      </c>
      <c r="Q122">
        <v>2613</v>
      </c>
      <c r="R122">
        <v>22310</v>
      </c>
      <c r="S122">
        <v>1</v>
      </c>
      <c r="T122">
        <v>0</v>
      </c>
      <c r="U122" s="17">
        <v>0.25</v>
      </c>
      <c r="V122">
        <v>4</v>
      </c>
      <c r="W122">
        <v>3</v>
      </c>
      <c r="X122">
        <v>3</v>
      </c>
      <c r="Y122">
        <v>10</v>
      </c>
      <c r="Z122">
        <v>2</v>
      </c>
      <c r="AA122">
        <v>2</v>
      </c>
      <c r="AB122">
        <v>10</v>
      </c>
      <c r="AC122">
        <v>7</v>
      </c>
      <c r="AD122">
        <v>0</v>
      </c>
      <c r="AE122">
        <v>9</v>
      </c>
      <c r="AF122">
        <v>0</v>
      </c>
      <c r="AG122">
        <f>IF(tbl_HR_Data[[#This Row],[Gender]]="Male",1,0)</f>
        <v>1</v>
      </c>
      <c r="AH122" cm="1">
        <f t="array" ref="AH122">_xlfn.SWITCH(tbl_HR_Data[[#This Row],[BusinessTravel]], "Non-Travel", 0, "Travel_Rarely", 1, "Travel_Frequently", 2)</f>
        <v>2</v>
      </c>
      <c r="AI122" cm="1">
        <f t="array" ref="AI122">_xlfn.SWITCH(tbl_HR_Data[[#This Row],[MaritalStatus]],"Single",0,"Married",1,"Divorced",2)</f>
        <v>2</v>
      </c>
      <c r="AJ122">
        <f>IF(tbl_HR_Data[[#This Row],[OverTime]]=1,1,0)</f>
        <v>0</v>
      </c>
      <c r="AK122">
        <f>IF(tbl_HR_Data[[#This Row],[DistanceFromHome]]&gt;15,1,0)</f>
        <v>1</v>
      </c>
      <c r="AL122">
        <f>IF(tbl_HR_Data[[#This Row],[JobSatisfaction]]&lt;=2,1,0)</f>
        <v>0</v>
      </c>
      <c r="AM122">
        <f>IF(tbl_HR_Data[[#This Row],[MonthlyIncome]]&lt;$AT$2,1,0)</f>
        <v>1</v>
      </c>
      <c r="AN122">
        <f>IF(tbl_HR_Data[[#This Row],[Travel_Code]]=2,1,0)</f>
        <v>1</v>
      </c>
      <c r="AO122">
        <f>(tbl_HR_Data[[#This Row],[Flag_OT]] * Logic_Parameters!$B$2) +
 (tbl_HR_Data[[#This Row],[Flag_Travel]] * Logic_Parameters!$B$3) +
 (tbl_HR_Data[[#This Row],[Flag_Satisfaction]] * Logic_Parameters!$B$4) +
 (tbl_HR_Data[[#This Row],[Flag_Distance]]* Logic_Parameters!$B$5) +
 (tbl_HR_Data[[#This Row],[Flag_Income]] * Logic_Parameters!$B$6)</f>
        <v>14.820925613786383</v>
      </c>
      <c r="AP122" s="15">
        <f>tbl_HR_Data[[#This Row],[Risk_Score_Raw]] / SUM(Logic_Parameters!$B$2:$B$6)</f>
        <v>0.51061813508702369</v>
      </c>
      <c r="AQ122" s="16" t="str" cm="1">
        <f t="array" ref="AQ122">_xlfn.IFS(tbl_HR_Data[[#This Row],[Attrition_Risk_Percentage]] &gt;= 0.75, "Critical",tbl_HR_Data[ [#This Row],[Attrition_Risk_Percentage] ]&gt;= 0.5, "High",tbl_HR_Data[[#This Row],[Attrition_Risk_Percentage]] &gt;= 0.25, "Medium",TRUE, "Low")</f>
        <v>High</v>
      </c>
      <c r="AR122" s="16" cm="1">
        <f t="array" ref="AR122">IFERROR(_xlfn.IFS(tbl_HR_Data[[#This Row],[Risk_Category]]="Critical",tbl_HR_Data[[#This Row],[MonthlyIncome]]*1.5,tbl_HR_Data[[#This Row],[Risk_Category]]="High",tbl_HR_Data[[#This Row],[MonthlyIncome]]*1.5),0)</f>
        <v>3919.5</v>
      </c>
    </row>
    <row r="123" spans="1:44" x14ac:dyDescent="0.35">
      <c r="A123" t="s">
        <v>995</v>
      </c>
      <c r="B123">
        <v>33</v>
      </c>
      <c r="C123" t="s">
        <v>1525</v>
      </c>
      <c r="D123">
        <v>750</v>
      </c>
      <c r="E123" t="s">
        <v>32</v>
      </c>
      <c r="F123">
        <v>22</v>
      </c>
      <c r="G123">
        <v>2</v>
      </c>
      <c r="H123" t="s">
        <v>51</v>
      </c>
      <c r="I123">
        <v>3</v>
      </c>
      <c r="J123" t="s">
        <v>39</v>
      </c>
      <c r="K123">
        <v>95</v>
      </c>
      <c r="L123">
        <v>3</v>
      </c>
      <c r="M123">
        <v>2</v>
      </c>
      <c r="N123" t="s">
        <v>35</v>
      </c>
      <c r="O123">
        <v>2</v>
      </c>
      <c r="P123" t="s">
        <v>41</v>
      </c>
      <c r="Q123">
        <v>6146</v>
      </c>
      <c r="R123">
        <v>15480</v>
      </c>
      <c r="S123">
        <v>0</v>
      </c>
      <c r="T123">
        <v>0</v>
      </c>
      <c r="U123" s="17">
        <v>0.13</v>
      </c>
      <c r="V123">
        <v>3</v>
      </c>
      <c r="W123">
        <v>1</v>
      </c>
      <c r="X123">
        <v>1</v>
      </c>
      <c r="Y123">
        <v>8</v>
      </c>
      <c r="Z123">
        <v>2</v>
      </c>
      <c r="AA123">
        <v>4</v>
      </c>
      <c r="AB123">
        <v>7</v>
      </c>
      <c r="AC123">
        <v>7</v>
      </c>
      <c r="AD123">
        <v>0</v>
      </c>
      <c r="AE123">
        <v>7</v>
      </c>
      <c r="AF123">
        <v>0</v>
      </c>
      <c r="AG123">
        <f>IF(tbl_HR_Data[[#This Row],[Gender]]="Male",1,0)</f>
        <v>1</v>
      </c>
      <c r="AH123" cm="1">
        <f t="array" ref="AH123">_xlfn.SWITCH(tbl_HR_Data[[#This Row],[BusinessTravel]], "Non-Travel", 0, "Travel_Rarely", 1, "Travel_Frequently", 2)</f>
        <v>0</v>
      </c>
      <c r="AI123" cm="1">
        <f t="array" ref="AI123">_xlfn.SWITCH(tbl_HR_Data[[#This Row],[MaritalStatus]],"Single",0,"Married",1,"Divorced",2)</f>
        <v>1</v>
      </c>
      <c r="AJ123">
        <f>IF(tbl_HR_Data[[#This Row],[OverTime]]=1,1,0)</f>
        <v>0</v>
      </c>
      <c r="AK123">
        <f>IF(tbl_HR_Data[[#This Row],[DistanceFromHome]]&gt;15,1,0)</f>
        <v>1</v>
      </c>
      <c r="AL123">
        <f>IF(tbl_HR_Data[[#This Row],[JobSatisfaction]]&lt;=2,1,0)</f>
        <v>1</v>
      </c>
      <c r="AM123">
        <f>IF(tbl_HR_Data[[#This Row],[MonthlyIncome]]&lt;$AT$2,1,0)</f>
        <v>0</v>
      </c>
      <c r="AN123">
        <f>IF(tbl_HR_Data[[#This Row],[Travel_Code]]=2,1,0)</f>
        <v>0</v>
      </c>
      <c r="AO123">
        <f>(tbl_HR_Data[[#This Row],[Flag_OT]] * Logic_Parameters!$B$2) +
 (tbl_HR_Data[[#This Row],[Flag_Travel]] * Logic_Parameters!$B$3) +
 (tbl_HR_Data[[#This Row],[Flag_Satisfaction]] * Logic_Parameters!$B$4) +
 (tbl_HR_Data[[#This Row],[Flag_Distance]]* Logic_Parameters!$B$5) +
 (tbl_HR_Data[[#This Row],[Flag_Income]] * Logic_Parameters!$B$6)</f>
        <v>7.3706398258535089</v>
      </c>
      <c r="AP123" s="15">
        <f>tbl_HR_Data[[#This Row],[Risk_Score_Raw]] / SUM(Logic_Parameters!$B$2:$B$6)</f>
        <v>0.25393706576427255</v>
      </c>
      <c r="AQ123" s="16" t="str" cm="1">
        <f t="array" ref="AQ123">_xlfn.IFS(tbl_HR_Data[[#This Row],[Attrition_Risk_Percentage]] &gt;= 0.75, "Critical",tbl_HR_Data[ [#This Row],[Attrition_Risk_Percentage] ]&gt;= 0.5, "High",tbl_HR_Data[[#This Row],[Attrition_Risk_Percentage]] &gt;= 0.25, "Medium",TRUE, "Low")</f>
        <v>Medium</v>
      </c>
      <c r="AR123" s="16" cm="1">
        <f t="array" ref="AR123">IFERROR(_xlfn.IFS(tbl_HR_Data[[#This Row],[Risk_Category]]="Critical",tbl_HR_Data[[#This Row],[MonthlyIncome]]*1.5,tbl_HR_Data[[#This Row],[Risk_Category]]="High",tbl_HR_Data[[#This Row],[MonthlyIncome]]*1.5),0)</f>
        <v>0</v>
      </c>
    </row>
    <row r="124" spans="1:44" x14ac:dyDescent="0.35">
      <c r="A124" t="s">
        <v>1446</v>
      </c>
      <c r="B124">
        <v>56</v>
      </c>
      <c r="C124" t="s">
        <v>31</v>
      </c>
      <c r="D124">
        <v>441</v>
      </c>
      <c r="E124" t="s">
        <v>38</v>
      </c>
      <c r="F124">
        <v>14</v>
      </c>
      <c r="G124">
        <v>4</v>
      </c>
      <c r="H124" t="s">
        <v>33</v>
      </c>
      <c r="I124">
        <v>2</v>
      </c>
      <c r="J124" t="s">
        <v>34</v>
      </c>
      <c r="K124">
        <v>72</v>
      </c>
      <c r="L124">
        <v>3</v>
      </c>
      <c r="M124">
        <v>1</v>
      </c>
      <c r="N124" t="s">
        <v>40</v>
      </c>
      <c r="O124">
        <v>2</v>
      </c>
      <c r="P124" t="s">
        <v>41</v>
      </c>
      <c r="Q124">
        <v>4963</v>
      </c>
      <c r="R124">
        <v>4510</v>
      </c>
      <c r="S124">
        <v>9</v>
      </c>
      <c r="T124">
        <v>1</v>
      </c>
      <c r="U124" s="17">
        <v>0.18</v>
      </c>
      <c r="V124">
        <v>3</v>
      </c>
      <c r="W124">
        <v>1</v>
      </c>
      <c r="X124">
        <v>3</v>
      </c>
      <c r="Y124">
        <v>7</v>
      </c>
      <c r="Z124">
        <v>2</v>
      </c>
      <c r="AA124">
        <v>3</v>
      </c>
      <c r="AB124">
        <v>5</v>
      </c>
      <c r="AC124">
        <v>4</v>
      </c>
      <c r="AD124">
        <v>4</v>
      </c>
      <c r="AE124">
        <v>3</v>
      </c>
      <c r="AF124">
        <v>1</v>
      </c>
      <c r="AG124">
        <f>IF(tbl_HR_Data[[#This Row],[Gender]]="Male",1,0)</f>
        <v>0</v>
      </c>
      <c r="AH124" cm="1">
        <f t="array" ref="AH124">_xlfn.SWITCH(tbl_HR_Data[[#This Row],[BusinessTravel]], "Non-Travel", 0, "Travel_Rarely", 1, "Travel_Frequently", 2)</f>
        <v>1</v>
      </c>
      <c r="AI124" cm="1">
        <f t="array" ref="AI124">_xlfn.SWITCH(tbl_HR_Data[[#This Row],[MaritalStatus]],"Single",0,"Married",1,"Divorced",2)</f>
        <v>1</v>
      </c>
      <c r="AJ124">
        <f>IF(tbl_HR_Data[[#This Row],[OverTime]]=1,1,0)</f>
        <v>1</v>
      </c>
      <c r="AK124">
        <f>IF(tbl_HR_Data[[#This Row],[DistanceFromHome]]&gt;15,1,0)</f>
        <v>0</v>
      </c>
      <c r="AL124">
        <f>IF(tbl_HR_Data[[#This Row],[JobSatisfaction]]&lt;=2,1,0)</f>
        <v>1</v>
      </c>
      <c r="AM124">
        <f>IF(tbl_HR_Data[[#This Row],[MonthlyIncome]]&lt;$AT$2,1,0)</f>
        <v>0</v>
      </c>
      <c r="AN124">
        <f>IF(tbl_HR_Data[[#This Row],[Travel_Code]]=2,1,0)</f>
        <v>0</v>
      </c>
      <c r="AO124">
        <f>(tbl_HR_Data[[#This Row],[Flag_OT]] * Logic_Parameters!$B$2) +
 (tbl_HR_Data[[#This Row],[Flag_Travel]] * Logic_Parameters!$B$3) +
 (tbl_HR_Data[[#This Row],[Flag_Satisfaction]] * Logic_Parameters!$B$4) +
 (tbl_HR_Data[[#This Row],[Flag_Distance]]* Logic_Parameters!$B$5) +
 (tbl_HR_Data[[#This Row],[Flag_Income]] * Logic_Parameters!$B$6)</f>
        <v>14.204533129978131</v>
      </c>
      <c r="AP124" s="15">
        <f>tbl_HR_Data[[#This Row],[Risk_Score_Raw]] / SUM(Logic_Parameters!$B$2:$B$6)</f>
        <v>0.48938186491297625</v>
      </c>
      <c r="AQ124" s="16" t="str" cm="1">
        <f t="array" ref="AQ124">_xlfn.IFS(tbl_HR_Data[[#This Row],[Attrition_Risk_Percentage]] &gt;= 0.75, "Critical",tbl_HR_Data[ [#This Row],[Attrition_Risk_Percentage] ]&gt;= 0.5, "High",tbl_HR_Data[[#This Row],[Attrition_Risk_Percentage]] &gt;= 0.25, "Medium",TRUE, "Low")</f>
        <v>Medium</v>
      </c>
      <c r="AR124" s="16" cm="1">
        <f t="array" ref="AR124">IFERROR(_xlfn.IFS(tbl_HR_Data[[#This Row],[Risk_Category]]="Critical",tbl_HR_Data[[#This Row],[MonthlyIncome]]*1.5,tbl_HR_Data[[#This Row],[Risk_Category]]="High",tbl_HR_Data[[#This Row],[MonthlyIncome]]*1.5),0)</f>
        <v>0</v>
      </c>
    </row>
    <row r="125" spans="1:44" x14ac:dyDescent="0.35">
      <c r="A125" t="s">
        <v>1128</v>
      </c>
      <c r="B125">
        <v>51</v>
      </c>
      <c r="C125" t="s">
        <v>31</v>
      </c>
      <c r="D125">
        <v>684</v>
      </c>
      <c r="E125" t="s">
        <v>38</v>
      </c>
      <c r="F125">
        <v>6</v>
      </c>
      <c r="G125">
        <v>3</v>
      </c>
      <c r="H125" t="s">
        <v>33</v>
      </c>
      <c r="I125">
        <v>1</v>
      </c>
      <c r="J125" t="s">
        <v>39</v>
      </c>
      <c r="K125">
        <v>51</v>
      </c>
      <c r="L125">
        <v>3</v>
      </c>
      <c r="M125">
        <v>5</v>
      </c>
      <c r="N125" t="s">
        <v>50</v>
      </c>
      <c r="O125">
        <v>3</v>
      </c>
      <c r="P125" t="s">
        <v>36</v>
      </c>
      <c r="Q125">
        <v>19537</v>
      </c>
      <c r="R125">
        <v>6462</v>
      </c>
      <c r="S125">
        <v>7</v>
      </c>
      <c r="T125">
        <v>0</v>
      </c>
      <c r="U125" s="17">
        <v>0.13</v>
      </c>
      <c r="V125">
        <v>3</v>
      </c>
      <c r="W125">
        <v>3</v>
      </c>
      <c r="X125">
        <v>0</v>
      </c>
      <c r="Y125">
        <v>23</v>
      </c>
      <c r="Z125">
        <v>5</v>
      </c>
      <c r="AA125">
        <v>3</v>
      </c>
      <c r="AB125">
        <v>20</v>
      </c>
      <c r="AC125">
        <v>18</v>
      </c>
      <c r="AD125">
        <v>15</v>
      </c>
      <c r="AE125">
        <v>15</v>
      </c>
      <c r="AF125">
        <v>0</v>
      </c>
      <c r="AG125">
        <f>IF(tbl_HR_Data[[#This Row],[Gender]]="Male",1,0)</f>
        <v>1</v>
      </c>
      <c r="AH125" cm="1">
        <f t="array" ref="AH125">_xlfn.SWITCH(tbl_HR_Data[[#This Row],[BusinessTravel]], "Non-Travel", 0, "Travel_Rarely", 1, "Travel_Frequently", 2)</f>
        <v>1</v>
      </c>
      <c r="AI125" cm="1">
        <f t="array" ref="AI125">_xlfn.SWITCH(tbl_HR_Data[[#This Row],[MaritalStatus]],"Single",0,"Married",1,"Divorced",2)</f>
        <v>0</v>
      </c>
      <c r="AJ125">
        <f>IF(tbl_HR_Data[[#This Row],[OverTime]]=1,1,0)</f>
        <v>0</v>
      </c>
      <c r="AK125">
        <f>IF(tbl_HR_Data[[#This Row],[DistanceFromHome]]&gt;15,1,0)</f>
        <v>0</v>
      </c>
      <c r="AL125">
        <f>IF(tbl_HR_Data[[#This Row],[JobSatisfaction]]&lt;=2,1,0)</f>
        <v>0</v>
      </c>
      <c r="AM125">
        <f>IF(tbl_HR_Data[[#This Row],[MonthlyIncome]]&lt;$AT$2,1,0)</f>
        <v>0</v>
      </c>
      <c r="AN125">
        <f>IF(tbl_HR_Data[[#This Row],[Travel_Code]]=2,1,0)</f>
        <v>0</v>
      </c>
      <c r="AO125">
        <f>(tbl_HR_Data[[#This Row],[Flag_OT]] * Logic_Parameters!$B$2) +
 (tbl_HR_Data[[#This Row],[Flag_Travel]] * Logic_Parameters!$B$3) +
 (tbl_HR_Data[[#This Row],[Flag_Satisfaction]] * Logic_Parameters!$B$4) +
 (tbl_HR_Data[[#This Row],[Flag_Distance]]* Logic_Parameters!$B$5) +
 (tbl_HR_Data[[#This Row],[Flag_Income]] * Logic_Parameters!$B$6)</f>
        <v>0</v>
      </c>
      <c r="AP125" s="15">
        <f>tbl_HR_Data[[#This Row],[Risk_Score_Raw]] / SUM(Logic_Parameters!$B$2:$B$6)</f>
        <v>0</v>
      </c>
      <c r="AQ125" s="16" t="str" cm="1">
        <f t="array" ref="AQ125">_xlfn.IFS(tbl_HR_Data[[#This Row],[Attrition_Risk_Percentage]] &gt;= 0.75, "Critical",tbl_HR_Data[ [#This Row],[Attrition_Risk_Percentage] ]&gt;= 0.5, "High",tbl_HR_Data[[#This Row],[Attrition_Risk_Percentage]] &gt;= 0.25, "Medium",TRUE, "Low")</f>
        <v>Low</v>
      </c>
      <c r="AR125" s="16" cm="1">
        <f t="array" ref="AR125">IFERROR(_xlfn.IFS(tbl_HR_Data[[#This Row],[Risk_Category]]="Critical",tbl_HR_Data[[#This Row],[MonthlyIncome]]*1.5,tbl_HR_Data[[#This Row],[Risk_Category]]="High",tbl_HR_Data[[#This Row],[MonthlyIncome]]*1.5),0)</f>
        <v>0</v>
      </c>
    </row>
    <row r="126" spans="1:44" x14ac:dyDescent="0.35">
      <c r="A126" t="s">
        <v>1369</v>
      </c>
      <c r="B126">
        <v>31</v>
      </c>
      <c r="C126" t="s">
        <v>31</v>
      </c>
      <c r="D126">
        <v>249</v>
      </c>
      <c r="E126" t="s">
        <v>32</v>
      </c>
      <c r="F126">
        <v>6</v>
      </c>
      <c r="G126">
        <v>4</v>
      </c>
      <c r="H126" t="s">
        <v>33</v>
      </c>
      <c r="I126">
        <v>2</v>
      </c>
      <c r="J126" t="s">
        <v>39</v>
      </c>
      <c r="K126">
        <v>76</v>
      </c>
      <c r="L126">
        <v>1</v>
      </c>
      <c r="M126">
        <v>2</v>
      </c>
      <c r="N126" t="s">
        <v>35</v>
      </c>
      <c r="O126">
        <v>3</v>
      </c>
      <c r="P126" t="s">
        <v>41</v>
      </c>
      <c r="Q126">
        <v>6172</v>
      </c>
      <c r="R126">
        <v>20739</v>
      </c>
      <c r="S126">
        <v>4</v>
      </c>
      <c r="T126">
        <v>1</v>
      </c>
      <c r="U126" s="17">
        <v>0.18</v>
      </c>
      <c r="V126">
        <v>3</v>
      </c>
      <c r="W126">
        <v>2</v>
      </c>
      <c r="X126">
        <v>0</v>
      </c>
      <c r="Y126">
        <v>12</v>
      </c>
      <c r="Z126">
        <v>3</v>
      </c>
      <c r="AA126">
        <v>2</v>
      </c>
      <c r="AB126">
        <v>7</v>
      </c>
      <c r="AC126">
        <v>7</v>
      </c>
      <c r="AD126">
        <v>7</v>
      </c>
      <c r="AE126">
        <v>7</v>
      </c>
      <c r="AF126">
        <v>1</v>
      </c>
      <c r="AG126">
        <f>IF(tbl_HR_Data[[#This Row],[Gender]]="Male",1,0)</f>
        <v>1</v>
      </c>
      <c r="AH126" cm="1">
        <f t="array" ref="AH126">_xlfn.SWITCH(tbl_HR_Data[[#This Row],[BusinessTravel]], "Non-Travel", 0, "Travel_Rarely", 1, "Travel_Frequently", 2)</f>
        <v>1</v>
      </c>
      <c r="AI126" cm="1">
        <f t="array" ref="AI126">_xlfn.SWITCH(tbl_HR_Data[[#This Row],[MaritalStatus]],"Single",0,"Married",1,"Divorced",2)</f>
        <v>1</v>
      </c>
      <c r="AJ126">
        <f>IF(tbl_HR_Data[[#This Row],[OverTime]]=1,1,0)</f>
        <v>1</v>
      </c>
      <c r="AK126">
        <f>IF(tbl_HR_Data[[#This Row],[DistanceFromHome]]&gt;15,1,0)</f>
        <v>0</v>
      </c>
      <c r="AL126">
        <f>IF(tbl_HR_Data[[#This Row],[JobSatisfaction]]&lt;=2,1,0)</f>
        <v>0</v>
      </c>
      <c r="AM126">
        <f>IF(tbl_HR_Data[[#This Row],[MonthlyIncome]]&lt;$AT$2,1,0)</f>
        <v>0</v>
      </c>
      <c r="AN126">
        <f>IF(tbl_HR_Data[[#This Row],[Travel_Code]]=2,1,0)</f>
        <v>0</v>
      </c>
      <c r="AO126">
        <f>(tbl_HR_Data[[#This Row],[Flag_OT]] * Logic_Parameters!$B$2) +
 (tbl_HR_Data[[#This Row],[Flag_Travel]] * Logic_Parameters!$B$3) +
 (tbl_HR_Data[[#This Row],[Flag_Satisfaction]] * Logic_Parameters!$B$4) +
 (tbl_HR_Data[[#This Row],[Flag_Distance]]* Logic_Parameters!$B$5) +
 (tbl_HR_Data[[#This Row],[Flag_Income]] * Logic_Parameters!$B$6)</f>
        <v>10</v>
      </c>
      <c r="AP126" s="15">
        <f>tbl_HR_Data[[#This Row],[Risk_Score_Raw]] / SUM(Logic_Parameters!$B$2:$B$6)</f>
        <v>0.3445251318258073</v>
      </c>
      <c r="AQ126" s="16" t="str" cm="1">
        <f t="array" ref="AQ126">_xlfn.IFS(tbl_HR_Data[[#This Row],[Attrition_Risk_Percentage]] &gt;= 0.75, "Critical",tbl_HR_Data[ [#This Row],[Attrition_Risk_Percentage] ]&gt;= 0.5, "High",tbl_HR_Data[[#This Row],[Attrition_Risk_Percentage]] &gt;= 0.25, "Medium",TRUE, "Low")</f>
        <v>Medium</v>
      </c>
      <c r="AR126" s="16" cm="1">
        <f t="array" ref="AR126">IFERROR(_xlfn.IFS(tbl_HR_Data[[#This Row],[Risk_Category]]="Critical",tbl_HR_Data[[#This Row],[MonthlyIncome]]*1.5,tbl_HR_Data[[#This Row],[Risk_Category]]="High",tbl_HR_Data[[#This Row],[MonthlyIncome]]*1.5),0)</f>
        <v>0</v>
      </c>
    </row>
    <row r="127" spans="1:44" x14ac:dyDescent="0.35">
      <c r="A127" t="s">
        <v>722</v>
      </c>
      <c r="B127">
        <v>26</v>
      </c>
      <c r="C127" t="s">
        <v>31</v>
      </c>
      <c r="D127">
        <v>841</v>
      </c>
      <c r="E127" t="s">
        <v>38</v>
      </c>
      <c r="F127">
        <v>6</v>
      </c>
      <c r="G127">
        <v>3</v>
      </c>
      <c r="H127" t="s">
        <v>42</v>
      </c>
      <c r="I127">
        <v>3</v>
      </c>
      <c r="J127" t="s">
        <v>34</v>
      </c>
      <c r="K127">
        <v>46</v>
      </c>
      <c r="L127">
        <v>2</v>
      </c>
      <c r="M127">
        <v>1</v>
      </c>
      <c r="N127" t="s">
        <v>40</v>
      </c>
      <c r="O127">
        <v>2</v>
      </c>
      <c r="P127" t="s">
        <v>41</v>
      </c>
      <c r="Q127">
        <v>2368</v>
      </c>
      <c r="R127">
        <v>23300</v>
      </c>
      <c r="S127">
        <v>1</v>
      </c>
      <c r="T127">
        <v>0</v>
      </c>
      <c r="U127" s="17">
        <v>0.19</v>
      </c>
      <c r="V127">
        <v>3</v>
      </c>
      <c r="W127">
        <v>3</v>
      </c>
      <c r="X127">
        <v>0</v>
      </c>
      <c r="Y127">
        <v>5</v>
      </c>
      <c r="Z127">
        <v>3</v>
      </c>
      <c r="AA127">
        <v>2</v>
      </c>
      <c r="AB127">
        <v>5</v>
      </c>
      <c r="AC127">
        <v>4</v>
      </c>
      <c r="AD127">
        <v>4</v>
      </c>
      <c r="AE127">
        <v>3</v>
      </c>
      <c r="AF127">
        <v>0</v>
      </c>
      <c r="AG127">
        <f>IF(tbl_HR_Data[[#This Row],[Gender]]="Male",1,0)</f>
        <v>0</v>
      </c>
      <c r="AH127" cm="1">
        <f t="array" ref="AH127">_xlfn.SWITCH(tbl_HR_Data[[#This Row],[BusinessTravel]], "Non-Travel", 0, "Travel_Rarely", 1, "Travel_Frequently", 2)</f>
        <v>1</v>
      </c>
      <c r="AI127" cm="1">
        <f t="array" ref="AI127">_xlfn.SWITCH(tbl_HR_Data[[#This Row],[MaritalStatus]],"Single",0,"Married",1,"Divorced",2)</f>
        <v>1</v>
      </c>
      <c r="AJ127">
        <f>IF(tbl_HR_Data[[#This Row],[OverTime]]=1,1,0)</f>
        <v>0</v>
      </c>
      <c r="AK127">
        <f>IF(tbl_HR_Data[[#This Row],[DistanceFromHome]]&gt;15,1,0)</f>
        <v>0</v>
      </c>
      <c r="AL127">
        <f>IF(tbl_HR_Data[[#This Row],[JobSatisfaction]]&lt;=2,1,0)</f>
        <v>1</v>
      </c>
      <c r="AM127">
        <f>IF(tbl_HR_Data[[#This Row],[MonthlyIncome]]&lt;$AT$2,1,0)</f>
        <v>1</v>
      </c>
      <c r="AN127">
        <f>IF(tbl_HR_Data[[#This Row],[Travel_Code]]=2,1,0)</f>
        <v>0</v>
      </c>
      <c r="AO127">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27" s="15">
        <f>tbl_HR_Data[[#This Row],[Risk_Score_Raw]] / SUM(Logic_Parameters!$B$2:$B$6)</f>
        <v>0.3686061316669938</v>
      </c>
      <c r="AQ127" s="16" t="str" cm="1">
        <f t="array" ref="AQ127">_xlfn.IFS(tbl_HR_Data[[#This Row],[Attrition_Risk_Percentage]] &gt;= 0.75, "Critical",tbl_HR_Data[ [#This Row],[Attrition_Risk_Percentage] ]&gt;= 0.5, "High",tbl_HR_Data[[#This Row],[Attrition_Risk_Percentage]] &gt;= 0.25, "Medium",TRUE, "Low")</f>
        <v>Medium</v>
      </c>
      <c r="AR127" s="16" cm="1">
        <f t="array" ref="AR127">IFERROR(_xlfn.IFS(tbl_HR_Data[[#This Row],[Risk_Category]]="Critical",tbl_HR_Data[[#This Row],[MonthlyIncome]]*1.5,tbl_HR_Data[[#This Row],[Risk_Category]]="High",tbl_HR_Data[[#This Row],[MonthlyIncome]]*1.5),0)</f>
        <v>0</v>
      </c>
    </row>
    <row r="128" spans="1:44" x14ac:dyDescent="0.35">
      <c r="A128" t="s">
        <v>561</v>
      </c>
      <c r="B128">
        <v>58</v>
      </c>
      <c r="C128" t="s">
        <v>31</v>
      </c>
      <c r="D128">
        <v>147</v>
      </c>
      <c r="E128" t="s">
        <v>38</v>
      </c>
      <c r="F128">
        <v>23</v>
      </c>
      <c r="G128">
        <v>4</v>
      </c>
      <c r="H128" t="s">
        <v>44</v>
      </c>
      <c r="I128">
        <v>4</v>
      </c>
      <c r="J128" t="s">
        <v>34</v>
      </c>
      <c r="K128">
        <v>94</v>
      </c>
      <c r="L128">
        <v>3</v>
      </c>
      <c r="M128">
        <v>3</v>
      </c>
      <c r="N128" t="s">
        <v>47</v>
      </c>
      <c r="O128">
        <v>4</v>
      </c>
      <c r="P128" t="s">
        <v>41</v>
      </c>
      <c r="Q128">
        <v>10312</v>
      </c>
      <c r="R128">
        <v>3465</v>
      </c>
      <c r="S128">
        <v>1</v>
      </c>
      <c r="T128">
        <v>0</v>
      </c>
      <c r="U128" s="17">
        <v>0.12</v>
      </c>
      <c r="V128">
        <v>3</v>
      </c>
      <c r="W128">
        <v>4</v>
      </c>
      <c r="X128">
        <v>1</v>
      </c>
      <c r="Y128">
        <v>40</v>
      </c>
      <c r="Z128">
        <v>3</v>
      </c>
      <c r="AA128">
        <v>2</v>
      </c>
      <c r="AB128">
        <v>40</v>
      </c>
      <c r="AC128">
        <v>10</v>
      </c>
      <c r="AD128">
        <v>15</v>
      </c>
      <c r="AE128">
        <v>6</v>
      </c>
      <c r="AF128">
        <v>1</v>
      </c>
      <c r="AG128">
        <f>IF(tbl_HR_Data[[#This Row],[Gender]]="Male",1,0)</f>
        <v>0</v>
      </c>
      <c r="AH128" cm="1">
        <f t="array" ref="AH128">_xlfn.SWITCH(tbl_HR_Data[[#This Row],[BusinessTravel]], "Non-Travel", 0, "Travel_Rarely", 1, "Travel_Frequently", 2)</f>
        <v>1</v>
      </c>
      <c r="AI128" cm="1">
        <f t="array" ref="AI128">_xlfn.SWITCH(tbl_HR_Data[[#This Row],[MaritalStatus]],"Single",0,"Married",1,"Divorced",2)</f>
        <v>1</v>
      </c>
      <c r="AJ128">
        <f>IF(tbl_HR_Data[[#This Row],[OverTime]]=1,1,0)</f>
        <v>0</v>
      </c>
      <c r="AK128">
        <f>IF(tbl_HR_Data[[#This Row],[DistanceFromHome]]&gt;15,1,0)</f>
        <v>1</v>
      </c>
      <c r="AL128">
        <f>IF(tbl_HR_Data[[#This Row],[JobSatisfaction]]&lt;=2,1,0)</f>
        <v>0</v>
      </c>
      <c r="AM128">
        <f>IF(tbl_HR_Data[[#This Row],[MonthlyIncome]]&lt;$AT$2,1,0)</f>
        <v>0</v>
      </c>
      <c r="AN128">
        <f>IF(tbl_HR_Data[[#This Row],[Travel_Code]]=2,1,0)</f>
        <v>0</v>
      </c>
      <c r="AO128">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128" s="15">
        <f>tbl_HR_Data[[#This Row],[Risk_Score_Raw]] / SUM(Logic_Parameters!$B$2:$B$6)</f>
        <v>0.10908033267710357</v>
      </c>
      <c r="AQ128" s="16" t="str" cm="1">
        <f t="array" ref="AQ128">_xlfn.IFS(tbl_HR_Data[[#This Row],[Attrition_Risk_Percentage]] &gt;= 0.75, "Critical",tbl_HR_Data[ [#This Row],[Attrition_Risk_Percentage] ]&gt;= 0.5, "High",tbl_HR_Data[[#This Row],[Attrition_Risk_Percentage]] &gt;= 0.25, "Medium",TRUE, "Low")</f>
        <v>Low</v>
      </c>
      <c r="AR128" s="16" cm="1">
        <f t="array" ref="AR128">IFERROR(_xlfn.IFS(tbl_HR_Data[[#This Row],[Risk_Category]]="Critical",tbl_HR_Data[[#This Row],[MonthlyIncome]]*1.5,tbl_HR_Data[[#This Row],[Risk_Category]]="High",tbl_HR_Data[[#This Row],[MonthlyIncome]]*1.5),0)</f>
        <v>0</v>
      </c>
    </row>
    <row r="129" spans="1:44" x14ac:dyDescent="0.35">
      <c r="A129" t="s">
        <v>315</v>
      </c>
      <c r="B129">
        <v>19</v>
      </c>
      <c r="C129" t="s">
        <v>31</v>
      </c>
      <c r="D129">
        <v>528</v>
      </c>
      <c r="E129" t="s">
        <v>32</v>
      </c>
      <c r="F129">
        <v>22</v>
      </c>
      <c r="G129">
        <v>1</v>
      </c>
      <c r="H129" t="s">
        <v>51</v>
      </c>
      <c r="I129">
        <v>4</v>
      </c>
      <c r="J129" t="s">
        <v>39</v>
      </c>
      <c r="K129">
        <v>50</v>
      </c>
      <c r="L129">
        <v>3</v>
      </c>
      <c r="M129">
        <v>1</v>
      </c>
      <c r="N129" t="s">
        <v>49</v>
      </c>
      <c r="O129">
        <v>3</v>
      </c>
      <c r="P129" t="s">
        <v>36</v>
      </c>
      <c r="Q129">
        <v>1675</v>
      </c>
      <c r="R129">
        <v>26820</v>
      </c>
      <c r="S129">
        <v>1</v>
      </c>
      <c r="T129">
        <v>1</v>
      </c>
      <c r="U129" s="17">
        <v>0.19</v>
      </c>
      <c r="V129">
        <v>3</v>
      </c>
      <c r="W129">
        <v>4</v>
      </c>
      <c r="X129">
        <v>0</v>
      </c>
      <c r="Y129">
        <v>0</v>
      </c>
      <c r="Z129">
        <v>2</v>
      </c>
      <c r="AA129">
        <v>2</v>
      </c>
      <c r="AB129">
        <v>0</v>
      </c>
      <c r="AC129">
        <v>0</v>
      </c>
      <c r="AD129">
        <v>0</v>
      </c>
      <c r="AE129">
        <v>0</v>
      </c>
      <c r="AF129">
        <v>1</v>
      </c>
      <c r="AG129">
        <f>IF(tbl_HR_Data[[#This Row],[Gender]]="Male",1,0)</f>
        <v>1</v>
      </c>
      <c r="AH129" cm="1">
        <f t="array" ref="AH129">_xlfn.SWITCH(tbl_HR_Data[[#This Row],[BusinessTravel]], "Non-Travel", 0, "Travel_Rarely", 1, "Travel_Frequently", 2)</f>
        <v>1</v>
      </c>
      <c r="AI129" cm="1">
        <f t="array" ref="AI129">_xlfn.SWITCH(tbl_HR_Data[[#This Row],[MaritalStatus]],"Single",0,"Married",1,"Divorced",2)</f>
        <v>0</v>
      </c>
      <c r="AJ129">
        <f>IF(tbl_HR_Data[[#This Row],[OverTime]]=1,1,0)</f>
        <v>1</v>
      </c>
      <c r="AK129">
        <f>IF(tbl_HR_Data[[#This Row],[DistanceFromHome]]&gt;15,1,0)</f>
        <v>1</v>
      </c>
      <c r="AL129">
        <f>IF(tbl_HR_Data[[#This Row],[JobSatisfaction]]&lt;=2,1,0)</f>
        <v>0</v>
      </c>
      <c r="AM129">
        <f>IF(tbl_HR_Data[[#This Row],[MonthlyIncome]]&lt;$AT$2,1,0)</f>
        <v>1</v>
      </c>
      <c r="AN129">
        <f>IF(tbl_HR_Data[[#This Row],[Travel_Code]]=2,1,0)</f>
        <v>0</v>
      </c>
      <c r="AO129">
        <f>(tbl_HR_Data[[#This Row],[Flag_OT]] * Logic_Parameters!$B$2) +
 (tbl_HR_Data[[#This Row],[Flag_Travel]] * Logic_Parameters!$B$3) +
 (tbl_HR_Data[[#This Row],[Flag_Satisfaction]] * Logic_Parameters!$B$4) +
 (tbl_HR_Data[[#This Row],[Flag_Distance]]* Logic_Parameters!$B$5) +
 (tbl_HR_Data[[#This Row],[Flag_Income]] * Logic_Parameters!$B$6)</f>
        <v>19.660535633296206</v>
      </c>
      <c r="AP129" s="15">
        <f>tbl_HR_Data[[#This Row],[Risk_Score_Raw]] / SUM(Logic_Parameters!$B$2:$B$6)</f>
        <v>0.67735486308273574</v>
      </c>
      <c r="AQ129" s="16" t="str" cm="1">
        <f t="array" ref="AQ129">_xlfn.IFS(tbl_HR_Data[[#This Row],[Attrition_Risk_Percentage]] &gt;= 0.75, "Critical",tbl_HR_Data[ [#This Row],[Attrition_Risk_Percentage] ]&gt;= 0.5, "High",tbl_HR_Data[[#This Row],[Attrition_Risk_Percentage]] &gt;= 0.25, "Medium",TRUE, "Low")</f>
        <v>High</v>
      </c>
      <c r="AR129" s="16" cm="1">
        <f t="array" ref="AR129">IFERROR(_xlfn.IFS(tbl_HR_Data[[#This Row],[Risk_Category]]="Critical",tbl_HR_Data[[#This Row],[MonthlyIncome]]*1.5,tbl_HR_Data[[#This Row],[Risk_Category]]="High",tbl_HR_Data[[#This Row],[MonthlyIncome]]*1.5),0)</f>
        <v>2512.5</v>
      </c>
    </row>
    <row r="130" spans="1:44" x14ac:dyDescent="0.35">
      <c r="A130" t="s">
        <v>194</v>
      </c>
      <c r="B130">
        <v>22</v>
      </c>
      <c r="C130" t="s">
        <v>31</v>
      </c>
      <c r="D130">
        <v>594</v>
      </c>
      <c r="E130" t="s">
        <v>38</v>
      </c>
      <c r="F130">
        <v>2</v>
      </c>
      <c r="G130">
        <v>1</v>
      </c>
      <c r="H130" t="s">
        <v>52</v>
      </c>
      <c r="I130">
        <v>3</v>
      </c>
      <c r="J130" t="s">
        <v>39</v>
      </c>
      <c r="K130">
        <v>100</v>
      </c>
      <c r="L130">
        <v>3</v>
      </c>
      <c r="M130">
        <v>1</v>
      </c>
      <c r="N130" t="s">
        <v>43</v>
      </c>
      <c r="O130">
        <v>4</v>
      </c>
      <c r="P130" t="s">
        <v>41</v>
      </c>
      <c r="Q130">
        <v>2523</v>
      </c>
      <c r="R130">
        <v>19299</v>
      </c>
      <c r="S130">
        <v>0</v>
      </c>
      <c r="T130">
        <v>0</v>
      </c>
      <c r="U130" s="17">
        <v>0.14000000000000001</v>
      </c>
      <c r="V130">
        <v>3</v>
      </c>
      <c r="W130">
        <v>3</v>
      </c>
      <c r="X130">
        <v>1</v>
      </c>
      <c r="Y130">
        <v>3</v>
      </c>
      <c r="Z130">
        <v>2</v>
      </c>
      <c r="AA130">
        <v>3</v>
      </c>
      <c r="AB130">
        <v>2</v>
      </c>
      <c r="AC130">
        <v>1</v>
      </c>
      <c r="AD130">
        <v>2</v>
      </c>
      <c r="AE130">
        <v>1</v>
      </c>
      <c r="AF130">
        <v>0</v>
      </c>
      <c r="AG130">
        <f>IF(tbl_HR_Data[[#This Row],[Gender]]="Male",1,0)</f>
        <v>1</v>
      </c>
      <c r="AH130" cm="1">
        <f t="array" ref="AH130">_xlfn.SWITCH(tbl_HR_Data[[#This Row],[BusinessTravel]], "Non-Travel", 0, "Travel_Rarely", 1, "Travel_Frequently", 2)</f>
        <v>1</v>
      </c>
      <c r="AI130" cm="1">
        <f t="array" ref="AI130">_xlfn.SWITCH(tbl_HR_Data[[#This Row],[MaritalStatus]],"Single",0,"Married",1,"Divorced",2)</f>
        <v>1</v>
      </c>
      <c r="AJ130">
        <f>IF(tbl_HR_Data[[#This Row],[OverTime]]=1,1,0)</f>
        <v>0</v>
      </c>
      <c r="AK130">
        <f>IF(tbl_HR_Data[[#This Row],[DistanceFromHome]]&gt;15,1,0)</f>
        <v>0</v>
      </c>
      <c r="AL130">
        <f>IF(tbl_HR_Data[[#This Row],[JobSatisfaction]]&lt;=2,1,0)</f>
        <v>0</v>
      </c>
      <c r="AM130">
        <f>IF(tbl_HR_Data[[#This Row],[MonthlyIncome]]&lt;$AT$2,1,0)</f>
        <v>1</v>
      </c>
      <c r="AN130">
        <f>IF(tbl_HR_Data[[#This Row],[Travel_Code]]=2,1,0)</f>
        <v>0</v>
      </c>
      <c r="AO130">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30" s="15">
        <f>tbl_HR_Data[[#This Row],[Risk_Score_Raw]] / SUM(Logic_Parameters!$B$2:$B$6)</f>
        <v>0.22374939857982484</v>
      </c>
      <c r="AQ130" s="16" t="str" cm="1">
        <f t="array" ref="AQ130">_xlfn.IFS(tbl_HR_Data[[#This Row],[Attrition_Risk_Percentage]] &gt;= 0.75, "Critical",tbl_HR_Data[ [#This Row],[Attrition_Risk_Percentage] ]&gt;= 0.5, "High",tbl_HR_Data[[#This Row],[Attrition_Risk_Percentage]] &gt;= 0.25, "Medium",TRUE, "Low")</f>
        <v>Low</v>
      </c>
      <c r="AR130" s="16" cm="1">
        <f t="array" ref="AR130">IFERROR(_xlfn.IFS(tbl_HR_Data[[#This Row],[Risk_Category]]="Critical",tbl_HR_Data[[#This Row],[MonthlyIncome]]*1.5,tbl_HR_Data[[#This Row],[Risk_Category]]="High",tbl_HR_Data[[#This Row],[MonthlyIncome]]*1.5),0)</f>
        <v>0</v>
      </c>
    </row>
    <row r="131" spans="1:44" x14ac:dyDescent="0.35">
      <c r="A131" t="s">
        <v>1506</v>
      </c>
      <c r="B131">
        <v>49</v>
      </c>
      <c r="C131" t="s">
        <v>31</v>
      </c>
      <c r="D131">
        <v>470</v>
      </c>
      <c r="E131" t="s">
        <v>38</v>
      </c>
      <c r="F131">
        <v>20</v>
      </c>
      <c r="G131">
        <v>4</v>
      </c>
      <c r="H131" t="s">
        <v>44</v>
      </c>
      <c r="I131">
        <v>3</v>
      </c>
      <c r="J131" t="s">
        <v>34</v>
      </c>
      <c r="K131">
        <v>96</v>
      </c>
      <c r="L131">
        <v>3</v>
      </c>
      <c r="M131">
        <v>2</v>
      </c>
      <c r="N131" t="s">
        <v>46</v>
      </c>
      <c r="O131">
        <v>1</v>
      </c>
      <c r="P131" t="s">
        <v>41</v>
      </c>
      <c r="Q131">
        <v>6567</v>
      </c>
      <c r="R131">
        <v>5549</v>
      </c>
      <c r="S131">
        <v>1</v>
      </c>
      <c r="T131">
        <v>0</v>
      </c>
      <c r="U131" s="17">
        <v>0.14000000000000001</v>
      </c>
      <c r="V131">
        <v>3</v>
      </c>
      <c r="W131">
        <v>3</v>
      </c>
      <c r="X131">
        <v>0</v>
      </c>
      <c r="Y131">
        <v>16</v>
      </c>
      <c r="Z131">
        <v>2</v>
      </c>
      <c r="AA131">
        <v>2</v>
      </c>
      <c r="AB131">
        <v>15</v>
      </c>
      <c r="AC131">
        <v>11</v>
      </c>
      <c r="AD131">
        <v>5</v>
      </c>
      <c r="AE131">
        <v>11</v>
      </c>
      <c r="AF131">
        <v>0</v>
      </c>
      <c r="AG131">
        <f>IF(tbl_HR_Data[[#This Row],[Gender]]="Male",1,0)</f>
        <v>0</v>
      </c>
      <c r="AH131" cm="1">
        <f t="array" ref="AH131">_xlfn.SWITCH(tbl_HR_Data[[#This Row],[BusinessTravel]], "Non-Travel", 0, "Travel_Rarely", 1, "Travel_Frequently", 2)</f>
        <v>1</v>
      </c>
      <c r="AI131" cm="1">
        <f t="array" ref="AI131">_xlfn.SWITCH(tbl_HR_Data[[#This Row],[MaritalStatus]],"Single",0,"Married",1,"Divorced",2)</f>
        <v>1</v>
      </c>
      <c r="AJ131">
        <f>IF(tbl_HR_Data[[#This Row],[OverTime]]=1,1,0)</f>
        <v>0</v>
      </c>
      <c r="AK131">
        <f>IF(tbl_HR_Data[[#This Row],[DistanceFromHome]]&gt;15,1,0)</f>
        <v>1</v>
      </c>
      <c r="AL131">
        <f>IF(tbl_HR_Data[[#This Row],[JobSatisfaction]]&lt;=2,1,0)</f>
        <v>1</v>
      </c>
      <c r="AM131">
        <f>IF(tbl_HR_Data[[#This Row],[MonthlyIncome]]&lt;$AT$2,1,0)</f>
        <v>0</v>
      </c>
      <c r="AN131">
        <f>IF(tbl_HR_Data[[#This Row],[Travel_Code]]=2,1,0)</f>
        <v>0</v>
      </c>
      <c r="AO131">
        <f>(tbl_HR_Data[[#This Row],[Flag_OT]] * Logic_Parameters!$B$2) +
 (tbl_HR_Data[[#This Row],[Flag_Travel]] * Logic_Parameters!$B$3) +
 (tbl_HR_Data[[#This Row],[Flag_Satisfaction]] * Logic_Parameters!$B$4) +
 (tbl_HR_Data[[#This Row],[Flag_Distance]]* Logic_Parameters!$B$5) +
 (tbl_HR_Data[[#This Row],[Flag_Income]] * Logic_Parameters!$B$6)</f>
        <v>7.3706398258535089</v>
      </c>
      <c r="AP131" s="15">
        <f>tbl_HR_Data[[#This Row],[Risk_Score_Raw]] / SUM(Logic_Parameters!$B$2:$B$6)</f>
        <v>0.25393706576427255</v>
      </c>
      <c r="AQ131" s="16" t="str" cm="1">
        <f t="array" ref="AQ131">_xlfn.IFS(tbl_HR_Data[[#This Row],[Attrition_Risk_Percentage]] &gt;= 0.75, "Critical",tbl_HR_Data[ [#This Row],[Attrition_Risk_Percentage] ]&gt;= 0.5, "High",tbl_HR_Data[[#This Row],[Attrition_Risk_Percentage]] &gt;= 0.25, "Medium",TRUE, "Low")</f>
        <v>Medium</v>
      </c>
      <c r="AR131" s="16" cm="1">
        <f t="array" ref="AR131">IFERROR(_xlfn.IFS(tbl_HR_Data[[#This Row],[Risk_Category]]="Critical",tbl_HR_Data[[#This Row],[MonthlyIncome]]*1.5,tbl_HR_Data[[#This Row],[Risk_Category]]="High",tbl_HR_Data[[#This Row],[MonthlyIncome]]*1.5),0)</f>
        <v>0</v>
      </c>
    </row>
    <row r="132" spans="1:44" x14ac:dyDescent="0.35">
      <c r="A132" t="s">
        <v>797</v>
      </c>
      <c r="B132">
        <v>43</v>
      </c>
      <c r="C132" t="s">
        <v>37</v>
      </c>
      <c r="D132">
        <v>957</v>
      </c>
      <c r="E132" t="s">
        <v>38</v>
      </c>
      <c r="F132">
        <v>28</v>
      </c>
      <c r="G132">
        <v>3</v>
      </c>
      <c r="H132" t="s">
        <v>44</v>
      </c>
      <c r="I132">
        <v>2</v>
      </c>
      <c r="J132" t="s">
        <v>34</v>
      </c>
      <c r="K132">
        <v>72</v>
      </c>
      <c r="L132">
        <v>4</v>
      </c>
      <c r="M132">
        <v>1</v>
      </c>
      <c r="N132" t="s">
        <v>40</v>
      </c>
      <c r="O132">
        <v>3</v>
      </c>
      <c r="P132" t="s">
        <v>36</v>
      </c>
      <c r="Q132">
        <v>4739</v>
      </c>
      <c r="R132">
        <v>16090</v>
      </c>
      <c r="S132">
        <v>4</v>
      </c>
      <c r="T132">
        <v>0</v>
      </c>
      <c r="U132" s="17">
        <v>0.12</v>
      </c>
      <c r="V132">
        <v>3</v>
      </c>
      <c r="W132">
        <v>4</v>
      </c>
      <c r="X132">
        <v>0</v>
      </c>
      <c r="Y132">
        <v>18</v>
      </c>
      <c r="Z132">
        <v>2</v>
      </c>
      <c r="AA132">
        <v>3</v>
      </c>
      <c r="AB132">
        <v>3</v>
      </c>
      <c r="AC132">
        <v>2</v>
      </c>
      <c r="AD132">
        <v>1</v>
      </c>
      <c r="AE132">
        <v>2</v>
      </c>
      <c r="AF132">
        <v>0</v>
      </c>
      <c r="AG132">
        <f>IF(tbl_HR_Data[[#This Row],[Gender]]="Male",1,0)</f>
        <v>0</v>
      </c>
      <c r="AH132" cm="1">
        <f t="array" ref="AH132">_xlfn.SWITCH(tbl_HR_Data[[#This Row],[BusinessTravel]], "Non-Travel", 0, "Travel_Rarely", 1, "Travel_Frequently", 2)</f>
        <v>2</v>
      </c>
      <c r="AI132" cm="1">
        <f t="array" ref="AI132">_xlfn.SWITCH(tbl_HR_Data[[#This Row],[MaritalStatus]],"Single",0,"Married",1,"Divorced",2)</f>
        <v>0</v>
      </c>
      <c r="AJ132">
        <f>IF(tbl_HR_Data[[#This Row],[OverTime]]=1,1,0)</f>
        <v>0</v>
      </c>
      <c r="AK132">
        <f>IF(tbl_HR_Data[[#This Row],[DistanceFromHome]]&gt;15,1,0)</f>
        <v>1</v>
      </c>
      <c r="AL132">
        <f>IF(tbl_HR_Data[[#This Row],[JobSatisfaction]]&lt;=2,1,0)</f>
        <v>0</v>
      </c>
      <c r="AM132">
        <f>IF(tbl_HR_Data[[#This Row],[MonthlyIncome]]&lt;$AT$2,1,0)</f>
        <v>1</v>
      </c>
      <c r="AN132">
        <f>IF(tbl_HR_Data[[#This Row],[Travel_Code]]=2,1,0)</f>
        <v>1</v>
      </c>
      <c r="AO132">
        <f>(tbl_HR_Data[[#This Row],[Flag_OT]] * Logic_Parameters!$B$2) +
 (tbl_HR_Data[[#This Row],[Flag_Travel]] * Logic_Parameters!$B$3) +
 (tbl_HR_Data[[#This Row],[Flag_Satisfaction]] * Logic_Parameters!$B$4) +
 (tbl_HR_Data[[#This Row],[Flag_Distance]]* Logic_Parameters!$B$5) +
 (tbl_HR_Data[[#This Row],[Flag_Income]] * Logic_Parameters!$B$6)</f>
        <v>14.820925613786383</v>
      </c>
      <c r="AP132" s="15">
        <f>tbl_HR_Data[[#This Row],[Risk_Score_Raw]] / SUM(Logic_Parameters!$B$2:$B$6)</f>
        <v>0.51061813508702369</v>
      </c>
      <c r="AQ132" s="16" t="str" cm="1">
        <f t="array" ref="AQ132">_xlfn.IFS(tbl_HR_Data[[#This Row],[Attrition_Risk_Percentage]] &gt;= 0.75, "Critical",tbl_HR_Data[ [#This Row],[Attrition_Risk_Percentage] ]&gt;= 0.5, "High",tbl_HR_Data[[#This Row],[Attrition_Risk_Percentage]] &gt;= 0.25, "Medium",TRUE, "Low")</f>
        <v>High</v>
      </c>
      <c r="AR132" s="16" cm="1">
        <f t="array" ref="AR132">IFERROR(_xlfn.IFS(tbl_HR_Data[[#This Row],[Risk_Category]]="Critical",tbl_HR_Data[[#This Row],[MonthlyIncome]]*1.5,tbl_HR_Data[[#This Row],[Risk_Category]]="High",tbl_HR_Data[[#This Row],[MonthlyIncome]]*1.5),0)</f>
        <v>7108.5</v>
      </c>
    </row>
    <row r="133" spans="1:44" x14ac:dyDescent="0.35">
      <c r="A133" t="s">
        <v>237</v>
      </c>
      <c r="B133">
        <v>50</v>
      </c>
      <c r="C133" t="s">
        <v>37</v>
      </c>
      <c r="D133">
        <v>809</v>
      </c>
      <c r="E133" t="s">
        <v>32</v>
      </c>
      <c r="F133">
        <v>12</v>
      </c>
      <c r="G133">
        <v>3</v>
      </c>
      <c r="H133" t="s">
        <v>51</v>
      </c>
      <c r="I133">
        <v>3</v>
      </c>
      <c r="J133" t="s">
        <v>34</v>
      </c>
      <c r="K133">
        <v>77</v>
      </c>
      <c r="L133">
        <v>3</v>
      </c>
      <c r="M133">
        <v>3</v>
      </c>
      <c r="N133" t="s">
        <v>35</v>
      </c>
      <c r="O133">
        <v>4</v>
      </c>
      <c r="P133" t="s">
        <v>36</v>
      </c>
      <c r="Q133">
        <v>9208</v>
      </c>
      <c r="R133">
        <v>6645</v>
      </c>
      <c r="S133">
        <v>4</v>
      </c>
      <c r="T133">
        <v>0</v>
      </c>
      <c r="U133" s="17">
        <v>0.11</v>
      </c>
      <c r="V133">
        <v>3</v>
      </c>
      <c r="W133">
        <v>4</v>
      </c>
      <c r="X133">
        <v>0</v>
      </c>
      <c r="Y133">
        <v>16</v>
      </c>
      <c r="Z133">
        <v>3</v>
      </c>
      <c r="AA133">
        <v>3</v>
      </c>
      <c r="AB133">
        <v>2</v>
      </c>
      <c r="AC133">
        <v>2</v>
      </c>
      <c r="AD133">
        <v>2</v>
      </c>
      <c r="AE133">
        <v>1</v>
      </c>
      <c r="AF133">
        <v>0</v>
      </c>
      <c r="AG133">
        <f>IF(tbl_HR_Data[[#This Row],[Gender]]="Male",1,0)</f>
        <v>0</v>
      </c>
      <c r="AH133" cm="1">
        <f t="array" ref="AH133">_xlfn.SWITCH(tbl_HR_Data[[#This Row],[BusinessTravel]], "Non-Travel", 0, "Travel_Rarely", 1, "Travel_Frequently", 2)</f>
        <v>2</v>
      </c>
      <c r="AI133" cm="1">
        <f t="array" ref="AI133">_xlfn.SWITCH(tbl_HR_Data[[#This Row],[MaritalStatus]],"Single",0,"Married",1,"Divorced",2)</f>
        <v>0</v>
      </c>
      <c r="AJ133">
        <f>IF(tbl_HR_Data[[#This Row],[OverTime]]=1,1,0)</f>
        <v>0</v>
      </c>
      <c r="AK133">
        <f>IF(tbl_HR_Data[[#This Row],[DistanceFromHome]]&gt;15,1,0)</f>
        <v>0</v>
      </c>
      <c r="AL133">
        <f>IF(tbl_HR_Data[[#This Row],[JobSatisfaction]]&lt;=2,1,0)</f>
        <v>0</v>
      </c>
      <c r="AM133">
        <f>IF(tbl_HR_Data[[#This Row],[MonthlyIncome]]&lt;$AT$2,1,0)</f>
        <v>0</v>
      </c>
      <c r="AN133">
        <f>IF(tbl_HR_Data[[#This Row],[Travel_Code]]=2,1,0)</f>
        <v>1</v>
      </c>
      <c r="AO133">
        <f>(tbl_HR_Data[[#This Row],[Flag_OT]] * Logic_Parameters!$B$2) +
 (tbl_HR_Data[[#This Row],[Flag_Travel]] * Logic_Parameters!$B$3) +
 (tbl_HR_Data[[#This Row],[Flag_Satisfaction]] * Logic_Parameters!$B$4) +
 (tbl_HR_Data[[#This Row],[Flag_Distance]]* Logic_Parameters!$B$5) +
 (tbl_HR_Data[[#This Row],[Flag_Income]] * Logic_Parameters!$B$6)</f>
        <v>5.1603899804901765</v>
      </c>
      <c r="AP133" s="15">
        <f>tbl_HR_Data[[#This Row],[Risk_Score_Raw]] / SUM(Logic_Parameters!$B$2:$B$6)</f>
        <v>0.17778840383009531</v>
      </c>
      <c r="AQ133" s="16" t="str" cm="1">
        <f t="array" ref="AQ133">_xlfn.IFS(tbl_HR_Data[[#This Row],[Attrition_Risk_Percentage]] &gt;= 0.75, "Critical",tbl_HR_Data[ [#This Row],[Attrition_Risk_Percentage] ]&gt;= 0.5, "High",tbl_HR_Data[[#This Row],[Attrition_Risk_Percentage]] &gt;= 0.25, "Medium",TRUE, "Low")</f>
        <v>Low</v>
      </c>
      <c r="AR133" s="16" cm="1">
        <f t="array" ref="AR133">IFERROR(_xlfn.IFS(tbl_HR_Data[[#This Row],[Risk_Category]]="Critical",tbl_HR_Data[[#This Row],[MonthlyIncome]]*1.5,tbl_HR_Data[[#This Row],[Risk_Category]]="High",tbl_HR_Data[[#This Row],[MonthlyIncome]]*1.5),0)</f>
        <v>0</v>
      </c>
    </row>
    <row r="134" spans="1:44" x14ac:dyDescent="0.35">
      <c r="A134" t="s">
        <v>1268</v>
      </c>
      <c r="B134">
        <v>31</v>
      </c>
      <c r="C134" t="s">
        <v>31</v>
      </c>
      <c r="D134">
        <v>542</v>
      </c>
      <c r="E134" t="s">
        <v>32</v>
      </c>
      <c r="F134">
        <v>20</v>
      </c>
      <c r="G134">
        <v>3</v>
      </c>
      <c r="H134" t="s">
        <v>33</v>
      </c>
      <c r="I134">
        <v>2</v>
      </c>
      <c r="J134" t="s">
        <v>34</v>
      </c>
      <c r="K134">
        <v>71</v>
      </c>
      <c r="L134">
        <v>1</v>
      </c>
      <c r="M134">
        <v>2</v>
      </c>
      <c r="N134" t="s">
        <v>35</v>
      </c>
      <c r="O134">
        <v>3</v>
      </c>
      <c r="P134" t="s">
        <v>41</v>
      </c>
      <c r="Q134">
        <v>4559</v>
      </c>
      <c r="R134">
        <v>24788</v>
      </c>
      <c r="S134">
        <v>3</v>
      </c>
      <c r="T134">
        <v>1</v>
      </c>
      <c r="U134" s="17">
        <v>0.11</v>
      </c>
      <c r="V134">
        <v>3</v>
      </c>
      <c r="W134">
        <v>3</v>
      </c>
      <c r="X134">
        <v>1</v>
      </c>
      <c r="Y134">
        <v>4</v>
      </c>
      <c r="Z134">
        <v>2</v>
      </c>
      <c r="AA134">
        <v>3</v>
      </c>
      <c r="AB134">
        <v>2</v>
      </c>
      <c r="AC134">
        <v>2</v>
      </c>
      <c r="AD134">
        <v>2</v>
      </c>
      <c r="AE134">
        <v>2</v>
      </c>
      <c r="AF134">
        <v>1</v>
      </c>
      <c r="AG134">
        <f>IF(tbl_HR_Data[[#This Row],[Gender]]="Male",1,0)</f>
        <v>0</v>
      </c>
      <c r="AH134" cm="1">
        <f t="array" ref="AH134">_xlfn.SWITCH(tbl_HR_Data[[#This Row],[BusinessTravel]], "Non-Travel", 0, "Travel_Rarely", 1, "Travel_Frequently", 2)</f>
        <v>1</v>
      </c>
      <c r="AI134" cm="1">
        <f t="array" ref="AI134">_xlfn.SWITCH(tbl_HR_Data[[#This Row],[MaritalStatus]],"Single",0,"Married",1,"Divorced",2)</f>
        <v>1</v>
      </c>
      <c r="AJ134">
        <f>IF(tbl_HR_Data[[#This Row],[OverTime]]=1,1,0)</f>
        <v>1</v>
      </c>
      <c r="AK134">
        <f>IF(tbl_HR_Data[[#This Row],[DistanceFromHome]]&gt;15,1,0)</f>
        <v>1</v>
      </c>
      <c r="AL134">
        <f>IF(tbl_HR_Data[[#This Row],[JobSatisfaction]]&lt;=2,1,0)</f>
        <v>0</v>
      </c>
      <c r="AM134">
        <f>IF(tbl_HR_Data[[#This Row],[MonthlyIncome]]&lt;$AT$2,1,0)</f>
        <v>1</v>
      </c>
      <c r="AN134">
        <f>IF(tbl_HR_Data[[#This Row],[Travel_Code]]=2,1,0)</f>
        <v>0</v>
      </c>
      <c r="AO134">
        <f>(tbl_HR_Data[[#This Row],[Flag_OT]] * Logic_Parameters!$B$2) +
 (tbl_HR_Data[[#This Row],[Flag_Travel]] * Logic_Parameters!$B$3) +
 (tbl_HR_Data[[#This Row],[Flag_Satisfaction]] * Logic_Parameters!$B$4) +
 (tbl_HR_Data[[#This Row],[Flag_Distance]]* Logic_Parameters!$B$5) +
 (tbl_HR_Data[[#This Row],[Flag_Income]] * Logic_Parameters!$B$6)</f>
        <v>19.660535633296206</v>
      </c>
      <c r="AP134" s="15">
        <f>tbl_HR_Data[[#This Row],[Risk_Score_Raw]] / SUM(Logic_Parameters!$B$2:$B$6)</f>
        <v>0.67735486308273574</v>
      </c>
      <c r="AQ134" s="16" t="str" cm="1">
        <f t="array" ref="AQ134">_xlfn.IFS(tbl_HR_Data[[#This Row],[Attrition_Risk_Percentage]] &gt;= 0.75, "Critical",tbl_HR_Data[ [#This Row],[Attrition_Risk_Percentage] ]&gt;= 0.5, "High",tbl_HR_Data[[#This Row],[Attrition_Risk_Percentage]] &gt;= 0.25, "Medium",TRUE, "Low")</f>
        <v>High</v>
      </c>
      <c r="AR134" s="16" cm="1">
        <f t="array" ref="AR134">IFERROR(_xlfn.IFS(tbl_HR_Data[[#This Row],[Risk_Category]]="Critical",tbl_HR_Data[[#This Row],[MonthlyIncome]]*1.5,tbl_HR_Data[[#This Row],[Risk_Category]]="High",tbl_HR_Data[[#This Row],[MonthlyIncome]]*1.5),0)</f>
        <v>6838.5</v>
      </c>
    </row>
    <row r="135" spans="1:44" x14ac:dyDescent="0.35">
      <c r="A135" t="s">
        <v>986</v>
      </c>
      <c r="B135">
        <v>41</v>
      </c>
      <c r="C135" t="s">
        <v>31</v>
      </c>
      <c r="D135">
        <v>802</v>
      </c>
      <c r="E135" t="s">
        <v>32</v>
      </c>
      <c r="F135">
        <v>9</v>
      </c>
      <c r="G135">
        <v>1</v>
      </c>
      <c r="H135" t="s">
        <v>33</v>
      </c>
      <c r="I135">
        <v>3</v>
      </c>
      <c r="J135" t="s">
        <v>39</v>
      </c>
      <c r="K135">
        <v>96</v>
      </c>
      <c r="L135">
        <v>3</v>
      </c>
      <c r="M135">
        <v>3</v>
      </c>
      <c r="N135" t="s">
        <v>35</v>
      </c>
      <c r="O135">
        <v>3</v>
      </c>
      <c r="P135" t="s">
        <v>45</v>
      </c>
      <c r="Q135">
        <v>8189</v>
      </c>
      <c r="R135">
        <v>21196</v>
      </c>
      <c r="S135">
        <v>3</v>
      </c>
      <c r="T135">
        <v>1</v>
      </c>
      <c r="U135" s="17">
        <v>0.13</v>
      </c>
      <c r="V135">
        <v>3</v>
      </c>
      <c r="W135">
        <v>3</v>
      </c>
      <c r="X135">
        <v>1</v>
      </c>
      <c r="Y135">
        <v>12</v>
      </c>
      <c r="Z135">
        <v>2</v>
      </c>
      <c r="AA135">
        <v>3</v>
      </c>
      <c r="AB135">
        <v>9</v>
      </c>
      <c r="AC135">
        <v>7</v>
      </c>
      <c r="AD135">
        <v>0</v>
      </c>
      <c r="AE135">
        <v>7</v>
      </c>
      <c r="AF135">
        <v>0</v>
      </c>
      <c r="AG135">
        <f>IF(tbl_HR_Data[[#This Row],[Gender]]="Male",1,0)</f>
        <v>1</v>
      </c>
      <c r="AH135" cm="1">
        <f t="array" ref="AH135">_xlfn.SWITCH(tbl_HR_Data[[#This Row],[BusinessTravel]], "Non-Travel", 0, "Travel_Rarely", 1, "Travel_Frequently", 2)</f>
        <v>1</v>
      </c>
      <c r="AI135" cm="1">
        <f t="array" ref="AI135">_xlfn.SWITCH(tbl_HR_Data[[#This Row],[MaritalStatus]],"Single",0,"Married",1,"Divorced",2)</f>
        <v>2</v>
      </c>
      <c r="AJ135">
        <f>IF(tbl_HR_Data[[#This Row],[OverTime]]=1,1,0)</f>
        <v>1</v>
      </c>
      <c r="AK135">
        <f>IF(tbl_HR_Data[[#This Row],[DistanceFromHome]]&gt;15,1,0)</f>
        <v>0</v>
      </c>
      <c r="AL135">
        <f>IF(tbl_HR_Data[[#This Row],[JobSatisfaction]]&lt;=2,1,0)</f>
        <v>0</v>
      </c>
      <c r="AM135">
        <f>IF(tbl_HR_Data[[#This Row],[MonthlyIncome]]&lt;$AT$2,1,0)</f>
        <v>0</v>
      </c>
      <c r="AN135">
        <f>IF(tbl_HR_Data[[#This Row],[Travel_Code]]=2,1,0)</f>
        <v>0</v>
      </c>
      <c r="AO135">
        <f>(tbl_HR_Data[[#This Row],[Flag_OT]] * Logic_Parameters!$B$2) +
 (tbl_HR_Data[[#This Row],[Flag_Travel]] * Logic_Parameters!$B$3) +
 (tbl_HR_Data[[#This Row],[Flag_Satisfaction]] * Logic_Parameters!$B$4) +
 (tbl_HR_Data[[#This Row],[Flag_Distance]]* Logic_Parameters!$B$5) +
 (tbl_HR_Data[[#This Row],[Flag_Income]] * Logic_Parameters!$B$6)</f>
        <v>10</v>
      </c>
      <c r="AP135" s="15">
        <f>tbl_HR_Data[[#This Row],[Risk_Score_Raw]] / SUM(Logic_Parameters!$B$2:$B$6)</f>
        <v>0.3445251318258073</v>
      </c>
      <c r="AQ135" s="16" t="str" cm="1">
        <f t="array" ref="AQ135">_xlfn.IFS(tbl_HR_Data[[#This Row],[Attrition_Risk_Percentage]] &gt;= 0.75, "Critical",tbl_HR_Data[ [#This Row],[Attrition_Risk_Percentage] ]&gt;= 0.5, "High",tbl_HR_Data[[#This Row],[Attrition_Risk_Percentage]] &gt;= 0.25, "Medium",TRUE, "Low")</f>
        <v>Medium</v>
      </c>
      <c r="AR135" s="16" cm="1">
        <f t="array" ref="AR135">IFERROR(_xlfn.IFS(tbl_HR_Data[[#This Row],[Risk_Category]]="Critical",tbl_HR_Data[[#This Row],[MonthlyIncome]]*1.5,tbl_HR_Data[[#This Row],[Risk_Category]]="High",tbl_HR_Data[[#This Row],[MonthlyIncome]]*1.5),0)</f>
        <v>0</v>
      </c>
    </row>
    <row r="136" spans="1:44" x14ac:dyDescent="0.35">
      <c r="A136" t="s">
        <v>1115</v>
      </c>
      <c r="B136">
        <v>26</v>
      </c>
      <c r="C136" t="s">
        <v>31</v>
      </c>
      <c r="D136">
        <v>1355</v>
      </c>
      <c r="E136" t="s">
        <v>53</v>
      </c>
      <c r="F136">
        <v>25</v>
      </c>
      <c r="G136">
        <v>1</v>
      </c>
      <c r="H136" t="s">
        <v>33</v>
      </c>
      <c r="I136">
        <v>3</v>
      </c>
      <c r="J136" t="s">
        <v>34</v>
      </c>
      <c r="K136">
        <v>61</v>
      </c>
      <c r="L136">
        <v>3</v>
      </c>
      <c r="M136">
        <v>1</v>
      </c>
      <c r="N136" t="s">
        <v>53</v>
      </c>
      <c r="O136">
        <v>3</v>
      </c>
      <c r="P136" t="s">
        <v>41</v>
      </c>
      <c r="Q136">
        <v>2942</v>
      </c>
      <c r="R136">
        <v>8916</v>
      </c>
      <c r="S136">
        <v>1</v>
      </c>
      <c r="T136">
        <v>0</v>
      </c>
      <c r="U136" s="17">
        <v>0.23</v>
      </c>
      <c r="V136">
        <v>4</v>
      </c>
      <c r="W136">
        <v>4</v>
      </c>
      <c r="X136">
        <v>1</v>
      </c>
      <c r="Y136">
        <v>8</v>
      </c>
      <c r="Z136">
        <v>3</v>
      </c>
      <c r="AA136">
        <v>3</v>
      </c>
      <c r="AB136">
        <v>8</v>
      </c>
      <c r="AC136">
        <v>7</v>
      </c>
      <c r="AD136">
        <v>5</v>
      </c>
      <c r="AE136">
        <v>7</v>
      </c>
      <c r="AF136">
        <v>0</v>
      </c>
      <c r="AG136">
        <f>IF(tbl_HR_Data[[#This Row],[Gender]]="Male",1,0)</f>
        <v>0</v>
      </c>
      <c r="AH136" cm="1">
        <f t="array" ref="AH136">_xlfn.SWITCH(tbl_HR_Data[[#This Row],[BusinessTravel]], "Non-Travel", 0, "Travel_Rarely", 1, "Travel_Frequently", 2)</f>
        <v>1</v>
      </c>
      <c r="AI136" cm="1">
        <f t="array" ref="AI136">_xlfn.SWITCH(tbl_HR_Data[[#This Row],[MaritalStatus]],"Single",0,"Married",1,"Divorced",2)</f>
        <v>1</v>
      </c>
      <c r="AJ136">
        <f>IF(tbl_HR_Data[[#This Row],[OverTime]]=1,1,0)</f>
        <v>0</v>
      </c>
      <c r="AK136">
        <f>IF(tbl_HR_Data[[#This Row],[DistanceFromHome]]&gt;15,1,0)</f>
        <v>1</v>
      </c>
      <c r="AL136">
        <f>IF(tbl_HR_Data[[#This Row],[JobSatisfaction]]&lt;=2,1,0)</f>
        <v>0</v>
      </c>
      <c r="AM136">
        <f>IF(tbl_HR_Data[[#This Row],[MonthlyIncome]]&lt;$AT$2,1,0)</f>
        <v>1</v>
      </c>
      <c r="AN136">
        <f>IF(tbl_HR_Data[[#This Row],[Travel_Code]]=2,1,0)</f>
        <v>0</v>
      </c>
      <c r="AO136">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136" s="15">
        <f>tbl_HR_Data[[#This Row],[Risk_Score_Raw]] / SUM(Logic_Parameters!$B$2:$B$6)</f>
        <v>0.33282973125692844</v>
      </c>
      <c r="AQ136" s="16" t="str" cm="1">
        <f t="array" ref="AQ136">_xlfn.IFS(tbl_HR_Data[[#This Row],[Attrition_Risk_Percentage]] &gt;= 0.75, "Critical",tbl_HR_Data[ [#This Row],[Attrition_Risk_Percentage] ]&gt;= 0.5, "High",tbl_HR_Data[[#This Row],[Attrition_Risk_Percentage]] &gt;= 0.25, "Medium",TRUE, "Low")</f>
        <v>Medium</v>
      </c>
      <c r="AR136" s="16" cm="1">
        <f t="array" ref="AR136">IFERROR(_xlfn.IFS(tbl_HR_Data[[#This Row],[Risk_Category]]="Critical",tbl_HR_Data[[#This Row],[MonthlyIncome]]*1.5,tbl_HR_Data[[#This Row],[Risk_Category]]="High",tbl_HR_Data[[#This Row],[MonthlyIncome]]*1.5),0)</f>
        <v>0</v>
      </c>
    </row>
    <row r="137" spans="1:44" x14ac:dyDescent="0.35">
      <c r="A137" t="s">
        <v>1117</v>
      </c>
      <c r="B137">
        <v>36</v>
      </c>
      <c r="C137" t="s">
        <v>31</v>
      </c>
      <c r="D137">
        <v>216</v>
      </c>
      <c r="E137" t="s">
        <v>38</v>
      </c>
      <c r="F137">
        <v>6</v>
      </c>
      <c r="G137">
        <v>2</v>
      </c>
      <c r="H137" t="s">
        <v>44</v>
      </c>
      <c r="I137">
        <v>2</v>
      </c>
      <c r="J137" t="s">
        <v>39</v>
      </c>
      <c r="K137">
        <v>84</v>
      </c>
      <c r="L137">
        <v>3</v>
      </c>
      <c r="M137">
        <v>2</v>
      </c>
      <c r="N137" t="s">
        <v>46</v>
      </c>
      <c r="O137">
        <v>2</v>
      </c>
      <c r="P137" t="s">
        <v>45</v>
      </c>
      <c r="Q137">
        <v>4941</v>
      </c>
      <c r="R137">
        <v>2819</v>
      </c>
      <c r="S137">
        <v>6</v>
      </c>
      <c r="T137">
        <v>0</v>
      </c>
      <c r="U137" s="17">
        <v>0.2</v>
      </c>
      <c r="V137">
        <v>4</v>
      </c>
      <c r="W137">
        <v>4</v>
      </c>
      <c r="X137">
        <v>2</v>
      </c>
      <c r="Y137">
        <v>7</v>
      </c>
      <c r="Z137">
        <v>0</v>
      </c>
      <c r="AA137">
        <v>3</v>
      </c>
      <c r="AB137">
        <v>3</v>
      </c>
      <c r="AC137">
        <v>2</v>
      </c>
      <c r="AD137">
        <v>0</v>
      </c>
      <c r="AE137">
        <v>1</v>
      </c>
      <c r="AF137">
        <v>0</v>
      </c>
      <c r="AG137">
        <f>IF(tbl_HR_Data[[#This Row],[Gender]]="Male",1,0)</f>
        <v>1</v>
      </c>
      <c r="AH137" cm="1">
        <f t="array" ref="AH137">_xlfn.SWITCH(tbl_HR_Data[[#This Row],[BusinessTravel]], "Non-Travel", 0, "Travel_Rarely", 1, "Travel_Frequently", 2)</f>
        <v>1</v>
      </c>
      <c r="AI137" cm="1">
        <f t="array" ref="AI137">_xlfn.SWITCH(tbl_HR_Data[[#This Row],[MaritalStatus]],"Single",0,"Married",1,"Divorced",2)</f>
        <v>2</v>
      </c>
      <c r="AJ137">
        <f>IF(tbl_HR_Data[[#This Row],[OverTime]]=1,1,0)</f>
        <v>0</v>
      </c>
      <c r="AK137">
        <f>IF(tbl_HR_Data[[#This Row],[DistanceFromHome]]&gt;15,1,0)</f>
        <v>0</v>
      </c>
      <c r="AL137">
        <f>IF(tbl_HR_Data[[#This Row],[JobSatisfaction]]&lt;=2,1,0)</f>
        <v>1</v>
      </c>
      <c r="AM137">
        <f>IF(tbl_HR_Data[[#This Row],[MonthlyIncome]]&lt;$AT$2,1,0)</f>
        <v>0</v>
      </c>
      <c r="AN137">
        <f>IF(tbl_HR_Data[[#This Row],[Travel_Code]]=2,1,0)</f>
        <v>0</v>
      </c>
      <c r="AO137">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37" s="15">
        <f>tbl_HR_Data[[#This Row],[Risk_Score_Raw]] / SUM(Logic_Parameters!$B$2:$B$6)</f>
        <v>0.14485673308716898</v>
      </c>
      <c r="AQ137" s="16" t="str" cm="1">
        <f t="array" ref="AQ137">_xlfn.IFS(tbl_HR_Data[[#This Row],[Attrition_Risk_Percentage]] &gt;= 0.75, "Critical",tbl_HR_Data[ [#This Row],[Attrition_Risk_Percentage] ]&gt;= 0.5, "High",tbl_HR_Data[[#This Row],[Attrition_Risk_Percentage]] &gt;= 0.25, "Medium",TRUE, "Low")</f>
        <v>Low</v>
      </c>
      <c r="AR137" s="16" cm="1">
        <f t="array" ref="AR137">IFERROR(_xlfn.IFS(tbl_HR_Data[[#This Row],[Risk_Category]]="Critical",tbl_HR_Data[[#This Row],[MonthlyIncome]]*1.5,tbl_HR_Data[[#This Row],[Risk_Category]]="High",tbl_HR_Data[[#This Row],[MonthlyIncome]]*1.5),0)</f>
        <v>0</v>
      </c>
    </row>
    <row r="138" spans="1:44" x14ac:dyDescent="0.35">
      <c r="A138" t="s">
        <v>552</v>
      </c>
      <c r="B138">
        <v>51</v>
      </c>
      <c r="C138" t="s">
        <v>37</v>
      </c>
      <c r="D138">
        <v>1150</v>
      </c>
      <c r="E138" t="s">
        <v>38</v>
      </c>
      <c r="F138">
        <v>8</v>
      </c>
      <c r="G138">
        <v>4</v>
      </c>
      <c r="H138" t="s">
        <v>33</v>
      </c>
      <c r="I138">
        <v>1</v>
      </c>
      <c r="J138" t="s">
        <v>39</v>
      </c>
      <c r="K138">
        <v>53</v>
      </c>
      <c r="L138">
        <v>1</v>
      </c>
      <c r="M138">
        <v>3</v>
      </c>
      <c r="N138" t="s">
        <v>46</v>
      </c>
      <c r="O138">
        <v>4</v>
      </c>
      <c r="P138" t="s">
        <v>36</v>
      </c>
      <c r="Q138">
        <v>10650</v>
      </c>
      <c r="R138">
        <v>25150</v>
      </c>
      <c r="S138">
        <v>2</v>
      </c>
      <c r="T138">
        <v>0</v>
      </c>
      <c r="U138" s="17">
        <v>0.15</v>
      </c>
      <c r="V138">
        <v>3</v>
      </c>
      <c r="W138">
        <v>4</v>
      </c>
      <c r="X138">
        <v>0</v>
      </c>
      <c r="Y138">
        <v>18</v>
      </c>
      <c r="Z138">
        <v>2</v>
      </c>
      <c r="AA138">
        <v>3</v>
      </c>
      <c r="AB138">
        <v>4</v>
      </c>
      <c r="AC138">
        <v>2</v>
      </c>
      <c r="AD138">
        <v>0</v>
      </c>
      <c r="AE138">
        <v>3</v>
      </c>
      <c r="AF138">
        <v>1</v>
      </c>
      <c r="AG138">
        <f>IF(tbl_HR_Data[[#This Row],[Gender]]="Male",1,0)</f>
        <v>1</v>
      </c>
      <c r="AH138" cm="1">
        <f t="array" ref="AH138">_xlfn.SWITCH(tbl_HR_Data[[#This Row],[BusinessTravel]], "Non-Travel", 0, "Travel_Rarely", 1, "Travel_Frequently", 2)</f>
        <v>2</v>
      </c>
      <c r="AI138" cm="1">
        <f t="array" ref="AI138">_xlfn.SWITCH(tbl_HR_Data[[#This Row],[MaritalStatus]],"Single",0,"Married",1,"Divorced",2)</f>
        <v>0</v>
      </c>
      <c r="AJ138">
        <f>IF(tbl_HR_Data[[#This Row],[OverTime]]=1,1,0)</f>
        <v>0</v>
      </c>
      <c r="AK138">
        <f>IF(tbl_HR_Data[[#This Row],[DistanceFromHome]]&gt;15,1,0)</f>
        <v>0</v>
      </c>
      <c r="AL138">
        <f>IF(tbl_HR_Data[[#This Row],[JobSatisfaction]]&lt;=2,1,0)</f>
        <v>0</v>
      </c>
      <c r="AM138">
        <f>IF(tbl_HR_Data[[#This Row],[MonthlyIncome]]&lt;$AT$2,1,0)</f>
        <v>0</v>
      </c>
      <c r="AN138">
        <f>IF(tbl_HR_Data[[#This Row],[Travel_Code]]=2,1,0)</f>
        <v>1</v>
      </c>
      <c r="AO138">
        <f>(tbl_HR_Data[[#This Row],[Flag_OT]] * Logic_Parameters!$B$2) +
 (tbl_HR_Data[[#This Row],[Flag_Travel]] * Logic_Parameters!$B$3) +
 (tbl_HR_Data[[#This Row],[Flag_Satisfaction]] * Logic_Parameters!$B$4) +
 (tbl_HR_Data[[#This Row],[Flag_Distance]]* Logic_Parameters!$B$5) +
 (tbl_HR_Data[[#This Row],[Flag_Income]] * Logic_Parameters!$B$6)</f>
        <v>5.1603899804901765</v>
      </c>
      <c r="AP138" s="15">
        <f>tbl_HR_Data[[#This Row],[Risk_Score_Raw]] / SUM(Logic_Parameters!$B$2:$B$6)</f>
        <v>0.17778840383009531</v>
      </c>
      <c r="AQ138" s="16" t="str" cm="1">
        <f t="array" ref="AQ138">_xlfn.IFS(tbl_HR_Data[[#This Row],[Attrition_Risk_Percentage]] &gt;= 0.75, "Critical",tbl_HR_Data[ [#This Row],[Attrition_Risk_Percentage] ]&gt;= 0.5, "High",tbl_HR_Data[[#This Row],[Attrition_Risk_Percentage]] &gt;= 0.25, "Medium",TRUE, "Low")</f>
        <v>Low</v>
      </c>
      <c r="AR138" s="16" cm="1">
        <f t="array" ref="AR138">IFERROR(_xlfn.IFS(tbl_HR_Data[[#This Row],[Risk_Category]]="Critical",tbl_HR_Data[[#This Row],[MonthlyIncome]]*1.5,tbl_HR_Data[[#This Row],[Risk_Category]]="High",tbl_HR_Data[[#This Row],[MonthlyIncome]]*1.5),0)</f>
        <v>0</v>
      </c>
    </row>
    <row r="139" spans="1:44" x14ac:dyDescent="0.35">
      <c r="A139" t="s">
        <v>1234</v>
      </c>
      <c r="B139">
        <v>39</v>
      </c>
      <c r="C139" t="s">
        <v>31</v>
      </c>
      <c r="D139">
        <v>1329</v>
      </c>
      <c r="E139" t="s">
        <v>32</v>
      </c>
      <c r="F139">
        <v>4</v>
      </c>
      <c r="G139">
        <v>4</v>
      </c>
      <c r="H139" t="s">
        <v>33</v>
      </c>
      <c r="I139">
        <v>4</v>
      </c>
      <c r="J139" t="s">
        <v>34</v>
      </c>
      <c r="K139">
        <v>47</v>
      </c>
      <c r="L139">
        <v>2</v>
      </c>
      <c r="M139">
        <v>2</v>
      </c>
      <c r="N139" t="s">
        <v>35</v>
      </c>
      <c r="O139">
        <v>3</v>
      </c>
      <c r="P139" t="s">
        <v>41</v>
      </c>
      <c r="Q139">
        <v>5902</v>
      </c>
      <c r="R139">
        <v>14590</v>
      </c>
      <c r="S139">
        <v>4</v>
      </c>
      <c r="T139">
        <v>0</v>
      </c>
      <c r="U139" s="17">
        <v>0.14000000000000001</v>
      </c>
      <c r="V139">
        <v>3</v>
      </c>
      <c r="W139">
        <v>3</v>
      </c>
      <c r="X139">
        <v>1</v>
      </c>
      <c r="Y139">
        <v>17</v>
      </c>
      <c r="Z139">
        <v>1</v>
      </c>
      <c r="AA139">
        <v>4</v>
      </c>
      <c r="AB139">
        <v>15</v>
      </c>
      <c r="AC139">
        <v>11</v>
      </c>
      <c r="AD139">
        <v>5</v>
      </c>
      <c r="AE139">
        <v>9</v>
      </c>
      <c r="AF139">
        <v>0</v>
      </c>
      <c r="AG139">
        <f>IF(tbl_HR_Data[[#This Row],[Gender]]="Male",1,0)</f>
        <v>0</v>
      </c>
      <c r="AH139" cm="1">
        <f t="array" ref="AH139">_xlfn.SWITCH(tbl_HR_Data[[#This Row],[BusinessTravel]], "Non-Travel", 0, "Travel_Rarely", 1, "Travel_Frequently", 2)</f>
        <v>1</v>
      </c>
      <c r="AI139" cm="1">
        <f t="array" ref="AI139">_xlfn.SWITCH(tbl_HR_Data[[#This Row],[MaritalStatus]],"Single",0,"Married",1,"Divorced",2)</f>
        <v>1</v>
      </c>
      <c r="AJ139">
        <f>IF(tbl_HR_Data[[#This Row],[OverTime]]=1,1,0)</f>
        <v>0</v>
      </c>
      <c r="AK139">
        <f>IF(tbl_HR_Data[[#This Row],[DistanceFromHome]]&gt;15,1,0)</f>
        <v>0</v>
      </c>
      <c r="AL139">
        <f>IF(tbl_HR_Data[[#This Row],[JobSatisfaction]]&lt;=2,1,0)</f>
        <v>0</v>
      </c>
      <c r="AM139">
        <f>IF(tbl_HR_Data[[#This Row],[MonthlyIncome]]&lt;$AT$2,1,0)</f>
        <v>0</v>
      </c>
      <c r="AN139">
        <f>IF(tbl_HR_Data[[#This Row],[Travel_Code]]=2,1,0)</f>
        <v>0</v>
      </c>
      <c r="AO139">
        <f>(tbl_HR_Data[[#This Row],[Flag_OT]] * Logic_Parameters!$B$2) +
 (tbl_HR_Data[[#This Row],[Flag_Travel]] * Logic_Parameters!$B$3) +
 (tbl_HR_Data[[#This Row],[Flag_Satisfaction]] * Logic_Parameters!$B$4) +
 (tbl_HR_Data[[#This Row],[Flag_Distance]]* Logic_Parameters!$B$5) +
 (tbl_HR_Data[[#This Row],[Flag_Income]] * Logic_Parameters!$B$6)</f>
        <v>0</v>
      </c>
      <c r="AP139" s="15">
        <f>tbl_HR_Data[[#This Row],[Risk_Score_Raw]] / SUM(Logic_Parameters!$B$2:$B$6)</f>
        <v>0</v>
      </c>
      <c r="AQ139" s="16" t="str" cm="1">
        <f t="array" ref="AQ139">_xlfn.IFS(tbl_HR_Data[[#This Row],[Attrition_Risk_Percentage]] &gt;= 0.75, "Critical",tbl_HR_Data[ [#This Row],[Attrition_Risk_Percentage] ]&gt;= 0.5, "High",tbl_HR_Data[[#This Row],[Attrition_Risk_Percentage]] &gt;= 0.25, "Medium",TRUE, "Low")</f>
        <v>Low</v>
      </c>
      <c r="AR139" s="16" cm="1">
        <f t="array" ref="AR139">IFERROR(_xlfn.IFS(tbl_HR_Data[[#This Row],[Risk_Category]]="Critical",tbl_HR_Data[[#This Row],[MonthlyIncome]]*1.5,tbl_HR_Data[[#This Row],[Risk_Category]]="High",tbl_HR_Data[[#This Row],[MonthlyIncome]]*1.5),0)</f>
        <v>0</v>
      </c>
    </row>
    <row r="140" spans="1:44" x14ac:dyDescent="0.35">
      <c r="A140" t="s">
        <v>431</v>
      </c>
      <c r="B140">
        <v>25</v>
      </c>
      <c r="C140" t="s">
        <v>31</v>
      </c>
      <c r="D140">
        <v>959</v>
      </c>
      <c r="E140" t="s">
        <v>32</v>
      </c>
      <c r="F140">
        <v>28</v>
      </c>
      <c r="G140">
        <v>3</v>
      </c>
      <c r="H140" t="s">
        <v>33</v>
      </c>
      <c r="I140">
        <v>1</v>
      </c>
      <c r="J140" t="s">
        <v>39</v>
      </c>
      <c r="K140">
        <v>41</v>
      </c>
      <c r="L140">
        <v>2</v>
      </c>
      <c r="M140">
        <v>2</v>
      </c>
      <c r="N140" t="s">
        <v>35</v>
      </c>
      <c r="O140">
        <v>3</v>
      </c>
      <c r="P140" t="s">
        <v>41</v>
      </c>
      <c r="Q140">
        <v>8639</v>
      </c>
      <c r="R140">
        <v>24835</v>
      </c>
      <c r="S140">
        <v>2</v>
      </c>
      <c r="T140">
        <v>0</v>
      </c>
      <c r="U140" s="17">
        <v>0.18</v>
      </c>
      <c r="V140">
        <v>3</v>
      </c>
      <c r="W140">
        <v>4</v>
      </c>
      <c r="X140">
        <v>0</v>
      </c>
      <c r="Y140">
        <v>6</v>
      </c>
      <c r="Z140">
        <v>3</v>
      </c>
      <c r="AA140">
        <v>3</v>
      </c>
      <c r="AB140">
        <v>2</v>
      </c>
      <c r="AC140">
        <v>2</v>
      </c>
      <c r="AD140">
        <v>2</v>
      </c>
      <c r="AE140">
        <v>2</v>
      </c>
      <c r="AF140">
        <v>0</v>
      </c>
      <c r="AG140">
        <f>IF(tbl_HR_Data[[#This Row],[Gender]]="Male",1,0)</f>
        <v>1</v>
      </c>
      <c r="AH140" cm="1">
        <f t="array" ref="AH140">_xlfn.SWITCH(tbl_HR_Data[[#This Row],[BusinessTravel]], "Non-Travel", 0, "Travel_Rarely", 1, "Travel_Frequently", 2)</f>
        <v>1</v>
      </c>
      <c r="AI140" cm="1">
        <f t="array" ref="AI140">_xlfn.SWITCH(tbl_HR_Data[[#This Row],[MaritalStatus]],"Single",0,"Married",1,"Divorced",2)</f>
        <v>1</v>
      </c>
      <c r="AJ140">
        <f>IF(tbl_HR_Data[[#This Row],[OverTime]]=1,1,0)</f>
        <v>0</v>
      </c>
      <c r="AK140">
        <f>IF(tbl_HR_Data[[#This Row],[DistanceFromHome]]&gt;15,1,0)</f>
        <v>1</v>
      </c>
      <c r="AL140">
        <f>IF(tbl_HR_Data[[#This Row],[JobSatisfaction]]&lt;=2,1,0)</f>
        <v>0</v>
      </c>
      <c r="AM140">
        <f>IF(tbl_HR_Data[[#This Row],[MonthlyIncome]]&lt;$AT$2,1,0)</f>
        <v>0</v>
      </c>
      <c r="AN140">
        <f>IF(tbl_HR_Data[[#This Row],[Travel_Code]]=2,1,0)</f>
        <v>0</v>
      </c>
      <c r="AO140">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140" s="15">
        <f>tbl_HR_Data[[#This Row],[Risk_Score_Raw]] / SUM(Logic_Parameters!$B$2:$B$6)</f>
        <v>0.10908033267710357</v>
      </c>
      <c r="AQ140" s="16" t="str" cm="1">
        <f t="array" ref="AQ140">_xlfn.IFS(tbl_HR_Data[[#This Row],[Attrition_Risk_Percentage]] &gt;= 0.75, "Critical",tbl_HR_Data[ [#This Row],[Attrition_Risk_Percentage] ]&gt;= 0.5, "High",tbl_HR_Data[[#This Row],[Attrition_Risk_Percentage]] &gt;= 0.25, "Medium",TRUE, "Low")</f>
        <v>Low</v>
      </c>
      <c r="AR140" s="16" cm="1">
        <f t="array" ref="AR140">IFERROR(_xlfn.IFS(tbl_HR_Data[[#This Row],[Risk_Category]]="Critical",tbl_HR_Data[[#This Row],[MonthlyIncome]]*1.5,tbl_HR_Data[[#This Row],[Risk_Category]]="High",tbl_HR_Data[[#This Row],[MonthlyIncome]]*1.5),0)</f>
        <v>0</v>
      </c>
    </row>
    <row r="141" spans="1:44" x14ac:dyDescent="0.35">
      <c r="A141" t="s">
        <v>577</v>
      </c>
      <c r="B141">
        <v>30</v>
      </c>
      <c r="C141" t="s">
        <v>31</v>
      </c>
      <c r="D141">
        <v>1240</v>
      </c>
      <c r="E141" t="s">
        <v>53</v>
      </c>
      <c r="F141">
        <v>9</v>
      </c>
      <c r="G141">
        <v>3</v>
      </c>
      <c r="H141" t="s">
        <v>53</v>
      </c>
      <c r="I141">
        <v>3</v>
      </c>
      <c r="J141" t="s">
        <v>39</v>
      </c>
      <c r="K141">
        <v>48</v>
      </c>
      <c r="L141">
        <v>3</v>
      </c>
      <c r="M141">
        <v>2</v>
      </c>
      <c r="N141" t="s">
        <v>53</v>
      </c>
      <c r="O141">
        <v>4</v>
      </c>
      <c r="P141" t="s">
        <v>41</v>
      </c>
      <c r="Q141">
        <v>6347</v>
      </c>
      <c r="R141">
        <v>13982</v>
      </c>
      <c r="S141">
        <v>0</v>
      </c>
      <c r="T141">
        <v>1</v>
      </c>
      <c r="U141" s="17">
        <v>0.19</v>
      </c>
      <c r="V141">
        <v>3</v>
      </c>
      <c r="W141">
        <v>4</v>
      </c>
      <c r="X141">
        <v>0</v>
      </c>
      <c r="Y141">
        <v>12</v>
      </c>
      <c r="Z141">
        <v>2</v>
      </c>
      <c r="AA141">
        <v>1</v>
      </c>
      <c r="AB141">
        <v>11</v>
      </c>
      <c r="AC141">
        <v>9</v>
      </c>
      <c r="AD141">
        <v>4</v>
      </c>
      <c r="AE141">
        <v>7</v>
      </c>
      <c r="AF141">
        <v>0</v>
      </c>
      <c r="AG141">
        <f>IF(tbl_HR_Data[[#This Row],[Gender]]="Male",1,0)</f>
        <v>1</v>
      </c>
      <c r="AH141" cm="1">
        <f t="array" ref="AH141">_xlfn.SWITCH(tbl_HR_Data[[#This Row],[BusinessTravel]], "Non-Travel", 0, "Travel_Rarely", 1, "Travel_Frequently", 2)</f>
        <v>1</v>
      </c>
      <c r="AI141" cm="1">
        <f t="array" ref="AI141">_xlfn.SWITCH(tbl_HR_Data[[#This Row],[MaritalStatus]],"Single",0,"Married",1,"Divorced",2)</f>
        <v>1</v>
      </c>
      <c r="AJ141">
        <f>IF(tbl_HR_Data[[#This Row],[OverTime]]=1,1,0)</f>
        <v>1</v>
      </c>
      <c r="AK141">
        <f>IF(tbl_HR_Data[[#This Row],[DistanceFromHome]]&gt;15,1,0)</f>
        <v>0</v>
      </c>
      <c r="AL141">
        <f>IF(tbl_HR_Data[[#This Row],[JobSatisfaction]]&lt;=2,1,0)</f>
        <v>0</v>
      </c>
      <c r="AM141">
        <f>IF(tbl_HR_Data[[#This Row],[MonthlyIncome]]&lt;$AT$2,1,0)</f>
        <v>0</v>
      </c>
      <c r="AN141">
        <f>IF(tbl_HR_Data[[#This Row],[Travel_Code]]=2,1,0)</f>
        <v>0</v>
      </c>
      <c r="AO141">
        <f>(tbl_HR_Data[[#This Row],[Flag_OT]] * Logic_Parameters!$B$2) +
 (tbl_HR_Data[[#This Row],[Flag_Travel]] * Logic_Parameters!$B$3) +
 (tbl_HR_Data[[#This Row],[Flag_Satisfaction]] * Logic_Parameters!$B$4) +
 (tbl_HR_Data[[#This Row],[Flag_Distance]]* Logic_Parameters!$B$5) +
 (tbl_HR_Data[[#This Row],[Flag_Income]] * Logic_Parameters!$B$6)</f>
        <v>10</v>
      </c>
      <c r="AP141" s="15">
        <f>tbl_HR_Data[[#This Row],[Risk_Score_Raw]] / SUM(Logic_Parameters!$B$2:$B$6)</f>
        <v>0.3445251318258073</v>
      </c>
      <c r="AQ141" s="16" t="str" cm="1">
        <f t="array" ref="AQ141">_xlfn.IFS(tbl_HR_Data[[#This Row],[Attrition_Risk_Percentage]] &gt;= 0.75, "Critical",tbl_HR_Data[ [#This Row],[Attrition_Risk_Percentage] ]&gt;= 0.5, "High",tbl_HR_Data[[#This Row],[Attrition_Risk_Percentage]] &gt;= 0.25, "Medium",TRUE, "Low")</f>
        <v>Medium</v>
      </c>
      <c r="AR141" s="16" cm="1">
        <f t="array" ref="AR141">IFERROR(_xlfn.IFS(tbl_HR_Data[[#This Row],[Risk_Category]]="Critical",tbl_HR_Data[[#This Row],[MonthlyIncome]]*1.5,tbl_HR_Data[[#This Row],[Risk_Category]]="High",tbl_HR_Data[[#This Row],[MonthlyIncome]]*1.5),0)</f>
        <v>0</v>
      </c>
    </row>
    <row r="142" spans="1:44" x14ac:dyDescent="0.35">
      <c r="A142" t="s">
        <v>1429</v>
      </c>
      <c r="B142">
        <v>32</v>
      </c>
      <c r="C142" t="s">
        <v>31</v>
      </c>
      <c r="D142">
        <v>1033</v>
      </c>
      <c r="E142" t="s">
        <v>38</v>
      </c>
      <c r="F142">
        <v>9</v>
      </c>
      <c r="G142">
        <v>3</v>
      </c>
      <c r="H142" t="s">
        <v>44</v>
      </c>
      <c r="I142">
        <v>1</v>
      </c>
      <c r="J142" t="s">
        <v>34</v>
      </c>
      <c r="K142">
        <v>41</v>
      </c>
      <c r="L142">
        <v>3</v>
      </c>
      <c r="M142">
        <v>1</v>
      </c>
      <c r="N142" t="s">
        <v>43</v>
      </c>
      <c r="O142">
        <v>1</v>
      </c>
      <c r="P142" t="s">
        <v>36</v>
      </c>
      <c r="Q142">
        <v>4200</v>
      </c>
      <c r="R142">
        <v>10224</v>
      </c>
      <c r="S142">
        <v>7</v>
      </c>
      <c r="T142">
        <v>0</v>
      </c>
      <c r="U142" s="17">
        <v>0.22</v>
      </c>
      <c r="V142">
        <v>4</v>
      </c>
      <c r="W142">
        <v>1</v>
      </c>
      <c r="X142">
        <v>0</v>
      </c>
      <c r="Y142">
        <v>10</v>
      </c>
      <c r="Z142">
        <v>2</v>
      </c>
      <c r="AA142">
        <v>4</v>
      </c>
      <c r="AB142">
        <v>5</v>
      </c>
      <c r="AC142">
        <v>4</v>
      </c>
      <c r="AD142">
        <v>0</v>
      </c>
      <c r="AE142">
        <v>4</v>
      </c>
      <c r="AF142">
        <v>1</v>
      </c>
      <c r="AG142">
        <f>IF(tbl_HR_Data[[#This Row],[Gender]]="Male",1,0)</f>
        <v>0</v>
      </c>
      <c r="AH142" cm="1">
        <f t="array" ref="AH142">_xlfn.SWITCH(tbl_HR_Data[[#This Row],[BusinessTravel]], "Non-Travel", 0, "Travel_Rarely", 1, "Travel_Frequently", 2)</f>
        <v>1</v>
      </c>
      <c r="AI142" cm="1">
        <f t="array" ref="AI142">_xlfn.SWITCH(tbl_HR_Data[[#This Row],[MaritalStatus]],"Single",0,"Married",1,"Divorced",2)</f>
        <v>0</v>
      </c>
      <c r="AJ142">
        <f>IF(tbl_HR_Data[[#This Row],[OverTime]]=1,1,0)</f>
        <v>0</v>
      </c>
      <c r="AK142">
        <f>IF(tbl_HR_Data[[#This Row],[DistanceFromHome]]&gt;15,1,0)</f>
        <v>0</v>
      </c>
      <c r="AL142">
        <f>IF(tbl_HR_Data[[#This Row],[JobSatisfaction]]&lt;=2,1,0)</f>
        <v>1</v>
      </c>
      <c r="AM142">
        <f>IF(tbl_HR_Data[[#This Row],[MonthlyIncome]]&lt;$AT$2,1,0)</f>
        <v>1</v>
      </c>
      <c r="AN142">
        <f>IF(tbl_HR_Data[[#This Row],[Travel_Code]]=2,1,0)</f>
        <v>0</v>
      </c>
      <c r="AO142">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42" s="15">
        <f>tbl_HR_Data[[#This Row],[Risk_Score_Raw]] / SUM(Logic_Parameters!$B$2:$B$6)</f>
        <v>0.3686061316669938</v>
      </c>
      <c r="AQ142" s="16" t="str" cm="1">
        <f t="array" ref="AQ142">_xlfn.IFS(tbl_HR_Data[[#This Row],[Attrition_Risk_Percentage]] &gt;= 0.75, "Critical",tbl_HR_Data[ [#This Row],[Attrition_Risk_Percentage] ]&gt;= 0.5, "High",tbl_HR_Data[[#This Row],[Attrition_Risk_Percentage]] &gt;= 0.25, "Medium",TRUE, "Low")</f>
        <v>Medium</v>
      </c>
      <c r="AR142" s="16" cm="1">
        <f t="array" ref="AR142">IFERROR(_xlfn.IFS(tbl_HR_Data[[#This Row],[Risk_Category]]="Critical",tbl_HR_Data[[#This Row],[MonthlyIncome]]*1.5,tbl_HR_Data[[#This Row],[Risk_Category]]="High",tbl_HR_Data[[#This Row],[MonthlyIncome]]*1.5),0)</f>
        <v>0</v>
      </c>
    </row>
    <row r="143" spans="1:44" x14ac:dyDescent="0.35">
      <c r="A143" t="s">
        <v>728</v>
      </c>
      <c r="B143">
        <v>45</v>
      </c>
      <c r="C143" t="s">
        <v>31</v>
      </c>
      <c r="D143">
        <v>1316</v>
      </c>
      <c r="E143" t="s">
        <v>38</v>
      </c>
      <c r="F143">
        <v>29</v>
      </c>
      <c r="G143">
        <v>3</v>
      </c>
      <c r="H143" t="s">
        <v>44</v>
      </c>
      <c r="I143">
        <v>3</v>
      </c>
      <c r="J143" t="s">
        <v>39</v>
      </c>
      <c r="K143">
        <v>83</v>
      </c>
      <c r="L143">
        <v>3</v>
      </c>
      <c r="M143">
        <v>1</v>
      </c>
      <c r="N143" t="s">
        <v>40</v>
      </c>
      <c r="O143">
        <v>4</v>
      </c>
      <c r="P143" t="s">
        <v>36</v>
      </c>
      <c r="Q143">
        <v>3452</v>
      </c>
      <c r="R143">
        <v>9752</v>
      </c>
      <c r="S143">
        <v>5</v>
      </c>
      <c r="T143">
        <v>0</v>
      </c>
      <c r="U143" s="17">
        <v>0.13</v>
      </c>
      <c r="V143">
        <v>3</v>
      </c>
      <c r="W143">
        <v>2</v>
      </c>
      <c r="X143">
        <v>0</v>
      </c>
      <c r="Y143">
        <v>9</v>
      </c>
      <c r="Z143">
        <v>2</v>
      </c>
      <c r="AA143">
        <v>2</v>
      </c>
      <c r="AB143">
        <v>6</v>
      </c>
      <c r="AC143">
        <v>5</v>
      </c>
      <c r="AD143">
        <v>0</v>
      </c>
      <c r="AE143">
        <v>3</v>
      </c>
      <c r="AF143">
        <v>0</v>
      </c>
      <c r="AG143">
        <f>IF(tbl_HR_Data[[#This Row],[Gender]]="Male",1,0)</f>
        <v>1</v>
      </c>
      <c r="AH143" cm="1">
        <f t="array" ref="AH143">_xlfn.SWITCH(tbl_HR_Data[[#This Row],[BusinessTravel]], "Non-Travel", 0, "Travel_Rarely", 1, "Travel_Frequently", 2)</f>
        <v>1</v>
      </c>
      <c r="AI143" cm="1">
        <f t="array" ref="AI143">_xlfn.SWITCH(tbl_HR_Data[[#This Row],[MaritalStatus]],"Single",0,"Married",1,"Divorced",2)</f>
        <v>0</v>
      </c>
      <c r="AJ143">
        <f>IF(tbl_HR_Data[[#This Row],[OverTime]]=1,1,0)</f>
        <v>0</v>
      </c>
      <c r="AK143">
        <f>IF(tbl_HR_Data[[#This Row],[DistanceFromHome]]&gt;15,1,0)</f>
        <v>1</v>
      </c>
      <c r="AL143">
        <f>IF(tbl_HR_Data[[#This Row],[JobSatisfaction]]&lt;=2,1,0)</f>
        <v>0</v>
      </c>
      <c r="AM143">
        <f>IF(tbl_HR_Data[[#This Row],[MonthlyIncome]]&lt;$AT$2,1,0)</f>
        <v>1</v>
      </c>
      <c r="AN143">
        <f>IF(tbl_HR_Data[[#This Row],[Travel_Code]]=2,1,0)</f>
        <v>0</v>
      </c>
      <c r="AO143">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143" s="15">
        <f>tbl_HR_Data[[#This Row],[Risk_Score_Raw]] / SUM(Logic_Parameters!$B$2:$B$6)</f>
        <v>0.33282973125692844</v>
      </c>
      <c r="AQ143" s="16" t="str" cm="1">
        <f t="array" ref="AQ143">_xlfn.IFS(tbl_HR_Data[[#This Row],[Attrition_Risk_Percentage]] &gt;= 0.75, "Critical",tbl_HR_Data[ [#This Row],[Attrition_Risk_Percentage] ]&gt;= 0.5, "High",tbl_HR_Data[[#This Row],[Attrition_Risk_Percentage]] &gt;= 0.25, "Medium",TRUE, "Low")</f>
        <v>Medium</v>
      </c>
      <c r="AR143" s="16" cm="1">
        <f t="array" ref="AR143">IFERROR(_xlfn.IFS(tbl_HR_Data[[#This Row],[Risk_Category]]="Critical",tbl_HR_Data[[#This Row],[MonthlyIncome]]*1.5,tbl_HR_Data[[#This Row],[Risk_Category]]="High",tbl_HR_Data[[#This Row],[MonthlyIncome]]*1.5),0)</f>
        <v>0</v>
      </c>
    </row>
    <row r="144" spans="1:44" x14ac:dyDescent="0.35">
      <c r="A144" t="s">
        <v>944</v>
      </c>
      <c r="B144">
        <v>38</v>
      </c>
      <c r="C144" t="s">
        <v>31</v>
      </c>
      <c r="D144">
        <v>364</v>
      </c>
      <c r="E144" t="s">
        <v>38</v>
      </c>
      <c r="F144">
        <v>3</v>
      </c>
      <c r="G144">
        <v>5</v>
      </c>
      <c r="H144" t="s">
        <v>52</v>
      </c>
      <c r="I144">
        <v>4</v>
      </c>
      <c r="J144" t="s">
        <v>34</v>
      </c>
      <c r="K144">
        <v>32</v>
      </c>
      <c r="L144">
        <v>3</v>
      </c>
      <c r="M144">
        <v>2</v>
      </c>
      <c r="N144" t="s">
        <v>40</v>
      </c>
      <c r="O144">
        <v>3</v>
      </c>
      <c r="P144" t="s">
        <v>36</v>
      </c>
      <c r="Q144">
        <v>4317</v>
      </c>
      <c r="R144">
        <v>2302</v>
      </c>
      <c r="S144">
        <v>3</v>
      </c>
      <c r="T144">
        <v>1</v>
      </c>
      <c r="U144" s="17">
        <v>0.2</v>
      </c>
      <c r="V144">
        <v>4</v>
      </c>
      <c r="W144">
        <v>2</v>
      </c>
      <c r="X144">
        <v>0</v>
      </c>
      <c r="Y144">
        <v>19</v>
      </c>
      <c r="Z144">
        <v>2</v>
      </c>
      <c r="AA144">
        <v>3</v>
      </c>
      <c r="AB144">
        <v>3</v>
      </c>
      <c r="AC144">
        <v>2</v>
      </c>
      <c r="AD144">
        <v>2</v>
      </c>
      <c r="AE144">
        <v>2</v>
      </c>
      <c r="AF144">
        <v>0</v>
      </c>
      <c r="AG144">
        <f>IF(tbl_HR_Data[[#This Row],[Gender]]="Male",1,0)</f>
        <v>0</v>
      </c>
      <c r="AH144" cm="1">
        <f t="array" ref="AH144">_xlfn.SWITCH(tbl_HR_Data[[#This Row],[BusinessTravel]], "Non-Travel", 0, "Travel_Rarely", 1, "Travel_Frequently", 2)</f>
        <v>1</v>
      </c>
      <c r="AI144" cm="1">
        <f t="array" ref="AI144">_xlfn.SWITCH(tbl_HR_Data[[#This Row],[MaritalStatus]],"Single",0,"Married",1,"Divorced",2)</f>
        <v>0</v>
      </c>
      <c r="AJ144">
        <f>IF(tbl_HR_Data[[#This Row],[OverTime]]=1,1,0)</f>
        <v>1</v>
      </c>
      <c r="AK144">
        <f>IF(tbl_HR_Data[[#This Row],[DistanceFromHome]]&gt;15,1,0)</f>
        <v>0</v>
      </c>
      <c r="AL144">
        <f>IF(tbl_HR_Data[[#This Row],[JobSatisfaction]]&lt;=2,1,0)</f>
        <v>0</v>
      </c>
      <c r="AM144">
        <f>IF(tbl_HR_Data[[#This Row],[MonthlyIncome]]&lt;$AT$2,1,0)</f>
        <v>1</v>
      </c>
      <c r="AN144">
        <f>IF(tbl_HR_Data[[#This Row],[Travel_Code]]=2,1,0)</f>
        <v>0</v>
      </c>
      <c r="AO144">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144" s="15">
        <f>tbl_HR_Data[[#This Row],[Risk_Score_Raw]] / SUM(Logic_Parameters!$B$2:$B$6)</f>
        <v>0.56827453040563214</v>
      </c>
      <c r="AQ144" s="16" t="str" cm="1">
        <f t="array" ref="AQ144">_xlfn.IFS(tbl_HR_Data[[#This Row],[Attrition_Risk_Percentage]] &gt;= 0.75, "Critical",tbl_HR_Data[ [#This Row],[Attrition_Risk_Percentage] ]&gt;= 0.5, "High",tbl_HR_Data[[#This Row],[Attrition_Risk_Percentage]] &gt;= 0.25, "Medium",TRUE, "Low")</f>
        <v>High</v>
      </c>
      <c r="AR144" s="16" cm="1">
        <f t="array" ref="AR144">IFERROR(_xlfn.IFS(tbl_HR_Data[[#This Row],[Risk_Category]]="Critical",tbl_HR_Data[[#This Row],[MonthlyIncome]]*1.5,tbl_HR_Data[[#This Row],[Risk_Category]]="High",tbl_HR_Data[[#This Row],[MonthlyIncome]]*1.5),0)</f>
        <v>6475.5</v>
      </c>
    </row>
    <row r="145" spans="1:44" x14ac:dyDescent="0.35">
      <c r="A145" t="s">
        <v>417</v>
      </c>
      <c r="B145">
        <v>30</v>
      </c>
      <c r="C145" t="s">
        <v>31</v>
      </c>
      <c r="D145">
        <v>438</v>
      </c>
      <c r="E145" t="s">
        <v>38</v>
      </c>
      <c r="F145">
        <v>18</v>
      </c>
      <c r="G145">
        <v>3</v>
      </c>
      <c r="H145" t="s">
        <v>33</v>
      </c>
      <c r="I145">
        <v>1</v>
      </c>
      <c r="J145" t="s">
        <v>34</v>
      </c>
      <c r="K145">
        <v>75</v>
      </c>
      <c r="L145">
        <v>3</v>
      </c>
      <c r="M145">
        <v>1</v>
      </c>
      <c r="N145" t="s">
        <v>40</v>
      </c>
      <c r="O145">
        <v>3</v>
      </c>
      <c r="P145" t="s">
        <v>36</v>
      </c>
      <c r="Q145">
        <v>2632</v>
      </c>
      <c r="R145">
        <v>23910</v>
      </c>
      <c r="S145">
        <v>1</v>
      </c>
      <c r="T145">
        <v>0</v>
      </c>
      <c r="U145" s="17">
        <v>0.14000000000000001</v>
      </c>
      <c r="V145">
        <v>3</v>
      </c>
      <c r="W145">
        <v>3</v>
      </c>
      <c r="X145">
        <v>0</v>
      </c>
      <c r="Y145">
        <v>5</v>
      </c>
      <c r="Z145">
        <v>4</v>
      </c>
      <c r="AA145">
        <v>2</v>
      </c>
      <c r="AB145">
        <v>5</v>
      </c>
      <c r="AC145">
        <v>4</v>
      </c>
      <c r="AD145">
        <v>0</v>
      </c>
      <c r="AE145">
        <v>4</v>
      </c>
      <c r="AF145">
        <v>0</v>
      </c>
      <c r="AG145">
        <f>IF(tbl_HR_Data[[#This Row],[Gender]]="Male",1,0)</f>
        <v>0</v>
      </c>
      <c r="AH145" cm="1">
        <f t="array" ref="AH145">_xlfn.SWITCH(tbl_HR_Data[[#This Row],[BusinessTravel]], "Non-Travel", 0, "Travel_Rarely", 1, "Travel_Frequently", 2)</f>
        <v>1</v>
      </c>
      <c r="AI145" cm="1">
        <f t="array" ref="AI145">_xlfn.SWITCH(tbl_HR_Data[[#This Row],[MaritalStatus]],"Single",0,"Married",1,"Divorced",2)</f>
        <v>0</v>
      </c>
      <c r="AJ145">
        <f>IF(tbl_HR_Data[[#This Row],[OverTime]]=1,1,0)</f>
        <v>0</v>
      </c>
      <c r="AK145">
        <f>IF(tbl_HR_Data[[#This Row],[DistanceFromHome]]&gt;15,1,0)</f>
        <v>1</v>
      </c>
      <c r="AL145">
        <f>IF(tbl_HR_Data[[#This Row],[JobSatisfaction]]&lt;=2,1,0)</f>
        <v>0</v>
      </c>
      <c r="AM145">
        <f>IF(tbl_HR_Data[[#This Row],[MonthlyIncome]]&lt;$AT$2,1,0)</f>
        <v>1</v>
      </c>
      <c r="AN145">
        <f>IF(tbl_HR_Data[[#This Row],[Travel_Code]]=2,1,0)</f>
        <v>0</v>
      </c>
      <c r="AO145">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145" s="15">
        <f>tbl_HR_Data[[#This Row],[Risk_Score_Raw]] / SUM(Logic_Parameters!$B$2:$B$6)</f>
        <v>0.33282973125692844</v>
      </c>
      <c r="AQ145" s="16" t="str" cm="1">
        <f t="array" ref="AQ145">_xlfn.IFS(tbl_HR_Data[[#This Row],[Attrition_Risk_Percentage]] &gt;= 0.75, "Critical",tbl_HR_Data[ [#This Row],[Attrition_Risk_Percentage] ]&gt;= 0.5, "High",tbl_HR_Data[[#This Row],[Attrition_Risk_Percentage]] &gt;= 0.25, "Medium",TRUE, "Low")</f>
        <v>Medium</v>
      </c>
      <c r="AR145" s="16" cm="1">
        <f t="array" ref="AR145">IFERROR(_xlfn.IFS(tbl_HR_Data[[#This Row],[Risk_Category]]="Critical",tbl_HR_Data[[#This Row],[MonthlyIncome]]*1.5,tbl_HR_Data[[#This Row],[Risk_Category]]="High",tbl_HR_Data[[#This Row],[MonthlyIncome]]*1.5),0)</f>
        <v>0</v>
      </c>
    </row>
    <row r="146" spans="1:44" x14ac:dyDescent="0.35">
      <c r="A146" t="s">
        <v>184</v>
      </c>
      <c r="B146">
        <v>32</v>
      </c>
      <c r="C146" t="s">
        <v>37</v>
      </c>
      <c r="D146">
        <v>689</v>
      </c>
      <c r="E146" t="s">
        <v>32</v>
      </c>
      <c r="F146">
        <v>9</v>
      </c>
      <c r="G146">
        <v>2</v>
      </c>
      <c r="H146" t="s">
        <v>44</v>
      </c>
      <c r="I146">
        <v>4</v>
      </c>
      <c r="J146" t="s">
        <v>39</v>
      </c>
      <c r="K146">
        <v>35</v>
      </c>
      <c r="L146">
        <v>1</v>
      </c>
      <c r="M146">
        <v>2</v>
      </c>
      <c r="N146" t="s">
        <v>35</v>
      </c>
      <c r="O146">
        <v>4</v>
      </c>
      <c r="P146" t="s">
        <v>45</v>
      </c>
      <c r="Q146">
        <v>4668</v>
      </c>
      <c r="R146">
        <v>22812</v>
      </c>
      <c r="S146">
        <v>0</v>
      </c>
      <c r="T146">
        <v>0</v>
      </c>
      <c r="U146" s="17">
        <v>0.17</v>
      </c>
      <c r="V146">
        <v>3</v>
      </c>
      <c r="W146">
        <v>4</v>
      </c>
      <c r="X146">
        <v>3</v>
      </c>
      <c r="Y146">
        <v>9</v>
      </c>
      <c r="Z146">
        <v>2</v>
      </c>
      <c r="AA146">
        <v>4</v>
      </c>
      <c r="AB146">
        <v>8</v>
      </c>
      <c r="AC146">
        <v>7</v>
      </c>
      <c r="AD146">
        <v>0</v>
      </c>
      <c r="AE146">
        <v>7</v>
      </c>
      <c r="AF146">
        <v>0</v>
      </c>
      <c r="AG146">
        <f>IF(tbl_HR_Data[[#This Row],[Gender]]="Male",1,0)</f>
        <v>1</v>
      </c>
      <c r="AH146" cm="1">
        <f t="array" ref="AH146">_xlfn.SWITCH(tbl_HR_Data[[#This Row],[BusinessTravel]], "Non-Travel", 0, "Travel_Rarely", 1, "Travel_Frequently", 2)</f>
        <v>2</v>
      </c>
      <c r="AI146" cm="1">
        <f t="array" ref="AI146">_xlfn.SWITCH(tbl_HR_Data[[#This Row],[MaritalStatus]],"Single",0,"Married",1,"Divorced",2)</f>
        <v>2</v>
      </c>
      <c r="AJ146">
        <f>IF(tbl_HR_Data[[#This Row],[OverTime]]=1,1,0)</f>
        <v>0</v>
      </c>
      <c r="AK146">
        <f>IF(tbl_HR_Data[[#This Row],[DistanceFromHome]]&gt;15,1,0)</f>
        <v>0</v>
      </c>
      <c r="AL146">
        <f>IF(tbl_HR_Data[[#This Row],[JobSatisfaction]]&lt;=2,1,0)</f>
        <v>0</v>
      </c>
      <c r="AM146">
        <f>IF(tbl_HR_Data[[#This Row],[MonthlyIncome]]&lt;$AT$2,1,0)</f>
        <v>1</v>
      </c>
      <c r="AN146">
        <f>IF(tbl_HR_Data[[#This Row],[Travel_Code]]=2,1,0)</f>
        <v>1</v>
      </c>
      <c r="AO146">
        <f>(tbl_HR_Data[[#This Row],[Flag_OT]] * Logic_Parameters!$B$2) +
 (tbl_HR_Data[[#This Row],[Flag_Travel]] * Logic_Parameters!$B$3) +
 (tbl_HR_Data[[#This Row],[Flag_Satisfaction]] * Logic_Parameters!$B$4) +
 (tbl_HR_Data[[#This Row],[Flag_Distance]]* Logic_Parameters!$B$5) +
 (tbl_HR_Data[[#This Row],[Flag_Income]] * Logic_Parameters!$B$6)</f>
        <v>11.654818917911005</v>
      </c>
      <c r="AP146" s="15">
        <f>tbl_HR_Data[[#This Row],[Risk_Score_Raw]] / SUM(Logic_Parameters!$B$2:$B$6)</f>
        <v>0.40153780240992015</v>
      </c>
      <c r="AQ146" s="16" t="str" cm="1">
        <f t="array" ref="AQ146">_xlfn.IFS(tbl_HR_Data[[#This Row],[Attrition_Risk_Percentage]] &gt;= 0.75, "Critical",tbl_HR_Data[ [#This Row],[Attrition_Risk_Percentage] ]&gt;= 0.5, "High",tbl_HR_Data[[#This Row],[Attrition_Risk_Percentage]] &gt;= 0.25, "Medium",TRUE, "Low")</f>
        <v>Medium</v>
      </c>
      <c r="AR146" s="16" cm="1">
        <f t="array" ref="AR146">IFERROR(_xlfn.IFS(tbl_HR_Data[[#This Row],[Risk_Category]]="Critical",tbl_HR_Data[[#This Row],[MonthlyIncome]]*1.5,tbl_HR_Data[[#This Row],[Risk_Category]]="High",tbl_HR_Data[[#This Row],[MonthlyIncome]]*1.5),0)</f>
        <v>0</v>
      </c>
    </row>
    <row r="147" spans="1:44" x14ac:dyDescent="0.35">
      <c r="A147" t="s">
        <v>1449</v>
      </c>
      <c r="B147">
        <v>30</v>
      </c>
      <c r="C147" t="s">
        <v>31</v>
      </c>
      <c r="D147">
        <v>201</v>
      </c>
      <c r="E147" t="s">
        <v>38</v>
      </c>
      <c r="F147">
        <v>5</v>
      </c>
      <c r="G147">
        <v>3</v>
      </c>
      <c r="H147" t="s">
        <v>52</v>
      </c>
      <c r="I147">
        <v>4</v>
      </c>
      <c r="J147" t="s">
        <v>34</v>
      </c>
      <c r="K147">
        <v>84</v>
      </c>
      <c r="L147">
        <v>3</v>
      </c>
      <c r="M147">
        <v>1</v>
      </c>
      <c r="N147" t="s">
        <v>40</v>
      </c>
      <c r="O147">
        <v>1</v>
      </c>
      <c r="P147" t="s">
        <v>45</v>
      </c>
      <c r="Q147">
        <v>3204</v>
      </c>
      <c r="R147">
        <v>10415</v>
      </c>
      <c r="S147">
        <v>5</v>
      </c>
      <c r="T147">
        <v>0</v>
      </c>
      <c r="U147" s="17">
        <v>0.14000000000000001</v>
      </c>
      <c r="V147">
        <v>3</v>
      </c>
      <c r="W147">
        <v>4</v>
      </c>
      <c r="X147">
        <v>1</v>
      </c>
      <c r="Y147">
        <v>8</v>
      </c>
      <c r="Z147">
        <v>3</v>
      </c>
      <c r="AA147">
        <v>3</v>
      </c>
      <c r="AB147">
        <v>3</v>
      </c>
      <c r="AC147">
        <v>2</v>
      </c>
      <c r="AD147">
        <v>2</v>
      </c>
      <c r="AE147">
        <v>2</v>
      </c>
      <c r="AF147">
        <v>0</v>
      </c>
      <c r="AG147">
        <f>IF(tbl_HR_Data[[#This Row],[Gender]]="Male",1,0)</f>
        <v>0</v>
      </c>
      <c r="AH147" cm="1">
        <f t="array" ref="AH147">_xlfn.SWITCH(tbl_HR_Data[[#This Row],[BusinessTravel]], "Non-Travel", 0, "Travel_Rarely", 1, "Travel_Frequently", 2)</f>
        <v>1</v>
      </c>
      <c r="AI147" cm="1">
        <f t="array" ref="AI147">_xlfn.SWITCH(tbl_HR_Data[[#This Row],[MaritalStatus]],"Single",0,"Married",1,"Divorced",2)</f>
        <v>2</v>
      </c>
      <c r="AJ147">
        <f>IF(tbl_HR_Data[[#This Row],[OverTime]]=1,1,0)</f>
        <v>0</v>
      </c>
      <c r="AK147">
        <f>IF(tbl_HR_Data[[#This Row],[DistanceFromHome]]&gt;15,1,0)</f>
        <v>0</v>
      </c>
      <c r="AL147">
        <f>IF(tbl_HR_Data[[#This Row],[JobSatisfaction]]&lt;=2,1,0)</f>
        <v>1</v>
      </c>
      <c r="AM147">
        <f>IF(tbl_HR_Data[[#This Row],[MonthlyIncome]]&lt;$AT$2,1,0)</f>
        <v>1</v>
      </c>
      <c r="AN147">
        <f>IF(tbl_HR_Data[[#This Row],[Travel_Code]]=2,1,0)</f>
        <v>0</v>
      </c>
      <c r="AO147">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47" s="15">
        <f>tbl_HR_Data[[#This Row],[Risk_Score_Raw]] / SUM(Logic_Parameters!$B$2:$B$6)</f>
        <v>0.3686061316669938</v>
      </c>
      <c r="AQ147" s="16" t="str" cm="1">
        <f t="array" ref="AQ147">_xlfn.IFS(tbl_HR_Data[[#This Row],[Attrition_Risk_Percentage]] &gt;= 0.75, "Critical",tbl_HR_Data[ [#This Row],[Attrition_Risk_Percentage] ]&gt;= 0.5, "High",tbl_HR_Data[[#This Row],[Attrition_Risk_Percentage]] &gt;= 0.25, "Medium",TRUE, "Low")</f>
        <v>Medium</v>
      </c>
      <c r="AR147" s="16" cm="1">
        <f t="array" ref="AR147">IFERROR(_xlfn.IFS(tbl_HR_Data[[#This Row],[Risk_Category]]="Critical",tbl_HR_Data[[#This Row],[MonthlyIncome]]*1.5,tbl_HR_Data[[#This Row],[Risk_Category]]="High",tbl_HR_Data[[#This Row],[MonthlyIncome]]*1.5),0)</f>
        <v>0</v>
      </c>
    </row>
    <row r="148" spans="1:44" x14ac:dyDescent="0.35">
      <c r="A148" t="s">
        <v>604</v>
      </c>
      <c r="B148">
        <v>30</v>
      </c>
      <c r="C148" t="s">
        <v>31</v>
      </c>
      <c r="D148">
        <v>1427</v>
      </c>
      <c r="E148" t="s">
        <v>38</v>
      </c>
      <c r="F148">
        <v>2</v>
      </c>
      <c r="G148">
        <v>1</v>
      </c>
      <c r="H148" t="s">
        <v>44</v>
      </c>
      <c r="I148">
        <v>2</v>
      </c>
      <c r="J148" t="s">
        <v>39</v>
      </c>
      <c r="K148">
        <v>35</v>
      </c>
      <c r="L148">
        <v>2</v>
      </c>
      <c r="M148">
        <v>1</v>
      </c>
      <c r="N148" t="s">
        <v>43</v>
      </c>
      <c r="O148">
        <v>4</v>
      </c>
      <c r="P148" t="s">
        <v>36</v>
      </c>
      <c r="Q148">
        <v>2720</v>
      </c>
      <c r="R148">
        <v>11162</v>
      </c>
      <c r="S148">
        <v>0</v>
      </c>
      <c r="T148">
        <v>0</v>
      </c>
      <c r="U148" s="17">
        <v>0.13</v>
      </c>
      <c r="V148">
        <v>3</v>
      </c>
      <c r="W148">
        <v>4</v>
      </c>
      <c r="X148">
        <v>0</v>
      </c>
      <c r="Y148">
        <v>6</v>
      </c>
      <c r="Z148">
        <v>3</v>
      </c>
      <c r="AA148">
        <v>3</v>
      </c>
      <c r="AB148">
        <v>5</v>
      </c>
      <c r="AC148">
        <v>3</v>
      </c>
      <c r="AD148">
        <v>1</v>
      </c>
      <c r="AE148">
        <v>2</v>
      </c>
      <c r="AF148">
        <v>0</v>
      </c>
      <c r="AG148">
        <f>IF(tbl_HR_Data[[#This Row],[Gender]]="Male",1,0)</f>
        <v>1</v>
      </c>
      <c r="AH148" cm="1">
        <f t="array" ref="AH148">_xlfn.SWITCH(tbl_HR_Data[[#This Row],[BusinessTravel]], "Non-Travel", 0, "Travel_Rarely", 1, "Travel_Frequently", 2)</f>
        <v>1</v>
      </c>
      <c r="AI148" cm="1">
        <f t="array" ref="AI148">_xlfn.SWITCH(tbl_HR_Data[[#This Row],[MaritalStatus]],"Single",0,"Married",1,"Divorced",2)</f>
        <v>0</v>
      </c>
      <c r="AJ148">
        <f>IF(tbl_HR_Data[[#This Row],[OverTime]]=1,1,0)</f>
        <v>0</v>
      </c>
      <c r="AK148">
        <f>IF(tbl_HR_Data[[#This Row],[DistanceFromHome]]&gt;15,1,0)</f>
        <v>0</v>
      </c>
      <c r="AL148">
        <f>IF(tbl_HR_Data[[#This Row],[JobSatisfaction]]&lt;=2,1,0)</f>
        <v>0</v>
      </c>
      <c r="AM148">
        <f>IF(tbl_HR_Data[[#This Row],[MonthlyIncome]]&lt;$AT$2,1,0)</f>
        <v>1</v>
      </c>
      <c r="AN148">
        <f>IF(tbl_HR_Data[[#This Row],[Travel_Code]]=2,1,0)</f>
        <v>0</v>
      </c>
      <c r="AO148">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48" s="15">
        <f>tbl_HR_Data[[#This Row],[Risk_Score_Raw]] / SUM(Logic_Parameters!$B$2:$B$6)</f>
        <v>0.22374939857982484</v>
      </c>
      <c r="AQ148" s="16" t="str" cm="1">
        <f t="array" ref="AQ148">_xlfn.IFS(tbl_HR_Data[[#This Row],[Attrition_Risk_Percentage]] &gt;= 0.75, "Critical",tbl_HR_Data[ [#This Row],[Attrition_Risk_Percentage] ]&gt;= 0.5, "High",tbl_HR_Data[[#This Row],[Attrition_Risk_Percentage]] &gt;= 0.25, "Medium",TRUE, "Low")</f>
        <v>Low</v>
      </c>
      <c r="AR148" s="16" cm="1">
        <f t="array" ref="AR148">IFERROR(_xlfn.IFS(tbl_HR_Data[[#This Row],[Risk_Category]]="Critical",tbl_HR_Data[[#This Row],[MonthlyIncome]]*1.5,tbl_HR_Data[[#This Row],[Risk_Category]]="High",tbl_HR_Data[[#This Row],[MonthlyIncome]]*1.5),0)</f>
        <v>0</v>
      </c>
    </row>
    <row r="149" spans="1:44" x14ac:dyDescent="0.35">
      <c r="A149" t="s">
        <v>745</v>
      </c>
      <c r="B149">
        <v>41</v>
      </c>
      <c r="C149" t="s">
        <v>37</v>
      </c>
      <c r="D149">
        <v>857</v>
      </c>
      <c r="E149" t="s">
        <v>38</v>
      </c>
      <c r="F149">
        <v>10</v>
      </c>
      <c r="G149">
        <v>3</v>
      </c>
      <c r="H149" t="s">
        <v>33</v>
      </c>
      <c r="I149">
        <v>4</v>
      </c>
      <c r="J149" t="s">
        <v>39</v>
      </c>
      <c r="K149">
        <v>91</v>
      </c>
      <c r="L149">
        <v>2</v>
      </c>
      <c r="M149">
        <v>4</v>
      </c>
      <c r="N149" t="s">
        <v>48</v>
      </c>
      <c r="O149">
        <v>1</v>
      </c>
      <c r="P149" t="s">
        <v>45</v>
      </c>
      <c r="Q149">
        <v>17181</v>
      </c>
      <c r="R149">
        <v>12888</v>
      </c>
      <c r="S149">
        <v>4</v>
      </c>
      <c r="T149">
        <v>0</v>
      </c>
      <c r="U149" s="17">
        <v>0.13</v>
      </c>
      <c r="V149">
        <v>3</v>
      </c>
      <c r="W149">
        <v>2</v>
      </c>
      <c r="X149">
        <v>1</v>
      </c>
      <c r="Y149">
        <v>21</v>
      </c>
      <c r="Z149">
        <v>2</v>
      </c>
      <c r="AA149">
        <v>2</v>
      </c>
      <c r="AB149">
        <v>7</v>
      </c>
      <c r="AC149">
        <v>6</v>
      </c>
      <c r="AD149">
        <v>7</v>
      </c>
      <c r="AE149">
        <v>7</v>
      </c>
      <c r="AF149">
        <v>0</v>
      </c>
      <c r="AG149">
        <f>IF(tbl_HR_Data[[#This Row],[Gender]]="Male",1,0)</f>
        <v>1</v>
      </c>
      <c r="AH149" cm="1">
        <f t="array" ref="AH149">_xlfn.SWITCH(tbl_HR_Data[[#This Row],[BusinessTravel]], "Non-Travel", 0, "Travel_Rarely", 1, "Travel_Frequently", 2)</f>
        <v>2</v>
      </c>
      <c r="AI149" cm="1">
        <f t="array" ref="AI149">_xlfn.SWITCH(tbl_HR_Data[[#This Row],[MaritalStatus]],"Single",0,"Married",1,"Divorced",2)</f>
        <v>2</v>
      </c>
      <c r="AJ149">
        <f>IF(tbl_HR_Data[[#This Row],[OverTime]]=1,1,0)</f>
        <v>0</v>
      </c>
      <c r="AK149">
        <f>IF(tbl_HR_Data[[#This Row],[DistanceFromHome]]&gt;15,1,0)</f>
        <v>0</v>
      </c>
      <c r="AL149">
        <f>IF(tbl_HR_Data[[#This Row],[JobSatisfaction]]&lt;=2,1,0)</f>
        <v>1</v>
      </c>
      <c r="AM149">
        <f>IF(tbl_HR_Data[[#This Row],[MonthlyIncome]]&lt;$AT$2,1,0)</f>
        <v>0</v>
      </c>
      <c r="AN149">
        <f>IF(tbl_HR_Data[[#This Row],[Travel_Code]]=2,1,0)</f>
        <v>1</v>
      </c>
      <c r="AO149">
        <f>(tbl_HR_Data[[#This Row],[Flag_OT]] * Logic_Parameters!$B$2) +
 (tbl_HR_Data[[#This Row],[Flag_Travel]] * Logic_Parameters!$B$3) +
 (tbl_HR_Data[[#This Row],[Flag_Satisfaction]] * Logic_Parameters!$B$4) +
 (tbl_HR_Data[[#This Row],[Flag_Distance]]* Logic_Parameters!$B$5) +
 (tbl_HR_Data[[#This Row],[Flag_Income]] * Logic_Parameters!$B$6)</f>
        <v>9.3649231104683075</v>
      </c>
      <c r="AP149" s="15">
        <f>tbl_HR_Data[[#This Row],[Risk_Score_Raw]] / SUM(Logic_Parameters!$B$2:$B$6)</f>
        <v>0.32264513691726432</v>
      </c>
      <c r="AQ149" s="16" t="str" cm="1">
        <f t="array" ref="AQ149">_xlfn.IFS(tbl_HR_Data[[#This Row],[Attrition_Risk_Percentage]] &gt;= 0.75, "Critical",tbl_HR_Data[ [#This Row],[Attrition_Risk_Percentage] ]&gt;= 0.5, "High",tbl_HR_Data[[#This Row],[Attrition_Risk_Percentage]] &gt;= 0.25, "Medium",TRUE, "Low")</f>
        <v>Medium</v>
      </c>
      <c r="AR149" s="16" cm="1">
        <f t="array" ref="AR149">IFERROR(_xlfn.IFS(tbl_HR_Data[[#This Row],[Risk_Category]]="Critical",tbl_HR_Data[[#This Row],[MonthlyIncome]]*1.5,tbl_HR_Data[[#This Row],[Risk_Category]]="High",tbl_HR_Data[[#This Row],[MonthlyIncome]]*1.5),0)</f>
        <v>0</v>
      </c>
    </row>
    <row r="150" spans="1:44" x14ac:dyDescent="0.35">
      <c r="A150" t="s">
        <v>923</v>
      </c>
      <c r="B150">
        <v>41</v>
      </c>
      <c r="C150" t="s">
        <v>31</v>
      </c>
      <c r="D150">
        <v>933</v>
      </c>
      <c r="E150" t="s">
        <v>38</v>
      </c>
      <c r="F150">
        <v>9</v>
      </c>
      <c r="G150">
        <v>4</v>
      </c>
      <c r="H150" t="s">
        <v>33</v>
      </c>
      <c r="I150">
        <v>3</v>
      </c>
      <c r="J150" t="s">
        <v>39</v>
      </c>
      <c r="K150">
        <v>94</v>
      </c>
      <c r="L150">
        <v>3</v>
      </c>
      <c r="M150">
        <v>1</v>
      </c>
      <c r="N150" t="s">
        <v>43</v>
      </c>
      <c r="O150">
        <v>1</v>
      </c>
      <c r="P150" t="s">
        <v>41</v>
      </c>
      <c r="Q150">
        <v>2238</v>
      </c>
      <c r="R150">
        <v>6961</v>
      </c>
      <c r="S150">
        <v>2</v>
      </c>
      <c r="T150">
        <v>0</v>
      </c>
      <c r="U150" s="17">
        <v>0.21</v>
      </c>
      <c r="V150">
        <v>4</v>
      </c>
      <c r="W150">
        <v>4</v>
      </c>
      <c r="X150">
        <v>1</v>
      </c>
      <c r="Y150">
        <v>7</v>
      </c>
      <c r="Z150">
        <v>2</v>
      </c>
      <c r="AA150">
        <v>3</v>
      </c>
      <c r="AB150">
        <v>5</v>
      </c>
      <c r="AC150">
        <v>0</v>
      </c>
      <c r="AD150">
        <v>1</v>
      </c>
      <c r="AE150">
        <v>4</v>
      </c>
      <c r="AF150">
        <v>0</v>
      </c>
      <c r="AG150">
        <f>IF(tbl_HR_Data[[#This Row],[Gender]]="Male",1,0)</f>
        <v>1</v>
      </c>
      <c r="AH150" cm="1">
        <f t="array" ref="AH150">_xlfn.SWITCH(tbl_HR_Data[[#This Row],[BusinessTravel]], "Non-Travel", 0, "Travel_Rarely", 1, "Travel_Frequently", 2)</f>
        <v>1</v>
      </c>
      <c r="AI150" cm="1">
        <f t="array" ref="AI150">_xlfn.SWITCH(tbl_HR_Data[[#This Row],[MaritalStatus]],"Single",0,"Married",1,"Divorced",2)</f>
        <v>1</v>
      </c>
      <c r="AJ150">
        <f>IF(tbl_HR_Data[[#This Row],[OverTime]]=1,1,0)</f>
        <v>0</v>
      </c>
      <c r="AK150">
        <f>IF(tbl_HR_Data[[#This Row],[DistanceFromHome]]&gt;15,1,0)</f>
        <v>0</v>
      </c>
      <c r="AL150">
        <f>IF(tbl_HR_Data[[#This Row],[JobSatisfaction]]&lt;=2,1,0)</f>
        <v>1</v>
      </c>
      <c r="AM150">
        <f>IF(tbl_HR_Data[[#This Row],[MonthlyIncome]]&lt;$AT$2,1,0)</f>
        <v>1</v>
      </c>
      <c r="AN150">
        <f>IF(tbl_HR_Data[[#This Row],[Travel_Code]]=2,1,0)</f>
        <v>0</v>
      </c>
      <c r="AO150">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50" s="15">
        <f>tbl_HR_Data[[#This Row],[Risk_Score_Raw]] / SUM(Logic_Parameters!$B$2:$B$6)</f>
        <v>0.3686061316669938</v>
      </c>
      <c r="AQ150" s="16" t="str" cm="1">
        <f t="array" ref="AQ150">_xlfn.IFS(tbl_HR_Data[[#This Row],[Attrition_Risk_Percentage]] &gt;= 0.75, "Critical",tbl_HR_Data[ [#This Row],[Attrition_Risk_Percentage] ]&gt;= 0.5, "High",tbl_HR_Data[[#This Row],[Attrition_Risk_Percentage]] &gt;= 0.25, "Medium",TRUE, "Low")</f>
        <v>Medium</v>
      </c>
      <c r="AR150" s="16" cm="1">
        <f t="array" ref="AR150">IFERROR(_xlfn.IFS(tbl_HR_Data[[#This Row],[Risk_Category]]="Critical",tbl_HR_Data[[#This Row],[MonthlyIncome]]*1.5,tbl_HR_Data[[#This Row],[Risk_Category]]="High",tbl_HR_Data[[#This Row],[MonthlyIncome]]*1.5),0)</f>
        <v>0</v>
      </c>
    </row>
    <row r="151" spans="1:44" x14ac:dyDescent="0.35">
      <c r="A151" t="s">
        <v>724</v>
      </c>
      <c r="B151">
        <v>19</v>
      </c>
      <c r="C151" t="s">
        <v>31</v>
      </c>
      <c r="D151">
        <v>1181</v>
      </c>
      <c r="E151" t="s">
        <v>38</v>
      </c>
      <c r="F151">
        <v>3</v>
      </c>
      <c r="G151">
        <v>1</v>
      </c>
      <c r="H151" t="s">
        <v>44</v>
      </c>
      <c r="I151">
        <v>2</v>
      </c>
      <c r="J151" t="s">
        <v>34</v>
      </c>
      <c r="K151">
        <v>79</v>
      </c>
      <c r="L151">
        <v>3</v>
      </c>
      <c r="M151">
        <v>1</v>
      </c>
      <c r="N151" t="s">
        <v>43</v>
      </c>
      <c r="O151">
        <v>2</v>
      </c>
      <c r="P151" t="s">
        <v>36</v>
      </c>
      <c r="Q151">
        <v>1483</v>
      </c>
      <c r="R151">
        <v>16102</v>
      </c>
      <c r="S151">
        <v>1</v>
      </c>
      <c r="T151">
        <v>0</v>
      </c>
      <c r="U151" s="17">
        <v>0.14000000000000001</v>
      </c>
      <c r="V151">
        <v>3</v>
      </c>
      <c r="W151">
        <v>4</v>
      </c>
      <c r="X151">
        <v>0</v>
      </c>
      <c r="Y151">
        <v>1</v>
      </c>
      <c r="Z151">
        <v>3</v>
      </c>
      <c r="AA151">
        <v>3</v>
      </c>
      <c r="AB151">
        <v>1</v>
      </c>
      <c r="AC151">
        <v>0</v>
      </c>
      <c r="AD151">
        <v>0</v>
      </c>
      <c r="AE151">
        <v>0</v>
      </c>
      <c r="AF151">
        <v>0</v>
      </c>
      <c r="AG151">
        <f>IF(tbl_HR_Data[[#This Row],[Gender]]="Male",1,0)</f>
        <v>0</v>
      </c>
      <c r="AH151" cm="1">
        <f t="array" ref="AH151">_xlfn.SWITCH(tbl_HR_Data[[#This Row],[BusinessTravel]], "Non-Travel", 0, "Travel_Rarely", 1, "Travel_Frequently", 2)</f>
        <v>1</v>
      </c>
      <c r="AI151" cm="1">
        <f t="array" ref="AI151">_xlfn.SWITCH(tbl_HR_Data[[#This Row],[MaritalStatus]],"Single",0,"Married",1,"Divorced",2)</f>
        <v>0</v>
      </c>
      <c r="AJ151">
        <f>IF(tbl_HR_Data[[#This Row],[OverTime]]=1,1,0)</f>
        <v>0</v>
      </c>
      <c r="AK151">
        <f>IF(tbl_HR_Data[[#This Row],[DistanceFromHome]]&gt;15,1,0)</f>
        <v>0</v>
      </c>
      <c r="AL151">
        <f>IF(tbl_HR_Data[[#This Row],[JobSatisfaction]]&lt;=2,1,0)</f>
        <v>1</v>
      </c>
      <c r="AM151">
        <f>IF(tbl_HR_Data[[#This Row],[MonthlyIncome]]&lt;$AT$2,1,0)</f>
        <v>1</v>
      </c>
      <c r="AN151">
        <f>IF(tbl_HR_Data[[#This Row],[Travel_Code]]=2,1,0)</f>
        <v>0</v>
      </c>
      <c r="AO151">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51" s="15">
        <f>tbl_HR_Data[[#This Row],[Risk_Score_Raw]] / SUM(Logic_Parameters!$B$2:$B$6)</f>
        <v>0.3686061316669938</v>
      </c>
      <c r="AQ151" s="16" t="str" cm="1">
        <f t="array" ref="AQ151">_xlfn.IFS(tbl_HR_Data[[#This Row],[Attrition_Risk_Percentage]] &gt;= 0.75, "Critical",tbl_HR_Data[ [#This Row],[Attrition_Risk_Percentage] ]&gt;= 0.5, "High",tbl_HR_Data[[#This Row],[Attrition_Risk_Percentage]] &gt;= 0.25, "Medium",TRUE, "Low")</f>
        <v>Medium</v>
      </c>
      <c r="AR151" s="16" cm="1">
        <f t="array" ref="AR151">IFERROR(_xlfn.IFS(tbl_HR_Data[[#This Row],[Risk_Category]]="Critical",tbl_HR_Data[[#This Row],[MonthlyIncome]]*1.5,tbl_HR_Data[[#This Row],[Risk_Category]]="High",tbl_HR_Data[[#This Row],[MonthlyIncome]]*1.5),0)</f>
        <v>0</v>
      </c>
    </row>
    <row r="152" spans="1:44" x14ac:dyDescent="0.35">
      <c r="A152" t="s">
        <v>725</v>
      </c>
      <c r="B152">
        <v>40</v>
      </c>
      <c r="C152" t="s">
        <v>37</v>
      </c>
      <c r="D152">
        <v>1395</v>
      </c>
      <c r="E152" t="s">
        <v>38</v>
      </c>
      <c r="F152">
        <v>26</v>
      </c>
      <c r="G152">
        <v>3</v>
      </c>
      <c r="H152" t="s">
        <v>44</v>
      </c>
      <c r="I152">
        <v>2</v>
      </c>
      <c r="J152" t="s">
        <v>34</v>
      </c>
      <c r="K152">
        <v>54</v>
      </c>
      <c r="L152">
        <v>3</v>
      </c>
      <c r="M152">
        <v>2</v>
      </c>
      <c r="N152" t="s">
        <v>40</v>
      </c>
      <c r="O152">
        <v>2</v>
      </c>
      <c r="P152" t="s">
        <v>45</v>
      </c>
      <c r="Q152">
        <v>5605</v>
      </c>
      <c r="R152">
        <v>8504</v>
      </c>
      <c r="S152">
        <v>1</v>
      </c>
      <c r="T152">
        <v>0</v>
      </c>
      <c r="U152" s="17">
        <v>0.11</v>
      </c>
      <c r="V152">
        <v>3</v>
      </c>
      <c r="W152">
        <v>1</v>
      </c>
      <c r="X152">
        <v>1</v>
      </c>
      <c r="Y152">
        <v>20</v>
      </c>
      <c r="Z152">
        <v>2</v>
      </c>
      <c r="AA152">
        <v>3</v>
      </c>
      <c r="AB152">
        <v>20</v>
      </c>
      <c r="AC152">
        <v>7</v>
      </c>
      <c r="AD152">
        <v>2</v>
      </c>
      <c r="AE152">
        <v>13</v>
      </c>
      <c r="AF152">
        <v>0</v>
      </c>
      <c r="AG152">
        <f>IF(tbl_HR_Data[[#This Row],[Gender]]="Male",1,0)</f>
        <v>0</v>
      </c>
      <c r="AH152" cm="1">
        <f t="array" ref="AH152">_xlfn.SWITCH(tbl_HR_Data[[#This Row],[BusinessTravel]], "Non-Travel", 0, "Travel_Rarely", 1, "Travel_Frequently", 2)</f>
        <v>2</v>
      </c>
      <c r="AI152" cm="1">
        <f t="array" ref="AI152">_xlfn.SWITCH(tbl_HR_Data[[#This Row],[MaritalStatus]],"Single",0,"Married",1,"Divorced",2)</f>
        <v>2</v>
      </c>
      <c r="AJ152">
        <f>IF(tbl_HR_Data[[#This Row],[OverTime]]=1,1,0)</f>
        <v>0</v>
      </c>
      <c r="AK152">
        <f>IF(tbl_HR_Data[[#This Row],[DistanceFromHome]]&gt;15,1,0)</f>
        <v>1</v>
      </c>
      <c r="AL152">
        <f>IF(tbl_HR_Data[[#This Row],[JobSatisfaction]]&lt;=2,1,0)</f>
        <v>1</v>
      </c>
      <c r="AM152">
        <f>IF(tbl_HR_Data[[#This Row],[MonthlyIncome]]&lt;$AT$2,1,0)</f>
        <v>0</v>
      </c>
      <c r="AN152">
        <f>IF(tbl_HR_Data[[#This Row],[Travel_Code]]=2,1,0)</f>
        <v>1</v>
      </c>
      <c r="AO152">
        <f>(tbl_HR_Data[[#This Row],[Flag_OT]] * Logic_Parameters!$B$2) +
 (tbl_HR_Data[[#This Row],[Flag_Travel]] * Logic_Parameters!$B$3) +
 (tbl_HR_Data[[#This Row],[Flag_Satisfaction]] * Logic_Parameters!$B$4) +
 (tbl_HR_Data[[#This Row],[Flag_Distance]]* Logic_Parameters!$B$5) +
 (tbl_HR_Data[[#This Row],[Flag_Income]] * Logic_Parameters!$B$6)</f>
        <v>12.531029806343685</v>
      </c>
      <c r="AP152" s="15">
        <f>tbl_HR_Data[[#This Row],[Risk_Score_Raw]] / SUM(Logic_Parameters!$B$2:$B$6)</f>
        <v>0.43172546959436786</v>
      </c>
      <c r="AQ152" s="16" t="str" cm="1">
        <f t="array" ref="AQ152">_xlfn.IFS(tbl_HR_Data[[#This Row],[Attrition_Risk_Percentage]] &gt;= 0.75, "Critical",tbl_HR_Data[ [#This Row],[Attrition_Risk_Percentage] ]&gt;= 0.5, "High",tbl_HR_Data[[#This Row],[Attrition_Risk_Percentage]] &gt;= 0.25, "Medium",TRUE, "Low")</f>
        <v>Medium</v>
      </c>
      <c r="AR152" s="16" cm="1">
        <f t="array" ref="AR152">IFERROR(_xlfn.IFS(tbl_HR_Data[[#This Row],[Risk_Category]]="Critical",tbl_HR_Data[[#This Row],[MonthlyIncome]]*1.5,tbl_HR_Data[[#This Row],[Risk_Category]]="High",tbl_HR_Data[[#This Row],[MonthlyIncome]]*1.5),0)</f>
        <v>0</v>
      </c>
    </row>
    <row r="153" spans="1:44" x14ac:dyDescent="0.35">
      <c r="A153" t="s">
        <v>663</v>
      </c>
      <c r="B153">
        <v>35</v>
      </c>
      <c r="C153" t="s">
        <v>31</v>
      </c>
      <c r="D153">
        <v>662</v>
      </c>
      <c r="E153" t="s">
        <v>32</v>
      </c>
      <c r="F153">
        <v>1</v>
      </c>
      <c r="G153">
        <v>5</v>
      </c>
      <c r="H153" t="s">
        <v>51</v>
      </c>
      <c r="I153">
        <v>3</v>
      </c>
      <c r="J153" t="s">
        <v>39</v>
      </c>
      <c r="K153">
        <v>94</v>
      </c>
      <c r="L153">
        <v>3</v>
      </c>
      <c r="M153">
        <v>3</v>
      </c>
      <c r="N153" t="s">
        <v>35</v>
      </c>
      <c r="O153">
        <v>2</v>
      </c>
      <c r="P153" t="s">
        <v>41</v>
      </c>
      <c r="Q153">
        <v>7295</v>
      </c>
      <c r="R153">
        <v>11439</v>
      </c>
      <c r="S153">
        <v>1</v>
      </c>
      <c r="T153">
        <v>0</v>
      </c>
      <c r="U153" s="17">
        <v>0.13</v>
      </c>
      <c r="V153">
        <v>3</v>
      </c>
      <c r="W153">
        <v>1</v>
      </c>
      <c r="X153">
        <v>2</v>
      </c>
      <c r="Y153">
        <v>10</v>
      </c>
      <c r="Z153">
        <v>3</v>
      </c>
      <c r="AA153">
        <v>3</v>
      </c>
      <c r="AB153">
        <v>10</v>
      </c>
      <c r="AC153">
        <v>8</v>
      </c>
      <c r="AD153">
        <v>0</v>
      </c>
      <c r="AE153">
        <v>6</v>
      </c>
      <c r="AF153">
        <v>0</v>
      </c>
      <c r="AG153">
        <f>IF(tbl_HR_Data[[#This Row],[Gender]]="Male",1,0)</f>
        <v>1</v>
      </c>
      <c r="AH153" cm="1">
        <f t="array" ref="AH153">_xlfn.SWITCH(tbl_HR_Data[[#This Row],[BusinessTravel]], "Non-Travel", 0, "Travel_Rarely", 1, "Travel_Frequently", 2)</f>
        <v>1</v>
      </c>
      <c r="AI153" cm="1">
        <f t="array" ref="AI153">_xlfn.SWITCH(tbl_HR_Data[[#This Row],[MaritalStatus]],"Single",0,"Married",1,"Divorced",2)</f>
        <v>1</v>
      </c>
      <c r="AJ153">
        <f>IF(tbl_HR_Data[[#This Row],[OverTime]]=1,1,0)</f>
        <v>0</v>
      </c>
      <c r="AK153">
        <f>IF(tbl_HR_Data[[#This Row],[DistanceFromHome]]&gt;15,1,0)</f>
        <v>0</v>
      </c>
      <c r="AL153">
        <f>IF(tbl_HR_Data[[#This Row],[JobSatisfaction]]&lt;=2,1,0)</f>
        <v>1</v>
      </c>
      <c r="AM153">
        <f>IF(tbl_HR_Data[[#This Row],[MonthlyIncome]]&lt;$AT$2,1,0)</f>
        <v>0</v>
      </c>
      <c r="AN153">
        <f>IF(tbl_HR_Data[[#This Row],[Travel_Code]]=2,1,0)</f>
        <v>0</v>
      </c>
      <c r="AO153">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53" s="15">
        <f>tbl_HR_Data[[#This Row],[Risk_Score_Raw]] / SUM(Logic_Parameters!$B$2:$B$6)</f>
        <v>0.14485673308716898</v>
      </c>
      <c r="AQ153" s="16" t="str" cm="1">
        <f t="array" ref="AQ153">_xlfn.IFS(tbl_HR_Data[[#This Row],[Attrition_Risk_Percentage]] &gt;= 0.75, "Critical",tbl_HR_Data[ [#This Row],[Attrition_Risk_Percentage] ]&gt;= 0.5, "High",tbl_HR_Data[[#This Row],[Attrition_Risk_Percentage]] &gt;= 0.25, "Medium",TRUE, "Low")</f>
        <v>Low</v>
      </c>
      <c r="AR153" s="16" cm="1">
        <f t="array" ref="AR153">IFERROR(_xlfn.IFS(tbl_HR_Data[[#This Row],[Risk_Category]]="Critical",tbl_HR_Data[[#This Row],[MonthlyIncome]]*1.5,tbl_HR_Data[[#This Row],[Risk_Category]]="High",tbl_HR_Data[[#This Row],[MonthlyIncome]]*1.5),0)</f>
        <v>0</v>
      </c>
    </row>
    <row r="154" spans="1:44" x14ac:dyDescent="0.35">
      <c r="A154" t="s">
        <v>339</v>
      </c>
      <c r="B154">
        <v>53</v>
      </c>
      <c r="C154" t="s">
        <v>31</v>
      </c>
      <c r="D154">
        <v>1436</v>
      </c>
      <c r="E154" t="s">
        <v>32</v>
      </c>
      <c r="F154">
        <v>6</v>
      </c>
      <c r="G154">
        <v>2</v>
      </c>
      <c r="H154" t="s">
        <v>51</v>
      </c>
      <c r="I154">
        <v>2</v>
      </c>
      <c r="J154" t="s">
        <v>39</v>
      </c>
      <c r="K154">
        <v>34</v>
      </c>
      <c r="L154">
        <v>3</v>
      </c>
      <c r="M154">
        <v>2</v>
      </c>
      <c r="N154" t="s">
        <v>49</v>
      </c>
      <c r="O154">
        <v>3</v>
      </c>
      <c r="P154" t="s">
        <v>41</v>
      </c>
      <c r="Q154">
        <v>2306</v>
      </c>
      <c r="R154">
        <v>16047</v>
      </c>
      <c r="S154">
        <v>2</v>
      </c>
      <c r="T154">
        <v>1</v>
      </c>
      <c r="U154" s="17">
        <v>0.2</v>
      </c>
      <c r="V154">
        <v>4</v>
      </c>
      <c r="W154">
        <v>4</v>
      </c>
      <c r="X154">
        <v>1</v>
      </c>
      <c r="Y154">
        <v>13</v>
      </c>
      <c r="Z154">
        <v>3</v>
      </c>
      <c r="AA154">
        <v>1</v>
      </c>
      <c r="AB154">
        <v>7</v>
      </c>
      <c r="AC154">
        <v>7</v>
      </c>
      <c r="AD154">
        <v>4</v>
      </c>
      <c r="AE154">
        <v>5</v>
      </c>
      <c r="AF154">
        <v>0</v>
      </c>
      <c r="AG154">
        <f>IF(tbl_HR_Data[[#This Row],[Gender]]="Male",1,0)</f>
        <v>1</v>
      </c>
      <c r="AH154" cm="1">
        <f t="array" ref="AH154">_xlfn.SWITCH(tbl_HR_Data[[#This Row],[BusinessTravel]], "Non-Travel", 0, "Travel_Rarely", 1, "Travel_Frequently", 2)</f>
        <v>1</v>
      </c>
      <c r="AI154" cm="1">
        <f t="array" ref="AI154">_xlfn.SWITCH(tbl_HR_Data[[#This Row],[MaritalStatus]],"Single",0,"Married",1,"Divorced",2)</f>
        <v>1</v>
      </c>
      <c r="AJ154">
        <f>IF(tbl_HR_Data[[#This Row],[OverTime]]=1,1,0)</f>
        <v>1</v>
      </c>
      <c r="AK154">
        <f>IF(tbl_HR_Data[[#This Row],[DistanceFromHome]]&gt;15,1,0)</f>
        <v>0</v>
      </c>
      <c r="AL154">
        <f>IF(tbl_HR_Data[[#This Row],[JobSatisfaction]]&lt;=2,1,0)</f>
        <v>0</v>
      </c>
      <c r="AM154">
        <f>IF(tbl_HR_Data[[#This Row],[MonthlyIncome]]&lt;$AT$2,1,0)</f>
        <v>1</v>
      </c>
      <c r="AN154">
        <f>IF(tbl_HR_Data[[#This Row],[Travel_Code]]=2,1,0)</f>
        <v>0</v>
      </c>
      <c r="AO154">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154" s="15">
        <f>tbl_HR_Data[[#This Row],[Risk_Score_Raw]] / SUM(Logic_Parameters!$B$2:$B$6)</f>
        <v>0.56827453040563214</v>
      </c>
      <c r="AQ154" s="16" t="str" cm="1">
        <f t="array" ref="AQ154">_xlfn.IFS(tbl_HR_Data[[#This Row],[Attrition_Risk_Percentage]] &gt;= 0.75, "Critical",tbl_HR_Data[ [#This Row],[Attrition_Risk_Percentage] ]&gt;= 0.5, "High",tbl_HR_Data[[#This Row],[Attrition_Risk_Percentage]] &gt;= 0.25, "Medium",TRUE, "Low")</f>
        <v>High</v>
      </c>
      <c r="AR154" s="16" cm="1">
        <f t="array" ref="AR154">IFERROR(_xlfn.IFS(tbl_HR_Data[[#This Row],[Risk_Category]]="Critical",tbl_HR_Data[[#This Row],[MonthlyIncome]]*1.5,tbl_HR_Data[[#This Row],[Risk_Category]]="High",tbl_HR_Data[[#This Row],[MonthlyIncome]]*1.5),0)</f>
        <v>3459</v>
      </c>
    </row>
    <row r="155" spans="1:44" x14ac:dyDescent="0.35">
      <c r="A155" t="s">
        <v>473</v>
      </c>
      <c r="B155">
        <v>45</v>
      </c>
      <c r="C155" t="s">
        <v>31</v>
      </c>
      <c r="D155">
        <v>194</v>
      </c>
      <c r="E155" t="s">
        <v>38</v>
      </c>
      <c r="F155">
        <v>9</v>
      </c>
      <c r="G155">
        <v>3</v>
      </c>
      <c r="H155" t="s">
        <v>33</v>
      </c>
      <c r="I155">
        <v>2</v>
      </c>
      <c r="J155" t="s">
        <v>39</v>
      </c>
      <c r="K155">
        <v>60</v>
      </c>
      <c r="L155">
        <v>3</v>
      </c>
      <c r="M155">
        <v>2</v>
      </c>
      <c r="N155" t="s">
        <v>43</v>
      </c>
      <c r="O155">
        <v>2</v>
      </c>
      <c r="P155" t="s">
        <v>45</v>
      </c>
      <c r="Q155">
        <v>2348</v>
      </c>
      <c r="R155">
        <v>10901</v>
      </c>
      <c r="S155">
        <v>8</v>
      </c>
      <c r="T155">
        <v>0</v>
      </c>
      <c r="U155" s="17">
        <v>0.18</v>
      </c>
      <c r="V155">
        <v>3</v>
      </c>
      <c r="W155">
        <v>3</v>
      </c>
      <c r="X155">
        <v>1</v>
      </c>
      <c r="Y155">
        <v>20</v>
      </c>
      <c r="Z155">
        <v>2</v>
      </c>
      <c r="AA155">
        <v>1</v>
      </c>
      <c r="AB155">
        <v>17</v>
      </c>
      <c r="AC155">
        <v>9</v>
      </c>
      <c r="AD155">
        <v>0</v>
      </c>
      <c r="AE155">
        <v>15</v>
      </c>
      <c r="AF155">
        <v>0</v>
      </c>
      <c r="AG155">
        <f>IF(tbl_HR_Data[[#This Row],[Gender]]="Male",1,0)</f>
        <v>1</v>
      </c>
      <c r="AH155" cm="1">
        <f t="array" ref="AH155">_xlfn.SWITCH(tbl_HR_Data[[#This Row],[BusinessTravel]], "Non-Travel", 0, "Travel_Rarely", 1, "Travel_Frequently", 2)</f>
        <v>1</v>
      </c>
      <c r="AI155" cm="1">
        <f t="array" ref="AI155">_xlfn.SWITCH(tbl_HR_Data[[#This Row],[MaritalStatus]],"Single",0,"Married",1,"Divorced",2)</f>
        <v>2</v>
      </c>
      <c r="AJ155">
        <f>IF(tbl_HR_Data[[#This Row],[OverTime]]=1,1,0)</f>
        <v>0</v>
      </c>
      <c r="AK155">
        <f>IF(tbl_HR_Data[[#This Row],[DistanceFromHome]]&gt;15,1,0)</f>
        <v>0</v>
      </c>
      <c r="AL155">
        <f>IF(tbl_HR_Data[[#This Row],[JobSatisfaction]]&lt;=2,1,0)</f>
        <v>1</v>
      </c>
      <c r="AM155">
        <f>IF(tbl_HR_Data[[#This Row],[MonthlyIncome]]&lt;$AT$2,1,0)</f>
        <v>1</v>
      </c>
      <c r="AN155">
        <f>IF(tbl_HR_Data[[#This Row],[Travel_Code]]=2,1,0)</f>
        <v>0</v>
      </c>
      <c r="AO155">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55" s="15">
        <f>tbl_HR_Data[[#This Row],[Risk_Score_Raw]] / SUM(Logic_Parameters!$B$2:$B$6)</f>
        <v>0.3686061316669938</v>
      </c>
      <c r="AQ155" s="16" t="str" cm="1">
        <f t="array" ref="AQ155">_xlfn.IFS(tbl_HR_Data[[#This Row],[Attrition_Risk_Percentage]] &gt;= 0.75, "Critical",tbl_HR_Data[ [#This Row],[Attrition_Risk_Percentage] ]&gt;= 0.5, "High",tbl_HR_Data[[#This Row],[Attrition_Risk_Percentage]] &gt;= 0.25, "Medium",TRUE, "Low")</f>
        <v>Medium</v>
      </c>
      <c r="AR155" s="16" cm="1">
        <f t="array" ref="AR155">IFERROR(_xlfn.IFS(tbl_HR_Data[[#This Row],[Risk_Category]]="Critical",tbl_HR_Data[[#This Row],[MonthlyIncome]]*1.5,tbl_HR_Data[[#This Row],[Risk_Category]]="High",tbl_HR_Data[[#This Row],[MonthlyIncome]]*1.5),0)</f>
        <v>0</v>
      </c>
    </row>
    <row r="156" spans="1:44" x14ac:dyDescent="0.35">
      <c r="A156" t="s">
        <v>1104</v>
      </c>
      <c r="B156">
        <v>32</v>
      </c>
      <c r="C156" t="s">
        <v>37</v>
      </c>
      <c r="D156">
        <v>967</v>
      </c>
      <c r="E156" t="s">
        <v>32</v>
      </c>
      <c r="F156">
        <v>8</v>
      </c>
      <c r="G156">
        <v>3</v>
      </c>
      <c r="H156" t="s">
        <v>51</v>
      </c>
      <c r="I156">
        <v>2</v>
      </c>
      <c r="J156" t="s">
        <v>34</v>
      </c>
      <c r="K156">
        <v>43</v>
      </c>
      <c r="L156">
        <v>3</v>
      </c>
      <c r="M156">
        <v>3</v>
      </c>
      <c r="N156" t="s">
        <v>35</v>
      </c>
      <c r="O156">
        <v>4</v>
      </c>
      <c r="P156" t="s">
        <v>36</v>
      </c>
      <c r="Q156">
        <v>8998</v>
      </c>
      <c r="R156">
        <v>15589</v>
      </c>
      <c r="S156">
        <v>1</v>
      </c>
      <c r="T156">
        <v>0</v>
      </c>
      <c r="U156" s="17">
        <v>0.14000000000000001</v>
      </c>
      <c r="V156">
        <v>3</v>
      </c>
      <c r="W156">
        <v>4</v>
      </c>
      <c r="X156">
        <v>0</v>
      </c>
      <c r="Y156">
        <v>9</v>
      </c>
      <c r="Z156">
        <v>2</v>
      </c>
      <c r="AA156">
        <v>3</v>
      </c>
      <c r="AB156">
        <v>9</v>
      </c>
      <c r="AC156">
        <v>8</v>
      </c>
      <c r="AD156">
        <v>3</v>
      </c>
      <c r="AE156">
        <v>7</v>
      </c>
      <c r="AF156">
        <v>0</v>
      </c>
      <c r="AG156">
        <f>IF(tbl_HR_Data[[#This Row],[Gender]]="Male",1,0)</f>
        <v>0</v>
      </c>
      <c r="AH156" cm="1">
        <f t="array" ref="AH156">_xlfn.SWITCH(tbl_HR_Data[[#This Row],[BusinessTravel]], "Non-Travel", 0, "Travel_Rarely", 1, "Travel_Frequently", 2)</f>
        <v>2</v>
      </c>
      <c r="AI156" cm="1">
        <f t="array" ref="AI156">_xlfn.SWITCH(tbl_HR_Data[[#This Row],[MaritalStatus]],"Single",0,"Married",1,"Divorced",2)</f>
        <v>0</v>
      </c>
      <c r="AJ156">
        <f>IF(tbl_HR_Data[[#This Row],[OverTime]]=1,1,0)</f>
        <v>0</v>
      </c>
      <c r="AK156">
        <f>IF(tbl_HR_Data[[#This Row],[DistanceFromHome]]&gt;15,1,0)</f>
        <v>0</v>
      </c>
      <c r="AL156">
        <f>IF(tbl_HR_Data[[#This Row],[JobSatisfaction]]&lt;=2,1,0)</f>
        <v>0</v>
      </c>
      <c r="AM156">
        <f>IF(tbl_HR_Data[[#This Row],[MonthlyIncome]]&lt;$AT$2,1,0)</f>
        <v>0</v>
      </c>
      <c r="AN156">
        <f>IF(tbl_HR_Data[[#This Row],[Travel_Code]]=2,1,0)</f>
        <v>1</v>
      </c>
      <c r="AO156">
        <f>(tbl_HR_Data[[#This Row],[Flag_OT]] * Logic_Parameters!$B$2) +
 (tbl_HR_Data[[#This Row],[Flag_Travel]] * Logic_Parameters!$B$3) +
 (tbl_HR_Data[[#This Row],[Flag_Satisfaction]] * Logic_Parameters!$B$4) +
 (tbl_HR_Data[[#This Row],[Flag_Distance]]* Logic_Parameters!$B$5) +
 (tbl_HR_Data[[#This Row],[Flag_Income]] * Logic_Parameters!$B$6)</f>
        <v>5.1603899804901765</v>
      </c>
      <c r="AP156" s="15">
        <f>tbl_HR_Data[[#This Row],[Risk_Score_Raw]] / SUM(Logic_Parameters!$B$2:$B$6)</f>
        <v>0.17778840383009531</v>
      </c>
      <c r="AQ156" s="16" t="str" cm="1">
        <f t="array" ref="AQ156">_xlfn.IFS(tbl_HR_Data[[#This Row],[Attrition_Risk_Percentage]] &gt;= 0.75, "Critical",tbl_HR_Data[ [#This Row],[Attrition_Risk_Percentage] ]&gt;= 0.5, "High",tbl_HR_Data[[#This Row],[Attrition_Risk_Percentage]] &gt;= 0.25, "Medium",TRUE, "Low")</f>
        <v>Low</v>
      </c>
      <c r="AR156" s="16" cm="1">
        <f t="array" ref="AR156">IFERROR(_xlfn.IFS(tbl_HR_Data[[#This Row],[Risk_Category]]="Critical",tbl_HR_Data[[#This Row],[MonthlyIncome]]*1.5,tbl_HR_Data[[#This Row],[Risk_Category]]="High",tbl_HR_Data[[#This Row],[MonthlyIncome]]*1.5),0)</f>
        <v>0</v>
      </c>
    </row>
    <row r="157" spans="1:44" x14ac:dyDescent="0.35">
      <c r="A157" t="s">
        <v>759</v>
      </c>
      <c r="B157">
        <v>29</v>
      </c>
      <c r="C157" t="s">
        <v>1525</v>
      </c>
      <c r="D157">
        <v>1496</v>
      </c>
      <c r="E157" t="s">
        <v>38</v>
      </c>
      <c r="F157">
        <v>1</v>
      </c>
      <c r="G157">
        <v>1</v>
      </c>
      <c r="H157" t="s">
        <v>52</v>
      </c>
      <c r="I157">
        <v>4</v>
      </c>
      <c r="J157" t="s">
        <v>39</v>
      </c>
      <c r="K157">
        <v>41</v>
      </c>
      <c r="L157">
        <v>3</v>
      </c>
      <c r="M157">
        <v>2</v>
      </c>
      <c r="N157" t="s">
        <v>46</v>
      </c>
      <c r="O157">
        <v>3</v>
      </c>
      <c r="P157" t="s">
        <v>41</v>
      </c>
      <c r="Q157">
        <v>4319</v>
      </c>
      <c r="R157">
        <v>26283</v>
      </c>
      <c r="S157">
        <v>1</v>
      </c>
      <c r="T157">
        <v>0</v>
      </c>
      <c r="U157" s="17">
        <v>0.13</v>
      </c>
      <c r="V157">
        <v>3</v>
      </c>
      <c r="W157">
        <v>1</v>
      </c>
      <c r="X157">
        <v>1</v>
      </c>
      <c r="Y157">
        <v>10</v>
      </c>
      <c r="Z157">
        <v>1</v>
      </c>
      <c r="AA157">
        <v>3</v>
      </c>
      <c r="AB157">
        <v>10</v>
      </c>
      <c r="AC157">
        <v>7</v>
      </c>
      <c r="AD157">
        <v>0</v>
      </c>
      <c r="AE157">
        <v>9</v>
      </c>
      <c r="AF157">
        <v>0</v>
      </c>
      <c r="AG157">
        <f>IF(tbl_HR_Data[[#This Row],[Gender]]="Male",1,0)</f>
        <v>1</v>
      </c>
      <c r="AH157" cm="1">
        <f t="array" ref="AH157">_xlfn.SWITCH(tbl_HR_Data[[#This Row],[BusinessTravel]], "Non-Travel", 0, "Travel_Rarely", 1, "Travel_Frequently", 2)</f>
        <v>0</v>
      </c>
      <c r="AI157" cm="1">
        <f t="array" ref="AI157">_xlfn.SWITCH(tbl_HR_Data[[#This Row],[MaritalStatus]],"Single",0,"Married",1,"Divorced",2)</f>
        <v>1</v>
      </c>
      <c r="AJ157">
        <f>IF(tbl_HR_Data[[#This Row],[OverTime]]=1,1,0)</f>
        <v>0</v>
      </c>
      <c r="AK157">
        <f>IF(tbl_HR_Data[[#This Row],[DistanceFromHome]]&gt;15,1,0)</f>
        <v>0</v>
      </c>
      <c r="AL157">
        <f>IF(tbl_HR_Data[[#This Row],[JobSatisfaction]]&lt;=2,1,0)</f>
        <v>0</v>
      </c>
      <c r="AM157">
        <f>IF(tbl_HR_Data[[#This Row],[MonthlyIncome]]&lt;$AT$2,1,0)</f>
        <v>1</v>
      </c>
      <c r="AN157">
        <f>IF(tbl_HR_Data[[#This Row],[Travel_Code]]=2,1,0)</f>
        <v>0</v>
      </c>
      <c r="AO157">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57" s="15">
        <f>tbl_HR_Data[[#This Row],[Risk_Score_Raw]] / SUM(Logic_Parameters!$B$2:$B$6)</f>
        <v>0.22374939857982484</v>
      </c>
      <c r="AQ157" s="16" t="str" cm="1">
        <f t="array" ref="AQ157">_xlfn.IFS(tbl_HR_Data[[#This Row],[Attrition_Risk_Percentage]] &gt;= 0.75, "Critical",tbl_HR_Data[ [#This Row],[Attrition_Risk_Percentage] ]&gt;= 0.5, "High",tbl_HR_Data[[#This Row],[Attrition_Risk_Percentage]] &gt;= 0.25, "Medium",TRUE, "Low")</f>
        <v>Low</v>
      </c>
      <c r="AR157" s="16" cm="1">
        <f t="array" ref="AR157">IFERROR(_xlfn.IFS(tbl_HR_Data[[#This Row],[Risk_Category]]="Critical",tbl_HR_Data[[#This Row],[MonthlyIncome]]*1.5,tbl_HR_Data[[#This Row],[Risk_Category]]="High",tbl_HR_Data[[#This Row],[MonthlyIncome]]*1.5),0)</f>
        <v>0</v>
      </c>
    </row>
    <row r="158" spans="1:44" x14ac:dyDescent="0.35">
      <c r="A158" t="s">
        <v>328</v>
      </c>
      <c r="B158">
        <v>51</v>
      </c>
      <c r="C158" t="s">
        <v>31</v>
      </c>
      <c r="D158">
        <v>1169</v>
      </c>
      <c r="E158" t="s">
        <v>38</v>
      </c>
      <c r="F158">
        <v>7</v>
      </c>
      <c r="G158">
        <v>4</v>
      </c>
      <c r="H158" t="s">
        <v>44</v>
      </c>
      <c r="I158">
        <v>2</v>
      </c>
      <c r="J158" t="s">
        <v>39</v>
      </c>
      <c r="K158">
        <v>34</v>
      </c>
      <c r="L158">
        <v>2</v>
      </c>
      <c r="M158">
        <v>2</v>
      </c>
      <c r="N158" t="s">
        <v>46</v>
      </c>
      <c r="O158">
        <v>3</v>
      </c>
      <c r="P158" t="s">
        <v>41</v>
      </c>
      <c r="Q158">
        <v>6132</v>
      </c>
      <c r="R158">
        <v>13983</v>
      </c>
      <c r="S158">
        <v>2</v>
      </c>
      <c r="T158">
        <v>0</v>
      </c>
      <c r="U158" s="17">
        <v>0.17</v>
      </c>
      <c r="V158">
        <v>3</v>
      </c>
      <c r="W158">
        <v>3</v>
      </c>
      <c r="X158">
        <v>0</v>
      </c>
      <c r="Y158">
        <v>10</v>
      </c>
      <c r="Z158">
        <v>2</v>
      </c>
      <c r="AA158">
        <v>3</v>
      </c>
      <c r="AB158">
        <v>1</v>
      </c>
      <c r="AC158">
        <v>0</v>
      </c>
      <c r="AD158">
        <v>0</v>
      </c>
      <c r="AE158">
        <v>0</v>
      </c>
      <c r="AF158">
        <v>0</v>
      </c>
      <c r="AG158">
        <f>IF(tbl_HR_Data[[#This Row],[Gender]]="Male",1,0)</f>
        <v>1</v>
      </c>
      <c r="AH158" cm="1">
        <f t="array" ref="AH158">_xlfn.SWITCH(tbl_HR_Data[[#This Row],[BusinessTravel]], "Non-Travel", 0, "Travel_Rarely", 1, "Travel_Frequently", 2)</f>
        <v>1</v>
      </c>
      <c r="AI158" cm="1">
        <f t="array" ref="AI158">_xlfn.SWITCH(tbl_HR_Data[[#This Row],[MaritalStatus]],"Single",0,"Married",1,"Divorced",2)</f>
        <v>1</v>
      </c>
      <c r="AJ158">
        <f>IF(tbl_HR_Data[[#This Row],[OverTime]]=1,1,0)</f>
        <v>0</v>
      </c>
      <c r="AK158">
        <f>IF(tbl_HR_Data[[#This Row],[DistanceFromHome]]&gt;15,1,0)</f>
        <v>0</v>
      </c>
      <c r="AL158">
        <f>IF(tbl_HR_Data[[#This Row],[JobSatisfaction]]&lt;=2,1,0)</f>
        <v>0</v>
      </c>
      <c r="AM158">
        <f>IF(tbl_HR_Data[[#This Row],[MonthlyIncome]]&lt;$AT$2,1,0)</f>
        <v>0</v>
      </c>
      <c r="AN158">
        <f>IF(tbl_HR_Data[[#This Row],[Travel_Code]]=2,1,0)</f>
        <v>0</v>
      </c>
      <c r="AO158">
        <f>(tbl_HR_Data[[#This Row],[Flag_OT]] * Logic_Parameters!$B$2) +
 (tbl_HR_Data[[#This Row],[Flag_Travel]] * Logic_Parameters!$B$3) +
 (tbl_HR_Data[[#This Row],[Flag_Satisfaction]] * Logic_Parameters!$B$4) +
 (tbl_HR_Data[[#This Row],[Flag_Distance]]* Logic_Parameters!$B$5) +
 (tbl_HR_Data[[#This Row],[Flag_Income]] * Logic_Parameters!$B$6)</f>
        <v>0</v>
      </c>
      <c r="AP158" s="15">
        <f>tbl_HR_Data[[#This Row],[Risk_Score_Raw]] / SUM(Logic_Parameters!$B$2:$B$6)</f>
        <v>0</v>
      </c>
      <c r="AQ158" s="16" t="str" cm="1">
        <f t="array" ref="AQ158">_xlfn.IFS(tbl_HR_Data[[#This Row],[Attrition_Risk_Percentage]] &gt;= 0.75, "Critical",tbl_HR_Data[ [#This Row],[Attrition_Risk_Percentage] ]&gt;= 0.5, "High",tbl_HR_Data[[#This Row],[Attrition_Risk_Percentage]] &gt;= 0.25, "Medium",TRUE, "Low")</f>
        <v>Low</v>
      </c>
      <c r="AR158" s="16" cm="1">
        <f t="array" ref="AR158">IFERROR(_xlfn.IFS(tbl_HR_Data[[#This Row],[Risk_Category]]="Critical",tbl_HR_Data[[#This Row],[MonthlyIncome]]*1.5,tbl_HR_Data[[#This Row],[Risk_Category]]="High",tbl_HR_Data[[#This Row],[MonthlyIncome]]*1.5),0)</f>
        <v>0</v>
      </c>
    </row>
    <row r="159" spans="1:44" x14ac:dyDescent="0.35">
      <c r="A159" t="s">
        <v>1158</v>
      </c>
      <c r="B159">
        <v>58</v>
      </c>
      <c r="C159" t="s">
        <v>31</v>
      </c>
      <c r="D159">
        <v>1145</v>
      </c>
      <c r="E159" t="s">
        <v>38</v>
      </c>
      <c r="F159">
        <v>9</v>
      </c>
      <c r="G159">
        <v>3</v>
      </c>
      <c r="H159" t="s">
        <v>44</v>
      </c>
      <c r="I159">
        <v>2</v>
      </c>
      <c r="J159" t="s">
        <v>34</v>
      </c>
      <c r="K159">
        <v>75</v>
      </c>
      <c r="L159">
        <v>2</v>
      </c>
      <c r="M159">
        <v>1</v>
      </c>
      <c r="N159" t="s">
        <v>40</v>
      </c>
      <c r="O159">
        <v>2</v>
      </c>
      <c r="P159" t="s">
        <v>41</v>
      </c>
      <c r="Q159">
        <v>3346</v>
      </c>
      <c r="R159">
        <v>11873</v>
      </c>
      <c r="S159">
        <v>4</v>
      </c>
      <c r="T159">
        <v>1</v>
      </c>
      <c r="U159" s="17">
        <v>0.2</v>
      </c>
      <c r="V159">
        <v>4</v>
      </c>
      <c r="W159">
        <v>2</v>
      </c>
      <c r="X159">
        <v>1</v>
      </c>
      <c r="Y159">
        <v>9</v>
      </c>
      <c r="Z159">
        <v>3</v>
      </c>
      <c r="AA159">
        <v>2</v>
      </c>
      <c r="AB159">
        <v>1</v>
      </c>
      <c r="AC159">
        <v>0</v>
      </c>
      <c r="AD159">
        <v>0</v>
      </c>
      <c r="AE159">
        <v>0</v>
      </c>
      <c r="AF159">
        <v>0</v>
      </c>
      <c r="AG159">
        <f>IF(tbl_HR_Data[[#This Row],[Gender]]="Male",1,0)</f>
        <v>0</v>
      </c>
      <c r="AH159" cm="1">
        <f t="array" ref="AH159">_xlfn.SWITCH(tbl_HR_Data[[#This Row],[BusinessTravel]], "Non-Travel", 0, "Travel_Rarely", 1, "Travel_Frequently", 2)</f>
        <v>1</v>
      </c>
      <c r="AI159" cm="1">
        <f t="array" ref="AI159">_xlfn.SWITCH(tbl_HR_Data[[#This Row],[MaritalStatus]],"Single",0,"Married",1,"Divorced",2)</f>
        <v>1</v>
      </c>
      <c r="AJ159">
        <f>IF(tbl_HR_Data[[#This Row],[OverTime]]=1,1,0)</f>
        <v>1</v>
      </c>
      <c r="AK159">
        <f>IF(tbl_HR_Data[[#This Row],[DistanceFromHome]]&gt;15,1,0)</f>
        <v>0</v>
      </c>
      <c r="AL159">
        <f>IF(tbl_HR_Data[[#This Row],[JobSatisfaction]]&lt;=2,1,0)</f>
        <v>1</v>
      </c>
      <c r="AM159">
        <f>IF(tbl_HR_Data[[#This Row],[MonthlyIncome]]&lt;$AT$2,1,0)</f>
        <v>1</v>
      </c>
      <c r="AN159">
        <f>IF(tbl_HR_Data[[#This Row],[Travel_Code]]=2,1,0)</f>
        <v>0</v>
      </c>
      <c r="AO159">
        <f>(tbl_HR_Data[[#This Row],[Flag_OT]] * Logic_Parameters!$B$2) +
 (tbl_HR_Data[[#This Row],[Flag_Travel]] * Logic_Parameters!$B$3) +
 (tbl_HR_Data[[#This Row],[Flag_Satisfaction]] * Logic_Parameters!$B$4) +
 (tbl_HR_Data[[#This Row],[Flag_Distance]]* Logic_Parameters!$B$5) +
 (tbl_HR_Data[[#This Row],[Flag_Income]] * Logic_Parameters!$B$6)</f>
        <v>20.698962067398959</v>
      </c>
      <c r="AP159" s="15">
        <f>tbl_HR_Data[[#This Row],[Risk_Score_Raw]] / SUM(Logic_Parameters!$B$2:$B$6)</f>
        <v>0.71313126349280109</v>
      </c>
      <c r="AQ159" s="16" t="str" cm="1">
        <f t="array" ref="AQ159">_xlfn.IFS(tbl_HR_Data[[#This Row],[Attrition_Risk_Percentage]] &gt;= 0.75, "Critical",tbl_HR_Data[ [#This Row],[Attrition_Risk_Percentage] ]&gt;= 0.5, "High",tbl_HR_Data[[#This Row],[Attrition_Risk_Percentage]] &gt;= 0.25, "Medium",TRUE, "Low")</f>
        <v>High</v>
      </c>
      <c r="AR159" s="16" cm="1">
        <f t="array" ref="AR159">IFERROR(_xlfn.IFS(tbl_HR_Data[[#This Row],[Risk_Category]]="Critical",tbl_HR_Data[[#This Row],[MonthlyIncome]]*1.5,tbl_HR_Data[[#This Row],[Risk_Category]]="High",tbl_HR_Data[[#This Row],[MonthlyIncome]]*1.5),0)</f>
        <v>5019</v>
      </c>
    </row>
    <row r="160" spans="1:44" x14ac:dyDescent="0.35">
      <c r="A160" t="s">
        <v>1309</v>
      </c>
      <c r="B160">
        <v>40</v>
      </c>
      <c r="C160" t="s">
        <v>31</v>
      </c>
      <c r="D160">
        <v>630</v>
      </c>
      <c r="E160" t="s">
        <v>32</v>
      </c>
      <c r="F160">
        <v>4</v>
      </c>
      <c r="G160">
        <v>4</v>
      </c>
      <c r="H160" t="s">
        <v>51</v>
      </c>
      <c r="I160">
        <v>3</v>
      </c>
      <c r="J160" t="s">
        <v>39</v>
      </c>
      <c r="K160">
        <v>67</v>
      </c>
      <c r="L160">
        <v>2</v>
      </c>
      <c r="M160">
        <v>3</v>
      </c>
      <c r="N160" t="s">
        <v>35</v>
      </c>
      <c r="O160">
        <v>4</v>
      </c>
      <c r="P160" t="s">
        <v>41</v>
      </c>
      <c r="Q160">
        <v>10855</v>
      </c>
      <c r="R160">
        <v>8552</v>
      </c>
      <c r="S160">
        <v>7</v>
      </c>
      <c r="T160">
        <v>0</v>
      </c>
      <c r="U160" s="17">
        <v>0.11</v>
      </c>
      <c r="V160">
        <v>3</v>
      </c>
      <c r="W160">
        <v>1</v>
      </c>
      <c r="X160">
        <v>1</v>
      </c>
      <c r="Y160">
        <v>15</v>
      </c>
      <c r="Z160">
        <v>2</v>
      </c>
      <c r="AA160">
        <v>2</v>
      </c>
      <c r="AB160">
        <v>12</v>
      </c>
      <c r="AC160">
        <v>11</v>
      </c>
      <c r="AD160">
        <v>2</v>
      </c>
      <c r="AE160">
        <v>11</v>
      </c>
      <c r="AF160">
        <v>0</v>
      </c>
      <c r="AG160">
        <f>IF(tbl_HR_Data[[#This Row],[Gender]]="Male",1,0)</f>
        <v>1</v>
      </c>
      <c r="AH160" cm="1">
        <f t="array" ref="AH160">_xlfn.SWITCH(tbl_HR_Data[[#This Row],[BusinessTravel]], "Non-Travel", 0, "Travel_Rarely", 1, "Travel_Frequently", 2)</f>
        <v>1</v>
      </c>
      <c r="AI160" cm="1">
        <f t="array" ref="AI160">_xlfn.SWITCH(tbl_HR_Data[[#This Row],[MaritalStatus]],"Single",0,"Married",1,"Divorced",2)</f>
        <v>1</v>
      </c>
      <c r="AJ160">
        <f>IF(tbl_HR_Data[[#This Row],[OverTime]]=1,1,0)</f>
        <v>0</v>
      </c>
      <c r="AK160">
        <f>IF(tbl_HR_Data[[#This Row],[DistanceFromHome]]&gt;15,1,0)</f>
        <v>0</v>
      </c>
      <c r="AL160">
        <f>IF(tbl_HR_Data[[#This Row],[JobSatisfaction]]&lt;=2,1,0)</f>
        <v>0</v>
      </c>
      <c r="AM160">
        <f>IF(tbl_HR_Data[[#This Row],[MonthlyIncome]]&lt;$AT$2,1,0)</f>
        <v>0</v>
      </c>
      <c r="AN160">
        <f>IF(tbl_HR_Data[[#This Row],[Travel_Code]]=2,1,0)</f>
        <v>0</v>
      </c>
      <c r="AO160">
        <f>(tbl_HR_Data[[#This Row],[Flag_OT]] * Logic_Parameters!$B$2) +
 (tbl_HR_Data[[#This Row],[Flag_Travel]] * Logic_Parameters!$B$3) +
 (tbl_HR_Data[[#This Row],[Flag_Satisfaction]] * Logic_Parameters!$B$4) +
 (tbl_HR_Data[[#This Row],[Flag_Distance]]* Logic_Parameters!$B$5) +
 (tbl_HR_Data[[#This Row],[Flag_Income]] * Logic_Parameters!$B$6)</f>
        <v>0</v>
      </c>
      <c r="AP160" s="15">
        <f>tbl_HR_Data[[#This Row],[Risk_Score_Raw]] / SUM(Logic_Parameters!$B$2:$B$6)</f>
        <v>0</v>
      </c>
      <c r="AQ160" s="16" t="str" cm="1">
        <f t="array" ref="AQ160">_xlfn.IFS(tbl_HR_Data[[#This Row],[Attrition_Risk_Percentage]] &gt;= 0.75, "Critical",tbl_HR_Data[ [#This Row],[Attrition_Risk_Percentage] ]&gt;= 0.5, "High",tbl_HR_Data[[#This Row],[Attrition_Risk_Percentage]] &gt;= 0.25, "Medium",TRUE, "Low")</f>
        <v>Low</v>
      </c>
      <c r="AR160" s="16" cm="1">
        <f t="array" ref="AR160">IFERROR(_xlfn.IFS(tbl_HR_Data[[#This Row],[Risk_Category]]="Critical",tbl_HR_Data[[#This Row],[MonthlyIncome]]*1.5,tbl_HR_Data[[#This Row],[Risk_Category]]="High",tbl_HR_Data[[#This Row],[MonthlyIncome]]*1.5),0)</f>
        <v>0</v>
      </c>
    </row>
    <row r="161" spans="1:44" x14ac:dyDescent="0.35">
      <c r="A161" t="s">
        <v>852</v>
      </c>
      <c r="B161">
        <v>34</v>
      </c>
      <c r="C161" t="s">
        <v>37</v>
      </c>
      <c r="D161">
        <v>303</v>
      </c>
      <c r="E161" t="s">
        <v>32</v>
      </c>
      <c r="F161">
        <v>2</v>
      </c>
      <c r="G161">
        <v>4</v>
      </c>
      <c r="H161" t="s">
        <v>51</v>
      </c>
      <c r="I161">
        <v>3</v>
      </c>
      <c r="J161" t="s">
        <v>34</v>
      </c>
      <c r="K161">
        <v>75</v>
      </c>
      <c r="L161">
        <v>3</v>
      </c>
      <c r="M161">
        <v>1</v>
      </c>
      <c r="N161" t="s">
        <v>49</v>
      </c>
      <c r="O161">
        <v>3</v>
      </c>
      <c r="P161" t="s">
        <v>41</v>
      </c>
      <c r="Q161">
        <v>2231</v>
      </c>
      <c r="R161">
        <v>11314</v>
      </c>
      <c r="S161">
        <v>6</v>
      </c>
      <c r="T161">
        <v>0</v>
      </c>
      <c r="U161" s="17">
        <v>0.18</v>
      </c>
      <c r="V161">
        <v>3</v>
      </c>
      <c r="W161">
        <v>4</v>
      </c>
      <c r="X161">
        <v>1</v>
      </c>
      <c r="Y161">
        <v>6</v>
      </c>
      <c r="Z161">
        <v>3</v>
      </c>
      <c r="AA161">
        <v>3</v>
      </c>
      <c r="AB161">
        <v>4</v>
      </c>
      <c r="AC161">
        <v>3</v>
      </c>
      <c r="AD161">
        <v>1</v>
      </c>
      <c r="AE161">
        <v>2</v>
      </c>
      <c r="AF161">
        <v>0</v>
      </c>
      <c r="AG161">
        <f>IF(tbl_HR_Data[[#This Row],[Gender]]="Male",1,0)</f>
        <v>0</v>
      </c>
      <c r="AH161" cm="1">
        <f t="array" ref="AH161">_xlfn.SWITCH(tbl_HR_Data[[#This Row],[BusinessTravel]], "Non-Travel", 0, "Travel_Rarely", 1, "Travel_Frequently", 2)</f>
        <v>2</v>
      </c>
      <c r="AI161" cm="1">
        <f t="array" ref="AI161">_xlfn.SWITCH(tbl_HR_Data[[#This Row],[MaritalStatus]],"Single",0,"Married",1,"Divorced",2)</f>
        <v>1</v>
      </c>
      <c r="AJ161">
        <f>IF(tbl_HR_Data[[#This Row],[OverTime]]=1,1,0)</f>
        <v>0</v>
      </c>
      <c r="AK161">
        <f>IF(tbl_HR_Data[[#This Row],[DistanceFromHome]]&gt;15,1,0)</f>
        <v>0</v>
      </c>
      <c r="AL161">
        <f>IF(tbl_HR_Data[[#This Row],[JobSatisfaction]]&lt;=2,1,0)</f>
        <v>0</v>
      </c>
      <c r="AM161">
        <f>IF(tbl_HR_Data[[#This Row],[MonthlyIncome]]&lt;$AT$2,1,0)</f>
        <v>1</v>
      </c>
      <c r="AN161">
        <f>IF(tbl_HR_Data[[#This Row],[Travel_Code]]=2,1,0)</f>
        <v>1</v>
      </c>
      <c r="AO161">
        <f>(tbl_HR_Data[[#This Row],[Flag_OT]] * Logic_Parameters!$B$2) +
 (tbl_HR_Data[[#This Row],[Flag_Travel]] * Logic_Parameters!$B$3) +
 (tbl_HR_Data[[#This Row],[Flag_Satisfaction]] * Logic_Parameters!$B$4) +
 (tbl_HR_Data[[#This Row],[Flag_Distance]]* Logic_Parameters!$B$5) +
 (tbl_HR_Data[[#This Row],[Flag_Income]] * Logic_Parameters!$B$6)</f>
        <v>11.654818917911005</v>
      </c>
      <c r="AP161" s="15">
        <f>tbl_HR_Data[[#This Row],[Risk_Score_Raw]] / SUM(Logic_Parameters!$B$2:$B$6)</f>
        <v>0.40153780240992015</v>
      </c>
      <c r="AQ161" s="16" t="str" cm="1">
        <f t="array" ref="AQ161">_xlfn.IFS(tbl_HR_Data[[#This Row],[Attrition_Risk_Percentage]] &gt;= 0.75, "Critical",tbl_HR_Data[ [#This Row],[Attrition_Risk_Percentage] ]&gt;= 0.5, "High",tbl_HR_Data[[#This Row],[Attrition_Risk_Percentage]] &gt;= 0.25, "Medium",TRUE, "Low")</f>
        <v>Medium</v>
      </c>
      <c r="AR161" s="16" cm="1">
        <f t="array" ref="AR161">IFERROR(_xlfn.IFS(tbl_HR_Data[[#This Row],[Risk_Category]]="Critical",tbl_HR_Data[[#This Row],[MonthlyIncome]]*1.5,tbl_HR_Data[[#This Row],[Risk_Category]]="High",tbl_HR_Data[[#This Row],[MonthlyIncome]]*1.5),0)</f>
        <v>0</v>
      </c>
    </row>
    <row r="162" spans="1:44" x14ac:dyDescent="0.35">
      <c r="A162" t="s">
        <v>115</v>
      </c>
      <c r="B162">
        <v>22</v>
      </c>
      <c r="C162" t="s">
        <v>31</v>
      </c>
      <c r="D162">
        <v>1256</v>
      </c>
      <c r="E162" t="s">
        <v>38</v>
      </c>
      <c r="F162">
        <v>19</v>
      </c>
      <c r="G162">
        <v>1</v>
      </c>
      <c r="H162" t="s">
        <v>44</v>
      </c>
      <c r="I162">
        <v>3</v>
      </c>
      <c r="J162" t="s">
        <v>39</v>
      </c>
      <c r="K162">
        <v>80</v>
      </c>
      <c r="L162">
        <v>3</v>
      </c>
      <c r="M162">
        <v>1</v>
      </c>
      <c r="N162" t="s">
        <v>40</v>
      </c>
      <c r="O162">
        <v>4</v>
      </c>
      <c r="P162" t="s">
        <v>41</v>
      </c>
      <c r="Q162">
        <v>2323</v>
      </c>
      <c r="R162">
        <v>11992</v>
      </c>
      <c r="S162">
        <v>1</v>
      </c>
      <c r="T162">
        <v>0</v>
      </c>
      <c r="U162" s="17">
        <v>0.24</v>
      </c>
      <c r="V162">
        <v>4</v>
      </c>
      <c r="W162">
        <v>1</v>
      </c>
      <c r="X162">
        <v>2</v>
      </c>
      <c r="Y162">
        <v>2</v>
      </c>
      <c r="Z162">
        <v>6</v>
      </c>
      <c r="AA162">
        <v>3</v>
      </c>
      <c r="AB162">
        <v>2</v>
      </c>
      <c r="AC162">
        <v>2</v>
      </c>
      <c r="AD162">
        <v>2</v>
      </c>
      <c r="AE162">
        <v>2</v>
      </c>
      <c r="AF162">
        <v>0</v>
      </c>
      <c r="AG162">
        <f>IF(tbl_HR_Data[[#This Row],[Gender]]="Male",1,0)</f>
        <v>1</v>
      </c>
      <c r="AH162" cm="1">
        <f t="array" ref="AH162">_xlfn.SWITCH(tbl_HR_Data[[#This Row],[BusinessTravel]], "Non-Travel", 0, "Travel_Rarely", 1, "Travel_Frequently", 2)</f>
        <v>1</v>
      </c>
      <c r="AI162" cm="1">
        <f t="array" ref="AI162">_xlfn.SWITCH(tbl_HR_Data[[#This Row],[MaritalStatus]],"Single",0,"Married",1,"Divorced",2)</f>
        <v>1</v>
      </c>
      <c r="AJ162">
        <f>IF(tbl_HR_Data[[#This Row],[OverTime]]=1,1,0)</f>
        <v>0</v>
      </c>
      <c r="AK162">
        <f>IF(tbl_HR_Data[[#This Row],[DistanceFromHome]]&gt;15,1,0)</f>
        <v>1</v>
      </c>
      <c r="AL162">
        <f>IF(tbl_HR_Data[[#This Row],[JobSatisfaction]]&lt;=2,1,0)</f>
        <v>0</v>
      </c>
      <c r="AM162">
        <f>IF(tbl_HR_Data[[#This Row],[MonthlyIncome]]&lt;$AT$2,1,0)</f>
        <v>1</v>
      </c>
      <c r="AN162">
        <f>IF(tbl_HR_Data[[#This Row],[Travel_Code]]=2,1,0)</f>
        <v>0</v>
      </c>
      <c r="AO162">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162" s="15">
        <f>tbl_HR_Data[[#This Row],[Risk_Score_Raw]] / SUM(Logic_Parameters!$B$2:$B$6)</f>
        <v>0.33282973125692844</v>
      </c>
      <c r="AQ162" s="16" t="str" cm="1">
        <f t="array" ref="AQ162">_xlfn.IFS(tbl_HR_Data[[#This Row],[Attrition_Risk_Percentage]] &gt;= 0.75, "Critical",tbl_HR_Data[ [#This Row],[Attrition_Risk_Percentage] ]&gt;= 0.5, "High",tbl_HR_Data[[#This Row],[Attrition_Risk_Percentage]] &gt;= 0.25, "Medium",TRUE, "Low")</f>
        <v>Medium</v>
      </c>
      <c r="AR162" s="16" cm="1">
        <f t="array" ref="AR162">IFERROR(_xlfn.IFS(tbl_HR_Data[[#This Row],[Risk_Category]]="Critical",tbl_HR_Data[[#This Row],[MonthlyIncome]]*1.5,tbl_HR_Data[[#This Row],[Risk_Category]]="High",tbl_HR_Data[[#This Row],[MonthlyIncome]]*1.5),0)</f>
        <v>0</v>
      </c>
    </row>
    <row r="163" spans="1:44" x14ac:dyDescent="0.35">
      <c r="A163" t="s">
        <v>125</v>
      </c>
      <c r="B163">
        <v>27</v>
      </c>
      <c r="C163" t="s">
        <v>1525</v>
      </c>
      <c r="D163">
        <v>691</v>
      </c>
      <c r="E163" t="s">
        <v>38</v>
      </c>
      <c r="F163">
        <v>9</v>
      </c>
      <c r="G163">
        <v>3</v>
      </c>
      <c r="H163" t="s">
        <v>44</v>
      </c>
      <c r="I163">
        <v>4</v>
      </c>
      <c r="J163" t="s">
        <v>39</v>
      </c>
      <c r="K163">
        <v>57</v>
      </c>
      <c r="L163">
        <v>3</v>
      </c>
      <c r="M163">
        <v>1</v>
      </c>
      <c r="N163" t="s">
        <v>40</v>
      </c>
      <c r="O163">
        <v>2</v>
      </c>
      <c r="P163" t="s">
        <v>45</v>
      </c>
      <c r="Q163">
        <v>2024</v>
      </c>
      <c r="R163">
        <v>5970</v>
      </c>
      <c r="S163">
        <v>6</v>
      </c>
      <c r="T163">
        <v>0</v>
      </c>
      <c r="U163" s="17">
        <v>0.18</v>
      </c>
      <c r="V163">
        <v>3</v>
      </c>
      <c r="W163">
        <v>4</v>
      </c>
      <c r="X163">
        <v>1</v>
      </c>
      <c r="Y163">
        <v>6</v>
      </c>
      <c r="Z163">
        <v>1</v>
      </c>
      <c r="AA163">
        <v>1</v>
      </c>
      <c r="AB163">
        <v>2</v>
      </c>
      <c r="AC163">
        <v>2</v>
      </c>
      <c r="AD163">
        <v>2</v>
      </c>
      <c r="AE163">
        <v>2</v>
      </c>
      <c r="AF163">
        <v>0</v>
      </c>
      <c r="AG163">
        <f>IF(tbl_HR_Data[[#This Row],[Gender]]="Male",1,0)</f>
        <v>1</v>
      </c>
      <c r="AH163" cm="1">
        <f t="array" ref="AH163">_xlfn.SWITCH(tbl_HR_Data[[#This Row],[BusinessTravel]], "Non-Travel", 0, "Travel_Rarely", 1, "Travel_Frequently", 2)</f>
        <v>0</v>
      </c>
      <c r="AI163" cm="1">
        <f t="array" ref="AI163">_xlfn.SWITCH(tbl_HR_Data[[#This Row],[MaritalStatus]],"Single",0,"Married",1,"Divorced",2)</f>
        <v>2</v>
      </c>
      <c r="AJ163">
        <f>IF(tbl_HR_Data[[#This Row],[OverTime]]=1,1,0)</f>
        <v>0</v>
      </c>
      <c r="AK163">
        <f>IF(tbl_HR_Data[[#This Row],[DistanceFromHome]]&gt;15,1,0)</f>
        <v>0</v>
      </c>
      <c r="AL163">
        <f>IF(tbl_HR_Data[[#This Row],[JobSatisfaction]]&lt;=2,1,0)</f>
        <v>1</v>
      </c>
      <c r="AM163">
        <f>IF(tbl_HR_Data[[#This Row],[MonthlyIncome]]&lt;$AT$2,1,0)</f>
        <v>1</v>
      </c>
      <c r="AN163">
        <f>IF(tbl_HR_Data[[#This Row],[Travel_Code]]=2,1,0)</f>
        <v>0</v>
      </c>
      <c r="AO163">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63" s="15">
        <f>tbl_HR_Data[[#This Row],[Risk_Score_Raw]] / SUM(Logic_Parameters!$B$2:$B$6)</f>
        <v>0.3686061316669938</v>
      </c>
      <c r="AQ163" s="16" t="str" cm="1">
        <f t="array" ref="AQ163">_xlfn.IFS(tbl_HR_Data[[#This Row],[Attrition_Risk_Percentage]] &gt;= 0.75, "Critical",tbl_HR_Data[ [#This Row],[Attrition_Risk_Percentage] ]&gt;= 0.5, "High",tbl_HR_Data[[#This Row],[Attrition_Risk_Percentage]] &gt;= 0.25, "Medium",TRUE, "Low")</f>
        <v>Medium</v>
      </c>
      <c r="AR163" s="16" cm="1">
        <f t="array" ref="AR163">IFERROR(_xlfn.IFS(tbl_HR_Data[[#This Row],[Risk_Category]]="Critical",tbl_HR_Data[[#This Row],[MonthlyIncome]]*1.5,tbl_HR_Data[[#This Row],[Risk_Category]]="High",tbl_HR_Data[[#This Row],[MonthlyIncome]]*1.5),0)</f>
        <v>0</v>
      </c>
    </row>
    <row r="164" spans="1:44" x14ac:dyDescent="0.35">
      <c r="A164" t="s">
        <v>313</v>
      </c>
      <c r="B164">
        <v>28</v>
      </c>
      <c r="C164" t="s">
        <v>31</v>
      </c>
      <c r="D164">
        <v>440</v>
      </c>
      <c r="E164" t="s">
        <v>38</v>
      </c>
      <c r="F164">
        <v>21</v>
      </c>
      <c r="G164">
        <v>3</v>
      </c>
      <c r="H164" t="s">
        <v>44</v>
      </c>
      <c r="I164">
        <v>3</v>
      </c>
      <c r="J164" t="s">
        <v>39</v>
      </c>
      <c r="K164">
        <v>42</v>
      </c>
      <c r="L164">
        <v>3</v>
      </c>
      <c r="M164">
        <v>1</v>
      </c>
      <c r="N164" t="s">
        <v>40</v>
      </c>
      <c r="O164">
        <v>4</v>
      </c>
      <c r="P164" t="s">
        <v>41</v>
      </c>
      <c r="Q164">
        <v>2713</v>
      </c>
      <c r="R164">
        <v>6672</v>
      </c>
      <c r="S164">
        <v>1</v>
      </c>
      <c r="T164">
        <v>0</v>
      </c>
      <c r="U164" s="17">
        <v>0.11</v>
      </c>
      <c r="V164">
        <v>3</v>
      </c>
      <c r="W164">
        <v>3</v>
      </c>
      <c r="X164">
        <v>1</v>
      </c>
      <c r="Y164">
        <v>5</v>
      </c>
      <c r="Z164">
        <v>2</v>
      </c>
      <c r="AA164">
        <v>1</v>
      </c>
      <c r="AB164">
        <v>5</v>
      </c>
      <c r="AC164">
        <v>2</v>
      </c>
      <c r="AD164">
        <v>0</v>
      </c>
      <c r="AE164">
        <v>2</v>
      </c>
      <c r="AF164">
        <v>0</v>
      </c>
      <c r="AG164">
        <f>IF(tbl_HR_Data[[#This Row],[Gender]]="Male",1,0)</f>
        <v>1</v>
      </c>
      <c r="AH164" cm="1">
        <f t="array" ref="AH164">_xlfn.SWITCH(tbl_HR_Data[[#This Row],[BusinessTravel]], "Non-Travel", 0, "Travel_Rarely", 1, "Travel_Frequently", 2)</f>
        <v>1</v>
      </c>
      <c r="AI164" cm="1">
        <f t="array" ref="AI164">_xlfn.SWITCH(tbl_HR_Data[[#This Row],[MaritalStatus]],"Single",0,"Married",1,"Divorced",2)</f>
        <v>1</v>
      </c>
      <c r="AJ164">
        <f>IF(tbl_HR_Data[[#This Row],[OverTime]]=1,1,0)</f>
        <v>0</v>
      </c>
      <c r="AK164">
        <f>IF(tbl_HR_Data[[#This Row],[DistanceFromHome]]&gt;15,1,0)</f>
        <v>1</v>
      </c>
      <c r="AL164">
        <f>IF(tbl_HR_Data[[#This Row],[JobSatisfaction]]&lt;=2,1,0)</f>
        <v>0</v>
      </c>
      <c r="AM164">
        <f>IF(tbl_HR_Data[[#This Row],[MonthlyIncome]]&lt;$AT$2,1,0)</f>
        <v>1</v>
      </c>
      <c r="AN164">
        <f>IF(tbl_HR_Data[[#This Row],[Travel_Code]]=2,1,0)</f>
        <v>0</v>
      </c>
      <c r="AO164">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164" s="15">
        <f>tbl_HR_Data[[#This Row],[Risk_Score_Raw]] / SUM(Logic_Parameters!$B$2:$B$6)</f>
        <v>0.33282973125692844</v>
      </c>
      <c r="AQ164" s="16" t="str" cm="1">
        <f t="array" ref="AQ164">_xlfn.IFS(tbl_HR_Data[[#This Row],[Attrition_Risk_Percentage]] &gt;= 0.75, "Critical",tbl_HR_Data[ [#This Row],[Attrition_Risk_Percentage] ]&gt;= 0.5, "High",tbl_HR_Data[[#This Row],[Attrition_Risk_Percentage]] &gt;= 0.25, "Medium",TRUE, "Low")</f>
        <v>Medium</v>
      </c>
      <c r="AR164" s="16" cm="1">
        <f t="array" ref="AR164">IFERROR(_xlfn.IFS(tbl_HR_Data[[#This Row],[Risk_Category]]="Critical",tbl_HR_Data[[#This Row],[MonthlyIncome]]*1.5,tbl_HR_Data[[#This Row],[Risk_Category]]="High",tbl_HR_Data[[#This Row],[MonthlyIncome]]*1.5),0)</f>
        <v>0</v>
      </c>
    </row>
    <row r="165" spans="1:44" x14ac:dyDescent="0.35">
      <c r="A165" t="s">
        <v>1425</v>
      </c>
      <c r="B165">
        <v>57</v>
      </c>
      <c r="C165" t="s">
        <v>31</v>
      </c>
      <c r="D165">
        <v>334</v>
      </c>
      <c r="E165" t="s">
        <v>38</v>
      </c>
      <c r="F165">
        <v>24</v>
      </c>
      <c r="G165">
        <v>2</v>
      </c>
      <c r="H165" t="s">
        <v>33</v>
      </c>
      <c r="I165">
        <v>3</v>
      </c>
      <c r="J165" t="s">
        <v>39</v>
      </c>
      <c r="K165">
        <v>83</v>
      </c>
      <c r="L165">
        <v>4</v>
      </c>
      <c r="M165">
        <v>3</v>
      </c>
      <c r="N165" t="s">
        <v>47</v>
      </c>
      <c r="O165">
        <v>4</v>
      </c>
      <c r="P165" t="s">
        <v>45</v>
      </c>
      <c r="Q165">
        <v>9439</v>
      </c>
      <c r="R165">
        <v>23402</v>
      </c>
      <c r="S165">
        <v>3</v>
      </c>
      <c r="T165">
        <v>1</v>
      </c>
      <c r="U165" s="17">
        <v>0.16</v>
      </c>
      <c r="V165">
        <v>3</v>
      </c>
      <c r="W165">
        <v>2</v>
      </c>
      <c r="X165">
        <v>1</v>
      </c>
      <c r="Y165">
        <v>12</v>
      </c>
      <c r="Z165">
        <v>2</v>
      </c>
      <c r="AA165">
        <v>1</v>
      </c>
      <c r="AB165">
        <v>5</v>
      </c>
      <c r="AC165">
        <v>3</v>
      </c>
      <c r="AD165">
        <v>1</v>
      </c>
      <c r="AE165">
        <v>4</v>
      </c>
      <c r="AF165">
        <v>0</v>
      </c>
      <c r="AG165">
        <f>IF(tbl_HR_Data[[#This Row],[Gender]]="Male",1,0)</f>
        <v>1</v>
      </c>
      <c r="AH165" cm="1">
        <f t="array" ref="AH165">_xlfn.SWITCH(tbl_HR_Data[[#This Row],[BusinessTravel]], "Non-Travel", 0, "Travel_Rarely", 1, "Travel_Frequently", 2)</f>
        <v>1</v>
      </c>
      <c r="AI165" cm="1">
        <f t="array" ref="AI165">_xlfn.SWITCH(tbl_HR_Data[[#This Row],[MaritalStatus]],"Single",0,"Married",1,"Divorced",2)</f>
        <v>2</v>
      </c>
      <c r="AJ165">
        <f>IF(tbl_HR_Data[[#This Row],[OverTime]]=1,1,0)</f>
        <v>1</v>
      </c>
      <c r="AK165">
        <f>IF(tbl_HR_Data[[#This Row],[DistanceFromHome]]&gt;15,1,0)</f>
        <v>1</v>
      </c>
      <c r="AL165">
        <f>IF(tbl_HR_Data[[#This Row],[JobSatisfaction]]&lt;=2,1,0)</f>
        <v>0</v>
      </c>
      <c r="AM165">
        <f>IF(tbl_HR_Data[[#This Row],[MonthlyIncome]]&lt;$AT$2,1,0)</f>
        <v>0</v>
      </c>
      <c r="AN165">
        <f>IF(tbl_HR_Data[[#This Row],[Travel_Code]]=2,1,0)</f>
        <v>0</v>
      </c>
      <c r="AO165">
        <f>(tbl_HR_Data[[#This Row],[Flag_OT]] * Logic_Parameters!$B$2) +
 (tbl_HR_Data[[#This Row],[Flag_Travel]] * Logic_Parameters!$B$3) +
 (tbl_HR_Data[[#This Row],[Flag_Satisfaction]] * Logic_Parameters!$B$4) +
 (tbl_HR_Data[[#This Row],[Flag_Distance]]* Logic_Parameters!$B$5) +
 (tbl_HR_Data[[#This Row],[Flag_Income]] * Logic_Parameters!$B$6)</f>
        <v>13.166106695875378</v>
      </c>
      <c r="AP165" s="15">
        <f>tbl_HR_Data[[#This Row],[Risk_Score_Raw]] / SUM(Logic_Parameters!$B$2:$B$6)</f>
        <v>0.45360546450291089</v>
      </c>
      <c r="AQ165" s="16" t="str" cm="1">
        <f t="array" ref="AQ165">_xlfn.IFS(tbl_HR_Data[[#This Row],[Attrition_Risk_Percentage]] &gt;= 0.75, "Critical",tbl_HR_Data[ [#This Row],[Attrition_Risk_Percentage] ]&gt;= 0.5, "High",tbl_HR_Data[[#This Row],[Attrition_Risk_Percentage]] &gt;= 0.25, "Medium",TRUE, "Low")</f>
        <v>Medium</v>
      </c>
      <c r="AR165" s="16" cm="1">
        <f t="array" ref="AR165">IFERROR(_xlfn.IFS(tbl_HR_Data[[#This Row],[Risk_Category]]="Critical",tbl_HR_Data[[#This Row],[MonthlyIncome]]*1.5,tbl_HR_Data[[#This Row],[Risk_Category]]="High",tbl_HR_Data[[#This Row],[MonthlyIncome]]*1.5),0)</f>
        <v>0</v>
      </c>
    </row>
    <row r="166" spans="1:44" x14ac:dyDescent="0.35">
      <c r="A166" t="s">
        <v>460</v>
      </c>
      <c r="B166">
        <v>27</v>
      </c>
      <c r="C166" t="s">
        <v>1525</v>
      </c>
      <c r="D166">
        <v>1450</v>
      </c>
      <c r="E166" t="s">
        <v>38</v>
      </c>
      <c r="F166">
        <v>3</v>
      </c>
      <c r="G166">
        <v>3</v>
      </c>
      <c r="H166" t="s">
        <v>44</v>
      </c>
      <c r="I166">
        <v>3</v>
      </c>
      <c r="J166" t="s">
        <v>39</v>
      </c>
      <c r="K166">
        <v>79</v>
      </c>
      <c r="L166">
        <v>2</v>
      </c>
      <c r="M166">
        <v>1</v>
      </c>
      <c r="N166" t="s">
        <v>40</v>
      </c>
      <c r="O166">
        <v>3</v>
      </c>
      <c r="P166" t="s">
        <v>45</v>
      </c>
      <c r="Q166">
        <v>2566</v>
      </c>
      <c r="R166">
        <v>25326</v>
      </c>
      <c r="S166">
        <v>1</v>
      </c>
      <c r="T166">
        <v>1</v>
      </c>
      <c r="U166" s="17">
        <v>0.15</v>
      </c>
      <c r="V166">
        <v>3</v>
      </c>
      <c r="W166">
        <v>4</v>
      </c>
      <c r="X166">
        <v>1</v>
      </c>
      <c r="Y166">
        <v>1</v>
      </c>
      <c r="Z166">
        <v>2</v>
      </c>
      <c r="AA166">
        <v>2</v>
      </c>
      <c r="AB166">
        <v>1</v>
      </c>
      <c r="AC166">
        <v>1</v>
      </c>
      <c r="AD166">
        <v>0</v>
      </c>
      <c r="AE166">
        <v>1</v>
      </c>
      <c r="AF166">
        <v>0</v>
      </c>
      <c r="AG166">
        <f>IF(tbl_HR_Data[[#This Row],[Gender]]="Male",1,0)</f>
        <v>1</v>
      </c>
      <c r="AH166" cm="1">
        <f t="array" ref="AH166">_xlfn.SWITCH(tbl_HR_Data[[#This Row],[BusinessTravel]], "Non-Travel", 0, "Travel_Rarely", 1, "Travel_Frequently", 2)</f>
        <v>0</v>
      </c>
      <c r="AI166" cm="1">
        <f t="array" ref="AI166">_xlfn.SWITCH(tbl_HR_Data[[#This Row],[MaritalStatus]],"Single",0,"Married",1,"Divorced",2)</f>
        <v>2</v>
      </c>
      <c r="AJ166">
        <f>IF(tbl_HR_Data[[#This Row],[OverTime]]=1,1,0)</f>
        <v>1</v>
      </c>
      <c r="AK166">
        <f>IF(tbl_HR_Data[[#This Row],[DistanceFromHome]]&gt;15,1,0)</f>
        <v>0</v>
      </c>
      <c r="AL166">
        <f>IF(tbl_HR_Data[[#This Row],[JobSatisfaction]]&lt;=2,1,0)</f>
        <v>0</v>
      </c>
      <c r="AM166">
        <f>IF(tbl_HR_Data[[#This Row],[MonthlyIncome]]&lt;$AT$2,1,0)</f>
        <v>1</v>
      </c>
      <c r="AN166">
        <f>IF(tbl_HR_Data[[#This Row],[Travel_Code]]=2,1,0)</f>
        <v>0</v>
      </c>
      <c r="AO166">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166" s="15">
        <f>tbl_HR_Data[[#This Row],[Risk_Score_Raw]] / SUM(Logic_Parameters!$B$2:$B$6)</f>
        <v>0.56827453040563214</v>
      </c>
      <c r="AQ166" s="16" t="str" cm="1">
        <f t="array" ref="AQ166">_xlfn.IFS(tbl_HR_Data[[#This Row],[Attrition_Risk_Percentage]] &gt;= 0.75, "Critical",tbl_HR_Data[ [#This Row],[Attrition_Risk_Percentage] ]&gt;= 0.5, "High",tbl_HR_Data[[#This Row],[Attrition_Risk_Percentage]] &gt;= 0.25, "Medium",TRUE, "Low")</f>
        <v>High</v>
      </c>
      <c r="AR166" s="16" cm="1">
        <f t="array" ref="AR166">IFERROR(_xlfn.IFS(tbl_HR_Data[[#This Row],[Risk_Category]]="Critical",tbl_HR_Data[[#This Row],[MonthlyIncome]]*1.5,tbl_HR_Data[[#This Row],[Risk_Category]]="High",tbl_HR_Data[[#This Row],[MonthlyIncome]]*1.5),0)</f>
        <v>3849</v>
      </c>
    </row>
    <row r="167" spans="1:44" x14ac:dyDescent="0.35">
      <c r="A167" t="s">
        <v>1270</v>
      </c>
      <c r="B167">
        <v>50</v>
      </c>
      <c r="C167" t="s">
        <v>31</v>
      </c>
      <c r="D167">
        <v>1452</v>
      </c>
      <c r="E167" t="s">
        <v>38</v>
      </c>
      <c r="F167">
        <v>11</v>
      </c>
      <c r="G167">
        <v>3</v>
      </c>
      <c r="H167" t="s">
        <v>33</v>
      </c>
      <c r="I167">
        <v>3</v>
      </c>
      <c r="J167" t="s">
        <v>34</v>
      </c>
      <c r="K167">
        <v>53</v>
      </c>
      <c r="L167">
        <v>3</v>
      </c>
      <c r="M167">
        <v>5</v>
      </c>
      <c r="N167" t="s">
        <v>48</v>
      </c>
      <c r="O167">
        <v>2</v>
      </c>
      <c r="P167" t="s">
        <v>36</v>
      </c>
      <c r="Q167">
        <v>19926</v>
      </c>
      <c r="R167">
        <v>17053</v>
      </c>
      <c r="S167">
        <v>3</v>
      </c>
      <c r="T167">
        <v>0</v>
      </c>
      <c r="U167" s="17">
        <v>0.15</v>
      </c>
      <c r="V167">
        <v>3</v>
      </c>
      <c r="W167">
        <v>2</v>
      </c>
      <c r="X167">
        <v>0</v>
      </c>
      <c r="Y167">
        <v>21</v>
      </c>
      <c r="Z167">
        <v>5</v>
      </c>
      <c r="AA167">
        <v>3</v>
      </c>
      <c r="AB167">
        <v>5</v>
      </c>
      <c r="AC167">
        <v>4</v>
      </c>
      <c r="AD167">
        <v>4</v>
      </c>
      <c r="AE167">
        <v>4</v>
      </c>
      <c r="AF167">
        <v>0</v>
      </c>
      <c r="AG167">
        <f>IF(tbl_HR_Data[[#This Row],[Gender]]="Male",1,0)</f>
        <v>0</v>
      </c>
      <c r="AH167" cm="1">
        <f t="array" ref="AH167">_xlfn.SWITCH(tbl_HR_Data[[#This Row],[BusinessTravel]], "Non-Travel", 0, "Travel_Rarely", 1, "Travel_Frequently", 2)</f>
        <v>1</v>
      </c>
      <c r="AI167" cm="1">
        <f t="array" ref="AI167">_xlfn.SWITCH(tbl_HR_Data[[#This Row],[MaritalStatus]],"Single",0,"Married",1,"Divorced",2)</f>
        <v>0</v>
      </c>
      <c r="AJ167">
        <f>IF(tbl_HR_Data[[#This Row],[OverTime]]=1,1,0)</f>
        <v>0</v>
      </c>
      <c r="AK167">
        <f>IF(tbl_HR_Data[[#This Row],[DistanceFromHome]]&gt;15,1,0)</f>
        <v>0</v>
      </c>
      <c r="AL167">
        <f>IF(tbl_HR_Data[[#This Row],[JobSatisfaction]]&lt;=2,1,0)</f>
        <v>1</v>
      </c>
      <c r="AM167">
        <f>IF(tbl_HR_Data[[#This Row],[MonthlyIncome]]&lt;$AT$2,1,0)</f>
        <v>0</v>
      </c>
      <c r="AN167">
        <f>IF(tbl_HR_Data[[#This Row],[Travel_Code]]=2,1,0)</f>
        <v>0</v>
      </c>
      <c r="AO167">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67" s="15">
        <f>tbl_HR_Data[[#This Row],[Risk_Score_Raw]] / SUM(Logic_Parameters!$B$2:$B$6)</f>
        <v>0.14485673308716898</v>
      </c>
      <c r="AQ167" s="16" t="str" cm="1">
        <f t="array" ref="AQ167">_xlfn.IFS(tbl_HR_Data[[#This Row],[Attrition_Risk_Percentage]] &gt;= 0.75, "Critical",tbl_HR_Data[ [#This Row],[Attrition_Risk_Percentage] ]&gt;= 0.5, "High",tbl_HR_Data[[#This Row],[Attrition_Risk_Percentage]] &gt;= 0.25, "Medium",TRUE, "Low")</f>
        <v>Low</v>
      </c>
      <c r="AR167" s="16" cm="1">
        <f t="array" ref="AR167">IFERROR(_xlfn.IFS(tbl_HR_Data[[#This Row],[Risk_Category]]="Critical",tbl_HR_Data[[#This Row],[MonthlyIncome]]*1.5,tbl_HR_Data[[#This Row],[Risk_Category]]="High",tbl_HR_Data[[#This Row],[MonthlyIncome]]*1.5),0)</f>
        <v>0</v>
      </c>
    </row>
    <row r="168" spans="1:44" x14ac:dyDescent="0.35">
      <c r="A168" t="s">
        <v>164</v>
      </c>
      <c r="B168">
        <v>41</v>
      </c>
      <c r="C168" t="s">
        <v>31</v>
      </c>
      <c r="D168">
        <v>465</v>
      </c>
      <c r="E168" t="s">
        <v>38</v>
      </c>
      <c r="F168">
        <v>14</v>
      </c>
      <c r="G168">
        <v>3</v>
      </c>
      <c r="H168" t="s">
        <v>33</v>
      </c>
      <c r="I168">
        <v>1</v>
      </c>
      <c r="J168" t="s">
        <v>39</v>
      </c>
      <c r="K168">
        <v>56</v>
      </c>
      <c r="L168">
        <v>3</v>
      </c>
      <c r="M168">
        <v>1</v>
      </c>
      <c r="N168" t="s">
        <v>40</v>
      </c>
      <c r="O168">
        <v>3</v>
      </c>
      <c r="P168" t="s">
        <v>45</v>
      </c>
      <c r="Q168">
        <v>2451</v>
      </c>
      <c r="R168">
        <v>4609</v>
      </c>
      <c r="S168">
        <v>4</v>
      </c>
      <c r="T168">
        <v>0</v>
      </c>
      <c r="U168" s="17">
        <v>0.12</v>
      </c>
      <c r="V168">
        <v>3</v>
      </c>
      <c r="W168">
        <v>1</v>
      </c>
      <c r="X168">
        <v>1</v>
      </c>
      <c r="Y168">
        <v>13</v>
      </c>
      <c r="Z168">
        <v>2</v>
      </c>
      <c r="AA168">
        <v>3</v>
      </c>
      <c r="AB168">
        <v>9</v>
      </c>
      <c r="AC168">
        <v>8</v>
      </c>
      <c r="AD168">
        <v>1</v>
      </c>
      <c r="AE168">
        <v>8</v>
      </c>
      <c r="AF168">
        <v>0</v>
      </c>
      <c r="AG168">
        <f>IF(tbl_HR_Data[[#This Row],[Gender]]="Male",1,0)</f>
        <v>1</v>
      </c>
      <c r="AH168" cm="1">
        <f t="array" ref="AH168">_xlfn.SWITCH(tbl_HR_Data[[#This Row],[BusinessTravel]], "Non-Travel", 0, "Travel_Rarely", 1, "Travel_Frequently", 2)</f>
        <v>1</v>
      </c>
      <c r="AI168" cm="1">
        <f t="array" ref="AI168">_xlfn.SWITCH(tbl_HR_Data[[#This Row],[MaritalStatus]],"Single",0,"Married",1,"Divorced",2)</f>
        <v>2</v>
      </c>
      <c r="AJ168">
        <f>IF(tbl_HR_Data[[#This Row],[OverTime]]=1,1,0)</f>
        <v>0</v>
      </c>
      <c r="AK168">
        <f>IF(tbl_HR_Data[[#This Row],[DistanceFromHome]]&gt;15,1,0)</f>
        <v>0</v>
      </c>
      <c r="AL168">
        <f>IF(tbl_HR_Data[[#This Row],[JobSatisfaction]]&lt;=2,1,0)</f>
        <v>0</v>
      </c>
      <c r="AM168">
        <f>IF(tbl_HR_Data[[#This Row],[MonthlyIncome]]&lt;$AT$2,1,0)</f>
        <v>1</v>
      </c>
      <c r="AN168">
        <f>IF(tbl_HR_Data[[#This Row],[Travel_Code]]=2,1,0)</f>
        <v>0</v>
      </c>
      <c r="AO168">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68" s="15">
        <f>tbl_HR_Data[[#This Row],[Risk_Score_Raw]] / SUM(Logic_Parameters!$B$2:$B$6)</f>
        <v>0.22374939857982484</v>
      </c>
      <c r="AQ168" s="16" t="str" cm="1">
        <f t="array" ref="AQ168">_xlfn.IFS(tbl_HR_Data[[#This Row],[Attrition_Risk_Percentage]] &gt;= 0.75, "Critical",tbl_HR_Data[ [#This Row],[Attrition_Risk_Percentage] ]&gt;= 0.5, "High",tbl_HR_Data[[#This Row],[Attrition_Risk_Percentage]] &gt;= 0.25, "Medium",TRUE, "Low")</f>
        <v>Low</v>
      </c>
      <c r="AR168" s="16" cm="1">
        <f t="array" ref="AR168">IFERROR(_xlfn.IFS(tbl_HR_Data[[#This Row],[Risk_Category]]="Critical",tbl_HR_Data[[#This Row],[MonthlyIncome]]*1.5,tbl_HR_Data[[#This Row],[Risk_Category]]="High",tbl_HR_Data[[#This Row],[MonthlyIncome]]*1.5),0)</f>
        <v>0</v>
      </c>
    </row>
    <row r="169" spans="1:44" x14ac:dyDescent="0.35">
      <c r="A169" t="s">
        <v>1370</v>
      </c>
      <c r="B169">
        <v>30</v>
      </c>
      <c r="C169" t="s">
        <v>31</v>
      </c>
      <c r="D169">
        <v>1339</v>
      </c>
      <c r="E169" t="s">
        <v>32</v>
      </c>
      <c r="F169">
        <v>5</v>
      </c>
      <c r="G169">
        <v>3</v>
      </c>
      <c r="H169" t="s">
        <v>33</v>
      </c>
      <c r="I169">
        <v>2</v>
      </c>
      <c r="J169" t="s">
        <v>34</v>
      </c>
      <c r="K169">
        <v>41</v>
      </c>
      <c r="L169">
        <v>3</v>
      </c>
      <c r="M169">
        <v>3</v>
      </c>
      <c r="N169" t="s">
        <v>35</v>
      </c>
      <c r="O169">
        <v>4</v>
      </c>
      <c r="P169" t="s">
        <v>41</v>
      </c>
      <c r="Q169">
        <v>9419</v>
      </c>
      <c r="R169">
        <v>8053</v>
      </c>
      <c r="S169">
        <v>2</v>
      </c>
      <c r="T169">
        <v>0</v>
      </c>
      <c r="U169" s="17">
        <v>0.12</v>
      </c>
      <c r="V169">
        <v>3</v>
      </c>
      <c r="W169">
        <v>3</v>
      </c>
      <c r="X169">
        <v>1</v>
      </c>
      <c r="Y169">
        <v>12</v>
      </c>
      <c r="Z169">
        <v>2</v>
      </c>
      <c r="AA169">
        <v>3</v>
      </c>
      <c r="AB169">
        <v>10</v>
      </c>
      <c r="AC169">
        <v>9</v>
      </c>
      <c r="AD169">
        <v>7</v>
      </c>
      <c r="AE169">
        <v>4</v>
      </c>
      <c r="AF169">
        <v>0</v>
      </c>
      <c r="AG169">
        <f>IF(tbl_HR_Data[[#This Row],[Gender]]="Male",1,0)</f>
        <v>0</v>
      </c>
      <c r="AH169" cm="1">
        <f t="array" ref="AH169">_xlfn.SWITCH(tbl_HR_Data[[#This Row],[BusinessTravel]], "Non-Travel", 0, "Travel_Rarely", 1, "Travel_Frequently", 2)</f>
        <v>1</v>
      </c>
      <c r="AI169" cm="1">
        <f t="array" ref="AI169">_xlfn.SWITCH(tbl_HR_Data[[#This Row],[MaritalStatus]],"Single",0,"Married",1,"Divorced",2)</f>
        <v>1</v>
      </c>
      <c r="AJ169">
        <f>IF(tbl_HR_Data[[#This Row],[OverTime]]=1,1,0)</f>
        <v>0</v>
      </c>
      <c r="AK169">
        <f>IF(tbl_HR_Data[[#This Row],[DistanceFromHome]]&gt;15,1,0)</f>
        <v>0</v>
      </c>
      <c r="AL169">
        <f>IF(tbl_HR_Data[[#This Row],[JobSatisfaction]]&lt;=2,1,0)</f>
        <v>0</v>
      </c>
      <c r="AM169">
        <f>IF(tbl_HR_Data[[#This Row],[MonthlyIncome]]&lt;$AT$2,1,0)</f>
        <v>0</v>
      </c>
      <c r="AN169">
        <f>IF(tbl_HR_Data[[#This Row],[Travel_Code]]=2,1,0)</f>
        <v>0</v>
      </c>
      <c r="AO169">
        <f>(tbl_HR_Data[[#This Row],[Flag_OT]] * Logic_Parameters!$B$2) +
 (tbl_HR_Data[[#This Row],[Flag_Travel]] * Logic_Parameters!$B$3) +
 (tbl_HR_Data[[#This Row],[Flag_Satisfaction]] * Logic_Parameters!$B$4) +
 (tbl_HR_Data[[#This Row],[Flag_Distance]]* Logic_Parameters!$B$5) +
 (tbl_HR_Data[[#This Row],[Flag_Income]] * Logic_Parameters!$B$6)</f>
        <v>0</v>
      </c>
      <c r="AP169" s="15">
        <f>tbl_HR_Data[[#This Row],[Risk_Score_Raw]] / SUM(Logic_Parameters!$B$2:$B$6)</f>
        <v>0</v>
      </c>
      <c r="AQ169" s="16" t="str" cm="1">
        <f t="array" ref="AQ169">_xlfn.IFS(tbl_HR_Data[[#This Row],[Attrition_Risk_Percentage]] &gt;= 0.75, "Critical",tbl_HR_Data[ [#This Row],[Attrition_Risk_Percentage] ]&gt;= 0.5, "High",tbl_HR_Data[[#This Row],[Attrition_Risk_Percentage]] &gt;= 0.25, "Medium",TRUE, "Low")</f>
        <v>Low</v>
      </c>
      <c r="AR169" s="16" cm="1">
        <f t="array" ref="AR169">IFERROR(_xlfn.IFS(tbl_HR_Data[[#This Row],[Risk_Category]]="Critical",tbl_HR_Data[[#This Row],[MonthlyIncome]]*1.5,tbl_HR_Data[[#This Row],[Risk_Category]]="High",tbl_HR_Data[[#This Row],[MonthlyIncome]]*1.5),0)</f>
        <v>0</v>
      </c>
    </row>
    <row r="170" spans="1:44" x14ac:dyDescent="0.35">
      <c r="A170" t="s">
        <v>122</v>
      </c>
      <c r="B170">
        <v>38</v>
      </c>
      <c r="C170" t="s">
        <v>31</v>
      </c>
      <c r="D170">
        <v>702</v>
      </c>
      <c r="E170" t="s">
        <v>32</v>
      </c>
      <c r="F170">
        <v>1</v>
      </c>
      <c r="G170">
        <v>4</v>
      </c>
      <c r="H170" t="s">
        <v>33</v>
      </c>
      <c r="I170">
        <v>1</v>
      </c>
      <c r="J170" t="s">
        <v>34</v>
      </c>
      <c r="K170">
        <v>59</v>
      </c>
      <c r="L170">
        <v>2</v>
      </c>
      <c r="M170">
        <v>2</v>
      </c>
      <c r="N170" t="s">
        <v>35</v>
      </c>
      <c r="O170">
        <v>4</v>
      </c>
      <c r="P170" t="s">
        <v>36</v>
      </c>
      <c r="Q170">
        <v>8686</v>
      </c>
      <c r="R170">
        <v>12930</v>
      </c>
      <c r="S170">
        <v>4</v>
      </c>
      <c r="T170">
        <v>0</v>
      </c>
      <c r="U170" s="17">
        <v>0.22</v>
      </c>
      <c r="V170">
        <v>4</v>
      </c>
      <c r="W170">
        <v>3</v>
      </c>
      <c r="X170">
        <v>0</v>
      </c>
      <c r="Y170">
        <v>12</v>
      </c>
      <c r="Z170">
        <v>2</v>
      </c>
      <c r="AA170">
        <v>4</v>
      </c>
      <c r="AB170">
        <v>8</v>
      </c>
      <c r="AC170">
        <v>3</v>
      </c>
      <c r="AD170">
        <v>0</v>
      </c>
      <c r="AE170">
        <v>7</v>
      </c>
      <c r="AF170">
        <v>0</v>
      </c>
      <c r="AG170">
        <f>IF(tbl_HR_Data[[#This Row],[Gender]]="Male",1,0)</f>
        <v>0</v>
      </c>
      <c r="AH170" cm="1">
        <f t="array" ref="AH170">_xlfn.SWITCH(tbl_HR_Data[[#This Row],[BusinessTravel]], "Non-Travel", 0, "Travel_Rarely", 1, "Travel_Frequently", 2)</f>
        <v>1</v>
      </c>
      <c r="AI170" cm="1">
        <f t="array" ref="AI170">_xlfn.SWITCH(tbl_HR_Data[[#This Row],[MaritalStatus]],"Single",0,"Married",1,"Divorced",2)</f>
        <v>0</v>
      </c>
      <c r="AJ170">
        <f>IF(tbl_HR_Data[[#This Row],[OverTime]]=1,1,0)</f>
        <v>0</v>
      </c>
      <c r="AK170">
        <f>IF(tbl_HR_Data[[#This Row],[DistanceFromHome]]&gt;15,1,0)</f>
        <v>0</v>
      </c>
      <c r="AL170">
        <f>IF(tbl_HR_Data[[#This Row],[JobSatisfaction]]&lt;=2,1,0)</f>
        <v>0</v>
      </c>
      <c r="AM170">
        <f>IF(tbl_HR_Data[[#This Row],[MonthlyIncome]]&lt;$AT$2,1,0)</f>
        <v>0</v>
      </c>
      <c r="AN170">
        <f>IF(tbl_HR_Data[[#This Row],[Travel_Code]]=2,1,0)</f>
        <v>0</v>
      </c>
      <c r="AO170">
        <f>(tbl_HR_Data[[#This Row],[Flag_OT]] * Logic_Parameters!$B$2) +
 (tbl_HR_Data[[#This Row],[Flag_Travel]] * Logic_Parameters!$B$3) +
 (tbl_HR_Data[[#This Row],[Flag_Satisfaction]] * Logic_Parameters!$B$4) +
 (tbl_HR_Data[[#This Row],[Flag_Distance]]* Logic_Parameters!$B$5) +
 (tbl_HR_Data[[#This Row],[Flag_Income]] * Logic_Parameters!$B$6)</f>
        <v>0</v>
      </c>
      <c r="AP170" s="15">
        <f>tbl_HR_Data[[#This Row],[Risk_Score_Raw]] / SUM(Logic_Parameters!$B$2:$B$6)</f>
        <v>0</v>
      </c>
      <c r="AQ170" s="16" t="str" cm="1">
        <f t="array" ref="AQ170">_xlfn.IFS(tbl_HR_Data[[#This Row],[Attrition_Risk_Percentage]] &gt;= 0.75, "Critical",tbl_HR_Data[ [#This Row],[Attrition_Risk_Percentage] ]&gt;= 0.5, "High",tbl_HR_Data[[#This Row],[Attrition_Risk_Percentage]] &gt;= 0.25, "Medium",TRUE, "Low")</f>
        <v>Low</v>
      </c>
      <c r="AR170" s="16" cm="1">
        <f t="array" ref="AR170">IFERROR(_xlfn.IFS(tbl_HR_Data[[#This Row],[Risk_Category]]="Critical",tbl_HR_Data[[#This Row],[MonthlyIncome]]*1.5,tbl_HR_Data[[#This Row],[Risk_Category]]="High",tbl_HR_Data[[#This Row],[MonthlyIncome]]*1.5),0)</f>
        <v>0</v>
      </c>
    </row>
    <row r="171" spans="1:44" x14ac:dyDescent="0.35">
      <c r="A171" t="s">
        <v>119</v>
      </c>
      <c r="B171">
        <v>32</v>
      </c>
      <c r="C171" t="s">
        <v>31</v>
      </c>
      <c r="D171">
        <v>120</v>
      </c>
      <c r="E171" t="s">
        <v>38</v>
      </c>
      <c r="F171">
        <v>6</v>
      </c>
      <c r="G171">
        <v>5</v>
      </c>
      <c r="H171" t="s">
        <v>33</v>
      </c>
      <c r="I171">
        <v>3</v>
      </c>
      <c r="J171" t="s">
        <v>39</v>
      </c>
      <c r="K171">
        <v>43</v>
      </c>
      <c r="L171">
        <v>3</v>
      </c>
      <c r="M171">
        <v>1</v>
      </c>
      <c r="N171" t="s">
        <v>40</v>
      </c>
      <c r="O171">
        <v>3</v>
      </c>
      <c r="P171" t="s">
        <v>36</v>
      </c>
      <c r="Q171">
        <v>3038</v>
      </c>
      <c r="R171">
        <v>12430</v>
      </c>
      <c r="S171">
        <v>3</v>
      </c>
      <c r="T171">
        <v>0</v>
      </c>
      <c r="U171" s="17">
        <v>0.2</v>
      </c>
      <c r="V171">
        <v>4</v>
      </c>
      <c r="W171">
        <v>1</v>
      </c>
      <c r="X171">
        <v>0</v>
      </c>
      <c r="Y171">
        <v>8</v>
      </c>
      <c r="Z171">
        <v>2</v>
      </c>
      <c r="AA171">
        <v>3</v>
      </c>
      <c r="AB171">
        <v>5</v>
      </c>
      <c r="AC171">
        <v>4</v>
      </c>
      <c r="AD171">
        <v>1</v>
      </c>
      <c r="AE171">
        <v>4</v>
      </c>
      <c r="AF171">
        <v>0</v>
      </c>
      <c r="AG171">
        <f>IF(tbl_HR_Data[[#This Row],[Gender]]="Male",1,0)</f>
        <v>1</v>
      </c>
      <c r="AH171" cm="1">
        <f t="array" ref="AH171">_xlfn.SWITCH(tbl_HR_Data[[#This Row],[BusinessTravel]], "Non-Travel", 0, "Travel_Rarely", 1, "Travel_Frequently", 2)</f>
        <v>1</v>
      </c>
      <c r="AI171" cm="1">
        <f t="array" ref="AI171">_xlfn.SWITCH(tbl_HR_Data[[#This Row],[MaritalStatus]],"Single",0,"Married",1,"Divorced",2)</f>
        <v>0</v>
      </c>
      <c r="AJ171">
        <f>IF(tbl_HR_Data[[#This Row],[OverTime]]=1,1,0)</f>
        <v>0</v>
      </c>
      <c r="AK171">
        <f>IF(tbl_HR_Data[[#This Row],[DistanceFromHome]]&gt;15,1,0)</f>
        <v>0</v>
      </c>
      <c r="AL171">
        <f>IF(tbl_HR_Data[[#This Row],[JobSatisfaction]]&lt;=2,1,0)</f>
        <v>0</v>
      </c>
      <c r="AM171">
        <f>IF(tbl_HR_Data[[#This Row],[MonthlyIncome]]&lt;$AT$2,1,0)</f>
        <v>1</v>
      </c>
      <c r="AN171">
        <f>IF(tbl_HR_Data[[#This Row],[Travel_Code]]=2,1,0)</f>
        <v>0</v>
      </c>
      <c r="AO171">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71" s="15">
        <f>tbl_HR_Data[[#This Row],[Risk_Score_Raw]] / SUM(Logic_Parameters!$B$2:$B$6)</f>
        <v>0.22374939857982484</v>
      </c>
      <c r="AQ171" s="16" t="str" cm="1">
        <f t="array" ref="AQ171">_xlfn.IFS(tbl_HR_Data[[#This Row],[Attrition_Risk_Percentage]] &gt;= 0.75, "Critical",tbl_HR_Data[ [#This Row],[Attrition_Risk_Percentage] ]&gt;= 0.5, "High",tbl_HR_Data[[#This Row],[Attrition_Risk_Percentage]] &gt;= 0.25, "Medium",TRUE, "Low")</f>
        <v>Low</v>
      </c>
      <c r="AR171" s="16" cm="1">
        <f t="array" ref="AR171">IFERROR(_xlfn.IFS(tbl_HR_Data[[#This Row],[Risk_Category]]="Critical",tbl_HR_Data[[#This Row],[MonthlyIncome]]*1.5,tbl_HR_Data[[#This Row],[Risk_Category]]="High",tbl_HR_Data[[#This Row],[MonthlyIncome]]*1.5),0)</f>
        <v>0</v>
      </c>
    </row>
    <row r="172" spans="1:44" x14ac:dyDescent="0.35">
      <c r="A172" t="s">
        <v>766</v>
      </c>
      <c r="B172">
        <v>27</v>
      </c>
      <c r="C172" t="s">
        <v>31</v>
      </c>
      <c r="D172">
        <v>1157</v>
      </c>
      <c r="E172" t="s">
        <v>38</v>
      </c>
      <c r="F172">
        <v>17</v>
      </c>
      <c r="G172">
        <v>3</v>
      </c>
      <c r="H172" t="s">
        <v>52</v>
      </c>
      <c r="I172">
        <v>3</v>
      </c>
      <c r="J172" t="s">
        <v>39</v>
      </c>
      <c r="K172">
        <v>51</v>
      </c>
      <c r="L172">
        <v>3</v>
      </c>
      <c r="M172">
        <v>1</v>
      </c>
      <c r="N172" t="s">
        <v>40</v>
      </c>
      <c r="O172">
        <v>2</v>
      </c>
      <c r="P172" t="s">
        <v>41</v>
      </c>
      <c r="Q172">
        <v>3058</v>
      </c>
      <c r="R172">
        <v>13364</v>
      </c>
      <c r="S172">
        <v>0</v>
      </c>
      <c r="T172">
        <v>1</v>
      </c>
      <c r="U172" s="17">
        <v>0.16</v>
      </c>
      <c r="V172">
        <v>3</v>
      </c>
      <c r="W172">
        <v>4</v>
      </c>
      <c r="X172">
        <v>1</v>
      </c>
      <c r="Y172">
        <v>6</v>
      </c>
      <c r="Z172">
        <v>3</v>
      </c>
      <c r="AA172">
        <v>2</v>
      </c>
      <c r="AB172">
        <v>5</v>
      </c>
      <c r="AC172">
        <v>2</v>
      </c>
      <c r="AD172">
        <v>1</v>
      </c>
      <c r="AE172">
        <v>1</v>
      </c>
      <c r="AF172">
        <v>0</v>
      </c>
      <c r="AG172">
        <f>IF(tbl_HR_Data[[#This Row],[Gender]]="Male",1,0)</f>
        <v>1</v>
      </c>
      <c r="AH172" cm="1">
        <f t="array" ref="AH172">_xlfn.SWITCH(tbl_HR_Data[[#This Row],[BusinessTravel]], "Non-Travel", 0, "Travel_Rarely", 1, "Travel_Frequently", 2)</f>
        <v>1</v>
      </c>
      <c r="AI172" cm="1">
        <f t="array" ref="AI172">_xlfn.SWITCH(tbl_HR_Data[[#This Row],[MaritalStatus]],"Single",0,"Married",1,"Divorced",2)</f>
        <v>1</v>
      </c>
      <c r="AJ172">
        <f>IF(tbl_HR_Data[[#This Row],[OverTime]]=1,1,0)</f>
        <v>1</v>
      </c>
      <c r="AK172">
        <f>IF(tbl_HR_Data[[#This Row],[DistanceFromHome]]&gt;15,1,0)</f>
        <v>1</v>
      </c>
      <c r="AL172">
        <f>IF(tbl_HR_Data[[#This Row],[JobSatisfaction]]&lt;=2,1,0)</f>
        <v>1</v>
      </c>
      <c r="AM172">
        <f>IF(tbl_HR_Data[[#This Row],[MonthlyIncome]]&lt;$AT$2,1,0)</f>
        <v>1</v>
      </c>
      <c r="AN172">
        <f>IF(tbl_HR_Data[[#This Row],[Travel_Code]]=2,1,0)</f>
        <v>0</v>
      </c>
      <c r="AO172">
        <f>(tbl_HR_Data[[#This Row],[Flag_OT]] * Logic_Parameters!$B$2) +
 (tbl_HR_Data[[#This Row],[Flag_Travel]] * Logic_Parameters!$B$3) +
 (tbl_HR_Data[[#This Row],[Flag_Satisfaction]] * Logic_Parameters!$B$4) +
 (tbl_HR_Data[[#This Row],[Flag_Distance]]* Logic_Parameters!$B$5) +
 (tbl_HR_Data[[#This Row],[Flag_Income]] * Logic_Parameters!$B$6)</f>
        <v>23.865068763274337</v>
      </c>
      <c r="AP172" s="15">
        <f>tbl_HR_Data[[#This Row],[Risk_Score_Raw]] / SUM(Logic_Parameters!$B$2:$B$6)</f>
        <v>0.82221159616990469</v>
      </c>
      <c r="AQ172" s="16" t="str" cm="1">
        <f t="array" ref="AQ172">_xlfn.IFS(tbl_HR_Data[[#This Row],[Attrition_Risk_Percentage]] &gt;= 0.75, "Critical",tbl_HR_Data[ [#This Row],[Attrition_Risk_Percentage] ]&gt;= 0.5, "High",tbl_HR_Data[[#This Row],[Attrition_Risk_Percentage]] &gt;= 0.25, "Medium",TRUE, "Low")</f>
        <v>Critical</v>
      </c>
      <c r="AR172" s="16" cm="1">
        <f t="array" ref="AR172">IFERROR(_xlfn.IFS(tbl_HR_Data[[#This Row],[Risk_Category]]="Critical",tbl_HR_Data[[#This Row],[MonthlyIncome]]*1.5,tbl_HR_Data[[#This Row],[Risk_Category]]="High",tbl_HR_Data[[#This Row],[MonthlyIncome]]*1.5),0)</f>
        <v>4587</v>
      </c>
    </row>
    <row r="173" spans="1:44" x14ac:dyDescent="0.35">
      <c r="A173" t="s">
        <v>275</v>
      </c>
      <c r="B173">
        <v>19</v>
      </c>
      <c r="C173" t="s">
        <v>37</v>
      </c>
      <c r="D173">
        <v>602</v>
      </c>
      <c r="E173" t="s">
        <v>32</v>
      </c>
      <c r="F173">
        <v>1</v>
      </c>
      <c r="G173">
        <v>1</v>
      </c>
      <c r="H173" t="s">
        <v>52</v>
      </c>
      <c r="I173">
        <v>3</v>
      </c>
      <c r="J173" t="s">
        <v>34</v>
      </c>
      <c r="K173">
        <v>100</v>
      </c>
      <c r="L173">
        <v>1</v>
      </c>
      <c r="M173">
        <v>1</v>
      </c>
      <c r="N173" t="s">
        <v>49</v>
      </c>
      <c r="O173">
        <v>1</v>
      </c>
      <c r="P173" t="s">
        <v>36</v>
      </c>
      <c r="Q173">
        <v>2325</v>
      </c>
      <c r="R173">
        <v>20989</v>
      </c>
      <c r="S173">
        <v>0</v>
      </c>
      <c r="T173">
        <v>0</v>
      </c>
      <c r="U173" s="17">
        <v>0.21</v>
      </c>
      <c r="V173">
        <v>4</v>
      </c>
      <c r="W173">
        <v>1</v>
      </c>
      <c r="X173">
        <v>0</v>
      </c>
      <c r="Y173">
        <v>1</v>
      </c>
      <c r="Z173">
        <v>5</v>
      </c>
      <c r="AA173">
        <v>4</v>
      </c>
      <c r="AB173">
        <v>0</v>
      </c>
      <c r="AC173">
        <v>0</v>
      </c>
      <c r="AD173">
        <v>0</v>
      </c>
      <c r="AE173">
        <v>0</v>
      </c>
      <c r="AF173">
        <v>1</v>
      </c>
      <c r="AG173">
        <f>IF(tbl_HR_Data[[#This Row],[Gender]]="Male",1,0)</f>
        <v>0</v>
      </c>
      <c r="AH173" cm="1">
        <f t="array" ref="AH173">_xlfn.SWITCH(tbl_HR_Data[[#This Row],[BusinessTravel]], "Non-Travel", 0, "Travel_Rarely", 1, "Travel_Frequently", 2)</f>
        <v>2</v>
      </c>
      <c r="AI173" cm="1">
        <f t="array" ref="AI173">_xlfn.SWITCH(tbl_HR_Data[[#This Row],[MaritalStatus]],"Single",0,"Married",1,"Divorced",2)</f>
        <v>0</v>
      </c>
      <c r="AJ173">
        <f>IF(tbl_HR_Data[[#This Row],[OverTime]]=1,1,0)</f>
        <v>0</v>
      </c>
      <c r="AK173">
        <f>IF(tbl_HR_Data[[#This Row],[DistanceFromHome]]&gt;15,1,0)</f>
        <v>0</v>
      </c>
      <c r="AL173">
        <f>IF(tbl_HR_Data[[#This Row],[JobSatisfaction]]&lt;=2,1,0)</f>
        <v>1</v>
      </c>
      <c r="AM173">
        <f>IF(tbl_HR_Data[[#This Row],[MonthlyIncome]]&lt;$AT$2,1,0)</f>
        <v>1</v>
      </c>
      <c r="AN173">
        <f>IF(tbl_HR_Data[[#This Row],[Travel_Code]]=2,1,0)</f>
        <v>1</v>
      </c>
      <c r="AO173">
        <f>(tbl_HR_Data[[#This Row],[Flag_OT]] * Logic_Parameters!$B$2) +
 (tbl_HR_Data[[#This Row],[Flag_Travel]] * Logic_Parameters!$B$3) +
 (tbl_HR_Data[[#This Row],[Flag_Satisfaction]] * Logic_Parameters!$B$4) +
 (tbl_HR_Data[[#This Row],[Flag_Distance]]* Logic_Parameters!$B$5) +
 (tbl_HR_Data[[#This Row],[Flag_Income]] * Logic_Parameters!$B$6)</f>
        <v>15.859352047889136</v>
      </c>
      <c r="AP173" s="15">
        <f>tbl_HR_Data[[#This Row],[Risk_Score_Raw]] / SUM(Logic_Parameters!$B$2:$B$6)</f>
        <v>0.54639453549708916</v>
      </c>
      <c r="AQ173" s="16" t="str" cm="1">
        <f t="array" ref="AQ173">_xlfn.IFS(tbl_HR_Data[[#This Row],[Attrition_Risk_Percentage]] &gt;= 0.75, "Critical",tbl_HR_Data[ [#This Row],[Attrition_Risk_Percentage] ]&gt;= 0.5, "High",tbl_HR_Data[[#This Row],[Attrition_Risk_Percentage]] &gt;= 0.25, "Medium",TRUE, "Low")</f>
        <v>High</v>
      </c>
      <c r="AR173" s="16" cm="1">
        <f t="array" ref="AR173">IFERROR(_xlfn.IFS(tbl_HR_Data[[#This Row],[Risk_Category]]="Critical",tbl_HR_Data[[#This Row],[MonthlyIncome]]*1.5,tbl_HR_Data[[#This Row],[Risk_Category]]="High",tbl_HR_Data[[#This Row],[MonthlyIncome]]*1.5),0)</f>
        <v>3487.5</v>
      </c>
    </row>
    <row r="174" spans="1:44" x14ac:dyDescent="0.35">
      <c r="A174" t="s">
        <v>141</v>
      </c>
      <c r="B174">
        <v>36</v>
      </c>
      <c r="C174" t="s">
        <v>37</v>
      </c>
      <c r="D174">
        <v>1480</v>
      </c>
      <c r="E174" t="s">
        <v>38</v>
      </c>
      <c r="F174">
        <v>3</v>
      </c>
      <c r="G174">
        <v>2</v>
      </c>
      <c r="H174" t="s">
        <v>44</v>
      </c>
      <c r="I174">
        <v>4</v>
      </c>
      <c r="J174" t="s">
        <v>39</v>
      </c>
      <c r="K174">
        <v>30</v>
      </c>
      <c r="L174">
        <v>3</v>
      </c>
      <c r="M174">
        <v>1</v>
      </c>
      <c r="N174" t="s">
        <v>43</v>
      </c>
      <c r="O174">
        <v>2</v>
      </c>
      <c r="P174" t="s">
        <v>36</v>
      </c>
      <c r="Q174">
        <v>2088</v>
      </c>
      <c r="R174">
        <v>15062</v>
      </c>
      <c r="S174">
        <v>4</v>
      </c>
      <c r="T174">
        <v>0</v>
      </c>
      <c r="U174" s="17">
        <v>0.12</v>
      </c>
      <c r="V174">
        <v>3</v>
      </c>
      <c r="W174">
        <v>3</v>
      </c>
      <c r="X174">
        <v>0</v>
      </c>
      <c r="Y174">
        <v>13</v>
      </c>
      <c r="Z174">
        <v>3</v>
      </c>
      <c r="AA174">
        <v>2</v>
      </c>
      <c r="AB174">
        <v>8</v>
      </c>
      <c r="AC174">
        <v>7</v>
      </c>
      <c r="AD174">
        <v>7</v>
      </c>
      <c r="AE174">
        <v>2</v>
      </c>
      <c r="AF174">
        <v>0</v>
      </c>
      <c r="AG174">
        <f>IF(tbl_HR_Data[[#This Row],[Gender]]="Male",1,0)</f>
        <v>1</v>
      </c>
      <c r="AH174" cm="1">
        <f t="array" ref="AH174">_xlfn.SWITCH(tbl_HR_Data[[#This Row],[BusinessTravel]], "Non-Travel", 0, "Travel_Rarely", 1, "Travel_Frequently", 2)</f>
        <v>2</v>
      </c>
      <c r="AI174" cm="1">
        <f t="array" ref="AI174">_xlfn.SWITCH(tbl_HR_Data[[#This Row],[MaritalStatus]],"Single",0,"Married",1,"Divorced",2)</f>
        <v>0</v>
      </c>
      <c r="AJ174">
        <f>IF(tbl_HR_Data[[#This Row],[OverTime]]=1,1,0)</f>
        <v>0</v>
      </c>
      <c r="AK174">
        <f>IF(tbl_HR_Data[[#This Row],[DistanceFromHome]]&gt;15,1,0)</f>
        <v>0</v>
      </c>
      <c r="AL174">
        <f>IF(tbl_HR_Data[[#This Row],[JobSatisfaction]]&lt;=2,1,0)</f>
        <v>1</v>
      </c>
      <c r="AM174">
        <f>IF(tbl_HR_Data[[#This Row],[MonthlyIncome]]&lt;$AT$2,1,0)</f>
        <v>1</v>
      </c>
      <c r="AN174">
        <f>IF(tbl_HR_Data[[#This Row],[Travel_Code]]=2,1,0)</f>
        <v>1</v>
      </c>
      <c r="AO174">
        <f>(tbl_HR_Data[[#This Row],[Flag_OT]] * Logic_Parameters!$B$2) +
 (tbl_HR_Data[[#This Row],[Flag_Travel]] * Logic_Parameters!$B$3) +
 (tbl_HR_Data[[#This Row],[Flag_Satisfaction]] * Logic_Parameters!$B$4) +
 (tbl_HR_Data[[#This Row],[Flag_Distance]]* Logic_Parameters!$B$5) +
 (tbl_HR_Data[[#This Row],[Flag_Income]] * Logic_Parameters!$B$6)</f>
        <v>15.859352047889136</v>
      </c>
      <c r="AP174" s="15">
        <f>tbl_HR_Data[[#This Row],[Risk_Score_Raw]] / SUM(Logic_Parameters!$B$2:$B$6)</f>
        <v>0.54639453549708916</v>
      </c>
      <c r="AQ174" s="16" t="str" cm="1">
        <f t="array" ref="AQ174">_xlfn.IFS(tbl_HR_Data[[#This Row],[Attrition_Risk_Percentage]] &gt;= 0.75, "Critical",tbl_HR_Data[ [#This Row],[Attrition_Risk_Percentage] ]&gt;= 0.5, "High",tbl_HR_Data[[#This Row],[Attrition_Risk_Percentage]] &gt;= 0.25, "Medium",TRUE, "Low")</f>
        <v>High</v>
      </c>
      <c r="AR174" s="16" cm="1">
        <f t="array" ref="AR174">IFERROR(_xlfn.IFS(tbl_HR_Data[[#This Row],[Risk_Category]]="Critical",tbl_HR_Data[[#This Row],[MonthlyIncome]]*1.5,tbl_HR_Data[[#This Row],[Risk_Category]]="High",tbl_HR_Data[[#This Row],[MonthlyIncome]]*1.5),0)</f>
        <v>3132</v>
      </c>
    </row>
    <row r="175" spans="1:44" x14ac:dyDescent="0.35">
      <c r="A175" t="s">
        <v>1364</v>
      </c>
      <c r="B175">
        <v>30</v>
      </c>
      <c r="C175" t="s">
        <v>1525</v>
      </c>
      <c r="D175">
        <v>111</v>
      </c>
      <c r="E175" t="s">
        <v>38</v>
      </c>
      <c r="F175">
        <v>9</v>
      </c>
      <c r="G175">
        <v>3</v>
      </c>
      <c r="H175" t="s">
        <v>44</v>
      </c>
      <c r="I175">
        <v>3</v>
      </c>
      <c r="J175" t="s">
        <v>39</v>
      </c>
      <c r="K175">
        <v>66</v>
      </c>
      <c r="L175">
        <v>3</v>
      </c>
      <c r="M175">
        <v>2</v>
      </c>
      <c r="N175" t="s">
        <v>43</v>
      </c>
      <c r="O175">
        <v>1</v>
      </c>
      <c r="P175" t="s">
        <v>45</v>
      </c>
      <c r="Q175">
        <v>3072</v>
      </c>
      <c r="R175">
        <v>11012</v>
      </c>
      <c r="S175">
        <v>1</v>
      </c>
      <c r="T175">
        <v>0</v>
      </c>
      <c r="U175" s="17">
        <v>0.11</v>
      </c>
      <c r="V175">
        <v>3</v>
      </c>
      <c r="W175">
        <v>3</v>
      </c>
      <c r="X175">
        <v>2</v>
      </c>
      <c r="Y175">
        <v>12</v>
      </c>
      <c r="Z175">
        <v>4</v>
      </c>
      <c r="AA175">
        <v>3</v>
      </c>
      <c r="AB175">
        <v>12</v>
      </c>
      <c r="AC175">
        <v>9</v>
      </c>
      <c r="AD175">
        <v>6</v>
      </c>
      <c r="AE175">
        <v>10</v>
      </c>
      <c r="AF175">
        <v>0</v>
      </c>
      <c r="AG175">
        <f>IF(tbl_HR_Data[[#This Row],[Gender]]="Male",1,0)</f>
        <v>1</v>
      </c>
      <c r="AH175" cm="1">
        <f t="array" ref="AH175">_xlfn.SWITCH(tbl_HR_Data[[#This Row],[BusinessTravel]], "Non-Travel", 0, "Travel_Rarely", 1, "Travel_Frequently", 2)</f>
        <v>0</v>
      </c>
      <c r="AI175" cm="1">
        <f t="array" ref="AI175">_xlfn.SWITCH(tbl_HR_Data[[#This Row],[MaritalStatus]],"Single",0,"Married",1,"Divorced",2)</f>
        <v>2</v>
      </c>
      <c r="AJ175">
        <f>IF(tbl_HR_Data[[#This Row],[OverTime]]=1,1,0)</f>
        <v>0</v>
      </c>
      <c r="AK175">
        <f>IF(tbl_HR_Data[[#This Row],[DistanceFromHome]]&gt;15,1,0)</f>
        <v>0</v>
      </c>
      <c r="AL175">
        <f>IF(tbl_HR_Data[[#This Row],[JobSatisfaction]]&lt;=2,1,0)</f>
        <v>1</v>
      </c>
      <c r="AM175">
        <f>IF(tbl_HR_Data[[#This Row],[MonthlyIncome]]&lt;$AT$2,1,0)</f>
        <v>1</v>
      </c>
      <c r="AN175">
        <f>IF(tbl_HR_Data[[#This Row],[Travel_Code]]=2,1,0)</f>
        <v>0</v>
      </c>
      <c r="AO175">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75" s="15">
        <f>tbl_HR_Data[[#This Row],[Risk_Score_Raw]] / SUM(Logic_Parameters!$B$2:$B$6)</f>
        <v>0.3686061316669938</v>
      </c>
      <c r="AQ175" s="16" t="str" cm="1">
        <f t="array" ref="AQ175">_xlfn.IFS(tbl_HR_Data[[#This Row],[Attrition_Risk_Percentage]] &gt;= 0.75, "Critical",tbl_HR_Data[ [#This Row],[Attrition_Risk_Percentage] ]&gt;= 0.5, "High",tbl_HR_Data[[#This Row],[Attrition_Risk_Percentage]] &gt;= 0.25, "Medium",TRUE, "Low")</f>
        <v>Medium</v>
      </c>
      <c r="AR175" s="16" cm="1">
        <f t="array" ref="AR175">IFERROR(_xlfn.IFS(tbl_HR_Data[[#This Row],[Risk_Category]]="Critical",tbl_HR_Data[[#This Row],[MonthlyIncome]]*1.5,tbl_HR_Data[[#This Row],[Risk_Category]]="High",tbl_HR_Data[[#This Row],[MonthlyIncome]]*1.5),0)</f>
        <v>0</v>
      </c>
    </row>
    <row r="176" spans="1:44" x14ac:dyDescent="0.35">
      <c r="A176" t="s">
        <v>1521</v>
      </c>
      <c r="B176">
        <v>45</v>
      </c>
      <c r="C176" t="s">
        <v>31</v>
      </c>
      <c r="D176">
        <v>1268</v>
      </c>
      <c r="E176" t="s">
        <v>32</v>
      </c>
      <c r="F176">
        <v>4</v>
      </c>
      <c r="G176">
        <v>2</v>
      </c>
      <c r="H176" t="s">
        <v>33</v>
      </c>
      <c r="I176">
        <v>3</v>
      </c>
      <c r="J176" t="s">
        <v>34</v>
      </c>
      <c r="K176">
        <v>30</v>
      </c>
      <c r="L176">
        <v>3</v>
      </c>
      <c r="M176">
        <v>2</v>
      </c>
      <c r="N176" t="s">
        <v>35</v>
      </c>
      <c r="O176">
        <v>1</v>
      </c>
      <c r="P176" t="s">
        <v>45</v>
      </c>
      <c r="Q176">
        <v>5006</v>
      </c>
      <c r="R176">
        <v>6319</v>
      </c>
      <c r="S176">
        <v>4</v>
      </c>
      <c r="T176">
        <v>1</v>
      </c>
      <c r="U176" s="17">
        <v>0.11</v>
      </c>
      <c r="V176">
        <v>3</v>
      </c>
      <c r="W176">
        <v>1</v>
      </c>
      <c r="X176">
        <v>1</v>
      </c>
      <c r="Y176">
        <v>9</v>
      </c>
      <c r="Z176">
        <v>3</v>
      </c>
      <c r="AA176">
        <v>4</v>
      </c>
      <c r="AB176">
        <v>5</v>
      </c>
      <c r="AC176">
        <v>4</v>
      </c>
      <c r="AD176">
        <v>0</v>
      </c>
      <c r="AE176">
        <v>3</v>
      </c>
      <c r="AF176">
        <v>0</v>
      </c>
      <c r="AG176">
        <f>IF(tbl_HR_Data[[#This Row],[Gender]]="Male",1,0)</f>
        <v>0</v>
      </c>
      <c r="AH176" cm="1">
        <f t="array" ref="AH176">_xlfn.SWITCH(tbl_HR_Data[[#This Row],[BusinessTravel]], "Non-Travel", 0, "Travel_Rarely", 1, "Travel_Frequently", 2)</f>
        <v>1</v>
      </c>
      <c r="AI176" cm="1">
        <f t="array" ref="AI176">_xlfn.SWITCH(tbl_HR_Data[[#This Row],[MaritalStatus]],"Single",0,"Married",1,"Divorced",2)</f>
        <v>2</v>
      </c>
      <c r="AJ176">
        <f>IF(tbl_HR_Data[[#This Row],[OverTime]]=1,1,0)</f>
        <v>1</v>
      </c>
      <c r="AK176">
        <f>IF(tbl_HR_Data[[#This Row],[DistanceFromHome]]&gt;15,1,0)</f>
        <v>0</v>
      </c>
      <c r="AL176">
        <f>IF(tbl_HR_Data[[#This Row],[JobSatisfaction]]&lt;=2,1,0)</f>
        <v>1</v>
      </c>
      <c r="AM176">
        <f>IF(tbl_HR_Data[[#This Row],[MonthlyIncome]]&lt;$AT$2,1,0)</f>
        <v>0</v>
      </c>
      <c r="AN176">
        <f>IF(tbl_HR_Data[[#This Row],[Travel_Code]]=2,1,0)</f>
        <v>0</v>
      </c>
      <c r="AO176">
        <f>(tbl_HR_Data[[#This Row],[Flag_OT]] * Logic_Parameters!$B$2) +
 (tbl_HR_Data[[#This Row],[Flag_Travel]] * Logic_Parameters!$B$3) +
 (tbl_HR_Data[[#This Row],[Flag_Satisfaction]] * Logic_Parameters!$B$4) +
 (tbl_HR_Data[[#This Row],[Flag_Distance]]* Logic_Parameters!$B$5) +
 (tbl_HR_Data[[#This Row],[Flag_Income]] * Logic_Parameters!$B$6)</f>
        <v>14.204533129978131</v>
      </c>
      <c r="AP176" s="15">
        <f>tbl_HR_Data[[#This Row],[Risk_Score_Raw]] / SUM(Logic_Parameters!$B$2:$B$6)</f>
        <v>0.48938186491297625</v>
      </c>
      <c r="AQ176" s="16" t="str" cm="1">
        <f t="array" ref="AQ176">_xlfn.IFS(tbl_HR_Data[[#This Row],[Attrition_Risk_Percentage]] &gt;= 0.75, "Critical",tbl_HR_Data[ [#This Row],[Attrition_Risk_Percentage] ]&gt;= 0.5, "High",tbl_HR_Data[[#This Row],[Attrition_Risk_Percentage]] &gt;= 0.25, "Medium",TRUE, "Low")</f>
        <v>Medium</v>
      </c>
      <c r="AR176" s="16" cm="1">
        <f t="array" ref="AR176">IFERROR(_xlfn.IFS(tbl_HR_Data[[#This Row],[Risk_Category]]="Critical",tbl_HR_Data[[#This Row],[MonthlyIncome]]*1.5,tbl_HR_Data[[#This Row],[Risk_Category]]="High",tbl_HR_Data[[#This Row],[MonthlyIncome]]*1.5),0)</f>
        <v>0</v>
      </c>
    </row>
    <row r="177" spans="1:44" x14ac:dyDescent="0.35">
      <c r="A177" t="s">
        <v>560</v>
      </c>
      <c r="B177">
        <v>56</v>
      </c>
      <c r="C177" t="s">
        <v>31</v>
      </c>
      <c r="D177">
        <v>713</v>
      </c>
      <c r="E177" t="s">
        <v>38</v>
      </c>
      <c r="F177">
        <v>8</v>
      </c>
      <c r="G177">
        <v>3</v>
      </c>
      <c r="H177" t="s">
        <v>33</v>
      </c>
      <c r="I177">
        <v>3</v>
      </c>
      <c r="J177" t="s">
        <v>34</v>
      </c>
      <c r="K177">
        <v>67</v>
      </c>
      <c r="L177">
        <v>3</v>
      </c>
      <c r="M177">
        <v>1</v>
      </c>
      <c r="N177" t="s">
        <v>40</v>
      </c>
      <c r="O177">
        <v>1</v>
      </c>
      <c r="P177" t="s">
        <v>45</v>
      </c>
      <c r="Q177">
        <v>4257</v>
      </c>
      <c r="R177">
        <v>13939</v>
      </c>
      <c r="S177">
        <v>4</v>
      </c>
      <c r="T177">
        <v>1</v>
      </c>
      <c r="U177" s="17">
        <v>0.18</v>
      </c>
      <c r="V177">
        <v>3</v>
      </c>
      <c r="W177">
        <v>3</v>
      </c>
      <c r="X177">
        <v>1</v>
      </c>
      <c r="Y177">
        <v>19</v>
      </c>
      <c r="Z177">
        <v>3</v>
      </c>
      <c r="AA177">
        <v>3</v>
      </c>
      <c r="AB177">
        <v>2</v>
      </c>
      <c r="AC177">
        <v>2</v>
      </c>
      <c r="AD177">
        <v>2</v>
      </c>
      <c r="AE177">
        <v>2</v>
      </c>
      <c r="AF177">
        <v>0</v>
      </c>
      <c r="AG177">
        <f>IF(tbl_HR_Data[[#This Row],[Gender]]="Male",1,0)</f>
        <v>0</v>
      </c>
      <c r="AH177" cm="1">
        <f t="array" ref="AH177">_xlfn.SWITCH(tbl_HR_Data[[#This Row],[BusinessTravel]], "Non-Travel", 0, "Travel_Rarely", 1, "Travel_Frequently", 2)</f>
        <v>1</v>
      </c>
      <c r="AI177" cm="1">
        <f t="array" ref="AI177">_xlfn.SWITCH(tbl_HR_Data[[#This Row],[MaritalStatus]],"Single",0,"Married",1,"Divorced",2)</f>
        <v>2</v>
      </c>
      <c r="AJ177">
        <f>IF(tbl_HR_Data[[#This Row],[OverTime]]=1,1,0)</f>
        <v>1</v>
      </c>
      <c r="AK177">
        <f>IF(tbl_HR_Data[[#This Row],[DistanceFromHome]]&gt;15,1,0)</f>
        <v>0</v>
      </c>
      <c r="AL177">
        <f>IF(tbl_HR_Data[[#This Row],[JobSatisfaction]]&lt;=2,1,0)</f>
        <v>1</v>
      </c>
      <c r="AM177">
        <f>IF(tbl_HR_Data[[#This Row],[MonthlyIncome]]&lt;$AT$2,1,0)</f>
        <v>1</v>
      </c>
      <c r="AN177">
        <f>IF(tbl_HR_Data[[#This Row],[Travel_Code]]=2,1,0)</f>
        <v>0</v>
      </c>
      <c r="AO177">
        <f>(tbl_HR_Data[[#This Row],[Flag_OT]] * Logic_Parameters!$B$2) +
 (tbl_HR_Data[[#This Row],[Flag_Travel]] * Logic_Parameters!$B$3) +
 (tbl_HR_Data[[#This Row],[Flag_Satisfaction]] * Logic_Parameters!$B$4) +
 (tbl_HR_Data[[#This Row],[Flag_Distance]]* Logic_Parameters!$B$5) +
 (tbl_HR_Data[[#This Row],[Flag_Income]] * Logic_Parameters!$B$6)</f>
        <v>20.698962067398959</v>
      </c>
      <c r="AP177" s="15">
        <f>tbl_HR_Data[[#This Row],[Risk_Score_Raw]] / SUM(Logic_Parameters!$B$2:$B$6)</f>
        <v>0.71313126349280109</v>
      </c>
      <c r="AQ177" s="16" t="str" cm="1">
        <f t="array" ref="AQ177">_xlfn.IFS(tbl_HR_Data[[#This Row],[Attrition_Risk_Percentage]] &gt;= 0.75, "Critical",tbl_HR_Data[ [#This Row],[Attrition_Risk_Percentage] ]&gt;= 0.5, "High",tbl_HR_Data[[#This Row],[Attrition_Risk_Percentage]] &gt;= 0.25, "Medium",TRUE, "Low")</f>
        <v>High</v>
      </c>
      <c r="AR177" s="16" cm="1">
        <f t="array" ref="AR177">IFERROR(_xlfn.IFS(tbl_HR_Data[[#This Row],[Risk_Category]]="Critical",tbl_HR_Data[[#This Row],[MonthlyIncome]]*1.5,tbl_HR_Data[[#This Row],[Risk_Category]]="High",tbl_HR_Data[[#This Row],[MonthlyIncome]]*1.5),0)</f>
        <v>6385.5</v>
      </c>
    </row>
    <row r="178" spans="1:44" x14ac:dyDescent="0.35">
      <c r="A178" t="s">
        <v>789</v>
      </c>
      <c r="B178">
        <v>33</v>
      </c>
      <c r="C178" t="s">
        <v>31</v>
      </c>
      <c r="D178">
        <v>134</v>
      </c>
      <c r="E178" t="s">
        <v>38</v>
      </c>
      <c r="F178">
        <v>2</v>
      </c>
      <c r="G178">
        <v>3</v>
      </c>
      <c r="H178" t="s">
        <v>33</v>
      </c>
      <c r="I178">
        <v>3</v>
      </c>
      <c r="J178" t="s">
        <v>39</v>
      </c>
      <c r="K178">
        <v>90</v>
      </c>
      <c r="L178">
        <v>3</v>
      </c>
      <c r="M178">
        <v>1</v>
      </c>
      <c r="N178" t="s">
        <v>40</v>
      </c>
      <c r="O178">
        <v>4</v>
      </c>
      <c r="P178" t="s">
        <v>36</v>
      </c>
      <c r="Q178">
        <v>2500</v>
      </c>
      <c r="R178">
        <v>10515</v>
      </c>
      <c r="S178">
        <v>0</v>
      </c>
      <c r="T178">
        <v>0</v>
      </c>
      <c r="U178" s="17">
        <v>0.14000000000000001</v>
      </c>
      <c r="V178">
        <v>3</v>
      </c>
      <c r="W178">
        <v>1</v>
      </c>
      <c r="X178">
        <v>0</v>
      </c>
      <c r="Y178">
        <v>4</v>
      </c>
      <c r="Z178">
        <v>2</v>
      </c>
      <c r="AA178">
        <v>4</v>
      </c>
      <c r="AB178">
        <v>3</v>
      </c>
      <c r="AC178">
        <v>1</v>
      </c>
      <c r="AD178">
        <v>0</v>
      </c>
      <c r="AE178">
        <v>2</v>
      </c>
      <c r="AF178">
        <v>0</v>
      </c>
      <c r="AG178">
        <f>IF(tbl_HR_Data[[#This Row],[Gender]]="Male",1,0)</f>
        <v>1</v>
      </c>
      <c r="AH178" cm="1">
        <f t="array" ref="AH178">_xlfn.SWITCH(tbl_HR_Data[[#This Row],[BusinessTravel]], "Non-Travel", 0, "Travel_Rarely", 1, "Travel_Frequently", 2)</f>
        <v>1</v>
      </c>
      <c r="AI178" cm="1">
        <f t="array" ref="AI178">_xlfn.SWITCH(tbl_HR_Data[[#This Row],[MaritalStatus]],"Single",0,"Married",1,"Divorced",2)</f>
        <v>0</v>
      </c>
      <c r="AJ178">
        <f>IF(tbl_HR_Data[[#This Row],[OverTime]]=1,1,0)</f>
        <v>0</v>
      </c>
      <c r="AK178">
        <f>IF(tbl_HR_Data[[#This Row],[DistanceFromHome]]&gt;15,1,0)</f>
        <v>0</v>
      </c>
      <c r="AL178">
        <f>IF(tbl_HR_Data[[#This Row],[JobSatisfaction]]&lt;=2,1,0)</f>
        <v>0</v>
      </c>
      <c r="AM178">
        <f>IF(tbl_HR_Data[[#This Row],[MonthlyIncome]]&lt;$AT$2,1,0)</f>
        <v>1</v>
      </c>
      <c r="AN178">
        <f>IF(tbl_HR_Data[[#This Row],[Travel_Code]]=2,1,0)</f>
        <v>0</v>
      </c>
      <c r="AO178">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78" s="15">
        <f>tbl_HR_Data[[#This Row],[Risk_Score_Raw]] / SUM(Logic_Parameters!$B$2:$B$6)</f>
        <v>0.22374939857982484</v>
      </c>
      <c r="AQ178" s="16" t="str" cm="1">
        <f t="array" ref="AQ178">_xlfn.IFS(tbl_HR_Data[[#This Row],[Attrition_Risk_Percentage]] &gt;= 0.75, "Critical",tbl_HR_Data[ [#This Row],[Attrition_Risk_Percentage] ]&gt;= 0.5, "High",tbl_HR_Data[[#This Row],[Attrition_Risk_Percentage]] &gt;= 0.25, "Medium",TRUE, "Low")</f>
        <v>Low</v>
      </c>
      <c r="AR178" s="16" cm="1">
        <f t="array" ref="AR178">IFERROR(_xlfn.IFS(tbl_HR_Data[[#This Row],[Risk_Category]]="Critical",tbl_HR_Data[[#This Row],[MonthlyIncome]]*1.5,tbl_HR_Data[[#This Row],[Risk_Category]]="High",tbl_HR_Data[[#This Row],[MonthlyIncome]]*1.5),0)</f>
        <v>0</v>
      </c>
    </row>
    <row r="179" spans="1:44" x14ac:dyDescent="0.35">
      <c r="A179" t="s">
        <v>621</v>
      </c>
      <c r="B179">
        <v>19</v>
      </c>
      <c r="C179" t="s">
        <v>31</v>
      </c>
      <c r="D179">
        <v>303</v>
      </c>
      <c r="E179" t="s">
        <v>38</v>
      </c>
      <c r="F179">
        <v>2</v>
      </c>
      <c r="G179">
        <v>3</v>
      </c>
      <c r="H179" t="s">
        <v>33</v>
      </c>
      <c r="I179">
        <v>2</v>
      </c>
      <c r="J179" t="s">
        <v>39</v>
      </c>
      <c r="K179">
        <v>47</v>
      </c>
      <c r="L179">
        <v>2</v>
      </c>
      <c r="M179">
        <v>1</v>
      </c>
      <c r="N179" t="s">
        <v>43</v>
      </c>
      <c r="O179">
        <v>4</v>
      </c>
      <c r="P179" t="s">
        <v>36</v>
      </c>
      <c r="Q179">
        <v>1102</v>
      </c>
      <c r="R179">
        <v>9241</v>
      </c>
      <c r="S179">
        <v>1</v>
      </c>
      <c r="T179">
        <v>0</v>
      </c>
      <c r="U179" s="17">
        <v>0.22</v>
      </c>
      <c r="V179">
        <v>4</v>
      </c>
      <c r="W179">
        <v>3</v>
      </c>
      <c r="X179">
        <v>0</v>
      </c>
      <c r="Y179">
        <v>1</v>
      </c>
      <c r="Z179">
        <v>3</v>
      </c>
      <c r="AA179">
        <v>2</v>
      </c>
      <c r="AB179">
        <v>1</v>
      </c>
      <c r="AC179">
        <v>0</v>
      </c>
      <c r="AD179">
        <v>1</v>
      </c>
      <c r="AE179">
        <v>0</v>
      </c>
      <c r="AF179">
        <v>1</v>
      </c>
      <c r="AG179">
        <f>IF(tbl_HR_Data[[#This Row],[Gender]]="Male",1,0)</f>
        <v>1</v>
      </c>
      <c r="AH179" cm="1">
        <f t="array" ref="AH179">_xlfn.SWITCH(tbl_HR_Data[[#This Row],[BusinessTravel]], "Non-Travel", 0, "Travel_Rarely", 1, "Travel_Frequently", 2)</f>
        <v>1</v>
      </c>
      <c r="AI179" cm="1">
        <f t="array" ref="AI179">_xlfn.SWITCH(tbl_HR_Data[[#This Row],[MaritalStatus]],"Single",0,"Married",1,"Divorced",2)</f>
        <v>0</v>
      </c>
      <c r="AJ179">
        <f>IF(tbl_HR_Data[[#This Row],[OverTime]]=1,1,0)</f>
        <v>0</v>
      </c>
      <c r="AK179">
        <f>IF(tbl_HR_Data[[#This Row],[DistanceFromHome]]&gt;15,1,0)</f>
        <v>0</v>
      </c>
      <c r="AL179">
        <f>IF(tbl_HR_Data[[#This Row],[JobSatisfaction]]&lt;=2,1,0)</f>
        <v>0</v>
      </c>
      <c r="AM179">
        <f>IF(tbl_HR_Data[[#This Row],[MonthlyIncome]]&lt;$AT$2,1,0)</f>
        <v>1</v>
      </c>
      <c r="AN179">
        <f>IF(tbl_HR_Data[[#This Row],[Travel_Code]]=2,1,0)</f>
        <v>0</v>
      </c>
      <c r="AO179">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79" s="15">
        <f>tbl_HR_Data[[#This Row],[Risk_Score_Raw]] / SUM(Logic_Parameters!$B$2:$B$6)</f>
        <v>0.22374939857982484</v>
      </c>
      <c r="AQ179" s="16" t="str" cm="1">
        <f t="array" ref="AQ179">_xlfn.IFS(tbl_HR_Data[[#This Row],[Attrition_Risk_Percentage]] &gt;= 0.75, "Critical",tbl_HR_Data[ [#This Row],[Attrition_Risk_Percentage] ]&gt;= 0.5, "High",tbl_HR_Data[[#This Row],[Attrition_Risk_Percentage]] &gt;= 0.25, "Medium",TRUE, "Low")</f>
        <v>Low</v>
      </c>
      <c r="AR179" s="16" cm="1">
        <f t="array" ref="AR179">IFERROR(_xlfn.IFS(tbl_HR_Data[[#This Row],[Risk_Category]]="Critical",tbl_HR_Data[[#This Row],[MonthlyIncome]]*1.5,tbl_HR_Data[[#This Row],[Risk_Category]]="High",tbl_HR_Data[[#This Row],[MonthlyIncome]]*1.5),0)</f>
        <v>0</v>
      </c>
    </row>
    <row r="180" spans="1:44" x14ac:dyDescent="0.35">
      <c r="A180" t="s">
        <v>455</v>
      </c>
      <c r="B180">
        <v>46</v>
      </c>
      <c r="C180" t="s">
        <v>31</v>
      </c>
      <c r="D180">
        <v>526</v>
      </c>
      <c r="E180" t="s">
        <v>32</v>
      </c>
      <c r="F180">
        <v>1</v>
      </c>
      <c r="G180">
        <v>2</v>
      </c>
      <c r="H180" t="s">
        <v>51</v>
      </c>
      <c r="I180">
        <v>2</v>
      </c>
      <c r="J180" t="s">
        <v>34</v>
      </c>
      <c r="K180">
        <v>92</v>
      </c>
      <c r="L180">
        <v>3</v>
      </c>
      <c r="M180">
        <v>3</v>
      </c>
      <c r="N180" t="s">
        <v>35</v>
      </c>
      <c r="O180">
        <v>1</v>
      </c>
      <c r="P180" t="s">
        <v>45</v>
      </c>
      <c r="Q180">
        <v>10453</v>
      </c>
      <c r="R180">
        <v>2137</v>
      </c>
      <c r="S180">
        <v>1</v>
      </c>
      <c r="T180">
        <v>0</v>
      </c>
      <c r="U180" s="17">
        <v>0.25</v>
      </c>
      <c r="V180">
        <v>4</v>
      </c>
      <c r="W180">
        <v>3</v>
      </c>
      <c r="X180">
        <v>3</v>
      </c>
      <c r="Y180">
        <v>24</v>
      </c>
      <c r="Z180">
        <v>2</v>
      </c>
      <c r="AA180">
        <v>3</v>
      </c>
      <c r="AB180">
        <v>24</v>
      </c>
      <c r="AC180">
        <v>13</v>
      </c>
      <c r="AD180">
        <v>15</v>
      </c>
      <c r="AE180">
        <v>7</v>
      </c>
      <c r="AF180">
        <v>0</v>
      </c>
      <c r="AG180">
        <f>IF(tbl_HR_Data[[#This Row],[Gender]]="Male",1,0)</f>
        <v>0</v>
      </c>
      <c r="AH180" cm="1">
        <f t="array" ref="AH180">_xlfn.SWITCH(tbl_HR_Data[[#This Row],[BusinessTravel]], "Non-Travel", 0, "Travel_Rarely", 1, "Travel_Frequently", 2)</f>
        <v>1</v>
      </c>
      <c r="AI180" cm="1">
        <f t="array" ref="AI180">_xlfn.SWITCH(tbl_HR_Data[[#This Row],[MaritalStatus]],"Single",0,"Married",1,"Divorced",2)</f>
        <v>2</v>
      </c>
      <c r="AJ180">
        <f>IF(tbl_HR_Data[[#This Row],[OverTime]]=1,1,0)</f>
        <v>0</v>
      </c>
      <c r="AK180">
        <f>IF(tbl_HR_Data[[#This Row],[DistanceFromHome]]&gt;15,1,0)</f>
        <v>0</v>
      </c>
      <c r="AL180">
        <f>IF(tbl_HR_Data[[#This Row],[JobSatisfaction]]&lt;=2,1,0)</f>
        <v>1</v>
      </c>
      <c r="AM180">
        <f>IF(tbl_HR_Data[[#This Row],[MonthlyIncome]]&lt;$AT$2,1,0)</f>
        <v>0</v>
      </c>
      <c r="AN180">
        <f>IF(tbl_HR_Data[[#This Row],[Travel_Code]]=2,1,0)</f>
        <v>0</v>
      </c>
      <c r="AO180">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80" s="15">
        <f>tbl_HR_Data[[#This Row],[Risk_Score_Raw]] / SUM(Logic_Parameters!$B$2:$B$6)</f>
        <v>0.14485673308716898</v>
      </c>
      <c r="AQ180" s="16" t="str" cm="1">
        <f t="array" ref="AQ180">_xlfn.IFS(tbl_HR_Data[[#This Row],[Attrition_Risk_Percentage]] &gt;= 0.75, "Critical",tbl_HR_Data[ [#This Row],[Attrition_Risk_Percentage] ]&gt;= 0.5, "High",tbl_HR_Data[[#This Row],[Attrition_Risk_Percentage]] &gt;= 0.25, "Medium",TRUE, "Low")</f>
        <v>Low</v>
      </c>
      <c r="AR180" s="16" cm="1">
        <f t="array" ref="AR180">IFERROR(_xlfn.IFS(tbl_HR_Data[[#This Row],[Risk_Category]]="Critical",tbl_HR_Data[[#This Row],[MonthlyIncome]]*1.5,tbl_HR_Data[[#This Row],[Risk_Category]]="High",tbl_HR_Data[[#This Row],[MonthlyIncome]]*1.5),0)</f>
        <v>0</v>
      </c>
    </row>
    <row r="181" spans="1:44" x14ac:dyDescent="0.35">
      <c r="A181" t="s">
        <v>684</v>
      </c>
      <c r="B181">
        <v>38</v>
      </c>
      <c r="C181" t="s">
        <v>31</v>
      </c>
      <c r="D181">
        <v>1380</v>
      </c>
      <c r="E181" t="s">
        <v>38</v>
      </c>
      <c r="F181">
        <v>9</v>
      </c>
      <c r="G181">
        <v>2</v>
      </c>
      <c r="H181" t="s">
        <v>33</v>
      </c>
      <c r="I181">
        <v>3</v>
      </c>
      <c r="J181" t="s">
        <v>34</v>
      </c>
      <c r="K181">
        <v>75</v>
      </c>
      <c r="L181">
        <v>3</v>
      </c>
      <c r="M181">
        <v>1</v>
      </c>
      <c r="N181" t="s">
        <v>43</v>
      </c>
      <c r="O181">
        <v>4</v>
      </c>
      <c r="P181" t="s">
        <v>36</v>
      </c>
      <c r="Q181">
        <v>2288</v>
      </c>
      <c r="R181">
        <v>6319</v>
      </c>
      <c r="S181">
        <v>1</v>
      </c>
      <c r="T181">
        <v>0</v>
      </c>
      <c r="U181" s="17">
        <v>0.12</v>
      </c>
      <c r="V181">
        <v>3</v>
      </c>
      <c r="W181">
        <v>3</v>
      </c>
      <c r="X181">
        <v>0</v>
      </c>
      <c r="Y181">
        <v>2</v>
      </c>
      <c r="Z181">
        <v>3</v>
      </c>
      <c r="AA181">
        <v>3</v>
      </c>
      <c r="AB181">
        <v>2</v>
      </c>
      <c r="AC181">
        <v>2</v>
      </c>
      <c r="AD181">
        <v>2</v>
      </c>
      <c r="AE181">
        <v>1</v>
      </c>
      <c r="AF181">
        <v>0</v>
      </c>
      <c r="AG181">
        <f>IF(tbl_HR_Data[[#This Row],[Gender]]="Male",1,0)</f>
        <v>0</v>
      </c>
      <c r="AH181" cm="1">
        <f t="array" ref="AH181">_xlfn.SWITCH(tbl_HR_Data[[#This Row],[BusinessTravel]], "Non-Travel", 0, "Travel_Rarely", 1, "Travel_Frequently", 2)</f>
        <v>1</v>
      </c>
      <c r="AI181" cm="1">
        <f t="array" ref="AI181">_xlfn.SWITCH(tbl_HR_Data[[#This Row],[MaritalStatus]],"Single",0,"Married",1,"Divorced",2)</f>
        <v>0</v>
      </c>
      <c r="AJ181">
        <f>IF(tbl_HR_Data[[#This Row],[OverTime]]=1,1,0)</f>
        <v>0</v>
      </c>
      <c r="AK181">
        <f>IF(tbl_HR_Data[[#This Row],[DistanceFromHome]]&gt;15,1,0)</f>
        <v>0</v>
      </c>
      <c r="AL181">
        <f>IF(tbl_HR_Data[[#This Row],[JobSatisfaction]]&lt;=2,1,0)</f>
        <v>0</v>
      </c>
      <c r="AM181">
        <f>IF(tbl_HR_Data[[#This Row],[MonthlyIncome]]&lt;$AT$2,1,0)</f>
        <v>1</v>
      </c>
      <c r="AN181">
        <f>IF(tbl_HR_Data[[#This Row],[Travel_Code]]=2,1,0)</f>
        <v>0</v>
      </c>
      <c r="AO181">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81" s="15">
        <f>tbl_HR_Data[[#This Row],[Risk_Score_Raw]] / SUM(Logic_Parameters!$B$2:$B$6)</f>
        <v>0.22374939857982484</v>
      </c>
      <c r="AQ181" s="16" t="str" cm="1">
        <f t="array" ref="AQ181">_xlfn.IFS(tbl_HR_Data[[#This Row],[Attrition_Risk_Percentage]] &gt;= 0.75, "Critical",tbl_HR_Data[ [#This Row],[Attrition_Risk_Percentage] ]&gt;= 0.5, "High",tbl_HR_Data[[#This Row],[Attrition_Risk_Percentage]] &gt;= 0.25, "Medium",TRUE, "Low")</f>
        <v>Low</v>
      </c>
      <c r="AR181" s="16" cm="1">
        <f t="array" ref="AR181">IFERROR(_xlfn.IFS(tbl_HR_Data[[#This Row],[Risk_Category]]="Critical",tbl_HR_Data[[#This Row],[MonthlyIncome]]*1.5,tbl_HR_Data[[#This Row],[Risk_Category]]="High",tbl_HR_Data[[#This Row],[MonthlyIncome]]*1.5),0)</f>
        <v>0</v>
      </c>
    </row>
    <row r="182" spans="1:44" x14ac:dyDescent="0.35">
      <c r="A182" t="s">
        <v>78</v>
      </c>
      <c r="B182">
        <v>31</v>
      </c>
      <c r="C182" t="s">
        <v>31</v>
      </c>
      <c r="D182">
        <v>140</v>
      </c>
      <c r="E182" t="s">
        <v>38</v>
      </c>
      <c r="F182">
        <v>12</v>
      </c>
      <c r="G182">
        <v>1</v>
      </c>
      <c r="H182" t="s">
        <v>44</v>
      </c>
      <c r="I182">
        <v>3</v>
      </c>
      <c r="J182" t="s">
        <v>34</v>
      </c>
      <c r="K182">
        <v>95</v>
      </c>
      <c r="L182">
        <v>3</v>
      </c>
      <c r="M182">
        <v>1</v>
      </c>
      <c r="N182" t="s">
        <v>40</v>
      </c>
      <c r="O182">
        <v>4</v>
      </c>
      <c r="P182" t="s">
        <v>41</v>
      </c>
      <c r="Q182">
        <v>3929</v>
      </c>
      <c r="R182">
        <v>6984</v>
      </c>
      <c r="S182">
        <v>8</v>
      </c>
      <c r="T182">
        <v>1</v>
      </c>
      <c r="U182" s="17">
        <v>0.23</v>
      </c>
      <c r="V182">
        <v>4</v>
      </c>
      <c r="W182">
        <v>3</v>
      </c>
      <c r="X182">
        <v>1</v>
      </c>
      <c r="Y182">
        <v>7</v>
      </c>
      <c r="Z182">
        <v>0</v>
      </c>
      <c r="AA182">
        <v>3</v>
      </c>
      <c r="AB182">
        <v>4</v>
      </c>
      <c r="AC182">
        <v>2</v>
      </c>
      <c r="AD182">
        <v>0</v>
      </c>
      <c r="AE182">
        <v>2</v>
      </c>
      <c r="AF182">
        <v>0</v>
      </c>
      <c r="AG182">
        <f>IF(tbl_HR_Data[[#This Row],[Gender]]="Male",1,0)</f>
        <v>0</v>
      </c>
      <c r="AH182" cm="1">
        <f t="array" ref="AH182">_xlfn.SWITCH(tbl_HR_Data[[#This Row],[BusinessTravel]], "Non-Travel", 0, "Travel_Rarely", 1, "Travel_Frequently", 2)</f>
        <v>1</v>
      </c>
      <c r="AI182" cm="1">
        <f t="array" ref="AI182">_xlfn.SWITCH(tbl_HR_Data[[#This Row],[MaritalStatus]],"Single",0,"Married",1,"Divorced",2)</f>
        <v>1</v>
      </c>
      <c r="AJ182">
        <f>IF(tbl_HR_Data[[#This Row],[OverTime]]=1,1,0)</f>
        <v>1</v>
      </c>
      <c r="AK182">
        <f>IF(tbl_HR_Data[[#This Row],[DistanceFromHome]]&gt;15,1,0)</f>
        <v>0</v>
      </c>
      <c r="AL182">
        <f>IF(tbl_HR_Data[[#This Row],[JobSatisfaction]]&lt;=2,1,0)</f>
        <v>0</v>
      </c>
      <c r="AM182">
        <f>IF(tbl_HR_Data[[#This Row],[MonthlyIncome]]&lt;$AT$2,1,0)</f>
        <v>1</v>
      </c>
      <c r="AN182">
        <f>IF(tbl_HR_Data[[#This Row],[Travel_Code]]=2,1,0)</f>
        <v>0</v>
      </c>
      <c r="AO182">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182" s="15">
        <f>tbl_HR_Data[[#This Row],[Risk_Score_Raw]] / SUM(Logic_Parameters!$B$2:$B$6)</f>
        <v>0.56827453040563214</v>
      </c>
      <c r="AQ182" s="16" t="str" cm="1">
        <f t="array" ref="AQ182">_xlfn.IFS(tbl_HR_Data[[#This Row],[Attrition_Risk_Percentage]] &gt;= 0.75, "Critical",tbl_HR_Data[ [#This Row],[Attrition_Risk_Percentage] ]&gt;= 0.5, "High",tbl_HR_Data[[#This Row],[Attrition_Risk_Percentage]] &gt;= 0.25, "Medium",TRUE, "Low")</f>
        <v>High</v>
      </c>
      <c r="AR182" s="16" cm="1">
        <f t="array" ref="AR182">IFERROR(_xlfn.IFS(tbl_HR_Data[[#This Row],[Risk_Category]]="Critical",tbl_HR_Data[[#This Row],[MonthlyIncome]]*1.5,tbl_HR_Data[[#This Row],[Risk_Category]]="High",tbl_HR_Data[[#This Row],[MonthlyIncome]]*1.5),0)</f>
        <v>5893.5</v>
      </c>
    </row>
    <row r="183" spans="1:44" x14ac:dyDescent="0.35">
      <c r="A183" t="s">
        <v>1421</v>
      </c>
      <c r="B183">
        <v>34</v>
      </c>
      <c r="C183" t="s">
        <v>31</v>
      </c>
      <c r="D183">
        <v>629</v>
      </c>
      <c r="E183" t="s">
        <v>38</v>
      </c>
      <c r="F183">
        <v>27</v>
      </c>
      <c r="G183">
        <v>2</v>
      </c>
      <c r="H183" t="s">
        <v>44</v>
      </c>
      <c r="I183">
        <v>4</v>
      </c>
      <c r="J183" t="s">
        <v>34</v>
      </c>
      <c r="K183">
        <v>95</v>
      </c>
      <c r="L183">
        <v>3</v>
      </c>
      <c r="M183">
        <v>1</v>
      </c>
      <c r="N183" t="s">
        <v>40</v>
      </c>
      <c r="O183">
        <v>2</v>
      </c>
      <c r="P183" t="s">
        <v>36</v>
      </c>
      <c r="Q183">
        <v>2311</v>
      </c>
      <c r="R183">
        <v>5711</v>
      </c>
      <c r="S183">
        <v>2</v>
      </c>
      <c r="T183">
        <v>0</v>
      </c>
      <c r="U183" s="17">
        <v>0.15</v>
      </c>
      <c r="V183">
        <v>3</v>
      </c>
      <c r="W183">
        <v>4</v>
      </c>
      <c r="X183">
        <v>0</v>
      </c>
      <c r="Y183">
        <v>9</v>
      </c>
      <c r="Z183">
        <v>3</v>
      </c>
      <c r="AA183">
        <v>3</v>
      </c>
      <c r="AB183">
        <v>3</v>
      </c>
      <c r="AC183">
        <v>2</v>
      </c>
      <c r="AD183">
        <v>1</v>
      </c>
      <c r="AE183">
        <v>2</v>
      </c>
      <c r="AF183">
        <v>0</v>
      </c>
      <c r="AG183">
        <f>IF(tbl_HR_Data[[#This Row],[Gender]]="Male",1,0)</f>
        <v>0</v>
      </c>
      <c r="AH183" cm="1">
        <f t="array" ref="AH183">_xlfn.SWITCH(tbl_HR_Data[[#This Row],[BusinessTravel]], "Non-Travel", 0, "Travel_Rarely", 1, "Travel_Frequently", 2)</f>
        <v>1</v>
      </c>
      <c r="AI183" cm="1">
        <f t="array" ref="AI183">_xlfn.SWITCH(tbl_HR_Data[[#This Row],[MaritalStatus]],"Single",0,"Married",1,"Divorced",2)</f>
        <v>0</v>
      </c>
      <c r="AJ183">
        <f>IF(tbl_HR_Data[[#This Row],[OverTime]]=1,1,0)</f>
        <v>0</v>
      </c>
      <c r="AK183">
        <f>IF(tbl_HR_Data[[#This Row],[DistanceFromHome]]&gt;15,1,0)</f>
        <v>1</v>
      </c>
      <c r="AL183">
        <f>IF(tbl_HR_Data[[#This Row],[JobSatisfaction]]&lt;=2,1,0)</f>
        <v>1</v>
      </c>
      <c r="AM183">
        <f>IF(tbl_HR_Data[[#This Row],[MonthlyIncome]]&lt;$AT$2,1,0)</f>
        <v>1</v>
      </c>
      <c r="AN183">
        <f>IF(tbl_HR_Data[[#This Row],[Travel_Code]]=2,1,0)</f>
        <v>0</v>
      </c>
      <c r="AO183">
        <f>(tbl_HR_Data[[#This Row],[Flag_OT]] * Logic_Parameters!$B$2) +
 (tbl_HR_Data[[#This Row],[Flag_Travel]] * Logic_Parameters!$B$3) +
 (tbl_HR_Data[[#This Row],[Flag_Satisfaction]] * Logic_Parameters!$B$4) +
 (tbl_HR_Data[[#This Row],[Flag_Distance]]* Logic_Parameters!$B$5) +
 (tbl_HR_Data[[#This Row],[Flag_Income]] * Logic_Parameters!$B$6)</f>
        <v>13.865068763274337</v>
      </c>
      <c r="AP183" s="15">
        <f>tbl_HR_Data[[#This Row],[Risk_Score_Raw]] / SUM(Logic_Parameters!$B$2:$B$6)</f>
        <v>0.47768646434409739</v>
      </c>
      <c r="AQ183" s="16" t="str" cm="1">
        <f t="array" ref="AQ183">_xlfn.IFS(tbl_HR_Data[[#This Row],[Attrition_Risk_Percentage]] &gt;= 0.75, "Critical",tbl_HR_Data[ [#This Row],[Attrition_Risk_Percentage] ]&gt;= 0.5, "High",tbl_HR_Data[[#This Row],[Attrition_Risk_Percentage]] &gt;= 0.25, "Medium",TRUE, "Low")</f>
        <v>Medium</v>
      </c>
      <c r="AR183" s="16" cm="1">
        <f t="array" ref="AR183">IFERROR(_xlfn.IFS(tbl_HR_Data[[#This Row],[Risk_Category]]="Critical",tbl_HR_Data[[#This Row],[MonthlyIncome]]*1.5,tbl_HR_Data[[#This Row],[Risk_Category]]="High",tbl_HR_Data[[#This Row],[MonthlyIncome]]*1.5),0)</f>
        <v>0</v>
      </c>
    </row>
    <row r="184" spans="1:44" x14ac:dyDescent="0.35">
      <c r="A184" t="s">
        <v>408</v>
      </c>
      <c r="B184">
        <v>41</v>
      </c>
      <c r="C184" t="s">
        <v>31</v>
      </c>
      <c r="D184">
        <v>1356</v>
      </c>
      <c r="E184" t="s">
        <v>32</v>
      </c>
      <c r="F184">
        <v>20</v>
      </c>
      <c r="G184">
        <v>2</v>
      </c>
      <c r="H184" t="s">
        <v>51</v>
      </c>
      <c r="I184">
        <v>2</v>
      </c>
      <c r="J184" t="s">
        <v>34</v>
      </c>
      <c r="K184">
        <v>70</v>
      </c>
      <c r="L184">
        <v>3</v>
      </c>
      <c r="M184">
        <v>1</v>
      </c>
      <c r="N184" t="s">
        <v>49</v>
      </c>
      <c r="O184">
        <v>2</v>
      </c>
      <c r="P184" t="s">
        <v>36</v>
      </c>
      <c r="Q184">
        <v>3140</v>
      </c>
      <c r="R184">
        <v>21728</v>
      </c>
      <c r="S184">
        <v>1</v>
      </c>
      <c r="T184">
        <v>1</v>
      </c>
      <c r="U184" s="17">
        <v>0.22</v>
      </c>
      <c r="V184">
        <v>4</v>
      </c>
      <c r="W184">
        <v>4</v>
      </c>
      <c r="X184">
        <v>0</v>
      </c>
      <c r="Y184">
        <v>4</v>
      </c>
      <c r="Z184">
        <v>5</v>
      </c>
      <c r="AA184">
        <v>2</v>
      </c>
      <c r="AB184">
        <v>4</v>
      </c>
      <c r="AC184">
        <v>3</v>
      </c>
      <c r="AD184">
        <v>0</v>
      </c>
      <c r="AE184">
        <v>2</v>
      </c>
      <c r="AF184">
        <v>1</v>
      </c>
      <c r="AG184">
        <f>IF(tbl_HR_Data[[#This Row],[Gender]]="Male",1,0)</f>
        <v>0</v>
      </c>
      <c r="AH184" cm="1">
        <f t="array" ref="AH184">_xlfn.SWITCH(tbl_HR_Data[[#This Row],[BusinessTravel]], "Non-Travel", 0, "Travel_Rarely", 1, "Travel_Frequently", 2)</f>
        <v>1</v>
      </c>
      <c r="AI184" cm="1">
        <f t="array" ref="AI184">_xlfn.SWITCH(tbl_HR_Data[[#This Row],[MaritalStatus]],"Single",0,"Married",1,"Divorced",2)</f>
        <v>0</v>
      </c>
      <c r="AJ184">
        <f>IF(tbl_HR_Data[[#This Row],[OverTime]]=1,1,0)</f>
        <v>1</v>
      </c>
      <c r="AK184">
        <f>IF(tbl_HR_Data[[#This Row],[DistanceFromHome]]&gt;15,1,0)</f>
        <v>1</v>
      </c>
      <c r="AL184">
        <f>IF(tbl_HR_Data[[#This Row],[JobSatisfaction]]&lt;=2,1,0)</f>
        <v>1</v>
      </c>
      <c r="AM184">
        <f>IF(tbl_HR_Data[[#This Row],[MonthlyIncome]]&lt;$AT$2,1,0)</f>
        <v>1</v>
      </c>
      <c r="AN184">
        <f>IF(tbl_HR_Data[[#This Row],[Travel_Code]]=2,1,0)</f>
        <v>0</v>
      </c>
      <c r="AO184">
        <f>(tbl_HR_Data[[#This Row],[Flag_OT]] * Logic_Parameters!$B$2) +
 (tbl_HR_Data[[#This Row],[Flag_Travel]] * Logic_Parameters!$B$3) +
 (tbl_HR_Data[[#This Row],[Flag_Satisfaction]] * Logic_Parameters!$B$4) +
 (tbl_HR_Data[[#This Row],[Flag_Distance]]* Logic_Parameters!$B$5) +
 (tbl_HR_Data[[#This Row],[Flag_Income]] * Logic_Parameters!$B$6)</f>
        <v>23.865068763274337</v>
      </c>
      <c r="AP184" s="15">
        <f>tbl_HR_Data[[#This Row],[Risk_Score_Raw]] / SUM(Logic_Parameters!$B$2:$B$6)</f>
        <v>0.82221159616990469</v>
      </c>
      <c r="AQ184" s="16" t="str" cm="1">
        <f t="array" ref="AQ184">_xlfn.IFS(tbl_HR_Data[[#This Row],[Attrition_Risk_Percentage]] &gt;= 0.75, "Critical",tbl_HR_Data[ [#This Row],[Attrition_Risk_Percentage] ]&gt;= 0.5, "High",tbl_HR_Data[[#This Row],[Attrition_Risk_Percentage]] &gt;= 0.25, "Medium",TRUE, "Low")</f>
        <v>Critical</v>
      </c>
      <c r="AR184" s="16" cm="1">
        <f t="array" ref="AR184">IFERROR(_xlfn.IFS(tbl_HR_Data[[#This Row],[Risk_Category]]="Critical",tbl_HR_Data[[#This Row],[MonthlyIncome]]*1.5,tbl_HR_Data[[#This Row],[Risk_Category]]="High",tbl_HR_Data[[#This Row],[MonthlyIncome]]*1.5),0)</f>
        <v>4710</v>
      </c>
    </row>
    <row r="185" spans="1:44" x14ac:dyDescent="0.35">
      <c r="A185" t="s">
        <v>112</v>
      </c>
      <c r="B185">
        <v>50</v>
      </c>
      <c r="C185" t="s">
        <v>31</v>
      </c>
      <c r="D185">
        <v>328</v>
      </c>
      <c r="E185" t="s">
        <v>38</v>
      </c>
      <c r="F185">
        <v>1</v>
      </c>
      <c r="G185">
        <v>3</v>
      </c>
      <c r="H185" t="s">
        <v>44</v>
      </c>
      <c r="I185">
        <v>3</v>
      </c>
      <c r="J185" t="s">
        <v>39</v>
      </c>
      <c r="K185">
        <v>86</v>
      </c>
      <c r="L185">
        <v>2</v>
      </c>
      <c r="M185">
        <v>1</v>
      </c>
      <c r="N185" t="s">
        <v>43</v>
      </c>
      <c r="O185">
        <v>3</v>
      </c>
      <c r="P185" t="s">
        <v>41</v>
      </c>
      <c r="Q185">
        <v>3690</v>
      </c>
      <c r="R185">
        <v>3425</v>
      </c>
      <c r="S185">
        <v>2</v>
      </c>
      <c r="T185">
        <v>0</v>
      </c>
      <c r="U185" s="17">
        <v>0.15</v>
      </c>
      <c r="V185">
        <v>3</v>
      </c>
      <c r="W185">
        <v>4</v>
      </c>
      <c r="X185">
        <v>1</v>
      </c>
      <c r="Y185">
        <v>5</v>
      </c>
      <c r="Z185">
        <v>2</v>
      </c>
      <c r="AA185">
        <v>2</v>
      </c>
      <c r="AB185">
        <v>3</v>
      </c>
      <c r="AC185">
        <v>2</v>
      </c>
      <c r="AD185">
        <v>0</v>
      </c>
      <c r="AE185">
        <v>2</v>
      </c>
      <c r="AF185">
        <v>0</v>
      </c>
      <c r="AG185">
        <f>IF(tbl_HR_Data[[#This Row],[Gender]]="Male",1,0)</f>
        <v>1</v>
      </c>
      <c r="AH185" cm="1">
        <f t="array" ref="AH185">_xlfn.SWITCH(tbl_HR_Data[[#This Row],[BusinessTravel]], "Non-Travel", 0, "Travel_Rarely", 1, "Travel_Frequently", 2)</f>
        <v>1</v>
      </c>
      <c r="AI185" cm="1">
        <f t="array" ref="AI185">_xlfn.SWITCH(tbl_HR_Data[[#This Row],[MaritalStatus]],"Single",0,"Married",1,"Divorced",2)</f>
        <v>1</v>
      </c>
      <c r="AJ185">
        <f>IF(tbl_HR_Data[[#This Row],[OverTime]]=1,1,0)</f>
        <v>0</v>
      </c>
      <c r="AK185">
        <f>IF(tbl_HR_Data[[#This Row],[DistanceFromHome]]&gt;15,1,0)</f>
        <v>0</v>
      </c>
      <c r="AL185">
        <f>IF(tbl_HR_Data[[#This Row],[JobSatisfaction]]&lt;=2,1,0)</f>
        <v>0</v>
      </c>
      <c r="AM185">
        <f>IF(tbl_HR_Data[[#This Row],[MonthlyIncome]]&lt;$AT$2,1,0)</f>
        <v>1</v>
      </c>
      <c r="AN185">
        <f>IF(tbl_HR_Data[[#This Row],[Travel_Code]]=2,1,0)</f>
        <v>0</v>
      </c>
      <c r="AO185">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85" s="15">
        <f>tbl_HR_Data[[#This Row],[Risk_Score_Raw]] / SUM(Logic_Parameters!$B$2:$B$6)</f>
        <v>0.22374939857982484</v>
      </c>
      <c r="AQ185" s="16" t="str" cm="1">
        <f t="array" ref="AQ185">_xlfn.IFS(tbl_HR_Data[[#This Row],[Attrition_Risk_Percentage]] &gt;= 0.75, "Critical",tbl_HR_Data[ [#This Row],[Attrition_Risk_Percentage] ]&gt;= 0.5, "High",tbl_HR_Data[[#This Row],[Attrition_Risk_Percentage]] &gt;= 0.25, "Medium",TRUE, "Low")</f>
        <v>Low</v>
      </c>
      <c r="AR185" s="16" cm="1">
        <f t="array" ref="AR185">IFERROR(_xlfn.IFS(tbl_HR_Data[[#This Row],[Risk_Category]]="Critical",tbl_HR_Data[[#This Row],[MonthlyIncome]]*1.5,tbl_HR_Data[[#This Row],[Risk_Category]]="High",tbl_HR_Data[[#This Row],[MonthlyIncome]]*1.5),0)</f>
        <v>0</v>
      </c>
    </row>
    <row r="186" spans="1:44" x14ac:dyDescent="0.35">
      <c r="A186" t="s">
        <v>523</v>
      </c>
      <c r="B186">
        <v>53</v>
      </c>
      <c r="C186" t="s">
        <v>31</v>
      </c>
      <c r="D186">
        <v>1084</v>
      </c>
      <c r="E186" t="s">
        <v>38</v>
      </c>
      <c r="F186">
        <v>13</v>
      </c>
      <c r="G186">
        <v>2</v>
      </c>
      <c r="H186" t="s">
        <v>44</v>
      </c>
      <c r="I186">
        <v>4</v>
      </c>
      <c r="J186" t="s">
        <v>34</v>
      </c>
      <c r="K186">
        <v>57</v>
      </c>
      <c r="L186">
        <v>4</v>
      </c>
      <c r="M186">
        <v>2</v>
      </c>
      <c r="N186" t="s">
        <v>46</v>
      </c>
      <c r="O186">
        <v>1</v>
      </c>
      <c r="P186" t="s">
        <v>45</v>
      </c>
      <c r="Q186">
        <v>4450</v>
      </c>
      <c r="R186">
        <v>26250</v>
      </c>
      <c r="S186">
        <v>1</v>
      </c>
      <c r="T186">
        <v>0</v>
      </c>
      <c r="U186" s="17">
        <v>0.11</v>
      </c>
      <c r="V186">
        <v>3</v>
      </c>
      <c r="W186">
        <v>3</v>
      </c>
      <c r="X186">
        <v>2</v>
      </c>
      <c r="Y186">
        <v>5</v>
      </c>
      <c r="Z186">
        <v>3</v>
      </c>
      <c r="AA186">
        <v>3</v>
      </c>
      <c r="AB186">
        <v>4</v>
      </c>
      <c r="AC186">
        <v>2</v>
      </c>
      <c r="AD186">
        <v>1</v>
      </c>
      <c r="AE186">
        <v>3</v>
      </c>
      <c r="AF186">
        <v>0</v>
      </c>
      <c r="AG186">
        <f>IF(tbl_HR_Data[[#This Row],[Gender]]="Male",1,0)</f>
        <v>0</v>
      </c>
      <c r="AH186" cm="1">
        <f t="array" ref="AH186">_xlfn.SWITCH(tbl_HR_Data[[#This Row],[BusinessTravel]], "Non-Travel", 0, "Travel_Rarely", 1, "Travel_Frequently", 2)</f>
        <v>1</v>
      </c>
      <c r="AI186" cm="1">
        <f t="array" ref="AI186">_xlfn.SWITCH(tbl_HR_Data[[#This Row],[MaritalStatus]],"Single",0,"Married",1,"Divorced",2)</f>
        <v>2</v>
      </c>
      <c r="AJ186">
        <f>IF(tbl_HR_Data[[#This Row],[OverTime]]=1,1,0)</f>
        <v>0</v>
      </c>
      <c r="AK186">
        <f>IF(tbl_HR_Data[[#This Row],[DistanceFromHome]]&gt;15,1,0)</f>
        <v>0</v>
      </c>
      <c r="AL186">
        <f>IF(tbl_HR_Data[[#This Row],[JobSatisfaction]]&lt;=2,1,0)</f>
        <v>1</v>
      </c>
      <c r="AM186">
        <f>IF(tbl_HR_Data[[#This Row],[MonthlyIncome]]&lt;$AT$2,1,0)</f>
        <v>1</v>
      </c>
      <c r="AN186">
        <f>IF(tbl_HR_Data[[#This Row],[Travel_Code]]=2,1,0)</f>
        <v>0</v>
      </c>
      <c r="AO186">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86" s="15">
        <f>tbl_HR_Data[[#This Row],[Risk_Score_Raw]] / SUM(Logic_Parameters!$B$2:$B$6)</f>
        <v>0.3686061316669938</v>
      </c>
      <c r="AQ186" s="16" t="str" cm="1">
        <f t="array" ref="AQ186">_xlfn.IFS(tbl_HR_Data[[#This Row],[Attrition_Risk_Percentage]] &gt;= 0.75, "Critical",tbl_HR_Data[ [#This Row],[Attrition_Risk_Percentage] ]&gt;= 0.5, "High",tbl_HR_Data[[#This Row],[Attrition_Risk_Percentage]] &gt;= 0.25, "Medium",TRUE, "Low")</f>
        <v>Medium</v>
      </c>
      <c r="AR186" s="16" cm="1">
        <f t="array" ref="AR186">IFERROR(_xlfn.IFS(tbl_HR_Data[[#This Row],[Risk_Category]]="Critical",tbl_HR_Data[[#This Row],[MonthlyIncome]]*1.5,tbl_HR_Data[[#This Row],[Risk_Category]]="High",tbl_HR_Data[[#This Row],[MonthlyIncome]]*1.5),0)</f>
        <v>0</v>
      </c>
    </row>
    <row r="187" spans="1:44" x14ac:dyDescent="0.35">
      <c r="A187" t="s">
        <v>694</v>
      </c>
      <c r="B187">
        <v>33</v>
      </c>
      <c r="C187" t="s">
        <v>31</v>
      </c>
      <c r="D187">
        <v>931</v>
      </c>
      <c r="E187" t="s">
        <v>38</v>
      </c>
      <c r="F187">
        <v>14</v>
      </c>
      <c r="G187">
        <v>3</v>
      </c>
      <c r="H187" t="s">
        <v>44</v>
      </c>
      <c r="I187">
        <v>4</v>
      </c>
      <c r="J187" t="s">
        <v>34</v>
      </c>
      <c r="K187">
        <v>72</v>
      </c>
      <c r="L187">
        <v>3</v>
      </c>
      <c r="M187">
        <v>1</v>
      </c>
      <c r="N187" t="s">
        <v>40</v>
      </c>
      <c r="O187">
        <v>2</v>
      </c>
      <c r="P187" t="s">
        <v>41</v>
      </c>
      <c r="Q187">
        <v>2756</v>
      </c>
      <c r="R187">
        <v>4673</v>
      </c>
      <c r="S187">
        <v>1</v>
      </c>
      <c r="T187">
        <v>0</v>
      </c>
      <c r="U187" s="17">
        <v>0.13</v>
      </c>
      <c r="V187">
        <v>3</v>
      </c>
      <c r="W187">
        <v>4</v>
      </c>
      <c r="X187">
        <v>1</v>
      </c>
      <c r="Y187">
        <v>8</v>
      </c>
      <c r="Z187">
        <v>5</v>
      </c>
      <c r="AA187">
        <v>3</v>
      </c>
      <c r="AB187">
        <v>8</v>
      </c>
      <c r="AC187">
        <v>7</v>
      </c>
      <c r="AD187">
        <v>1</v>
      </c>
      <c r="AE187">
        <v>6</v>
      </c>
      <c r="AF187">
        <v>0</v>
      </c>
      <c r="AG187">
        <f>IF(tbl_HR_Data[[#This Row],[Gender]]="Male",1,0)</f>
        <v>0</v>
      </c>
      <c r="AH187" cm="1">
        <f t="array" ref="AH187">_xlfn.SWITCH(tbl_HR_Data[[#This Row],[BusinessTravel]], "Non-Travel", 0, "Travel_Rarely", 1, "Travel_Frequently", 2)</f>
        <v>1</v>
      </c>
      <c r="AI187" cm="1">
        <f t="array" ref="AI187">_xlfn.SWITCH(tbl_HR_Data[[#This Row],[MaritalStatus]],"Single",0,"Married",1,"Divorced",2)</f>
        <v>1</v>
      </c>
      <c r="AJ187">
        <f>IF(tbl_HR_Data[[#This Row],[OverTime]]=1,1,0)</f>
        <v>0</v>
      </c>
      <c r="AK187">
        <f>IF(tbl_HR_Data[[#This Row],[DistanceFromHome]]&gt;15,1,0)</f>
        <v>0</v>
      </c>
      <c r="AL187">
        <f>IF(tbl_HR_Data[[#This Row],[JobSatisfaction]]&lt;=2,1,0)</f>
        <v>1</v>
      </c>
      <c r="AM187">
        <f>IF(tbl_HR_Data[[#This Row],[MonthlyIncome]]&lt;$AT$2,1,0)</f>
        <v>1</v>
      </c>
      <c r="AN187">
        <f>IF(tbl_HR_Data[[#This Row],[Travel_Code]]=2,1,0)</f>
        <v>0</v>
      </c>
      <c r="AO187">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87" s="15">
        <f>tbl_HR_Data[[#This Row],[Risk_Score_Raw]] / SUM(Logic_Parameters!$B$2:$B$6)</f>
        <v>0.3686061316669938</v>
      </c>
      <c r="AQ187" s="16" t="str" cm="1">
        <f t="array" ref="AQ187">_xlfn.IFS(tbl_HR_Data[[#This Row],[Attrition_Risk_Percentage]] &gt;= 0.75, "Critical",tbl_HR_Data[ [#This Row],[Attrition_Risk_Percentage] ]&gt;= 0.5, "High",tbl_HR_Data[[#This Row],[Attrition_Risk_Percentage]] &gt;= 0.25, "Medium",TRUE, "Low")</f>
        <v>Medium</v>
      </c>
      <c r="AR187" s="16" cm="1">
        <f t="array" ref="AR187">IFERROR(_xlfn.IFS(tbl_HR_Data[[#This Row],[Risk_Category]]="Critical",tbl_HR_Data[[#This Row],[MonthlyIncome]]*1.5,tbl_HR_Data[[#This Row],[Risk_Category]]="High",tbl_HR_Data[[#This Row],[MonthlyIncome]]*1.5),0)</f>
        <v>0</v>
      </c>
    </row>
    <row r="188" spans="1:44" x14ac:dyDescent="0.35">
      <c r="A188" t="s">
        <v>1030</v>
      </c>
      <c r="B188">
        <v>40</v>
      </c>
      <c r="C188" t="s">
        <v>31</v>
      </c>
      <c r="D188">
        <v>989</v>
      </c>
      <c r="E188" t="s">
        <v>38</v>
      </c>
      <c r="F188">
        <v>4</v>
      </c>
      <c r="G188">
        <v>1</v>
      </c>
      <c r="H188" t="s">
        <v>44</v>
      </c>
      <c r="I188">
        <v>4</v>
      </c>
      <c r="J188" t="s">
        <v>34</v>
      </c>
      <c r="K188">
        <v>46</v>
      </c>
      <c r="L188">
        <v>3</v>
      </c>
      <c r="M188">
        <v>5</v>
      </c>
      <c r="N188" t="s">
        <v>48</v>
      </c>
      <c r="O188">
        <v>3</v>
      </c>
      <c r="P188" t="s">
        <v>41</v>
      </c>
      <c r="Q188">
        <v>19033</v>
      </c>
      <c r="R188">
        <v>6499</v>
      </c>
      <c r="S188">
        <v>1</v>
      </c>
      <c r="T188">
        <v>0</v>
      </c>
      <c r="U188" s="17">
        <v>0.14000000000000001</v>
      </c>
      <c r="V188">
        <v>3</v>
      </c>
      <c r="W188">
        <v>2</v>
      </c>
      <c r="X188">
        <v>1</v>
      </c>
      <c r="Y188">
        <v>21</v>
      </c>
      <c r="Z188">
        <v>2</v>
      </c>
      <c r="AA188">
        <v>3</v>
      </c>
      <c r="AB188">
        <v>20</v>
      </c>
      <c r="AC188">
        <v>8</v>
      </c>
      <c r="AD188">
        <v>9</v>
      </c>
      <c r="AE188">
        <v>9</v>
      </c>
      <c r="AF188">
        <v>0</v>
      </c>
      <c r="AG188">
        <f>IF(tbl_HR_Data[[#This Row],[Gender]]="Male",1,0)</f>
        <v>0</v>
      </c>
      <c r="AH188" cm="1">
        <f t="array" ref="AH188">_xlfn.SWITCH(tbl_HR_Data[[#This Row],[BusinessTravel]], "Non-Travel", 0, "Travel_Rarely", 1, "Travel_Frequently", 2)</f>
        <v>1</v>
      </c>
      <c r="AI188" cm="1">
        <f t="array" ref="AI188">_xlfn.SWITCH(tbl_HR_Data[[#This Row],[MaritalStatus]],"Single",0,"Married",1,"Divorced",2)</f>
        <v>1</v>
      </c>
      <c r="AJ188">
        <f>IF(tbl_HR_Data[[#This Row],[OverTime]]=1,1,0)</f>
        <v>0</v>
      </c>
      <c r="AK188">
        <f>IF(tbl_HR_Data[[#This Row],[DistanceFromHome]]&gt;15,1,0)</f>
        <v>0</v>
      </c>
      <c r="AL188">
        <f>IF(tbl_HR_Data[[#This Row],[JobSatisfaction]]&lt;=2,1,0)</f>
        <v>0</v>
      </c>
      <c r="AM188">
        <f>IF(tbl_HR_Data[[#This Row],[MonthlyIncome]]&lt;$AT$2,1,0)</f>
        <v>0</v>
      </c>
      <c r="AN188">
        <f>IF(tbl_HR_Data[[#This Row],[Travel_Code]]=2,1,0)</f>
        <v>0</v>
      </c>
      <c r="AO188">
        <f>(tbl_HR_Data[[#This Row],[Flag_OT]] * Logic_Parameters!$B$2) +
 (tbl_HR_Data[[#This Row],[Flag_Travel]] * Logic_Parameters!$B$3) +
 (tbl_HR_Data[[#This Row],[Flag_Satisfaction]] * Logic_Parameters!$B$4) +
 (tbl_HR_Data[[#This Row],[Flag_Distance]]* Logic_Parameters!$B$5) +
 (tbl_HR_Data[[#This Row],[Flag_Income]] * Logic_Parameters!$B$6)</f>
        <v>0</v>
      </c>
      <c r="AP188" s="15">
        <f>tbl_HR_Data[[#This Row],[Risk_Score_Raw]] / SUM(Logic_Parameters!$B$2:$B$6)</f>
        <v>0</v>
      </c>
      <c r="AQ188" s="16" t="str" cm="1">
        <f t="array" ref="AQ188">_xlfn.IFS(tbl_HR_Data[[#This Row],[Attrition_Risk_Percentage]] &gt;= 0.75, "Critical",tbl_HR_Data[ [#This Row],[Attrition_Risk_Percentage] ]&gt;= 0.5, "High",tbl_HR_Data[[#This Row],[Attrition_Risk_Percentage]] &gt;= 0.25, "Medium",TRUE, "Low")</f>
        <v>Low</v>
      </c>
      <c r="AR188" s="16" cm="1">
        <f t="array" ref="AR188">IFERROR(_xlfn.IFS(tbl_HR_Data[[#This Row],[Risk_Category]]="Critical",tbl_HR_Data[[#This Row],[MonthlyIncome]]*1.5,tbl_HR_Data[[#This Row],[Risk_Category]]="High",tbl_HR_Data[[#This Row],[MonthlyIncome]]*1.5),0)</f>
        <v>0</v>
      </c>
    </row>
    <row r="189" spans="1:44" x14ac:dyDescent="0.35">
      <c r="A189" t="s">
        <v>69</v>
      </c>
      <c r="B189">
        <v>55</v>
      </c>
      <c r="C189" t="s">
        <v>31</v>
      </c>
      <c r="D189">
        <v>692</v>
      </c>
      <c r="E189" t="s">
        <v>38</v>
      </c>
      <c r="F189">
        <v>14</v>
      </c>
      <c r="G189">
        <v>4</v>
      </c>
      <c r="H189" t="s">
        <v>44</v>
      </c>
      <c r="I189">
        <v>3</v>
      </c>
      <c r="J189" t="s">
        <v>39</v>
      </c>
      <c r="K189">
        <v>61</v>
      </c>
      <c r="L189">
        <v>4</v>
      </c>
      <c r="M189">
        <v>5</v>
      </c>
      <c r="N189" t="s">
        <v>50</v>
      </c>
      <c r="O189">
        <v>2</v>
      </c>
      <c r="P189" t="s">
        <v>36</v>
      </c>
      <c r="Q189">
        <v>18722</v>
      </c>
      <c r="R189">
        <v>13339</v>
      </c>
      <c r="S189">
        <v>8</v>
      </c>
      <c r="T189">
        <v>0</v>
      </c>
      <c r="U189" s="17">
        <v>0.11</v>
      </c>
      <c r="V189">
        <v>3</v>
      </c>
      <c r="W189">
        <v>4</v>
      </c>
      <c r="X189">
        <v>0</v>
      </c>
      <c r="Y189">
        <v>36</v>
      </c>
      <c r="Z189">
        <v>3</v>
      </c>
      <c r="AA189">
        <v>3</v>
      </c>
      <c r="AB189">
        <v>24</v>
      </c>
      <c r="AC189">
        <v>15</v>
      </c>
      <c r="AD189">
        <v>2</v>
      </c>
      <c r="AE189">
        <v>15</v>
      </c>
      <c r="AF189">
        <v>0</v>
      </c>
      <c r="AG189">
        <f>IF(tbl_HR_Data[[#This Row],[Gender]]="Male",1,0)</f>
        <v>1</v>
      </c>
      <c r="AH189" cm="1">
        <f t="array" ref="AH189">_xlfn.SWITCH(tbl_HR_Data[[#This Row],[BusinessTravel]], "Non-Travel", 0, "Travel_Rarely", 1, "Travel_Frequently", 2)</f>
        <v>1</v>
      </c>
      <c r="AI189" cm="1">
        <f t="array" ref="AI189">_xlfn.SWITCH(tbl_HR_Data[[#This Row],[MaritalStatus]],"Single",0,"Married",1,"Divorced",2)</f>
        <v>0</v>
      </c>
      <c r="AJ189">
        <f>IF(tbl_HR_Data[[#This Row],[OverTime]]=1,1,0)</f>
        <v>0</v>
      </c>
      <c r="AK189">
        <f>IF(tbl_HR_Data[[#This Row],[DistanceFromHome]]&gt;15,1,0)</f>
        <v>0</v>
      </c>
      <c r="AL189">
        <f>IF(tbl_HR_Data[[#This Row],[JobSatisfaction]]&lt;=2,1,0)</f>
        <v>1</v>
      </c>
      <c r="AM189">
        <f>IF(tbl_HR_Data[[#This Row],[MonthlyIncome]]&lt;$AT$2,1,0)</f>
        <v>0</v>
      </c>
      <c r="AN189">
        <f>IF(tbl_HR_Data[[#This Row],[Travel_Code]]=2,1,0)</f>
        <v>0</v>
      </c>
      <c r="AO189">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89" s="15">
        <f>tbl_HR_Data[[#This Row],[Risk_Score_Raw]] / SUM(Logic_Parameters!$B$2:$B$6)</f>
        <v>0.14485673308716898</v>
      </c>
      <c r="AQ189" s="16" t="str" cm="1">
        <f t="array" ref="AQ189">_xlfn.IFS(tbl_HR_Data[[#This Row],[Attrition_Risk_Percentage]] &gt;= 0.75, "Critical",tbl_HR_Data[ [#This Row],[Attrition_Risk_Percentage] ]&gt;= 0.5, "High",tbl_HR_Data[[#This Row],[Attrition_Risk_Percentage]] &gt;= 0.25, "Medium",TRUE, "Low")</f>
        <v>Low</v>
      </c>
      <c r="AR189" s="16" cm="1">
        <f t="array" ref="AR189">IFERROR(_xlfn.IFS(tbl_HR_Data[[#This Row],[Risk_Category]]="Critical",tbl_HR_Data[[#This Row],[MonthlyIncome]]*1.5,tbl_HR_Data[[#This Row],[Risk_Category]]="High",tbl_HR_Data[[#This Row],[MonthlyIncome]]*1.5),0)</f>
        <v>0</v>
      </c>
    </row>
    <row r="190" spans="1:44" x14ac:dyDescent="0.35">
      <c r="A190" t="s">
        <v>763</v>
      </c>
      <c r="B190">
        <v>34</v>
      </c>
      <c r="C190" t="s">
        <v>37</v>
      </c>
      <c r="D190">
        <v>1069</v>
      </c>
      <c r="E190" t="s">
        <v>38</v>
      </c>
      <c r="F190">
        <v>2</v>
      </c>
      <c r="G190">
        <v>1</v>
      </c>
      <c r="H190" t="s">
        <v>33</v>
      </c>
      <c r="I190">
        <v>4</v>
      </c>
      <c r="J190" t="s">
        <v>39</v>
      </c>
      <c r="K190">
        <v>45</v>
      </c>
      <c r="L190">
        <v>2</v>
      </c>
      <c r="M190">
        <v>2</v>
      </c>
      <c r="N190" t="s">
        <v>46</v>
      </c>
      <c r="O190">
        <v>3</v>
      </c>
      <c r="P190" t="s">
        <v>41</v>
      </c>
      <c r="Q190">
        <v>9547</v>
      </c>
      <c r="R190">
        <v>14074</v>
      </c>
      <c r="S190">
        <v>1</v>
      </c>
      <c r="T190">
        <v>0</v>
      </c>
      <c r="U190" s="17">
        <v>0.17</v>
      </c>
      <c r="V190">
        <v>3</v>
      </c>
      <c r="W190">
        <v>3</v>
      </c>
      <c r="X190">
        <v>0</v>
      </c>
      <c r="Y190">
        <v>10</v>
      </c>
      <c r="Z190">
        <v>2</v>
      </c>
      <c r="AA190">
        <v>2</v>
      </c>
      <c r="AB190">
        <v>10</v>
      </c>
      <c r="AC190">
        <v>9</v>
      </c>
      <c r="AD190">
        <v>1</v>
      </c>
      <c r="AE190">
        <v>9</v>
      </c>
      <c r="AF190">
        <v>0</v>
      </c>
      <c r="AG190">
        <f>IF(tbl_HR_Data[[#This Row],[Gender]]="Male",1,0)</f>
        <v>1</v>
      </c>
      <c r="AH190" cm="1">
        <f t="array" ref="AH190">_xlfn.SWITCH(tbl_HR_Data[[#This Row],[BusinessTravel]], "Non-Travel", 0, "Travel_Rarely", 1, "Travel_Frequently", 2)</f>
        <v>2</v>
      </c>
      <c r="AI190" cm="1">
        <f t="array" ref="AI190">_xlfn.SWITCH(tbl_HR_Data[[#This Row],[MaritalStatus]],"Single",0,"Married",1,"Divorced",2)</f>
        <v>1</v>
      </c>
      <c r="AJ190">
        <f>IF(tbl_HR_Data[[#This Row],[OverTime]]=1,1,0)</f>
        <v>0</v>
      </c>
      <c r="AK190">
        <f>IF(tbl_HR_Data[[#This Row],[DistanceFromHome]]&gt;15,1,0)</f>
        <v>0</v>
      </c>
      <c r="AL190">
        <f>IF(tbl_HR_Data[[#This Row],[JobSatisfaction]]&lt;=2,1,0)</f>
        <v>0</v>
      </c>
      <c r="AM190">
        <f>IF(tbl_HR_Data[[#This Row],[MonthlyIncome]]&lt;$AT$2,1,0)</f>
        <v>0</v>
      </c>
      <c r="AN190">
        <f>IF(tbl_HR_Data[[#This Row],[Travel_Code]]=2,1,0)</f>
        <v>1</v>
      </c>
      <c r="AO190">
        <f>(tbl_HR_Data[[#This Row],[Flag_OT]] * Logic_Parameters!$B$2) +
 (tbl_HR_Data[[#This Row],[Flag_Travel]] * Logic_Parameters!$B$3) +
 (tbl_HR_Data[[#This Row],[Flag_Satisfaction]] * Logic_Parameters!$B$4) +
 (tbl_HR_Data[[#This Row],[Flag_Distance]]* Logic_Parameters!$B$5) +
 (tbl_HR_Data[[#This Row],[Flag_Income]] * Logic_Parameters!$B$6)</f>
        <v>5.1603899804901765</v>
      </c>
      <c r="AP190" s="15">
        <f>tbl_HR_Data[[#This Row],[Risk_Score_Raw]] / SUM(Logic_Parameters!$B$2:$B$6)</f>
        <v>0.17778840383009531</v>
      </c>
      <c r="AQ190" s="16" t="str" cm="1">
        <f t="array" ref="AQ190">_xlfn.IFS(tbl_HR_Data[[#This Row],[Attrition_Risk_Percentage]] &gt;= 0.75, "Critical",tbl_HR_Data[ [#This Row],[Attrition_Risk_Percentage] ]&gt;= 0.5, "High",tbl_HR_Data[[#This Row],[Attrition_Risk_Percentage]] &gt;= 0.25, "Medium",TRUE, "Low")</f>
        <v>Low</v>
      </c>
      <c r="AR190" s="16" cm="1">
        <f t="array" ref="AR190">IFERROR(_xlfn.IFS(tbl_HR_Data[[#This Row],[Risk_Category]]="Critical",tbl_HR_Data[[#This Row],[MonthlyIncome]]*1.5,tbl_HR_Data[[#This Row],[Risk_Category]]="High",tbl_HR_Data[[#This Row],[MonthlyIncome]]*1.5),0)</f>
        <v>0</v>
      </c>
    </row>
    <row r="191" spans="1:44" x14ac:dyDescent="0.35">
      <c r="A191" t="s">
        <v>281</v>
      </c>
      <c r="B191">
        <v>51</v>
      </c>
      <c r="C191" t="s">
        <v>31</v>
      </c>
      <c r="D191">
        <v>313</v>
      </c>
      <c r="E191" t="s">
        <v>38</v>
      </c>
      <c r="F191">
        <v>3</v>
      </c>
      <c r="G191">
        <v>3</v>
      </c>
      <c r="H191" t="s">
        <v>44</v>
      </c>
      <c r="I191">
        <v>4</v>
      </c>
      <c r="J191" t="s">
        <v>34</v>
      </c>
      <c r="K191">
        <v>98</v>
      </c>
      <c r="L191">
        <v>3</v>
      </c>
      <c r="M191">
        <v>4</v>
      </c>
      <c r="N191" t="s">
        <v>47</v>
      </c>
      <c r="O191">
        <v>2</v>
      </c>
      <c r="P191" t="s">
        <v>36</v>
      </c>
      <c r="Q191">
        <v>13734</v>
      </c>
      <c r="R191">
        <v>7192</v>
      </c>
      <c r="S191">
        <v>3</v>
      </c>
      <c r="T191">
        <v>0</v>
      </c>
      <c r="U191" s="17">
        <v>0.18</v>
      </c>
      <c r="V191">
        <v>3</v>
      </c>
      <c r="W191">
        <v>3</v>
      </c>
      <c r="X191">
        <v>0</v>
      </c>
      <c r="Y191">
        <v>21</v>
      </c>
      <c r="Z191">
        <v>6</v>
      </c>
      <c r="AA191">
        <v>3</v>
      </c>
      <c r="AB191">
        <v>7</v>
      </c>
      <c r="AC191">
        <v>7</v>
      </c>
      <c r="AD191">
        <v>1</v>
      </c>
      <c r="AE191">
        <v>0</v>
      </c>
      <c r="AF191">
        <v>0</v>
      </c>
      <c r="AG191">
        <f>IF(tbl_HR_Data[[#This Row],[Gender]]="Male",1,0)</f>
        <v>0</v>
      </c>
      <c r="AH191" cm="1">
        <f t="array" ref="AH191">_xlfn.SWITCH(tbl_HR_Data[[#This Row],[BusinessTravel]], "Non-Travel", 0, "Travel_Rarely", 1, "Travel_Frequently", 2)</f>
        <v>1</v>
      </c>
      <c r="AI191" cm="1">
        <f t="array" ref="AI191">_xlfn.SWITCH(tbl_HR_Data[[#This Row],[MaritalStatus]],"Single",0,"Married",1,"Divorced",2)</f>
        <v>0</v>
      </c>
      <c r="AJ191">
        <f>IF(tbl_HR_Data[[#This Row],[OverTime]]=1,1,0)</f>
        <v>0</v>
      </c>
      <c r="AK191">
        <f>IF(tbl_HR_Data[[#This Row],[DistanceFromHome]]&gt;15,1,0)</f>
        <v>0</v>
      </c>
      <c r="AL191">
        <f>IF(tbl_HR_Data[[#This Row],[JobSatisfaction]]&lt;=2,1,0)</f>
        <v>1</v>
      </c>
      <c r="AM191">
        <f>IF(tbl_HR_Data[[#This Row],[MonthlyIncome]]&lt;$AT$2,1,0)</f>
        <v>0</v>
      </c>
      <c r="AN191">
        <f>IF(tbl_HR_Data[[#This Row],[Travel_Code]]=2,1,0)</f>
        <v>0</v>
      </c>
      <c r="AO191">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91" s="15">
        <f>tbl_HR_Data[[#This Row],[Risk_Score_Raw]] / SUM(Logic_Parameters!$B$2:$B$6)</f>
        <v>0.14485673308716898</v>
      </c>
      <c r="AQ191" s="16" t="str" cm="1">
        <f t="array" ref="AQ191">_xlfn.IFS(tbl_HR_Data[[#This Row],[Attrition_Risk_Percentage]] &gt;= 0.75, "Critical",tbl_HR_Data[ [#This Row],[Attrition_Risk_Percentage] ]&gt;= 0.5, "High",tbl_HR_Data[[#This Row],[Attrition_Risk_Percentage]] &gt;= 0.25, "Medium",TRUE, "Low")</f>
        <v>Low</v>
      </c>
      <c r="AR191" s="16" cm="1">
        <f t="array" ref="AR191">IFERROR(_xlfn.IFS(tbl_HR_Data[[#This Row],[Risk_Category]]="Critical",tbl_HR_Data[[#This Row],[MonthlyIncome]]*1.5,tbl_HR_Data[[#This Row],[Risk_Category]]="High",tbl_HR_Data[[#This Row],[MonthlyIncome]]*1.5),0)</f>
        <v>0</v>
      </c>
    </row>
    <row r="192" spans="1:44" x14ac:dyDescent="0.35">
      <c r="A192" t="s">
        <v>1330</v>
      </c>
      <c r="B192">
        <v>52</v>
      </c>
      <c r="C192" t="s">
        <v>31</v>
      </c>
      <c r="D192">
        <v>699</v>
      </c>
      <c r="E192" t="s">
        <v>38</v>
      </c>
      <c r="F192">
        <v>1</v>
      </c>
      <c r="G192">
        <v>4</v>
      </c>
      <c r="H192" t="s">
        <v>33</v>
      </c>
      <c r="I192">
        <v>3</v>
      </c>
      <c r="J192" t="s">
        <v>39</v>
      </c>
      <c r="K192">
        <v>65</v>
      </c>
      <c r="L192">
        <v>2</v>
      </c>
      <c r="M192">
        <v>5</v>
      </c>
      <c r="N192" t="s">
        <v>48</v>
      </c>
      <c r="O192">
        <v>3</v>
      </c>
      <c r="P192" t="s">
        <v>41</v>
      </c>
      <c r="Q192">
        <v>19999</v>
      </c>
      <c r="R192">
        <v>5678</v>
      </c>
      <c r="S192">
        <v>0</v>
      </c>
      <c r="T192">
        <v>0</v>
      </c>
      <c r="U192" s="17">
        <v>0.14000000000000001</v>
      </c>
      <c r="V192">
        <v>3</v>
      </c>
      <c r="W192">
        <v>1</v>
      </c>
      <c r="X192">
        <v>1</v>
      </c>
      <c r="Y192">
        <v>34</v>
      </c>
      <c r="Z192">
        <v>5</v>
      </c>
      <c r="AA192">
        <v>3</v>
      </c>
      <c r="AB192">
        <v>33</v>
      </c>
      <c r="AC192">
        <v>18</v>
      </c>
      <c r="AD192">
        <v>11</v>
      </c>
      <c r="AE192">
        <v>9</v>
      </c>
      <c r="AF192">
        <v>0</v>
      </c>
      <c r="AG192">
        <f>IF(tbl_HR_Data[[#This Row],[Gender]]="Male",1,0)</f>
        <v>1</v>
      </c>
      <c r="AH192" cm="1">
        <f t="array" ref="AH192">_xlfn.SWITCH(tbl_HR_Data[[#This Row],[BusinessTravel]], "Non-Travel", 0, "Travel_Rarely", 1, "Travel_Frequently", 2)</f>
        <v>1</v>
      </c>
      <c r="AI192" cm="1">
        <f t="array" ref="AI192">_xlfn.SWITCH(tbl_HR_Data[[#This Row],[MaritalStatus]],"Single",0,"Married",1,"Divorced",2)</f>
        <v>1</v>
      </c>
      <c r="AJ192">
        <f>IF(tbl_HR_Data[[#This Row],[OverTime]]=1,1,0)</f>
        <v>0</v>
      </c>
      <c r="AK192">
        <f>IF(tbl_HR_Data[[#This Row],[DistanceFromHome]]&gt;15,1,0)</f>
        <v>0</v>
      </c>
      <c r="AL192">
        <f>IF(tbl_HR_Data[[#This Row],[JobSatisfaction]]&lt;=2,1,0)</f>
        <v>0</v>
      </c>
      <c r="AM192">
        <f>IF(tbl_HR_Data[[#This Row],[MonthlyIncome]]&lt;$AT$2,1,0)</f>
        <v>0</v>
      </c>
      <c r="AN192">
        <f>IF(tbl_HR_Data[[#This Row],[Travel_Code]]=2,1,0)</f>
        <v>0</v>
      </c>
      <c r="AO192">
        <f>(tbl_HR_Data[[#This Row],[Flag_OT]] * Logic_Parameters!$B$2) +
 (tbl_HR_Data[[#This Row],[Flag_Travel]] * Logic_Parameters!$B$3) +
 (tbl_HR_Data[[#This Row],[Flag_Satisfaction]] * Logic_Parameters!$B$4) +
 (tbl_HR_Data[[#This Row],[Flag_Distance]]* Logic_Parameters!$B$5) +
 (tbl_HR_Data[[#This Row],[Flag_Income]] * Logic_Parameters!$B$6)</f>
        <v>0</v>
      </c>
      <c r="AP192" s="15">
        <f>tbl_HR_Data[[#This Row],[Risk_Score_Raw]] / SUM(Logic_Parameters!$B$2:$B$6)</f>
        <v>0</v>
      </c>
      <c r="AQ192" s="16" t="str" cm="1">
        <f t="array" ref="AQ192">_xlfn.IFS(tbl_HR_Data[[#This Row],[Attrition_Risk_Percentage]] &gt;= 0.75, "Critical",tbl_HR_Data[ [#This Row],[Attrition_Risk_Percentage] ]&gt;= 0.5, "High",tbl_HR_Data[[#This Row],[Attrition_Risk_Percentage]] &gt;= 0.25, "Medium",TRUE, "Low")</f>
        <v>Low</v>
      </c>
      <c r="AR192" s="16" cm="1">
        <f t="array" ref="AR192">IFERROR(_xlfn.IFS(tbl_HR_Data[[#This Row],[Risk_Category]]="Critical",tbl_HR_Data[[#This Row],[MonthlyIncome]]*1.5,tbl_HR_Data[[#This Row],[Risk_Category]]="High",tbl_HR_Data[[#This Row],[MonthlyIncome]]*1.5),0)</f>
        <v>0</v>
      </c>
    </row>
    <row r="193" spans="1:44" x14ac:dyDescent="0.35">
      <c r="A193" t="s">
        <v>352</v>
      </c>
      <c r="B193">
        <v>27</v>
      </c>
      <c r="C193" t="s">
        <v>31</v>
      </c>
      <c r="D193">
        <v>894</v>
      </c>
      <c r="E193" t="s">
        <v>38</v>
      </c>
      <c r="F193">
        <v>9</v>
      </c>
      <c r="G193">
        <v>3</v>
      </c>
      <c r="H193" t="s">
        <v>44</v>
      </c>
      <c r="I193">
        <v>4</v>
      </c>
      <c r="J193" t="s">
        <v>34</v>
      </c>
      <c r="K193">
        <v>99</v>
      </c>
      <c r="L193">
        <v>3</v>
      </c>
      <c r="M193">
        <v>1</v>
      </c>
      <c r="N193" t="s">
        <v>40</v>
      </c>
      <c r="O193">
        <v>2</v>
      </c>
      <c r="P193" t="s">
        <v>36</v>
      </c>
      <c r="Q193">
        <v>2279</v>
      </c>
      <c r="R193">
        <v>11781</v>
      </c>
      <c r="S193">
        <v>1</v>
      </c>
      <c r="T193">
        <v>0</v>
      </c>
      <c r="U193" s="17">
        <v>0.16</v>
      </c>
      <c r="V193">
        <v>3</v>
      </c>
      <c r="W193">
        <v>4</v>
      </c>
      <c r="X193">
        <v>0</v>
      </c>
      <c r="Y193">
        <v>7</v>
      </c>
      <c r="Z193">
        <v>2</v>
      </c>
      <c r="AA193">
        <v>2</v>
      </c>
      <c r="AB193">
        <v>7</v>
      </c>
      <c r="AC193">
        <v>7</v>
      </c>
      <c r="AD193">
        <v>0</v>
      </c>
      <c r="AE193">
        <v>3</v>
      </c>
      <c r="AF193">
        <v>0</v>
      </c>
      <c r="AG193">
        <f>IF(tbl_HR_Data[[#This Row],[Gender]]="Male",1,0)</f>
        <v>0</v>
      </c>
      <c r="AH193" cm="1">
        <f t="array" ref="AH193">_xlfn.SWITCH(tbl_HR_Data[[#This Row],[BusinessTravel]], "Non-Travel", 0, "Travel_Rarely", 1, "Travel_Frequently", 2)</f>
        <v>1</v>
      </c>
      <c r="AI193" cm="1">
        <f t="array" ref="AI193">_xlfn.SWITCH(tbl_HR_Data[[#This Row],[MaritalStatus]],"Single",0,"Married",1,"Divorced",2)</f>
        <v>0</v>
      </c>
      <c r="AJ193">
        <f>IF(tbl_HR_Data[[#This Row],[OverTime]]=1,1,0)</f>
        <v>0</v>
      </c>
      <c r="AK193">
        <f>IF(tbl_HR_Data[[#This Row],[DistanceFromHome]]&gt;15,1,0)</f>
        <v>0</v>
      </c>
      <c r="AL193">
        <f>IF(tbl_HR_Data[[#This Row],[JobSatisfaction]]&lt;=2,1,0)</f>
        <v>1</v>
      </c>
      <c r="AM193">
        <f>IF(tbl_HR_Data[[#This Row],[MonthlyIncome]]&lt;$AT$2,1,0)</f>
        <v>1</v>
      </c>
      <c r="AN193">
        <f>IF(tbl_HR_Data[[#This Row],[Travel_Code]]=2,1,0)</f>
        <v>0</v>
      </c>
      <c r="AO193">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93" s="15">
        <f>tbl_HR_Data[[#This Row],[Risk_Score_Raw]] / SUM(Logic_Parameters!$B$2:$B$6)</f>
        <v>0.3686061316669938</v>
      </c>
      <c r="AQ193" s="16" t="str" cm="1">
        <f t="array" ref="AQ193">_xlfn.IFS(tbl_HR_Data[[#This Row],[Attrition_Risk_Percentage]] &gt;= 0.75, "Critical",tbl_HR_Data[ [#This Row],[Attrition_Risk_Percentage] ]&gt;= 0.5, "High",tbl_HR_Data[[#This Row],[Attrition_Risk_Percentage]] &gt;= 0.25, "Medium",TRUE, "Low")</f>
        <v>Medium</v>
      </c>
      <c r="AR193" s="16" cm="1">
        <f t="array" ref="AR193">IFERROR(_xlfn.IFS(tbl_HR_Data[[#This Row],[Risk_Category]]="Critical",tbl_HR_Data[[#This Row],[MonthlyIncome]]*1.5,tbl_HR_Data[[#This Row],[Risk_Category]]="High",tbl_HR_Data[[#This Row],[MonthlyIncome]]*1.5),0)</f>
        <v>0</v>
      </c>
    </row>
    <row r="194" spans="1:44" x14ac:dyDescent="0.35">
      <c r="A194" t="s">
        <v>176</v>
      </c>
      <c r="B194">
        <v>35</v>
      </c>
      <c r="C194" t="s">
        <v>31</v>
      </c>
      <c r="D194">
        <v>556</v>
      </c>
      <c r="E194" t="s">
        <v>38</v>
      </c>
      <c r="F194">
        <v>23</v>
      </c>
      <c r="G194">
        <v>2</v>
      </c>
      <c r="H194" t="s">
        <v>33</v>
      </c>
      <c r="I194">
        <v>2</v>
      </c>
      <c r="J194" t="s">
        <v>39</v>
      </c>
      <c r="K194">
        <v>50</v>
      </c>
      <c r="L194">
        <v>2</v>
      </c>
      <c r="M194">
        <v>2</v>
      </c>
      <c r="N194" t="s">
        <v>46</v>
      </c>
      <c r="O194">
        <v>3</v>
      </c>
      <c r="P194" t="s">
        <v>41</v>
      </c>
      <c r="Q194">
        <v>5916</v>
      </c>
      <c r="R194">
        <v>15497</v>
      </c>
      <c r="S194">
        <v>3</v>
      </c>
      <c r="T194">
        <v>1</v>
      </c>
      <c r="U194" s="17">
        <v>0.13</v>
      </c>
      <c r="V194">
        <v>3</v>
      </c>
      <c r="W194">
        <v>1</v>
      </c>
      <c r="X194">
        <v>0</v>
      </c>
      <c r="Y194">
        <v>8</v>
      </c>
      <c r="Z194">
        <v>1</v>
      </c>
      <c r="AA194">
        <v>3</v>
      </c>
      <c r="AB194">
        <v>1</v>
      </c>
      <c r="AC194">
        <v>0</v>
      </c>
      <c r="AD194">
        <v>0</v>
      </c>
      <c r="AE194">
        <v>1</v>
      </c>
      <c r="AF194">
        <v>1</v>
      </c>
      <c r="AG194">
        <f>IF(tbl_HR_Data[[#This Row],[Gender]]="Male",1,0)</f>
        <v>1</v>
      </c>
      <c r="AH194" cm="1">
        <f t="array" ref="AH194">_xlfn.SWITCH(tbl_HR_Data[[#This Row],[BusinessTravel]], "Non-Travel", 0, "Travel_Rarely", 1, "Travel_Frequently", 2)</f>
        <v>1</v>
      </c>
      <c r="AI194" cm="1">
        <f t="array" ref="AI194">_xlfn.SWITCH(tbl_HR_Data[[#This Row],[MaritalStatus]],"Single",0,"Married",1,"Divorced",2)</f>
        <v>1</v>
      </c>
      <c r="AJ194">
        <f>IF(tbl_HR_Data[[#This Row],[OverTime]]=1,1,0)</f>
        <v>1</v>
      </c>
      <c r="AK194">
        <f>IF(tbl_HR_Data[[#This Row],[DistanceFromHome]]&gt;15,1,0)</f>
        <v>1</v>
      </c>
      <c r="AL194">
        <f>IF(tbl_HR_Data[[#This Row],[JobSatisfaction]]&lt;=2,1,0)</f>
        <v>0</v>
      </c>
      <c r="AM194">
        <f>IF(tbl_HR_Data[[#This Row],[MonthlyIncome]]&lt;$AT$2,1,0)</f>
        <v>0</v>
      </c>
      <c r="AN194">
        <f>IF(tbl_HR_Data[[#This Row],[Travel_Code]]=2,1,0)</f>
        <v>0</v>
      </c>
      <c r="AO194">
        <f>(tbl_HR_Data[[#This Row],[Flag_OT]] * Logic_Parameters!$B$2) +
 (tbl_HR_Data[[#This Row],[Flag_Travel]] * Logic_Parameters!$B$3) +
 (tbl_HR_Data[[#This Row],[Flag_Satisfaction]] * Logic_Parameters!$B$4) +
 (tbl_HR_Data[[#This Row],[Flag_Distance]]* Logic_Parameters!$B$5) +
 (tbl_HR_Data[[#This Row],[Flag_Income]] * Logic_Parameters!$B$6)</f>
        <v>13.166106695875378</v>
      </c>
      <c r="AP194" s="15">
        <f>tbl_HR_Data[[#This Row],[Risk_Score_Raw]] / SUM(Logic_Parameters!$B$2:$B$6)</f>
        <v>0.45360546450291089</v>
      </c>
      <c r="AQ194" s="16" t="str" cm="1">
        <f t="array" ref="AQ194">_xlfn.IFS(tbl_HR_Data[[#This Row],[Attrition_Risk_Percentage]] &gt;= 0.75, "Critical",tbl_HR_Data[ [#This Row],[Attrition_Risk_Percentage] ]&gt;= 0.5, "High",tbl_HR_Data[[#This Row],[Attrition_Risk_Percentage]] &gt;= 0.25, "Medium",TRUE, "Low")</f>
        <v>Medium</v>
      </c>
      <c r="AR194" s="16" cm="1">
        <f t="array" ref="AR194">IFERROR(_xlfn.IFS(tbl_HR_Data[[#This Row],[Risk_Category]]="Critical",tbl_HR_Data[[#This Row],[MonthlyIncome]]*1.5,tbl_HR_Data[[#This Row],[Risk_Category]]="High",tbl_HR_Data[[#This Row],[MonthlyIncome]]*1.5),0)</f>
        <v>0</v>
      </c>
    </row>
    <row r="195" spans="1:44" x14ac:dyDescent="0.35">
      <c r="A195" t="s">
        <v>287</v>
      </c>
      <c r="B195">
        <v>43</v>
      </c>
      <c r="C195" t="s">
        <v>1525</v>
      </c>
      <c r="D195">
        <v>1344</v>
      </c>
      <c r="E195" t="s">
        <v>38</v>
      </c>
      <c r="F195">
        <v>7</v>
      </c>
      <c r="G195">
        <v>3</v>
      </c>
      <c r="H195" t="s">
        <v>44</v>
      </c>
      <c r="I195">
        <v>4</v>
      </c>
      <c r="J195" t="s">
        <v>39</v>
      </c>
      <c r="K195">
        <v>37</v>
      </c>
      <c r="L195">
        <v>4</v>
      </c>
      <c r="M195">
        <v>1</v>
      </c>
      <c r="N195" t="s">
        <v>40</v>
      </c>
      <c r="O195">
        <v>4</v>
      </c>
      <c r="P195" t="s">
        <v>45</v>
      </c>
      <c r="Q195">
        <v>2089</v>
      </c>
      <c r="R195">
        <v>5228</v>
      </c>
      <c r="S195">
        <v>4</v>
      </c>
      <c r="T195">
        <v>0</v>
      </c>
      <c r="U195" s="17">
        <v>0.14000000000000001</v>
      </c>
      <c r="V195">
        <v>3</v>
      </c>
      <c r="W195">
        <v>4</v>
      </c>
      <c r="X195">
        <v>3</v>
      </c>
      <c r="Y195">
        <v>7</v>
      </c>
      <c r="Z195">
        <v>3</v>
      </c>
      <c r="AA195">
        <v>4</v>
      </c>
      <c r="AB195">
        <v>5</v>
      </c>
      <c r="AC195">
        <v>4</v>
      </c>
      <c r="AD195">
        <v>2</v>
      </c>
      <c r="AE195">
        <v>2</v>
      </c>
      <c r="AF195">
        <v>0</v>
      </c>
      <c r="AG195">
        <f>IF(tbl_HR_Data[[#This Row],[Gender]]="Male",1,0)</f>
        <v>1</v>
      </c>
      <c r="AH195" cm="1">
        <f t="array" ref="AH195">_xlfn.SWITCH(tbl_HR_Data[[#This Row],[BusinessTravel]], "Non-Travel", 0, "Travel_Rarely", 1, "Travel_Frequently", 2)</f>
        <v>0</v>
      </c>
      <c r="AI195" cm="1">
        <f t="array" ref="AI195">_xlfn.SWITCH(tbl_HR_Data[[#This Row],[MaritalStatus]],"Single",0,"Married",1,"Divorced",2)</f>
        <v>2</v>
      </c>
      <c r="AJ195">
        <f>IF(tbl_HR_Data[[#This Row],[OverTime]]=1,1,0)</f>
        <v>0</v>
      </c>
      <c r="AK195">
        <f>IF(tbl_HR_Data[[#This Row],[DistanceFromHome]]&gt;15,1,0)</f>
        <v>0</v>
      </c>
      <c r="AL195">
        <f>IF(tbl_HR_Data[[#This Row],[JobSatisfaction]]&lt;=2,1,0)</f>
        <v>0</v>
      </c>
      <c r="AM195">
        <f>IF(tbl_HR_Data[[#This Row],[MonthlyIncome]]&lt;$AT$2,1,0)</f>
        <v>1</v>
      </c>
      <c r="AN195">
        <f>IF(tbl_HR_Data[[#This Row],[Travel_Code]]=2,1,0)</f>
        <v>0</v>
      </c>
      <c r="AO195">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95" s="15">
        <f>tbl_HR_Data[[#This Row],[Risk_Score_Raw]] / SUM(Logic_Parameters!$B$2:$B$6)</f>
        <v>0.22374939857982484</v>
      </c>
      <c r="AQ195" s="16" t="str" cm="1">
        <f t="array" ref="AQ195">_xlfn.IFS(tbl_HR_Data[[#This Row],[Attrition_Risk_Percentage]] &gt;= 0.75, "Critical",tbl_HR_Data[ [#This Row],[Attrition_Risk_Percentage] ]&gt;= 0.5, "High",tbl_HR_Data[[#This Row],[Attrition_Risk_Percentage]] &gt;= 0.25, "Medium",TRUE, "Low")</f>
        <v>Low</v>
      </c>
      <c r="AR195" s="16" cm="1">
        <f t="array" ref="AR195">IFERROR(_xlfn.IFS(tbl_HR_Data[[#This Row],[Risk_Category]]="Critical",tbl_HR_Data[[#This Row],[MonthlyIncome]]*1.5,tbl_HR_Data[[#This Row],[Risk_Category]]="High",tbl_HR_Data[[#This Row],[MonthlyIncome]]*1.5),0)</f>
        <v>0</v>
      </c>
    </row>
    <row r="196" spans="1:44" x14ac:dyDescent="0.35">
      <c r="A196" t="s">
        <v>645</v>
      </c>
      <c r="B196">
        <v>45</v>
      </c>
      <c r="C196" t="s">
        <v>1525</v>
      </c>
      <c r="D196">
        <v>1195</v>
      </c>
      <c r="E196" t="s">
        <v>38</v>
      </c>
      <c r="F196">
        <v>2</v>
      </c>
      <c r="G196">
        <v>2</v>
      </c>
      <c r="H196" t="s">
        <v>44</v>
      </c>
      <c r="I196">
        <v>1</v>
      </c>
      <c r="J196" t="s">
        <v>39</v>
      </c>
      <c r="K196">
        <v>65</v>
      </c>
      <c r="L196">
        <v>2</v>
      </c>
      <c r="M196">
        <v>4</v>
      </c>
      <c r="N196" t="s">
        <v>48</v>
      </c>
      <c r="O196">
        <v>4</v>
      </c>
      <c r="P196" t="s">
        <v>41</v>
      </c>
      <c r="Q196">
        <v>16792</v>
      </c>
      <c r="R196">
        <v>20462</v>
      </c>
      <c r="S196">
        <v>9</v>
      </c>
      <c r="T196">
        <v>0</v>
      </c>
      <c r="U196" s="17">
        <v>0.23</v>
      </c>
      <c r="V196">
        <v>4</v>
      </c>
      <c r="W196">
        <v>4</v>
      </c>
      <c r="X196">
        <v>1</v>
      </c>
      <c r="Y196">
        <v>22</v>
      </c>
      <c r="Z196">
        <v>1</v>
      </c>
      <c r="AA196">
        <v>3</v>
      </c>
      <c r="AB196">
        <v>20</v>
      </c>
      <c r="AC196">
        <v>8</v>
      </c>
      <c r="AD196">
        <v>11</v>
      </c>
      <c r="AE196">
        <v>8</v>
      </c>
      <c r="AF196">
        <v>0</v>
      </c>
      <c r="AG196">
        <f>IF(tbl_HR_Data[[#This Row],[Gender]]="Male",1,0)</f>
        <v>1</v>
      </c>
      <c r="AH196" cm="1">
        <f t="array" ref="AH196">_xlfn.SWITCH(tbl_HR_Data[[#This Row],[BusinessTravel]], "Non-Travel", 0, "Travel_Rarely", 1, "Travel_Frequently", 2)</f>
        <v>0</v>
      </c>
      <c r="AI196" cm="1">
        <f t="array" ref="AI196">_xlfn.SWITCH(tbl_HR_Data[[#This Row],[MaritalStatus]],"Single",0,"Married",1,"Divorced",2)</f>
        <v>1</v>
      </c>
      <c r="AJ196">
        <f>IF(tbl_HR_Data[[#This Row],[OverTime]]=1,1,0)</f>
        <v>0</v>
      </c>
      <c r="AK196">
        <f>IF(tbl_HR_Data[[#This Row],[DistanceFromHome]]&gt;15,1,0)</f>
        <v>0</v>
      </c>
      <c r="AL196">
        <f>IF(tbl_HR_Data[[#This Row],[JobSatisfaction]]&lt;=2,1,0)</f>
        <v>0</v>
      </c>
      <c r="AM196">
        <f>IF(tbl_HR_Data[[#This Row],[MonthlyIncome]]&lt;$AT$2,1,0)</f>
        <v>0</v>
      </c>
      <c r="AN196">
        <f>IF(tbl_HR_Data[[#This Row],[Travel_Code]]=2,1,0)</f>
        <v>0</v>
      </c>
      <c r="AO196">
        <f>(tbl_HR_Data[[#This Row],[Flag_OT]] * Logic_Parameters!$B$2) +
 (tbl_HR_Data[[#This Row],[Flag_Travel]] * Logic_Parameters!$B$3) +
 (tbl_HR_Data[[#This Row],[Flag_Satisfaction]] * Logic_Parameters!$B$4) +
 (tbl_HR_Data[[#This Row],[Flag_Distance]]* Logic_Parameters!$B$5) +
 (tbl_HR_Data[[#This Row],[Flag_Income]] * Logic_Parameters!$B$6)</f>
        <v>0</v>
      </c>
      <c r="AP196" s="15">
        <f>tbl_HR_Data[[#This Row],[Risk_Score_Raw]] / SUM(Logic_Parameters!$B$2:$B$6)</f>
        <v>0</v>
      </c>
      <c r="AQ196" s="16" t="str" cm="1">
        <f t="array" ref="AQ196">_xlfn.IFS(tbl_HR_Data[[#This Row],[Attrition_Risk_Percentage]] &gt;= 0.75, "Critical",tbl_HR_Data[ [#This Row],[Attrition_Risk_Percentage] ]&gt;= 0.5, "High",tbl_HR_Data[[#This Row],[Attrition_Risk_Percentage]] &gt;= 0.25, "Medium",TRUE, "Low")</f>
        <v>Low</v>
      </c>
      <c r="AR196" s="16" cm="1">
        <f t="array" ref="AR196">IFERROR(_xlfn.IFS(tbl_HR_Data[[#This Row],[Risk_Category]]="Critical",tbl_HR_Data[[#This Row],[MonthlyIncome]]*1.5,tbl_HR_Data[[#This Row],[Risk_Category]]="High",tbl_HR_Data[[#This Row],[MonthlyIncome]]*1.5),0)</f>
        <v>0</v>
      </c>
    </row>
    <row r="197" spans="1:44" x14ac:dyDescent="0.35">
      <c r="A197" t="s">
        <v>416</v>
      </c>
      <c r="B197">
        <v>37</v>
      </c>
      <c r="C197" t="s">
        <v>31</v>
      </c>
      <c r="D197">
        <v>290</v>
      </c>
      <c r="E197" t="s">
        <v>38</v>
      </c>
      <c r="F197">
        <v>21</v>
      </c>
      <c r="G197">
        <v>3</v>
      </c>
      <c r="H197" t="s">
        <v>33</v>
      </c>
      <c r="I197">
        <v>2</v>
      </c>
      <c r="J197" t="s">
        <v>39</v>
      </c>
      <c r="K197">
        <v>65</v>
      </c>
      <c r="L197">
        <v>4</v>
      </c>
      <c r="M197">
        <v>1</v>
      </c>
      <c r="N197" t="s">
        <v>40</v>
      </c>
      <c r="O197">
        <v>1</v>
      </c>
      <c r="P197" t="s">
        <v>41</v>
      </c>
      <c r="Q197">
        <v>3564</v>
      </c>
      <c r="R197">
        <v>22977</v>
      </c>
      <c r="S197">
        <v>1</v>
      </c>
      <c r="T197">
        <v>1</v>
      </c>
      <c r="U197" s="17">
        <v>0.12</v>
      </c>
      <c r="V197">
        <v>3</v>
      </c>
      <c r="W197">
        <v>1</v>
      </c>
      <c r="X197">
        <v>1</v>
      </c>
      <c r="Y197">
        <v>8</v>
      </c>
      <c r="Z197">
        <v>3</v>
      </c>
      <c r="AA197">
        <v>2</v>
      </c>
      <c r="AB197">
        <v>8</v>
      </c>
      <c r="AC197">
        <v>7</v>
      </c>
      <c r="AD197">
        <v>1</v>
      </c>
      <c r="AE197">
        <v>7</v>
      </c>
      <c r="AF197">
        <v>0</v>
      </c>
      <c r="AG197">
        <f>IF(tbl_HR_Data[[#This Row],[Gender]]="Male",1,0)</f>
        <v>1</v>
      </c>
      <c r="AH197" cm="1">
        <f t="array" ref="AH197">_xlfn.SWITCH(tbl_HR_Data[[#This Row],[BusinessTravel]], "Non-Travel", 0, "Travel_Rarely", 1, "Travel_Frequently", 2)</f>
        <v>1</v>
      </c>
      <c r="AI197" cm="1">
        <f t="array" ref="AI197">_xlfn.SWITCH(tbl_HR_Data[[#This Row],[MaritalStatus]],"Single",0,"Married",1,"Divorced",2)</f>
        <v>1</v>
      </c>
      <c r="AJ197">
        <f>IF(tbl_HR_Data[[#This Row],[OverTime]]=1,1,0)</f>
        <v>1</v>
      </c>
      <c r="AK197">
        <f>IF(tbl_HR_Data[[#This Row],[DistanceFromHome]]&gt;15,1,0)</f>
        <v>1</v>
      </c>
      <c r="AL197">
        <f>IF(tbl_HR_Data[[#This Row],[JobSatisfaction]]&lt;=2,1,0)</f>
        <v>1</v>
      </c>
      <c r="AM197">
        <f>IF(tbl_HR_Data[[#This Row],[MonthlyIncome]]&lt;$AT$2,1,0)</f>
        <v>1</v>
      </c>
      <c r="AN197">
        <f>IF(tbl_HR_Data[[#This Row],[Travel_Code]]=2,1,0)</f>
        <v>0</v>
      </c>
      <c r="AO197">
        <f>(tbl_HR_Data[[#This Row],[Flag_OT]] * Logic_Parameters!$B$2) +
 (tbl_HR_Data[[#This Row],[Flag_Travel]] * Logic_Parameters!$B$3) +
 (tbl_HR_Data[[#This Row],[Flag_Satisfaction]] * Logic_Parameters!$B$4) +
 (tbl_HR_Data[[#This Row],[Flag_Distance]]* Logic_Parameters!$B$5) +
 (tbl_HR_Data[[#This Row],[Flag_Income]] * Logic_Parameters!$B$6)</f>
        <v>23.865068763274337</v>
      </c>
      <c r="AP197" s="15">
        <f>tbl_HR_Data[[#This Row],[Risk_Score_Raw]] / SUM(Logic_Parameters!$B$2:$B$6)</f>
        <v>0.82221159616990469</v>
      </c>
      <c r="AQ197" s="16" t="str" cm="1">
        <f t="array" ref="AQ197">_xlfn.IFS(tbl_HR_Data[[#This Row],[Attrition_Risk_Percentage]] &gt;= 0.75, "Critical",tbl_HR_Data[ [#This Row],[Attrition_Risk_Percentage] ]&gt;= 0.5, "High",tbl_HR_Data[[#This Row],[Attrition_Risk_Percentage]] &gt;= 0.25, "Medium",TRUE, "Low")</f>
        <v>Critical</v>
      </c>
      <c r="AR197" s="16" cm="1">
        <f t="array" ref="AR197">IFERROR(_xlfn.IFS(tbl_HR_Data[[#This Row],[Risk_Category]]="Critical",tbl_HR_Data[[#This Row],[MonthlyIncome]]*1.5,tbl_HR_Data[[#This Row],[Risk_Category]]="High",tbl_HR_Data[[#This Row],[MonthlyIncome]]*1.5),0)</f>
        <v>5346</v>
      </c>
    </row>
    <row r="198" spans="1:44" x14ac:dyDescent="0.35">
      <c r="A198" t="s">
        <v>103</v>
      </c>
      <c r="B198">
        <v>35</v>
      </c>
      <c r="C198" t="s">
        <v>37</v>
      </c>
      <c r="D198">
        <v>138</v>
      </c>
      <c r="E198" t="s">
        <v>38</v>
      </c>
      <c r="F198">
        <v>2</v>
      </c>
      <c r="G198">
        <v>3</v>
      </c>
      <c r="H198" t="s">
        <v>44</v>
      </c>
      <c r="I198">
        <v>2</v>
      </c>
      <c r="J198" t="s">
        <v>34</v>
      </c>
      <c r="K198">
        <v>37</v>
      </c>
      <c r="L198">
        <v>3</v>
      </c>
      <c r="M198">
        <v>2</v>
      </c>
      <c r="N198" t="s">
        <v>43</v>
      </c>
      <c r="O198">
        <v>2</v>
      </c>
      <c r="P198" t="s">
        <v>36</v>
      </c>
      <c r="Q198">
        <v>4425</v>
      </c>
      <c r="R198">
        <v>15986</v>
      </c>
      <c r="S198">
        <v>5</v>
      </c>
      <c r="T198">
        <v>0</v>
      </c>
      <c r="U198" s="17">
        <v>0.11</v>
      </c>
      <c r="V198">
        <v>3</v>
      </c>
      <c r="W198">
        <v>4</v>
      </c>
      <c r="X198">
        <v>0</v>
      </c>
      <c r="Y198">
        <v>10</v>
      </c>
      <c r="Z198">
        <v>5</v>
      </c>
      <c r="AA198">
        <v>3</v>
      </c>
      <c r="AB198">
        <v>6</v>
      </c>
      <c r="AC198">
        <v>2</v>
      </c>
      <c r="AD198">
        <v>1</v>
      </c>
      <c r="AE198">
        <v>2</v>
      </c>
      <c r="AF198">
        <v>0</v>
      </c>
      <c r="AG198">
        <f>IF(tbl_HR_Data[[#This Row],[Gender]]="Male",1,0)</f>
        <v>0</v>
      </c>
      <c r="AH198" cm="1">
        <f t="array" ref="AH198">_xlfn.SWITCH(tbl_HR_Data[[#This Row],[BusinessTravel]], "Non-Travel", 0, "Travel_Rarely", 1, "Travel_Frequently", 2)</f>
        <v>2</v>
      </c>
      <c r="AI198" cm="1">
        <f t="array" ref="AI198">_xlfn.SWITCH(tbl_HR_Data[[#This Row],[MaritalStatus]],"Single",0,"Married",1,"Divorced",2)</f>
        <v>0</v>
      </c>
      <c r="AJ198">
        <f>IF(tbl_HR_Data[[#This Row],[OverTime]]=1,1,0)</f>
        <v>0</v>
      </c>
      <c r="AK198">
        <f>IF(tbl_HR_Data[[#This Row],[DistanceFromHome]]&gt;15,1,0)</f>
        <v>0</v>
      </c>
      <c r="AL198">
        <f>IF(tbl_HR_Data[[#This Row],[JobSatisfaction]]&lt;=2,1,0)</f>
        <v>1</v>
      </c>
      <c r="AM198">
        <f>IF(tbl_HR_Data[[#This Row],[MonthlyIncome]]&lt;$AT$2,1,0)</f>
        <v>1</v>
      </c>
      <c r="AN198">
        <f>IF(tbl_HR_Data[[#This Row],[Travel_Code]]=2,1,0)</f>
        <v>1</v>
      </c>
      <c r="AO198">
        <f>(tbl_HR_Data[[#This Row],[Flag_OT]] * Logic_Parameters!$B$2) +
 (tbl_HR_Data[[#This Row],[Flag_Travel]] * Logic_Parameters!$B$3) +
 (tbl_HR_Data[[#This Row],[Flag_Satisfaction]] * Logic_Parameters!$B$4) +
 (tbl_HR_Data[[#This Row],[Flag_Distance]]* Logic_Parameters!$B$5) +
 (tbl_HR_Data[[#This Row],[Flag_Income]] * Logic_Parameters!$B$6)</f>
        <v>15.859352047889136</v>
      </c>
      <c r="AP198" s="15">
        <f>tbl_HR_Data[[#This Row],[Risk_Score_Raw]] / SUM(Logic_Parameters!$B$2:$B$6)</f>
        <v>0.54639453549708916</v>
      </c>
      <c r="AQ198" s="16" t="str" cm="1">
        <f t="array" ref="AQ198">_xlfn.IFS(tbl_HR_Data[[#This Row],[Attrition_Risk_Percentage]] &gt;= 0.75, "Critical",tbl_HR_Data[ [#This Row],[Attrition_Risk_Percentage] ]&gt;= 0.5, "High",tbl_HR_Data[[#This Row],[Attrition_Risk_Percentage]] &gt;= 0.25, "Medium",TRUE, "Low")</f>
        <v>High</v>
      </c>
      <c r="AR198" s="16" cm="1">
        <f t="array" ref="AR198">IFERROR(_xlfn.IFS(tbl_HR_Data[[#This Row],[Risk_Category]]="Critical",tbl_HR_Data[[#This Row],[MonthlyIncome]]*1.5,tbl_HR_Data[[#This Row],[Risk_Category]]="High",tbl_HR_Data[[#This Row],[MonthlyIncome]]*1.5),0)</f>
        <v>6637.5</v>
      </c>
    </row>
    <row r="199" spans="1:44" x14ac:dyDescent="0.35">
      <c r="A199" t="s">
        <v>107</v>
      </c>
      <c r="B199">
        <v>42</v>
      </c>
      <c r="C199" t="s">
        <v>1525</v>
      </c>
      <c r="D199">
        <v>926</v>
      </c>
      <c r="E199" t="s">
        <v>38</v>
      </c>
      <c r="F199">
        <v>21</v>
      </c>
      <c r="G199">
        <v>2</v>
      </c>
      <c r="H199" t="s">
        <v>44</v>
      </c>
      <c r="I199">
        <v>3</v>
      </c>
      <c r="J199" t="s">
        <v>34</v>
      </c>
      <c r="K199">
        <v>36</v>
      </c>
      <c r="L199">
        <v>3</v>
      </c>
      <c r="M199">
        <v>2</v>
      </c>
      <c r="N199" t="s">
        <v>46</v>
      </c>
      <c r="O199">
        <v>3</v>
      </c>
      <c r="P199" t="s">
        <v>45</v>
      </c>
      <c r="Q199">
        <v>5265</v>
      </c>
      <c r="R199">
        <v>16439</v>
      </c>
      <c r="S199">
        <v>2</v>
      </c>
      <c r="T199">
        <v>0</v>
      </c>
      <c r="U199" s="17">
        <v>0.16</v>
      </c>
      <c r="V199">
        <v>3</v>
      </c>
      <c r="W199">
        <v>2</v>
      </c>
      <c r="X199">
        <v>1</v>
      </c>
      <c r="Y199">
        <v>11</v>
      </c>
      <c r="Z199">
        <v>5</v>
      </c>
      <c r="AA199">
        <v>3</v>
      </c>
      <c r="AB199">
        <v>5</v>
      </c>
      <c r="AC199">
        <v>3</v>
      </c>
      <c r="AD199">
        <v>0</v>
      </c>
      <c r="AE199">
        <v>2</v>
      </c>
      <c r="AF199">
        <v>0</v>
      </c>
      <c r="AG199">
        <f>IF(tbl_HR_Data[[#This Row],[Gender]]="Male",1,0)</f>
        <v>0</v>
      </c>
      <c r="AH199" cm="1">
        <f t="array" ref="AH199">_xlfn.SWITCH(tbl_HR_Data[[#This Row],[BusinessTravel]], "Non-Travel", 0, "Travel_Rarely", 1, "Travel_Frequently", 2)</f>
        <v>0</v>
      </c>
      <c r="AI199" cm="1">
        <f t="array" ref="AI199">_xlfn.SWITCH(tbl_HR_Data[[#This Row],[MaritalStatus]],"Single",0,"Married",1,"Divorced",2)</f>
        <v>2</v>
      </c>
      <c r="AJ199">
        <f>IF(tbl_HR_Data[[#This Row],[OverTime]]=1,1,0)</f>
        <v>0</v>
      </c>
      <c r="AK199">
        <f>IF(tbl_HR_Data[[#This Row],[DistanceFromHome]]&gt;15,1,0)</f>
        <v>1</v>
      </c>
      <c r="AL199">
        <f>IF(tbl_HR_Data[[#This Row],[JobSatisfaction]]&lt;=2,1,0)</f>
        <v>0</v>
      </c>
      <c r="AM199">
        <f>IF(tbl_HR_Data[[#This Row],[MonthlyIncome]]&lt;$AT$2,1,0)</f>
        <v>0</v>
      </c>
      <c r="AN199">
        <f>IF(tbl_HR_Data[[#This Row],[Travel_Code]]=2,1,0)</f>
        <v>0</v>
      </c>
      <c r="AO199">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199" s="15">
        <f>tbl_HR_Data[[#This Row],[Risk_Score_Raw]] / SUM(Logic_Parameters!$B$2:$B$6)</f>
        <v>0.10908033267710357</v>
      </c>
      <c r="AQ199" s="16" t="str" cm="1">
        <f t="array" ref="AQ199">_xlfn.IFS(tbl_HR_Data[[#This Row],[Attrition_Risk_Percentage]] &gt;= 0.75, "Critical",tbl_HR_Data[ [#This Row],[Attrition_Risk_Percentage] ]&gt;= 0.5, "High",tbl_HR_Data[[#This Row],[Attrition_Risk_Percentage]] &gt;= 0.25, "Medium",TRUE, "Low")</f>
        <v>Low</v>
      </c>
      <c r="AR199" s="16" cm="1">
        <f t="array" ref="AR199">IFERROR(_xlfn.IFS(tbl_HR_Data[[#This Row],[Risk_Category]]="Critical",tbl_HR_Data[[#This Row],[MonthlyIncome]]*1.5,tbl_HR_Data[[#This Row],[Risk_Category]]="High",tbl_HR_Data[[#This Row],[MonthlyIncome]]*1.5),0)</f>
        <v>0</v>
      </c>
    </row>
    <row r="200" spans="1:44" x14ac:dyDescent="0.35">
      <c r="A200" t="s">
        <v>467</v>
      </c>
      <c r="B200">
        <v>38</v>
      </c>
      <c r="C200" t="s">
        <v>31</v>
      </c>
      <c r="D200">
        <v>1261</v>
      </c>
      <c r="E200" t="s">
        <v>38</v>
      </c>
      <c r="F200">
        <v>2</v>
      </c>
      <c r="G200">
        <v>4</v>
      </c>
      <c r="H200" t="s">
        <v>33</v>
      </c>
      <c r="I200">
        <v>4</v>
      </c>
      <c r="J200" t="s">
        <v>39</v>
      </c>
      <c r="K200">
        <v>88</v>
      </c>
      <c r="L200">
        <v>3</v>
      </c>
      <c r="M200">
        <v>2</v>
      </c>
      <c r="N200" t="s">
        <v>46</v>
      </c>
      <c r="O200">
        <v>3</v>
      </c>
      <c r="P200" t="s">
        <v>41</v>
      </c>
      <c r="Q200">
        <v>6553</v>
      </c>
      <c r="R200">
        <v>7259</v>
      </c>
      <c r="S200">
        <v>9</v>
      </c>
      <c r="T200">
        <v>0</v>
      </c>
      <c r="U200" s="17">
        <v>0.14000000000000001</v>
      </c>
      <c r="V200">
        <v>3</v>
      </c>
      <c r="W200">
        <v>2</v>
      </c>
      <c r="X200">
        <v>0</v>
      </c>
      <c r="Y200">
        <v>14</v>
      </c>
      <c r="Z200">
        <v>3</v>
      </c>
      <c r="AA200">
        <v>3</v>
      </c>
      <c r="AB200">
        <v>1</v>
      </c>
      <c r="AC200">
        <v>0</v>
      </c>
      <c r="AD200">
        <v>0</v>
      </c>
      <c r="AE200">
        <v>0</v>
      </c>
      <c r="AF200">
        <v>0</v>
      </c>
      <c r="AG200">
        <f>IF(tbl_HR_Data[[#This Row],[Gender]]="Male",1,0)</f>
        <v>1</v>
      </c>
      <c r="AH200" cm="1">
        <f t="array" ref="AH200">_xlfn.SWITCH(tbl_HR_Data[[#This Row],[BusinessTravel]], "Non-Travel", 0, "Travel_Rarely", 1, "Travel_Frequently", 2)</f>
        <v>1</v>
      </c>
      <c r="AI200" cm="1">
        <f t="array" ref="AI200">_xlfn.SWITCH(tbl_HR_Data[[#This Row],[MaritalStatus]],"Single",0,"Married",1,"Divorced",2)</f>
        <v>1</v>
      </c>
      <c r="AJ200">
        <f>IF(tbl_HR_Data[[#This Row],[OverTime]]=1,1,0)</f>
        <v>0</v>
      </c>
      <c r="AK200">
        <f>IF(tbl_HR_Data[[#This Row],[DistanceFromHome]]&gt;15,1,0)</f>
        <v>0</v>
      </c>
      <c r="AL200">
        <f>IF(tbl_HR_Data[[#This Row],[JobSatisfaction]]&lt;=2,1,0)</f>
        <v>0</v>
      </c>
      <c r="AM200">
        <f>IF(tbl_HR_Data[[#This Row],[MonthlyIncome]]&lt;$AT$2,1,0)</f>
        <v>0</v>
      </c>
      <c r="AN200">
        <f>IF(tbl_HR_Data[[#This Row],[Travel_Code]]=2,1,0)</f>
        <v>0</v>
      </c>
      <c r="AO200">
        <f>(tbl_HR_Data[[#This Row],[Flag_OT]] * Logic_Parameters!$B$2) +
 (tbl_HR_Data[[#This Row],[Flag_Travel]] * Logic_Parameters!$B$3) +
 (tbl_HR_Data[[#This Row],[Flag_Satisfaction]] * Logic_Parameters!$B$4) +
 (tbl_HR_Data[[#This Row],[Flag_Distance]]* Logic_Parameters!$B$5) +
 (tbl_HR_Data[[#This Row],[Flag_Income]] * Logic_Parameters!$B$6)</f>
        <v>0</v>
      </c>
      <c r="AP200" s="15">
        <f>tbl_HR_Data[[#This Row],[Risk_Score_Raw]] / SUM(Logic_Parameters!$B$2:$B$6)</f>
        <v>0</v>
      </c>
      <c r="AQ200" s="16" t="str" cm="1">
        <f t="array" ref="AQ200">_xlfn.IFS(tbl_HR_Data[[#This Row],[Attrition_Risk_Percentage]] &gt;= 0.75, "Critical",tbl_HR_Data[ [#This Row],[Attrition_Risk_Percentage] ]&gt;= 0.5, "High",tbl_HR_Data[[#This Row],[Attrition_Risk_Percentage]] &gt;= 0.25, "Medium",TRUE, "Low")</f>
        <v>Low</v>
      </c>
      <c r="AR200" s="16" cm="1">
        <f t="array" ref="AR200">IFERROR(_xlfn.IFS(tbl_HR_Data[[#This Row],[Risk_Category]]="Critical",tbl_HR_Data[[#This Row],[MonthlyIncome]]*1.5,tbl_HR_Data[[#This Row],[Risk_Category]]="High",tbl_HR_Data[[#This Row],[MonthlyIncome]]*1.5),0)</f>
        <v>0</v>
      </c>
    </row>
    <row r="201" spans="1:44" x14ac:dyDescent="0.35">
      <c r="A201" t="s">
        <v>1388</v>
      </c>
      <c r="B201">
        <v>38</v>
      </c>
      <c r="C201" t="s">
        <v>31</v>
      </c>
      <c r="D201">
        <v>1084</v>
      </c>
      <c r="E201" t="s">
        <v>38</v>
      </c>
      <c r="F201">
        <v>29</v>
      </c>
      <c r="G201">
        <v>3</v>
      </c>
      <c r="H201" t="s">
        <v>52</v>
      </c>
      <c r="I201">
        <v>4</v>
      </c>
      <c r="J201" t="s">
        <v>39</v>
      </c>
      <c r="K201">
        <v>54</v>
      </c>
      <c r="L201">
        <v>3</v>
      </c>
      <c r="M201">
        <v>2</v>
      </c>
      <c r="N201" t="s">
        <v>46</v>
      </c>
      <c r="O201">
        <v>4</v>
      </c>
      <c r="P201" t="s">
        <v>41</v>
      </c>
      <c r="Q201">
        <v>6261</v>
      </c>
      <c r="R201">
        <v>4185</v>
      </c>
      <c r="S201">
        <v>3</v>
      </c>
      <c r="T201">
        <v>0</v>
      </c>
      <c r="U201" s="17">
        <v>0.18</v>
      </c>
      <c r="V201">
        <v>3</v>
      </c>
      <c r="W201">
        <v>1</v>
      </c>
      <c r="X201">
        <v>1</v>
      </c>
      <c r="Y201">
        <v>9</v>
      </c>
      <c r="Z201">
        <v>3</v>
      </c>
      <c r="AA201">
        <v>1</v>
      </c>
      <c r="AB201">
        <v>7</v>
      </c>
      <c r="AC201">
        <v>7</v>
      </c>
      <c r="AD201">
        <v>1</v>
      </c>
      <c r="AE201">
        <v>7</v>
      </c>
      <c r="AF201">
        <v>0</v>
      </c>
      <c r="AG201">
        <f>IF(tbl_HR_Data[[#This Row],[Gender]]="Male",1,0)</f>
        <v>1</v>
      </c>
      <c r="AH201" cm="1">
        <f t="array" ref="AH201">_xlfn.SWITCH(tbl_HR_Data[[#This Row],[BusinessTravel]], "Non-Travel", 0, "Travel_Rarely", 1, "Travel_Frequently", 2)</f>
        <v>1</v>
      </c>
      <c r="AI201" cm="1">
        <f t="array" ref="AI201">_xlfn.SWITCH(tbl_HR_Data[[#This Row],[MaritalStatus]],"Single",0,"Married",1,"Divorced",2)</f>
        <v>1</v>
      </c>
      <c r="AJ201">
        <f>IF(tbl_HR_Data[[#This Row],[OverTime]]=1,1,0)</f>
        <v>0</v>
      </c>
      <c r="AK201">
        <f>IF(tbl_HR_Data[[#This Row],[DistanceFromHome]]&gt;15,1,0)</f>
        <v>1</v>
      </c>
      <c r="AL201">
        <f>IF(tbl_HR_Data[[#This Row],[JobSatisfaction]]&lt;=2,1,0)</f>
        <v>0</v>
      </c>
      <c r="AM201">
        <f>IF(tbl_HR_Data[[#This Row],[MonthlyIncome]]&lt;$AT$2,1,0)</f>
        <v>0</v>
      </c>
      <c r="AN201">
        <f>IF(tbl_HR_Data[[#This Row],[Travel_Code]]=2,1,0)</f>
        <v>0</v>
      </c>
      <c r="AO201">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201" s="15">
        <f>tbl_HR_Data[[#This Row],[Risk_Score_Raw]] / SUM(Logic_Parameters!$B$2:$B$6)</f>
        <v>0.10908033267710357</v>
      </c>
      <c r="AQ201" s="16" t="str" cm="1">
        <f t="array" ref="AQ201">_xlfn.IFS(tbl_HR_Data[[#This Row],[Attrition_Risk_Percentage]] &gt;= 0.75, "Critical",tbl_HR_Data[ [#This Row],[Attrition_Risk_Percentage] ]&gt;= 0.5, "High",tbl_HR_Data[[#This Row],[Attrition_Risk_Percentage]] &gt;= 0.25, "Medium",TRUE, "Low")</f>
        <v>Low</v>
      </c>
      <c r="AR201" s="16" cm="1">
        <f t="array" ref="AR201">IFERROR(_xlfn.IFS(tbl_HR_Data[[#This Row],[Risk_Category]]="Critical",tbl_HR_Data[[#This Row],[MonthlyIncome]]*1.5,tbl_HR_Data[[#This Row],[Risk_Category]]="High",tbl_HR_Data[[#This Row],[MonthlyIncome]]*1.5),0)</f>
        <v>0</v>
      </c>
    </row>
    <row r="202" spans="1:44" x14ac:dyDescent="0.35">
      <c r="A202" t="s">
        <v>919</v>
      </c>
      <c r="B202">
        <v>27</v>
      </c>
      <c r="C202" t="s">
        <v>37</v>
      </c>
      <c r="D202">
        <v>472</v>
      </c>
      <c r="E202" t="s">
        <v>38</v>
      </c>
      <c r="F202">
        <v>1</v>
      </c>
      <c r="G202">
        <v>1</v>
      </c>
      <c r="H202" t="s">
        <v>52</v>
      </c>
      <c r="I202">
        <v>3</v>
      </c>
      <c r="J202" t="s">
        <v>39</v>
      </c>
      <c r="K202">
        <v>60</v>
      </c>
      <c r="L202">
        <v>2</v>
      </c>
      <c r="M202">
        <v>2</v>
      </c>
      <c r="N202" t="s">
        <v>46</v>
      </c>
      <c r="O202">
        <v>1</v>
      </c>
      <c r="P202" t="s">
        <v>41</v>
      </c>
      <c r="Q202">
        <v>4298</v>
      </c>
      <c r="R202">
        <v>9679</v>
      </c>
      <c r="S202">
        <v>5</v>
      </c>
      <c r="T202">
        <v>0</v>
      </c>
      <c r="U202" s="17">
        <v>0.19</v>
      </c>
      <c r="V202">
        <v>3</v>
      </c>
      <c r="W202">
        <v>3</v>
      </c>
      <c r="X202">
        <v>1</v>
      </c>
      <c r="Y202">
        <v>6</v>
      </c>
      <c r="Z202">
        <v>1</v>
      </c>
      <c r="AA202">
        <v>3</v>
      </c>
      <c r="AB202">
        <v>2</v>
      </c>
      <c r="AC202">
        <v>2</v>
      </c>
      <c r="AD202">
        <v>2</v>
      </c>
      <c r="AE202">
        <v>0</v>
      </c>
      <c r="AF202">
        <v>0</v>
      </c>
      <c r="AG202">
        <f>IF(tbl_HR_Data[[#This Row],[Gender]]="Male",1,0)</f>
        <v>1</v>
      </c>
      <c r="AH202" cm="1">
        <f t="array" ref="AH202">_xlfn.SWITCH(tbl_HR_Data[[#This Row],[BusinessTravel]], "Non-Travel", 0, "Travel_Rarely", 1, "Travel_Frequently", 2)</f>
        <v>2</v>
      </c>
      <c r="AI202" cm="1">
        <f t="array" ref="AI202">_xlfn.SWITCH(tbl_HR_Data[[#This Row],[MaritalStatus]],"Single",0,"Married",1,"Divorced",2)</f>
        <v>1</v>
      </c>
      <c r="AJ202">
        <f>IF(tbl_HR_Data[[#This Row],[OverTime]]=1,1,0)</f>
        <v>0</v>
      </c>
      <c r="AK202">
        <f>IF(tbl_HR_Data[[#This Row],[DistanceFromHome]]&gt;15,1,0)</f>
        <v>0</v>
      </c>
      <c r="AL202">
        <f>IF(tbl_HR_Data[[#This Row],[JobSatisfaction]]&lt;=2,1,0)</f>
        <v>1</v>
      </c>
      <c r="AM202">
        <f>IF(tbl_HR_Data[[#This Row],[MonthlyIncome]]&lt;$AT$2,1,0)</f>
        <v>1</v>
      </c>
      <c r="AN202">
        <f>IF(tbl_HR_Data[[#This Row],[Travel_Code]]=2,1,0)</f>
        <v>1</v>
      </c>
      <c r="AO202">
        <f>(tbl_HR_Data[[#This Row],[Flag_OT]] * Logic_Parameters!$B$2) +
 (tbl_HR_Data[[#This Row],[Flag_Travel]] * Logic_Parameters!$B$3) +
 (tbl_HR_Data[[#This Row],[Flag_Satisfaction]] * Logic_Parameters!$B$4) +
 (tbl_HR_Data[[#This Row],[Flag_Distance]]* Logic_Parameters!$B$5) +
 (tbl_HR_Data[[#This Row],[Flag_Income]] * Logic_Parameters!$B$6)</f>
        <v>15.859352047889136</v>
      </c>
      <c r="AP202" s="15">
        <f>tbl_HR_Data[[#This Row],[Risk_Score_Raw]] / SUM(Logic_Parameters!$B$2:$B$6)</f>
        <v>0.54639453549708916</v>
      </c>
      <c r="AQ202" s="16" t="str" cm="1">
        <f t="array" ref="AQ202">_xlfn.IFS(tbl_HR_Data[[#This Row],[Attrition_Risk_Percentage]] &gt;= 0.75, "Critical",tbl_HR_Data[ [#This Row],[Attrition_Risk_Percentage] ]&gt;= 0.5, "High",tbl_HR_Data[[#This Row],[Attrition_Risk_Percentage]] &gt;= 0.25, "Medium",TRUE, "Low")</f>
        <v>High</v>
      </c>
      <c r="AR202" s="16" cm="1">
        <f t="array" ref="AR202">IFERROR(_xlfn.IFS(tbl_HR_Data[[#This Row],[Risk_Category]]="Critical",tbl_HR_Data[[#This Row],[MonthlyIncome]]*1.5,tbl_HR_Data[[#This Row],[Risk_Category]]="High",tbl_HR_Data[[#This Row],[MonthlyIncome]]*1.5),0)</f>
        <v>6447</v>
      </c>
    </row>
    <row r="203" spans="1:44" x14ac:dyDescent="0.35">
      <c r="A203" t="s">
        <v>1022</v>
      </c>
      <c r="B203">
        <v>49</v>
      </c>
      <c r="C203" t="s">
        <v>1525</v>
      </c>
      <c r="D203">
        <v>1002</v>
      </c>
      <c r="E203" t="s">
        <v>38</v>
      </c>
      <c r="F203">
        <v>18</v>
      </c>
      <c r="G203">
        <v>4</v>
      </c>
      <c r="H203" t="s">
        <v>33</v>
      </c>
      <c r="I203">
        <v>4</v>
      </c>
      <c r="J203" t="s">
        <v>39</v>
      </c>
      <c r="K203">
        <v>92</v>
      </c>
      <c r="L203">
        <v>3</v>
      </c>
      <c r="M203">
        <v>2</v>
      </c>
      <c r="N203" t="s">
        <v>46</v>
      </c>
      <c r="O203">
        <v>4</v>
      </c>
      <c r="P203" t="s">
        <v>45</v>
      </c>
      <c r="Q203">
        <v>6804</v>
      </c>
      <c r="R203">
        <v>23793</v>
      </c>
      <c r="S203">
        <v>1</v>
      </c>
      <c r="T203">
        <v>1</v>
      </c>
      <c r="U203" s="17">
        <v>0.15</v>
      </c>
      <c r="V203">
        <v>3</v>
      </c>
      <c r="W203">
        <v>1</v>
      </c>
      <c r="X203">
        <v>2</v>
      </c>
      <c r="Y203">
        <v>7</v>
      </c>
      <c r="Z203">
        <v>0</v>
      </c>
      <c r="AA203">
        <v>3</v>
      </c>
      <c r="AB203">
        <v>7</v>
      </c>
      <c r="AC203">
        <v>7</v>
      </c>
      <c r="AD203">
        <v>1</v>
      </c>
      <c r="AE203">
        <v>7</v>
      </c>
      <c r="AF203">
        <v>0</v>
      </c>
      <c r="AG203">
        <f>IF(tbl_HR_Data[[#This Row],[Gender]]="Male",1,0)</f>
        <v>1</v>
      </c>
      <c r="AH203" cm="1">
        <f t="array" ref="AH203">_xlfn.SWITCH(tbl_HR_Data[[#This Row],[BusinessTravel]], "Non-Travel", 0, "Travel_Rarely", 1, "Travel_Frequently", 2)</f>
        <v>0</v>
      </c>
      <c r="AI203" cm="1">
        <f t="array" ref="AI203">_xlfn.SWITCH(tbl_HR_Data[[#This Row],[MaritalStatus]],"Single",0,"Married",1,"Divorced",2)</f>
        <v>2</v>
      </c>
      <c r="AJ203">
        <f>IF(tbl_HR_Data[[#This Row],[OverTime]]=1,1,0)</f>
        <v>1</v>
      </c>
      <c r="AK203">
        <f>IF(tbl_HR_Data[[#This Row],[DistanceFromHome]]&gt;15,1,0)</f>
        <v>1</v>
      </c>
      <c r="AL203">
        <f>IF(tbl_HR_Data[[#This Row],[JobSatisfaction]]&lt;=2,1,0)</f>
        <v>0</v>
      </c>
      <c r="AM203">
        <f>IF(tbl_HR_Data[[#This Row],[MonthlyIncome]]&lt;$AT$2,1,0)</f>
        <v>0</v>
      </c>
      <c r="AN203">
        <f>IF(tbl_HR_Data[[#This Row],[Travel_Code]]=2,1,0)</f>
        <v>0</v>
      </c>
      <c r="AO203">
        <f>(tbl_HR_Data[[#This Row],[Flag_OT]] * Logic_Parameters!$B$2) +
 (tbl_HR_Data[[#This Row],[Flag_Travel]] * Logic_Parameters!$B$3) +
 (tbl_HR_Data[[#This Row],[Flag_Satisfaction]] * Logic_Parameters!$B$4) +
 (tbl_HR_Data[[#This Row],[Flag_Distance]]* Logic_Parameters!$B$5) +
 (tbl_HR_Data[[#This Row],[Flag_Income]] * Logic_Parameters!$B$6)</f>
        <v>13.166106695875378</v>
      </c>
      <c r="AP203" s="15">
        <f>tbl_HR_Data[[#This Row],[Risk_Score_Raw]] / SUM(Logic_Parameters!$B$2:$B$6)</f>
        <v>0.45360546450291089</v>
      </c>
      <c r="AQ203" s="16" t="str" cm="1">
        <f t="array" ref="AQ203">_xlfn.IFS(tbl_HR_Data[[#This Row],[Attrition_Risk_Percentage]] &gt;= 0.75, "Critical",tbl_HR_Data[ [#This Row],[Attrition_Risk_Percentage] ]&gt;= 0.5, "High",tbl_HR_Data[[#This Row],[Attrition_Risk_Percentage]] &gt;= 0.25, "Medium",TRUE, "Low")</f>
        <v>Medium</v>
      </c>
      <c r="AR203" s="16" cm="1">
        <f t="array" ref="AR203">IFERROR(_xlfn.IFS(tbl_HR_Data[[#This Row],[Risk_Category]]="Critical",tbl_HR_Data[[#This Row],[MonthlyIncome]]*1.5,tbl_HR_Data[[#This Row],[Risk_Category]]="High",tbl_HR_Data[[#This Row],[MonthlyIncome]]*1.5),0)</f>
        <v>0</v>
      </c>
    </row>
    <row r="204" spans="1:44" x14ac:dyDescent="0.35">
      <c r="A204" t="s">
        <v>894</v>
      </c>
      <c r="B204">
        <v>34</v>
      </c>
      <c r="C204" t="s">
        <v>37</v>
      </c>
      <c r="D204">
        <v>878</v>
      </c>
      <c r="E204" t="s">
        <v>38</v>
      </c>
      <c r="F204">
        <v>10</v>
      </c>
      <c r="G204">
        <v>4</v>
      </c>
      <c r="H204" t="s">
        <v>44</v>
      </c>
      <c r="I204">
        <v>4</v>
      </c>
      <c r="J204" t="s">
        <v>39</v>
      </c>
      <c r="K204">
        <v>43</v>
      </c>
      <c r="L204">
        <v>3</v>
      </c>
      <c r="M204">
        <v>1</v>
      </c>
      <c r="N204" t="s">
        <v>40</v>
      </c>
      <c r="O204">
        <v>3</v>
      </c>
      <c r="P204" t="s">
        <v>45</v>
      </c>
      <c r="Q204">
        <v>3815</v>
      </c>
      <c r="R204">
        <v>5972</v>
      </c>
      <c r="S204">
        <v>1</v>
      </c>
      <c r="T204">
        <v>1</v>
      </c>
      <c r="U204" s="17">
        <v>0.17</v>
      </c>
      <c r="V204">
        <v>3</v>
      </c>
      <c r="W204">
        <v>4</v>
      </c>
      <c r="X204">
        <v>1</v>
      </c>
      <c r="Y204">
        <v>5</v>
      </c>
      <c r="Z204">
        <v>4</v>
      </c>
      <c r="AA204">
        <v>4</v>
      </c>
      <c r="AB204">
        <v>5</v>
      </c>
      <c r="AC204">
        <v>3</v>
      </c>
      <c r="AD204">
        <v>2</v>
      </c>
      <c r="AE204">
        <v>0</v>
      </c>
      <c r="AF204">
        <v>0</v>
      </c>
      <c r="AG204">
        <f>IF(tbl_HR_Data[[#This Row],[Gender]]="Male",1,0)</f>
        <v>1</v>
      </c>
      <c r="AH204" cm="1">
        <f t="array" ref="AH204">_xlfn.SWITCH(tbl_HR_Data[[#This Row],[BusinessTravel]], "Non-Travel", 0, "Travel_Rarely", 1, "Travel_Frequently", 2)</f>
        <v>2</v>
      </c>
      <c r="AI204" cm="1">
        <f t="array" ref="AI204">_xlfn.SWITCH(tbl_HR_Data[[#This Row],[MaritalStatus]],"Single",0,"Married",1,"Divorced",2)</f>
        <v>2</v>
      </c>
      <c r="AJ204">
        <f>IF(tbl_HR_Data[[#This Row],[OverTime]]=1,1,0)</f>
        <v>1</v>
      </c>
      <c r="AK204">
        <f>IF(tbl_HR_Data[[#This Row],[DistanceFromHome]]&gt;15,1,0)</f>
        <v>0</v>
      </c>
      <c r="AL204">
        <f>IF(tbl_HR_Data[[#This Row],[JobSatisfaction]]&lt;=2,1,0)</f>
        <v>0</v>
      </c>
      <c r="AM204">
        <f>IF(tbl_HR_Data[[#This Row],[MonthlyIncome]]&lt;$AT$2,1,0)</f>
        <v>1</v>
      </c>
      <c r="AN204">
        <f>IF(tbl_HR_Data[[#This Row],[Travel_Code]]=2,1,0)</f>
        <v>1</v>
      </c>
      <c r="AO204">
        <f>(tbl_HR_Data[[#This Row],[Flag_OT]] * Logic_Parameters!$B$2) +
 (tbl_HR_Data[[#This Row],[Flag_Travel]] * Logic_Parameters!$B$3) +
 (tbl_HR_Data[[#This Row],[Flag_Satisfaction]] * Logic_Parameters!$B$4) +
 (tbl_HR_Data[[#This Row],[Flag_Distance]]* Logic_Parameters!$B$5) +
 (tbl_HR_Data[[#This Row],[Flag_Income]] * Logic_Parameters!$B$6)</f>
        <v>21.654818917911005</v>
      </c>
      <c r="AP204" s="15">
        <f>tbl_HR_Data[[#This Row],[Risk_Score_Raw]] / SUM(Logic_Parameters!$B$2:$B$6)</f>
        <v>0.74606293423572745</v>
      </c>
      <c r="AQ204" s="16" t="str" cm="1">
        <f t="array" ref="AQ204">_xlfn.IFS(tbl_HR_Data[[#This Row],[Attrition_Risk_Percentage]] &gt;= 0.75, "Critical",tbl_HR_Data[ [#This Row],[Attrition_Risk_Percentage] ]&gt;= 0.5, "High",tbl_HR_Data[[#This Row],[Attrition_Risk_Percentage]] &gt;= 0.25, "Medium",TRUE, "Low")</f>
        <v>High</v>
      </c>
      <c r="AR204" s="16" cm="1">
        <f t="array" ref="AR204">IFERROR(_xlfn.IFS(tbl_HR_Data[[#This Row],[Risk_Category]]="Critical",tbl_HR_Data[[#This Row],[MonthlyIncome]]*1.5,tbl_HR_Data[[#This Row],[Risk_Category]]="High",tbl_HR_Data[[#This Row],[MonthlyIncome]]*1.5),0)</f>
        <v>5722.5</v>
      </c>
    </row>
    <row r="205" spans="1:44" x14ac:dyDescent="0.35">
      <c r="A205" t="s">
        <v>673</v>
      </c>
      <c r="B205">
        <v>40</v>
      </c>
      <c r="C205" t="s">
        <v>31</v>
      </c>
      <c r="D205">
        <v>905</v>
      </c>
      <c r="E205" t="s">
        <v>38</v>
      </c>
      <c r="F205">
        <v>19</v>
      </c>
      <c r="G205">
        <v>2</v>
      </c>
      <c r="H205" t="s">
        <v>44</v>
      </c>
      <c r="I205">
        <v>3</v>
      </c>
      <c r="J205" t="s">
        <v>39</v>
      </c>
      <c r="K205">
        <v>99</v>
      </c>
      <c r="L205">
        <v>3</v>
      </c>
      <c r="M205">
        <v>2</v>
      </c>
      <c r="N205" t="s">
        <v>43</v>
      </c>
      <c r="O205">
        <v>4</v>
      </c>
      <c r="P205" t="s">
        <v>41</v>
      </c>
      <c r="Q205">
        <v>2741</v>
      </c>
      <c r="R205">
        <v>16523</v>
      </c>
      <c r="S205">
        <v>8</v>
      </c>
      <c r="T205">
        <v>1</v>
      </c>
      <c r="U205" s="17">
        <v>0.15</v>
      </c>
      <c r="V205">
        <v>3</v>
      </c>
      <c r="W205">
        <v>3</v>
      </c>
      <c r="X205">
        <v>1</v>
      </c>
      <c r="Y205">
        <v>15</v>
      </c>
      <c r="Z205">
        <v>2</v>
      </c>
      <c r="AA205">
        <v>4</v>
      </c>
      <c r="AB205">
        <v>7</v>
      </c>
      <c r="AC205">
        <v>2</v>
      </c>
      <c r="AD205">
        <v>3</v>
      </c>
      <c r="AE205">
        <v>7</v>
      </c>
      <c r="AF205">
        <v>0</v>
      </c>
      <c r="AG205">
        <f>IF(tbl_HR_Data[[#This Row],[Gender]]="Male",1,0)</f>
        <v>1</v>
      </c>
      <c r="AH205" cm="1">
        <f t="array" ref="AH205">_xlfn.SWITCH(tbl_HR_Data[[#This Row],[BusinessTravel]], "Non-Travel", 0, "Travel_Rarely", 1, "Travel_Frequently", 2)</f>
        <v>1</v>
      </c>
      <c r="AI205" cm="1">
        <f t="array" ref="AI205">_xlfn.SWITCH(tbl_HR_Data[[#This Row],[MaritalStatus]],"Single",0,"Married",1,"Divorced",2)</f>
        <v>1</v>
      </c>
      <c r="AJ205">
        <f>IF(tbl_HR_Data[[#This Row],[OverTime]]=1,1,0)</f>
        <v>1</v>
      </c>
      <c r="AK205">
        <f>IF(tbl_HR_Data[[#This Row],[DistanceFromHome]]&gt;15,1,0)</f>
        <v>1</v>
      </c>
      <c r="AL205">
        <f>IF(tbl_HR_Data[[#This Row],[JobSatisfaction]]&lt;=2,1,0)</f>
        <v>0</v>
      </c>
      <c r="AM205">
        <f>IF(tbl_HR_Data[[#This Row],[MonthlyIncome]]&lt;$AT$2,1,0)</f>
        <v>1</v>
      </c>
      <c r="AN205">
        <f>IF(tbl_HR_Data[[#This Row],[Travel_Code]]=2,1,0)</f>
        <v>0</v>
      </c>
      <c r="AO205">
        <f>(tbl_HR_Data[[#This Row],[Flag_OT]] * Logic_Parameters!$B$2) +
 (tbl_HR_Data[[#This Row],[Flag_Travel]] * Logic_Parameters!$B$3) +
 (tbl_HR_Data[[#This Row],[Flag_Satisfaction]] * Logic_Parameters!$B$4) +
 (tbl_HR_Data[[#This Row],[Flag_Distance]]* Logic_Parameters!$B$5) +
 (tbl_HR_Data[[#This Row],[Flag_Income]] * Logic_Parameters!$B$6)</f>
        <v>19.660535633296206</v>
      </c>
      <c r="AP205" s="15">
        <f>tbl_HR_Data[[#This Row],[Risk_Score_Raw]] / SUM(Logic_Parameters!$B$2:$B$6)</f>
        <v>0.67735486308273574</v>
      </c>
      <c r="AQ205" s="16" t="str" cm="1">
        <f t="array" ref="AQ205">_xlfn.IFS(tbl_HR_Data[[#This Row],[Attrition_Risk_Percentage]] &gt;= 0.75, "Critical",tbl_HR_Data[ [#This Row],[Attrition_Risk_Percentage] ]&gt;= 0.5, "High",tbl_HR_Data[[#This Row],[Attrition_Risk_Percentage]] &gt;= 0.25, "Medium",TRUE, "Low")</f>
        <v>High</v>
      </c>
      <c r="AR205" s="16" cm="1">
        <f t="array" ref="AR205">IFERROR(_xlfn.IFS(tbl_HR_Data[[#This Row],[Risk_Category]]="Critical",tbl_HR_Data[[#This Row],[MonthlyIncome]]*1.5,tbl_HR_Data[[#This Row],[Risk_Category]]="High",tbl_HR_Data[[#This Row],[MonthlyIncome]]*1.5),0)</f>
        <v>4111.5</v>
      </c>
    </row>
    <row r="206" spans="1:44" x14ac:dyDescent="0.35">
      <c r="A206" t="s">
        <v>1236</v>
      </c>
      <c r="B206">
        <v>38</v>
      </c>
      <c r="C206" t="s">
        <v>31</v>
      </c>
      <c r="D206">
        <v>1180</v>
      </c>
      <c r="E206" t="s">
        <v>38</v>
      </c>
      <c r="F206">
        <v>29</v>
      </c>
      <c r="G206">
        <v>1</v>
      </c>
      <c r="H206" t="s">
        <v>44</v>
      </c>
      <c r="I206">
        <v>2</v>
      </c>
      <c r="J206" t="s">
        <v>39</v>
      </c>
      <c r="K206">
        <v>70</v>
      </c>
      <c r="L206">
        <v>3</v>
      </c>
      <c r="M206">
        <v>2</v>
      </c>
      <c r="N206" t="s">
        <v>47</v>
      </c>
      <c r="O206">
        <v>1</v>
      </c>
      <c r="P206" t="s">
        <v>41</v>
      </c>
      <c r="Q206">
        <v>6673</v>
      </c>
      <c r="R206">
        <v>11354</v>
      </c>
      <c r="S206">
        <v>7</v>
      </c>
      <c r="T206">
        <v>1</v>
      </c>
      <c r="U206" s="17">
        <v>0.19</v>
      </c>
      <c r="V206">
        <v>3</v>
      </c>
      <c r="W206">
        <v>2</v>
      </c>
      <c r="X206">
        <v>0</v>
      </c>
      <c r="Y206">
        <v>17</v>
      </c>
      <c r="Z206">
        <v>2</v>
      </c>
      <c r="AA206">
        <v>3</v>
      </c>
      <c r="AB206">
        <v>1</v>
      </c>
      <c r="AC206">
        <v>0</v>
      </c>
      <c r="AD206">
        <v>0</v>
      </c>
      <c r="AE206">
        <v>0</v>
      </c>
      <c r="AF206">
        <v>1</v>
      </c>
      <c r="AG206">
        <f>IF(tbl_HR_Data[[#This Row],[Gender]]="Male",1,0)</f>
        <v>1</v>
      </c>
      <c r="AH206" cm="1">
        <f t="array" ref="AH206">_xlfn.SWITCH(tbl_HR_Data[[#This Row],[BusinessTravel]], "Non-Travel", 0, "Travel_Rarely", 1, "Travel_Frequently", 2)</f>
        <v>1</v>
      </c>
      <c r="AI206" cm="1">
        <f t="array" ref="AI206">_xlfn.SWITCH(tbl_HR_Data[[#This Row],[MaritalStatus]],"Single",0,"Married",1,"Divorced",2)</f>
        <v>1</v>
      </c>
      <c r="AJ206">
        <f>IF(tbl_HR_Data[[#This Row],[OverTime]]=1,1,0)</f>
        <v>1</v>
      </c>
      <c r="AK206">
        <f>IF(tbl_HR_Data[[#This Row],[DistanceFromHome]]&gt;15,1,0)</f>
        <v>1</v>
      </c>
      <c r="AL206">
        <f>IF(tbl_HR_Data[[#This Row],[JobSatisfaction]]&lt;=2,1,0)</f>
        <v>1</v>
      </c>
      <c r="AM206">
        <f>IF(tbl_HR_Data[[#This Row],[MonthlyIncome]]&lt;$AT$2,1,0)</f>
        <v>0</v>
      </c>
      <c r="AN206">
        <f>IF(tbl_HR_Data[[#This Row],[Travel_Code]]=2,1,0)</f>
        <v>0</v>
      </c>
      <c r="AO206">
        <f>(tbl_HR_Data[[#This Row],[Flag_OT]] * Logic_Parameters!$B$2) +
 (tbl_HR_Data[[#This Row],[Flag_Travel]] * Logic_Parameters!$B$3) +
 (tbl_HR_Data[[#This Row],[Flag_Satisfaction]] * Logic_Parameters!$B$4) +
 (tbl_HR_Data[[#This Row],[Flag_Distance]]* Logic_Parameters!$B$5) +
 (tbl_HR_Data[[#This Row],[Flag_Income]] * Logic_Parameters!$B$6)</f>
        <v>17.370639825853509</v>
      </c>
      <c r="AP206" s="15">
        <f>tbl_HR_Data[[#This Row],[Risk_Score_Raw]] / SUM(Logic_Parameters!$B$2:$B$6)</f>
        <v>0.59846219759007979</v>
      </c>
      <c r="AQ206" s="16" t="str" cm="1">
        <f t="array" ref="AQ206">_xlfn.IFS(tbl_HR_Data[[#This Row],[Attrition_Risk_Percentage]] &gt;= 0.75, "Critical",tbl_HR_Data[ [#This Row],[Attrition_Risk_Percentage] ]&gt;= 0.5, "High",tbl_HR_Data[[#This Row],[Attrition_Risk_Percentage]] &gt;= 0.25, "Medium",TRUE, "Low")</f>
        <v>High</v>
      </c>
      <c r="AR206" s="16" cm="1">
        <f t="array" ref="AR206">IFERROR(_xlfn.IFS(tbl_HR_Data[[#This Row],[Risk_Category]]="Critical",tbl_HR_Data[[#This Row],[MonthlyIncome]]*1.5,tbl_HR_Data[[#This Row],[Risk_Category]]="High",tbl_HR_Data[[#This Row],[MonthlyIncome]]*1.5),0)</f>
        <v>10009.5</v>
      </c>
    </row>
    <row r="207" spans="1:44" x14ac:dyDescent="0.35">
      <c r="A207" t="s">
        <v>342</v>
      </c>
      <c r="B207">
        <v>29</v>
      </c>
      <c r="C207" t="s">
        <v>31</v>
      </c>
      <c r="D207">
        <v>121</v>
      </c>
      <c r="E207" t="s">
        <v>32</v>
      </c>
      <c r="F207">
        <v>27</v>
      </c>
      <c r="G207">
        <v>3</v>
      </c>
      <c r="H207" t="s">
        <v>51</v>
      </c>
      <c r="I207">
        <v>2</v>
      </c>
      <c r="J207" t="s">
        <v>34</v>
      </c>
      <c r="K207">
        <v>35</v>
      </c>
      <c r="L207">
        <v>3</v>
      </c>
      <c r="M207">
        <v>3</v>
      </c>
      <c r="N207" t="s">
        <v>35</v>
      </c>
      <c r="O207">
        <v>4</v>
      </c>
      <c r="P207" t="s">
        <v>41</v>
      </c>
      <c r="Q207">
        <v>7639</v>
      </c>
      <c r="R207">
        <v>24525</v>
      </c>
      <c r="S207">
        <v>1</v>
      </c>
      <c r="T207">
        <v>0</v>
      </c>
      <c r="U207" s="17">
        <v>0.22</v>
      </c>
      <c r="V207">
        <v>4</v>
      </c>
      <c r="W207">
        <v>4</v>
      </c>
      <c r="X207">
        <v>3</v>
      </c>
      <c r="Y207">
        <v>10</v>
      </c>
      <c r="Z207">
        <v>3</v>
      </c>
      <c r="AA207">
        <v>2</v>
      </c>
      <c r="AB207">
        <v>10</v>
      </c>
      <c r="AC207">
        <v>4</v>
      </c>
      <c r="AD207">
        <v>1</v>
      </c>
      <c r="AE207">
        <v>9</v>
      </c>
      <c r="AF207">
        <v>1</v>
      </c>
      <c r="AG207">
        <f>IF(tbl_HR_Data[[#This Row],[Gender]]="Male",1,0)</f>
        <v>0</v>
      </c>
      <c r="AH207" cm="1">
        <f t="array" ref="AH207">_xlfn.SWITCH(tbl_HR_Data[[#This Row],[BusinessTravel]], "Non-Travel", 0, "Travel_Rarely", 1, "Travel_Frequently", 2)</f>
        <v>1</v>
      </c>
      <c r="AI207" cm="1">
        <f t="array" ref="AI207">_xlfn.SWITCH(tbl_HR_Data[[#This Row],[MaritalStatus]],"Single",0,"Married",1,"Divorced",2)</f>
        <v>1</v>
      </c>
      <c r="AJ207">
        <f>IF(tbl_HR_Data[[#This Row],[OverTime]]=1,1,0)</f>
        <v>0</v>
      </c>
      <c r="AK207">
        <f>IF(tbl_HR_Data[[#This Row],[DistanceFromHome]]&gt;15,1,0)</f>
        <v>1</v>
      </c>
      <c r="AL207">
        <f>IF(tbl_HR_Data[[#This Row],[JobSatisfaction]]&lt;=2,1,0)</f>
        <v>0</v>
      </c>
      <c r="AM207">
        <f>IF(tbl_HR_Data[[#This Row],[MonthlyIncome]]&lt;$AT$2,1,0)</f>
        <v>0</v>
      </c>
      <c r="AN207">
        <f>IF(tbl_HR_Data[[#This Row],[Travel_Code]]=2,1,0)</f>
        <v>0</v>
      </c>
      <c r="AO207">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207" s="15">
        <f>tbl_HR_Data[[#This Row],[Risk_Score_Raw]] / SUM(Logic_Parameters!$B$2:$B$6)</f>
        <v>0.10908033267710357</v>
      </c>
      <c r="AQ207" s="16" t="str" cm="1">
        <f t="array" ref="AQ207">_xlfn.IFS(tbl_HR_Data[[#This Row],[Attrition_Risk_Percentage]] &gt;= 0.75, "Critical",tbl_HR_Data[ [#This Row],[Attrition_Risk_Percentage] ]&gt;= 0.5, "High",tbl_HR_Data[[#This Row],[Attrition_Risk_Percentage]] &gt;= 0.25, "Medium",TRUE, "Low")</f>
        <v>Low</v>
      </c>
      <c r="AR207" s="16" cm="1">
        <f t="array" ref="AR207">IFERROR(_xlfn.IFS(tbl_HR_Data[[#This Row],[Risk_Category]]="Critical",tbl_HR_Data[[#This Row],[MonthlyIncome]]*1.5,tbl_HR_Data[[#This Row],[Risk_Category]]="High",tbl_HR_Data[[#This Row],[MonthlyIncome]]*1.5),0)</f>
        <v>0</v>
      </c>
    </row>
    <row r="208" spans="1:44" x14ac:dyDescent="0.35">
      <c r="A208" t="s">
        <v>1332</v>
      </c>
      <c r="B208">
        <v>22</v>
      </c>
      <c r="C208" t="s">
        <v>31</v>
      </c>
      <c r="D208">
        <v>1136</v>
      </c>
      <c r="E208" t="s">
        <v>38</v>
      </c>
      <c r="F208">
        <v>5</v>
      </c>
      <c r="G208">
        <v>3</v>
      </c>
      <c r="H208" t="s">
        <v>33</v>
      </c>
      <c r="I208">
        <v>4</v>
      </c>
      <c r="J208" t="s">
        <v>39</v>
      </c>
      <c r="K208">
        <v>60</v>
      </c>
      <c r="L208">
        <v>4</v>
      </c>
      <c r="M208">
        <v>1</v>
      </c>
      <c r="N208" t="s">
        <v>40</v>
      </c>
      <c r="O208">
        <v>2</v>
      </c>
      <c r="P208" t="s">
        <v>45</v>
      </c>
      <c r="Q208">
        <v>2328</v>
      </c>
      <c r="R208">
        <v>12392</v>
      </c>
      <c r="S208">
        <v>1</v>
      </c>
      <c r="T208">
        <v>1</v>
      </c>
      <c r="U208" s="17">
        <v>0.16</v>
      </c>
      <c r="V208">
        <v>3</v>
      </c>
      <c r="W208">
        <v>1</v>
      </c>
      <c r="X208">
        <v>1</v>
      </c>
      <c r="Y208">
        <v>4</v>
      </c>
      <c r="Z208">
        <v>2</v>
      </c>
      <c r="AA208">
        <v>2</v>
      </c>
      <c r="AB208">
        <v>4</v>
      </c>
      <c r="AC208">
        <v>2</v>
      </c>
      <c r="AD208">
        <v>2</v>
      </c>
      <c r="AE208">
        <v>2</v>
      </c>
      <c r="AF208">
        <v>0</v>
      </c>
      <c r="AG208">
        <f>IF(tbl_HR_Data[[#This Row],[Gender]]="Male",1,0)</f>
        <v>1</v>
      </c>
      <c r="AH208" cm="1">
        <f t="array" ref="AH208">_xlfn.SWITCH(tbl_HR_Data[[#This Row],[BusinessTravel]], "Non-Travel", 0, "Travel_Rarely", 1, "Travel_Frequently", 2)</f>
        <v>1</v>
      </c>
      <c r="AI208" cm="1">
        <f t="array" ref="AI208">_xlfn.SWITCH(tbl_HR_Data[[#This Row],[MaritalStatus]],"Single",0,"Married",1,"Divorced",2)</f>
        <v>2</v>
      </c>
      <c r="AJ208">
        <f>IF(tbl_HR_Data[[#This Row],[OverTime]]=1,1,0)</f>
        <v>1</v>
      </c>
      <c r="AK208">
        <f>IF(tbl_HR_Data[[#This Row],[DistanceFromHome]]&gt;15,1,0)</f>
        <v>0</v>
      </c>
      <c r="AL208">
        <f>IF(tbl_HR_Data[[#This Row],[JobSatisfaction]]&lt;=2,1,0)</f>
        <v>1</v>
      </c>
      <c r="AM208">
        <f>IF(tbl_HR_Data[[#This Row],[MonthlyIncome]]&lt;$AT$2,1,0)</f>
        <v>1</v>
      </c>
      <c r="AN208">
        <f>IF(tbl_HR_Data[[#This Row],[Travel_Code]]=2,1,0)</f>
        <v>0</v>
      </c>
      <c r="AO208">
        <f>(tbl_HR_Data[[#This Row],[Flag_OT]] * Logic_Parameters!$B$2) +
 (tbl_HR_Data[[#This Row],[Flag_Travel]] * Logic_Parameters!$B$3) +
 (tbl_HR_Data[[#This Row],[Flag_Satisfaction]] * Logic_Parameters!$B$4) +
 (tbl_HR_Data[[#This Row],[Flag_Distance]]* Logic_Parameters!$B$5) +
 (tbl_HR_Data[[#This Row],[Flag_Income]] * Logic_Parameters!$B$6)</f>
        <v>20.698962067398959</v>
      </c>
      <c r="AP208" s="15">
        <f>tbl_HR_Data[[#This Row],[Risk_Score_Raw]] / SUM(Logic_Parameters!$B$2:$B$6)</f>
        <v>0.71313126349280109</v>
      </c>
      <c r="AQ208" s="16" t="str" cm="1">
        <f t="array" ref="AQ208">_xlfn.IFS(tbl_HR_Data[[#This Row],[Attrition_Risk_Percentage]] &gt;= 0.75, "Critical",tbl_HR_Data[ [#This Row],[Attrition_Risk_Percentage] ]&gt;= 0.5, "High",tbl_HR_Data[[#This Row],[Attrition_Risk_Percentage]] &gt;= 0.25, "Medium",TRUE, "Low")</f>
        <v>High</v>
      </c>
      <c r="AR208" s="16" cm="1">
        <f t="array" ref="AR208">IFERROR(_xlfn.IFS(tbl_HR_Data[[#This Row],[Risk_Category]]="Critical",tbl_HR_Data[[#This Row],[MonthlyIncome]]*1.5,tbl_HR_Data[[#This Row],[Risk_Category]]="High",tbl_HR_Data[[#This Row],[MonthlyIncome]]*1.5),0)</f>
        <v>3492</v>
      </c>
    </row>
    <row r="209" spans="1:44" x14ac:dyDescent="0.35">
      <c r="A209" t="s">
        <v>869</v>
      </c>
      <c r="B209">
        <v>36</v>
      </c>
      <c r="C209" t="s">
        <v>37</v>
      </c>
      <c r="D209">
        <v>635</v>
      </c>
      <c r="E209" t="s">
        <v>38</v>
      </c>
      <c r="F209">
        <v>18</v>
      </c>
      <c r="G209">
        <v>1</v>
      </c>
      <c r="H209" t="s">
        <v>44</v>
      </c>
      <c r="I209">
        <v>2</v>
      </c>
      <c r="J209" t="s">
        <v>34</v>
      </c>
      <c r="K209">
        <v>73</v>
      </c>
      <c r="L209">
        <v>3</v>
      </c>
      <c r="M209">
        <v>1</v>
      </c>
      <c r="N209" t="s">
        <v>43</v>
      </c>
      <c r="O209">
        <v>4</v>
      </c>
      <c r="P209" t="s">
        <v>36</v>
      </c>
      <c r="Q209">
        <v>2153</v>
      </c>
      <c r="R209">
        <v>7703</v>
      </c>
      <c r="S209">
        <v>1</v>
      </c>
      <c r="T209">
        <v>0</v>
      </c>
      <c r="U209" s="17">
        <v>0.13</v>
      </c>
      <c r="V209">
        <v>3</v>
      </c>
      <c r="W209">
        <v>1</v>
      </c>
      <c r="X209">
        <v>0</v>
      </c>
      <c r="Y209">
        <v>8</v>
      </c>
      <c r="Z209">
        <v>2</v>
      </c>
      <c r="AA209">
        <v>3</v>
      </c>
      <c r="AB209">
        <v>8</v>
      </c>
      <c r="AC209">
        <v>1</v>
      </c>
      <c r="AD209">
        <v>1</v>
      </c>
      <c r="AE209">
        <v>7</v>
      </c>
      <c r="AF209">
        <v>0</v>
      </c>
      <c r="AG209">
        <f>IF(tbl_HR_Data[[#This Row],[Gender]]="Male",1,0)</f>
        <v>0</v>
      </c>
      <c r="AH209" cm="1">
        <f t="array" ref="AH209">_xlfn.SWITCH(tbl_HR_Data[[#This Row],[BusinessTravel]], "Non-Travel", 0, "Travel_Rarely", 1, "Travel_Frequently", 2)</f>
        <v>2</v>
      </c>
      <c r="AI209" cm="1">
        <f t="array" ref="AI209">_xlfn.SWITCH(tbl_HR_Data[[#This Row],[MaritalStatus]],"Single",0,"Married",1,"Divorced",2)</f>
        <v>0</v>
      </c>
      <c r="AJ209">
        <f>IF(tbl_HR_Data[[#This Row],[OverTime]]=1,1,0)</f>
        <v>0</v>
      </c>
      <c r="AK209">
        <f>IF(tbl_HR_Data[[#This Row],[DistanceFromHome]]&gt;15,1,0)</f>
        <v>1</v>
      </c>
      <c r="AL209">
        <f>IF(tbl_HR_Data[[#This Row],[JobSatisfaction]]&lt;=2,1,0)</f>
        <v>0</v>
      </c>
      <c r="AM209">
        <f>IF(tbl_HR_Data[[#This Row],[MonthlyIncome]]&lt;$AT$2,1,0)</f>
        <v>1</v>
      </c>
      <c r="AN209">
        <f>IF(tbl_HR_Data[[#This Row],[Travel_Code]]=2,1,0)</f>
        <v>1</v>
      </c>
      <c r="AO209">
        <f>(tbl_HR_Data[[#This Row],[Flag_OT]] * Logic_Parameters!$B$2) +
 (tbl_HR_Data[[#This Row],[Flag_Travel]] * Logic_Parameters!$B$3) +
 (tbl_HR_Data[[#This Row],[Flag_Satisfaction]] * Logic_Parameters!$B$4) +
 (tbl_HR_Data[[#This Row],[Flag_Distance]]* Logic_Parameters!$B$5) +
 (tbl_HR_Data[[#This Row],[Flag_Income]] * Logic_Parameters!$B$6)</f>
        <v>14.820925613786383</v>
      </c>
      <c r="AP209" s="15">
        <f>tbl_HR_Data[[#This Row],[Risk_Score_Raw]] / SUM(Logic_Parameters!$B$2:$B$6)</f>
        <v>0.51061813508702369</v>
      </c>
      <c r="AQ209" s="16" t="str" cm="1">
        <f t="array" ref="AQ209">_xlfn.IFS(tbl_HR_Data[[#This Row],[Attrition_Risk_Percentage]] &gt;= 0.75, "Critical",tbl_HR_Data[ [#This Row],[Attrition_Risk_Percentage] ]&gt;= 0.5, "High",tbl_HR_Data[[#This Row],[Attrition_Risk_Percentage]] &gt;= 0.25, "Medium",TRUE, "Low")</f>
        <v>High</v>
      </c>
      <c r="AR209" s="16" cm="1">
        <f t="array" ref="AR209">IFERROR(_xlfn.IFS(tbl_HR_Data[[#This Row],[Risk_Category]]="Critical",tbl_HR_Data[[#This Row],[MonthlyIncome]]*1.5,tbl_HR_Data[[#This Row],[Risk_Category]]="High",tbl_HR_Data[[#This Row],[MonthlyIncome]]*1.5),0)</f>
        <v>3229.5</v>
      </c>
    </row>
    <row r="210" spans="1:44" x14ac:dyDescent="0.35">
      <c r="A210" t="s">
        <v>700</v>
      </c>
      <c r="B210">
        <v>40</v>
      </c>
      <c r="C210" t="s">
        <v>1525</v>
      </c>
      <c r="D210">
        <v>1151</v>
      </c>
      <c r="E210" t="s">
        <v>38</v>
      </c>
      <c r="F210">
        <v>9</v>
      </c>
      <c r="G210">
        <v>5</v>
      </c>
      <c r="H210" t="s">
        <v>33</v>
      </c>
      <c r="I210">
        <v>4</v>
      </c>
      <c r="J210" t="s">
        <v>39</v>
      </c>
      <c r="K210">
        <v>63</v>
      </c>
      <c r="L210">
        <v>2</v>
      </c>
      <c r="M210">
        <v>2</v>
      </c>
      <c r="N210" t="s">
        <v>47</v>
      </c>
      <c r="O210">
        <v>4</v>
      </c>
      <c r="P210" t="s">
        <v>41</v>
      </c>
      <c r="Q210">
        <v>4876</v>
      </c>
      <c r="R210">
        <v>14242</v>
      </c>
      <c r="S210">
        <v>9</v>
      </c>
      <c r="T210">
        <v>0</v>
      </c>
      <c r="U210" s="17">
        <v>0.14000000000000001</v>
      </c>
      <c r="V210">
        <v>3</v>
      </c>
      <c r="W210">
        <v>4</v>
      </c>
      <c r="X210">
        <v>1</v>
      </c>
      <c r="Y210">
        <v>5</v>
      </c>
      <c r="Z210">
        <v>5</v>
      </c>
      <c r="AA210">
        <v>1</v>
      </c>
      <c r="AB210">
        <v>3</v>
      </c>
      <c r="AC210">
        <v>2</v>
      </c>
      <c r="AD210">
        <v>0</v>
      </c>
      <c r="AE210">
        <v>2</v>
      </c>
      <c r="AF210">
        <v>0</v>
      </c>
      <c r="AG210">
        <f>IF(tbl_HR_Data[[#This Row],[Gender]]="Male",1,0)</f>
        <v>1</v>
      </c>
      <c r="AH210" cm="1">
        <f t="array" ref="AH210">_xlfn.SWITCH(tbl_HR_Data[[#This Row],[BusinessTravel]], "Non-Travel", 0, "Travel_Rarely", 1, "Travel_Frequently", 2)</f>
        <v>0</v>
      </c>
      <c r="AI210" cm="1">
        <f t="array" ref="AI210">_xlfn.SWITCH(tbl_HR_Data[[#This Row],[MaritalStatus]],"Single",0,"Married",1,"Divorced",2)</f>
        <v>1</v>
      </c>
      <c r="AJ210">
        <f>IF(tbl_HR_Data[[#This Row],[OverTime]]=1,1,0)</f>
        <v>0</v>
      </c>
      <c r="AK210">
        <f>IF(tbl_HR_Data[[#This Row],[DistanceFromHome]]&gt;15,1,0)</f>
        <v>0</v>
      </c>
      <c r="AL210">
        <f>IF(tbl_HR_Data[[#This Row],[JobSatisfaction]]&lt;=2,1,0)</f>
        <v>0</v>
      </c>
      <c r="AM210">
        <f>IF(tbl_HR_Data[[#This Row],[MonthlyIncome]]&lt;$AT$2,1,0)</f>
        <v>1</v>
      </c>
      <c r="AN210">
        <f>IF(tbl_HR_Data[[#This Row],[Travel_Code]]=2,1,0)</f>
        <v>0</v>
      </c>
      <c r="AO210">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210" s="15">
        <f>tbl_HR_Data[[#This Row],[Risk_Score_Raw]] / SUM(Logic_Parameters!$B$2:$B$6)</f>
        <v>0.22374939857982484</v>
      </c>
      <c r="AQ210" s="16" t="str" cm="1">
        <f t="array" ref="AQ210">_xlfn.IFS(tbl_HR_Data[[#This Row],[Attrition_Risk_Percentage]] &gt;= 0.75, "Critical",tbl_HR_Data[ [#This Row],[Attrition_Risk_Percentage] ]&gt;= 0.5, "High",tbl_HR_Data[[#This Row],[Attrition_Risk_Percentage]] &gt;= 0.25, "Medium",TRUE, "Low")</f>
        <v>Low</v>
      </c>
      <c r="AR210" s="16" cm="1">
        <f t="array" ref="AR210">IFERROR(_xlfn.IFS(tbl_HR_Data[[#This Row],[Risk_Category]]="Critical",tbl_HR_Data[[#This Row],[MonthlyIncome]]*1.5,tbl_HR_Data[[#This Row],[Risk_Category]]="High",tbl_HR_Data[[#This Row],[MonthlyIncome]]*1.5),0)</f>
        <v>0</v>
      </c>
    </row>
    <row r="211" spans="1:44" x14ac:dyDescent="0.35">
      <c r="A211" t="s">
        <v>526</v>
      </c>
      <c r="B211">
        <v>46</v>
      </c>
      <c r="C211" t="s">
        <v>31</v>
      </c>
      <c r="D211">
        <v>644</v>
      </c>
      <c r="E211" t="s">
        <v>38</v>
      </c>
      <c r="F211">
        <v>1</v>
      </c>
      <c r="G211">
        <v>4</v>
      </c>
      <c r="H211" t="s">
        <v>44</v>
      </c>
      <c r="I211">
        <v>4</v>
      </c>
      <c r="J211" t="s">
        <v>39</v>
      </c>
      <c r="K211">
        <v>97</v>
      </c>
      <c r="L211">
        <v>3</v>
      </c>
      <c r="M211">
        <v>3</v>
      </c>
      <c r="N211" t="s">
        <v>47</v>
      </c>
      <c r="O211">
        <v>1</v>
      </c>
      <c r="P211" t="s">
        <v>45</v>
      </c>
      <c r="Q211">
        <v>9396</v>
      </c>
      <c r="R211">
        <v>12368</v>
      </c>
      <c r="S211">
        <v>7</v>
      </c>
      <c r="T211">
        <v>0</v>
      </c>
      <c r="U211" s="17">
        <v>0.16</v>
      </c>
      <c r="V211">
        <v>3</v>
      </c>
      <c r="W211">
        <v>3</v>
      </c>
      <c r="X211">
        <v>1</v>
      </c>
      <c r="Y211">
        <v>17</v>
      </c>
      <c r="Z211">
        <v>3</v>
      </c>
      <c r="AA211">
        <v>3</v>
      </c>
      <c r="AB211">
        <v>4</v>
      </c>
      <c r="AC211">
        <v>2</v>
      </c>
      <c r="AD211">
        <v>0</v>
      </c>
      <c r="AE211">
        <v>3</v>
      </c>
      <c r="AF211">
        <v>0</v>
      </c>
      <c r="AG211">
        <f>IF(tbl_HR_Data[[#This Row],[Gender]]="Male",1,0)</f>
        <v>1</v>
      </c>
      <c r="AH211" cm="1">
        <f t="array" ref="AH211">_xlfn.SWITCH(tbl_HR_Data[[#This Row],[BusinessTravel]], "Non-Travel", 0, "Travel_Rarely", 1, "Travel_Frequently", 2)</f>
        <v>1</v>
      </c>
      <c r="AI211" cm="1">
        <f t="array" ref="AI211">_xlfn.SWITCH(tbl_HR_Data[[#This Row],[MaritalStatus]],"Single",0,"Married",1,"Divorced",2)</f>
        <v>2</v>
      </c>
      <c r="AJ211">
        <f>IF(tbl_HR_Data[[#This Row],[OverTime]]=1,1,0)</f>
        <v>0</v>
      </c>
      <c r="AK211">
        <f>IF(tbl_HR_Data[[#This Row],[DistanceFromHome]]&gt;15,1,0)</f>
        <v>0</v>
      </c>
      <c r="AL211">
        <f>IF(tbl_HR_Data[[#This Row],[JobSatisfaction]]&lt;=2,1,0)</f>
        <v>1</v>
      </c>
      <c r="AM211">
        <f>IF(tbl_HR_Data[[#This Row],[MonthlyIncome]]&lt;$AT$2,1,0)</f>
        <v>0</v>
      </c>
      <c r="AN211">
        <f>IF(tbl_HR_Data[[#This Row],[Travel_Code]]=2,1,0)</f>
        <v>0</v>
      </c>
      <c r="AO211">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211" s="15">
        <f>tbl_HR_Data[[#This Row],[Risk_Score_Raw]] / SUM(Logic_Parameters!$B$2:$B$6)</f>
        <v>0.14485673308716898</v>
      </c>
      <c r="AQ211" s="16" t="str" cm="1">
        <f t="array" ref="AQ211">_xlfn.IFS(tbl_HR_Data[[#This Row],[Attrition_Risk_Percentage]] &gt;= 0.75, "Critical",tbl_HR_Data[ [#This Row],[Attrition_Risk_Percentage] ]&gt;= 0.5, "High",tbl_HR_Data[[#This Row],[Attrition_Risk_Percentage]] &gt;= 0.25, "Medium",TRUE, "Low")</f>
        <v>Low</v>
      </c>
      <c r="AR211" s="16" cm="1">
        <f t="array" ref="AR211">IFERROR(_xlfn.IFS(tbl_HR_Data[[#This Row],[Risk_Category]]="Critical",tbl_HR_Data[[#This Row],[MonthlyIncome]]*1.5,tbl_HR_Data[[#This Row],[Risk_Category]]="High",tbl_HR_Data[[#This Row],[MonthlyIncome]]*1.5),0)</f>
        <v>0</v>
      </c>
    </row>
    <row r="212" spans="1:44" x14ac:dyDescent="0.35">
      <c r="A212" t="s">
        <v>454</v>
      </c>
      <c r="B212">
        <v>32</v>
      </c>
      <c r="C212" t="s">
        <v>31</v>
      </c>
      <c r="D212">
        <v>1045</v>
      </c>
      <c r="E212" t="s">
        <v>32</v>
      </c>
      <c r="F212">
        <v>4</v>
      </c>
      <c r="G212">
        <v>4</v>
      </c>
      <c r="H212" t="s">
        <v>44</v>
      </c>
      <c r="I212">
        <v>4</v>
      </c>
      <c r="J212" t="s">
        <v>39</v>
      </c>
      <c r="K212">
        <v>32</v>
      </c>
      <c r="L212">
        <v>1</v>
      </c>
      <c r="M212">
        <v>3</v>
      </c>
      <c r="N212" t="s">
        <v>35</v>
      </c>
      <c r="O212">
        <v>4</v>
      </c>
      <c r="P212" t="s">
        <v>41</v>
      </c>
      <c r="Q212">
        <v>10400</v>
      </c>
      <c r="R212">
        <v>25812</v>
      </c>
      <c r="S212">
        <v>1</v>
      </c>
      <c r="T212">
        <v>0</v>
      </c>
      <c r="U212" s="17">
        <v>0.11</v>
      </c>
      <c r="V212">
        <v>3</v>
      </c>
      <c r="W212">
        <v>3</v>
      </c>
      <c r="X212">
        <v>0</v>
      </c>
      <c r="Y212">
        <v>14</v>
      </c>
      <c r="Z212">
        <v>2</v>
      </c>
      <c r="AA212">
        <v>2</v>
      </c>
      <c r="AB212">
        <v>14</v>
      </c>
      <c r="AC212">
        <v>8</v>
      </c>
      <c r="AD212">
        <v>9</v>
      </c>
      <c r="AE212">
        <v>8</v>
      </c>
      <c r="AF212">
        <v>1</v>
      </c>
      <c r="AG212">
        <f>IF(tbl_HR_Data[[#This Row],[Gender]]="Male",1,0)</f>
        <v>1</v>
      </c>
      <c r="AH212" cm="1">
        <f t="array" ref="AH212">_xlfn.SWITCH(tbl_HR_Data[[#This Row],[BusinessTravel]], "Non-Travel", 0, "Travel_Rarely", 1, "Travel_Frequently", 2)</f>
        <v>1</v>
      </c>
      <c r="AI212" cm="1">
        <f t="array" ref="AI212">_xlfn.SWITCH(tbl_HR_Data[[#This Row],[MaritalStatus]],"Single",0,"Married",1,"Divorced",2)</f>
        <v>1</v>
      </c>
      <c r="AJ212">
        <f>IF(tbl_HR_Data[[#This Row],[OverTime]]=1,1,0)</f>
        <v>0</v>
      </c>
      <c r="AK212">
        <f>IF(tbl_HR_Data[[#This Row],[DistanceFromHome]]&gt;15,1,0)</f>
        <v>0</v>
      </c>
      <c r="AL212">
        <f>IF(tbl_HR_Data[[#This Row],[JobSatisfaction]]&lt;=2,1,0)</f>
        <v>0</v>
      </c>
      <c r="AM212">
        <f>IF(tbl_HR_Data[[#This Row],[MonthlyIncome]]&lt;$AT$2,1,0)</f>
        <v>0</v>
      </c>
      <c r="AN212">
        <f>IF(tbl_HR_Data[[#This Row],[Travel_Code]]=2,1,0)</f>
        <v>0</v>
      </c>
      <c r="AO212">
        <f>(tbl_HR_Data[[#This Row],[Flag_OT]] * Logic_Parameters!$B$2) +
 (tbl_HR_Data[[#This Row],[Flag_Travel]] * Logic_Parameters!$B$3) +
 (tbl_HR_Data[[#This Row],[Flag_Satisfaction]] * Logic_Parameters!$B$4) +
 (tbl_HR_Data[[#This Row],[Flag_Distance]]* Logic_Parameters!$B$5) +
 (tbl_HR_Data[[#This Row],[Flag_Income]] * Logic_Parameters!$B$6)</f>
        <v>0</v>
      </c>
      <c r="AP212" s="15">
        <f>tbl_HR_Data[[#This Row],[Risk_Score_Raw]] / SUM(Logic_Parameters!$B$2:$B$6)</f>
        <v>0</v>
      </c>
      <c r="AQ212" s="16" t="str" cm="1">
        <f t="array" ref="AQ212">_xlfn.IFS(tbl_HR_Data[[#This Row],[Attrition_Risk_Percentage]] &gt;= 0.75, "Critical",tbl_HR_Data[ [#This Row],[Attrition_Risk_Percentage] ]&gt;= 0.5, "High",tbl_HR_Data[[#This Row],[Attrition_Risk_Percentage]] &gt;= 0.25, "Medium",TRUE, "Low")</f>
        <v>Low</v>
      </c>
      <c r="AR212" s="16" cm="1">
        <f t="array" ref="AR212">IFERROR(_xlfn.IFS(tbl_HR_Data[[#This Row],[Risk_Category]]="Critical",tbl_HR_Data[[#This Row],[MonthlyIncome]]*1.5,tbl_HR_Data[[#This Row],[Risk_Category]]="High",tbl_HR_Data[[#This Row],[MonthlyIncome]]*1.5),0)</f>
        <v>0</v>
      </c>
    </row>
    <row r="213" spans="1:44" x14ac:dyDescent="0.35">
      <c r="A213" t="s">
        <v>905</v>
      </c>
      <c r="B213">
        <v>30</v>
      </c>
      <c r="C213" t="s">
        <v>1525</v>
      </c>
      <c r="D213">
        <v>829</v>
      </c>
      <c r="E213" t="s">
        <v>38</v>
      </c>
      <c r="F213">
        <v>1</v>
      </c>
      <c r="G213">
        <v>1</v>
      </c>
      <c r="H213" t="s">
        <v>33</v>
      </c>
      <c r="I213">
        <v>3</v>
      </c>
      <c r="J213" t="s">
        <v>39</v>
      </c>
      <c r="K213">
        <v>88</v>
      </c>
      <c r="L213">
        <v>2</v>
      </c>
      <c r="M213">
        <v>3</v>
      </c>
      <c r="N213" t="s">
        <v>46</v>
      </c>
      <c r="O213">
        <v>3</v>
      </c>
      <c r="P213" t="s">
        <v>36</v>
      </c>
      <c r="Q213">
        <v>8474</v>
      </c>
      <c r="R213">
        <v>20925</v>
      </c>
      <c r="S213">
        <v>1</v>
      </c>
      <c r="T213">
        <v>0</v>
      </c>
      <c r="U213" s="17">
        <v>0.22</v>
      </c>
      <c r="V213">
        <v>4</v>
      </c>
      <c r="W213">
        <v>3</v>
      </c>
      <c r="X213">
        <v>0</v>
      </c>
      <c r="Y213">
        <v>12</v>
      </c>
      <c r="Z213">
        <v>2</v>
      </c>
      <c r="AA213">
        <v>3</v>
      </c>
      <c r="AB213">
        <v>11</v>
      </c>
      <c r="AC213">
        <v>8</v>
      </c>
      <c r="AD213">
        <v>5</v>
      </c>
      <c r="AE213">
        <v>8</v>
      </c>
      <c r="AF213">
        <v>0</v>
      </c>
      <c r="AG213">
        <f>IF(tbl_HR_Data[[#This Row],[Gender]]="Male",1,0)</f>
        <v>1</v>
      </c>
      <c r="AH213" cm="1">
        <f t="array" ref="AH213">_xlfn.SWITCH(tbl_HR_Data[[#This Row],[BusinessTravel]], "Non-Travel", 0, "Travel_Rarely", 1, "Travel_Frequently", 2)</f>
        <v>0</v>
      </c>
      <c r="AI213" cm="1">
        <f t="array" ref="AI213">_xlfn.SWITCH(tbl_HR_Data[[#This Row],[MaritalStatus]],"Single",0,"Married",1,"Divorced",2)</f>
        <v>0</v>
      </c>
      <c r="AJ213">
        <f>IF(tbl_HR_Data[[#This Row],[OverTime]]=1,1,0)</f>
        <v>0</v>
      </c>
      <c r="AK213">
        <f>IF(tbl_HR_Data[[#This Row],[DistanceFromHome]]&gt;15,1,0)</f>
        <v>0</v>
      </c>
      <c r="AL213">
        <f>IF(tbl_HR_Data[[#This Row],[JobSatisfaction]]&lt;=2,1,0)</f>
        <v>0</v>
      </c>
      <c r="AM213">
        <f>IF(tbl_HR_Data[[#This Row],[MonthlyIncome]]&lt;$AT$2,1,0)</f>
        <v>0</v>
      </c>
      <c r="AN213">
        <f>IF(tbl_HR_Data[[#This Row],[Travel_Code]]=2,1,0)</f>
        <v>0</v>
      </c>
      <c r="AO213">
        <f>(tbl_HR_Data[[#This Row],[Flag_OT]] * Logic_Parameters!$B$2) +
 (tbl_HR_Data[[#This Row],[Flag_Travel]] * Logic_Parameters!$B$3) +
 (tbl_HR_Data[[#This Row],[Flag_Satisfaction]] * Logic_Parameters!$B$4) +
 (tbl_HR_Data[[#This Row],[Flag_Distance]]* Logic_Parameters!$B$5) +
 (tbl_HR_Data[[#This Row],[Flag_Income]] * Logic_Parameters!$B$6)</f>
        <v>0</v>
      </c>
      <c r="AP213" s="15">
        <f>tbl_HR_Data[[#This Row],[Risk_Score_Raw]] / SUM(Logic_Parameters!$B$2:$B$6)</f>
        <v>0</v>
      </c>
      <c r="AQ213" s="16" t="str" cm="1">
        <f t="array" ref="AQ213">_xlfn.IFS(tbl_HR_Data[[#This Row],[Attrition_Risk_Percentage]] &gt;= 0.75, "Critical",tbl_HR_Data[ [#This Row],[Attrition_Risk_Percentage] ]&gt;= 0.5, "High",tbl_HR_Data[[#This Row],[Attrition_Risk_Percentage]] &gt;= 0.25, "Medium",TRUE, "Low")</f>
        <v>Low</v>
      </c>
      <c r="AR213" s="16" cm="1">
        <f t="array" ref="AR213">IFERROR(_xlfn.IFS(tbl_HR_Data[[#This Row],[Risk_Category]]="Critical",tbl_HR_Data[[#This Row],[MonthlyIncome]]*1.5,tbl_HR_Data[[#This Row],[Risk_Category]]="High",tbl_HR_Data[[#This Row],[MonthlyIncome]]*1.5),0)</f>
        <v>0</v>
      </c>
    </row>
    <row r="214" spans="1:44" x14ac:dyDescent="0.35">
      <c r="A214" t="s">
        <v>1362</v>
      </c>
      <c r="B214">
        <v>27</v>
      </c>
      <c r="C214" t="s">
        <v>37</v>
      </c>
      <c r="D214">
        <v>1242</v>
      </c>
      <c r="E214" t="s">
        <v>32</v>
      </c>
      <c r="F214">
        <v>20</v>
      </c>
      <c r="G214">
        <v>3</v>
      </c>
      <c r="H214" t="s">
        <v>33</v>
      </c>
      <c r="I214">
        <v>4</v>
      </c>
      <c r="J214" t="s">
        <v>34</v>
      </c>
      <c r="K214">
        <v>90</v>
      </c>
      <c r="L214">
        <v>3</v>
      </c>
      <c r="M214">
        <v>2</v>
      </c>
      <c r="N214" t="s">
        <v>35</v>
      </c>
      <c r="O214">
        <v>3</v>
      </c>
      <c r="P214" t="s">
        <v>36</v>
      </c>
      <c r="Q214">
        <v>9981</v>
      </c>
      <c r="R214">
        <v>12916</v>
      </c>
      <c r="S214">
        <v>1</v>
      </c>
      <c r="T214">
        <v>0</v>
      </c>
      <c r="U214" s="17">
        <v>0.14000000000000001</v>
      </c>
      <c r="V214">
        <v>3</v>
      </c>
      <c r="W214">
        <v>4</v>
      </c>
      <c r="X214">
        <v>0</v>
      </c>
      <c r="Y214">
        <v>7</v>
      </c>
      <c r="Z214">
        <v>2</v>
      </c>
      <c r="AA214">
        <v>3</v>
      </c>
      <c r="AB214">
        <v>7</v>
      </c>
      <c r="AC214">
        <v>7</v>
      </c>
      <c r="AD214">
        <v>0</v>
      </c>
      <c r="AE214">
        <v>7</v>
      </c>
      <c r="AF214">
        <v>0</v>
      </c>
      <c r="AG214">
        <f>IF(tbl_HR_Data[[#This Row],[Gender]]="Male",1,0)</f>
        <v>0</v>
      </c>
      <c r="AH214" cm="1">
        <f t="array" ref="AH214">_xlfn.SWITCH(tbl_HR_Data[[#This Row],[BusinessTravel]], "Non-Travel", 0, "Travel_Rarely", 1, "Travel_Frequently", 2)</f>
        <v>2</v>
      </c>
      <c r="AI214" cm="1">
        <f t="array" ref="AI214">_xlfn.SWITCH(tbl_HR_Data[[#This Row],[MaritalStatus]],"Single",0,"Married",1,"Divorced",2)</f>
        <v>0</v>
      </c>
      <c r="AJ214">
        <f>IF(tbl_HR_Data[[#This Row],[OverTime]]=1,1,0)</f>
        <v>0</v>
      </c>
      <c r="AK214">
        <f>IF(tbl_HR_Data[[#This Row],[DistanceFromHome]]&gt;15,1,0)</f>
        <v>1</v>
      </c>
      <c r="AL214">
        <f>IF(tbl_HR_Data[[#This Row],[JobSatisfaction]]&lt;=2,1,0)</f>
        <v>0</v>
      </c>
      <c r="AM214">
        <f>IF(tbl_HR_Data[[#This Row],[MonthlyIncome]]&lt;$AT$2,1,0)</f>
        <v>0</v>
      </c>
      <c r="AN214">
        <f>IF(tbl_HR_Data[[#This Row],[Travel_Code]]=2,1,0)</f>
        <v>1</v>
      </c>
      <c r="AO214">
        <f>(tbl_HR_Data[[#This Row],[Flag_OT]] * Logic_Parameters!$B$2) +
 (tbl_HR_Data[[#This Row],[Flag_Travel]] * Logic_Parameters!$B$3) +
 (tbl_HR_Data[[#This Row],[Flag_Satisfaction]] * Logic_Parameters!$B$4) +
 (tbl_HR_Data[[#This Row],[Flag_Distance]]* Logic_Parameters!$B$5) +
 (tbl_HR_Data[[#This Row],[Flag_Income]] * Logic_Parameters!$B$6)</f>
        <v>8.3264966763655544</v>
      </c>
      <c r="AP214" s="15">
        <f>tbl_HR_Data[[#This Row],[Risk_Score_Raw]] / SUM(Logic_Parameters!$B$2:$B$6)</f>
        <v>0.28686873650719891</v>
      </c>
      <c r="AQ214" s="16" t="str" cm="1">
        <f t="array" ref="AQ214">_xlfn.IFS(tbl_HR_Data[[#This Row],[Attrition_Risk_Percentage]] &gt;= 0.75, "Critical",tbl_HR_Data[ [#This Row],[Attrition_Risk_Percentage] ]&gt;= 0.5, "High",tbl_HR_Data[[#This Row],[Attrition_Risk_Percentage]] &gt;= 0.25, "Medium",TRUE, "Low")</f>
        <v>Medium</v>
      </c>
      <c r="AR214" s="16" cm="1">
        <f t="array" ref="AR214">IFERROR(_xlfn.IFS(tbl_HR_Data[[#This Row],[Risk_Category]]="Critical",tbl_HR_Data[[#This Row],[MonthlyIncome]]*1.5,tbl_HR_Data[[#This Row],[Risk_Category]]="High",tbl_HR_Data[[#This Row],[MonthlyIncome]]*1.5),0)</f>
        <v>0</v>
      </c>
    </row>
    <row r="215" spans="1:44" x14ac:dyDescent="0.35">
      <c r="A215" t="s">
        <v>731</v>
      </c>
      <c r="B215">
        <v>51</v>
      </c>
      <c r="C215" t="s">
        <v>31</v>
      </c>
      <c r="D215">
        <v>1469</v>
      </c>
      <c r="E215" t="s">
        <v>38</v>
      </c>
      <c r="F215">
        <v>8</v>
      </c>
      <c r="G215">
        <v>4</v>
      </c>
      <c r="H215" t="s">
        <v>33</v>
      </c>
      <c r="I215">
        <v>2</v>
      </c>
      <c r="J215" t="s">
        <v>39</v>
      </c>
      <c r="K215">
        <v>81</v>
      </c>
      <c r="L215">
        <v>2</v>
      </c>
      <c r="M215">
        <v>3</v>
      </c>
      <c r="N215" t="s">
        <v>50</v>
      </c>
      <c r="O215">
        <v>2</v>
      </c>
      <c r="P215" t="s">
        <v>41</v>
      </c>
      <c r="Q215">
        <v>12490</v>
      </c>
      <c r="R215">
        <v>15736</v>
      </c>
      <c r="S215">
        <v>5</v>
      </c>
      <c r="T215">
        <v>0</v>
      </c>
      <c r="U215" s="17">
        <v>0.16</v>
      </c>
      <c r="V215">
        <v>3</v>
      </c>
      <c r="W215">
        <v>4</v>
      </c>
      <c r="X215">
        <v>2</v>
      </c>
      <c r="Y215">
        <v>16</v>
      </c>
      <c r="Z215">
        <v>5</v>
      </c>
      <c r="AA215">
        <v>1</v>
      </c>
      <c r="AB215">
        <v>10</v>
      </c>
      <c r="AC215">
        <v>9</v>
      </c>
      <c r="AD215">
        <v>4</v>
      </c>
      <c r="AE215">
        <v>7</v>
      </c>
      <c r="AF215">
        <v>0</v>
      </c>
      <c r="AG215">
        <f>IF(tbl_HR_Data[[#This Row],[Gender]]="Male",1,0)</f>
        <v>1</v>
      </c>
      <c r="AH215" cm="1">
        <f t="array" ref="AH215">_xlfn.SWITCH(tbl_HR_Data[[#This Row],[BusinessTravel]], "Non-Travel", 0, "Travel_Rarely", 1, "Travel_Frequently", 2)</f>
        <v>1</v>
      </c>
      <c r="AI215" cm="1">
        <f t="array" ref="AI215">_xlfn.SWITCH(tbl_HR_Data[[#This Row],[MaritalStatus]],"Single",0,"Married",1,"Divorced",2)</f>
        <v>1</v>
      </c>
      <c r="AJ215">
        <f>IF(tbl_HR_Data[[#This Row],[OverTime]]=1,1,0)</f>
        <v>0</v>
      </c>
      <c r="AK215">
        <f>IF(tbl_HR_Data[[#This Row],[DistanceFromHome]]&gt;15,1,0)</f>
        <v>0</v>
      </c>
      <c r="AL215">
        <f>IF(tbl_HR_Data[[#This Row],[JobSatisfaction]]&lt;=2,1,0)</f>
        <v>1</v>
      </c>
      <c r="AM215">
        <f>IF(tbl_HR_Data[[#This Row],[MonthlyIncome]]&lt;$AT$2,1,0)</f>
        <v>0</v>
      </c>
      <c r="AN215">
        <f>IF(tbl_HR_Data[[#This Row],[Travel_Code]]=2,1,0)</f>
        <v>0</v>
      </c>
      <c r="AO215">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215" s="15">
        <f>tbl_HR_Data[[#This Row],[Risk_Score_Raw]] / SUM(Logic_Parameters!$B$2:$B$6)</f>
        <v>0.14485673308716898</v>
      </c>
      <c r="AQ215" s="16" t="str" cm="1">
        <f t="array" ref="AQ215">_xlfn.IFS(tbl_HR_Data[[#This Row],[Attrition_Risk_Percentage]] &gt;= 0.75, "Critical",tbl_HR_Data[ [#This Row],[Attrition_Risk_Percentage] ]&gt;= 0.5, "High",tbl_HR_Data[[#This Row],[Attrition_Risk_Percentage]] &gt;= 0.25, "Medium",TRUE, "Low")</f>
        <v>Low</v>
      </c>
      <c r="AR215" s="16" cm="1">
        <f t="array" ref="AR215">IFERROR(_xlfn.IFS(tbl_HR_Data[[#This Row],[Risk_Category]]="Critical",tbl_HR_Data[[#This Row],[MonthlyIncome]]*1.5,tbl_HR_Data[[#This Row],[Risk_Category]]="High",tbl_HR_Data[[#This Row],[MonthlyIncome]]*1.5),0)</f>
        <v>0</v>
      </c>
    </row>
    <row r="216" spans="1:44" x14ac:dyDescent="0.35">
      <c r="A216" t="s">
        <v>497</v>
      </c>
      <c r="B216">
        <v>30</v>
      </c>
      <c r="C216" t="s">
        <v>31</v>
      </c>
      <c r="D216">
        <v>1005</v>
      </c>
      <c r="E216" t="s">
        <v>38</v>
      </c>
      <c r="F216">
        <v>3</v>
      </c>
      <c r="G216">
        <v>3</v>
      </c>
      <c r="H216" t="s">
        <v>52</v>
      </c>
      <c r="I216">
        <v>4</v>
      </c>
      <c r="J216" t="s">
        <v>34</v>
      </c>
      <c r="K216">
        <v>88</v>
      </c>
      <c r="L216">
        <v>3</v>
      </c>
      <c r="M216">
        <v>1</v>
      </c>
      <c r="N216" t="s">
        <v>40</v>
      </c>
      <c r="O216">
        <v>1</v>
      </c>
      <c r="P216" t="s">
        <v>36</v>
      </c>
      <c r="Q216">
        <v>2657</v>
      </c>
      <c r="R216">
        <v>8556</v>
      </c>
      <c r="S216">
        <v>5</v>
      </c>
      <c r="T216">
        <v>1</v>
      </c>
      <c r="U216" s="17">
        <v>0.11</v>
      </c>
      <c r="V216">
        <v>3</v>
      </c>
      <c r="W216">
        <v>3</v>
      </c>
      <c r="X216">
        <v>0</v>
      </c>
      <c r="Y216">
        <v>8</v>
      </c>
      <c r="Z216">
        <v>5</v>
      </c>
      <c r="AA216">
        <v>3</v>
      </c>
      <c r="AB216">
        <v>5</v>
      </c>
      <c r="AC216">
        <v>2</v>
      </c>
      <c r="AD216">
        <v>0</v>
      </c>
      <c r="AE216">
        <v>4</v>
      </c>
      <c r="AF216">
        <v>1</v>
      </c>
      <c r="AG216">
        <f>IF(tbl_HR_Data[[#This Row],[Gender]]="Male",1,0)</f>
        <v>0</v>
      </c>
      <c r="AH216" cm="1">
        <f t="array" ref="AH216">_xlfn.SWITCH(tbl_HR_Data[[#This Row],[BusinessTravel]], "Non-Travel", 0, "Travel_Rarely", 1, "Travel_Frequently", 2)</f>
        <v>1</v>
      </c>
      <c r="AI216" cm="1">
        <f t="array" ref="AI216">_xlfn.SWITCH(tbl_HR_Data[[#This Row],[MaritalStatus]],"Single",0,"Married",1,"Divorced",2)</f>
        <v>0</v>
      </c>
      <c r="AJ216">
        <f>IF(tbl_HR_Data[[#This Row],[OverTime]]=1,1,0)</f>
        <v>1</v>
      </c>
      <c r="AK216">
        <f>IF(tbl_HR_Data[[#This Row],[DistanceFromHome]]&gt;15,1,0)</f>
        <v>0</v>
      </c>
      <c r="AL216">
        <f>IF(tbl_HR_Data[[#This Row],[JobSatisfaction]]&lt;=2,1,0)</f>
        <v>1</v>
      </c>
      <c r="AM216">
        <f>IF(tbl_HR_Data[[#This Row],[MonthlyIncome]]&lt;$AT$2,1,0)</f>
        <v>1</v>
      </c>
      <c r="AN216">
        <f>IF(tbl_HR_Data[[#This Row],[Travel_Code]]=2,1,0)</f>
        <v>0</v>
      </c>
      <c r="AO216">
        <f>(tbl_HR_Data[[#This Row],[Flag_OT]] * Logic_Parameters!$B$2) +
 (tbl_HR_Data[[#This Row],[Flag_Travel]] * Logic_Parameters!$B$3) +
 (tbl_HR_Data[[#This Row],[Flag_Satisfaction]] * Logic_Parameters!$B$4) +
 (tbl_HR_Data[[#This Row],[Flag_Distance]]* Logic_Parameters!$B$5) +
 (tbl_HR_Data[[#This Row],[Flag_Income]] * Logic_Parameters!$B$6)</f>
        <v>20.698962067398959</v>
      </c>
      <c r="AP216" s="15">
        <f>tbl_HR_Data[[#This Row],[Risk_Score_Raw]] / SUM(Logic_Parameters!$B$2:$B$6)</f>
        <v>0.71313126349280109</v>
      </c>
      <c r="AQ216" s="16" t="str" cm="1">
        <f t="array" ref="AQ216">_xlfn.IFS(tbl_HR_Data[[#This Row],[Attrition_Risk_Percentage]] &gt;= 0.75, "Critical",tbl_HR_Data[ [#This Row],[Attrition_Risk_Percentage] ]&gt;= 0.5, "High",tbl_HR_Data[[#This Row],[Attrition_Risk_Percentage]] &gt;= 0.25, "Medium",TRUE, "Low")</f>
        <v>High</v>
      </c>
      <c r="AR216" s="16" cm="1">
        <f t="array" ref="AR216">IFERROR(_xlfn.IFS(tbl_HR_Data[[#This Row],[Risk_Category]]="Critical",tbl_HR_Data[[#This Row],[MonthlyIncome]]*1.5,tbl_HR_Data[[#This Row],[Risk_Category]]="High",tbl_HR_Data[[#This Row],[MonthlyIncome]]*1.5),0)</f>
        <v>3985.5</v>
      </c>
    </row>
    <row r="217" spans="1:44" x14ac:dyDescent="0.35">
      <c r="A217" t="s">
        <v>946</v>
      </c>
      <c r="B217">
        <v>41</v>
      </c>
      <c r="C217" t="s">
        <v>31</v>
      </c>
      <c r="D217">
        <v>896</v>
      </c>
      <c r="E217" t="s">
        <v>32</v>
      </c>
      <c r="F217">
        <v>6</v>
      </c>
      <c r="G217">
        <v>3</v>
      </c>
      <c r="H217" t="s">
        <v>33</v>
      </c>
      <c r="I217">
        <v>4</v>
      </c>
      <c r="J217" t="s">
        <v>34</v>
      </c>
      <c r="K217">
        <v>75</v>
      </c>
      <c r="L217">
        <v>3</v>
      </c>
      <c r="M217">
        <v>3</v>
      </c>
      <c r="N217" t="s">
        <v>48</v>
      </c>
      <c r="O217">
        <v>4</v>
      </c>
      <c r="P217" t="s">
        <v>36</v>
      </c>
      <c r="Q217">
        <v>13591</v>
      </c>
      <c r="R217">
        <v>14674</v>
      </c>
      <c r="S217">
        <v>3</v>
      </c>
      <c r="T217">
        <v>1</v>
      </c>
      <c r="U217" s="17">
        <v>0.18</v>
      </c>
      <c r="V217">
        <v>3</v>
      </c>
      <c r="W217">
        <v>3</v>
      </c>
      <c r="X217">
        <v>0</v>
      </c>
      <c r="Y217">
        <v>16</v>
      </c>
      <c r="Z217">
        <v>3</v>
      </c>
      <c r="AA217">
        <v>3</v>
      </c>
      <c r="AB217">
        <v>1</v>
      </c>
      <c r="AC217">
        <v>0</v>
      </c>
      <c r="AD217">
        <v>0</v>
      </c>
      <c r="AE217">
        <v>0</v>
      </c>
      <c r="AF217">
        <v>0</v>
      </c>
      <c r="AG217">
        <f>IF(tbl_HR_Data[[#This Row],[Gender]]="Male",1,0)</f>
        <v>0</v>
      </c>
      <c r="AH217" cm="1">
        <f t="array" ref="AH217">_xlfn.SWITCH(tbl_HR_Data[[#This Row],[BusinessTravel]], "Non-Travel", 0, "Travel_Rarely", 1, "Travel_Frequently", 2)</f>
        <v>1</v>
      </c>
      <c r="AI217" cm="1">
        <f t="array" ref="AI217">_xlfn.SWITCH(tbl_HR_Data[[#This Row],[MaritalStatus]],"Single",0,"Married",1,"Divorced",2)</f>
        <v>0</v>
      </c>
      <c r="AJ217">
        <f>IF(tbl_HR_Data[[#This Row],[OverTime]]=1,1,0)</f>
        <v>1</v>
      </c>
      <c r="AK217">
        <f>IF(tbl_HR_Data[[#This Row],[DistanceFromHome]]&gt;15,1,0)</f>
        <v>0</v>
      </c>
      <c r="AL217">
        <f>IF(tbl_HR_Data[[#This Row],[JobSatisfaction]]&lt;=2,1,0)</f>
        <v>0</v>
      </c>
      <c r="AM217">
        <f>IF(tbl_HR_Data[[#This Row],[MonthlyIncome]]&lt;$AT$2,1,0)</f>
        <v>0</v>
      </c>
      <c r="AN217">
        <f>IF(tbl_HR_Data[[#This Row],[Travel_Code]]=2,1,0)</f>
        <v>0</v>
      </c>
      <c r="AO217">
        <f>(tbl_HR_Data[[#This Row],[Flag_OT]] * Logic_Parameters!$B$2) +
 (tbl_HR_Data[[#This Row],[Flag_Travel]] * Logic_Parameters!$B$3) +
 (tbl_HR_Data[[#This Row],[Flag_Satisfaction]] * Logic_Parameters!$B$4) +
 (tbl_HR_Data[[#This Row],[Flag_Distance]]* Logic_Parameters!$B$5) +
 (tbl_HR_Data[[#This Row],[Flag_Income]] * Logic_Parameters!$B$6)</f>
        <v>10</v>
      </c>
      <c r="AP217" s="15">
        <f>tbl_HR_Data[[#This Row],[Risk_Score_Raw]] / SUM(Logic_Parameters!$B$2:$B$6)</f>
        <v>0.3445251318258073</v>
      </c>
      <c r="AQ217" s="16" t="str" cm="1">
        <f t="array" ref="AQ217">_xlfn.IFS(tbl_HR_Data[[#This Row],[Attrition_Risk_Percentage]] &gt;= 0.75, "Critical",tbl_HR_Data[ [#This Row],[Attrition_Risk_Percentage] ]&gt;= 0.5, "High",tbl_HR_Data[[#This Row],[Attrition_Risk_Percentage]] &gt;= 0.25, "Medium",TRUE, "Low")</f>
        <v>Medium</v>
      </c>
      <c r="AR217" s="16" cm="1">
        <f t="array" ref="AR217">IFERROR(_xlfn.IFS(tbl_HR_Data[[#This Row],[Risk_Category]]="Critical",tbl_HR_Data[[#This Row],[MonthlyIncome]]*1.5,tbl_HR_Data[[#This Row],[Risk_Category]]="High",tbl_HR_Data[[#This Row],[MonthlyIncome]]*1.5),0)</f>
        <v>0</v>
      </c>
    </row>
    <row r="218" spans="1:44" x14ac:dyDescent="0.35">
      <c r="A218" t="s">
        <v>297</v>
      </c>
      <c r="B218">
        <v>30</v>
      </c>
      <c r="C218" t="s">
        <v>37</v>
      </c>
      <c r="D218">
        <v>334</v>
      </c>
      <c r="E218" t="s">
        <v>32</v>
      </c>
      <c r="F218">
        <v>26</v>
      </c>
      <c r="G218">
        <v>4</v>
      </c>
      <c r="H218" t="s">
        <v>51</v>
      </c>
      <c r="I218">
        <v>3</v>
      </c>
      <c r="J218" t="s">
        <v>34</v>
      </c>
      <c r="K218">
        <v>52</v>
      </c>
      <c r="L218">
        <v>2</v>
      </c>
      <c r="M218">
        <v>2</v>
      </c>
      <c r="N218" t="s">
        <v>35</v>
      </c>
      <c r="O218">
        <v>1</v>
      </c>
      <c r="P218" t="s">
        <v>36</v>
      </c>
      <c r="Q218">
        <v>6696</v>
      </c>
      <c r="R218">
        <v>22967</v>
      </c>
      <c r="S218">
        <v>5</v>
      </c>
      <c r="T218">
        <v>0</v>
      </c>
      <c r="U218" s="17">
        <v>0.15</v>
      </c>
      <c r="V218">
        <v>3</v>
      </c>
      <c r="W218">
        <v>3</v>
      </c>
      <c r="X218">
        <v>0</v>
      </c>
      <c r="Y218">
        <v>9</v>
      </c>
      <c r="Z218">
        <v>5</v>
      </c>
      <c r="AA218">
        <v>2</v>
      </c>
      <c r="AB218">
        <v>6</v>
      </c>
      <c r="AC218">
        <v>3</v>
      </c>
      <c r="AD218">
        <v>0</v>
      </c>
      <c r="AE218">
        <v>1</v>
      </c>
      <c r="AF218">
        <v>1</v>
      </c>
      <c r="AG218">
        <f>IF(tbl_HR_Data[[#This Row],[Gender]]="Male",1,0)</f>
        <v>0</v>
      </c>
      <c r="AH218" cm="1">
        <f t="array" ref="AH218">_xlfn.SWITCH(tbl_HR_Data[[#This Row],[BusinessTravel]], "Non-Travel", 0, "Travel_Rarely", 1, "Travel_Frequently", 2)</f>
        <v>2</v>
      </c>
      <c r="AI218" cm="1">
        <f t="array" ref="AI218">_xlfn.SWITCH(tbl_HR_Data[[#This Row],[MaritalStatus]],"Single",0,"Married",1,"Divorced",2)</f>
        <v>0</v>
      </c>
      <c r="AJ218">
        <f>IF(tbl_HR_Data[[#This Row],[OverTime]]=1,1,0)</f>
        <v>0</v>
      </c>
      <c r="AK218">
        <f>IF(tbl_HR_Data[[#This Row],[DistanceFromHome]]&gt;15,1,0)</f>
        <v>1</v>
      </c>
      <c r="AL218">
        <f>IF(tbl_HR_Data[[#This Row],[JobSatisfaction]]&lt;=2,1,0)</f>
        <v>1</v>
      </c>
      <c r="AM218">
        <f>IF(tbl_HR_Data[[#This Row],[MonthlyIncome]]&lt;$AT$2,1,0)</f>
        <v>0</v>
      </c>
      <c r="AN218">
        <f>IF(tbl_HR_Data[[#This Row],[Travel_Code]]=2,1,0)</f>
        <v>1</v>
      </c>
      <c r="AO218">
        <f>(tbl_HR_Data[[#This Row],[Flag_OT]] * Logic_Parameters!$B$2) +
 (tbl_HR_Data[[#This Row],[Flag_Travel]] * Logic_Parameters!$B$3) +
 (tbl_HR_Data[[#This Row],[Flag_Satisfaction]] * Logic_Parameters!$B$4) +
 (tbl_HR_Data[[#This Row],[Flag_Distance]]* Logic_Parameters!$B$5) +
 (tbl_HR_Data[[#This Row],[Flag_Income]] * Logic_Parameters!$B$6)</f>
        <v>12.531029806343685</v>
      </c>
      <c r="AP218" s="15">
        <f>tbl_HR_Data[[#This Row],[Risk_Score_Raw]] / SUM(Logic_Parameters!$B$2:$B$6)</f>
        <v>0.43172546959436786</v>
      </c>
      <c r="AQ218" s="16" t="str" cm="1">
        <f t="array" ref="AQ218">_xlfn.IFS(tbl_HR_Data[[#This Row],[Attrition_Risk_Percentage]] &gt;= 0.75, "Critical",tbl_HR_Data[ [#This Row],[Attrition_Risk_Percentage] ]&gt;= 0.5, "High",tbl_HR_Data[[#This Row],[Attrition_Risk_Percentage]] &gt;= 0.25, "Medium",TRUE, "Low")</f>
        <v>Medium</v>
      </c>
      <c r="AR218" s="16" cm="1">
        <f t="array" ref="AR218">IFERROR(_xlfn.IFS(tbl_HR_Data[[#This Row],[Risk_Category]]="Critical",tbl_HR_Data[[#This Row],[MonthlyIncome]]*1.5,tbl_HR_Data[[#This Row],[Risk_Category]]="High",tbl_HR_Data[[#This Row],[MonthlyIncome]]*1.5),0)</f>
        <v>0</v>
      </c>
    </row>
    <row r="219" spans="1:44" x14ac:dyDescent="0.35">
      <c r="A219" t="s">
        <v>1453</v>
      </c>
      <c r="B219">
        <v>29</v>
      </c>
      <c r="C219" t="s">
        <v>31</v>
      </c>
      <c r="D219">
        <v>992</v>
      </c>
      <c r="E219" t="s">
        <v>38</v>
      </c>
      <c r="F219">
        <v>1</v>
      </c>
      <c r="G219">
        <v>3</v>
      </c>
      <c r="H219" t="s">
        <v>52</v>
      </c>
      <c r="I219">
        <v>3</v>
      </c>
      <c r="J219" t="s">
        <v>39</v>
      </c>
      <c r="K219">
        <v>85</v>
      </c>
      <c r="L219">
        <v>3</v>
      </c>
      <c r="M219">
        <v>1</v>
      </c>
      <c r="N219" t="s">
        <v>40</v>
      </c>
      <c r="O219">
        <v>3</v>
      </c>
      <c r="P219" t="s">
        <v>36</v>
      </c>
      <c r="Q219">
        <v>2058</v>
      </c>
      <c r="R219">
        <v>19757</v>
      </c>
      <c r="S219">
        <v>0</v>
      </c>
      <c r="T219">
        <v>0</v>
      </c>
      <c r="U219" s="17">
        <v>0.14000000000000001</v>
      </c>
      <c r="V219">
        <v>3</v>
      </c>
      <c r="W219">
        <v>4</v>
      </c>
      <c r="X219">
        <v>0</v>
      </c>
      <c r="Y219">
        <v>7</v>
      </c>
      <c r="Z219">
        <v>1</v>
      </c>
      <c r="AA219">
        <v>2</v>
      </c>
      <c r="AB219">
        <v>6</v>
      </c>
      <c r="AC219">
        <v>2</v>
      </c>
      <c r="AD219">
        <v>1</v>
      </c>
      <c r="AE219">
        <v>5</v>
      </c>
      <c r="AF219">
        <v>1</v>
      </c>
      <c r="AG219">
        <f>IF(tbl_HR_Data[[#This Row],[Gender]]="Male",1,0)</f>
        <v>1</v>
      </c>
      <c r="AH219" cm="1">
        <f t="array" ref="AH219">_xlfn.SWITCH(tbl_HR_Data[[#This Row],[BusinessTravel]], "Non-Travel", 0, "Travel_Rarely", 1, "Travel_Frequently", 2)</f>
        <v>1</v>
      </c>
      <c r="AI219" cm="1">
        <f t="array" ref="AI219">_xlfn.SWITCH(tbl_HR_Data[[#This Row],[MaritalStatus]],"Single",0,"Married",1,"Divorced",2)</f>
        <v>0</v>
      </c>
      <c r="AJ219">
        <f>IF(tbl_HR_Data[[#This Row],[OverTime]]=1,1,0)</f>
        <v>0</v>
      </c>
      <c r="AK219">
        <f>IF(tbl_HR_Data[[#This Row],[DistanceFromHome]]&gt;15,1,0)</f>
        <v>0</v>
      </c>
      <c r="AL219">
        <f>IF(tbl_HR_Data[[#This Row],[JobSatisfaction]]&lt;=2,1,0)</f>
        <v>0</v>
      </c>
      <c r="AM219">
        <f>IF(tbl_HR_Data[[#This Row],[MonthlyIncome]]&lt;$AT$2,1,0)</f>
        <v>1</v>
      </c>
      <c r="AN219">
        <f>IF(tbl_HR_Data[[#This Row],[Travel_Code]]=2,1,0)</f>
        <v>0</v>
      </c>
      <c r="AO219">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219" s="15">
        <f>tbl_HR_Data[[#This Row],[Risk_Score_Raw]] / SUM(Logic_Parameters!$B$2:$B$6)</f>
        <v>0.22374939857982484</v>
      </c>
      <c r="AQ219" s="16" t="str" cm="1">
        <f t="array" ref="AQ219">_xlfn.IFS(tbl_HR_Data[[#This Row],[Attrition_Risk_Percentage]] &gt;= 0.75, "Critical",tbl_HR_Data[ [#This Row],[Attrition_Risk_Percentage] ]&gt;= 0.5, "High",tbl_HR_Data[[#This Row],[Attrition_Risk_Percentage]] &gt;= 0.25, "Medium",TRUE, "Low")</f>
        <v>Low</v>
      </c>
      <c r="AR219" s="16" cm="1">
        <f t="array" ref="AR219">IFERROR(_xlfn.IFS(tbl_HR_Data[[#This Row],[Risk_Category]]="Critical",tbl_HR_Data[[#This Row],[MonthlyIncome]]*1.5,tbl_HR_Data[[#This Row],[Risk_Category]]="High",tbl_HR_Data[[#This Row],[MonthlyIncome]]*1.5),0)</f>
        <v>0</v>
      </c>
    </row>
    <row r="220" spans="1:44" x14ac:dyDescent="0.35">
      <c r="A220" t="s">
        <v>787</v>
      </c>
      <c r="B220">
        <v>45</v>
      </c>
      <c r="C220" t="s">
        <v>1525</v>
      </c>
      <c r="D220">
        <v>1052</v>
      </c>
      <c r="E220" t="s">
        <v>32</v>
      </c>
      <c r="F220">
        <v>6</v>
      </c>
      <c r="G220">
        <v>3</v>
      </c>
      <c r="H220" t="s">
        <v>44</v>
      </c>
      <c r="I220">
        <v>4</v>
      </c>
      <c r="J220" t="s">
        <v>34</v>
      </c>
      <c r="K220">
        <v>57</v>
      </c>
      <c r="L220">
        <v>2</v>
      </c>
      <c r="M220">
        <v>3</v>
      </c>
      <c r="N220" t="s">
        <v>35</v>
      </c>
      <c r="O220">
        <v>4</v>
      </c>
      <c r="P220" t="s">
        <v>36</v>
      </c>
      <c r="Q220">
        <v>8865</v>
      </c>
      <c r="R220">
        <v>16840</v>
      </c>
      <c r="S220">
        <v>6</v>
      </c>
      <c r="T220">
        <v>0</v>
      </c>
      <c r="U220" s="17">
        <v>0.12</v>
      </c>
      <c r="V220">
        <v>3</v>
      </c>
      <c r="W220">
        <v>4</v>
      </c>
      <c r="X220">
        <v>0</v>
      </c>
      <c r="Y220">
        <v>23</v>
      </c>
      <c r="Z220">
        <v>2</v>
      </c>
      <c r="AA220">
        <v>3</v>
      </c>
      <c r="AB220">
        <v>19</v>
      </c>
      <c r="AC220">
        <v>7</v>
      </c>
      <c r="AD220">
        <v>12</v>
      </c>
      <c r="AE220">
        <v>8</v>
      </c>
      <c r="AF220">
        <v>0</v>
      </c>
      <c r="AG220">
        <f>IF(tbl_HR_Data[[#This Row],[Gender]]="Male",1,0)</f>
        <v>0</v>
      </c>
      <c r="AH220" cm="1">
        <f t="array" ref="AH220">_xlfn.SWITCH(tbl_HR_Data[[#This Row],[BusinessTravel]], "Non-Travel", 0, "Travel_Rarely", 1, "Travel_Frequently", 2)</f>
        <v>0</v>
      </c>
      <c r="AI220" cm="1">
        <f t="array" ref="AI220">_xlfn.SWITCH(tbl_HR_Data[[#This Row],[MaritalStatus]],"Single",0,"Married",1,"Divorced",2)</f>
        <v>0</v>
      </c>
      <c r="AJ220">
        <f>IF(tbl_HR_Data[[#This Row],[OverTime]]=1,1,0)</f>
        <v>0</v>
      </c>
      <c r="AK220">
        <f>IF(tbl_HR_Data[[#This Row],[DistanceFromHome]]&gt;15,1,0)</f>
        <v>0</v>
      </c>
      <c r="AL220">
        <f>IF(tbl_HR_Data[[#This Row],[JobSatisfaction]]&lt;=2,1,0)</f>
        <v>0</v>
      </c>
      <c r="AM220">
        <f>IF(tbl_HR_Data[[#This Row],[MonthlyIncome]]&lt;$AT$2,1,0)</f>
        <v>0</v>
      </c>
      <c r="AN220">
        <f>IF(tbl_HR_Data[[#This Row],[Travel_Code]]=2,1,0)</f>
        <v>0</v>
      </c>
      <c r="AO220">
        <f>(tbl_HR_Data[[#This Row],[Flag_OT]] * Logic_Parameters!$B$2) +
 (tbl_HR_Data[[#This Row],[Flag_Travel]] * Logic_Parameters!$B$3) +
 (tbl_HR_Data[[#This Row],[Flag_Satisfaction]] * Logic_Parameters!$B$4) +
 (tbl_HR_Data[[#This Row],[Flag_Distance]]* Logic_Parameters!$B$5) +
 (tbl_HR_Data[[#This Row],[Flag_Income]] * Logic_Parameters!$B$6)</f>
        <v>0</v>
      </c>
      <c r="AP220" s="15">
        <f>tbl_HR_Data[[#This Row],[Risk_Score_Raw]] / SUM(Logic_Parameters!$B$2:$B$6)</f>
        <v>0</v>
      </c>
      <c r="AQ220" s="16" t="str" cm="1">
        <f t="array" ref="AQ220">_xlfn.IFS(tbl_HR_Data[[#This Row],[Attrition_Risk_Percentage]] &gt;= 0.75, "Critical",tbl_HR_Data[ [#This Row],[Attrition_Risk_Percentage] ]&gt;= 0.5, "High",tbl_HR_Data[[#This Row],[Attrition_Risk_Percentage]] &gt;= 0.25, "Medium",TRUE, "Low")</f>
        <v>Low</v>
      </c>
      <c r="AR220" s="16" cm="1">
        <f t="array" ref="AR220">IFERROR(_xlfn.IFS(tbl_HR_Data[[#This Row],[Risk_Category]]="Critical",tbl_HR_Data[[#This Row],[MonthlyIncome]]*1.5,tbl_HR_Data[[#This Row],[Risk_Category]]="High",tbl_HR_Data[[#This Row],[MonthlyIncome]]*1.5),0)</f>
        <v>0</v>
      </c>
    </row>
    <row r="221" spans="1:44" x14ac:dyDescent="0.35">
      <c r="A221" t="s">
        <v>1433</v>
      </c>
      <c r="B221">
        <v>54</v>
      </c>
      <c r="C221" t="s">
        <v>31</v>
      </c>
      <c r="D221">
        <v>1147</v>
      </c>
      <c r="E221" t="s">
        <v>32</v>
      </c>
      <c r="F221">
        <v>3</v>
      </c>
      <c r="G221">
        <v>3</v>
      </c>
      <c r="H221" t="s">
        <v>51</v>
      </c>
      <c r="I221">
        <v>4</v>
      </c>
      <c r="J221" t="s">
        <v>34</v>
      </c>
      <c r="K221">
        <v>52</v>
      </c>
      <c r="L221">
        <v>3</v>
      </c>
      <c r="M221">
        <v>2</v>
      </c>
      <c r="N221" t="s">
        <v>35</v>
      </c>
      <c r="O221">
        <v>1</v>
      </c>
      <c r="P221" t="s">
        <v>41</v>
      </c>
      <c r="Q221">
        <v>5940</v>
      </c>
      <c r="R221">
        <v>17011</v>
      </c>
      <c r="S221">
        <v>2</v>
      </c>
      <c r="T221">
        <v>0</v>
      </c>
      <c r="U221" s="17">
        <v>0.14000000000000001</v>
      </c>
      <c r="V221">
        <v>3</v>
      </c>
      <c r="W221">
        <v>4</v>
      </c>
      <c r="X221">
        <v>1</v>
      </c>
      <c r="Y221">
        <v>16</v>
      </c>
      <c r="Z221">
        <v>4</v>
      </c>
      <c r="AA221">
        <v>3</v>
      </c>
      <c r="AB221">
        <v>6</v>
      </c>
      <c r="AC221">
        <v>2</v>
      </c>
      <c r="AD221">
        <v>0</v>
      </c>
      <c r="AE221">
        <v>5</v>
      </c>
      <c r="AF221">
        <v>0</v>
      </c>
      <c r="AG221">
        <f>IF(tbl_HR_Data[[#This Row],[Gender]]="Male",1,0)</f>
        <v>0</v>
      </c>
      <c r="AH221" cm="1">
        <f t="array" ref="AH221">_xlfn.SWITCH(tbl_HR_Data[[#This Row],[BusinessTravel]], "Non-Travel", 0, "Travel_Rarely", 1, "Travel_Frequently", 2)</f>
        <v>1</v>
      </c>
      <c r="AI221" cm="1">
        <f t="array" ref="AI221">_xlfn.SWITCH(tbl_HR_Data[[#This Row],[MaritalStatus]],"Single",0,"Married",1,"Divorced",2)</f>
        <v>1</v>
      </c>
      <c r="AJ221">
        <f>IF(tbl_HR_Data[[#This Row],[OverTime]]=1,1,0)</f>
        <v>0</v>
      </c>
      <c r="AK221">
        <f>IF(tbl_HR_Data[[#This Row],[DistanceFromHome]]&gt;15,1,0)</f>
        <v>0</v>
      </c>
      <c r="AL221">
        <f>IF(tbl_HR_Data[[#This Row],[JobSatisfaction]]&lt;=2,1,0)</f>
        <v>1</v>
      </c>
      <c r="AM221">
        <f>IF(tbl_HR_Data[[#This Row],[MonthlyIncome]]&lt;$AT$2,1,0)</f>
        <v>0</v>
      </c>
      <c r="AN221">
        <f>IF(tbl_HR_Data[[#This Row],[Travel_Code]]=2,1,0)</f>
        <v>0</v>
      </c>
      <c r="AO221">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221" s="15">
        <f>tbl_HR_Data[[#This Row],[Risk_Score_Raw]] / SUM(Logic_Parameters!$B$2:$B$6)</f>
        <v>0.14485673308716898</v>
      </c>
      <c r="AQ221" s="16" t="str" cm="1">
        <f t="array" ref="AQ221">_xlfn.IFS(tbl_HR_Data[[#This Row],[Attrition_Risk_Percentage]] &gt;= 0.75, "Critical",tbl_HR_Data[ [#This Row],[Attrition_Risk_Percentage] ]&gt;= 0.5, "High",tbl_HR_Data[[#This Row],[Attrition_Risk_Percentage]] &gt;= 0.25, "Medium",TRUE, "Low")</f>
        <v>Low</v>
      </c>
      <c r="AR221" s="16" cm="1">
        <f t="array" ref="AR221">IFERROR(_xlfn.IFS(tbl_HR_Data[[#This Row],[Risk_Category]]="Critical",tbl_HR_Data[[#This Row],[MonthlyIncome]]*1.5,tbl_HR_Data[[#This Row],[Risk_Category]]="High",tbl_HR_Data[[#This Row],[MonthlyIncome]]*1.5),0)</f>
        <v>0</v>
      </c>
    </row>
    <row r="222" spans="1:44" x14ac:dyDescent="0.35">
      <c r="A222" t="s">
        <v>127</v>
      </c>
      <c r="B222">
        <v>36</v>
      </c>
      <c r="C222" t="s">
        <v>31</v>
      </c>
      <c r="D222">
        <v>1396</v>
      </c>
      <c r="E222" t="s">
        <v>38</v>
      </c>
      <c r="F222">
        <v>5</v>
      </c>
      <c r="G222">
        <v>2</v>
      </c>
      <c r="H222" t="s">
        <v>33</v>
      </c>
      <c r="I222">
        <v>4</v>
      </c>
      <c r="J222" t="s">
        <v>39</v>
      </c>
      <c r="K222">
        <v>62</v>
      </c>
      <c r="L222">
        <v>3</v>
      </c>
      <c r="M222">
        <v>2</v>
      </c>
      <c r="N222" t="s">
        <v>43</v>
      </c>
      <c r="O222">
        <v>2</v>
      </c>
      <c r="P222" t="s">
        <v>36</v>
      </c>
      <c r="Q222">
        <v>5914</v>
      </c>
      <c r="R222">
        <v>9945</v>
      </c>
      <c r="S222">
        <v>8</v>
      </c>
      <c r="T222">
        <v>0</v>
      </c>
      <c r="U222" s="17">
        <v>0.16</v>
      </c>
      <c r="V222">
        <v>3</v>
      </c>
      <c r="W222">
        <v>4</v>
      </c>
      <c r="X222">
        <v>0</v>
      </c>
      <c r="Y222">
        <v>16</v>
      </c>
      <c r="Z222">
        <v>3</v>
      </c>
      <c r="AA222">
        <v>4</v>
      </c>
      <c r="AB222">
        <v>13</v>
      </c>
      <c r="AC222">
        <v>11</v>
      </c>
      <c r="AD222">
        <v>3</v>
      </c>
      <c r="AE222">
        <v>7</v>
      </c>
      <c r="AF222">
        <v>0</v>
      </c>
      <c r="AG222">
        <f>IF(tbl_HR_Data[[#This Row],[Gender]]="Male",1,0)</f>
        <v>1</v>
      </c>
      <c r="AH222" cm="1">
        <f t="array" ref="AH222">_xlfn.SWITCH(tbl_HR_Data[[#This Row],[BusinessTravel]], "Non-Travel", 0, "Travel_Rarely", 1, "Travel_Frequently", 2)</f>
        <v>1</v>
      </c>
      <c r="AI222" cm="1">
        <f t="array" ref="AI222">_xlfn.SWITCH(tbl_HR_Data[[#This Row],[MaritalStatus]],"Single",0,"Married",1,"Divorced",2)</f>
        <v>0</v>
      </c>
      <c r="AJ222">
        <f>IF(tbl_HR_Data[[#This Row],[OverTime]]=1,1,0)</f>
        <v>0</v>
      </c>
      <c r="AK222">
        <f>IF(tbl_HR_Data[[#This Row],[DistanceFromHome]]&gt;15,1,0)</f>
        <v>0</v>
      </c>
      <c r="AL222">
        <f>IF(tbl_HR_Data[[#This Row],[JobSatisfaction]]&lt;=2,1,0)</f>
        <v>1</v>
      </c>
      <c r="AM222">
        <f>IF(tbl_HR_Data[[#This Row],[MonthlyIncome]]&lt;$AT$2,1,0)</f>
        <v>0</v>
      </c>
      <c r="AN222">
        <f>IF(tbl_HR_Data[[#This Row],[Travel_Code]]=2,1,0)</f>
        <v>0</v>
      </c>
      <c r="AO222">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222" s="15">
        <f>tbl_HR_Data[[#This Row],[Risk_Score_Raw]] / SUM(Logic_Parameters!$B$2:$B$6)</f>
        <v>0.14485673308716898</v>
      </c>
      <c r="AQ222" s="16" t="str" cm="1">
        <f t="array" ref="AQ222">_xlfn.IFS(tbl_HR_Data[[#This Row],[Attrition_Risk_Percentage]] &gt;= 0.75, "Critical",tbl_HR_Data[ [#This Row],[Attrition_Risk_Percentage] ]&gt;= 0.5, "High",tbl_HR_Data[[#This Row],[Attrition_Risk_Percentage]] &gt;= 0.25, "Medium",TRUE, "Low")</f>
        <v>Low</v>
      </c>
      <c r="AR222" s="16" cm="1">
        <f t="array" ref="AR222">IFERROR(_xlfn.IFS(tbl_HR_Data[[#This Row],[Risk_Category]]="Critical",tbl_HR_Data[[#This Row],[MonthlyIncome]]*1.5,tbl_HR_Data[[#This Row],[Risk_Category]]="High",tbl_HR_Data[[#This Row],[MonthlyIncome]]*1.5),0)</f>
        <v>0</v>
      </c>
    </row>
    <row r="223" spans="1:44" x14ac:dyDescent="0.35">
      <c r="A223" t="s">
        <v>1239</v>
      </c>
      <c r="B223">
        <v>33</v>
      </c>
      <c r="C223" t="s">
        <v>31</v>
      </c>
      <c r="D223">
        <v>147</v>
      </c>
      <c r="E223" t="s">
        <v>38</v>
      </c>
      <c r="F223">
        <v>4</v>
      </c>
      <c r="G223">
        <v>4</v>
      </c>
      <c r="H223" t="s">
        <v>44</v>
      </c>
      <c r="I223">
        <v>3</v>
      </c>
      <c r="J223" t="s">
        <v>34</v>
      </c>
      <c r="K223">
        <v>47</v>
      </c>
      <c r="L223">
        <v>2</v>
      </c>
      <c r="M223">
        <v>1</v>
      </c>
      <c r="N223" t="s">
        <v>40</v>
      </c>
      <c r="O223">
        <v>2</v>
      </c>
      <c r="P223" t="s">
        <v>41</v>
      </c>
      <c r="Q223">
        <v>2622</v>
      </c>
      <c r="R223">
        <v>13248</v>
      </c>
      <c r="S223">
        <v>6</v>
      </c>
      <c r="T223">
        <v>0</v>
      </c>
      <c r="U223" s="17">
        <v>0.21</v>
      </c>
      <c r="V223">
        <v>4</v>
      </c>
      <c r="W223">
        <v>4</v>
      </c>
      <c r="X223">
        <v>0</v>
      </c>
      <c r="Y223">
        <v>7</v>
      </c>
      <c r="Z223">
        <v>3</v>
      </c>
      <c r="AA223">
        <v>3</v>
      </c>
      <c r="AB223">
        <v>3</v>
      </c>
      <c r="AC223">
        <v>2</v>
      </c>
      <c r="AD223">
        <v>1</v>
      </c>
      <c r="AE223">
        <v>1</v>
      </c>
      <c r="AF223">
        <v>0</v>
      </c>
      <c r="AG223">
        <f>IF(tbl_HR_Data[[#This Row],[Gender]]="Male",1,0)</f>
        <v>0</v>
      </c>
      <c r="AH223" cm="1">
        <f t="array" ref="AH223">_xlfn.SWITCH(tbl_HR_Data[[#This Row],[BusinessTravel]], "Non-Travel", 0, "Travel_Rarely", 1, "Travel_Frequently", 2)</f>
        <v>1</v>
      </c>
      <c r="AI223" cm="1">
        <f t="array" ref="AI223">_xlfn.SWITCH(tbl_HR_Data[[#This Row],[MaritalStatus]],"Single",0,"Married",1,"Divorced",2)</f>
        <v>1</v>
      </c>
      <c r="AJ223">
        <f>IF(tbl_HR_Data[[#This Row],[OverTime]]=1,1,0)</f>
        <v>0</v>
      </c>
      <c r="AK223">
        <f>IF(tbl_HR_Data[[#This Row],[DistanceFromHome]]&gt;15,1,0)</f>
        <v>0</v>
      </c>
      <c r="AL223">
        <f>IF(tbl_HR_Data[[#This Row],[JobSatisfaction]]&lt;=2,1,0)</f>
        <v>1</v>
      </c>
      <c r="AM223">
        <f>IF(tbl_HR_Data[[#This Row],[MonthlyIncome]]&lt;$AT$2,1,0)</f>
        <v>1</v>
      </c>
      <c r="AN223">
        <f>IF(tbl_HR_Data[[#This Row],[Travel_Code]]=2,1,0)</f>
        <v>0</v>
      </c>
      <c r="AO223">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223" s="15">
        <f>tbl_HR_Data[[#This Row],[Risk_Score_Raw]] / SUM(Logic_Parameters!$B$2:$B$6)</f>
        <v>0.3686061316669938</v>
      </c>
      <c r="AQ223" s="16" t="str" cm="1">
        <f t="array" ref="AQ223">_xlfn.IFS(tbl_HR_Data[[#This Row],[Attrition_Risk_Percentage]] &gt;= 0.75, "Critical",tbl_HR_Data[ [#This Row],[Attrition_Risk_Percentage] ]&gt;= 0.5, "High",tbl_HR_Data[[#This Row],[Attrition_Risk_Percentage]] &gt;= 0.25, "Medium",TRUE, "Low")</f>
        <v>Medium</v>
      </c>
      <c r="AR223" s="16" cm="1">
        <f t="array" ref="AR223">IFERROR(_xlfn.IFS(tbl_HR_Data[[#This Row],[Risk_Category]]="Critical",tbl_HR_Data[[#This Row],[MonthlyIncome]]*1.5,tbl_HR_Data[[#This Row],[Risk_Category]]="High",tbl_HR_Data[[#This Row],[MonthlyIncome]]*1.5),0)</f>
        <v>0</v>
      </c>
    </row>
    <row r="224" spans="1:44" x14ac:dyDescent="0.35">
      <c r="A224" t="s">
        <v>795</v>
      </c>
      <c r="B224">
        <v>37</v>
      </c>
      <c r="C224" t="s">
        <v>37</v>
      </c>
      <c r="D224">
        <v>663</v>
      </c>
      <c r="E224" t="s">
        <v>38</v>
      </c>
      <c r="F224">
        <v>11</v>
      </c>
      <c r="G224">
        <v>3</v>
      </c>
      <c r="H224" t="s">
        <v>42</v>
      </c>
      <c r="I224">
        <v>2</v>
      </c>
      <c r="J224" t="s">
        <v>39</v>
      </c>
      <c r="K224">
        <v>47</v>
      </c>
      <c r="L224">
        <v>3</v>
      </c>
      <c r="M224">
        <v>3</v>
      </c>
      <c r="N224" t="s">
        <v>50</v>
      </c>
      <c r="O224">
        <v>4</v>
      </c>
      <c r="P224" t="s">
        <v>45</v>
      </c>
      <c r="Q224">
        <v>12185</v>
      </c>
      <c r="R224">
        <v>10056</v>
      </c>
      <c r="S224">
        <v>1</v>
      </c>
      <c r="T224">
        <v>1</v>
      </c>
      <c r="U224" s="17">
        <v>0.14000000000000001</v>
      </c>
      <c r="V224">
        <v>3</v>
      </c>
      <c r="W224">
        <v>3</v>
      </c>
      <c r="X224">
        <v>3</v>
      </c>
      <c r="Y224">
        <v>10</v>
      </c>
      <c r="Z224">
        <v>1</v>
      </c>
      <c r="AA224">
        <v>3</v>
      </c>
      <c r="AB224">
        <v>10</v>
      </c>
      <c r="AC224">
        <v>8</v>
      </c>
      <c r="AD224">
        <v>0</v>
      </c>
      <c r="AE224">
        <v>7</v>
      </c>
      <c r="AF224">
        <v>0</v>
      </c>
      <c r="AG224">
        <f>IF(tbl_HR_Data[[#This Row],[Gender]]="Male",1,0)</f>
        <v>1</v>
      </c>
      <c r="AH224" cm="1">
        <f t="array" ref="AH224">_xlfn.SWITCH(tbl_HR_Data[[#This Row],[BusinessTravel]], "Non-Travel", 0, "Travel_Rarely", 1, "Travel_Frequently", 2)</f>
        <v>2</v>
      </c>
      <c r="AI224" cm="1">
        <f t="array" ref="AI224">_xlfn.SWITCH(tbl_HR_Data[[#This Row],[MaritalStatus]],"Single",0,"Married",1,"Divorced",2)</f>
        <v>2</v>
      </c>
      <c r="AJ224">
        <f>IF(tbl_HR_Data[[#This Row],[OverTime]]=1,1,0)</f>
        <v>1</v>
      </c>
      <c r="AK224">
        <f>IF(tbl_HR_Data[[#This Row],[DistanceFromHome]]&gt;15,1,0)</f>
        <v>0</v>
      </c>
      <c r="AL224">
        <f>IF(tbl_HR_Data[[#This Row],[JobSatisfaction]]&lt;=2,1,0)</f>
        <v>0</v>
      </c>
      <c r="AM224">
        <f>IF(tbl_HR_Data[[#This Row],[MonthlyIncome]]&lt;$AT$2,1,0)</f>
        <v>0</v>
      </c>
      <c r="AN224">
        <f>IF(tbl_HR_Data[[#This Row],[Travel_Code]]=2,1,0)</f>
        <v>1</v>
      </c>
      <c r="AO224">
        <f>(tbl_HR_Data[[#This Row],[Flag_OT]] * Logic_Parameters!$B$2) +
 (tbl_HR_Data[[#This Row],[Flag_Travel]] * Logic_Parameters!$B$3) +
 (tbl_HR_Data[[#This Row],[Flag_Satisfaction]] * Logic_Parameters!$B$4) +
 (tbl_HR_Data[[#This Row],[Flag_Distance]]* Logic_Parameters!$B$5) +
 (tbl_HR_Data[[#This Row],[Flag_Income]] * Logic_Parameters!$B$6)</f>
        <v>15.160389980490176</v>
      </c>
      <c r="AP224" s="15">
        <f>tbl_HR_Data[[#This Row],[Risk_Score_Raw]] / SUM(Logic_Parameters!$B$2:$B$6)</f>
        <v>0.52231353565590266</v>
      </c>
      <c r="AQ224" s="16" t="str" cm="1">
        <f t="array" ref="AQ224">_xlfn.IFS(tbl_HR_Data[[#This Row],[Attrition_Risk_Percentage]] &gt;= 0.75, "Critical",tbl_HR_Data[ [#This Row],[Attrition_Risk_Percentage] ]&gt;= 0.5, "High",tbl_HR_Data[[#This Row],[Attrition_Risk_Percentage]] &gt;= 0.25, "Medium",TRUE, "Low")</f>
        <v>High</v>
      </c>
      <c r="AR224" s="16" cm="1">
        <f t="array" ref="AR224">IFERROR(_xlfn.IFS(tbl_HR_Data[[#This Row],[Risk_Category]]="Critical",tbl_HR_Data[[#This Row],[MonthlyIncome]]*1.5,tbl_HR_Data[[#This Row],[Risk_Category]]="High",tbl_HR_Data[[#This Row],[MonthlyIncome]]*1.5),0)</f>
        <v>18277.5</v>
      </c>
    </row>
    <row r="225" spans="1:44" x14ac:dyDescent="0.35">
      <c r="A225" t="s">
        <v>324</v>
      </c>
      <c r="B225">
        <v>38</v>
      </c>
      <c r="C225" t="s">
        <v>31</v>
      </c>
      <c r="D225">
        <v>119</v>
      </c>
      <c r="E225" t="s">
        <v>32</v>
      </c>
      <c r="F225">
        <v>3</v>
      </c>
      <c r="G225">
        <v>3</v>
      </c>
      <c r="H225" t="s">
        <v>33</v>
      </c>
      <c r="I225">
        <v>1</v>
      </c>
      <c r="J225" t="s">
        <v>39</v>
      </c>
      <c r="K225">
        <v>76</v>
      </c>
      <c r="L225">
        <v>3</v>
      </c>
      <c r="M225">
        <v>3</v>
      </c>
      <c r="N225" t="s">
        <v>35</v>
      </c>
      <c r="O225">
        <v>3</v>
      </c>
      <c r="P225" t="s">
        <v>45</v>
      </c>
      <c r="Q225">
        <v>10609</v>
      </c>
      <c r="R225">
        <v>9647</v>
      </c>
      <c r="S225">
        <v>0</v>
      </c>
      <c r="T225">
        <v>0</v>
      </c>
      <c r="U225" s="17">
        <v>0.12</v>
      </c>
      <c r="V225">
        <v>3</v>
      </c>
      <c r="W225">
        <v>3</v>
      </c>
      <c r="X225">
        <v>2</v>
      </c>
      <c r="Y225">
        <v>17</v>
      </c>
      <c r="Z225">
        <v>6</v>
      </c>
      <c r="AA225">
        <v>2</v>
      </c>
      <c r="AB225">
        <v>16</v>
      </c>
      <c r="AC225">
        <v>10</v>
      </c>
      <c r="AD225">
        <v>5</v>
      </c>
      <c r="AE225">
        <v>13</v>
      </c>
      <c r="AF225">
        <v>0</v>
      </c>
      <c r="AG225">
        <f>IF(tbl_HR_Data[[#This Row],[Gender]]="Male",1,0)</f>
        <v>1</v>
      </c>
      <c r="AH225" cm="1">
        <f t="array" ref="AH225">_xlfn.SWITCH(tbl_HR_Data[[#This Row],[BusinessTravel]], "Non-Travel", 0, "Travel_Rarely", 1, "Travel_Frequently", 2)</f>
        <v>1</v>
      </c>
      <c r="AI225" cm="1">
        <f t="array" ref="AI225">_xlfn.SWITCH(tbl_HR_Data[[#This Row],[MaritalStatus]],"Single",0,"Married",1,"Divorced",2)</f>
        <v>2</v>
      </c>
      <c r="AJ225">
        <f>IF(tbl_HR_Data[[#This Row],[OverTime]]=1,1,0)</f>
        <v>0</v>
      </c>
      <c r="AK225">
        <f>IF(tbl_HR_Data[[#This Row],[DistanceFromHome]]&gt;15,1,0)</f>
        <v>0</v>
      </c>
      <c r="AL225">
        <f>IF(tbl_HR_Data[[#This Row],[JobSatisfaction]]&lt;=2,1,0)</f>
        <v>0</v>
      </c>
      <c r="AM225">
        <f>IF(tbl_HR_Data[[#This Row],[MonthlyIncome]]&lt;$AT$2,1,0)</f>
        <v>0</v>
      </c>
      <c r="AN225">
        <f>IF(tbl_HR_Data[[#This Row],[Travel_Code]]=2,1,0)</f>
        <v>0</v>
      </c>
      <c r="AO225">
        <f>(tbl_HR_Data[[#This Row],[Flag_OT]] * Logic_Parameters!$B$2) +
 (tbl_HR_Data[[#This Row],[Flag_Travel]] * Logic_Parameters!$B$3) +
 (tbl_HR_Data[[#This Row],[Flag_Satisfaction]] * Logic_Parameters!$B$4) +
 (tbl_HR_Data[[#This Row],[Flag_Distance]]* Logic_Parameters!$B$5) +
 (tbl_HR_Data[[#This Row],[Flag_Income]] * Logic_Parameters!$B$6)</f>
        <v>0</v>
      </c>
      <c r="AP225" s="15">
        <f>tbl_HR_Data[[#This Row],[Risk_Score_Raw]] / SUM(Logic_Parameters!$B$2:$B$6)</f>
        <v>0</v>
      </c>
      <c r="AQ225" s="16" t="str" cm="1">
        <f t="array" ref="AQ225">_xlfn.IFS(tbl_HR_Data[[#This Row],[Attrition_Risk_Percentage]] &gt;= 0.75, "Critical",tbl_HR_Data[ [#This Row],[Attrition_Risk_Percentage] ]&gt;= 0.5, "High",tbl_HR_Data[[#This Row],[Attrition_Risk_Percentage]] &gt;= 0.25, "Medium",TRUE, "Low")</f>
        <v>Low</v>
      </c>
      <c r="AR225" s="16" cm="1">
        <f t="array" ref="AR225">IFERROR(_xlfn.IFS(tbl_HR_Data[[#This Row],[Risk_Category]]="Critical",tbl_HR_Data[[#This Row],[MonthlyIncome]]*1.5,tbl_HR_Data[[#This Row],[Risk_Category]]="High",tbl_HR_Data[[#This Row],[MonthlyIncome]]*1.5),0)</f>
        <v>0</v>
      </c>
    </row>
    <row r="226" spans="1:44" x14ac:dyDescent="0.35">
      <c r="A226" t="s">
        <v>1253</v>
      </c>
      <c r="B226">
        <v>31</v>
      </c>
      <c r="C226" t="s">
        <v>1525</v>
      </c>
      <c r="D226">
        <v>979</v>
      </c>
      <c r="E226" t="s">
        <v>38</v>
      </c>
      <c r="F226">
        <v>1</v>
      </c>
      <c r="G226">
        <v>4</v>
      </c>
      <c r="H226" t="s">
        <v>44</v>
      </c>
      <c r="I226">
        <v>3</v>
      </c>
      <c r="J226" t="s">
        <v>39</v>
      </c>
      <c r="K226">
        <v>90</v>
      </c>
      <c r="L226">
        <v>1</v>
      </c>
      <c r="M226">
        <v>2</v>
      </c>
      <c r="N226" t="s">
        <v>46</v>
      </c>
      <c r="O226">
        <v>3</v>
      </c>
      <c r="P226" t="s">
        <v>41</v>
      </c>
      <c r="Q226">
        <v>4345</v>
      </c>
      <c r="R226">
        <v>4381</v>
      </c>
      <c r="S226">
        <v>0</v>
      </c>
      <c r="T226">
        <v>0</v>
      </c>
      <c r="U226" s="17">
        <v>0.12</v>
      </c>
      <c r="V226">
        <v>3</v>
      </c>
      <c r="W226">
        <v>4</v>
      </c>
      <c r="X226">
        <v>1</v>
      </c>
      <c r="Y226">
        <v>6</v>
      </c>
      <c r="Z226">
        <v>2</v>
      </c>
      <c r="AA226">
        <v>3</v>
      </c>
      <c r="AB226">
        <v>5</v>
      </c>
      <c r="AC226">
        <v>4</v>
      </c>
      <c r="AD226">
        <v>1</v>
      </c>
      <c r="AE226">
        <v>4</v>
      </c>
      <c r="AF226">
        <v>0</v>
      </c>
      <c r="AG226">
        <f>IF(tbl_HR_Data[[#This Row],[Gender]]="Male",1,0)</f>
        <v>1</v>
      </c>
      <c r="AH226" cm="1">
        <f t="array" ref="AH226">_xlfn.SWITCH(tbl_HR_Data[[#This Row],[BusinessTravel]], "Non-Travel", 0, "Travel_Rarely", 1, "Travel_Frequently", 2)</f>
        <v>0</v>
      </c>
      <c r="AI226" cm="1">
        <f t="array" ref="AI226">_xlfn.SWITCH(tbl_HR_Data[[#This Row],[MaritalStatus]],"Single",0,"Married",1,"Divorced",2)</f>
        <v>1</v>
      </c>
      <c r="AJ226">
        <f>IF(tbl_HR_Data[[#This Row],[OverTime]]=1,1,0)</f>
        <v>0</v>
      </c>
      <c r="AK226">
        <f>IF(tbl_HR_Data[[#This Row],[DistanceFromHome]]&gt;15,1,0)</f>
        <v>0</v>
      </c>
      <c r="AL226">
        <f>IF(tbl_HR_Data[[#This Row],[JobSatisfaction]]&lt;=2,1,0)</f>
        <v>0</v>
      </c>
      <c r="AM226">
        <f>IF(tbl_HR_Data[[#This Row],[MonthlyIncome]]&lt;$AT$2,1,0)</f>
        <v>1</v>
      </c>
      <c r="AN226">
        <f>IF(tbl_HR_Data[[#This Row],[Travel_Code]]=2,1,0)</f>
        <v>0</v>
      </c>
      <c r="AO226">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226" s="15">
        <f>tbl_HR_Data[[#This Row],[Risk_Score_Raw]] / SUM(Logic_Parameters!$B$2:$B$6)</f>
        <v>0.22374939857982484</v>
      </c>
      <c r="AQ226" s="16" t="str" cm="1">
        <f t="array" ref="AQ226">_xlfn.IFS(tbl_HR_Data[[#This Row],[Attrition_Risk_Percentage]] &gt;= 0.75, "Critical",tbl_HR_Data[ [#This Row],[Attrition_Risk_Percentage] ]&gt;= 0.5, "High",tbl_HR_Data[[#This Row],[Attrition_Risk_Percentage]] &gt;= 0.25, "Medium",TRUE, "Low")</f>
        <v>Low</v>
      </c>
      <c r="AR226" s="16" cm="1">
        <f t="array" ref="AR226">IFERROR(_xlfn.IFS(tbl_HR_Data[[#This Row],[Risk_Category]]="Critical",tbl_HR_Data[[#This Row],[MonthlyIncome]]*1.5,tbl_HR_Data[[#This Row],[Risk_Category]]="High",tbl_HR_Data[[#This Row],[MonthlyIncome]]*1.5),0)</f>
        <v>0</v>
      </c>
    </row>
    <row r="227" spans="1:44" x14ac:dyDescent="0.35">
      <c r="A227" t="s">
        <v>1417</v>
      </c>
      <c r="B227">
        <v>59</v>
      </c>
      <c r="C227" t="s">
        <v>31</v>
      </c>
      <c r="D227">
        <v>142</v>
      </c>
      <c r="E227" t="s">
        <v>38</v>
      </c>
      <c r="F227">
        <v>3</v>
      </c>
      <c r="G227">
        <v>3</v>
      </c>
      <c r="H227" t="s">
        <v>33</v>
      </c>
      <c r="I227">
        <v>3</v>
      </c>
      <c r="J227" t="s">
        <v>39</v>
      </c>
      <c r="K227">
        <v>70</v>
      </c>
      <c r="L227">
        <v>2</v>
      </c>
      <c r="M227">
        <v>1</v>
      </c>
      <c r="N227" t="s">
        <v>40</v>
      </c>
      <c r="O227">
        <v>4</v>
      </c>
      <c r="P227" t="s">
        <v>41</v>
      </c>
      <c r="Q227">
        <v>2177</v>
      </c>
      <c r="R227">
        <v>8456</v>
      </c>
      <c r="S227">
        <v>3</v>
      </c>
      <c r="T227">
        <v>0</v>
      </c>
      <c r="U227" s="17">
        <v>0.17</v>
      </c>
      <c r="V227">
        <v>3</v>
      </c>
      <c r="W227">
        <v>1</v>
      </c>
      <c r="X227">
        <v>1</v>
      </c>
      <c r="Y227">
        <v>7</v>
      </c>
      <c r="Z227">
        <v>6</v>
      </c>
      <c r="AA227">
        <v>3</v>
      </c>
      <c r="AB227">
        <v>1</v>
      </c>
      <c r="AC227">
        <v>0</v>
      </c>
      <c r="AD227">
        <v>0</v>
      </c>
      <c r="AE227">
        <v>0</v>
      </c>
      <c r="AF227">
        <v>0</v>
      </c>
      <c r="AG227">
        <f>IF(tbl_HR_Data[[#This Row],[Gender]]="Male",1,0)</f>
        <v>1</v>
      </c>
      <c r="AH227" cm="1">
        <f t="array" ref="AH227">_xlfn.SWITCH(tbl_HR_Data[[#This Row],[BusinessTravel]], "Non-Travel", 0, "Travel_Rarely", 1, "Travel_Frequently", 2)</f>
        <v>1</v>
      </c>
      <c r="AI227" cm="1">
        <f t="array" ref="AI227">_xlfn.SWITCH(tbl_HR_Data[[#This Row],[MaritalStatus]],"Single",0,"Married",1,"Divorced",2)</f>
        <v>1</v>
      </c>
      <c r="AJ227">
        <f>IF(tbl_HR_Data[[#This Row],[OverTime]]=1,1,0)</f>
        <v>0</v>
      </c>
      <c r="AK227">
        <f>IF(tbl_HR_Data[[#This Row],[DistanceFromHome]]&gt;15,1,0)</f>
        <v>0</v>
      </c>
      <c r="AL227">
        <f>IF(tbl_HR_Data[[#This Row],[JobSatisfaction]]&lt;=2,1,0)</f>
        <v>0</v>
      </c>
      <c r="AM227">
        <f>IF(tbl_HR_Data[[#This Row],[MonthlyIncome]]&lt;$AT$2,1,0)</f>
        <v>1</v>
      </c>
      <c r="AN227">
        <f>IF(tbl_HR_Data[[#This Row],[Travel_Code]]=2,1,0)</f>
        <v>0</v>
      </c>
      <c r="AO227">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227" s="15">
        <f>tbl_HR_Data[[#This Row],[Risk_Score_Raw]] / SUM(Logic_Parameters!$B$2:$B$6)</f>
        <v>0.22374939857982484</v>
      </c>
      <c r="AQ227" s="16" t="str" cm="1">
        <f t="array" ref="AQ227">_xlfn.IFS(tbl_HR_Data[[#This Row],[Attrition_Risk_Percentage]] &gt;= 0.75, "Critical",tbl_HR_Data[ [#This Row],[Attrition_Risk_Percentage] ]&gt;= 0.5, "High",tbl_HR_Data[[#This Row],[Attrition_Risk_Percentage]] &gt;= 0.25, "Medium",TRUE, "Low")</f>
        <v>Low</v>
      </c>
      <c r="AR227" s="16" cm="1">
        <f t="array" ref="AR227">IFERROR(_xlfn.IFS(tbl_HR_Data[[#This Row],[Risk_Category]]="Critical",tbl_HR_Data[[#This Row],[MonthlyIncome]]*1.5,tbl_HR_Data[[#This Row],[Risk_Category]]="High",tbl_HR_Data[[#This Row],[MonthlyIncome]]*1.5),0)</f>
        <v>0</v>
      </c>
    </row>
    <row r="228" spans="1:44" x14ac:dyDescent="0.35">
      <c r="A228" t="s">
        <v>139</v>
      </c>
      <c r="B228">
        <v>37</v>
      </c>
      <c r="C228" t="s">
        <v>37</v>
      </c>
      <c r="D228">
        <v>319</v>
      </c>
      <c r="E228" t="s">
        <v>32</v>
      </c>
      <c r="F228">
        <v>4</v>
      </c>
      <c r="G228">
        <v>4</v>
      </c>
      <c r="H228" t="s">
        <v>51</v>
      </c>
      <c r="I228">
        <v>1</v>
      </c>
      <c r="J228" t="s">
        <v>39</v>
      </c>
      <c r="K228">
        <v>41</v>
      </c>
      <c r="L228">
        <v>3</v>
      </c>
      <c r="M228">
        <v>1</v>
      </c>
      <c r="N228" t="s">
        <v>49</v>
      </c>
      <c r="O228">
        <v>4</v>
      </c>
      <c r="P228" t="s">
        <v>45</v>
      </c>
      <c r="Q228">
        <v>2793</v>
      </c>
      <c r="R228">
        <v>2539</v>
      </c>
      <c r="S228">
        <v>4</v>
      </c>
      <c r="T228">
        <v>0</v>
      </c>
      <c r="U228" s="17">
        <v>0.17</v>
      </c>
      <c r="V228">
        <v>3</v>
      </c>
      <c r="W228">
        <v>3</v>
      </c>
      <c r="X228">
        <v>1</v>
      </c>
      <c r="Y228">
        <v>13</v>
      </c>
      <c r="Z228">
        <v>2</v>
      </c>
      <c r="AA228">
        <v>3</v>
      </c>
      <c r="AB228">
        <v>9</v>
      </c>
      <c r="AC228">
        <v>8</v>
      </c>
      <c r="AD228">
        <v>5</v>
      </c>
      <c r="AE228">
        <v>8</v>
      </c>
      <c r="AF228">
        <v>0</v>
      </c>
      <c r="AG228">
        <f>IF(tbl_HR_Data[[#This Row],[Gender]]="Male",1,0)</f>
        <v>1</v>
      </c>
      <c r="AH228" cm="1">
        <f t="array" ref="AH228">_xlfn.SWITCH(tbl_HR_Data[[#This Row],[BusinessTravel]], "Non-Travel", 0, "Travel_Rarely", 1, "Travel_Frequently", 2)</f>
        <v>2</v>
      </c>
      <c r="AI228" cm="1">
        <f t="array" ref="AI228">_xlfn.SWITCH(tbl_HR_Data[[#This Row],[MaritalStatus]],"Single",0,"Married",1,"Divorced",2)</f>
        <v>2</v>
      </c>
      <c r="AJ228">
        <f>IF(tbl_HR_Data[[#This Row],[OverTime]]=1,1,0)</f>
        <v>0</v>
      </c>
      <c r="AK228">
        <f>IF(tbl_HR_Data[[#This Row],[DistanceFromHome]]&gt;15,1,0)</f>
        <v>0</v>
      </c>
      <c r="AL228">
        <f>IF(tbl_HR_Data[[#This Row],[JobSatisfaction]]&lt;=2,1,0)</f>
        <v>0</v>
      </c>
      <c r="AM228">
        <f>IF(tbl_HR_Data[[#This Row],[MonthlyIncome]]&lt;$AT$2,1,0)</f>
        <v>1</v>
      </c>
      <c r="AN228">
        <f>IF(tbl_HR_Data[[#This Row],[Travel_Code]]=2,1,0)</f>
        <v>1</v>
      </c>
      <c r="AO228">
        <f>(tbl_HR_Data[[#This Row],[Flag_OT]] * Logic_Parameters!$B$2) +
 (tbl_HR_Data[[#This Row],[Flag_Travel]] * Logic_Parameters!$B$3) +
 (tbl_HR_Data[[#This Row],[Flag_Satisfaction]] * Logic_Parameters!$B$4) +
 (tbl_HR_Data[[#This Row],[Flag_Distance]]* Logic_Parameters!$B$5) +
 (tbl_HR_Data[[#This Row],[Flag_Income]] * Logic_Parameters!$B$6)</f>
        <v>11.654818917911005</v>
      </c>
      <c r="AP228" s="15">
        <f>tbl_HR_Data[[#This Row],[Risk_Score_Raw]] / SUM(Logic_Parameters!$B$2:$B$6)</f>
        <v>0.40153780240992015</v>
      </c>
      <c r="AQ228" s="16" t="str" cm="1">
        <f t="array" ref="AQ228">_xlfn.IFS(tbl_HR_Data[[#This Row],[Attrition_Risk_Percentage]] &gt;= 0.75, "Critical",tbl_HR_Data[ [#This Row],[Attrition_Risk_Percentage] ]&gt;= 0.5, "High",tbl_HR_Data[[#This Row],[Attrition_Risk_Percentage]] &gt;= 0.25, "Medium",TRUE, "Low")</f>
        <v>Medium</v>
      </c>
      <c r="AR228" s="16" cm="1">
        <f t="array" ref="AR228">IFERROR(_xlfn.IFS(tbl_HR_Data[[#This Row],[Risk_Category]]="Critical",tbl_HR_Data[[#This Row],[MonthlyIncome]]*1.5,tbl_HR_Data[[#This Row],[Risk_Category]]="High",tbl_HR_Data[[#This Row],[MonthlyIncome]]*1.5),0)</f>
        <v>0</v>
      </c>
    </row>
    <row r="229" spans="1:44" x14ac:dyDescent="0.35">
      <c r="A229" t="s">
        <v>462</v>
      </c>
      <c r="B229">
        <v>29</v>
      </c>
      <c r="C229" t="s">
        <v>37</v>
      </c>
      <c r="D229">
        <v>1413</v>
      </c>
      <c r="E229" t="s">
        <v>32</v>
      </c>
      <c r="F229">
        <v>1</v>
      </c>
      <c r="G229">
        <v>1</v>
      </c>
      <c r="H229" t="s">
        <v>44</v>
      </c>
      <c r="I229">
        <v>2</v>
      </c>
      <c r="J229" t="s">
        <v>34</v>
      </c>
      <c r="K229">
        <v>42</v>
      </c>
      <c r="L229">
        <v>3</v>
      </c>
      <c r="M229">
        <v>3</v>
      </c>
      <c r="N229" t="s">
        <v>35</v>
      </c>
      <c r="O229">
        <v>4</v>
      </c>
      <c r="P229" t="s">
        <v>41</v>
      </c>
      <c r="Q229">
        <v>7918</v>
      </c>
      <c r="R229">
        <v>6599</v>
      </c>
      <c r="S229">
        <v>1</v>
      </c>
      <c r="T229">
        <v>0</v>
      </c>
      <c r="U229" s="17">
        <v>0.14000000000000001</v>
      </c>
      <c r="V229">
        <v>3</v>
      </c>
      <c r="W229">
        <v>4</v>
      </c>
      <c r="X229">
        <v>1</v>
      </c>
      <c r="Y229">
        <v>11</v>
      </c>
      <c r="Z229">
        <v>5</v>
      </c>
      <c r="AA229">
        <v>3</v>
      </c>
      <c r="AB229">
        <v>11</v>
      </c>
      <c r="AC229">
        <v>10</v>
      </c>
      <c r="AD229">
        <v>4</v>
      </c>
      <c r="AE229">
        <v>1</v>
      </c>
      <c r="AF229">
        <v>0</v>
      </c>
      <c r="AG229">
        <f>IF(tbl_HR_Data[[#This Row],[Gender]]="Male",1,0)</f>
        <v>0</v>
      </c>
      <c r="AH229" cm="1">
        <f t="array" ref="AH229">_xlfn.SWITCH(tbl_HR_Data[[#This Row],[BusinessTravel]], "Non-Travel", 0, "Travel_Rarely", 1, "Travel_Frequently", 2)</f>
        <v>2</v>
      </c>
      <c r="AI229" cm="1">
        <f t="array" ref="AI229">_xlfn.SWITCH(tbl_HR_Data[[#This Row],[MaritalStatus]],"Single",0,"Married",1,"Divorced",2)</f>
        <v>1</v>
      </c>
      <c r="AJ229">
        <f>IF(tbl_HR_Data[[#This Row],[OverTime]]=1,1,0)</f>
        <v>0</v>
      </c>
      <c r="AK229">
        <f>IF(tbl_HR_Data[[#This Row],[DistanceFromHome]]&gt;15,1,0)</f>
        <v>0</v>
      </c>
      <c r="AL229">
        <f>IF(tbl_HR_Data[[#This Row],[JobSatisfaction]]&lt;=2,1,0)</f>
        <v>0</v>
      </c>
      <c r="AM229">
        <f>IF(tbl_HR_Data[[#This Row],[MonthlyIncome]]&lt;$AT$2,1,0)</f>
        <v>0</v>
      </c>
      <c r="AN229">
        <f>IF(tbl_HR_Data[[#This Row],[Travel_Code]]=2,1,0)</f>
        <v>1</v>
      </c>
      <c r="AO229">
        <f>(tbl_HR_Data[[#This Row],[Flag_OT]] * Logic_Parameters!$B$2) +
 (tbl_HR_Data[[#This Row],[Flag_Travel]] * Logic_Parameters!$B$3) +
 (tbl_HR_Data[[#This Row],[Flag_Satisfaction]] * Logic_Parameters!$B$4) +
 (tbl_HR_Data[[#This Row],[Flag_Distance]]* Logic_Parameters!$B$5) +
 (tbl_HR_Data[[#This Row],[Flag_Income]] * Logic_Parameters!$B$6)</f>
        <v>5.1603899804901765</v>
      </c>
      <c r="AP229" s="15">
        <f>tbl_HR_Data[[#This Row],[Risk_Score_Raw]] / SUM(Logic_Parameters!$B$2:$B$6)</f>
        <v>0.17778840383009531</v>
      </c>
      <c r="AQ229" s="16" t="str" cm="1">
        <f t="array" ref="AQ229">_xlfn.IFS(tbl_HR_Data[[#This Row],[Attrition_Risk_Percentage]] &gt;= 0.75, "Critical",tbl_HR_Data[ [#This Row],[Attrition_Risk_Percentage] ]&gt;= 0.5, "High",tbl_HR_Data[[#This Row],[Attrition_Risk_Percentage]] &gt;= 0.25, "Medium",TRUE, "Low")</f>
        <v>Low</v>
      </c>
      <c r="AR229" s="16" cm="1">
        <f t="array" ref="AR229">IFERROR(_xlfn.IFS(tbl_HR_Data[[#This Row],[Risk_Category]]="Critical",tbl_HR_Data[[#This Row],[MonthlyIncome]]*1.5,tbl_HR_Data[[#This Row],[Risk_Category]]="High",tbl_HR_Data[[#This Row],[MonthlyIncome]]*1.5),0)</f>
        <v>0</v>
      </c>
    </row>
    <row r="230" spans="1:44" x14ac:dyDescent="0.35">
      <c r="A230" t="s">
        <v>796</v>
      </c>
      <c r="B230">
        <v>35</v>
      </c>
      <c r="C230" t="s">
        <v>37</v>
      </c>
      <c r="D230">
        <v>944</v>
      </c>
      <c r="E230" t="s">
        <v>32</v>
      </c>
      <c r="F230">
        <v>1</v>
      </c>
      <c r="G230">
        <v>3</v>
      </c>
      <c r="H230" t="s">
        <v>51</v>
      </c>
      <c r="I230">
        <v>3</v>
      </c>
      <c r="J230" t="s">
        <v>34</v>
      </c>
      <c r="K230">
        <v>92</v>
      </c>
      <c r="L230">
        <v>3</v>
      </c>
      <c r="M230">
        <v>3</v>
      </c>
      <c r="N230" t="s">
        <v>35</v>
      </c>
      <c r="O230">
        <v>3</v>
      </c>
      <c r="P230" t="s">
        <v>36</v>
      </c>
      <c r="Q230">
        <v>8789</v>
      </c>
      <c r="R230">
        <v>9096</v>
      </c>
      <c r="S230">
        <v>1</v>
      </c>
      <c r="T230">
        <v>0</v>
      </c>
      <c r="U230" s="17">
        <v>0.14000000000000001</v>
      </c>
      <c r="V230">
        <v>3</v>
      </c>
      <c r="W230">
        <v>1</v>
      </c>
      <c r="X230">
        <v>0</v>
      </c>
      <c r="Y230">
        <v>10</v>
      </c>
      <c r="Z230">
        <v>3</v>
      </c>
      <c r="AA230">
        <v>4</v>
      </c>
      <c r="AB230">
        <v>10</v>
      </c>
      <c r="AC230">
        <v>7</v>
      </c>
      <c r="AD230">
        <v>0</v>
      </c>
      <c r="AE230">
        <v>8</v>
      </c>
      <c r="AF230">
        <v>0</v>
      </c>
      <c r="AG230">
        <f>IF(tbl_HR_Data[[#This Row],[Gender]]="Male",1,0)</f>
        <v>0</v>
      </c>
      <c r="AH230" cm="1">
        <f t="array" ref="AH230">_xlfn.SWITCH(tbl_HR_Data[[#This Row],[BusinessTravel]], "Non-Travel", 0, "Travel_Rarely", 1, "Travel_Frequently", 2)</f>
        <v>2</v>
      </c>
      <c r="AI230" cm="1">
        <f t="array" ref="AI230">_xlfn.SWITCH(tbl_HR_Data[[#This Row],[MaritalStatus]],"Single",0,"Married",1,"Divorced",2)</f>
        <v>0</v>
      </c>
      <c r="AJ230">
        <f>IF(tbl_HR_Data[[#This Row],[OverTime]]=1,1,0)</f>
        <v>0</v>
      </c>
      <c r="AK230">
        <f>IF(tbl_HR_Data[[#This Row],[DistanceFromHome]]&gt;15,1,0)</f>
        <v>0</v>
      </c>
      <c r="AL230">
        <f>IF(tbl_HR_Data[[#This Row],[JobSatisfaction]]&lt;=2,1,0)</f>
        <v>0</v>
      </c>
      <c r="AM230">
        <f>IF(tbl_HR_Data[[#This Row],[MonthlyIncome]]&lt;$AT$2,1,0)</f>
        <v>0</v>
      </c>
      <c r="AN230">
        <f>IF(tbl_HR_Data[[#This Row],[Travel_Code]]=2,1,0)</f>
        <v>1</v>
      </c>
      <c r="AO230">
        <f>(tbl_HR_Data[[#This Row],[Flag_OT]] * Logic_Parameters!$B$2) +
 (tbl_HR_Data[[#This Row],[Flag_Travel]] * Logic_Parameters!$B$3) +
 (tbl_HR_Data[[#This Row],[Flag_Satisfaction]] * Logic_Parameters!$B$4) +
 (tbl_HR_Data[[#This Row],[Flag_Distance]]* Logic_Parameters!$B$5) +
 (tbl_HR_Data[[#This Row],[Flag_Income]] * Logic_Parameters!$B$6)</f>
        <v>5.1603899804901765</v>
      </c>
      <c r="AP230" s="15">
        <f>tbl_HR_Data[[#This Row],[Risk_Score_Raw]] / SUM(Logic_Parameters!$B$2:$B$6)</f>
        <v>0.17778840383009531</v>
      </c>
      <c r="AQ230" s="16" t="str" cm="1">
        <f t="array" ref="AQ230">_xlfn.IFS(tbl_HR_Data[[#This Row],[Attrition_Risk_Percentage]] &gt;= 0.75, "Critical",tbl_HR_Data[ [#This Row],[Attrition_Risk_Percentage] ]&gt;= 0.5, "High",tbl_HR_Data[[#This Row],[Attrition_Risk_Percentage]] &gt;= 0.25, "Medium",TRUE, "Low")</f>
        <v>Low</v>
      </c>
      <c r="AR230" s="16" cm="1">
        <f t="array" ref="AR230">IFERROR(_xlfn.IFS(tbl_HR_Data[[#This Row],[Risk_Category]]="Critical",tbl_HR_Data[[#This Row],[MonthlyIncome]]*1.5,tbl_HR_Data[[#This Row],[Risk_Category]]="High",tbl_HR_Data[[#This Row],[MonthlyIncome]]*1.5),0)</f>
        <v>0</v>
      </c>
    </row>
    <row r="231" spans="1:44" x14ac:dyDescent="0.35">
      <c r="A231" t="s">
        <v>358</v>
      </c>
      <c r="B231">
        <v>29</v>
      </c>
      <c r="C231" t="s">
        <v>31</v>
      </c>
      <c r="D231">
        <v>896</v>
      </c>
      <c r="E231" t="s">
        <v>38</v>
      </c>
      <c r="F231">
        <v>18</v>
      </c>
      <c r="G231">
        <v>1</v>
      </c>
      <c r="H231" t="s">
        <v>44</v>
      </c>
      <c r="I231">
        <v>3</v>
      </c>
      <c r="J231" t="s">
        <v>39</v>
      </c>
      <c r="K231">
        <v>86</v>
      </c>
      <c r="L231">
        <v>2</v>
      </c>
      <c r="M231">
        <v>1</v>
      </c>
      <c r="N231" t="s">
        <v>40</v>
      </c>
      <c r="O231">
        <v>4</v>
      </c>
      <c r="P231" t="s">
        <v>36</v>
      </c>
      <c r="Q231">
        <v>2389</v>
      </c>
      <c r="R231">
        <v>14961</v>
      </c>
      <c r="S231">
        <v>1</v>
      </c>
      <c r="T231">
        <v>1</v>
      </c>
      <c r="U231" s="17">
        <v>0.13</v>
      </c>
      <c r="V231">
        <v>3</v>
      </c>
      <c r="W231">
        <v>3</v>
      </c>
      <c r="X231">
        <v>0</v>
      </c>
      <c r="Y231">
        <v>4</v>
      </c>
      <c r="Z231">
        <v>3</v>
      </c>
      <c r="AA231">
        <v>2</v>
      </c>
      <c r="AB231">
        <v>4</v>
      </c>
      <c r="AC231">
        <v>3</v>
      </c>
      <c r="AD231">
        <v>0</v>
      </c>
      <c r="AE231">
        <v>1</v>
      </c>
      <c r="AF231">
        <v>1</v>
      </c>
      <c r="AG231">
        <f>IF(tbl_HR_Data[[#This Row],[Gender]]="Male",1,0)</f>
        <v>1</v>
      </c>
      <c r="AH231" cm="1">
        <f t="array" ref="AH231">_xlfn.SWITCH(tbl_HR_Data[[#This Row],[BusinessTravel]], "Non-Travel", 0, "Travel_Rarely", 1, "Travel_Frequently", 2)</f>
        <v>1</v>
      </c>
      <c r="AI231" cm="1">
        <f t="array" ref="AI231">_xlfn.SWITCH(tbl_HR_Data[[#This Row],[MaritalStatus]],"Single",0,"Married",1,"Divorced",2)</f>
        <v>0</v>
      </c>
      <c r="AJ231">
        <f>IF(tbl_HR_Data[[#This Row],[OverTime]]=1,1,0)</f>
        <v>1</v>
      </c>
      <c r="AK231">
        <f>IF(tbl_HR_Data[[#This Row],[DistanceFromHome]]&gt;15,1,0)</f>
        <v>1</v>
      </c>
      <c r="AL231">
        <f>IF(tbl_HR_Data[[#This Row],[JobSatisfaction]]&lt;=2,1,0)</f>
        <v>0</v>
      </c>
      <c r="AM231">
        <f>IF(tbl_HR_Data[[#This Row],[MonthlyIncome]]&lt;$AT$2,1,0)</f>
        <v>1</v>
      </c>
      <c r="AN231">
        <f>IF(tbl_HR_Data[[#This Row],[Travel_Code]]=2,1,0)</f>
        <v>0</v>
      </c>
      <c r="AO231">
        <f>(tbl_HR_Data[[#This Row],[Flag_OT]] * Logic_Parameters!$B$2) +
 (tbl_HR_Data[[#This Row],[Flag_Travel]] * Logic_Parameters!$B$3) +
 (tbl_HR_Data[[#This Row],[Flag_Satisfaction]] * Logic_Parameters!$B$4) +
 (tbl_HR_Data[[#This Row],[Flag_Distance]]* Logic_Parameters!$B$5) +
 (tbl_HR_Data[[#This Row],[Flag_Income]] * Logic_Parameters!$B$6)</f>
        <v>19.660535633296206</v>
      </c>
      <c r="AP231" s="15">
        <f>tbl_HR_Data[[#This Row],[Risk_Score_Raw]] / SUM(Logic_Parameters!$B$2:$B$6)</f>
        <v>0.67735486308273574</v>
      </c>
      <c r="AQ231" s="16" t="str" cm="1">
        <f t="array" ref="AQ231">_xlfn.IFS(tbl_HR_Data[[#This Row],[Attrition_Risk_Percentage]] &gt;= 0.75, "Critical",tbl_HR_Data[ [#This Row],[Attrition_Risk_Percentage] ]&gt;= 0.5, "High",tbl_HR_Data[[#This Row],[Attrition_Risk_Percentage]] &gt;= 0.25, "Medium",TRUE, "Low")</f>
        <v>High</v>
      </c>
      <c r="AR231" s="16" cm="1">
        <f t="array" ref="AR231">IFERROR(_xlfn.IFS(tbl_HR_Data[[#This Row],[Risk_Category]]="Critical",tbl_HR_Data[[#This Row],[MonthlyIncome]]*1.5,tbl_HR_Data[[#This Row],[Risk_Category]]="High",tbl_HR_Data[[#This Row],[MonthlyIncome]]*1.5),0)</f>
        <v>3583.5</v>
      </c>
    </row>
    <row r="232" spans="1:44" x14ac:dyDescent="0.35">
      <c r="A232" t="s">
        <v>1272</v>
      </c>
      <c r="B232">
        <v>52</v>
      </c>
      <c r="C232" t="s">
        <v>31</v>
      </c>
      <c r="D232">
        <v>1323</v>
      </c>
      <c r="E232" t="s">
        <v>38</v>
      </c>
      <c r="F232">
        <v>2</v>
      </c>
      <c r="G232">
        <v>3</v>
      </c>
      <c r="H232" t="s">
        <v>33</v>
      </c>
      <c r="I232">
        <v>3</v>
      </c>
      <c r="J232" t="s">
        <v>34</v>
      </c>
      <c r="K232">
        <v>89</v>
      </c>
      <c r="L232">
        <v>2</v>
      </c>
      <c r="M232">
        <v>1</v>
      </c>
      <c r="N232" t="s">
        <v>43</v>
      </c>
      <c r="O232">
        <v>4</v>
      </c>
      <c r="P232" t="s">
        <v>36</v>
      </c>
      <c r="Q232">
        <v>3212</v>
      </c>
      <c r="R232">
        <v>3300</v>
      </c>
      <c r="S232">
        <v>7</v>
      </c>
      <c r="T232">
        <v>0</v>
      </c>
      <c r="U232" s="17">
        <v>0.15</v>
      </c>
      <c r="V232">
        <v>3</v>
      </c>
      <c r="W232">
        <v>2</v>
      </c>
      <c r="X232">
        <v>0</v>
      </c>
      <c r="Y232">
        <v>6</v>
      </c>
      <c r="Z232">
        <v>3</v>
      </c>
      <c r="AA232">
        <v>2</v>
      </c>
      <c r="AB232">
        <v>2</v>
      </c>
      <c r="AC232">
        <v>2</v>
      </c>
      <c r="AD232">
        <v>2</v>
      </c>
      <c r="AE232">
        <v>2</v>
      </c>
      <c r="AF232">
        <v>0</v>
      </c>
      <c r="AG232">
        <f>IF(tbl_HR_Data[[#This Row],[Gender]]="Male",1,0)</f>
        <v>0</v>
      </c>
      <c r="AH232" cm="1">
        <f t="array" ref="AH232">_xlfn.SWITCH(tbl_HR_Data[[#This Row],[BusinessTravel]], "Non-Travel", 0, "Travel_Rarely", 1, "Travel_Frequently", 2)</f>
        <v>1</v>
      </c>
      <c r="AI232" cm="1">
        <f t="array" ref="AI232">_xlfn.SWITCH(tbl_HR_Data[[#This Row],[MaritalStatus]],"Single",0,"Married",1,"Divorced",2)</f>
        <v>0</v>
      </c>
      <c r="AJ232">
        <f>IF(tbl_HR_Data[[#This Row],[OverTime]]=1,1,0)</f>
        <v>0</v>
      </c>
      <c r="AK232">
        <f>IF(tbl_HR_Data[[#This Row],[DistanceFromHome]]&gt;15,1,0)</f>
        <v>0</v>
      </c>
      <c r="AL232">
        <f>IF(tbl_HR_Data[[#This Row],[JobSatisfaction]]&lt;=2,1,0)</f>
        <v>0</v>
      </c>
      <c r="AM232">
        <f>IF(tbl_HR_Data[[#This Row],[MonthlyIncome]]&lt;$AT$2,1,0)</f>
        <v>1</v>
      </c>
      <c r="AN232">
        <f>IF(tbl_HR_Data[[#This Row],[Travel_Code]]=2,1,0)</f>
        <v>0</v>
      </c>
      <c r="AO232">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232" s="15">
        <f>tbl_HR_Data[[#This Row],[Risk_Score_Raw]] / SUM(Logic_Parameters!$B$2:$B$6)</f>
        <v>0.22374939857982484</v>
      </c>
      <c r="AQ232" s="16" t="str" cm="1">
        <f t="array" ref="AQ232">_xlfn.IFS(tbl_HR_Data[[#This Row],[Attrition_Risk_Percentage]] &gt;= 0.75, "Critical",tbl_HR_Data[ [#This Row],[Attrition_Risk_Percentage] ]&gt;= 0.5, "High",tbl_HR_Data[[#This Row],[Attrition_Risk_Percentage]] &gt;= 0.25, "Medium",TRUE, "Low")</f>
        <v>Low</v>
      </c>
      <c r="AR232" s="16" cm="1">
        <f t="array" ref="AR232">IFERROR(_xlfn.IFS(tbl_HR_Data[[#This Row],[Risk_Category]]="Critical",tbl_HR_Data[[#This Row],[MonthlyIncome]]*1.5,tbl_HR_Data[[#This Row],[Risk_Category]]="High",tbl_HR_Data[[#This Row],[MonthlyIncome]]*1.5),0)</f>
        <v>0</v>
      </c>
    </row>
    <row r="233" spans="1:44" x14ac:dyDescent="0.35">
      <c r="A233" t="s">
        <v>1160</v>
      </c>
      <c r="B233">
        <v>42</v>
      </c>
      <c r="C233" t="s">
        <v>31</v>
      </c>
      <c r="D233">
        <v>532</v>
      </c>
      <c r="E233" t="s">
        <v>38</v>
      </c>
      <c r="F233">
        <v>4</v>
      </c>
      <c r="G233">
        <v>2</v>
      </c>
      <c r="H233" t="s">
        <v>52</v>
      </c>
      <c r="I233">
        <v>3</v>
      </c>
      <c r="J233" t="s">
        <v>39</v>
      </c>
      <c r="K233">
        <v>58</v>
      </c>
      <c r="L233">
        <v>3</v>
      </c>
      <c r="M233">
        <v>5</v>
      </c>
      <c r="N233" t="s">
        <v>48</v>
      </c>
      <c r="O233">
        <v>4</v>
      </c>
      <c r="P233" t="s">
        <v>41</v>
      </c>
      <c r="Q233">
        <v>19232</v>
      </c>
      <c r="R233">
        <v>4933</v>
      </c>
      <c r="S233">
        <v>1</v>
      </c>
      <c r="T233">
        <v>0</v>
      </c>
      <c r="U233" s="17">
        <v>0.11</v>
      </c>
      <c r="V233">
        <v>3</v>
      </c>
      <c r="W233">
        <v>4</v>
      </c>
      <c r="X233">
        <v>0</v>
      </c>
      <c r="Y233">
        <v>22</v>
      </c>
      <c r="Z233">
        <v>3</v>
      </c>
      <c r="AA233">
        <v>3</v>
      </c>
      <c r="AB233">
        <v>22</v>
      </c>
      <c r="AC233">
        <v>17</v>
      </c>
      <c r="AD233">
        <v>11</v>
      </c>
      <c r="AE233">
        <v>15</v>
      </c>
      <c r="AF233">
        <v>0</v>
      </c>
      <c r="AG233">
        <f>IF(tbl_HR_Data[[#This Row],[Gender]]="Male",1,0)</f>
        <v>1</v>
      </c>
      <c r="AH233" cm="1">
        <f t="array" ref="AH233">_xlfn.SWITCH(tbl_HR_Data[[#This Row],[BusinessTravel]], "Non-Travel", 0, "Travel_Rarely", 1, "Travel_Frequently", 2)</f>
        <v>1</v>
      </c>
      <c r="AI233" cm="1">
        <f t="array" ref="AI233">_xlfn.SWITCH(tbl_HR_Data[[#This Row],[MaritalStatus]],"Single",0,"Married",1,"Divorced",2)</f>
        <v>1</v>
      </c>
      <c r="AJ233">
        <f>IF(tbl_HR_Data[[#This Row],[OverTime]]=1,1,0)</f>
        <v>0</v>
      </c>
      <c r="AK233">
        <f>IF(tbl_HR_Data[[#This Row],[DistanceFromHome]]&gt;15,1,0)</f>
        <v>0</v>
      </c>
      <c r="AL233">
        <f>IF(tbl_HR_Data[[#This Row],[JobSatisfaction]]&lt;=2,1,0)</f>
        <v>0</v>
      </c>
      <c r="AM233">
        <f>IF(tbl_HR_Data[[#This Row],[MonthlyIncome]]&lt;$AT$2,1,0)</f>
        <v>0</v>
      </c>
      <c r="AN233">
        <f>IF(tbl_HR_Data[[#This Row],[Travel_Code]]=2,1,0)</f>
        <v>0</v>
      </c>
      <c r="AO233">
        <f>(tbl_HR_Data[[#This Row],[Flag_OT]] * Logic_Parameters!$B$2) +
 (tbl_HR_Data[[#This Row],[Flag_Travel]] * Logic_Parameters!$B$3) +
 (tbl_HR_Data[[#This Row],[Flag_Satisfaction]] * Logic_Parameters!$B$4) +
 (tbl_HR_Data[[#This Row],[Flag_Distance]]* Logic_Parameters!$B$5) +
 (tbl_HR_Data[[#This Row],[Flag_Income]] * Logic_Parameters!$B$6)</f>
        <v>0</v>
      </c>
      <c r="AP233" s="15">
        <f>tbl_HR_Data[[#This Row],[Risk_Score_Raw]] / SUM(Logic_Parameters!$B$2:$B$6)</f>
        <v>0</v>
      </c>
      <c r="AQ233" s="16" t="str" cm="1">
        <f t="array" ref="AQ233">_xlfn.IFS(tbl_HR_Data[[#This Row],[Attrition_Risk_Percentage]] &gt;= 0.75, "Critical",tbl_HR_Data[ [#This Row],[Attrition_Risk_Percentage] ]&gt;= 0.5, "High",tbl_HR_Data[[#This Row],[Attrition_Risk_Percentage]] &gt;= 0.25, "Medium",TRUE, "Low")</f>
        <v>Low</v>
      </c>
      <c r="AR233" s="16" cm="1">
        <f t="array" ref="AR233">IFERROR(_xlfn.IFS(tbl_HR_Data[[#This Row],[Risk_Category]]="Critical",tbl_HR_Data[[#This Row],[MonthlyIncome]]*1.5,tbl_HR_Data[[#This Row],[Risk_Category]]="High",tbl_HR_Data[[#This Row],[MonthlyIncome]]*1.5),0)</f>
        <v>0</v>
      </c>
    </row>
    <row r="234" spans="1:44" x14ac:dyDescent="0.35">
      <c r="A234" t="s">
        <v>1005</v>
      </c>
      <c r="B234">
        <v>59</v>
      </c>
      <c r="C234" t="s">
        <v>31</v>
      </c>
      <c r="D234">
        <v>818</v>
      </c>
      <c r="E234" t="s">
        <v>53</v>
      </c>
      <c r="F234">
        <v>6</v>
      </c>
      <c r="G234">
        <v>2</v>
      </c>
      <c r="H234" t="s">
        <v>44</v>
      </c>
      <c r="I234">
        <v>2</v>
      </c>
      <c r="J234" t="s">
        <v>39</v>
      </c>
      <c r="K234">
        <v>52</v>
      </c>
      <c r="L234">
        <v>3</v>
      </c>
      <c r="M234">
        <v>1</v>
      </c>
      <c r="N234" t="s">
        <v>53</v>
      </c>
      <c r="O234">
        <v>3</v>
      </c>
      <c r="P234" t="s">
        <v>41</v>
      </c>
      <c r="Q234">
        <v>2267</v>
      </c>
      <c r="R234">
        <v>25657</v>
      </c>
      <c r="S234">
        <v>8</v>
      </c>
      <c r="T234">
        <v>0</v>
      </c>
      <c r="U234" s="17">
        <v>0.17</v>
      </c>
      <c r="V234">
        <v>3</v>
      </c>
      <c r="W234">
        <v>4</v>
      </c>
      <c r="X234">
        <v>0</v>
      </c>
      <c r="Y234">
        <v>7</v>
      </c>
      <c r="Z234">
        <v>2</v>
      </c>
      <c r="AA234">
        <v>2</v>
      </c>
      <c r="AB234">
        <v>2</v>
      </c>
      <c r="AC234">
        <v>2</v>
      </c>
      <c r="AD234">
        <v>2</v>
      </c>
      <c r="AE234">
        <v>2</v>
      </c>
      <c r="AF234">
        <v>0</v>
      </c>
      <c r="AG234">
        <f>IF(tbl_HR_Data[[#This Row],[Gender]]="Male",1,0)</f>
        <v>1</v>
      </c>
      <c r="AH234" cm="1">
        <f t="array" ref="AH234">_xlfn.SWITCH(tbl_HR_Data[[#This Row],[BusinessTravel]], "Non-Travel", 0, "Travel_Rarely", 1, "Travel_Frequently", 2)</f>
        <v>1</v>
      </c>
      <c r="AI234" cm="1">
        <f t="array" ref="AI234">_xlfn.SWITCH(tbl_HR_Data[[#This Row],[MaritalStatus]],"Single",0,"Married",1,"Divorced",2)</f>
        <v>1</v>
      </c>
      <c r="AJ234">
        <f>IF(tbl_HR_Data[[#This Row],[OverTime]]=1,1,0)</f>
        <v>0</v>
      </c>
      <c r="AK234">
        <f>IF(tbl_HR_Data[[#This Row],[DistanceFromHome]]&gt;15,1,0)</f>
        <v>0</v>
      </c>
      <c r="AL234">
        <f>IF(tbl_HR_Data[[#This Row],[JobSatisfaction]]&lt;=2,1,0)</f>
        <v>0</v>
      </c>
      <c r="AM234">
        <f>IF(tbl_HR_Data[[#This Row],[MonthlyIncome]]&lt;$AT$2,1,0)</f>
        <v>1</v>
      </c>
      <c r="AN234">
        <f>IF(tbl_HR_Data[[#This Row],[Travel_Code]]=2,1,0)</f>
        <v>0</v>
      </c>
      <c r="AO234">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234" s="15">
        <f>tbl_HR_Data[[#This Row],[Risk_Score_Raw]] / SUM(Logic_Parameters!$B$2:$B$6)</f>
        <v>0.22374939857982484</v>
      </c>
      <c r="AQ234" s="16" t="str" cm="1">
        <f t="array" ref="AQ234">_xlfn.IFS(tbl_HR_Data[[#This Row],[Attrition_Risk_Percentage]] &gt;= 0.75, "Critical",tbl_HR_Data[ [#This Row],[Attrition_Risk_Percentage] ]&gt;= 0.5, "High",tbl_HR_Data[[#This Row],[Attrition_Risk_Percentage]] &gt;= 0.25, "Medium",TRUE, "Low")</f>
        <v>Low</v>
      </c>
      <c r="AR234" s="16" cm="1">
        <f t="array" ref="AR234">IFERROR(_xlfn.IFS(tbl_HR_Data[[#This Row],[Risk_Category]]="Critical",tbl_HR_Data[[#This Row],[MonthlyIncome]]*1.5,tbl_HR_Data[[#This Row],[Risk_Category]]="High",tbl_HR_Data[[#This Row],[MonthlyIncome]]*1.5),0)</f>
        <v>0</v>
      </c>
    </row>
    <row r="235" spans="1:44" x14ac:dyDescent="0.35">
      <c r="A235" t="s">
        <v>1224</v>
      </c>
      <c r="B235">
        <v>50</v>
      </c>
      <c r="C235" t="s">
        <v>31</v>
      </c>
      <c r="D235">
        <v>854</v>
      </c>
      <c r="E235" t="s">
        <v>32</v>
      </c>
      <c r="F235">
        <v>1</v>
      </c>
      <c r="G235">
        <v>4</v>
      </c>
      <c r="H235" t="s">
        <v>44</v>
      </c>
      <c r="I235">
        <v>4</v>
      </c>
      <c r="J235" t="s">
        <v>34</v>
      </c>
      <c r="K235">
        <v>68</v>
      </c>
      <c r="L235">
        <v>3</v>
      </c>
      <c r="M235">
        <v>5</v>
      </c>
      <c r="N235" t="s">
        <v>48</v>
      </c>
      <c r="O235">
        <v>4</v>
      </c>
      <c r="P235" t="s">
        <v>45</v>
      </c>
      <c r="Q235">
        <v>19517</v>
      </c>
      <c r="R235">
        <v>24118</v>
      </c>
      <c r="S235">
        <v>3</v>
      </c>
      <c r="T235">
        <v>0</v>
      </c>
      <c r="U235" s="17">
        <v>0.11</v>
      </c>
      <c r="V235">
        <v>3</v>
      </c>
      <c r="W235">
        <v>3</v>
      </c>
      <c r="X235">
        <v>1</v>
      </c>
      <c r="Y235">
        <v>32</v>
      </c>
      <c r="Z235">
        <v>3</v>
      </c>
      <c r="AA235">
        <v>2</v>
      </c>
      <c r="AB235">
        <v>7</v>
      </c>
      <c r="AC235">
        <v>0</v>
      </c>
      <c r="AD235">
        <v>0</v>
      </c>
      <c r="AE235">
        <v>6</v>
      </c>
      <c r="AF235">
        <v>0</v>
      </c>
      <c r="AG235">
        <f>IF(tbl_HR_Data[[#This Row],[Gender]]="Male",1,0)</f>
        <v>0</v>
      </c>
      <c r="AH235" cm="1">
        <f t="array" ref="AH235">_xlfn.SWITCH(tbl_HR_Data[[#This Row],[BusinessTravel]], "Non-Travel", 0, "Travel_Rarely", 1, "Travel_Frequently", 2)</f>
        <v>1</v>
      </c>
      <c r="AI235" cm="1">
        <f t="array" ref="AI235">_xlfn.SWITCH(tbl_HR_Data[[#This Row],[MaritalStatus]],"Single",0,"Married",1,"Divorced",2)</f>
        <v>2</v>
      </c>
      <c r="AJ235">
        <f>IF(tbl_HR_Data[[#This Row],[OverTime]]=1,1,0)</f>
        <v>0</v>
      </c>
      <c r="AK235">
        <f>IF(tbl_HR_Data[[#This Row],[DistanceFromHome]]&gt;15,1,0)</f>
        <v>0</v>
      </c>
      <c r="AL235">
        <f>IF(tbl_HR_Data[[#This Row],[JobSatisfaction]]&lt;=2,1,0)</f>
        <v>0</v>
      </c>
      <c r="AM235">
        <f>IF(tbl_HR_Data[[#This Row],[MonthlyIncome]]&lt;$AT$2,1,0)</f>
        <v>0</v>
      </c>
      <c r="AN235">
        <f>IF(tbl_HR_Data[[#This Row],[Travel_Code]]=2,1,0)</f>
        <v>0</v>
      </c>
      <c r="AO235">
        <f>(tbl_HR_Data[[#This Row],[Flag_OT]] * Logic_Parameters!$B$2) +
 (tbl_HR_Data[[#This Row],[Flag_Travel]] * Logic_Parameters!$B$3) +
 (tbl_HR_Data[[#This Row],[Flag_Satisfaction]] * Logic_Parameters!$B$4) +
 (tbl_HR_Data[[#This Row],[Flag_Distance]]* Logic_Parameters!$B$5) +
 (tbl_HR_Data[[#This Row],[Flag_Income]] * Logic_Parameters!$B$6)</f>
        <v>0</v>
      </c>
      <c r="AP235" s="15">
        <f>tbl_HR_Data[[#This Row],[Risk_Score_Raw]] / SUM(Logic_Parameters!$B$2:$B$6)</f>
        <v>0</v>
      </c>
      <c r="AQ235" s="16" t="str" cm="1">
        <f t="array" ref="AQ235">_xlfn.IFS(tbl_HR_Data[[#This Row],[Attrition_Risk_Percentage]] &gt;= 0.75, "Critical",tbl_HR_Data[ [#This Row],[Attrition_Risk_Percentage] ]&gt;= 0.5, "High",tbl_HR_Data[[#This Row],[Attrition_Risk_Percentage]] &gt;= 0.25, "Medium",TRUE, "Low")</f>
        <v>Low</v>
      </c>
      <c r="AR235" s="16" cm="1">
        <f t="array" ref="AR235">IFERROR(_xlfn.IFS(tbl_HR_Data[[#This Row],[Risk_Category]]="Critical",tbl_HR_Data[[#This Row],[MonthlyIncome]]*1.5,tbl_HR_Data[[#This Row],[Risk_Category]]="High",tbl_HR_Data[[#This Row],[MonthlyIncome]]*1.5),0)</f>
        <v>0</v>
      </c>
    </row>
    <row r="236" spans="1:44" x14ac:dyDescent="0.35">
      <c r="A236" t="s">
        <v>1337</v>
      </c>
      <c r="B236">
        <v>33</v>
      </c>
      <c r="C236" t="s">
        <v>31</v>
      </c>
      <c r="D236">
        <v>813</v>
      </c>
      <c r="E236" t="s">
        <v>38</v>
      </c>
      <c r="F236">
        <v>14</v>
      </c>
      <c r="G236">
        <v>3</v>
      </c>
      <c r="H236" t="s">
        <v>44</v>
      </c>
      <c r="I236">
        <v>3</v>
      </c>
      <c r="J236" t="s">
        <v>39</v>
      </c>
      <c r="K236">
        <v>58</v>
      </c>
      <c r="L236">
        <v>3</v>
      </c>
      <c r="M236">
        <v>1</v>
      </c>
      <c r="N236" t="s">
        <v>43</v>
      </c>
      <c r="O236">
        <v>4</v>
      </c>
      <c r="P236" t="s">
        <v>41</v>
      </c>
      <c r="Q236">
        <v>2436</v>
      </c>
      <c r="R236">
        <v>22149</v>
      </c>
      <c r="S236">
        <v>5</v>
      </c>
      <c r="T236">
        <v>1</v>
      </c>
      <c r="U236" s="17">
        <v>0.13</v>
      </c>
      <c r="V236">
        <v>3</v>
      </c>
      <c r="W236">
        <v>3</v>
      </c>
      <c r="X236">
        <v>1</v>
      </c>
      <c r="Y236">
        <v>8</v>
      </c>
      <c r="Z236">
        <v>2</v>
      </c>
      <c r="AA236">
        <v>1</v>
      </c>
      <c r="AB236">
        <v>5</v>
      </c>
      <c r="AC236">
        <v>4</v>
      </c>
      <c r="AD236">
        <v>0</v>
      </c>
      <c r="AE236">
        <v>4</v>
      </c>
      <c r="AF236">
        <v>1</v>
      </c>
      <c r="AG236">
        <f>IF(tbl_HR_Data[[#This Row],[Gender]]="Male",1,0)</f>
        <v>1</v>
      </c>
      <c r="AH236" cm="1">
        <f t="array" ref="AH236">_xlfn.SWITCH(tbl_HR_Data[[#This Row],[BusinessTravel]], "Non-Travel", 0, "Travel_Rarely", 1, "Travel_Frequently", 2)</f>
        <v>1</v>
      </c>
      <c r="AI236" cm="1">
        <f t="array" ref="AI236">_xlfn.SWITCH(tbl_HR_Data[[#This Row],[MaritalStatus]],"Single",0,"Married",1,"Divorced",2)</f>
        <v>1</v>
      </c>
      <c r="AJ236">
        <f>IF(tbl_HR_Data[[#This Row],[OverTime]]=1,1,0)</f>
        <v>1</v>
      </c>
      <c r="AK236">
        <f>IF(tbl_HR_Data[[#This Row],[DistanceFromHome]]&gt;15,1,0)</f>
        <v>0</v>
      </c>
      <c r="AL236">
        <f>IF(tbl_HR_Data[[#This Row],[JobSatisfaction]]&lt;=2,1,0)</f>
        <v>0</v>
      </c>
      <c r="AM236">
        <f>IF(tbl_HR_Data[[#This Row],[MonthlyIncome]]&lt;$AT$2,1,0)</f>
        <v>1</v>
      </c>
      <c r="AN236">
        <f>IF(tbl_HR_Data[[#This Row],[Travel_Code]]=2,1,0)</f>
        <v>0</v>
      </c>
      <c r="AO236">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236" s="15">
        <f>tbl_HR_Data[[#This Row],[Risk_Score_Raw]] / SUM(Logic_Parameters!$B$2:$B$6)</f>
        <v>0.56827453040563214</v>
      </c>
      <c r="AQ236" s="16" t="str" cm="1">
        <f t="array" ref="AQ236">_xlfn.IFS(tbl_HR_Data[[#This Row],[Attrition_Risk_Percentage]] &gt;= 0.75, "Critical",tbl_HR_Data[ [#This Row],[Attrition_Risk_Percentage] ]&gt;= 0.5, "High",tbl_HR_Data[[#This Row],[Attrition_Risk_Percentage]] &gt;= 0.25, "Medium",TRUE, "Low")</f>
        <v>High</v>
      </c>
      <c r="AR236" s="16" cm="1">
        <f t="array" ref="AR236">IFERROR(_xlfn.IFS(tbl_HR_Data[[#This Row],[Risk_Category]]="Critical",tbl_HR_Data[[#This Row],[MonthlyIncome]]*1.5,tbl_HR_Data[[#This Row],[Risk_Category]]="High",tbl_HR_Data[[#This Row],[MonthlyIncome]]*1.5),0)</f>
        <v>3654</v>
      </c>
    </row>
    <row r="237" spans="1:44" x14ac:dyDescent="0.35">
      <c r="A237" t="s">
        <v>322</v>
      </c>
      <c r="B237">
        <v>43</v>
      </c>
      <c r="C237" t="s">
        <v>31</v>
      </c>
      <c r="D237">
        <v>1034</v>
      </c>
      <c r="E237" t="s">
        <v>32</v>
      </c>
      <c r="F237">
        <v>16</v>
      </c>
      <c r="G237">
        <v>3</v>
      </c>
      <c r="H237" t="s">
        <v>51</v>
      </c>
      <c r="I237">
        <v>4</v>
      </c>
      <c r="J237" t="s">
        <v>34</v>
      </c>
      <c r="K237">
        <v>80</v>
      </c>
      <c r="L237">
        <v>3</v>
      </c>
      <c r="M237">
        <v>4</v>
      </c>
      <c r="N237" t="s">
        <v>48</v>
      </c>
      <c r="O237">
        <v>4</v>
      </c>
      <c r="P237" t="s">
        <v>41</v>
      </c>
      <c r="Q237">
        <v>16064</v>
      </c>
      <c r="R237">
        <v>7744</v>
      </c>
      <c r="S237">
        <v>5</v>
      </c>
      <c r="T237">
        <v>1</v>
      </c>
      <c r="U237" s="17">
        <v>0.22</v>
      </c>
      <c r="V237">
        <v>4</v>
      </c>
      <c r="W237">
        <v>3</v>
      </c>
      <c r="X237">
        <v>1</v>
      </c>
      <c r="Y237">
        <v>22</v>
      </c>
      <c r="Z237">
        <v>3</v>
      </c>
      <c r="AA237">
        <v>3</v>
      </c>
      <c r="AB237">
        <v>17</v>
      </c>
      <c r="AC237">
        <v>13</v>
      </c>
      <c r="AD237">
        <v>1</v>
      </c>
      <c r="AE237">
        <v>9</v>
      </c>
      <c r="AF237">
        <v>0</v>
      </c>
      <c r="AG237">
        <f>IF(tbl_HR_Data[[#This Row],[Gender]]="Male",1,0)</f>
        <v>0</v>
      </c>
      <c r="AH237" cm="1">
        <f t="array" ref="AH237">_xlfn.SWITCH(tbl_HR_Data[[#This Row],[BusinessTravel]], "Non-Travel", 0, "Travel_Rarely", 1, "Travel_Frequently", 2)</f>
        <v>1</v>
      </c>
      <c r="AI237" cm="1">
        <f t="array" ref="AI237">_xlfn.SWITCH(tbl_HR_Data[[#This Row],[MaritalStatus]],"Single",0,"Married",1,"Divorced",2)</f>
        <v>1</v>
      </c>
      <c r="AJ237">
        <f>IF(tbl_HR_Data[[#This Row],[OverTime]]=1,1,0)</f>
        <v>1</v>
      </c>
      <c r="AK237">
        <f>IF(tbl_HR_Data[[#This Row],[DistanceFromHome]]&gt;15,1,0)</f>
        <v>1</v>
      </c>
      <c r="AL237">
        <f>IF(tbl_HR_Data[[#This Row],[JobSatisfaction]]&lt;=2,1,0)</f>
        <v>0</v>
      </c>
      <c r="AM237">
        <f>IF(tbl_HR_Data[[#This Row],[MonthlyIncome]]&lt;$AT$2,1,0)</f>
        <v>0</v>
      </c>
      <c r="AN237">
        <f>IF(tbl_HR_Data[[#This Row],[Travel_Code]]=2,1,0)</f>
        <v>0</v>
      </c>
      <c r="AO237">
        <f>(tbl_HR_Data[[#This Row],[Flag_OT]] * Logic_Parameters!$B$2) +
 (tbl_HR_Data[[#This Row],[Flag_Travel]] * Logic_Parameters!$B$3) +
 (tbl_HR_Data[[#This Row],[Flag_Satisfaction]] * Logic_Parameters!$B$4) +
 (tbl_HR_Data[[#This Row],[Flag_Distance]]* Logic_Parameters!$B$5) +
 (tbl_HR_Data[[#This Row],[Flag_Income]] * Logic_Parameters!$B$6)</f>
        <v>13.166106695875378</v>
      </c>
      <c r="AP237" s="15">
        <f>tbl_HR_Data[[#This Row],[Risk_Score_Raw]] / SUM(Logic_Parameters!$B$2:$B$6)</f>
        <v>0.45360546450291089</v>
      </c>
      <c r="AQ237" s="16" t="str" cm="1">
        <f t="array" ref="AQ237">_xlfn.IFS(tbl_HR_Data[[#This Row],[Attrition_Risk_Percentage]] &gt;= 0.75, "Critical",tbl_HR_Data[ [#This Row],[Attrition_Risk_Percentage] ]&gt;= 0.5, "High",tbl_HR_Data[[#This Row],[Attrition_Risk_Percentage]] &gt;= 0.25, "Medium",TRUE, "Low")</f>
        <v>Medium</v>
      </c>
      <c r="AR237" s="16" cm="1">
        <f t="array" ref="AR237">IFERROR(_xlfn.IFS(tbl_HR_Data[[#This Row],[Risk_Category]]="Critical",tbl_HR_Data[[#This Row],[MonthlyIncome]]*1.5,tbl_HR_Data[[#This Row],[Risk_Category]]="High",tbl_HR_Data[[#This Row],[MonthlyIncome]]*1.5),0)</f>
        <v>0</v>
      </c>
    </row>
    <row r="238" spans="1:44" x14ac:dyDescent="0.35">
      <c r="A238" t="s">
        <v>920</v>
      </c>
      <c r="B238">
        <v>33</v>
      </c>
      <c r="C238" t="s">
        <v>31</v>
      </c>
      <c r="D238">
        <v>465</v>
      </c>
      <c r="E238" t="s">
        <v>38</v>
      </c>
      <c r="F238">
        <v>2</v>
      </c>
      <c r="G238">
        <v>2</v>
      </c>
      <c r="H238" t="s">
        <v>33</v>
      </c>
      <c r="I238">
        <v>1</v>
      </c>
      <c r="J238" t="s">
        <v>34</v>
      </c>
      <c r="K238">
        <v>39</v>
      </c>
      <c r="L238">
        <v>3</v>
      </c>
      <c r="M238">
        <v>1</v>
      </c>
      <c r="N238" t="s">
        <v>43</v>
      </c>
      <c r="O238">
        <v>1</v>
      </c>
      <c r="P238" t="s">
        <v>41</v>
      </c>
      <c r="Q238">
        <v>2707</v>
      </c>
      <c r="R238">
        <v>21509</v>
      </c>
      <c r="S238">
        <v>7</v>
      </c>
      <c r="T238">
        <v>0</v>
      </c>
      <c r="U238" s="17">
        <v>0.2</v>
      </c>
      <c r="V238">
        <v>4</v>
      </c>
      <c r="W238">
        <v>1</v>
      </c>
      <c r="X238">
        <v>0</v>
      </c>
      <c r="Y238">
        <v>13</v>
      </c>
      <c r="Z238">
        <v>3</v>
      </c>
      <c r="AA238">
        <v>4</v>
      </c>
      <c r="AB238">
        <v>9</v>
      </c>
      <c r="AC238">
        <v>7</v>
      </c>
      <c r="AD238">
        <v>1</v>
      </c>
      <c r="AE238">
        <v>7</v>
      </c>
      <c r="AF238">
        <v>1</v>
      </c>
      <c r="AG238">
        <f>IF(tbl_HR_Data[[#This Row],[Gender]]="Male",1,0)</f>
        <v>0</v>
      </c>
      <c r="AH238" cm="1">
        <f t="array" ref="AH238">_xlfn.SWITCH(tbl_HR_Data[[#This Row],[BusinessTravel]], "Non-Travel", 0, "Travel_Rarely", 1, "Travel_Frequently", 2)</f>
        <v>1</v>
      </c>
      <c r="AI238" cm="1">
        <f t="array" ref="AI238">_xlfn.SWITCH(tbl_HR_Data[[#This Row],[MaritalStatus]],"Single",0,"Married",1,"Divorced",2)</f>
        <v>1</v>
      </c>
      <c r="AJ238">
        <f>IF(tbl_HR_Data[[#This Row],[OverTime]]=1,1,0)</f>
        <v>0</v>
      </c>
      <c r="AK238">
        <f>IF(tbl_HR_Data[[#This Row],[DistanceFromHome]]&gt;15,1,0)</f>
        <v>0</v>
      </c>
      <c r="AL238">
        <f>IF(tbl_HR_Data[[#This Row],[JobSatisfaction]]&lt;=2,1,0)</f>
        <v>1</v>
      </c>
      <c r="AM238">
        <f>IF(tbl_HR_Data[[#This Row],[MonthlyIncome]]&lt;$AT$2,1,0)</f>
        <v>1</v>
      </c>
      <c r="AN238">
        <f>IF(tbl_HR_Data[[#This Row],[Travel_Code]]=2,1,0)</f>
        <v>0</v>
      </c>
      <c r="AO238">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238" s="15">
        <f>tbl_HR_Data[[#This Row],[Risk_Score_Raw]] / SUM(Logic_Parameters!$B$2:$B$6)</f>
        <v>0.3686061316669938</v>
      </c>
      <c r="AQ238" s="16" t="str" cm="1">
        <f t="array" ref="AQ238">_xlfn.IFS(tbl_HR_Data[[#This Row],[Attrition_Risk_Percentage]] &gt;= 0.75, "Critical",tbl_HR_Data[ [#This Row],[Attrition_Risk_Percentage] ]&gt;= 0.5, "High",tbl_HR_Data[[#This Row],[Attrition_Risk_Percentage]] &gt;= 0.25, "Medium",TRUE, "Low")</f>
        <v>Medium</v>
      </c>
      <c r="AR238" s="16" cm="1">
        <f t="array" ref="AR238">IFERROR(_xlfn.IFS(tbl_HR_Data[[#This Row],[Risk_Category]]="Critical",tbl_HR_Data[[#This Row],[MonthlyIncome]]*1.5,tbl_HR_Data[[#This Row],[Risk_Category]]="High",tbl_HR_Data[[#This Row],[MonthlyIncome]]*1.5),0)</f>
        <v>0</v>
      </c>
    </row>
    <row r="239" spans="1:44" x14ac:dyDescent="0.35">
      <c r="A239" t="s">
        <v>613</v>
      </c>
      <c r="B239">
        <v>52</v>
      </c>
      <c r="C239" t="s">
        <v>1525</v>
      </c>
      <c r="D239">
        <v>771</v>
      </c>
      <c r="E239" t="s">
        <v>32</v>
      </c>
      <c r="F239">
        <v>2</v>
      </c>
      <c r="G239">
        <v>4</v>
      </c>
      <c r="H239" t="s">
        <v>33</v>
      </c>
      <c r="I239">
        <v>1</v>
      </c>
      <c r="J239" t="s">
        <v>39</v>
      </c>
      <c r="K239">
        <v>79</v>
      </c>
      <c r="L239">
        <v>2</v>
      </c>
      <c r="M239">
        <v>5</v>
      </c>
      <c r="N239" t="s">
        <v>48</v>
      </c>
      <c r="O239">
        <v>3</v>
      </c>
      <c r="P239" t="s">
        <v>36</v>
      </c>
      <c r="Q239">
        <v>19068</v>
      </c>
      <c r="R239">
        <v>21030</v>
      </c>
      <c r="S239">
        <v>1</v>
      </c>
      <c r="T239">
        <v>1</v>
      </c>
      <c r="U239" s="17">
        <v>0.18</v>
      </c>
      <c r="V239">
        <v>3</v>
      </c>
      <c r="W239">
        <v>4</v>
      </c>
      <c r="X239">
        <v>0</v>
      </c>
      <c r="Y239">
        <v>33</v>
      </c>
      <c r="Z239">
        <v>2</v>
      </c>
      <c r="AA239">
        <v>4</v>
      </c>
      <c r="AB239">
        <v>33</v>
      </c>
      <c r="AC239">
        <v>7</v>
      </c>
      <c r="AD239">
        <v>15</v>
      </c>
      <c r="AE239">
        <v>12</v>
      </c>
      <c r="AF239">
        <v>0</v>
      </c>
      <c r="AG239">
        <f>IF(tbl_HR_Data[[#This Row],[Gender]]="Male",1,0)</f>
        <v>1</v>
      </c>
      <c r="AH239" cm="1">
        <f t="array" ref="AH239">_xlfn.SWITCH(tbl_HR_Data[[#This Row],[BusinessTravel]], "Non-Travel", 0, "Travel_Rarely", 1, "Travel_Frequently", 2)</f>
        <v>0</v>
      </c>
      <c r="AI239" cm="1">
        <f t="array" ref="AI239">_xlfn.SWITCH(tbl_HR_Data[[#This Row],[MaritalStatus]],"Single",0,"Married",1,"Divorced",2)</f>
        <v>0</v>
      </c>
      <c r="AJ239">
        <f>IF(tbl_HR_Data[[#This Row],[OverTime]]=1,1,0)</f>
        <v>1</v>
      </c>
      <c r="AK239">
        <f>IF(tbl_HR_Data[[#This Row],[DistanceFromHome]]&gt;15,1,0)</f>
        <v>0</v>
      </c>
      <c r="AL239">
        <f>IF(tbl_HR_Data[[#This Row],[JobSatisfaction]]&lt;=2,1,0)</f>
        <v>0</v>
      </c>
      <c r="AM239">
        <f>IF(tbl_HR_Data[[#This Row],[MonthlyIncome]]&lt;$AT$2,1,0)</f>
        <v>0</v>
      </c>
      <c r="AN239">
        <f>IF(tbl_HR_Data[[#This Row],[Travel_Code]]=2,1,0)</f>
        <v>0</v>
      </c>
      <c r="AO239">
        <f>(tbl_HR_Data[[#This Row],[Flag_OT]] * Logic_Parameters!$B$2) +
 (tbl_HR_Data[[#This Row],[Flag_Travel]] * Logic_Parameters!$B$3) +
 (tbl_HR_Data[[#This Row],[Flag_Satisfaction]] * Logic_Parameters!$B$4) +
 (tbl_HR_Data[[#This Row],[Flag_Distance]]* Logic_Parameters!$B$5) +
 (tbl_HR_Data[[#This Row],[Flag_Income]] * Logic_Parameters!$B$6)</f>
        <v>10</v>
      </c>
      <c r="AP239" s="15">
        <f>tbl_HR_Data[[#This Row],[Risk_Score_Raw]] / SUM(Logic_Parameters!$B$2:$B$6)</f>
        <v>0.3445251318258073</v>
      </c>
      <c r="AQ239" s="16" t="str" cm="1">
        <f t="array" ref="AQ239">_xlfn.IFS(tbl_HR_Data[[#This Row],[Attrition_Risk_Percentage]] &gt;= 0.75, "Critical",tbl_HR_Data[ [#This Row],[Attrition_Risk_Percentage] ]&gt;= 0.5, "High",tbl_HR_Data[[#This Row],[Attrition_Risk_Percentage]] &gt;= 0.25, "Medium",TRUE, "Low")</f>
        <v>Medium</v>
      </c>
      <c r="AR239" s="16" cm="1">
        <f t="array" ref="AR239">IFERROR(_xlfn.IFS(tbl_HR_Data[[#This Row],[Risk_Category]]="Critical",tbl_HR_Data[[#This Row],[MonthlyIncome]]*1.5,tbl_HR_Data[[#This Row],[Risk_Category]]="High",tbl_HR_Data[[#This Row],[MonthlyIncome]]*1.5),0)</f>
        <v>0</v>
      </c>
    </row>
    <row r="240" spans="1:44" x14ac:dyDescent="0.35">
      <c r="A240" t="s">
        <v>786</v>
      </c>
      <c r="B240">
        <v>32</v>
      </c>
      <c r="C240" t="s">
        <v>31</v>
      </c>
      <c r="D240">
        <v>1401</v>
      </c>
      <c r="E240" t="s">
        <v>32</v>
      </c>
      <c r="F240">
        <v>4</v>
      </c>
      <c r="G240">
        <v>2</v>
      </c>
      <c r="H240" t="s">
        <v>33</v>
      </c>
      <c r="I240">
        <v>3</v>
      </c>
      <c r="J240" t="s">
        <v>34</v>
      </c>
      <c r="K240">
        <v>56</v>
      </c>
      <c r="L240">
        <v>3</v>
      </c>
      <c r="M240">
        <v>1</v>
      </c>
      <c r="N240" t="s">
        <v>49</v>
      </c>
      <c r="O240">
        <v>2</v>
      </c>
      <c r="P240" t="s">
        <v>41</v>
      </c>
      <c r="Q240">
        <v>3931</v>
      </c>
      <c r="R240">
        <v>20990</v>
      </c>
      <c r="S240">
        <v>2</v>
      </c>
      <c r="T240">
        <v>0</v>
      </c>
      <c r="U240" s="17">
        <v>0.11</v>
      </c>
      <c r="V240">
        <v>3</v>
      </c>
      <c r="W240">
        <v>1</v>
      </c>
      <c r="X240">
        <v>1</v>
      </c>
      <c r="Y240">
        <v>6</v>
      </c>
      <c r="Z240">
        <v>5</v>
      </c>
      <c r="AA240">
        <v>3</v>
      </c>
      <c r="AB240">
        <v>4</v>
      </c>
      <c r="AC240">
        <v>3</v>
      </c>
      <c r="AD240">
        <v>1</v>
      </c>
      <c r="AE240">
        <v>2</v>
      </c>
      <c r="AF240">
        <v>0</v>
      </c>
      <c r="AG240">
        <f>IF(tbl_HR_Data[[#This Row],[Gender]]="Male",1,0)</f>
        <v>0</v>
      </c>
      <c r="AH240" cm="1">
        <f t="array" ref="AH240">_xlfn.SWITCH(tbl_HR_Data[[#This Row],[BusinessTravel]], "Non-Travel", 0, "Travel_Rarely", 1, "Travel_Frequently", 2)</f>
        <v>1</v>
      </c>
      <c r="AI240" cm="1">
        <f t="array" ref="AI240">_xlfn.SWITCH(tbl_HR_Data[[#This Row],[MaritalStatus]],"Single",0,"Married",1,"Divorced",2)</f>
        <v>1</v>
      </c>
      <c r="AJ240">
        <f>IF(tbl_HR_Data[[#This Row],[OverTime]]=1,1,0)</f>
        <v>0</v>
      </c>
      <c r="AK240">
        <f>IF(tbl_HR_Data[[#This Row],[DistanceFromHome]]&gt;15,1,0)</f>
        <v>0</v>
      </c>
      <c r="AL240">
        <f>IF(tbl_HR_Data[[#This Row],[JobSatisfaction]]&lt;=2,1,0)</f>
        <v>1</v>
      </c>
      <c r="AM240">
        <f>IF(tbl_HR_Data[[#This Row],[MonthlyIncome]]&lt;$AT$2,1,0)</f>
        <v>1</v>
      </c>
      <c r="AN240">
        <f>IF(tbl_HR_Data[[#This Row],[Travel_Code]]=2,1,0)</f>
        <v>0</v>
      </c>
      <c r="AO240">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240" s="15">
        <f>tbl_HR_Data[[#This Row],[Risk_Score_Raw]] / SUM(Logic_Parameters!$B$2:$B$6)</f>
        <v>0.3686061316669938</v>
      </c>
      <c r="AQ240" s="16" t="str" cm="1">
        <f t="array" ref="AQ240">_xlfn.IFS(tbl_HR_Data[[#This Row],[Attrition_Risk_Percentage]] &gt;= 0.75, "Critical",tbl_HR_Data[ [#This Row],[Attrition_Risk_Percentage] ]&gt;= 0.5, "High",tbl_HR_Data[[#This Row],[Attrition_Risk_Percentage]] &gt;= 0.25, "Medium",TRUE, "Low")</f>
        <v>Medium</v>
      </c>
      <c r="AR240" s="16" cm="1">
        <f t="array" ref="AR240">IFERROR(_xlfn.IFS(tbl_HR_Data[[#This Row],[Risk_Category]]="Critical",tbl_HR_Data[[#This Row],[MonthlyIncome]]*1.5,tbl_HR_Data[[#This Row],[Risk_Category]]="High",tbl_HR_Data[[#This Row],[MonthlyIncome]]*1.5),0)</f>
        <v>0</v>
      </c>
    </row>
    <row r="241" spans="1:44" x14ac:dyDescent="0.35">
      <c r="A241" t="s">
        <v>646</v>
      </c>
      <c r="B241">
        <v>32</v>
      </c>
      <c r="C241" t="s">
        <v>31</v>
      </c>
      <c r="D241">
        <v>515</v>
      </c>
      <c r="E241" t="s">
        <v>38</v>
      </c>
      <c r="F241">
        <v>1</v>
      </c>
      <c r="G241">
        <v>3</v>
      </c>
      <c r="H241" t="s">
        <v>33</v>
      </c>
      <c r="I241">
        <v>4</v>
      </c>
      <c r="J241" t="s">
        <v>39</v>
      </c>
      <c r="K241">
        <v>62</v>
      </c>
      <c r="L241">
        <v>2</v>
      </c>
      <c r="M241">
        <v>1</v>
      </c>
      <c r="N241" t="s">
        <v>43</v>
      </c>
      <c r="O241">
        <v>3</v>
      </c>
      <c r="P241" t="s">
        <v>36</v>
      </c>
      <c r="Q241">
        <v>3730</v>
      </c>
      <c r="R241">
        <v>9571</v>
      </c>
      <c r="S241">
        <v>0</v>
      </c>
      <c r="T241">
        <v>1</v>
      </c>
      <c r="U241" s="17">
        <v>0.14000000000000001</v>
      </c>
      <c r="V241">
        <v>3</v>
      </c>
      <c r="W241">
        <v>4</v>
      </c>
      <c r="X241">
        <v>0</v>
      </c>
      <c r="Y241">
        <v>4</v>
      </c>
      <c r="Z241">
        <v>2</v>
      </c>
      <c r="AA241">
        <v>1</v>
      </c>
      <c r="AB241">
        <v>3</v>
      </c>
      <c r="AC241">
        <v>2</v>
      </c>
      <c r="AD241">
        <v>1</v>
      </c>
      <c r="AE241">
        <v>2</v>
      </c>
      <c r="AF241">
        <v>1</v>
      </c>
      <c r="AG241">
        <f>IF(tbl_HR_Data[[#This Row],[Gender]]="Male",1,0)</f>
        <v>1</v>
      </c>
      <c r="AH241" cm="1">
        <f t="array" ref="AH241">_xlfn.SWITCH(tbl_HR_Data[[#This Row],[BusinessTravel]], "Non-Travel", 0, "Travel_Rarely", 1, "Travel_Frequently", 2)</f>
        <v>1</v>
      </c>
      <c r="AI241" cm="1">
        <f t="array" ref="AI241">_xlfn.SWITCH(tbl_HR_Data[[#This Row],[MaritalStatus]],"Single",0,"Married",1,"Divorced",2)</f>
        <v>0</v>
      </c>
      <c r="AJ241">
        <f>IF(tbl_HR_Data[[#This Row],[OverTime]]=1,1,0)</f>
        <v>1</v>
      </c>
      <c r="AK241">
        <f>IF(tbl_HR_Data[[#This Row],[DistanceFromHome]]&gt;15,1,0)</f>
        <v>0</v>
      </c>
      <c r="AL241">
        <f>IF(tbl_HR_Data[[#This Row],[JobSatisfaction]]&lt;=2,1,0)</f>
        <v>0</v>
      </c>
      <c r="AM241">
        <f>IF(tbl_HR_Data[[#This Row],[MonthlyIncome]]&lt;$AT$2,1,0)</f>
        <v>1</v>
      </c>
      <c r="AN241">
        <f>IF(tbl_HR_Data[[#This Row],[Travel_Code]]=2,1,0)</f>
        <v>0</v>
      </c>
      <c r="AO241">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241" s="15">
        <f>tbl_HR_Data[[#This Row],[Risk_Score_Raw]] / SUM(Logic_Parameters!$B$2:$B$6)</f>
        <v>0.56827453040563214</v>
      </c>
      <c r="AQ241" s="16" t="str" cm="1">
        <f t="array" ref="AQ241">_xlfn.IFS(tbl_HR_Data[[#This Row],[Attrition_Risk_Percentage]] &gt;= 0.75, "Critical",tbl_HR_Data[ [#This Row],[Attrition_Risk_Percentage] ]&gt;= 0.5, "High",tbl_HR_Data[[#This Row],[Attrition_Risk_Percentage]] &gt;= 0.25, "Medium",TRUE, "Low")</f>
        <v>High</v>
      </c>
      <c r="AR241" s="16" cm="1">
        <f t="array" ref="AR241">IFERROR(_xlfn.IFS(tbl_HR_Data[[#This Row],[Risk_Category]]="Critical",tbl_HR_Data[[#This Row],[MonthlyIncome]]*1.5,tbl_HR_Data[[#This Row],[Risk_Category]]="High",tbl_HR_Data[[#This Row],[MonthlyIncome]]*1.5),0)</f>
        <v>5595</v>
      </c>
    </row>
    <row r="242" spans="1:44" x14ac:dyDescent="0.35">
      <c r="A242" t="s">
        <v>709</v>
      </c>
      <c r="B242">
        <v>39</v>
      </c>
      <c r="C242" t="s">
        <v>31</v>
      </c>
      <c r="D242">
        <v>1431</v>
      </c>
      <c r="E242" t="s">
        <v>38</v>
      </c>
      <c r="F242">
        <v>1</v>
      </c>
      <c r="G242">
        <v>4</v>
      </c>
      <c r="H242" t="s">
        <v>44</v>
      </c>
      <c r="I242">
        <v>3</v>
      </c>
      <c r="J242" t="s">
        <v>34</v>
      </c>
      <c r="K242">
        <v>96</v>
      </c>
      <c r="L242">
        <v>3</v>
      </c>
      <c r="M242">
        <v>1</v>
      </c>
      <c r="N242" t="s">
        <v>43</v>
      </c>
      <c r="O242">
        <v>3</v>
      </c>
      <c r="P242" t="s">
        <v>45</v>
      </c>
      <c r="Q242">
        <v>2232</v>
      </c>
      <c r="R242">
        <v>15417</v>
      </c>
      <c r="S242">
        <v>7</v>
      </c>
      <c r="T242">
        <v>0</v>
      </c>
      <c r="U242" s="17">
        <v>0.14000000000000001</v>
      </c>
      <c r="V242">
        <v>3</v>
      </c>
      <c r="W242">
        <v>3</v>
      </c>
      <c r="X242">
        <v>3</v>
      </c>
      <c r="Y242">
        <v>7</v>
      </c>
      <c r="Z242">
        <v>1</v>
      </c>
      <c r="AA242">
        <v>3</v>
      </c>
      <c r="AB242">
        <v>3</v>
      </c>
      <c r="AC242">
        <v>2</v>
      </c>
      <c r="AD242">
        <v>1</v>
      </c>
      <c r="AE242">
        <v>2</v>
      </c>
      <c r="AF242">
        <v>0</v>
      </c>
      <c r="AG242">
        <f>IF(tbl_HR_Data[[#This Row],[Gender]]="Male",1,0)</f>
        <v>0</v>
      </c>
      <c r="AH242" cm="1">
        <f t="array" ref="AH242">_xlfn.SWITCH(tbl_HR_Data[[#This Row],[BusinessTravel]], "Non-Travel", 0, "Travel_Rarely", 1, "Travel_Frequently", 2)</f>
        <v>1</v>
      </c>
      <c r="AI242" cm="1">
        <f t="array" ref="AI242">_xlfn.SWITCH(tbl_HR_Data[[#This Row],[MaritalStatus]],"Single",0,"Married",1,"Divorced",2)</f>
        <v>2</v>
      </c>
      <c r="AJ242">
        <f>IF(tbl_HR_Data[[#This Row],[OverTime]]=1,1,0)</f>
        <v>0</v>
      </c>
      <c r="AK242">
        <f>IF(tbl_HR_Data[[#This Row],[DistanceFromHome]]&gt;15,1,0)</f>
        <v>0</v>
      </c>
      <c r="AL242">
        <f>IF(tbl_HR_Data[[#This Row],[JobSatisfaction]]&lt;=2,1,0)</f>
        <v>0</v>
      </c>
      <c r="AM242">
        <f>IF(tbl_HR_Data[[#This Row],[MonthlyIncome]]&lt;$AT$2,1,0)</f>
        <v>1</v>
      </c>
      <c r="AN242">
        <f>IF(tbl_HR_Data[[#This Row],[Travel_Code]]=2,1,0)</f>
        <v>0</v>
      </c>
      <c r="AO242">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242" s="15">
        <f>tbl_HR_Data[[#This Row],[Risk_Score_Raw]] / SUM(Logic_Parameters!$B$2:$B$6)</f>
        <v>0.22374939857982484</v>
      </c>
      <c r="AQ242" s="16" t="str" cm="1">
        <f t="array" ref="AQ242">_xlfn.IFS(tbl_HR_Data[[#This Row],[Attrition_Risk_Percentage]] &gt;= 0.75, "Critical",tbl_HR_Data[ [#This Row],[Attrition_Risk_Percentage] ]&gt;= 0.5, "High",tbl_HR_Data[[#This Row],[Attrition_Risk_Percentage]] &gt;= 0.25, "Medium",TRUE, "Low")</f>
        <v>Low</v>
      </c>
      <c r="AR242" s="16" cm="1">
        <f t="array" ref="AR242">IFERROR(_xlfn.IFS(tbl_HR_Data[[#This Row],[Risk_Category]]="Critical",tbl_HR_Data[[#This Row],[MonthlyIncome]]*1.5,tbl_HR_Data[[#This Row],[Risk_Category]]="High",tbl_HR_Data[[#This Row],[MonthlyIncome]]*1.5),0)</f>
        <v>0</v>
      </c>
    </row>
    <row r="243" spans="1:44" x14ac:dyDescent="0.35">
      <c r="A243" t="s">
        <v>802</v>
      </c>
      <c r="B243">
        <v>32</v>
      </c>
      <c r="C243" t="s">
        <v>1525</v>
      </c>
      <c r="D243">
        <v>976</v>
      </c>
      <c r="E243" t="s">
        <v>32</v>
      </c>
      <c r="F243">
        <v>26</v>
      </c>
      <c r="G243">
        <v>4</v>
      </c>
      <c r="H243" t="s">
        <v>51</v>
      </c>
      <c r="I243">
        <v>3</v>
      </c>
      <c r="J243" t="s">
        <v>39</v>
      </c>
      <c r="K243">
        <v>100</v>
      </c>
      <c r="L243">
        <v>3</v>
      </c>
      <c r="M243">
        <v>2</v>
      </c>
      <c r="N243" t="s">
        <v>35</v>
      </c>
      <c r="O243">
        <v>4</v>
      </c>
      <c r="P243" t="s">
        <v>41</v>
      </c>
      <c r="Q243">
        <v>4465</v>
      </c>
      <c r="R243">
        <v>12069</v>
      </c>
      <c r="S243">
        <v>0</v>
      </c>
      <c r="T243">
        <v>0</v>
      </c>
      <c r="U243" s="17">
        <v>0.18</v>
      </c>
      <c r="V243">
        <v>3</v>
      </c>
      <c r="W243">
        <v>1</v>
      </c>
      <c r="X243">
        <v>0</v>
      </c>
      <c r="Y243">
        <v>4</v>
      </c>
      <c r="Z243">
        <v>2</v>
      </c>
      <c r="AA243">
        <v>3</v>
      </c>
      <c r="AB243">
        <v>3</v>
      </c>
      <c r="AC243">
        <v>2</v>
      </c>
      <c r="AD243">
        <v>2</v>
      </c>
      <c r="AE243">
        <v>2</v>
      </c>
      <c r="AF243">
        <v>0</v>
      </c>
      <c r="AG243">
        <f>IF(tbl_HR_Data[[#This Row],[Gender]]="Male",1,0)</f>
        <v>1</v>
      </c>
      <c r="AH243" cm="1">
        <f t="array" ref="AH243">_xlfn.SWITCH(tbl_HR_Data[[#This Row],[BusinessTravel]], "Non-Travel", 0, "Travel_Rarely", 1, "Travel_Frequently", 2)</f>
        <v>0</v>
      </c>
      <c r="AI243" cm="1">
        <f t="array" ref="AI243">_xlfn.SWITCH(tbl_HR_Data[[#This Row],[MaritalStatus]],"Single",0,"Married",1,"Divorced",2)</f>
        <v>1</v>
      </c>
      <c r="AJ243">
        <f>IF(tbl_HR_Data[[#This Row],[OverTime]]=1,1,0)</f>
        <v>0</v>
      </c>
      <c r="AK243">
        <f>IF(tbl_HR_Data[[#This Row],[DistanceFromHome]]&gt;15,1,0)</f>
        <v>1</v>
      </c>
      <c r="AL243">
        <f>IF(tbl_HR_Data[[#This Row],[JobSatisfaction]]&lt;=2,1,0)</f>
        <v>0</v>
      </c>
      <c r="AM243">
        <f>IF(tbl_HR_Data[[#This Row],[MonthlyIncome]]&lt;$AT$2,1,0)</f>
        <v>1</v>
      </c>
      <c r="AN243">
        <f>IF(tbl_HR_Data[[#This Row],[Travel_Code]]=2,1,0)</f>
        <v>0</v>
      </c>
      <c r="AO243">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243" s="15">
        <f>tbl_HR_Data[[#This Row],[Risk_Score_Raw]] / SUM(Logic_Parameters!$B$2:$B$6)</f>
        <v>0.33282973125692844</v>
      </c>
      <c r="AQ243" s="16" t="str" cm="1">
        <f t="array" ref="AQ243">_xlfn.IFS(tbl_HR_Data[[#This Row],[Attrition_Risk_Percentage]] &gt;= 0.75, "Critical",tbl_HR_Data[ [#This Row],[Attrition_Risk_Percentage] ]&gt;= 0.5, "High",tbl_HR_Data[[#This Row],[Attrition_Risk_Percentage]] &gt;= 0.25, "Medium",TRUE, "Low")</f>
        <v>Medium</v>
      </c>
      <c r="AR243" s="16" cm="1">
        <f t="array" ref="AR243">IFERROR(_xlfn.IFS(tbl_HR_Data[[#This Row],[Risk_Category]]="Critical",tbl_HR_Data[[#This Row],[MonthlyIncome]]*1.5,tbl_HR_Data[[#This Row],[Risk_Category]]="High",tbl_HR_Data[[#This Row],[MonthlyIncome]]*1.5),0)</f>
        <v>0</v>
      </c>
    </row>
    <row r="244" spans="1:44" x14ac:dyDescent="0.35">
      <c r="A244" t="s">
        <v>177</v>
      </c>
      <c r="B244">
        <v>41</v>
      </c>
      <c r="C244" t="s">
        <v>31</v>
      </c>
      <c r="D244">
        <v>1411</v>
      </c>
      <c r="E244" t="s">
        <v>38</v>
      </c>
      <c r="F244">
        <v>19</v>
      </c>
      <c r="G244">
        <v>2</v>
      </c>
      <c r="H244" t="s">
        <v>33</v>
      </c>
      <c r="I244">
        <v>3</v>
      </c>
      <c r="J244" t="s">
        <v>39</v>
      </c>
      <c r="K244">
        <v>36</v>
      </c>
      <c r="L244">
        <v>3</v>
      </c>
      <c r="M244">
        <v>2</v>
      </c>
      <c r="N244" t="s">
        <v>40</v>
      </c>
      <c r="O244">
        <v>1</v>
      </c>
      <c r="P244" t="s">
        <v>45</v>
      </c>
      <c r="Q244">
        <v>3072</v>
      </c>
      <c r="R244">
        <v>19877</v>
      </c>
      <c r="S244">
        <v>2</v>
      </c>
      <c r="T244">
        <v>0</v>
      </c>
      <c r="U244" s="17">
        <v>0.16</v>
      </c>
      <c r="V244">
        <v>3</v>
      </c>
      <c r="W244">
        <v>1</v>
      </c>
      <c r="X244">
        <v>2</v>
      </c>
      <c r="Y244">
        <v>17</v>
      </c>
      <c r="Z244">
        <v>2</v>
      </c>
      <c r="AA244">
        <v>2</v>
      </c>
      <c r="AB244">
        <v>1</v>
      </c>
      <c r="AC244">
        <v>0</v>
      </c>
      <c r="AD244">
        <v>0</v>
      </c>
      <c r="AE244">
        <v>0</v>
      </c>
      <c r="AF244">
        <v>0</v>
      </c>
      <c r="AG244">
        <f>IF(tbl_HR_Data[[#This Row],[Gender]]="Male",1,0)</f>
        <v>1</v>
      </c>
      <c r="AH244" cm="1">
        <f t="array" ref="AH244">_xlfn.SWITCH(tbl_HR_Data[[#This Row],[BusinessTravel]], "Non-Travel", 0, "Travel_Rarely", 1, "Travel_Frequently", 2)</f>
        <v>1</v>
      </c>
      <c r="AI244" cm="1">
        <f t="array" ref="AI244">_xlfn.SWITCH(tbl_HR_Data[[#This Row],[MaritalStatus]],"Single",0,"Married",1,"Divorced",2)</f>
        <v>2</v>
      </c>
      <c r="AJ244">
        <f>IF(tbl_HR_Data[[#This Row],[OverTime]]=1,1,0)</f>
        <v>0</v>
      </c>
      <c r="AK244">
        <f>IF(tbl_HR_Data[[#This Row],[DistanceFromHome]]&gt;15,1,0)</f>
        <v>1</v>
      </c>
      <c r="AL244">
        <f>IF(tbl_HR_Data[[#This Row],[JobSatisfaction]]&lt;=2,1,0)</f>
        <v>1</v>
      </c>
      <c r="AM244">
        <f>IF(tbl_HR_Data[[#This Row],[MonthlyIncome]]&lt;$AT$2,1,0)</f>
        <v>1</v>
      </c>
      <c r="AN244">
        <f>IF(tbl_HR_Data[[#This Row],[Travel_Code]]=2,1,0)</f>
        <v>0</v>
      </c>
      <c r="AO244">
        <f>(tbl_HR_Data[[#This Row],[Flag_OT]] * Logic_Parameters!$B$2) +
 (tbl_HR_Data[[#This Row],[Flag_Travel]] * Logic_Parameters!$B$3) +
 (tbl_HR_Data[[#This Row],[Flag_Satisfaction]] * Logic_Parameters!$B$4) +
 (tbl_HR_Data[[#This Row],[Flag_Distance]]* Logic_Parameters!$B$5) +
 (tbl_HR_Data[[#This Row],[Flag_Income]] * Logic_Parameters!$B$6)</f>
        <v>13.865068763274337</v>
      </c>
      <c r="AP244" s="15">
        <f>tbl_HR_Data[[#This Row],[Risk_Score_Raw]] / SUM(Logic_Parameters!$B$2:$B$6)</f>
        <v>0.47768646434409739</v>
      </c>
      <c r="AQ244" s="16" t="str" cm="1">
        <f t="array" ref="AQ244">_xlfn.IFS(tbl_HR_Data[[#This Row],[Attrition_Risk_Percentage]] &gt;= 0.75, "Critical",tbl_HR_Data[ [#This Row],[Attrition_Risk_Percentage] ]&gt;= 0.5, "High",tbl_HR_Data[[#This Row],[Attrition_Risk_Percentage]] &gt;= 0.25, "Medium",TRUE, "Low")</f>
        <v>Medium</v>
      </c>
      <c r="AR244" s="16" cm="1">
        <f t="array" ref="AR244">IFERROR(_xlfn.IFS(tbl_HR_Data[[#This Row],[Risk_Category]]="Critical",tbl_HR_Data[[#This Row],[MonthlyIncome]]*1.5,tbl_HR_Data[[#This Row],[Risk_Category]]="High",tbl_HR_Data[[#This Row],[MonthlyIncome]]*1.5),0)</f>
        <v>0</v>
      </c>
    </row>
    <row r="245" spans="1:44" x14ac:dyDescent="0.35">
      <c r="A245" t="s">
        <v>351</v>
      </c>
      <c r="B245">
        <v>40</v>
      </c>
      <c r="C245" t="s">
        <v>31</v>
      </c>
      <c r="D245">
        <v>1300</v>
      </c>
      <c r="E245" t="s">
        <v>38</v>
      </c>
      <c r="F245">
        <v>24</v>
      </c>
      <c r="G245">
        <v>2</v>
      </c>
      <c r="H245" t="s">
        <v>52</v>
      </c>
      <c r="I245">
        <v>1</v>
      </c>
      <c r="J245" t="s">
        <v>39</v>
      </c>
      <c r="K245">
        <v>62</v>
      </c>
      <c r="L245">
        <v>3</v>
      </c>
      <c r="M245">
        <v>2</v>
      </c>
      <c r="N245" t="s">
        <v>40</v>
      </c>
      <c r="O245">
        <v>4</v>
      </c>
      <c r="P245" t="s">
        <v>45</v>
      </c>
      <c r="Q245">
        <v>3319</v>
      </c>
      <c r="R245">
        <v>24447</v>
      </c>
      <c r="S245">
        <v>1</v>
      </c>
      <c r="T245">
        <v>0</v>
      </c>
      <c r="U245" s="17">
        <v>0.17</v>
      </c>
      <c r="V245">
        <v>3</v>
      </c>
      <c r="W245">
        <v>1</v>
      </c>
      <c r="X245">
        <v>2</v>
      </c>
      <c r="Y245">
        <v>9</v>
      </c>
      <c r="Z245">
        <v>3</v>
      </c>
      <c r="AA245">
        <v>3</v>
      </c>
      <c r="AB245">
        <v>9</v>
      </c>
      <c r="AC245">
        <v>8</v>
      </c>
      <c r="AD245">
        <v>4</v>
      </c>
      <c r="AE245">
        <v>7</v>
      </c>
      <c r="AF245">
        <v>0</v>
      </c>
      <c r="AG245">
        <f>IF(tbl_HR_Data[[#This Row],[Gender]]="Male",1,0)</f>
        <v>1</v>
      </c>
      <c r="AH245" cm="1">
        <f t="array" ref="AH245">_xlfn.SWITCH(tbl_HR_Data[[#This Row],[BusinessTravel]], "Non-Travel", 0, "Travel_Rarely", 1, "Travel_Frequently", 2)</f>
        <v>1</v>
      </c>
      <c r="AI245" cm="1">
        <f t="array" ref="AI245">_xlfn.SWITCH(tbl_HR_Data[[#This Row],[MaritalStatus]],"Single",0,"Married",1,"Divorced",2)</f>
        <v>2</v>
      </c>
      <c r="AJ245">
        <f>IF(tbl_HR_Data[[#This Row],[OverTime]]=1,1,0)</f>
        <v>0</v>
      </c>
      <c r="AK245">
        <f>IF(tbl_HR_Data[[#This Row],[DistanceFromHome]]&gt;15,1,0)</f>
        <v>1</v>
      </c>
      <c r="AL245">
        <f>IF(tbl_HR_Data[[#This Row],[JobSatisfaction]]&lt;=2,1,0)</f>
        <v>0</v>
      </c>
      <c r="AM245">
        <f>IF(tbl_HR_Data[[#This Row],[MonthlyIncome]]&lt;$AT$2,1,0)</f>
        <v>1</v>
      </c>
      <c r="AN245">
        <f>IF(tbl_HR_Data[[#This Row],[Travel_Code]]=2,1,0)</f>
        <v>0</v>
      </c>
      <c r="AO245">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245" s="15">
        <f>tbl_HR_Data[[#This Row],[Risk_Score_Raw]] / SUM(Logic_Parameters!$B$2:$B$6)</f>
        <v>0.33282973125692844</v>
      </c>
      <c r="AQ245" s="16" t="str" cm="1">
        <f t="array" ref="AQ245">_xlfn.IFS(tbl_HR_Data[[#This Row],[Attrition_Risk_Percentage]] &gt;= 0.75, "Critical",tbl_HR_Data[ [#This Row],[Attrition_Risk_Percentage] ]&gt;= 0.5, "High",tbl_HR_Data[[#This Row],[Attrition_Risk_Percentage]] &gt;= 0.25, "Medium",TRUE, "Low")</f>
        <v>Medium</v>
      </c>
      <c r="AR245" s="16" cm="1">
        <f t="array" ref="AR245">IFERROR(_xlfn.IFS(tbl_HR_Data[[#This Row],[Risk_Category]]="Critical",tbl_HR_Data[[#This Row],[MonthlyIncome]]*1.5,tbl_HR_Data[[#This Row],[Risk_Category]]="High",tbl_HR_Data[[#This Row],[MonthlyIncome]]*1.5),0)</f>
        <v>0</v>
      </c>
    </row>
    <row r="246" spans="1:44" x14ac:dyDescent="0.35">
      <c r="A246" t="s">
        <v>1132</v>
      </c>
      <c r="B246">
        <v>45</v>
      </c>
      <c r="C246" t="s">
        <v>31</v>
      </c>
      <c r="D246">
        <v>252</v>
      </c>
      <c r="E246" t="s">
        <v>38</v>
      </c>
      <c r="F246">
        <v>1</v>
      </c>
      <c r="G246">
        <v>3</v>
      </c>
      <c r="H246" t="s">
        <v>42</v>
      </c>
      <c r="I246">
        <v>3</v>
      </c>
      <c r="J246" t="s">
        <v>39</v>
      </c>
      <c r="K246">
        <v>70</v>
      </c>
      <c r="L246">
        <v>4</v>
      </c>
      <c r="M246">
        <v>5</v>
      </c>
      <c r="N246" t="s">
        <v>48</v>
      </c>
      <c r="O246">
        <v>4</v>
      </c>
      <c r="P246" t="s">
        <v>41</v>
      </c>
      <c r="Q246">
        <v>19202</v>
      </c>
      <c r="R246">
        <v>15970</v>
      </c>
      <c r="S246">
        <v>0</v>
      </c>
      <c r="T246">
        <v>0</v>
      </c>
      <c r="U246" s="17">
        <v>0.11</v>
      </c>
      <c r="V246">
        <v>3</v>
      </c>
      <c r="W246">
        <v>3</v>
      </c>
      <c r="X246">
        <v>1</v>
      </c>
      <c r="Y246">
        <v>25</v>
      </c>
      <c r="Z246">
        <v>2</v>
      </c>
      <c r="AA246">
        <v>3</v>
      </c>
      <c r="AB246">
        <v>24</v>
      </c>
      <c r="AC246">
        <v>0</v>
      </c>
      <c r="AD246">
        <v>1</v>
      </c>
      <c r="AE246">
        <v>7</v>
      </c>
      <c r="AF246">
        <v>0</v>
      </c>
      <c r="AG246">
        <f>IF(tbl_HR_Data[[#This Row],[Gender]]="Male",1,0)</f>
        <v>1</v>
      </c>
      <c r="AH246" cm="1">
        <f t="array" ref="AH246">_xlfn.SWITCH(tbl_HR_Data[[#This Row],[BusinessTravel]], "Non-Travel", 0, "Travel_Rarely", 1, "Travel_Frequently", 2)</f>
        <v>1</v>
      </c>
      <c r="AI246" cm="1">
        <f t="array" ref="AI246">_xlfn.SWITCH(tbl_HR_Data[[#This Row],[MaritalStatus]],"Single",0,"Married",1,"Divorced",2)</f>
        <v>1</v>
      </c>
      <c r="AJ246">
        <f>IF(tbl_HR_Data[[#This Row],[OverTime]]=1,1,0)</f>
        <v>0</v>
      </c>
      <c r="AK246">
        <f>IF(tbl_HR_Data[[#This Row],[DistanceFromHome]]&gt;15,1,0)</f>
        <v>0</v>
      </c>
      <c r="AL246">
        <f>IF(tbl_HR_Data[[#This Row],[JobSatisfaction]]&lt;=2,1,0)</f>
        <v>0</v>
      </c>
      <c r="AM246">
        <f>IF(tbl_HR_Data[[#This Row],[MonthlyIncome]]&lt;$AT$2,1,0)</f>
        <v>0</v>
      </c>
      <c r="AN246">
        <f>IF(tbl_HR_Data[[#This Row],[Travel_Code]]=2,1,0)</f>
        <v>0</v>
      </c>
      <c r="AO246">
        <f>(tbl_HR_Data[[#This Row],[Flag_OT]] * Logic_Parameters!$B$2) +
 (tbl_HR_Data[[#This Row],[Flag_Travel]] * Logic_Parameters!$B$3) +
 (tbl_HR_Data[[#This Row],[Flag_Satisfaction]] * Logic_Parameters!$B$4) +
 (tbl_HR_Data[[#This Row],[Flag_Distance]]* Logic_Parameters!$B$5) +
 (tbl_HR_Data[[#This Row],[Flag_Income]] * Logic_Parameters!$B$6)</f>
        <v>0</v>
      </c>
      <c r="AP246" s="15">
        <f>tbl_HR_Data[[#This Row],[Risk_Score_Raw]] / SUM(Logic_Parameters!$B$2:$B$6)</f>
        <v>0</v>
      </c>
      <c r="AQ246" s="16" t="str" cm="1">
        <f t="array" ref="AQ246">_xlfn.IFS(tbl_HR_Data[[#This Row],[Attrition_Risk_Percentage]] &gt;= 0.75, "Critical",tbl_HR_Data[ [#This Row],[Attrition_Risk_Percentage] ]&gt;= 0.5, "High",tbl_HR_Data[[#This Row],[Attrition_Risk_Percentage]] &gt;= 0.25, "Medium",TRUE, "Low")</f>
        <v>Low</v>
      </c>
      <c r="AR246" s="16" cm="1">
        <f t="array" ref="AR246">IFERROR(_xlfn.IFS(tbl_HR_Data[[#This Row],[Risk_Category]]="Critical",tbl_HR_Data[[#This Row],[MonthlyIncome]]*1.5,tbl_HR_Data[[#This Row],[Risk_Category]]="High",tbl_HR_Data[[#This Row],[MonthlyIncome]]*1.5),0)</f>
        <v>0</v>
      </c>
    </row>
    <row r="247" spans="1:44" x14ac:dyDescent="0.35">
      <c r="A247" t="s">
        <v>511</v>
      </c>
      <c r="B247">
        <v>31</v>
      </c>
      <c r="C247" t="s">
        <v>37</v>
      </c>
      <c r="D247">
        <v>1327</v>
      </c>
      <c r="E247" t="s">
        <v>38</v>
      </c>
      <c r="F247">
        <v>3</v>
      </c>
      <c r="G247">
        <v>4</v>
      </c>
      <c r="H247" t="s">
        <v>44</v>
      </c>
      <c r="I247">
        <v>2</v>
      </c>
      <c r="J247" t="s">
        <v>39</v>
      </c>
      <c r="K247">
        <v>73</v>
      </c>
      <c r="L247">
        <v>3</v>
      </c>
      <c r="M247">
        <v>3</v>
      </c>
      <c r="N247" t="s">
        <v>50</v>
      </c>
      <c r="O247">
        <v>3</v>
      </c>
      <c r="P247" t="s">
        <v>45</v>
      </c>
      <c r="Q247">
        <v>13675</v>
      </c>
      <c r="R247">
        <v>13523</v>
      </c>
      <c r="S247">
        <v>9</v>
      </c>
      <c r="T247">
        <v>0</v>
      </c>
      <c r="U247" s="17">
        <v>0.12</v>
      </c>
      <c r="V247">
        <v>3</v>
      </c>
      <c r="W247">
        <v>1</v>
      </c>
      <c r="X247">
        <v>1</v>
      </c>
      <c r="Y247">
        <v>9</v>
      </c>
      <c r="Z247">
        <v>3</v>
      </c>
      <c r="AA247">
        <v>3</v>
      </c>
      <c r="AB247">
        <v>2</v>
      </c>
      <c r="AC247">
        <v>2</v>
      </c>
      <c r="AD247">
        <v>2</v>
      </c>
      <c r="AE247">
        <v>2</v>
      </c>
      <c r="AF247">
        <v>0</v>
      </c>
      <c r="AG247">
        <f>IF(tbl_HR_Data[[#This Row],[Gender]]="Male",1,0)</f>
        <v>1</v>
      </c>
      <c r="AH247" cm="1">
        <f t="array" ref="AH247">_xlfn.SWITCH(tbl_HR_Data[[#This Row],[BusinessTravel]], "Non-Travel", 0, "Travel_Rarely", 1, "Travel_Frequently", 2)</f>
        <v>2</v>
      </c>
      <c r="AI247" cm="1">
        <f t="array" ref="AI247">_xlfn.SWITCH(tbl_HR_Data[[#This Row],[MaritalStatus]],"Single",0,"Married",1,"Divorced",2)</f>
        <v>2</v>
      </c>
      <c r="AJ247">
        <f>IF(tbl_HR_Data[[#This Row],[OverTime]]=1,1,0)</f>
        <v>0</v>
      </c>
      <c r="AK247">
        <f>IF(tbl_HR_Data[[#This Row],[DistanceFromHome]]&gt;15,1,0)</f>
        <v>0</v>
      </c>
      <c r="AL247">
        <f>IF(tbl_HR_Data[[#This Row],[JobSatisfaction]]&lt;=2,1,0)</f>
        <v>0</v>
      </c>
      <c r="AM247">
        <f>IF(tbl_HR_Data[[#This Row],[MonthlyIncome]]&lt;$AT$2,1,0)</f>
        <v>0</v>
      </c>
      <c r="AN247">
        <f>IF(tbl_HR_Data[[#This Row],[Travel_Code]]=2,1,0)</f>
        <v>1</v>
      </c>
      <c r="AO247">
        <f>(tbl_HR_Data[[#This Row],[Flag_OT]] * Logic_Parameters!$B$2) +
 (tbl_HR_Data[[#This Row],[Flag_Travel]] * Logic_Parameters!$B$3) +
 (tbl_HR_Data[[#This Row],[Flag_Satisfaction]] * Logic_Parameters!$B$4) +
 (tbl_HR_Data[[#This Row],[Flag_Distance]]* Logic_Parameters!$B$5) +
 (tbl_HR_Data[[#This Row],[Flag_Income]] * Logic_Parameters!$B$6)</f>
        <v>5.1603899804901765</v>
      </c>
      <c r="AP247" s="15">
        <f>tbl_HR_Data[[#This Row],[Risk_Score_Raw]] / SUM(Logic_Parameters!$B$2:$B$6)</f>
        <v>0.17778840383009531</v>
      </c>
      <c r="AQ247" s="16" t="str" cm="1">
        <f t="array" ref="AQ247">_xlfn.IFS(tbl_HR_Data[[#This Row],[Attrition_Risk_Percentage]] &gt;= 0.75, "Critical",tbl_HR_Data[ [#This Row],[Attrition_Risk_Percentage] ]&gt;= 0.5, "High",tbl_HR_Data[[#This Row],[Attrition_Risk_Percentage]] &gt;= 0.25, "Medium",TRUE, "Low")</f>
        <v>Low</v>
      </c>
      <c r="AR247" s="16" cm="1">
        <f t="array" ref="AR247">IFERROR(_xlfn.IFS(tbl_HR_Data[[#This Row],[Risk_Category]]="Critical",tbl_HR_Data[[#This Row],[MonthlyIncome]]*1.5,tbl_HR_Data[[#This Row],[Risk_Category]]="High",tbl_HR_Data[[#This Row],[MonthlyIncome]]*1.5),0)</f>
        <v>0</v>
      </c>
    </row>
    <row r="248" spans="1:44" x14ac:dyDescent="0.35">
      <c r="A248" t="s">
        <v>72</v>
      </c>
      <c r="B248">
        <v>33</v>
      </c>
      <c r="C248" t="s">
        <v>31</v>
      </c>
      <c r="D248">
        <v>832</v>
      </c>
      <c r="E248" t="s">
        <v>38</v>
      </c>
      <c r="F248">
        <v>5</v>
      </c>
      <c r="G248">
        <v>4</v>
      </c>
      <c r="H248" t="s">
        <v>33</v>
      </c>
      <c r="I248">
        <v>3</v>
      </c>
      <c r="J248" t="s">
        <v>34</v>
      </c>
      <c r="K248">
        <v>63</v>
      </c>
      <c r="L248">
        <v>2</v>
      </c>
      <c r="M248">
        <v>1</v>
      </c>
      <c r="N248" t="s">
        <v>40</v>
      </c>
      <c r="O248">
        <v>4</v>
      </c>
      <c r="P248" t="s">
        <v>41</v>
      </c>
      <c r="Q248">
        <v>2911</v>
      </c>
      <c r="R248">
        <v>14776</v>
      </c>
      <c r="S248">
        <v>1</v>
      </c>
      <c r="T248">
        <v>0</v>
      </c>
      <c r="U248" s="17">
        <v>0.13</v>
      </c>
      <c r="V248">
        <v>3</v>
      </c>
      <c r="W248">
        <v>3</v>
      </c>
      <c r="X248">
        <v>1</v>
      </c>
      <c r="Y248">
        <v>2</v>
      </c>
      <c r="Z248">
        <v>2</v>
      </c>
      <c r="AA248">
        <v>2</v>
      </c>
      <c r="AB248">
        <v>2</v>
      </c>
      <c r="AC248">
        <v>2</v>
      </c>
      <c r="AD248">
        <v>0</v>
      </c>
      <c r="AE248">
        <v>2</v>
      </c>
      <c r="AF248">
        <v>0</v>
      </c>
      <c r="AG248">
        <f>IF(tbl_HR_Data[[#This Row],[Gender]]="Male",1,0)</f>
        <v>0</v>
      </c>
      <c r="AH248" cm="1">
        <f t="array" ref="AH248">_xlfn.SWITCH(tbl_HR_Data[[#This Row],[BusinessTravel]], "Non-Travel", 0, "Travel_Rarely", 1, "Travel_Frequently", 2)</f>
        <v>1</v>
      </c>
      <c r="AI248" cm="1">
        <f t="array" ref="AI248">_xlfn.SWITCH(tbl_HR_Data[[#This Row],[MaritalStatus]],"Single",0,"Married",1,"Divorced",2)</f>
        <v>1</v>
      </c>
      <c r="AJ248">
        <f>IF(tbl_HR_Data[[#This Row],[OverTime]]=1,1,0)</f>
        <v>0</v>
      </c>
      <c r="AK248">
        <f>IF(tbl_HR_Data[[#This Row],[DistanceFromHome]]&gt;15,1,0)</f>
        <v>0</v>
      </c>
      <c r="AL248">
        <f>IF(tbl_HR_Data[[#This Row],[JobSatisfaction]]&lt;=2,1,0)</f>
        <v>0</v>
      </c>
      <c r="AM248">
        <f>IF(tbl_HR_Data[[#This Row],[MonthlyIncome]]&lt;$AT$2,1,0)</f>
        <v>1</v>
      </c>
      <c r="AN248">
        <f>IF(tbl_HR_Data[[#This Row],[Travel_Code]]=2,1,0)</f>
        <v>0</v>
      </c>
      <c r="AO248">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248" s="15">
        <f>tbl_HR_Data[[#This Row],[Risk_Score_Raw]] / SUM(Logic_Parameters!$B$2:$B$6)</f>
        <v>0.22374939857982484</v>
      </c>
      <c r="AQ248" s="16" t="str" cm="1">
        <f t="array" ref="AQ248">_xlfn.IFS(tbl_HR_Data[[#This Row],[Attrition_Risk_Percentage]] &gt;= 0.75, "Critical",tbl_HR_Data[ [#This Row],[Attrition_Risk_Percentage] ]&gt;= 0.5, "High",tbl_HR_Data[[#This Row],[Attrition_Risk_Percentage]] &gt;= 0.25, "Medium",TRUE, "Low")</f>
        <v>Low</v>
      </c>
      <c r="AR248" s="16" cm="1">
        <f t="array" ref="AR248">IFERROR(_xlfn.IFS(tbl_HR_Data[[#This Row],[Risk_Category]]="Critical",tbl_HR_Data[[#This Row],[MonthlyIncome]]*1.5,tbl_HR_Data[[#This Row],[Risk_Category]]="High",tbl_HR_Data[[#This Row],[MonthlyIncome]]*1.5),0)</f>
        <v>0</v>
      </c>
    </row>
    <row r="249" spans="1:44" x14ac:dyDescent="0.35">
      <c r="A249" t="s">
        <v>437</v>
      </c>
      <c r="B249">
        <v>34</v>
      </c>
      <c r="C249" t="s">
        <v>31</v>
      </c>
      <c r="D249">
        <v>470</v>
      </c>
      <c r="E249" t="s">
        <v>38</v>
      </c>
      <c r="F249">
        <v>2</v>
      </c>
      <c r="G249">
        <v>4</v>
      </c>
      <c r="H249" t="s">
        <v>33</v>
      </c>
      <c r="I249">
        <v>4</v>
      </c>
      <c r="J249" t="s">
        <v>39</v>
      </c>
      <c r="K249">
        <v>84</v>
      </c>
      <c r="L249">
        <v>2</v>
      </c>
      <c r="M249">
        <v>2</v>
      </c>
      <c r="N249" t="s">
        <v>46</v>
      </c>
      <c r="O249">
        <v>1</v>
      </c>
      <c r="P249" t="s">
        <v>41</v>
      </c>
      <c r="Q249">
        <v>5957</v>
      </c>
      <c r="R249">
        <v>23687</v>
      </c>
      <c r="S249">
        <v>6</v>
      </c>
      <c r="T249">
        <v>0</v>
      </c>
      <c r="U249" s="17">
        <v>0.13</v>
      </c>
      <c r="V249">
        <v>3</v>
      </c>
      <c r="W249">
        <v>2</v>
      </c>
      <c r="X249">
        <v>1</v>
      </c>
      <c r="Y249">
        <v>13</v>
      </c>
      <c r="Z249">
        <v>3</v>
      </c>
      <c r="AA249">
        <v>3</v>
      </c>
      <c r="AB249">
        <v>11</v>
      </c>
      <c r="AC249">
        <v>9</v>
      </c>
      <c r="AD249">
        <v>5</v>
      </c>
      <c r="AE249">
        <v>9</v>
      </c>
      <c r="AF249">
        <v>0</v>
      </c>
      <c r="AG249">
        <f>IF(tbl_HR_Data[[#This Row],[Gender]]="Male",1,0)</f>
        <v>1</v>
      </c>
      <c r="AH249" cm="1">
        <f t="array" ref="AH249">_xlfn.SWITCH(tbl_HR_Data[[#This Row],[BusinessTravel]], "Non-Travel", 0, "Travel_Rarely", 1, "Travel_Frequently", 2)</f>
        <v>1</v>
      </c>
      <c r="AI249" cm="1">
        <f t="array" ref="AI249">_xlfn.SWITCH(tbl_HR_Data[[#This Row],[MaritalStatus]],"Single",0,"Married",1,"Divorced",2)</f>
        <v>1</v>
      </c>
      <c r="AJ249">
        <f>IF(tbl_HR_Data[[#This Row],[OverTime]]=1,1,0)</f>
        <v>0</v>
      </c>
      <c r="AK249">
        <f>IF(tbl_HR_Data[[#This Row],[DistanceFromHome]]&gt;15,1,0)</f>
        <v>0</v>
      </c>
      <c r="AL249">
        <f>IF(tbl_HR_Data[[#This Row],[JobSatisfaction]]&lt;=2,1,0)</f>
        <v>1</v>
      </c>
      <c r="AM249">
        <f>IF(tbl_HR_Data[[#This Row],[MonthlyIncome]]&lt;$AT$2,1,0)</f>
        <v>0</v>
      </c>
      <c r="AN249">
        <f>IF(tbl_HR_Data[[#This Row],[Travel_Code]]=2,1,0)</f>
        <v>0</v>
      </c>
      <c r="AO249">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249" s="15">
        <f>tbl_HR_Data[[#This Row],[Risk_Score_Raw]] / SUM(Logic_Parameters!$B$2:$B$6)</f>
        <v>0.14485673308716898</v>
      </c>
      <c r="AQ249" s="16" t="str" cm="1">
        <f t="array" ref="AQ249">_xlfn.IFS(tbl_HR_Data[[#This Row],[Attrition_Risk_Percentage]] &gt;= 0.75, "Critical",tbl_HR_Data[ [#This Row],[Attrition_Risk_Percentage] ]&gt;= 0.5, "High",tbl_HR_Data[[#This Row],[Attrition_Risk_Percentage]] &gt;= 0.25, "Medium",TRUE, "Low")</f>
        <v>Low</v>
      </c>
      <c r="AR249" s="16" cm="1">
        <f t="array" ref="AR249">IFERROR(_xlfn.IFS(tbl_HR_Data[[#This Row],[Risk_Category]]="Critical",tbl_HR_Data[[#This Row],[MonthlyIncome]]*1.5,tbl_HR_Data[[#This Row],[Risk_Category]]="High",tbl_HR_Data[[#This Row],[MonthlyIncome]]*1.5),0)</f>
        <v>0</v>
      </c>
    </row>
    <row r="250" spans="1:44" x14ac:dyDescent="0.35">
      <c r="A250" t="s">
        <v>1017</v>
      </c>
      <c r="B250">
        <v>37</v>
      </c>
      <c r="C250" t="s">
        <v>31</v>
      </c>
      <c r="D250">
        <v>1017</v>
      </c>
      <c r="E250" t="s">
        <v>38</v>
      </c>
      <c r="F250">
        <v>1</v>
      </c>
      <c r="G250">
        <v>2</v>
      </c>
      <c r="H250" t="s">
        <v>44</v>
      </c>
      <c r="I250">
        <v>3</v>
      </c>
      <c r="J250" t="s">
        <v>34</v>
      </c>
      <c r="K250">
        <v>83</v>
      </c>
      <c r="L250">
        <v>2</v>
      </c>
      <c r="M250">
        <v>1</v>
      </c>
      <c r="N250" t="s">
        <v>40</v>
      </c>
      <c r="O250">
        <v>1</v>
      </c>
      <c r="P250" t="s">
        <v>41</v>
      </c>
      <c r="Q250">
        <v>3920</v>
      </c>
      <c r="R250">
        <v>18697</v>
      </c>
      <c r="S250">
        <v>2</v>
      </c>
      <c r="T250">
        <v>0</v>
      </c>
      <c r="U250" s="17">
        <v>0.14000000000000001</v>
      </c>
      <c r="V250">
        <v>3</v>
      </c>
      <c r="W250">
        <v>1</v>
      </c>
      <c r="X250">
        <v>1</v>
      </c>
      <c r="Y250">
        <v>17</v>
      </c>
      <c r="Z250">
        <v>2</v>
      </c>
      <c r="AA250">
        <v>2</v>
      </c>
      <c r="AB250">
        <v>3</v>
      </c>
      <c r="AC250">
        <v>1</v>
      </c>
      <c r="AD250">
        <v>0</v>
      </c>
      <c r="AE250">
        <v>2</v>
      </c>
      <c r="AF250">
        <v>0</v>
      </c>
      <c r="AG250">
        <f>IF(tbl_HR_Data[[#This Row],[Gender]]="Male",1,0)</f>
        <v>0</v>
      </c>
      <c r="AH250" cm="1">
        <f t="array" ref="AH250">_xlfn.SWITCH(tbl_HR_Data[[#This Row],[BusinessTravel]], "Non-Travel", 0, "Travel_Rarely", 1, "Travel_Frequently", 2)</f>
        <v>1</v>
      </c>
      <c r="AI250" cm="1">
        <f t="array" ref="AI250">_xlfn.SWITCH(tbl_HR_Data[[#This Row],[MaritalStatus]],"Single",0,"Married",1,"Divorced",2)</f>
        <v>1</v>
      </c>
      <c r="AJ250">
        <f>IF(tbl_HR_Data[[#This Row],[OverTime]]=1,1,0)</f>
        <v>0</v>
      </c>
      <c r="AK250">
        <f>IF(tbl_HR_Data[[#This Row],[DistanceFromHome]]&gt;15,1,0)</f>
        <v>0</v>
      </c>
      <c r="AL250">
        <f>IF(tbl_HR_Data[[#This Row],[JobSatisfaction]]&lt;=2,1,0)</f>
        <v>1</v>
      </c>
      <c r="AM250">
        <f>IF(tbl_HR_Data[[#This Row],[MonthlyIncome]]&lt;$AT$2,1,0)</f>
        <v>1</v>
      </c>
      <c r="AN250">
        <f>IF(tbl_HR_Data[[#This Row],[Travel_Code]]=2,1,0)</f>
        <v>0</v>
      </c>
      <c r="AO250">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250" s="15">
        <f>tbl_HR_Data[[#This Row],[Risk_Score_Raw]] / SUM(Logic_Parameters!$B$2:$B$6)</f>
        <v>0.3686061316669938</v>
      </c>
      <c r="AQ250" s="16" t="str" cm="1">
        <f t="array" ref="AQ250">_xlfn.IFS(tbl_HR_Data[[#This Row],[Attrition_Risk_Percentage]] &gt;= 0.75, "Critical",tbl_HR_Data[ [#This Row],[Attrition_Risk_Percentage] ]&gt;= 0.5, "High",tbl_HR_Data[[#This Row],[Attrition_Risk_Percentage]] &gt;= 0.25, "Medium",TRUE, "Low")</f>
        <v>Medium</v>
      </c>
      <c r="AR250" s="16" cm="1">
        <f t="array" ref="AR250">IFERROR(_xlfn.IFS(tbl_HR_Data[[#This Row],[Risk_Category]]="Critical",tbl_HR_Data[[#This Row],[MonthlyIncome]]*1.5,tbl_HR_Data[[#This Row],[Risk_Category]]="High",tbl_HR_Data[[#This Row],[MonthlyIncome]]*1.5),0)</f>
        <v>0</v>
      </c>
    </row>
    <row r="251" spans="1:44" x14ac:dyDescent="0.35">
      <c r="A251" t="s">
        <v>845</v>
      </c>
      <c r="B251">
        <v>45</v>
      </c>
      <c r="C251" t="s">
        <v>37</v>
      </c>
      <c r="D251">
        <v>1199</v>
      </c>
      <c r="E251" t="s">
        <v>38</v>
      </c>
      <c r="F251">
        <v>7</v>
      </c>
      <c r="G251">
        <v>4</v>
      </c>
      <c r="H251" t="s">
        <v>33</v>
      </c>
      <c r="I251">
        <v>1</v>
      </c>
      <c r="J251" t="s">
        <v>39</v>
      </c>
      <c r="K251">
        <v>77</v>
      </c>
      <c r="L251">
        <v>4</v>
      </c>
      <c r="M251">
        <v>2</v>
      </c>
      <c r="N251" t="s">
        <v>46</v>
      </c>
      <c r="O251">
        <v>3</v>
      </c>
      <c r="P251" t="s">
        <v>41</v>
      </c>
      <c r="Q251">
        <v>6434</v>
      </c>
      <c r="R251">
        <v>5118</v>
      </c>
      <c r="S251">
        <v>4</v>
      </c>
      <c r="T251">
        <v>0</v>
      </c>
      <c r="U251" s="17">
        <v>0.17</v>
      </c>
      <c r="V251">
        <v>3</v>
      </c>
      <c r="W251">
        <v>4</v>
      </c>
      <c r="X251">
        <v>1</v>
      </c>
      <c r="Y251">
        <v>9</v>
      </c>
      <c r="Z251">
        <v>1</v>
      </c>
      <c r="AA251">
        <v>3</v>
      </c>
      <c r="AB251">
        <v>3</v>
      </c>
      <c r="AC251">
        <v>2</v>
      </c>
      <c r="AD251">
        <v>0</v>
      </c>
      <c r="AE251">
        <v>2</v>
      </c>
      <c r="AF251">
        <v>0</v>
      </c>
      <c r="AG251">
        <f>IF(tbl_HR_Data[[#This Row],[Gender]]="Male",1,0)</f>
        <v>1</v>
      </c>
      <c r="AH251" cm="1">
        <f t="array" ref="AH251">_xlfn.SWITCH(tbl_HR_Data[[#This Row],[BusinessTravel]], "Non-Travel", 0, "Travel_Rarely", 1, "Travel_Frequently", 2)</f>
        <v>2</v>
      </c>
      <c r="AI251" cm="1">
        <f t="array" ref="AI251">_xlfn.SWITCH(tbl_HR_Data[[#This Row],[MaritalStatus]],"Single",0,"Married",1,"Divorced",2)</f>
        <v>1</v>
      </c>
      <c r="AJ251">
        <f>IF(tbl_HR_Data[[#This Row],[OverTime]]=1,1,0)</f>
        <v>0</v>
      </c>
      <c r="AK251">
        <f>IF(tbl_HR_Data[[#This Row],[DistanceFromHome]]&gt;15,1,0)</f>
        <v>0</v>
      </c>
      <c r="AL251">
        <f>IF(tbl_HR_Data[[#This Row],[JobSatisfaction]]&lt;=2,1,0)</f>
        <v>0</v>
      </c>
      <c r="AM251">
        <f>IF(tbl_HR_Data[[#This Row],[MonthlyIncome]]&lt;$AT$2,1,0)</f>
        <v>0</v>
      </c>
      <c r="AN251">
        <f>IF(tbl_HR_Data[[#This Row],[Travel_Code]]=2,1,0)</f>
        <v>1</v>
      </c>
      <c r="AO251">
        <f>(tbl_HR_Data[[#This Row],[Flag_OT]] * Logic_Parameters!$B$2) +
 (tbl_HR_Data[[#This Row],[Flag_Travel]] * Logic_Parameters!$B$3) +
 (tbl_HR_Data[[#This Row],[Flag_Satisfaction]] * Logic_Parameters!$B$4) +
 (tbl_HR_Data[[#This Row],[Flag_Distance]]* Logic_Parameters!$B$5) +
 (tbl_HR_Data[[#This Row],[Flag_Income]] * Logic_Parameters!$B$6)</f>
        <v>5.1603899804901765</v>
      </c>
      <c r="AP251" s="15">
        <f>tbl_HR_Data[[#This Row],[Risk_Score_Raw]] / SUM(Logic_Parameters!$B$2:$B$6)</f>
        <v>0.17778840383009531</v>
      </c>
      <c r="AQ251" s="16" t="str" cm="1">
        <f t="array" ref="AQ251">_xlfn.IFS(tbl_HR_Data[[#This Row],[Attrition_Risk_Percentage]] &gt;= 0.75, "Critical",tbl_HR_Data[ [#This Row],[Attrition_Risk_Percentage] ]&gt;= 0.5, "High",tbl_HR_Data[[#This Row],[Attrition_Risk_Percentage]] &gt;= 0.25, "Medium",TRUE, "Low")</f>
        <v>Low</v>
      </c>
      <c r="AR251" s="16" cm="1">
        <f t="array" ref="AR251">IFERROR(_xlfn.IFS(tbl_HR_Data[[#This Row],[Risk_Category]]="Critical",tbl_HR_Data[[#This Row],[MonthlyIncome]]*1.5,tbl_HR_Data[[#This Row],[Risk_Category]]="High",tbl_HR_Data[[#This Row],[MonthlyIncome]]*1.5),0)</f>
        <v>0</v>
      </c>
    </row>
    <row r="252" spans="1:44" x14ac:dyDescent="0.35">
      <c r="A252" t="s">
        <v>1454</v>
      </c>
      <c r="B252">
        <v>37</v>
      </c>
      <c r="C252" t="s">
        <v>37</v>
      </c>
      <c r="D252">
        <v>504</v>
      </c>
      <c r="E252" t="s">
        <v>38</v>
      </c>
      <c r="F252">
        <v>10</v>
      </c>
      <c r="G252">
        <v>3</v>
      </c>
      <c r="H252" t="s">
        <v>44</v>
      </c>
      <c r="I252">
        <v>1</v>
      </c>
      <c r="J252" t="s">
        <v>39</v>
      </c>
      <c r="K252">
        <v>61</v>
      </c>
      <c r="L252">
        <v>3</v>
      </c>
      <c r="M252">
        <v>3</v>
      </c>
      <c r="N252" t="s">
        <v>46</v>
      </c>
      <c r="O252">
        <v>3</v>
      </c>
      <c r="P252" t="s">
        <v>45</v>
      </c>
      <c r="Q252">
        <v>10048</v>
      </c>
      <c r="R252">
        <v>22573</v>
      </c>
      <c r="S252">
        <v>6</v>
      </c>
      <c r="T252">
        <v>0</v>
      </c>
      <c r="U252" s="17">
        <v>0.11</v>
      </c>
      <c r="V252">
        <v>3</v>
      </c>
      <c r="W252">
        <v>2</v>
      </c>
      <c r="X252">
        <v>2</v>
      </c>
      <c r="Y252">
        <v>17</v>
      </c>
      <c r="Z252">
        <v>5</v>
      </c>
      <c r="AA252">
        <v>3</v>
      </c>
      <c r="AB252">
        <v>1</v>
      </c>
      <c r="AC252">
        <v>0</v>
      </c>
      <c r="AD252">
        <v>0</v>
      </c>
      <c r="AE252">
        <v>0</v>
      </c>
      <c r="AF252">
        <v>1</v>
      </c>
      <c r="AG252">
        <f>IF(tbl_HR_Data[[#This Row],[Gender]]="Male",1,0)</f>
        <v>1</v>
      </c>
      <c r="AH252" cm="1">
        <f t="array" ref="AH252">_xlfn.SWITCH(tbl_HR_Data[[#This Row],[BusinessTravel]], "Non-Travel", 0, "Travel_Rarely", 1, "Travel_Frequently", 2)</f>
        <v>2</v>
      </c>
      <c r="AI252" cm="1">
        <f t="array" ref="AI252">_xlfn.SWITCH(tbl_HR_Data[[#This Row],[MaritalStatus]],"Single",0,"Married",1,"Divorced",2)</f>
        <v>2</v>
      </c>
      <c r="AJ252">
        <f>IF(tbl_HR_Data[[#This Row],[OverTime]]=1,1,0)</f>
        <v>0</v>
      </c>
      <c r="AK252">
        <f>IF(tbl_HR_Data[[#This Row],[DistanceFromHome]]&gt;15,1,0)</f>
        <v>0</v>
      </c>
      <c r="AL252">
        <f>IF(tbl_HR_Data[[#This Row],[JobSatisfaction]]&lt;=2,1,0)</f>
        <v>0</v>
      </c>
      <c r="AM252">
        <f>IF(tbl_HR_Data[[#This Row],[MonthlyIncome]]&lt;$AT$2,1,0)</f>
        <v>0</v>
      </c>
      <c r="AN252">
        <f>IF(tbl_HR_Data[[#This Row],[Travel_Code]]=2,1,0)</f>
        <v>1</v>
      </c>
      <c r="AO252">
        <f>(tbl_HR_Data[[#This Row],[Flag_OT]] * Logic_Parameters!$B$2) +
 (tbl_HR_Data[[#This Row],[Flag_Travel]] * Logic_Parameters!$B$3) +
 (tbl_HR_Data[[#This Row],[Flag_Satisfaction]] * Logic_Parameters!$B$4) +
 (tbl_HR_Data[[#This Row],[Flag_Distance]]* Logic_Parameters!$B$5) +
 (tbl_HR_Data[[#This Row],[Flag_Income]] * Logic_Parameters!$B$6)</f>
        <v>5.1603899804901765</v>
      </c>
      <c r="AP252" s="15">
        <f>tbl_HR_Data[[#This Row],[Risk_Score_Raw]] / SUM(Logic_Parameters!$B$2:$B$6)</f>
        <v>0.17778840383009531</v>
      </c>
      <c r="AQ252" s="16" t="str" cm="1">
        <f t="array" ref="AQ252">_xlfn.IFS(tbl_HR_Data[[#This Row],[Attrition_Risk_Percentage]] &gt;= 0.75, "Critical",tbl_HR_Data[ [#This Row],[Attrition_Risk_Percentage] ]&gt;= 0.5, "High",tbl_HR_Data[[#This Row],[Attrition_Risk_Percentage]] &gt;= 0.25, "Medium",TRUE, "Low")</f>
        <v>Low</v>
      </c>
      <c r="AR252" s="16" cm="1">
        <f t="array" ref="AR252">IFERROR(_xlfn.IFS(tbl_HR_Data[[#This Row],[Risk_Category]]="Critical",tbl_HR_Data[[#This Row],[MonthlyIncome]]*1.5,tbl_HR_Data[[#This Row],[Risk_Category]]="High",tbl_HR_Data[[#This Row],[MonthlyIncome]]*1.5),0)</f>
        <v>0</v>
      </c>
    </row>
    <row r="253" spans="1:44" x14ac:dyDescent="0.35">
      <c r="A253" t="s">
        <v>262</v>
      </c>
      <c r="B253">
        <v>39</v>
      </c>
      <c r="C253" t="s">
        <v>37</v>
      </c>
      <c r="D253">
        <v>505</v>
      </c>
      <c r="E253" t="s">
        <v>38</v>
      </c>
      <c r="F253">
        <v>2</v>
      </c>
      <c r="G253">
        <v>4</v>
      </c>
      <c r="H253" t="s">
        <v>52</v>
      </c>
      <c r="I253">
        <v>3</v>
      </c>
      <c r="J253" t="s">
        <v>34</v>
      </c>
      <c r="K253">
        <v>64</v>
      </c>
      <c r="L253">
        <v>3</v>
      </c>
      <c r="M253">
        <v>3</v>
      </c>
      <c r="N253" t="s">
        <v>47</v>
      </c>
      <c r="O253">
        <v>3</v>
      </c>
      <c r="P253" t="s">
        <v>36</v>
      </c>
      <c r="Q253">
        <v>10938</v>
      </c>
      <c r="R253">
        <v>6420</v>
      </c>
      <c r="S253">
        <v>0</v>
      </c>
      <c r="T253">
        <v>0</v>
      </c>
      <c r="U253" s="17">
        <v>0.25</v>
      </c>
      <c r="V253">
        <v>4</v>
      </c>
      <c r="W253">
        <v>4</v>
      </c>
      <c r="X253">
        <v>0</v>
      </c>
      <c r="Y253">
        <v>20</v>
      </c>
      <c r="Z253">
        <v>1</v>
      </c>
      <c r="AA253">
        <v>3</v>
      </c>
      <c r="AB253">
        <v>19</v>
      </c>
      <c r="AC253">
        <v>6</v>
      </c>
      <c r="AD253">
        <v>11</v>
      </c>
      <c r="AE253">
        <v>8</v>
      </c>
      <c r="AF253">
        <v>0</v>
      </c>
      <c r="AG253">
        <f>IF(tbl_HR_Data[[#This Row],[Gender]]="Male",1,0)</f>
        <v>0</v>
      </c>
      <c r="AH253" cm="1">
        <f t="array" ref="AH253">_xlfn.SWITCH(tbl_HR_Data[[#This Row],[BusinessTravel]], "Non-Travel", 0, "Travel_Rarely", 1, "Travel_Frequently", 2)</f>
        <v>2</v>
      </c>
      <c r="AI253" cm="1">
        <f t="array" ref="AI253">_xlfn.SWITCH(tbl_HR_Data[[#This Row],[MaritalStatus]],"Single",0,"Married",1,"Divorced",2)</f>
        <v>0</v>
      </c>
      <c r="AJ253">
        <f>IF(tbl_HR_Data[[#This Row],[OverTime]]=1,1,0)</f>
        <v>0</v>
      </c>
      <c r="AK253">
        <f>IF(tbl_HR_Data[[#This Row],[DistanceFromHome]]&gt;15,1,0)</f>
        <v>0</v>
      </c>
      <c r="AL253">
        <f>IF(tbl_HR_Data[[#This Row],[JobSatisfaction]]&lt;=2,1,0)</f>
        <v>0</v>
      </c>
      <c r="AM253">
        <f>IF(tbl_HR_Data[[#This Row],[MonthlyIncome]]&lt;$AT$2,1,0)</f>
        <v>0</v>
      </c>
      <c r="AN253">
        <f>IF(tbl_HR_Data[[#This Row],[Travel_Code]]=2,1,0)</f>
        <v>1</v>
      </c>
      <c r="AO253">
        <f>(tbl_HR_Data[[#This Row],[Flag_OT]] * Logic_Parameters!$B$2) +
 (tbl_HR_Data[[#This Row],[Flag_Travel]] * Logic_Parameters!$B$3) +
 (tbl_HR_Data[[#This Row],[Flag_Satisfaction]] * Logic_Parameters!$B$4) +
 (tbl_HR_Data[[#This Row],[Flag_Distance]]* Logic_Parameters!$B$5) +
 (tbl_HR_Data[[#This Row],[Flag_Income]] * Logic_Parameters!$B$6)</f>
        <v>5.1603899804901765</v>
      </c>
      <c r="AP253" s="15">
        <f>tbl_HR_Data[[#This Row],[Risk_Score_Raw]] / SUM(Logic_Parameters!$B$2:$B$6)</f>
        <v>0.17778840383009531</v>
      </c>
      <c r="AQ253" s="16" t="str" cm="1">
        <f t="array" ref="AQ253">_xlfn.IFS(tbl_HR_Data[[#This Row],[Attrition_Risk_Percentage]] &gt;= 0.75, "Critical",tbl_HR_Data[ [#This Row],[Attrition_Risk_Percentage] ]&gt;= 0.5, "High",tbl_HR_Data[[#This Row],[Attrition_Risk_Percentage]] &gt;= 0.25, "Medium",TRUE, "Low")</f>
        <v>Low</v>
      </c>
      <c r="AR253" s="16" cm="1">
        <f t="array" ref="AR253">IFERROR(_xlfn.IFS(tbl_HR_Data[[#This Row],[Risk_Category]]="Critical",tbl_HR_Data[[#This Row],[MonthlyIncome]]*1.5,tbl_HR_Data[[#This Row],[Risk_Category]]="High",tbl_HR_Data[[#This Row],[MonthlyIncome]]*1.5),0)</f>
        <v>0</v>
      </c>
    </row>
    <row r="254" spans="1:44" x14ac:dyDescent="0.35">
      <c r="A254" t="s">
        <v>743</v>
      </c>
      <c r="B254">
        <v>29</v>
      </c>
      <c r="C254" t="s">
        <v>31</v>
      </c>
      <c r="D254">
        <v>665</v>
      </c>
      <c r="E254" t="s">
        <v>38</v>
      </c>
      <c r="F254">
        <v>15</v>
      </c>
      <c r="G254">
        <v>3</v>
      </c>
      <c r="H254" t="s">
        <v>33</v>
      </c>
      <c r="I254">
        <v>3</v>
      </c>
      <c r="J254" t="s">
        <v>39</v>
      </c>
      <c r="K254">
        <v>60</v>
      </c>
      <c r="L254">
        <v>3</v>
      </c>
      <c r="M254">
        <v>1</v>
      </c>
      <c r="N254" t="s">
        <v>40</v>
      </c>
      <c r="O254">
        <v>4</v>
      </c>
      <c r="P254" t="s">
        <v>36</v>
      </c>
      <c r="Q254">
        <v>2340</v>
      </c>
      <c r="R254">
        <v>22673</v>
      </c>
      <c r="S254">
        <v>1</v>
      </c>
      <c r="T254">
        <v>0</v>
      </c>
      <c r="U254" s="17">
        <v>0.19</v>
      </c>
      <c r="V254">
        <v>3</v>
      </c>
      <c r="W254">
        <v>1</v>
      </c>
      <c r="X254">
        <v>0</v>
      </c>
      <c r="Y254">
        <v>6</v>
      </c>
      <c r="Z254">
        <v>1</v>
      </c>
      <c r="AA254">
        <v>3</v>
      </c>
      <c r="AB254">
        <v>6</v>
      </c>
      <c r="AC254">
        <v>5</v>
      </c>
      <c r="AD254">
        <v>1</v>
      </c>
      <c r="AE254">
        <v>5</v>
      </c>
      <c r="AF254">
        <v>0</v>
      </c>
      <c r="AG254">
        <f>IF(tbl_HR_Data[[#This Row],[Gender]]="Male",1,0)</f>
        <v>1</v>
      </c>
      <c r="AH254" cm="1">
        <f t="array" ref="AH254">_xlfn.SWITCH(tbl_HR_Data[[#This Row],[BusinessTravel]], "Non-Travel", 0, "Travel_Rarely", 1, "Travel_Frequently", 2)</f>
        <v>1</v>
      </c>
      <c r="AI254" cm="1">
        <f t="array" ref="AI254">_xlfn.SWITCH(tbl_HR_Data[[#This Row],[MaritalStatus]],"Single",0,"Married",1,"Divorced",2)</f>
        <v>0</v>
      </c>
      <c r="AJ254">
        <f>IF(tbl_HR_Data[[#This Row],[OverTime]]=1,1,0)</f>
        <v>0</v>
      </c>
      <c r="AK254">
        <f>IF(tbl_HR_Data[[#This Row],[DistanceFromHome]]&gt;15,1,0)</f>
        <v>0</v>
      </c>
      <c r="AL254">
        <f>IF(tbl_HR_Data[[#This Row],[JobSatisfaction]]&lt;=2,1,0)</f>
        <v>0</v>
      </c>
      <c r="AM254">
        <f>IF(tbl_HR_Data[[#This Row],[MonthlyIncome]]&lt;$AT$2,1,0)</f>
        <v>1</v>
      </c>
      <c r="AN254">
        <f>IF(tbl_HR_Data[[#This Row],[Travel_Code]]=2,1,0)</f>
        <v>0</v>
      </c>
      <c r="AO254">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254" s="15">
        <f>tbl_HR_Data[[#This Row],[Risk_Score_Raw]] / SUM(Logic_Parameters!$B$2:$B$6)</f>
        <v>0.22374939857982484</v>
      </c>
      <c r="AQ254" s="16" t="str" cm="1">
        <f t="array" ref="AQ254">_xlfn.IFS(tbl_HR_Data[[#This Row],[Attrition_Risk_Percentage]] &gt;= 0.75, "Critical",tbl_HR_Data[ [#This Row],[Attrition_Risk_Percentage] ]&gt;= 0.5, "High",tbl_HR_Data[[#This Row],[Attrition_Risk_Percentage]] &gt;= 0.25, "Medium",TRUE, "Low")</f>
        <v>Low</v>
      </c>
      <c r="AR254" s="16" cm="1">
        <f t="array" ref="AR254">IFERROR(_xlfn.IFS(tbl_HR_Data[[#This Row],[Risk_Category]]="Critical",tbl_HR_Data[[#This Row],[MonthlyIncome]]*1.5,tbl_HR_Data[[#This Row],[Risk_Category]]="High",tbl_HR_Data[[#This Row],[MonthlyIncome]]*1.5),0)</f>
        <v>0</v>
      </c>
    </row>
    <row r="255" spans="1:44" x14ac:dyDescent="0.35">
      <c r="A255" t="s">
        <v>1350</v>
      </c>
      <c r="B255">
        <v>42</v>
      </c>
      <c r="C255" t="s">
        <v>31</v>
      </c>
      <c r="D255">
        <v>916</v>
      </c>
      <c r="E255" t="s">
        <v>38</v>
      </c>
      <c r="F255">
        <v>17</v>
      </c>
      <c r="G255">
        <v>2</v>
      </c>
      <c r="H255" t="s">
        <v>33</v>
      </c>
      <c r="I255">
        <v>4</v>
      </c>
      <c r="J255" t="s">
        <v>34</v>
      </c>
      <c r="K255">
        <v>82</v>
      </c>
      <c r="L255">
        <v>4</v>
      </c>
      <c r="M255">
        <v>2</v>
      </c>
      <c r="N255" t="s">
        <v>40</v>
      </c>
      <c r="O255">
        <v>1</v>
      </c>
      <c r="P255" t="s">
        <v>36</v>
      </c>
      <c r="Q255">
        <v>6545</v>
      </c>
      <c r="R255">
        <v>23016</v>
      </c>
      <c r="S255">
        <v>3</v>
      </c>
      <c r="T255">
        <v>1</v>
      </c>
      <c r="U255" s="17">
        <v>0.13</v>
      </c>
      <c r="V255">
        <v>3</v>
      </c>
      <c r="W255">
        <v>3</v>
      </c>
      <c r="X255">
        <v>0</v>
      </c>
      <c r="Y255">
        <v>10</v>
      </c>
      <c r="Z255">
        <v>1</v>
      </c>
      <c r="AA255">
        <v>3</v>
      </c>
      <c r="AB255">
        <v>3</v>
      </c>
      <c r="AC255">
        <v>2</v>
      </c>
      <c r="AD255">
        <v>0</v>
      </c>
      <c r="AE255">
        <v>2</v>
      </c>
      <c r="AF255">
        <v>0</v>
      </c>
      <c r="AG255">
        <f>IF(tbl_HR_Data[[#This Row],[Gender]]="Male",1,0)</f>
        <v>0</v>
      </c>
      <c r="AH255" cm="1">
        <f t="array" ref="AH255">_xlfn.SWITCH(tbl_HR_Data[[#This Row],[BusinessTravel]], "Non-Travel", 0, "Travel_Rarely", 1, "Travel_Frequently", 2)</f>
        <v>1</v>
      </c>
      <c r="AI255" cm="1">
        <f t="array" ref="AI255">_xlfn.SWITCH(tbl_HR_Data[[#This Row],[MaritalStatus]],"Single",0,"Married",1,"Divorced",2)</f>
        <v>0</v>
      </c>
      <c r="AJ255">
        <f>IF(tbl_HR_Data[[#This Row],[OverTime]]=1,1,0)</f>
        <v>1</v>
      </c>
      <c r="AK255">
        <f>IF(tbl_HR_Data[[#This Row],[DistanceFromHome]]&gt;15,1,0)</f>
        <v>1</v>
      </c>
      <c r="AL255">
        <f>IF(tbl_HR_Data[[#This Row],[JobSatisfaction]]&lt;=2,1,0)</f>
        <v>1</v>
      </c>
      <c r="AM255">
        <f>IF(tbl_HR_Data[[#This Row],[MonthlyIncome]]&lt;$AT$2,1,0)</f>
        <v>0</v>
      </c>
      <c r="AN255">
        <f>IF(tbl_HR_Data[[#This Row],[Travel_Code]]=2,1,0)</f>
        <v>0</v>
      </c>
      <c r="AO255">
        <f>(tbl_HR_Data[[#This Row],[Flag_OT]] * Logic_Parameters!$B$2) +
 (tbl_HR_Data[[#This Row],[Flag_Travel]] * Logic_Parameters!$B$3) +
 (tbl_HR_Data[[#This Row],[Flag_Satisfaction]] * Logic_Parameters!$B$4) +
 (tbl_HR_Data[[#This Row],[Flag_Distance]]* Logic_Parameters!$B$5) +
 (tbl_HR_Data[[#This Row],[Flag_Income]] * Logic_Parameters!$B$6)</f>
        <v>17.370639825853509</v>
      </c>
      <c r="AP255" s="15">
        <f>tbl_HR_Data[[#This Row],[Risk_Score_Raw]] / SUM(Logic_Parameters!$B$2:$B$6)</f>
        <v>0.59846219759007979</v>
      </c>
      <c r="AQ255" s="16" t="str" cm="1">
        <f t="array" ref="AQ255">_xlfn.IFS(tbl_HR_Data[[#This Row],[Attrition_Risk_Percentage]] &gt;= 0.75, "Critical",tbl_HR_Data[ [#This Row],[Attrition_Risk_Percentage] ]&gt;= 0.5, "High",tbl_HR_Data[[#This Row],[Attrition_Risk_Percentage]] &gt;= 0.25, "Medium",TRUE, "Low")</f>
        <v>High</v>
      </c>
      <c r="AR255" s="16" cm="1">
        <f t="array" ref="AR255">IFERROR(_xlfn.IFS(tbl_HR_Data[[#This Row],[Risk_Category]]="Critical",tbl_HR_Data[[#This Row],[MonthlyIncome]]*1.5,tbl_HR_Data[[#This Row],[Risk_Category]]="High",tbl_HR_Data[[#This Row],[MonthlyIncome]]*1.5),0)</f>
        <v>9817.5</v>
      </c>
    </row>
    <row r="256" spans="1:44" x14ac:dyDescent="0.35">
      <c r="A256" t="s">
        <v>393</v>
      </c>
      <c r="B256">
        <v>29</v>
      </c>
      <c r="C256" t="s">
        <v>31</v>
      </c>
      <c r="D256">
        <v>1247</v>
      </c>
      <c r="E256" t="s">
        <v>32</v>
      </c>
      <c r="F256">
        <v>20</v>
      </c>
      <c r="G256">
        <v>2</v>
      </c>
      <c r="H256" t="s">
        <v>51</v>
      </c>
      <c r="I256">
        <v>4</v>
      </c>
      <c r="J256" t="s">
        <v>39</v>
      </c>
      <c r="K256">
        <v>45</v>
      </c>
      <c r="L256">
        <v>3</v>
      </c>
      <c r="M256">
        <v>2</v>
      </c>
      <c r="N256" t="s">
        <v>35</v>
      </c>
      <c r="O256">
        <v>4</v>
      </c>
      <c r="P256" t="s">
        <v>45</v>
      </c>
      <c r="Q256">
        <v>6931</v>
      </c>
      <c r="R256">
        <v>10732</v>
      </c>
      <c r="S256">
        <v>2</v>
      </c>
      <c r="T256">
        <v>0</v>
      </c>
      <c r="U256" s="17">
        <v>0.14000000000000001</v>
      </c>
      <c r="V256">
        <v>3</v>
      </c>
      <c r="W256">
        <v>4</v>
      </c>
      <c r="X256">
        <v>1</v>
      </c>
      <c r="Y256">
        <v>10</v>
      </c>
      <c r="Z256">
        <v>2</v>
      </c>
      <c r="AA256">
        <v>3</v>
      </c>
      <c r="AB256">
        <v>3</v>
      </c>
      <c r="AC256">
        <v>2</v>
      </c>
      <c r="AD256">
        <v>0</v>
      </c>
      <c r="AE256">
        <v>2</v>
      </c>
      <c r="AF256">
        <v>0</v>
      </c>
      <c r="AG256">
        <f>IF(tbl_HR_Data[[#This Row],[Gender]]="Male",1,0)</f>
        <v>1</v>
      </c>
      <c r="AH256" cm="1">
        <f t="array" ref="AH256">_xlfn.SWITCH(tbl_HR_Data[[#This Row],[BusinessTravel]], "Non-Travel", 0, "Travel_Rarely", 1, "Travel_Frequently", 2)</f>
        <v>1</v>
      </c>
      <c r="AI256" cm="1">
        <f t="array" ref="AI256">_xlfn.SWITCH(tbl_HR_Data[[#This Row],[MaritalStatus]],"Single",0,"Married",1,"Divorced",2)</f>
        <v>2</v>
      </c>
      <c r="AJ256">
        <f>IF(tbl_HR_Data[[#This Row],[OverTime]]=1,1,0)</f>
        <v>0</v>
      </c>
      <c r="AK256">
        <f>IF(tbl_HR_Data[[#This Row],[DistanceFromHome]]&gt;15,1,0)</f>
        <v>1</v>
      </c>
      <c r="AL256">
        <f>IF(tbl_HR_Data[[#This Row],[JobSatisfaction]]&lt;=2,1,0)</f>
        <v>0</v>
      </c>
      <c r="AM256">
        <f>IF(tbl_HR_Data[[#This Row],[MonthlyIncome]]&lt;$AT$2,1,0)</f>
        <v>0</v>
      </c>
      <c r="AN256">
        <f>IF(tbl_HR_Data[[#This Row],[Travel_Code]]=2,1,0)</f>
        <v>0</v>
      </c>
      <c r="AO256">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256" s="15">
        <f>tbl_HR_Data[[#This Row],[Risk_Score_Raw]] / SUM(Logic_Parameters!$B$2:$B$6)</f>
        <v>0.10908033267710357</v>
      </c>
      <c r="AQ256" s="16" t="str" cm="1">
        <f t="array" ref="AQ256">_xlfn.IFS(tbl_HR_Data[[#This Row],[Attrition_Risk_Percentage]] &gt;= 0.75, "Critical",tbl_HR_Data[ [#This Row],[Attrition_Risk_Percentage] ]&gt;= 0.5, "High",tbl_HR_Data[[#This Row],[Attrition_Risk_Percentage]] &gt;= 0.25, "Medium",TRUE, "Low")</f>
        <v>Low</v>
      </c>
      <c r="AR256" s="16" cm="1">
        <f t="array" ref="AR256">IFERROR(_xlfn.IFS(tbl_HR_Data[[#This Row],[Risk_Category]]="Critical",tbl_HR_Data[[#This Row],[MonthlyIncome]]*1.5,tbl_HR_Data[[#This Row],[Risk_Category]]="High",tbl_HR_Data[[#This Row],[MonthlyIncome]]*1.5),0)</f>
        <v>0</v>
      </c>
    </row>
    <row r="257" spans="1:44" x14ac:dyDescent="0.35">
      <c r="A257" t="s">
        <v>1077</v>
      </c>
      <c r="B257">
        <v>25</v>
      </c>
      <c r="C257" t="s">
        <v>31</v>
      </c>
      <c r="D257">
        <v>685</v>
      </c>
      <c r="E257" t="s">
        <v>38</v>
      </c>
      <c r="F257">
        <v>1</v>
      </c>
      <c r="G257">
        <v>3</v>
      </c>
      <c r="H257" t="s">
        <v>33</v>
      </c>
      <c r="I257">
        <v>1</v>
      </c>
      <c r="J257" t="s">
        <v>34</v>
      </c>
      <c r="K257">
        <v>62</v>
      </c>
      <c r="L257">
        <v>3</v>
      </c>
      <c r="M257">
        <v>2</v>
      </c>
      <c r="N257" t="s">
        <v>46</v>
      </c>
      <c r="O257">
        <v>3</v>
      </c>
      <c r="P257" t="s">
        <v>41</v>
      </c>
      <c r="Q257">
        <v>4898</v>
      </c>
      <c r="R257">
        <v>7505</v>
      </c>
      <c r="S257">
        <v>0</v>
      </c>
      <c r="T257">
        <v>0</v>
      </c>
      <c r="U257" s="17">
        <v>0.12</v>
      </c>
      <c r="V257">
        <v>3</v>
      </c>
      <c r="W257">
        <v>4</v>
      </c>
      <c r="X257">
        <v>2</v>
      </c>
      <c r="Y257">
        <v>5</v>
      </c>
      <c r="Z257">
        <v>3</v>
      </c>
      <c r="AA257">
        <v>3</v>
      </c>
      <c r="AB257">
        <v>4</v>
      </c>
      <c r="AC257">
        <v>2</v>
      </c>
      <c r="AD257">
        <v>1</v>
      </c>
      <c r="AE257">
        <v>2</v>
      </c>
      <c r="AF257">
        <v>0</v>
      </c>
      <c r="AG257">
        <f>IF(tbl_HR_Data[[#This Row],[Gender]]="Male",1,0)</f>
        <v>0</v>
      </c>
      <c r="AH257" cm="1">
        <f t="array" ref="AH257">_xlfn.SWITCH(tbl_HR_Data[[#This Row],[BusinessTravel]], "Non-Travel", 0, "Travel_Rarely", 1, "Travel_Frequently", 2)</f>
        <v>1</v>
      </c>
      <c r="AI257" cm="1">
        <f t="array" ref="AI257">_xlfn.SWITCH(tbl_HR_Data[[#This Row],[MaritalStatus]],"Single",0,"Married",1,"Divorced",2)</f>
        <v>1</v>
      </c>
      <c r="AJ257">
        <f>IF(tbl_HR_Data[[#This Row],[OverTime]]=1,1,0)</f>
        <v>0</v>
      </c>
      <c r="AK257">
        <f>IF(tbl_HR_Data[[#This Row],[DistanceFromHome]]&gt;15,1,0)</f>
        <v>0</v>
      </c>
      <c r="AL257">
        <f>IF(tbl_HR_Data[[#This Row],[JobSatisfaction]]&lt;=2,1,0)</f>
        <v>0</v>
      </c>
      <c r="AM257">
        <f>IF(tbl_HR_Data[[#This Row],[MonthlyIncome]]&lt;$AT$2,1,0)</f>
        <v>1</v>
      </c>
      <c r="AN257">
        <f>IF(tbl_HR_Data[[#This Row],[Travel_Code]]=2,1,0)</f>
        <v>0</v>
      </c>
      <c r="AO257">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257" s="15">
        <f>tbl_HR_Data[[#This Row],[Risk_Score_Raw]] / SUM(Logic_Parameters!$B$2:$B$6)</f>
        <v>0.22374939857982484</v>
      </c>
      <c r="AQ257" s="16" t="str" cm="1">
        <f t="array" ref="AQ257">_xlfn.IFS(tbl_HR_Data[[#This Row],[Attrition_Risk_Percentage]] &gt;= 0.75, "Critical",tbl_HR_Data[ [#This Row],[Attrition_Risk_Percentage] ]&gt;= 0.5, "High",tbl_HR_Data[[#This Row],[Attrition_Risk_Percentage]] &gt;= 0.25, "Medium",TRUE, "Low")</f>
        <v>Low</v>
      </c>
      <c r="AR257" s="16" cm="1">
        <f t="array" ref="AR257">IFERROR(_xlfn.IFS(tbl_HR_Data[[#This Row],[Risk_Category]]="Critical",tbl_HR_Data[[#This Row],[MonthlyIncome]]*1.5,tbl_HR_Data[[#This Row],[Risk_Category]]="High",tbl_HR_Data[[#This Row],[MonthlyIncome]]*1.5),0)</f>
        <v>0</v>
      </c>
    </row>
    <row r="258" spans="1:44" x14ac:dyDescent="0.35">
      <c r="A258" t="s">
        <v>108</v>
      </c>
      <c r="B258">
        <v>42</v>
      </c>
      <c r="C258" t="s">
        <v>31</v>
      </c>
      <c r="D258">
        <v>269</v>
      </c>
      <c r="E258" t="s">
        <v>38</v>
      </c>
      <c r="F258">
        <v>2</v>
      </c>
      <c r="G258">
        <v>3</v>
      </c>
      <c r="H258" t="s">
        <v>44</v>
      </c>
      <c r="I258">
        <v>4</v>
      </c>
      <c r="J258" t="s">
        <v>34</v>
      </c>
      <c r="K258">
        <v>56</v>
      </c>
      <c r="L258">
        <v>2</v>
      </c>
      <c r="M258">
        <v>1</v>
      </c>
      <c r="N258" t="s">
        <v>43</v>
      </c>
      <c r="O258">
        <v>1</v>
      </c>
      <c r="P258" t="s">
        <v>45</v>
      </c>
      <c r="Q258">
        <v>2593</v>
      </c>
      <c r="R258">
        <v>8007</v>
      </c>
      <c r="S258">
        <v>0</v>
      </c>
      <c r="T258">
        <v>1</v>
      </c>
      <c r="U258" s="17">
        <v>0.11</v>
      </c>
      <c r="V258">
        <v>3</v>
      </c>
      <c r="W258">
        <v>3</v>
      </c>
      <c r="X258">
        <v>1</v>
      </c>
      <c r="Y258">
        <v>10</v>
      </c>
      <c r="Z258">
        <v>4</v>
      </c>
      <c r="AA258">
        <v>3</v>
      </c>
      <c r="AB258">
        <v>9</v>
      </c>
      <c r="AC258">
        <v>6</v>
      </c>
      <c r="AD258">
        <v>7</v>
      </c>
      <c r="AE258">
        <v>8</v>
      </c>
      <c r="AF258">
        <v>0</v>
      </c>
      <c r="AG258">
        <f>IF(tbl_HR_Data[[#This Row],[Gender]]="Male",1,0)</f>
        <v>0</v>
      </c>
      <c r="AH258" cm="1">
        <f t="array" ref="AH258">_xlfn.SWITCH(tbl_HR_Data[[#This Row],[BusinessTravel]], "Non-Travel", 0, "Travel_Rarely", 1, "Travel_Frequently", 2)</f>
        <v>1</v>
      </c>
      <c r="AI258" cm="1">
        <f t="array" ref="AI258">_xlfn.SWITCH(tbl_HR_Data[[#This Row],[MaritalStatus]],"Single",0,"Married",1,"Divorced",2)</f>
        <v>2</v>
      </c>
      <c r="AJ258">
        <f>IF(tbl_HR_Data[[#This Row],[OverTime]]=1,1,0)</f>
        <v>1</v>
      </c>
      <c r="AK258">
        <f>IF(tbl_HR_Data[[#This Row],[DistanceFromHome]]&gt;15,1,0)</f>
        <v>0</v>
      </c>
      <c r="AL258">
        <f>IF(tbl_HR_Data[[#This Row],[JobSatisfaction]]&lt;=2,1,0)</f>
        <v>1</v>
      </c>
      <c r="AM258">
        <f>IF(tbl_HR_Data[[#This Row],[MonthlyIncome]]&lt;$AT$2,1,0)</f>
        <v>1</v>
      </c>
      <c r="AN258">
        <f>IF(tbl_HR_Data[[#This Row],[Travel_Code]]=2,1,0)</f>
        <v>0</v>
      </c>
      <c r="AO258">
        <f>(tbl_HR_Data[[#This Row],[Flag_OT]] * Logic_Parameters!$B$2) +
 (tbl_HR_Data[[#This Row],[Flag_Travel]] * Logic_Parameters!$B$3) +
 (tbl_HR_Data[[#This Row],[Flag_Satisfaction]] * Logic_Parameters!$B$4) +
 (tbl_HR_Data[[#This Row],[Flag_Distance]]* Logic_Parameters!$B$5) +
 (tbl_HR_Data[[#This Row],[Flag_Income]] * Logic_Parameters!$B$6)</f>
        <v>20.698962067398959</v>
      </c>
      <c r="AP258" s="15">
        <f>tbl_HR_Data[[#This Row],[Risk_Score_Raw]] / SUM(Logic_Parameters!$B$2:$B$6)</f>
        <v>0.71313126349280109</v>
      </c>
      <c r="AQ258" s="16" t="str" cm="1">
        <f t="array" ref="AQ258">_xlfn.IFS(tbl_HR_Data[[#This Row],[Attrition_Risk_Percentage]] &gt;= 0.75, "Critical",tbl_HR_Data[ [#This Row],[Attrition_Risk_Percentage] ]&gt;= 0.5, "High",tbl_HR_Data[[#This Row],[Attrition_Risk_Percentage]] &gt;= 0.25, "Medium",TRUE, "Low")</f>
        <v>High</v>
      </c>
      <c r="AR258" s="16" cm="1">
        <f t="array" ref="AR258">IFERROR(_xlfn.IFS(tbl_HR_Data[[#This Row],[Risk_Category]]="Critical",tbl_HR_Data[[#This Row],[MonthlyIncome]]*1.5,tbl_HR_Data[[#This Row],[Risk_Category]]="High",tbl_HR_Data[[#This Row],[MonthlyIncome]]*1.5),0)</f>
        <v>3889.5</v>
      </c>
    </row>
    <row r="259" spans="1:44" x14ac:dyDescent="0.35">
      <c r="A259" t="s">
        <v>124</v>
      </c>
      <c r="B259">
        <v>40</v>
      </c>
      <c r="C259" t="s">
        <v>31</v>
      </c>
      <c r="D259">
        <v>1416</v>
      </c>
      <c r="E259" t="s">
        <v>38</v>
      </c>
      <c r="F259">
        <v>2</v>
      </c>
      <c r="G259">
        <v>2</v>
      </c>
      <c r="H259" t="s">
        <v>44</v>
      </c>
      <c r="I259">
        <v>1</v>
      </c>
      <c r="J259" t="s">
        <v>39</v>
      </c>
      <c r="K259">
        <v>49</v>
      </c>
      <c r="L259">
        <v>3</v>
      </c>
      <c r="M259">
        <v>5</v>
      </c>
      <c r="N259" t="s">
        <v>50</v>
      </c>
      <c r="O259">
        <v>3</v>
      </c>
      <c r="P259" t="s">
        <v>45</v>
      </c>
      <c r="Q259">
        <v>19436</v>
      </c>
      <c r="R259">
        <v>5949</v>
      </c>
      <c r="S259">
        <v>0</v>
      </c>
      <c r="T259">
        <v>0</v>
      </c>
      <c r="U259" s="17">
        <v>0.19</v>
      </c>
      <c r="V259">
        <v>3</v>
      </c>
      <c r="W259">
        <v>4</v>
      </c>
      <c r="X259">
        <v>1</v>
      </c>
      <c r="Y259">
        <v>22</v>
      </c>
      <c r="Z259">
        <v>5</v>
      </c>
      <c r="AA259">
        <v>3</v>
      </c>
      <c r="AB259">
        <v>21</v>
      </c>
      <c r="AC259">
        <v>7</v>
      </c>
      <c r="AD259">
        <v>3</v>
      </c>
      <c r="AE259">
        <v>9</v>
      </c>
      <c r="AF259">
        <v>0</v>
      </c>
      <c r="AG259">
        <f>IF(tbl_HR_Data[[#This Row],[Gender]]="Male",1,0)</f>
        <v>1</v>
      </c>
      <c r="AH259" cm="1">
        <f t="array" ref="AH259">_xlfn.SWITCH(tbl_HR_Data[[#This Row],[BusinessTravel]], "Non-Travel", 0, "Travel_Rarely", 1, "Travel_Frequently", 2)</f>
        <v>1</v>
      </c>
      <c r="AI259" cm="1">
        <f t="array" ref="AI259">_xlfn.SWITCH(tbl_HR_Data[[#This Row],[MaritalStatus]],"Single",0,"Married",1,"Divorced",2)</f>
        <v>2</v>
      </c>
      <c r="AJ259">
        <f>IF(tbl_HR_Data[[#This Row],[OverTime]]=1,1,0)</f>
        <v>0</v>
      </c>
      <c r="AK259">
        <f>IF(tbl_HR_Data[[#This Row],[DistanceFromHome]]&gt;15,1,0)</f>
        <v>0</v>
      </c>
      <c r="AL259">
        <f>IF(tbl_HR_Data[[#This Row],[JobSatisfaction]]&lt;=2,1,0)</f>
        <v>0</v>
      </c>
      <c r="AM259">
        <f>IF(tbl_HR_Data[[#This Row],[MonthlyIncome]]&lt;$AT$2,1,0)</f>
        <v>0</v>
      </c>
      <c r="AN259">
        <f>IF(tbl_HR_Data[[#This Row],[Travel_Code]]=2,1,0)</f>
        <v>0</v>
      </c>
      <c r="AO259">
        <f>(tbl_HR_Data[[#This Row],[Flag_OT]] * Logic_Parameters!$B$2) +
 (tbl_HR_Data[[#This Row],[Flag_Travel]] * Logic_Parameters!$B$3) +
 (tbl_HR_Data[[#This Row],[Flag_Satisfaction]] * Logic_Parameters!$B$4) +
 (tbl_HR_Data[[#This Row],[Flag_Distance]]* Logic_Parameters!$B$5) +
 (tbl_HR_Data[[#This Row],[Flag_Income]] * Logic_Parameters!$B$6)</f>
        <v>0</v>
      </c>
      <c r="AP259" s="15">
        <f>tbl_HR_Data[[#This Row],[Risk_Score_Raw]] / SUM(Logic_Parameters!$B$2:$B$6)</f>
        <v>0</v>
      </c>
      <c r="AQ259" s="16" t="str" cm="1">
        <f t="array" ref="AQ259">_xlfn.IFS(tbl_HR_Data[[#This Row],[Attrition_Risk_Percentage]] &gt;= 0.75, "Critical",tbl_HR_Data[ [#This Row],[Attrition_Risk_Percentage] ]&gt;= 0.5, "High",tbl_HR_Data[[#This Row],[Attrition_Risk_Percentage]] &gt;= 0.25, "Medium",TRUE, "Low")</f>
        <v>Low</v>
      </c>
      <c r="AR259" s="16" cm="1">
        <f t="array" ref="AR259">IFERROR(_xlfn.IFS(tbl_HR_Data[[#This Row],[Risk_Category]]="Critical",tbl_HR_Data[[#This Row],[MonthlyIncome]]*1.5,tbl_HR_Data[[#This Row],[Risk_Category]]="High",tbl_HR_Data[[#This Row],[MonthlyIncome]]*1.5),0)</f>
        <v>0</v>
      </c>
    </row>
    <row r="260" spans="1:44" x14ac:dyDescent="0.35">
      <c r="A260" t="s">
        <v>1380</v>
      </c>
      <c r="B260">
        <v>51</v>
      </c>
      <c r="C260" t="s">
        <v>31</v>
      </c>
      <c r="D260">
        <v>833</v>
      </c>
      <c r="E260" t="s">
        <v>38</v>
      </c>
      <c r="F260">
        <v>1</v>
      </c>
      <c r="G260">
        <v>3</v>
      </c>
      <c r="H260" t="s">
        <v>33</v>
      </c>
      <c r="I260">
        <v>3</v>
      </c>
      <c r="J260" t="s">
        <v>39</v>
      </c>
      <c r="K260">
        <v>96</v>
      </c>
      <c r="L260">
        <v>3</v>
      </c>
      <c r="M260">
        <v>1</v>
      </c>
      <c r="N260" t="s">
        <v>40</v>
      </c>
      <c r="O260">
        <v>4</v>
      </c>
      <c r="P260" t="s">
        <v>41</v>
      </c>
      <c r="Q260">
        <v>2723</v>
      </c>
      <c r="R260">
        <v>23231</v>
      </c>
      <c r="S260">
        <v>1</v>
      </c>
      <c r="T260">
        <v>0</v>
      </c>
      <c r="U260" s="17">
        <v>0.11</v>
      </c>
      <c r="V260">
        <v>3</v>
      </c>
      <c r="W260">
        <v>2</v>
      </c>
      <c r="X260">
        <v>0</v>
      </c>
      <c r="Y260">
        <v>1</v>
      </c>
      <c r="Z260">
        <v>0</v>
      </c>
      <c r="AA260">
        <v>2</v>
      </c>
      <c r="AB260">
        <v>1</v>
      </c>
      <c r="AC260">
        <v>0</v>
      </c>
      <c r="AD260">
        <v>0</v>
      </c>
      <c r="AE260">
        <v>0</v>
      </c>
      <c r="AF260">
        <v>0</v>
      </c>
      <c r="AG260">
        <f>IF(tbl_HR_Data[[#This Row],[Gender]]="Male",1,0)</f>
        <v>1</v>
      </c>
      <c r="AH260" cm="1">
        <f t="array" ref="AH260">_xlfn.SWITCH(tbl_HR_Data[[#This Row],[BusinessTravel]], "Non-Travel", 0, "Travel_Rarely", 1, "Travel_Frequently", 2)</f>
        <v>1</v>
      </c>
      <c r="AI260" cm="1">
        <f t="array" ref="AI260">_xlfn.SWITCH(tbl_HR_Data[[#This Row],[MaritalStatus]],"Single",0,"Married",1,"Divorced",2)</f>
        <v>1</v>
      </c>
      <c r="AJ260">
        <f>IF(tbl_HR_Data[[#This Row],[OverTime]]=1,1,0)</f>
        <v>0</v>
      </c>
      <c r="AK260">
        <f>IF(tbl_HR_Data[[#This Row],[DistanceFromHome]]&gt;15,1,0)</f>
        <v>0</v>
      </c>
      <c r="AL260">
        <f>IF(tbl_HR_Data[[#This Row],[JobSatisfaction]]&lt;=2,1,0)</f>
        <v>0</v>
      </c>
      <c r="AM260">
        <f>IF(tbl_HR_Data[[#This Row],[MonthlyIncome]]&lt;$AT$2,1,0)</f>
        <v>1</v>
      </c>
      <c r="AN260">
        <f>IF(tbl_HR_Data[[#This Row],[Travel_Code]]=2,1,0)</f>
        <v>0</v>
      </c>
      <c r="AO260">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260" s="15">
        <f>tbl_HR_Data[[#This Row],[Risk_Score_Raw]] / SUM(Logic_Parameters!$B$2:$B$6)</f>
        <v>0.22374939857982484</v>
      </c>
      <c r="AQ260" s="16" t="str" cm="1">
        <f t="array" ref="AQ260">_xlfn.IFS(tbl_HR_Data[[#This Row],[Attrition_Risk_Percentage]] &gt;= 0.75, "Critical",tbl_HR_Data[ [#This Row],[Attrition_Risk_Percentage] ]&gt;= 0.5, "High",tbl_HR_Data[[#This Row],[Attrition_Risk_Percentage]] &gt;= 0.25, "Medium",TRUE, "Low")</f>
        <v>Low</v>
      </c>
      <c r="AR260" s="16" cm="1">
        <f t="array" ref="AR260">IFERROR(_xlfn.IFS(tbl_HR_Data[[#This Row],[Risk_Category]]="Critical",tbl_HR_Data[[#This Row],[MonthlyIncome]]*1.5,tbl_HR_Data[[#This Row],[Risk_Category]]="High",tbl_HR_Data[[#This Row],[MonthlyIncome]]*1.5),0)</f>
        <v>0</v>
      </c>
    </row>
    <row r="261" spans="1:44" x14ac:dyDescent="0.35">
      <c r="A261" t="s">
        <v>510</v>
      </c>
      <c r="B261">
        <v>31</v>
      </c>
      <c r="C261" t="s">
        <v>37</v>
      </c>
      <c r="D261">
        <v>307</v>
      </c>
      <c r="E261" t="s">
        <v>38</v>
      </c>
      <c r="F261">
        <v>29</v>
      </c>
      <c r="G261">
        <v>2</v>
      </c>
      <c r="H261" t="s">
        <v>44</v>
      </c>
      <c r="I261">
        <v>3</v>
      </c>
      <c r="J261" t="s">
        <v>39</v>
      </c>
      <c r="K261">
        <v>71</v>
      </c>
      <c r="L261">
        <v>2</v>
      </c>
      <c r="M261">
        <v>1</v>
      </c>
      <c r="N261" t="s">
        <v>43</v>
      </c>
      <c r="O261">
        <v>2</v>
      </c>
      <c r="P261" t="s">
        <v>36</v>
      </c>
      <c r="Q261">
        <v>3479</v>
      </c>
      <c r="R261">
        <v>11652</v>
      </c>
      <c r="S261">
        <v>0</v>
      </c>
      <c r="T261">
        <v>0</v>
      </c>
      <c r="U261" s="17">
        <v>0.11</v>
      </c>
      <c r="V261">
        <v>3</v>
      </c>
      <c r="W261">
        <v>2</v>
      </c>
      <c r="X261">
        <v>0</v>
      </c>
      <c r="Y261">
        <v>6</v>
      </c>
      <c r="Z261">
        <v>2</v>
      </c>
      <c r="AA261">
        <v>4</v>
      </c>
      <c r="AB261">
        <v>5</v>
      </c>
      <c r="AC261">
        <v>4</v>
      </c>
      <c r="AD261">
        <v>1</v>
      </c>
      <c r="AE261">
        <v>4</v>
      </c>
      <c r="AF261">
        <v>1</v>
      </c>
      <c r="AG261">
        <f>IF(tbl_HR_Data[[#This Row],[Gender]]="Male",1,0)</f>
        <v>1</v>
      </c>
      <c r="AH261" cm="1">
        <f t="array" ref="AH261">_xlfn.SWITCH(tbl_HR_Data[[#This Row],[BusinessTravel]], "Non-Travel", 0, "Travel_Rarely", 1, "Travel_Frequently", 2)</f>
        <v>2</v>
      </c>
      <c r="AI261" cm="1">
        <f t="array" ref="AI261">_xlfn.SWITCH(tbl_HR_Data[[#This Row],[MaritalStatus]],"Single",0,"Married",1,"Divorced",2)</f>
        <v>0</v>
      </c>
      <c r="AJ261">
        <f>IF(tbl_HR_Data[[#This Row],[OverTime]]=1,1,0)</f>
        <v>0</v>
      </c>
      <c r="AK261">
        <f>IF(tbl_HR_Data[[#This Row],[DistanceFromHome]]&gt;15,1,0)</f>
        <v>1</v>
      </c>
      <c r="AL261">
        <f>IF(tbl_HR_Data[[#This Row],[JobSatisfaction]]&lt;=2,1,0)</f>
        <v>1</v>
      </c>
      <c r="AM261">
        <f>IF(tbl_HR_Data[[#This Row],[MonthlyIncome]]&lt;$AT$2,1,0)</f>
        <v>1</v>
      </c>
      <c r="AN261">
        <f>IF(tbl_HR_Data[[#This Row],[Travel_Code]]=2,1,0)</f>
        <v>1</v>
      </c>
      <c r="AO261">
        <f>(tbl_HR_Data[[#This Row],[Flag_OT]] * Logic_Parameters!$B$2) +
 (tbl_HR_Data[[#This Row],[Flag_Travel]] * Logic_Parameters!$B$3) +
 (tbl_HR_Data[[#This Row],[Flag_Satisfaction]] * Logic_Parameters!$B$4) +
 (tbl_HR_Data[[#This Row],[Flag_Distance]]* Logic_Parameters!$B$5) +
 (tbl_HR_Data[[#This Row],[Flag_Income]] * Logic_Parameters!$B$6)</f>
        <v>19.025458743764514</v>
      </c>
      <c r="AP261" s="15">
        <f>tbl_HR_Data[[#This Row],[Risk_Score_Raw]] / SUM(Logic_Parameters!$B$2:$B$6)</f>
        <v>0.65547486817419276</v>
      </c>
      <c r="AQ261" s="16" t="str" cm="1">
        <f t="array" ref="AQ261">_xlfn.IFS(tbl_HR_Data[[#This Row],[Attrition_Risk_Percentage]] &gt;= 0.75, "Critical",tbl_HR_Data[ [#This Row],[Attrition_Risk_Percentage] ]&gt;= 0.5, "High",tbl_HR_Data[[#This Row],[Attrition_Risk_Percentage]] &gt;= 0.25, "Medium",TRUE, "Low")</f>
        <v>High</v>
      </c>
      <c r="AR261" s="16" cm="1">
        <f t="array" ref="AR261">IFERROR(_xlfn.IFS(tbl_HR_Data[[#This Row],[Risk_Category]]="Critical",tbl_HR_Data[[#This Row],[MonthlyIncome]]*1.5,tbl_HR_Data[[#This Row],[Risk_Category]]="High",tbl_HR_Data[[#This Row],[MonthlyIncome]]*1.5),0)</f>
        <v>5218.5</v>
      </c>
    </row>
    <row r="262" spans="1:44" x14ac:dyDescent="0.35">
      <c r="A262" t="s">
        <v>1142</v>
      </c>
      <c r="B262">
        <v>32</v>
      </c>
      <c r="C262" t="s">
        <v>37</v>
      </c>
      <c r="D262">
        <v>1311</v>
      </c>
      <c r="E262" t="s">
        <v>38</v>
      </c>
      <c r="F262">
        <v>7</v>
      </c>
      <c r="G262">
        <v>3</v>
      </c>
      <c r="H262" t="s">
        <v>33</v>
      </c>
      <c r="I262">
        <v>2</v>
      </c>
      <c r="J262" t="s">
        <v>39</v>
      </c>
      <c r="K262">
        <v>100</v>
      </c>
      <c r="L262">
        <v>4</v>
      </c>
      <c r="M262">
        <v>1</v>
      </c>
      <c r="N262" t="s">
        <v>43</v>
      </c>
      <c r="O262">
        <v>2</v>
      </c>
      <c r="P262" t="s">
        <v>41</v>
      </c>
      <c r="Q262">
        <v>2794</v>
      </c>
      <c r="R262">
        <v>26062</v>
      </c>
      <c r="S262">
        <v>1</v>
      </c>
      <c r="T262">
        <v>0</v>
      </c>
      <c r="U262" s="17">
        <v>0.2</v>
      </c>
      <c r="V262">
        <v>4</v>
      </c>
      <c r="W262">
        <v>3</v>
      </c>
      <c r="X262">
        <v>0</v>
      </c>
      <c r="Y262">
        <v>5</v>
      </c>
      <c r="Z262">
        <v>3</v>
      </c>
      <c r="AA262">
        <v>1</v>
      </c>
      <c r="AB262">
        <v>5</v>
      </c>
      <c r="AC262">
        <v>1</v>
      </c>
      <c r="AD262">
        <v>0</v>
      </c>
      <c r="AE262">
        <v>3</v>
      </c>
      <c r="AF262">
        <v>0</v>
      </c>
      <c r="AG262">
        <f>IF(tbl_HR_Data[[#This Row],[Gender]]="Male",1,0)</f>
        <v>1</v>
      </c>
      <c r="AH262" cm="1">
        <f t="array" ref="AH262">_xlfn.SWITCH(tbl_HR_Data[[#This Row],[BusinessTravel]], "Non-Travel", 0, "Travel_Rarely", 1, "Travel_Frequently", 2)</f>
        <v>2</v>
      </c>
      <c r="AI262" cm="1">
        <f t="array" ref="AI262">_xlfn.SWITCH(tbl_HR_Data[[#This Row],[MaritalStatus]],"Single",0,"Married",1,"Divorced",2)</f>
        <v>1</v>
      </c>
      <c r="AJ262">
        <f>IF(tbl_HR_Data[[#This Row],[OverTime]]=1,1,0)</f>
        <v>0</v>
      </c>
      <c r="AK262">
        <f>IF(tbl_HR_Data[[#This Row],[DistanceFromHome]]&gt;15,1,0)</f>
        <v>0</v>
      </c>
      <c r="AL262">
        <f>IF(tbl_HR_Data[[#This Row],[JobSatisfaction]]&lt;=2,1,0)</f>
        <v>1</v>
      </c>
      <c r="AM262">
        <f>IF(tbl_HR_Data[[#This Row],[MonthlyIncome]]&lt;$AT$2,1,0)</f>
        <v>1</v>
      </c>
      <c r="AN262">
        <f>IF(tbl_HR_Data[[#This Row],[Travel_Code]]=2,1,0)</f>
        <v>1</v>
      </c>
      <c r="AO262">
        <f>(tbl_HR_Data[[#This Row],[Flag_OT]] * Logic_Parameters!$B$2) +
 (tbl_HR_Data[[#This Row],[Flag_Travel]] * Logic_Parameters!$B$3) +
 (tbl_HR_Data[[#This Row],[Flag_Satisfaction]] * Logic_Parameters!$B$4) +
 (tbl_HR_Data[[#This Row],[Flag_Distance]]* Logic_Parameters!$B$5) +
 (tbl_HR_Data[[#This Row],[Flag_Income]] * Logic_Parameters!$B$6)</f>
        <v>15.859352047889136</v>
      </c>
      <c r="AP262" s="15">
        <f>tbl_HR_Data[[#This Row],[Risk_Score_Raw]] / SUM(Logic_Parameters!$B$2:$B$6)</f>
        <v>0.54639453549708916</v>
      </c>
      <c r="AQ262" s="16" t="str" cm="1">
        <f t="array" ref="AQ262">_xlfn.IFS(tbl_HR_Data[[#This Row],[Attrition_Risk_Percentage]] &gt;= 0.75, "Critical",tbl_HR_Data[ [#This Row],[Attrition_Risk_Percentage] ]&gt;= 0.5, "High",tbl_HR_Data[[#This Row],[Attrition_Risk_Percentage]] &gt;= 0.25, "Medium",TRUE, "Low")</f>
        <v>High</v>
      </c>
      <c r="AR262" s="16" cm="1">
        <f t="array" ref="AR262">IFERROR(_xlfn.IFS(tbl_HR_Data[[#This Row],[Risk_Category]]="Critical",tbl_HR_Data[[#This Row],[MonthlyIncome]]*1.5,tbl_HR_Data[[#This Row],[Risk_Category]]="High",tbl_HR_Data[[#This Row],[MonthlyIncome]]*1.5),0)</f>
        <v>4191</v>
      </c>
    </row>
    <row r="263" spans="1:44" x14ac:dyDescent="0.35">
      <c r="A263" t="s">
        <v>159</v>
      </c>
      <c r="B263">
        <v>38</v>
      </c>
      <c r="C263" t="s">
        <v>1525</v>
      </c>
      <c r="D263">
        <v>1327</v>
      </c>
      <c r="E263" t="s">
        <v>32</v>
      </c>
      <c r="F263">
        <v>2</v>
      </c>
      <c r="G263">
        <v>2</v>
      </c>
      <c r="H263" t="s">
        <v>33</v>
      </c>
      <c r="I263">
        <v>4</v>
      </c>
      <c r="J263" t="s">
        <v>39</v>
      </c>
      <c r="K263">
        <v>39</v>
      </c>
      <c r="L263">
        <v>2</v>
      </c>
      <c r="M263">
        <v>2</v>
      </c>
      <c r="N263" t="s">
        <v>35</v>
      </c>
      <c r="O263">
        <v>4</v>
      </c>
      <c r="P263" t="s">
        <v>41</v>
      </c>
      <c r="Q263">
        <v>5249</v>
      </c>
      <c r="R263">
        <v>19682</v>
      </c>
      <c r="S263">
        <v>3</v>
      </c>
      <c r="T263">
        <v>0</v>
      </c>
      <c r="U263" s="17">
        <v>0.18</v>
      </c>
      <c r="V263">
        <v>3</v>
      </c>
      <c r="W263">
        <v>4</v>
      </c>
      <c r="X263">
        <v>1</v>
      </c>
      <c r="Y263">
        <v>13</v>
      </c>
      <c r="Z263">
        <v>0</v>
      </c>
      <c r="AA263">
        <v>3</v>
      </c>
      <c r="AB263">
        <v>8</v>
      </c>
      <c r="AC263">
        <v>7</v>
      </c>
      <c r="AD263">
        <v>7</v>
      </c>
      <c r="AE263">
        <v>5</v>
      </c>
      <c r="AF263">
        <v>0</v>
      </c>
      <c r="AG263">
        <f>IF(tbl_HR_Data[[#This Row],[Gender]]="Male",1,0)</f>
        <v>1</v>
      </c>
      <c r="AH263" cm="1">
        <f t="array" ref="AH263">_xlfn.SWITCH(tbl_HR_Data[[#This Row],[BusinessTravel]], "Non-Travel", 0, "Travel_Rarely", 1, "Travel_Frequently", 2)</f>
        <v>0</v>
      </c>
      <c r="AI263" cm="1">
        <f t="array" ref="AI263">_xlfn.SWITCH(tbl_HR_Data[[#This Row],[MaritalStatus]],"Single",0,"Married",1,"Divorced",2)</f>
        <v>1</v>
      </c>
      <c r="AJ263">
        <f>IF(tbl_HR_Data[[#This Row],[OverTime]]=1,1,0)</f>
        <v>0</v>
      </c>
      <c r="AK263">
        <f>IF(tbl_HR_Data[[#This Row],[DistanceFromHome]]&gt;15,1,0)</f>
        <v>0</v>
      </c>
      <c r="AL263">
        <f>IF(tbl_HR_Data[[#This Row],[JobSatisfaction]]&lt;=2,1,0)</f>
        <v>0</v>
      </c>
      <c r="AM263">
        <f>IF(tbl_HR_Data[[#This Row],[MonthlyIncome]]&lt;$AT$2,1,0)</f>
        <v>0</v>
      </c>
      <c r="AN263">
        <f>IF(tbl_HR_Data[[#This Row],[Travel_Code]]=2,1,0)</f>
        <v>0</v>
      </c>
      <c r="AO263">
        <f>(tbl_HR_Data[[#This Row],[Flag_OT]] * Logic_Parameters!$B$2) +
 (tbl_HR_Data[[#This Row],[Flag_Travel]] * Logic_Parameters!$B$3) +
 (tbl_HR_Data[[#This Row],[Flag_Satisfaction]] * Logic_Parameters!$B$4) +
 (tbl_HR_Data[[#This Row],[Flag_Distance]]* Logic_Parameters!$B$5) +
 (tbl_HR_Data[[#This Row],[Flag_Income]] * Logic_Parameters!$B$6)</f>
        <v>0</v>
      </c>
      <c r="AP263" s="15">
        <f>tbl_HR_Data[[#This Row],[Risk_Score_Raw]] / SUM(Logic_Parameters!$B$2:$B$6)</f>
        <v>0</v>
      </c>
      <c r="AQ263" s="16" t="str" cm="1">
        <f t="array" ref="AQ263">_xlfn.IFS(tbl_HR_Data[[#This Row],[Attrition_Risk_Percentage]] &gt;= 0.75, "Critical",tbl_HR_Data[ [#This Row],[Attrition_Risk_Percentage] ]&gt;= 0.5, "High",tbl_HR_Data[[#This Row],[Attrition_Risk_Percentage]] &gt;= 0.25, "Medium",TRUE, "Low")</f>
        <v>Low</v>
      </c>
      <c r="AR263" s="16" cm="1">
        <f t="array" ref="AR263">IFERROR(_xlfn.IFS(tbl_HR_Data[[#This Row],[Risk_Category]]="Critical",tbl_HR_Data[[#This Row],[MonthlyIncome]]*1.5,tbl_HR_Data[[#This Row],[Risk_Category]]="High",tbl_HR_Data[[#This Row],[MonthlyIncome]]*1.5),0)</f>
        <v>0</v>
      </c>
    </row>
    <row r="264" spans="1:44" x14ac:dyDescent="0.35">
      <c r="A264" t="s">
        <v>949</v>
      </c>
      <c r="B264">
        <v>32</v>
      </c>
      <c r="C264" t="s">
        <v>31</v>
      </c>
      <c r="D264">
        <v>128</v>
      </c>
      <c r="E264" t="s">
        <v>38</v>
      </c>
      <c r="F264">
        <v>2</v>
      </c>
      <c r="G264">
        <v>1</v>
      </c>
      <c r="H264" t="s">
        <v>52</v>
      </c>
      <c r="I264">
        <v>4</v>
      </c>
      <c r="J264" t="s">
        <v>39</v>
      </c>
      <c r="K264">
        <v>84</v>
      </c>
      <c r="L264">
        <v>2</v>
      </c>
      <c r="M264">
        <v>2</v>
      </c>
      <c r="N264" t="s">
        <v>43</v>
      </c>
      <c r="O264">
        <v>1</v>
      </c>
      <c r="P264" t="s">
        <v>36</v>
      </c>
      <c r="Q264">
        <v>2176</v>
      </c>
      <c r="R264">
        <v>19737</v>
      </c>
      <c r="S264">
        <v>4</v>
      </c>
      <c r="T264">
        <v>0</v>
      </c>
      <c r="U264" s="17">
        <v>0.13</v>
      </c>
      <c r="V264">
        <v>3</v>
      </c>
      <c r="W264">
        <v>4</v>
      </c>
      <c r="X264">
        <v>0</v>
      </c>
      <c r="Y264">
        <v>9</v>
      </c>
      <c r="Z264">
        <v>5</v>
      </c>
      <c r="AA264">
        <v>3</v>
      </c>
      <c r="AB264">
        <v>6</v>
      </c>
      <c r="AC264">
        <v>2</v>
      </c>
      <c r="AD264">
        <v>0</v>
      </c>
      <c r="AE264">
        <v>4</v>
      </c>
      <c r="AF264">
        <v>0</v>
      </c>
      <c r="AG264">
        <f>IF(tbl_HR_Data[[#This Row],[Gender]]="Male",1,0)</f>
        <v>1</v>
      </c>
      <c r="AH264" cm="1">
        <f t="array" ref="AH264">_xlfn.SWITCH(tbl_HR_Data[[#This Row],[BusinessTravel]], "Non-Travel", 0, "Travel_Rarely", 1, "Travel_Frequently", 2)</f>
        <v>1</v>
      </c>
      <c r="AI264" cm="1">
        <f t="array" ref="AI264">_xlfn.SWITCH(tbl_HR_Data[[#This Row],[MaritalStatus]],"Single",0,"Married",1,"Divorced",2)</f>
        <v>0</v>
      </c>
      <c r="AJ264">
        <f>IF(tbl_HR_Data[[#This Row],[OverTime]]=1,1,0)</f>
        <v>0</v>
      </c>
      <c r="AK264">
        <f>IF(tbl_HR_Data[[#This Row],[DistanceFromHome]]&gt;15,1,0)</f>
        <v>0</v>
      </c>
      <c r="AL264">
        <f>IF(tbl_HR_Data[[#This Row],[JobSatisfaction]]&lt;=2,1,0)</f>
        <v>1</v>
      </c>
      <c r="AM264">
        <f>IF(tbl_HR_Data[[#This Row],[MonthlyIncome]]&lt;$AT$2,1,0)</f>
        <v>1</v>
      </c>
      <c r="AN264">
        <f>IF(tbl_HR_Data[[#This Row],[Travel_Code]]=2,1,0)</f>
        <v>0</v>
      </c>
      <c r="AO264">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264" s="15">
        <f>tbl_HR_Data[[#This Row],[Risk_Score_Raw]] / SUM(Logic_Parameters!$B$2:$B$6)</f>
        <v>0.3686061316669938</v>
      </c>
      <c r="AQ264" s="16" t="str" cm="1">
        <f t="array" ref="AQ264">_xlfn.IFS(tbl_HR_Data[[#This Row],[Attrition_Risk_Percentage]] &gt;= 0.75, "Critical",tbl_HR_Data[ [#This Row],[Attrition_Risk_Percentage] ]&gt;= 0.5, "High",tbl_HR_Data[[#This Row],[Attrition_Risk_Percentage]] &gt;= 0.25, "Medium",TRUE, "Low")</f>
        <v>Medium</v>
      </c>
      <c r="AR264" s="16" cm="1">
        <f t="array" ref="AR264">IFERROR(_xlfn.IFS(tbl_HR_Data[[#This Row],[Risk_Category]]="Critical",tbl_HR_Data[[#This Row],[MonthlyIncome]]*1.5,tbl_HR_Data[[#This Row],[Risk_Category]]="High",tbl_HR_Data[[#This Row],[MonthlyIncome]]*1.5),0)</f>
        <v>0</v>
      </c>
    </row>
    <row r="265" spans="1:44" x14ac:dyDescent="0.35">
      <c r="A265" t="s">
        <v>614</v>
      </c>
      <c r="B265">
        <v>46</v>
      </c>
      <c r="C265" t="s">
        <v>31</v>
      </c>
      <c r="D265">
        <v>488</v>
      </c>
      <c r="E265" t="s">
        <v>32</v>
      </c>
      <c r="F265">
        <v>2</v>
      </c>
      <c r="G265">
        <v>3</v>
      </c>
      <c r="H265" t="s">
        <v>52</v>
      </c>
      <c r="I265">
        <v>3</v>
      </c>
      <c r="J265" t="s">
        <v>34</v>
      </c>
      <c r="K265">
        <v>75</v>
      </c>
      <c r="L265">
        <v>1</v>
      </c>
      <c r="M265">
        <v>4</v>
      </c>
      <c r="N265" t="s">
        <v>48</v>
      </c>
      <c r="O265">
        <v>2</v>
      </c>
      <c r="P265" t="s">
        <v>41</v>
      </c>
      <c r="Q265">
        <v>16872</v>
      </c>
      <c r="R265">
        <v>14977</v>
      </c>
      <c r="S265">
        <v>3</v>
      </c>
      <c r="T265">
        <v>1</v>
      </c>
      <c r="U265" s="17">
        <v>0.12</v>
      </c>
      <c r="V265">
        <v>3</v>
      </c>
      <c r="W265">
        <v>2</v>
      </c>
      <c r="X265">
        <v>1</v>
      </c>
      <c r="Y265">
        <v>28</v>
      </c>
      <c r="Z265">
        <v>2</v>
      </c>
      <c r="AA265">
        <v>2</v>
      </c>
      <c r="AB265">
        <v>7</v>
      </c>
      <c r="AC265">
        <v>7</v>
      </c>
      <c r="AD265">
        <v>7</v>
      </c>
      <c r="AE265">
        <v>7</v>
      </c>
      <c r="AF265">
        <v>0</v>
      </c>
      <c r="AG265">
        <f>IF(tbl_HR_Data[[#This Row],[Gender]]="Male",1,0)</f>
        <v>0</v>
      </c>
      <c r="AH265" cm="1">
        <f t="array" ref="AH265">_xlfn.SWITCH(tbl_HR_Data[[#This Row],[BusinessTravel]], "Non-Travel", 0, "Travel_Rarely", 1, "Travel_Frequently", 2)</f>
        <v>1</v>
      </c>
      <c r="AI265" cm="1">
        <f t="array" ref="AI265">_xlfn.SWITCH(tbl_HR_Data[[#This Row],[MaritalStatus]],"Single",0,"Married",1,"Divorced",2)</f>
        <v>1</v>
      </c>
      <c r="AJ265">
        <f>IF(tbl_HR_Data[[#This Row],[OverTime]]=1,1,0)</f>
        <v>1</v>
      </c>
      <c r="AK265">
        <f>IF(tbl_HR_Data[[#This Row],[DistanceFromHome]]&gt;15,1,0)</f>
        <v>0</v>
      </c>
      <c r="AL265">
        <f>IF(tbl_HR_Data[[#This Row],[JobSatisfaction]]&lt;=2,1,0)</f>
        <v>1</v>
      </c>
      <c r="AM265">
        <f>IF(tbl_HR_Data[[#This Row],[MonthlyIncome]]&lt;$AT$2,1,0)</f>
        <v>0</v>
      </c>
      <c r="AN265">
        <f>IF(tbl_HR_Data[[#This Row],[Travel_Code]]=2,1,0)</f>
        <v>0</v>
      </c>
      <c r="AO265">
        <f>(tbl_HR_Data[[#This Row],[Flag_OT]] * Logic_Parameters!$B$2) +
 (tbl_HR_Data[[#This Row],[Flag_Travel]] * Logic_Parameters!$B$3) +
 (tbl_HR_Data[[#This Row],[Flag_Satisfaction]] * Logic_Parameters!$B$4) +
 (tbl_HR_Data[[#This Row],[Flag_Distance]]* Logic_Parameters!$B$5) +
 (tbl_HR_Data[[#This Row],[Flag_Income]] * Logic_Parameters!$B$6)</f>
        <v>14.204533129978131</v>
      </c>
      <c r="AP265" s="15">
        <f>tbl_HR_Data[[#This Row],[Risk_Score_Raw]] / SUM(Logic_Parameters!$B$2:$B$6)</f>
        <v>0.48938186491297625</v>
      </c>
      <c r="AQ265" s="16" t="str" cm="1">
        <f t="array" ref="AQ265">_xlfn.IFS(tbl_HR_Data[[#This Row],[Attrition_Risk_Percentage]] &gt;= 0.75, "Critical",tbl_HR_Data[ [#This Row],[Attrition_Risk_Percentage] ]&gt;= 0.5, "High",tbl_HR_Data[[#This Row],[Attrition_Risk_Percentage]] &gt;= 0.25, "Medium",TRUE, "Low")</f>
        <v>Medium</v>
      </c>
      <c r="AR265" s="16" cm="1">
        <f t="array" ref="AR265">IFERROR(_xlfn.IFS(tbl_HR_Data[[#This Row],[Risk_Category]]="Critical",tbl_HR_Data[[#This Row],[MonthlyIncome]]*1.5,tbl_HR_Data[[#This Row],[Risk_Category]]="High",tbl_HR_Data[[#This Row],[MonthlyIncome]]*1.5),0)</f>
        <v>0</v>
      </c>
    </row>
    <row r="266" spans="1:44" x14ac:dyDescent="0.35">
      <c r="A266" t="s">
        <v>402</v>
      </c>
      <c r="B266">
        <v>28</v>
      </c>
      <c r="C266" t="s">
        <v>31</v>
      </c>
      <c r="D266">
        <v>529</v>
      </c>
      <c r="E266" t="s">
        <v>38</v>
      </c>
      <c r="F266">
        <v>2</v>
      </c>
      <c r="G266">
        <v>4</v>
      </c>
      <c r="H266" t="s">
        <v>33</v>
      </c>
      <c r="I266">
        <v>1</v>
      </c>
      <c r="J266" t="s">
        <v>39</v>
      </c>
      <c r="K266">
        <v>79</v>
      </c>
      <c r="L266">
        <v>3</v>
      </c>
      <c r="M266">
        <v>1</v>
      </c>
      <c r="N266" t="s">
        <v>43</v>
      </c>
      <c r="O266">
        <v>3</v>
      </c>
      <c r="P266" t="s">
        <v>36</v>
      </c>
      <c r="Q266">
        <v>3485</v>
      </c>
      <c r="R266">
        <v>14935</v>
      </c>
      <c r="S266">
        <v>2</v>
      </c>
      <c r="T266">
        <v>0</v>
      </c>
      <c r="U266" s="17">
        <v>0.11</v>
      </c>
      <c r="V266">
        <v>3</v>
      </c>
      <c r="W266">
        <v>3</v>
      </c>
      <c r="X266">
        <v>0</v>
      </c>
      <c r="Y266">
        <v>5</v>
      </c>
      <c r="Z266">
        <v>5</v>
      </c>
      <c r="AA266">
        <v>1</v>
      </c>
      <c r="AB266">
        <v>0</v>
      </c>
      <c r="AC266">
        <v>0</v>
      </c>
      <c r="AD266">
        <v>0</v>
      </c>
      <c r="AE266">
        <v>0</v>
      </c>
      <c r="AF266">
        <v>1</v>
      </c>
      <c r="AG266">
        <f>IF(tbl_HR_Data[[#This Row],[Gender]]="Male",1,0)</f>
        <v>1</v>
      </c>
      <c r="AH266" cm="1">
        <f t="array" ref="AH266">_xlfn.SWITCH(tbl_HR_Data[[#This Row],[BusinessTravel]], "Non-Travel", 0, "Travel_Rarely", 1, "Travel_Frequently", 2)</f>
        <v>1</v>
      </c>
      <c r="AI266" cm="1">
        <f t="array" ref="AI266">_xlfn.SWITCH(tbl_HR_Data[[#This Row],[MaritalStatus]],"Single",0,"Married",1,"Divorced",2)</f>
        <v>0</v>
      </c>
      <c r="AJ266">
        <f>IF(tbl_HR_Data[[#This Row],[OverTime]]=1,1,0)</f>
        <v>0</v>
      </c>
      <c r="AK266">
        <f>IF(tbl_HR_Data[[#This Row],[DistanceFromHome]]&gt;15,1,0)</f>
        <v>0</v>
      </c>
      <c r="AL266">
        <f>IF(tbl_HR_Data[[#This Row],[JobSatisfaction]]&lt;=2,1,0)</f>
        <v>0</v>
      </c>
      <c r="AM266">
        <f>IF(tbl_HR_Data[[#This Row],[MonthlyIncome]]&lt;$AT$2,1,0)</f>
        <v>1</v>
      </c>
      <c r="AN266">
        <f>IF(tbl_HR_Data[[#This Row],[Travel_Code]]=2,1,0)</f>
        <v>0</v>
      </c>
      <c r="AO266">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266" s="15">
        <f>tbl_HR_Data[[#This Row],[Risk_Score_Raw]] / SUM(Logic_Parameters!$B$2:$B$6)</f>
        <v>0.22374939857982484</v>
      </c>
      <c r="AQ266" s="16" t="str" cm="1">
        <f t="array" ref="AQ266">_xlfn.IFS(tbl_HR_Data[[#This Row],[Attrition_Risk_Percentage]] &gt;= 0.75, "Critical",tbl_HR_Data[ [#This Row],[Attrition_Risk_Percentage] ]&gt;= 0.5, "High",tbl_HR_Data[[#This Row],[Attrition_Risk_Percentage]] &gt;= 0.25, "Medium",TRUE, "Low")</f>
        <v>Low</v>
      </c>
      <c r="AR266" s="16" cm="1">
        <f t="array" ref="AR266">IFERROR(_xlfn.IFS(tbl_HR_Data[[#This Row],[Risk_Category]]="Critical",tbl_HR_Data[[#This Row],[MonthlyIncome]]*1.5,tbl_HR_Data[[#This Row],[Risk_Category]]="High",tbl_HR_Data[[#This Row],[MonthlyIncome]]*1.5),0)</f>
        <v>0</v>
      </c>
    </row>
    <row r="267" spans="1:44" x14ac:dyDescent="0.35">
      <c r="A267" t="s">
        <v>1513</v>
      </c>
      <c r="B267">
        <v>29</v>
      </c>
      <c r="C267" t="s">
        <v>31</v>
      </c>
      <c r="D267">
        <v>1210</v>
      </c>
      <c r="E267" t="s">
        <v>32</v>
      </c>
      <c r="F267">
        <v>2</v>
      </c>
      <c r="G267">
        <v>3</v>
      </c>
      <c r="H267" t="s">
        <v>44</v>
      </c>
      <c r="I267">
        <v>1</v>
      </c>
      <c r="J267" t="s">
        <v>39</v>
      </c>
      <c r="K267">
        <v>78</v>
      </c>
      <c r="L267">
        <v>2</v>
      </c>
      <c r="M267">
        <v>2</v>
      </c>
      <c r="N267" t="s">
        <v>35</v>
      </c>
      <c r="O267">
        <v>2</v>
      </c>
      <c r="P267" t="s">
        <v>41</v>
      </c>
      <c r="Q267">
        <v>6644</v>
      </c>
      <c r="R267">
        <v>3687</v>
      </c>
      <c r="S267">
        <v>2</v>
      </c>
      <c r="T267">
        <v>0</v>
      </c>
      <c r="U267" s="17">
        <v>0.19</v>
      </c>
      <c r="V267">
        <v>3</v>
      </c>
      <c r="W267">
        <v>2</v>
      </c>
      <c r="X267">
        <v>2</v>
      </c>
      <c r="Y267">
        <v>10</v>
      </c>
      <c r="Z267">
        <v>2</v>
      </c>
      <c r="AA267">
        <v>3</v>
      </c>
      <c r="AB267">
        <v>0</v>
      </c>
      <c r="AC267">
        <v>0</v>
      </c>
      <c r="AD267">
        <v>0</v>
      </c>
      <c r="AE267">
        <v>0</v>
      </c>
      <c r="AF267">
        <v>0</v>
      </c>
      <c r="AG267">
        <f>IF(tbl_HR_Data[[#This Row],[Gender]]="Male",1,0)</f>
        <v>1</v>
      </c>
      <c r="AH267" cm="1">
        <f t="array" ref="AH267">_xlfn.SWITCH(tbl_HR_Data[[#This Row],[BusinessTravel]], "Non-Travel", 0, "Travel_Rarely", 1, "Travel_Frequently", 2)</f>
        <v>1</v>
      </c>
      <c r="AI267" cm="1">
        <f t="array" ref="AI267">_xlfn.SWITCH(tbl_HR_Data[[#This Row],[MaritalStatus]],"Single",0,"Married",1,"Divorced",2)</f>
        <v>1</v>
      </c>
      <c r="AJ267">
        <f>IF(tbl_HR_Data[[#This Row],[OverTime]]=1,1,0)</f>
        <v>0</v>
      </c>
      <c r="AK267">
        <f>IF(tbl_HR_Data[[#This Row],[DistanceFromHome]]&gt;15,1,0)</f>
        <v>0</v>
      </c>
      <c r="AL267">
        <f>IF(tbl_HR_Data[[#This Row],[JobSatisfaction]]&lt;=2,1,0)</f>
        <v>1</v>
      </c>
      <c r="AM267">
        <f>IF(tbl_HR_Data[[#This Row],[MonthlyIncome]]&lt;$AT$2,1,0)</f>
        <v>0</v>
      </c>
      <c r="AN267">
        <f>IF(tbl_HR_Data[[#This Row],[Travel_Code]]=2,1,0)</f>
        <v>0</v>
      </c>
      <c r="AO267">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267" s="15">
        <f>tbl_HR_Data[[#This Row],[Risk_Score_Raw]] / SUM(Logic_Parameters!$B$2:$B$6)</f>
        <v>0.14485673308716898</v>
      </c>
      <c r="AQ267" s="16" t="str" cm="1">
        <f t="array" ref="AQ267">_xlfn.IFS(tbl_HR_Data[[#This Row],[Attrition_Risk_Percentage]] &gt;= 0.75, "Critical",tbl_HR_Data[ [#This Row],[Attrition_Risk_Percentage] ]&gt;= 0.5, "High",tbl_HR_Data[[#This Row],[Attrition_Risk_Percentage]] &gt;= 0.25, "Medium",TRUE, "Low")</f>
        <v>Low</v>
      </c>
      <c r="AR267" s="16" cm="1">
        <f t="array" ref="AR267">IFERROR(_xlfn.IFS(tbl_HR_Data[[#This Row],[Risk_Category]]="Critical",tbl_HR_Data[[#This Row],[MonthlyIncome]]*1.5,tbl_HR_Data[[#This Row],[Risk_Category]]="High",tbl_HR_Data[[#This Row],[MonthlyIncome]]*1.5),0)</f>
        <v>0</v>
      </c>
    </row>
    <row r="268" spans="1:44" x14ac:dyDescent="0.35">
      <c r="A268" t="s">
        <v>677</v>
      </c>
      <c r="B268">
        <v>31</v>
      </c>
      <c r="C268" t="s">
        <v>31</v>
      </c>
      <c r="D268">
        <v>1463</v>
      </c>
      <c r="E268" t="s">
        <v>38</v>
      </c>
      <c r="F268">
        <v>23</v>
      </c>
      <c r="G268">
        <v>3</v>
      </c>
      <c r="H268" t="s">
        <v>44</v>
      </c>
      <c r="I268">
        <v>2</v>
      </c>
      <c r="J268" t="s">
        <v>39</v>
      </c>
      <c r="K268">
        <v>64</v>
      </c>
      <c r="L268">
        <v>2</v>
      </c>
      <c r="M268">
        <v>2</v>
      </c>
      <c r="N268" t="s">
        <v>47</v>
      </c>
      <c r="O268">
        <v>4</v>
      </c>
      <c r="P268" t="s">
        <v>41</v>
      </c>
      <c r="Q268">
        <v>5582</v>
      </c>
      <c r="R268">
        <v>14408</v>
      </c>
      <c r="S268">
        <v>0</v>
      </c>
      <c r="T268">
        <v>0</v>
      </c>
      <c r="U268" s="17">
        <v>0.21</v>
      </c>
      <c r="V268">
        <v>4</v>
      </c>
      <c r="W268">
        <v>2</v>
      </c>
      <c r="X268">
        <v>1</v>
      </c>
      <c r="Y268">
        <v>10</v>
      </c>
      <c r="Z268">
        <v>2</v>
      </c>
      <c r="AA268">
        <v>3</v>
      </c>
      <c r="AB268">
        <v>9</v>
      </c>
      <c r="AC268">
        <v>0</v>
      </c>
      <c r="AD268">
        <v>7</v>
      </c>
      <c r="AE268">
        <v>8</v>
      </c>
      <c r="AF268">
        <v>0</v>
      </c>
      <c r="AG268">
        <f>IF(tbl_HR_Data[[#This Row],[Gender]]="Male",1,0)</f>
        <v>1</v>
      </c>
      <c r="AH268" cm="1">
        <f t="array" ref="AH268">_xlfn.SWITCH(tbl_HR_Data[[#This Row],[BusinessTravel]], "Non-Travel", 0, "Travel_Rarely", 1, "Travel_Frequently", 2)</f>
        <v>1</v>
      </c>
      <c r="AI268" cm="1">
        <f t="array" ref="AI268">_xlfn.SWITCH(tbl_HR_Data[[#This Row],[MaritalStatus]],"Single",0,"Married",1,"Divorced",2)</f>
        <v>1</v>
      </c>
      <c r="AJ268">
        <f>IF(tbl_HR_Data[[#This Row],[OverTime]]=1,1,0)</f>
        <v>0</v>
      </c>
      <c r="AK268">
        <f>IF(tbl_HR_Data[[#This Row],[DistanceFromHome]]&gt;15,1,0)</f>
        <v>1</v>
      </c>
      <c r="AL268">
        <f>IF(tbl_HR_Data[[#This Row],[JobSatisfaction]]&lt;=2,1,0)</f>
        <v>0</v>
      </c>
      <c r="AM268">
        <f>IF(tbl_HR_Data[[#This Row],[MonthlyIncome]]&lt;$AT$2,1,0)</f>
        <v>0</v>
      </c>
      <c r="AN268">
        <f>IF(tbl_HR_Data[[#This Row],[Travel_Code]]=2,1,0)</f>
        <v>0</v>
      </c>
      <c r="AO268">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268" s="15">
        <f>tbl_HR_Data[[#This Row],[Risk_Score_Raw]] / SUM(Logic_Parameters!$B$2:$B$6)</f>
        <v>0.10908033267710357</v>
      </c>
      <c r="AQ268" s="16" t="str" cm="1">
        <f t="array" ref="AQ268">_xlfn.IFS(tbl_HR_Data[[#This Row],[Attrition_Risk_Percentage]] &gt;= 0.75, "Critical",tbl_HR_Data[ [#This Row],[Attrition_Risk_Percentage] ]&gt;= 0.5, "High",tbl_HR_Data[[#This Row],[Attrition_Risk_Percentage]] &gt;= 0.25, "Medium",TRUE, "Low")</f>
        <v>Low</v>
      </c>
      <c r="AR268" s="16" cm="1">
        <f t="array" ref="AR268">IFERROR(_xlfn.IFS(tbl_HR_Data[[#This Row],[Risk_Category]]="Critical",tbl_HR_Data[[#This Row],[MonthlyIncome]]*1.5,tbl_HR_Data[[#This Row],[Risk_Category]]="High",tbl_HR_Data[[#This Row],[MonthlyIncome]]*1.5),0)</f>
        <v>0</v>
      </c>
    </row>
    <row r="269" spans="1:44" x14ac:dyDescent="0.35">
      <c r="A269" t="s">
        <v>1042</v>
      </c>
      <c r="B269">
        <v>25</v>
      </c>
      <c r="C269" t="s">
        <v>1525</v>
      </c>
      <c r="D269">
        <v>675</v>
      </c>
      <c r="E269" t="s">
        <v>38</v>
      </c>
      <c r="F269">
        <v>5</v>
      </c>
      <c r="G269">
        <v>2</v>
      </c>
      <c r="H269" t="s">
        <v>33</v>
      </c>
      <c r="I269">
        <v>2</v>
      </c>
      <c r="J269" t="s">
        <v>39</v>
      </c>
      <c r="K269">
        <v>85</v>
      </c>
      <c r="L269">
        <v>4</v>
      </c>
      <c r="M269">
        <v>2</v>
      </c>
      <c r="N269" t="s">
        <v>47</v>
      </c>
      <c r="O269">
        <v>1</v>
      </c>
      <c r="P269" t="s">
        <v>45</v>
      </c>
      <c r="Q269">
        <v>4000</v>
      </c>
      <c r="R269">
        <v>18384</v>
      </c>
      <c r="S269">
        <v>1</v>
      </c>
      <c r="T269">
        <v>0</v>
      </c>
      <c r="U269" s="17">
        <v>0.12</v>
      </c>
      <c r="V269">
        <v>3</v>
      </c>
      <c r="W269">
        <v>4</v>
      </c>
      <c r="X269">
        <v>2</v>
      </c>
      <c r="Y269">
        <v>6</v>
      </c>
      <c r="Z269">
        <v>2</v>
      </c>
      <c r="AA269">
        <v>3</v>
      </c>
      <c r="AB269">
        <v>6</v>
      </c>
      <c r="AC269">
        <v>3</v>
      </c>
      <c r="AD269">
        <v>1</v>
      </c>
      <c r="AE269">
        <v>5</v>
      </c>
      <c r="AF269">
        <v>0</v>
      </c>
      <c r="AG269">
        <f>IF(tbl_HR_Data[[#This Row],[Gender]]="Male",1,0)</f>
        <v>1</v>
      </c>
      <c r="AH269" cm="1">
        <f t="array" ref="AH269">_xlfn.SWITCH(tbl_HR_Data[[#This Row],[BusinessTravel]], "Non-Travel", 0, "Travel_Rarely", 1, "Travel_Frequently", 2)</f>
        <v>0</v>
      </c>
      <c r="AI269" cm="1">
        <f t="array" ref="AI269">_xlfn.SWITCH(tbl_HR_Data[[#This Row],[MaritalStatus]],"Single",0,"Married",1,"Divorced",2)</f>
        <v>2</v>
      </c>
      <c r="AJ269">
        <f>IF(tbl_HR_Data[[#This Row],[OverTime]]=1,1,0)</f>
        <v>0</v>
      </c>
      <c r="AK269">
        <f>IF(tbl_HR_Data[[#This Row],[DistanceFromHome]]&gt;15,1,0)</f>
        <v>0</v>
      </c>
      <c r="AL269">
        <f>IF(tbl_HR_Data[[#This Row],[JobSatisfaction]]&lt;=2,1,0)</f>
        <v>1</v>
      </c>
      <c r="AM269">
        <f>IF(tbl_HR_Data[[#This Row],[MonthlyIncome]]&lt;$AT$2,1,0)</f>
        <v>1</v>
      </c>
      <c r="AN269">
        <f>IF(tbl_HR_Data[[#This Row],[Travel_Code]]=2,1,0)</f>
        <v>0</v>
      </c>
      <c r="AO269">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269" s="15">
        <f>tbl_HR_Data[[#This Row],[Risk_Score_Raw]] / SUM(Logic_Parameters!$B$2:$B$6)</f>
        <v>0.3686061316669938</v>
      </c>
      <c r="AQ269" s="16" t="str" cm="1">
        <f t="array" ref="AQ269">_xlfn.IFS(tbl_HR_Data[[#This Row],[Attrition_Risk_Percentage]] &gt;= 0.75, "Critical",tbl_HR_Data[ [#This Row],[Attrition_Risk_Percentage] ]&gt;= 0.5, "High",tbl_HR_Data[[#This Row],[Attrition_Risk_Percentage]] &gt;= 0.25, "Medium",TRUE, "Low")</f>
        <v>Medium</v>
      </c>
      <c r="AR269" s="16" cm="1">
        <f t="array" ref="AR269">IFERROR(_xlfn.IFS(tbl_HR_Data[[#This Row],[Risk_Category]]="Critical",tbl_HR_Data[[#This Row],[MonthlyIncome]]*1.5,tbl_HR_Data[[#This Row],[Risk_Category]]="High",tbl_HR_Data[[#This Row],[MonthlyIncome]]*1.5),0)</f>
        <v>0</v>
      </c>
    </row>
    <row r="270" spans="1:44" x14ac:dyDescent="0.35">
      <c r="A270" t="s">
        <v>1463</v>
      </c>
      <c r="B270">
        <v>45</v>
      </c>
      <c r="C270" t="s">
        <v>31</v>
      </c>
      <c r="D270">
        <v>1385</v>
      </c>
      <c r="E270" t="s">
        <v>38</v>
      </c>
      <c r="F270">
        <v>20</v>
      </c>
      <c r="G270">
        <v>2</v>
      </c>
      <c r="H270" t="s">
        <v>44</v>
      </c>
      <c r="I270">
        <v>3</v>
      </c>
      <c r="J270" t="s">
        <v>39</v>
      </c>
      <c r="K270">
        <v>79</v>
      </c>
      <c r="L270">
        <v>3</v>
      </c>
      <c r="M270">
        <v>4</v>
      </c>
      <c r="N270" t="s">
        <v>47</v>
      </c>
      <c r="O270">
        <v>4</v>
      </c>
      <c r="P270" t="s">
        <v>41</v>
      </c>
      <c r="Q270">
        <v>13496</v>
      </c>
      <c r="R270">
        <v>7501</v>
      </c>
      <c r="S270">
        <v>0</v>
      </c>
      <c r="T270">
        <v>1</v>
      </c>
      <c r="U270" s="17">
        <v>0.14000000000000001</v>
      </c>
      <c r="V270">
        <v>3</v>
      </c>
      <c r="W270">
        <v>2</v>
      </c>
      <c r="X270">
        <v>0</v>
      </c>
      <c r="Y270">
        <v>21</v>
      </c>
      <c r="Z270">
        <v>2</v>
      </c>
      <c r="AA270">
        <v>3</v>
      </c>
      <c r="AB270">
        <v>20</v>
      </c>
      <c r="AC270">
        <v>7</v>
      </c>
      <c r="AD270">
        <v>4</v>
      </c>
      <c r="AE270">
        <v>10</v>
      </c>
      <c r="AF270">
        <v>0</v>
      </c>
      <c r="AG270">
        <f>IF(tbl_HR_Data[[#This Row],[Gender]]="Male",1,0)</f>
        <v>1</v>
      </c>
      <c r="AH270" cm="1">
        <f t="array" ref="AH270">_xlfn.SWITCH(tbl_HR_Data[[#This Row],[BusinessTravel]], "Non-Travel", 0, "Travel_Rarely", 1, "Travel_Frequently", 2)</f>
        <v>1</v>
      </c>
      <c r="AI270" cm="1">
        <f t="array" ref="AI270">_xlfn.SWITCH(tbl_HR_Data[[#This Row],[MaritalStatus]],"Single",0,"Married",1,"Divorced",2)</f>
        <v>1</v>
      </c>
      <c r="AJ270">
        <f>IF(tbl_HR_Data[[#This Row],[OverTime]]=1,1,0)</f>
        <v>1</v>
      </c>
      <c r="AK270">
        <f>IF(tbl_HR_Data[[#This Row],[DistanceFromHome]]&gt;15,1,0)</f>
        <v>1</v>
      </c>
      <c r="AL270">
        <f>IF(tbl_HR_Data[[#This Row],[JobSatisfaction]]&lt;=2,1,0)</f>
        <v>0</v>
      </c>
      <c r="AM270">
        <f>IF(tbl_HR_Data[[#This Row],[MonthlyIncome]]&lt;$AT$2,1,0)</f>
        <v>0</v>
      </c>
      <c r="AN270">
        <f>IF(tbl_HR_Data[[#This Row],[Travel_Code]]=2,1,0)</f>
        <v>0</v>
      </c>
      <c r="AO270">
        <f>(tbl_HR_Data[[#This Row],[Flag_OT]] * Logic_Parameters!$B$2) +
 (tbl_HR_Data[[#This Row],[Flag_Travel]] * Logic_Parameters!$B$3) +
 (tbl_HR_Data[[#This Row],[Flag_Satisfaction]] * Logic_Parameters!$B$4) +
 (tbl_HR_Data[[#This Row],[Flag_Distance]]* Logic_Parameters!$B$5) +
 (tbl_HR_Data[[#This Row],[Flag_Income]] * Logic_Parameters!$B$6)</f>
        <v>13.166106695875378</v>
      </c>
      <c r="AP270" s="15">
        <f>tbl_HR_Data[[#This Row],[Risk_Score_Raw]] / SUM(Logic_Parameters!$B$2:$B$6)</f>
        <v>0.45360546450291089</v>
      </c>
      <c r="AQ270" s="16" t="str" cm="1">
        <f t="array" ref="AQ270">_xlfn.IFS(tbl_HR_Data[[#This Row],[Attrition_Risk_Percentage]] &gt;= 0.75, "Critical",tbl_HR_Data[ [#This Row],[Attrition_Risk_Percentage] ]&gt;= 0.5, "High",tbl_HR_Data[[#This Row],[Attrition_Risk_Percentage]] &gt;= 0.25, "Medium",TRUE, "Low")</f>
        <v>Medium</v>
      </c>
      <c r="AR270" s="16" cm="1">
        <f t="array" ref="AR270">IFERROR(_xlfn.IFS(tbl_HR_Data[[#This Row],[Risk_Category]]="Critical",tbl_HR_Data[[#This Row],[MonthlyIncome]]*1.5,tbl_HR_Data[[#This Row],[Risk_Category]]="High",tbl_HR_Data[[#This Row],[MonthlyIncome]]*1.5),0)</f>
        <v>0</v>
      </c>
    </row>
    <row r="271" spans="1:44" x14ac:dyDescent="0.35">
      <c r="A271" t="s">
        <v>992</v>
      </c>
      <c r="B271">
        <v>36</v>
      </c>
      <c r="C271" t="s">
        <v>31</v>
      </c>
      <c r="D271">
        <v>1403</v>
      </c>
      <c r="E271" t="s">
        <v>38</v>
      </c>
      <c r="F271">
        <v>6</v>
      </c>
      <c r="G271">
        <v>3</v>
      </c>
      <c r="H271" t="s">
        <v>33</v>
      </c>
      <c r="I271">
        <v>4</v>
      </c>
      <c r="J271" t="s">
        <v>39</v>
      </c>
      <c r="K271">
        <v>47</v>
      </c>
      <c r="L271">
        <v>3</v>
      </c>
      <c r="M271">
        <v>1</v>
      </c>
      <c r="N271" t="s">
        <v>43</v>
      </c>
      <c r="O271">
        <v>4</v>
      </c>
      <c r="P271" t="s">
        <v>41</v>
      </c>
      <c r="Q271">
        <v>3210</v>
      </c>
      <c r="R271">
        <v>20251</v>
      </c>
      <c r="S271">
        <v>0</v>
      </c>
      <c r="T271">
        <v>0</v>
      </c>
      <c r="U271" s="17">
        <v>0.11</v>
      </c>
      <c r="V271">
        <v>3</v>
      </c>
      <c r="W271">
        <v>3</v>
      </c>
      <c r="X271">
        <v>1</v>
      </c>
      <c r="Y271">
        <v>16</v>
      </c>
      <c r="Z271">
        <v>4</v>
      </c>
      <c r="AA271">
        <v>3</v>
      </c>
      <c r="AB271">
        <v>15</v>
      </c>
      <c r="AC271">
        <v>13</v>
      </c>
      <c r="AD271">
        <v>10</v>
      </c>
      <c r="AE271">
        <v>11</v>
      </c>
      <c r="AF271">
        <v>0</v>
      </c>
      <c r="AG271">
        <f>IF(tbl_HR_Data[[#This Row],[Gender]]="Male",1,0)</f>
        <v>1</v>
      </c>
      <c r="AH271" cm="1">
        <f t="array" ref="AH271">_xlfn.SWITCH(tbl_HR_Data[[#This Row],[BusinessTravel]], "Non-Travel", 0, "Travel_Rarely", 1, "Travel_Frequently", 2)</f>
        <v>1</v>
      </c>
      <c r="AI271" cm="1">
        <f t="array" ref="AI271">_xlfn.SWITCH(tbl_HR_Data[[#This Row],[MaritalStatus]],"Single",0,"Married",1,"Divorced",2)</f>
        <v>1</v>
      </c>
      <c r="AJ271">
        <f>IF(tbl_HR_Data[[#This Row],[OverTime]]=1,1,0)</f>
        <v>0</v>
      </c>
      <c r="AK271">
        <f>IF(tbl_HR_Data[[#This Row],[DistanceFromHome]]&gt;15,1,0)</f>
        <v>0</v>
      </c>
      <c r="AL271">
        <f>IF(tbl_HR_Data[[#This Row],[JobSatisfaction]]&lt;=2,1,0)</f>
        <v>0</v>
      </c>
      <c r="AM271">
        <f>IF(tbl_HR_Data[[#This Row],[MonthlyIncome]]&lt;$AT$2,1,0)</f>
        <v>1</v>
      </c>
      <c r="AN271">
        <f>IF(tbl_HR_Data[[#This Row],[Travel_Code]]=2,1,0)</f>
        <v>0</v>
      </c>
      <c r="AO271">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271" s="15">
        <f>tbl_HR_Data[[#This Row],[Risk_Score_Raw]] / SUM(Logic_Parameters!$B$2:$B$6)</f>
        <v>0.22374939857982484</v>
      </c>
      <c r="AQ271" s="16" t="str" cm="1">
        <f t="array" ref="AQ271">_xlfn.IFS(tbl_HR_Data[[#This Row],[Attrition_Risk_Percentage]] &gt;= 0.75, "Critical",tbl_HR_Data[ [#This Row],[Attrition_Risk_Percentage] ]&gt;= 0.5, "High",tbl_HR_Data[[#This Row],[Attrition_Risk_Percentage]] &gt;= 0.25, "Medium",TRUE, "Low")</f>
        <v>Low</v>
      </c>
      <c r="AR271" s="16" cm="1">
        <f t="array" ref="AR271">IFERROR(_xlfn.IFS(tbl_HR_Data[[#This Row],[Risk_Category]]="Critical",tbl_HR_Data[[#This Row],[MonthlyIncome]]*1.5,tbl_HR_Data[[#This Row],[Risk_Category]]="High",tbl_HR_Data[[#This Row],[MonthlyIncome]]*1.5),0)</f>
        <v>0</v>
      </c>
    </row>
    <row r="272" spans="1:44" x14ac:dyDescent="0.35">
      <c r="A272" t="s">
        <v>1471</v>
      </c>
      <c r="B272">
        <v>55</v>
      </c>
      <c r="C272" t="s">
        <v>31</v>
      </c>
      <c r="D272">
        <v>452</v>
      </c>
      <c r="E272" t="s">
        <v>38</v>
      </c>
      <c r="F272">
        <v>1</v>
      </c>
      <c r="G272">
        <v>3</v>
      </c>
      <c r="H272" t="s">
        <v>44</v>
      </c>
      <c r="I272">
        <v>4</v>
      </c>
      <c r="J272" t="s">
        <v>39</v>
      </c>
      <c r="K272">
        <v>81</v>
      </c>
      <c r="L272">
        <v>3</v>
      </c>
      <c r="M272">
        <v>5</v>
      </c>
      <c r="N272" t="s">
        <v>48</v>
      </c>
      <c r="O272">
        <v>1</v>
      </c>
      <c r="P272" t="s">
        <v>36</v>
      </c>
      <c r="Q272">
        <v>19045</v>
      </c>
      <c r="R272">
        <v>18938</v>
      </c>
      <c r="S272">
        <v>0</v>
      </c>
      <c r="T272">
        <v>1</v>
      </c>
      <c r="U272" s="17">
        <v>0.14000000000000001</v>
      </c>
      <c r="V272">
        <v>3</v>
      </c>
      <c r="W272">
        <v>3</v>
      </c>
      <c r="X272">
        <v>0</v>
      </c>
      <c r="Y272">
        <v>37</v>
      </c>
      <c r="Z272">
        <v>2</v>
      </c>
      <c r="AA272">
        <v>3</v>
      </c>
      <c r="AB272">
        <v>36</v>
      </c>
      <c r="AC272">
        <v>10</v>
      </c>
      <c r="AD272">
        <v>4</v>
      </c>
      <c r="AE272">
        <v>13</v>
      </c>
      <c r="AF272">
        <v>0</v>
      </c>
      <c r="AG272">
        <f>IF(tbl_HR_Data[[#This Row],[Gender]]="Male",1,0)</f>
        <v>1</v>
      </c>
      <c r="AH272" cm="1">
        <f t="array" ref="AH272">_xlfn.SWITCH(tbl_HR_Data[[#This Row],[BusinessTravel]], "Non-Travel", 0, "Travel_Rarely", 1, "Travel_Frequently", 2)</f>
        <v>1</v>
      </c>
      <c r="AI272" cm="1">
        <f t="array" ref="AI272">_xlfn.SWITCH(tbl_HR_Data[[#This Row],[MaritalStatus]],"Single",0,"Married",1,"Divorced",2)</f>
        <v>0</v>
      </c>
      <c r="AJ272">
        <f>IF(tbl_HR_Data[[#This Row],[OverTime]]=1,1,0)</f>
        <v>1</v>
      </c>
      <c r="AK272">
        <f>IF(tbl_HR_Data[[#This Row],[DistanceFromHome]]&gt;15,1,0)</f>
        <v>0</v>
      </c>
      <c r="AL272">
        <f>IF(tbl_HR_Data[[#This Row],[JobSatisfaction]]&lt;=2,1,0)</f>
        <v>1</v>
      </c>
      <c r="AM272">
        <f>IF(tbl_HR_Data[[#This Row],[MonthlyIncome]]&lt;$AT$2,1,0)</f>
        <v>0</v>
      </c>
      <c r="AN272">
        <f>IF(tbl_HR_Data[[#This Row],[Travel_Code]]=2,1,0)</f>
        <v>0</v>
      </c>
      <c r="AO272">
        <f>(tbl_HR_Data[[#This Row],[Flag_OT]] * Logic_Parameters!$B$2) +
 (tbl_HR_Data[[#This Row],[Flag_Travel]] * Logic_Parameters!$B$3) +
 (tbl_HR_Data[[#This Row],[Flag_Satisfaction]] * Logic_Parameters!$B$4) +
 (tbl_HR_Data[[#This Row],[Flag_Distance]]* Logic_Parameters!$B$5) +
 (tbl_HR_Data[[#This Row],[Flag_Income]] * Logic_Parameters!$B$6)</f>
        <v>14.204533129978131</v>
      </c>
      <c r="AP272" s="15">
        <f>tbl_HR_Data[[#This Row],[Risk_Score_Raw]] / SUM(Logic_Parameters!$B$2:$B$6)</f>
        <v>0.48938186491297625</v>
      </c>
      <c r="AQ272" s="16" t="str" cm="1">
        <f t="array" ref="AQ272">_xlfn.IFS(tbl_HR_Data[[#This Row],[Attrition_Risk_Percentage]] &gt;= 0.75, "Critical",tbl_HR_Data[ [#This Row],[Attrition_Risk_Percentage] ]&gt;= 0.5, "High",tbl_HR_Data[[#This Row],[Attrition_Risk_Percentage]] &gt;= 0.25, "Medium",TRUE, "Low")</f>
        <v>Medium</v>
      </c>
      <c r="AR272" s="16" cm="1">
        <f t="array" ref="AR272">IFERROR(_xlfn.IFS(tbl_HR_Data[[#This Row],[Risk_Category]]="Critical",tbl_HR_Data[[#This Row],[MonthlyIncome]]*1.5,tbl_HR_Data[[#This Row],[Risk_Category]]="High",tbl_HR_Data[[#This Row],[MonthlyIncome]]*1.5),0)</f>
        <v>0</v>
      </c>
    </row>
    <row r="273" spans="1:44" x14ac:dyDescent="0.35">
      <c r="A273" t="s">
        <v>566</v>
      </c>
      <c r="B273">
        <v>47</v>
      </c>
      <c r="C273" t="s">
        <v>1525</v>
      </c>
      <c r="D273">
        <v>666</v>
      </c>
      <c r="E273" t="s">
        <v>38</v>
      </c>
      <c r="F273">
        <v>29</v>
      </c>
      <c r="G273">
        <v>4</v>
      </c>
      <c r="H273" t="s">
        <v>33</v>
      </c>
      <c r="I273">
        <v>1</v>
      </c>
      <c r="J273" t="s">
        <v>39</v>
      </c>
      <c r="K273">
        <v>88</v>
      </c>
      <c r="L273">
        <v>3</v>
      </c>
      <c r="M273">
        <v>3</v>
      </c>
      <c r="N273" t="s">
        <v>48</v>
      </c>
      <c r="O273">
        <v>2</v>
      </c>
      <c r="P273" t="s">
        <v>41</v>
      </c>
      <c r="Q273">
        <v>11849</v>
      </c>
      <c r="R273">
        <v>10268</v>
      </c>
      <c r="S273">
        <v>1</v>
      </c>
      <c r="T273">
        <v>1</v>
      </c>
      <c r="U273" s="17">
        <v>0.12</v>
      </c>
      <c r="V273">
        <v>3</v>
      </c>
      <c r="W273">
        <v>4</v>
      </c>
      <c r="X273">
        <v>1</v>
      </c>
      <c r="Y273">
        <v>10</v>
      </c>
      <c r="Z273">
        <v>2</v>
      </c>
      <c r="AA273">
        <v>2</v>
      </c>
      <c r="AB273">
        <v>10</v>
      </c>
      <c r="AC273">
        <v>7</v>
      </c>
      <c r="AD273">
        <v>9</v>
      </c>
      <c r="AE273">
        <v>9</v>
      </c>
      <c r="AF273">
        <v>1</v>
      </c>
      <c r="AG273">
        <f>IF(tbl_HR_Data[[#This Row],[Gender]]="Male",1,0)</f>
        <v>1</v>
      </c>
      <c r="AH273" cm="1">
        <f t="array" ref="AH273">_xlfn.SWITCH(tbl_HR_Data[[#This Row],[BusinessTravel]], "Non-Travel", 0, "Travel_Rarely", 1, "Travel_Frequently", 2)</f>
        <v>0</v>
      </c>
      <c r="AI273" cm="1">
        <f t="array" ref="AI273">_xlfn.SWITCH(tbl_HR_Data[[#This Row],[MaritalStatus]],"Single",0,"Married",1,"Divorced",2)</f>
        <v>1</v>
      </c>
      <c r="AJ273">
        <f>IF(tbl_HR_Data[[#This Row],[OverTime]]=1,1,0)</f>
        <v>1</v>
      </c>
      <c r="AK273">
        <f>IF(tbl_HR_Data[[#This Row],[DistanceFromHome]]&gt;15,1,0)</f>
        <v>1</v>
      </c>
      <c r="AL273">
        <f>IF(tbl_HR_Data[[#This Row],[JobSatisfaction]]&lt;=2,1,0)</f>
        <v>1</v>
      </c>
      <c r="AM273">
        <f>IF(tbl_HR_Data[[#This Row],[MonthlyIncome]]&lt;$AT$2,1,0)</f>
        <v>0</v>
      </c>
      <c r="AN273">
        <f>IF(tbl_HR_Data[[#This Row],[Travel_Code]]=2,1,0)</f>
        <v>0</v>
      </c>
      <c r="AO273">
        <f>(tbl_HR_Data[[#This Row],[Flag_OT]] * Logic_Parameters!$B$2) +
 (tbl_HR_Data[[#This Row],[Flag_Travel]] * Logic_Parameters!$B$3) +
 (tbl_HR_Data[[#This Row],[Flag_Satisfaction]] * Logic_Parameters!$B$4) +
 (tbl_HR_Data[[#This Row],[Flag_Distance]]* Logic_Parameters!$B$5) +
 (tbl_HR_Data[[#This Row],[Flag_Income]] * Logic_Parameters!$B$6)</f>
        <v>17.370639825853509</v>
      </c>
      <c r="AP273" s="15">
        <f>tbl_HR_Data[[#This Row],[Risk_Score_Raw]] / SUM(Logic_Parameters!$B$2:$B$6)</f>
        <v>0.59846219759007979</v>
      </c>
      <c r="AQ273" s="16" t="str" cm="1">
        <f t="array" ref="AQ273">_xlfn.IFS(tbl_HR_Data[[#This Row],[Attrition_Risk_Percentage]] &gt;= 0.75, "Critical",tbl_HR_Data[ [#This Row],[Attrition_Risk_Percentage] ]&gt;= 0.5, "High",tbl_HR_Data[[#This Row],[Attrition_Risk_Percentage]] &gt;= 0.25, "Medium",TRUE, "Low")</f>
        <v>High</v>
      </c>
      <c r="AR273" s="16" cm="1">
        <f t="array" ref="AR273">IFERROR(_xlfn.IFS(tbl_HR_Data[[#This Row],[Risk_Category]]="Critical",tbl_HR_Data[[#This Row],[MonthlyIncome]]*1.5,tbl_HR_Data[[#This Row],[Risk_Category]]="High",tbl_HR_Data[[#This Row],[MonthlyIncome]]*1.5),0)</f>
        <v>17773.5</v>
      </c>
    </row>
    <row r="274" spans="1:44" x14ac:dyDescent="0.35">
      <c r="A274" t="s">
        <v>1215</v>
      </c>
      <c r="B274">
        <v>28</v>
      </c>
      <c r="C274" t="s">
        <v>31</v>
      </c>
      <c r="D274">
        <v>1158</v>
      </c>
      <c r="E274" t="s">
        <v>38</v>
      </c>
      <c r="F274">
        <v>9</v>
      </c>
      <c r="G274">
        <v>3</v>
      </c>
      <c r="H274" t="s">
        <v>44</v>
      </c>
      <c r="I274">
        <v>4</v>
      </c>
      <c r="J274" t="s">
        <v>39</v>
      </c>
      <c r="K274">
        <v>94</v>
      </c>
      <c r="L274">
        <v>3</v>
      </c>
      <c r="M274">
        <v>1</v>
      </c>
      <c r="N274" t="s">
        <v>40</v>
      </c>
      <c r="O274">
        <v>4</v>
      </c>
      <c r="P274" t="s">
        <v>41</v>
      </c>
      <c r="Q274">
        <v>2070</v>
      </c>
      <c r="R274">
        <v>2613</v>
      </c>
      <c r="S274">
        <v>1</v>
      </c>
      <c r="T274">
        <v>0</v>
      </c>
      <c r="U274" s="17">
        <v>0.23</v>
      </c>
      <c r="V274">
        <v>4</v>
      </c>
      <c r="W274">
        <v>4</v>
      </c>
      <c r="X274">
        <v>1</v>
      </c>
      <c r="Y274">
        <v>5</v>
      </c>
      <c r="Z274">
        <v>3</v>
      </c>
      <c r="AA274">
        <v>2</v>
      </c>
      <c r="AB274">
        <v>5</v>
      </c>
      <c r="AC274">
        <v>2</v>
      </c>
      <c r="AD274">
        <v>0</v>
      </c>
      <c r="AE274">
        <v>4</v>
      </c>
      <c r="AF274">
        <v>0</v>
      </c>
      <c r="AG274">
        <f>IF(tbl_HR_Data[[#This Row],[Gender]]="Male",1,0)</f>
        <v>1</v>
      </c>
      <c r="AH274" cm="1">
        <f t="array" ref="AH274">_xlfn.SWITCH(tbl_HR_Data[[#This Row],[BusinessTravel]], "Non-Travel", 0, "Travel_Rarely", 1, "Travel_Frequently", 2)</f>
        <v>1</v>
      </c>
      <c r="AI274" cm="1">
        <f t="array" ref="AI274">_xlfn.SWITCH(tbl_HR_Data[[#This Row],[MaritalStatus]],"Single",0,"Married",1,"Divorced",2)</f>
        <v>1</v>
      </c>
      <c r="AJ274">
        <f>IF(tbl_HR_Data[[#This Row],[OverTime]]=1,1,0)</f>
        <v>0</v>
      </c>
      <c r="AK274">
        <f>IF(tbl_HR_Data[[#This Row],[DistanceFromHome]]&gt;15,1,0)</f>
        <v>0</v>
      </c>
      <c r="AL274">
        <f>IF(tbl_HR_Data[[#This Row],[JobSatisfaction]]&lt;=2,1,0)</f>
        <v>0</v>
      </c>
      <c r="AM274">
        <f>IF(tbl_HR_Data[[#This Row],[MonthlyIncome]]&lt;$AT$2,1,0)</f>
        <v>1</v>
      </c>
      <c r="AN274">
        <f>IF(tbl_HR_Data[[#This Row],[Travel_Code]]=2,1,0)</f>
        <v>0</v>
      </c>
      <c r="AO274">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274" s="15">
        <f>tbl_HR_Data[[#This Row],[Risk_Score_Raw]] / SUM(Logic_Parameters!$B$2:$B$6)</f>
        <v>0.22374939857982484</v>
      </c>
      <c r="AQ274" s="16" t="str" cm="1">
        <f t="array" ref="AQ274">_xlfn.IFS(tbl_HR_Data[[#This Row],[Attrition_Risk_Percentage]] &gt;= 0.75, "Critical",tbl_HR_Data[ [#This Row],[Attrition_Risk_Percentage] ]&gt;= 0.5, "High",tbl_HR_Data[[#This Row],[Attrition_Risk_Percentage]] &gt;= 0.25, "Medium",TRUE, "Low")</f>
        <v>Low</v>
      </c>
      <c r="AR274" s="16" cm="1">
        <f t="array" ref="AR274">IFERROR(_xlfn.IFS(tbl_HR_Data[[#This Row],[Risk_Category]]="Critical",tbl_HR_Data[[#This Row],[MonthlyIncome]]*1.5,tbl_HR_Data[[#This Row],[Risk_Category]]="High",tbl_HR_Data[[#This Row],[MonthlyIncome]]*1.5),0)</f>
        <v>0</v>
      </c>
    </row>
    <row r="275" spans="1:44" x14ac:dyDescent="0.35">
      <c r="A275" t="s">
        <v>263</v>
      </c>
      <c r="B275">
        <v>37</v>
      </c>
      <c r="C275" t="s">
        <v>31</v>
      </c>
      <c r="D275">
        <v>228</v>
      </c>
      <c r="E275" t="s">
        <v>32</v>
      </c>
      <c r="F275">
        <v>6</v>
      </c>
      <c r="G275">
        <v>4</v>
      </c>
      <c r="H275" t="s">
        <v>44</v>
      </c>
      <c r="I275">
        <v>3</v>
      </c>
      <c r="J275" t="s">
        <v>39</v>
      </c>
      <c r="K275">
        <v>98</v>
      </c>
      <c r="L275">
        <v>3</v>
      </c>
      <c r="M275">
        <v>2</v>
      </c>
      <c r="N275" t="s">
        <v>35</v>
      </c>
      <c r="O275">
        <v>4</v>
      </c>
      <c r="P275" t="s">
        <v>41</v>
      </c>
      <c r="Q275">
        <v>6502</v>
      </c>
      <c r="R275">
        <v>22825</v>
      </c>
      <c r="S275">
        <v>4</v>
      </c>
      <c r="T275">
        <v>0</v>
      </c>
      <c r="U275" s="17">
        <v>0.14000000000000001</v>
      </c>
      <c r="V275">
        <v>3</v>
      </c>
      <c r="W275">
        <v>2</v>
      </c>
      <c r="X275">
        <v>1</v>
      </c>
      <c r="Y275">
        <v>7</v>
      </c>
      <c r="Z275">
        <v>5</v>
      </c>
      <c r="AA275">
        <v>4</v>
      </c>
      <c r="AB275">
        <v>5</v>
      </c>
      <c r="AC275">
        <v>4</v>
      </c>
      <c r="AD275">
        <v>0</v>
      </c>
      <c r="AE275">
        <v>1</v>
      </c>
      <c r="AF275">
        <v>0</v>
      </c>
      <c r="AG275">
        <f>IF(tbl_HR_Data[[#This Row],[Gender]]="Male",1,0)</f>
        <v>1</v>
      </c>
      <c r="AH275" cm="1">
        <f t="array" ref="AH275">_xlfn.SWITCH(tbl_HR_Data[[#This Row],[BusinessTravel]], "Non-Travel", 0, "Travel_Rarely", 1, "Travel_Frequently", 2)</f>
        <v>1</v>
      </c>
      <c r="AI275" cm="1">
        <f t="array" ref="AI275">_xlfn.SWITCH(tbl_HR_Data[[#This Row],[MaritalStatus]],"Single",0,"Married",1,"Divorced",2)</f>
        <v>1</v>
      </c>
      <c r="AJ275">
        <f>IF(tbl_HR_Data[[#This Row],[OverTime]]=1,1,0)</f>
        <v>0</v>
      </c>
      <c r="AK275">
        <f>IF(tbl_HR_Data[[#This Row],[DistanceFromHome]]&gt;15,1,0)</f>
        <v>0</v>
      </c>
      <c r="AL275">
        <f>IF(tbl_HR_Data[[#This Row],[JobSatisfaction]]&lt;=2,1,0)</f>
        <v>0</v>
      </c>
      <c r="AM275">
        <f>IF(tbl_HR_Data[[#This Row],[MonthlyIncome]]&lt;$AT$2,1,0)</f>
        <v>0</v>
      </c>
      <c r="AN275">
        <f>IF(tbl_HR_Data[[#This Row],[Travel_Code]]=2,1,0)</f>
        <v>0</v>
      </c>
      <c r="AO275">
        <f>(tbl_HR_Data[[#This Row],[Flag_OT]] * Logic_Parameters!$B$2) +
 (tbl_HR_Data[[#This Row],[Flag_Travel]] * Logic_Parameters!$B$3) +
 (tbl_HR_Data[[#This Row],[Flag_Satisfaction]] * Logic_Parameters!$B$4) +
 (tbl_HR_Data[[#This Row],[Flag_Distance]]* Logic_Parameters!$B$5) +
 (tbl_HR_Data[[#This Row],[Flag_Income]] * Logic_Parameters!$B$6)</f>
        <v>0</v>
      </c>
      <c r="AP275" s="15">
        <f>tbl_HR_Data[[#This Row],[Risk_Score_Raw]] / SUM(Logic_Parameters!$B$2:$B$6)</f>
        <v>0</v>
      </c>
      <c r="AQ275" s="16" t="str" cm="1">
        <f t="array" ref="AQ275">_xlfn.IFS(tbl_HR_Data[[#This Row],[Attrition_Risk_Percentage]] &gt;= 0.75, "Critical",tbl_HR_Data[ [#This Row],[Attrition_Risk_Percentage] ]&gt;= 0.5, "High",tbl_HR_Data[[#This Row],[Attrition_Risk_Percentage]] &gt;= 0.25, "Medium",TRUE, "Low")</f>
        <v>Low</v>
      </c>
      <c r="AR275" s="16" cm="1">
        <f t="array" ref="AR275">IFERROR(_xlfn.IFS(tbl_HR_Data[[#This Row],[Risk_Category]]="Critical",tbl_HR_Data[[#This Row],[MonthlyIncome]]*1.5,tbl_HR_Data[[#This Row],[Risk_Category]]="High",tbl_HR_Data[[#This Row],[MonthlyIncome]]*1.5),0)</f>
        <v>0</v>
      </c>
    </row>
    <row r="276" spans="1:44" x14ac:dyDescent="0.35">
      <c r="A276" t="s">
        <v>1036</v>
      </c>
      <c r="B276">
        <v>21</v>
      </c>
      <c r="C276" t="s">
        <v>31</v>
      </c>
      <c r="D276">
        <v>996</v>
      </c>
      <c r="E276" t="s">
        <v>38</v>
      </c>
      <c r="F276">
        <v>3</v>
      </c>
      <c r="G276">
        <v>2</v>
      </c>
      <c r="H276" t="s">
        <v>44</v>
      </c>
      <c r="I276">
        <v>4</v>
      </c>
      <c r="J276" t="s">
        <v>39</v>
      </c>
      <c r="K276">
        <v>100</v>
      </c>
      <c r="L276">
        <v>2</v>
      </c>
      <c r="M276">
        <v>1</v>
      </c>
      <c r="N276" t="s">
        <v>40</v>
      </c>
      <c r="O276">
        <v>3</v>
      </c>
      <c r="P276" t="s">
        <v>36</v>
      </c>
      <c r="Q276">
        <v>3230</v>
      </c>
      <c r="R276">
        <v>10531</v>
      </c>
      <c r="S276">
        <v>1</v>
      </c>
      <c r="T276">
        <v>0</v>
      </c>
      <c r="U276" s="17">
        <v>0.17</v>
      </c>
      <c r="V276">
        <v>3</v>
      </c>
      <c r="W276">
        <v>1</v>
      </c>
      <c r="X276">
        <v>0</v>
      </c>
      <c r="Y276">
        <v>3</v>
      </c>
      <c r="Z276">
        <v>4</v>
      </c>
      <c r="AA276">
        <v>4</v>
      </c>
      <c r="AB276">
        <v>3</v>
      </c>
      <c r="AC276">
        <v>2</v>
      </c>
      <c r="AD276">
        <v>1</v>
      </c>
      <c r="AE276">
        <v>0</v>
      </c>
      <c r="AF276">
        <v>0</v>
      </c>
      <c r="AG276">
        <f>IF(tbl_HR_Data[[#This Row],[Gender]]="Male",1,0)</f>
        <v>1</v>
      </c>
      <c r="AH276" cm="1">
        <f t="array" ref="AH276">_xlfn.SWITCH(tbl_HR_Data[[#This Row],[BusinessTravel]], "Non-Travel", 0, "Travel_Rarely", 1, "Travel_Frequently", 2)</f>
        <v>1</v>
      </c>
      <c r="AI276" cm="1">
        <f t="array" ref="AI276">_xlfn.SWITCH(tbl_HR_Data[[#This Row],[MaritalStatus]],"Single",0,"Married",1,"Divorced",2)</f>
        <v>0</v>
      </c>
      <c r="AJ276">
        <f>IF(tbl_HR_Data[[#This Row],[OverTime]]=1,1,0)</f>
        <v>0</v>
      </c>
      <c r="AK276">
        <f>IF(tbl_HR_Data[[#This Row],[DistanceFromHome]]&gt;15,1,0)</f>
        <v>0</v>
      </c>
      <c r="AL276">
        <f>IF(tbl_HR_Data[[#This Row],[JobSatisfaction]]&lt;=2,1,0)</f>
        <v>0</v>
      </c>
      <c r="AM276">
        <f>IF(tbl_HR_Data[[#This Row],[MonthlyIncome]]&lt;$AT$2,1,0)</f>
        <v>1</v>
      </c>
      <c r="AN276">
        <f>IF(tbl_HR_Data[[#This Row],[Travel_Code]]=2,1,0)</f>
        <v>0</v>
      </c>
      <c r="AO276">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276" s="15">
        <f>tbl_HR_Data[[#This Row],[Risk_Score_Raw]] / SUM(Logic_Parameters!$B$2:$B$6)</f>
        <v>0.22374939857982484</v>
      </c>
      <c r="AQ276" s="16" t="str" cm="1">
        <f t="array" ref="AQ276">_xlfn.IFS(tbl_HR_Data[[#This Row],[Attrition_Risk_Percentage]] &gt;= 0.75, "Critical",tbl_HR_Data[ [#This Row],[Attrition_Risk_Percentage] ]&gt;= 0.5, "High",tbl_HR_Data[[#This Row],[Attrition_Risk_Percentage]] &gt;= 0.25, "Medium",TRUE, "Low")</f>
        <v>Low</v>
      </c>
      <c r="AR276" s="16" cm="1">
        <f t="array" ref="AR276">IFERROR(_xlfn.IFS(tbl_HR_Data[[#This Row],[Risk_Category]]="Critical",tbl_HR_Data[[#This Row],[MonthlyIncome]]*1.5,tbl_HR_Data[[#This Row],[Risk_Category]]="High",tbl_HR_Data[[#This Row],[MonthlyIncome]]*1.5),0)</f>
        <v>0</v>
      </c>
    </row>
    <row r="277" spans="1:44" x14ac:dyDescent="0.35">
      <c r="A277" t="s">
        <v>806</v>
      </c>
      <c r="B277">
        <v>37</v>
      </c>
      <c r="C277" t="s">
        <v>1525</v>
      </c>
      <c r="D277">
        <v>728</v>
      </c>
      <c r="E277" t="s">
        <v>38</v>
      </c>
      <c r="F277">
        <v>1</v>
      </c>
      <c r="G277">
        <v>4</v>
      </c>
      <c r="H277" t="s">
        <v>44</v>
      </c>
      <c r="I277">
        <v>1</v>
      </c>
      <c r="J277" t="s">
        <v>34</v>
      </c>
      <c r="K277">
        <v>80</v>
      </c>
      <c r="L277">
        <v>3</v>
      </c>
      <c r="M277">
        <v>3</v>
      </c>
      <c r="N277" t="s">
        <v>50</v>
      </c>
      <c r="O277">
        <v>4</v>
      </c>
      <c r="P277" t="s">
        <v>45</v>
      </c>
      <c r="Q277">
        <v>13603</v>
      </c>
      <c r="R277">
        <v>11677</v>
      </c>
      <c r="S277">
        <v>2</v>
      </c>
      <c r="T277">
        <v>1</v>
      </c>
      <c r="U277" s="17">
        <v>0.18</v>
      </c>
      <c r="V277">
        <v>3</v>
      </c>
      <c r="W277">
        <v>1</v>
      </c>
      <c r="X277">
        <v>2</v>
      </c>
      <c r="Y277">
        <v>15</v>
      </c>
      <c r="Z277">
        <v>2</v>
      </c>
      <c r="AA277">
        <v>3</v>
      </c>
      <c r="AB277">
        <v>5</v>
      </c>
      <c r="AC277">
        <v>2</v>
      </c>
      <c r="AD277">
        <v>0</v>
      </c>
      <c r="AE277">
        <v>2</v>
      </c>
      <c r="AF277">
        <v>0</v>
      </c>
      <c r="AG277">
        <f>IF(tbl_HR_Data[[#This Row],[Gender]]="Male",1,0)</f>
        <v>0</v>
      </c>
      <c r="AH277" cm="1">
        <f t="array" ref="AH277">_xlfn.SWITCH(tbl_HR_Data[[#This Row],[BusinessTravel]], "Non-Travel", 0, "Travel_Rarely", 1, "Travel_Frequently", 2)</f>
        <v>0</v>
      </c>
      <c r="AI277" cm="1">
        <f t="array" ref="AI277">_xlfn.SWITCH(tbl_HR_Data[[#This Row],[MaritalStatus]],"Single",0,"Married",1,"Divorced",2)</f>
        <v>2</v>
      </c>
      <c r="AJ277">
        <f>IF(tbl_HR_Data[[#This Row],[OverTime]]=1,1,0)</f>
        <v>1</v>
      </c>
      <c r="AK277">
        <f>IF(tbl_HR_Data[[#This Row],[DistanceFromHome]]&gt;15,1,0)</f>
        <v>0</v>
      </c>
      <c r="AL277">
        <f>IF(tbl_HR_Data[[#This Row],[JobSatisfaction]]&lt;=2,1,0)</f>
        <v>0</v>
      </c>
      <c r="AM277">
        <f>IF(tbl_HR_Data[[#This Row],[MonthlyIncome]]&lt;$AT$2,1,0)</f>
        <v>0</v>
      </c>
      <c r="AN277">
        <f>IF(tbl_HR_Data[[#This Row],[Travel_Code]]=2,1,0)</f>
        <v>0</v>
      </c>
      <c r="AO277">
        <f>(tbl_HR_Data[[#This Row],[Flag_OT]] * Logic_Parameters!$B$2) +
 (tbl_HR_Data[[#This Row],[Flag_Travel]] * Logic_Parameters!$B$3) +
 (tbl_HR_Data[[#This Row],[Flag_Satisfaction]] * Logic_Parameters!$B$4) +
 (tbl_HR_Data[[#This Row],[Flag_Distance]]* Logic_Parameters!$B$5) +
 (tbl_HR_Data[[#This Row],[Flag_Income]] * Logic_Parameters!$B$6)</f>
        <v>10</v>
      </c>
      <c r="AP277" s="15">
        <f>tbl_HR_Data[[#This Row],[Risk_Score_Raw]] / SUM(Logic_Parameters!$B$2:$B$6)</f>
        <v>0.3445251318258073</v>
      </c>
      <c r="AQ277" s="16" t="str" cm="1">
        <f t="array" ref="AQ277">_xlfn.IFS(tbl_HR_Data[[#This Row],[Attrition_Risk_Percentage]] &gt;= 0.75, "Critical",tbl_HR_Data[ [#This Row],[Attrition_Risk_Percentage] ]&gt;= 0.5, "High",tbl_HR_Data[[#This Row],[Attrition_Risk_Percentage]] &gt;= 0.25, "Medium",TRUE, "Low")</f>
        <v>Medium</v>
      </c>
      <c r="AR277" s="16" cm="1">
        <f t="array" ref="AR277">IFERROR(_xlfn.IFS(tbl_HR_Data[[#This Row],[Risk_Category]]="Critical",tbl_HR_Data[[#This Row],[MonthlyIncome]]*1.5,tbl_HR_Data[[#This Row],[Risk_Category]]="High",tbl_HR_Data[[#This Row],[MonthlyIncome]]*1.5),0)</f>
        <v>0</v>
      </c>
    </row>
    <row r="278" spans="1:44" x14ac:dyDescent="0.35">
      <c r="A278" t="s">
        <v>1424</v>
      </c>
      <c r="B278">
        <v>35</v>
      </c>
      <c r="C278" t="s">
        <v>31</v>
      </c>
      <c r="D278">
        <v>1315</v>
      </c>
      <c r="E278" t="s">
        <v>38</v>
      </c>
      <c r="F278">
        <v>22</v>
      </c>
      <c r="G278">
        <v>3</v>
      </c>
      <c r="H278" t="s">
        <v>33</v>
      </c>
      <c r="I278">
        <v>2</v>
      </c>
      <c r="J278" t="s">
        <v>34</v>
      </c>
      <c r="K278">
        <v>71</v>
      </c>
      <c r="L278">
        <v>4</v>
      </c>
      <c r="M278">
        <v>3</v>
      </c>
      <c r="N278" t="s">
        <v>48</v>
      </c>
      <c r="O278">
        <v>2</v>
      </c>
      <c r="P278" t="s">
        <v>45</v>
      </c>
      <c r="Q278">
        <v>11996</v>
      </c>
      <c r="R278">
        <v>19100</v>
      </c>
      <c r="S278">
        <v>7</v>
      </c>
      <c r="T278">
        <v>0</v>
      </c>
      <c r="U278" s="17">
        <v>0.18</v>
      </c>
      <c r="V278">
        <v>3</v>
      </c>
      <c r="W278">
        <v>2</v>
      </c>
      <c r="X278">
        <v>1</v>
      </c>
      <c r="Y278">
        <v>10</v>
      </c>
      <c r="Z278">
        <v>6</v>
      </c>
      <c r="AA278">
        <v>2</v>
      </c>
      <c r="AB278">
        <v>7</v>
      </c>
      <c r="AC278">
        <v>7</v>
      </c>
      <c r="AD278">
        <v>6</v>
      </c>
      <c r="AE278">
        <v>2</v>
      </c>
      <c r="AF278">
        <v>0</v>
      </c>
      <c r="AG278">
        <f>IF(tbl_HR_Data[[#This Row],[Gender]]="Male",1,0)</f>
        <v>0</v>
      </c>
      <c r="AH278" cm="1">
        <f t="array" ref="AH278">_xlfn.SWITCH(tbl_HR_Data[[#This Row],[BusinessTravel]], "Non-Travel", 0, "Travel_Rarely", 1, "Travel_Frequently", 2)</f>
        <v>1</v>
      </c>
      <c r="AI278" cm="1">
        <f t="array" ref="AI278">_xlfn.SWITCH(tbl_HR_Data[[#This Row],[MaritalStatus]],"Single",0,"Married",1,"Divorced",2)</f>
        <v>2</v>
      </c>
      <c r="AJ278">
        <f>IF(tbl_HR_Data[[#This Row],[OverTime]]=1,1,0)</f>
        <v>0</v>
      </c>
      <c r="AK278">
        <f>IF(tbl_HR_Data[[#This Row],[DistanceFromHome]]&gt;15,1,0)</f>
        <v>1</v>
      </c>
      <c r="AL278">
        <f>IF(tbl_HR_Data[[#This Row],[JobSatisfaction]]&lt;=2,1,0)</f>
        <v>1</v>
      </c>
      <c r="AM278">
        <f>IF(tbl_HR_Data[[#This Row],[MonthlyIncome]]&lt;$AT$2,1,0)</f>
        <v>0</v>
      </c>
      <c r="AN278">
        <f>IF(tbl_HR_Data[[#This Row],[Travel_Code]]=2,1,0)</f>
        <v>0</v>
      </c>
      <c r="AO278">
        <f>(tbl_HR_Data[[#This Row],[Flag_OT]] * Logic_Parameters!$B$2) +
 (tbl_HR_Data[[#This Row],[Flag_Travel]] * Logic_Parameters!$B$3) +
 (tbl_HR_Data[[#This Row],[Flag_Satisfaction]] * Logic_Parameters!$B$4) +
 (tbl_HR_Data[[#This Row],[Flag_Distance]]* Logic_Parameters!$B$5) +
 (tbl_HR_Data[[#This Row],[Flag_Income]] * Logic_Parameters!$B$6)</f>
        <v>7.3706398258535089</v>
      </c>
      <c r="AP278" s="15">
        <f>tbl_HR_Data[[#This Row],[Risk_Score_Raw]] / SUM(Logic_Parameters!$B$2:$B$6)</f>
        <v>0.25393706576427255</v>
      </c>
      <c r="AQ278" s="16" t="str" cm="1">
        <f t="array" ref="AQ278">_xlfn.IFS(tbl_HR_Data[[#This Row],[Attrition_Risk_Percentage]] &gt;= 0.75, "Critical",tbl_HR_Data[ [#This Row],[Attrition_Risk_Percentage] ]&gt;= 0.5, "High",tbl_HR_Data[[#This Row],[Attrition_Risk_Percentage]] &gt;= 0.25, "Medium",TRUE, "Low")</f>
        <v>Medium</v>
      </c>
      <c r="AR278" s="16" cm="1">
        <f t="array" ref="AR278">IFERROR(_xlfn.IFS(tbl_HR_Data[[#This Row],[Risk_Category]]="Critical",tbl_HR_Data[[#This Row],[MonthlyIncome]]*1.5,tbl_HR_Data[[#This Row],[Risk_Category]]="High",tbl_HR_Data[[#This Row],[MonthlyIncome]]*1.5),0)</f>
        <v>0</v>
      </c>
    </row>
    <row r="279" spans="1:44" x14ac:dyDescent="0.35">
      <c r="A279" t="s">
        <v>1235</v>
      </c>
      <c r="B279">
        <v>38</v>
      </c>
      <c r="C279" t="s">
        <v>31</v>
      </c>
      <c r="D279">
        <v>322</v>
      </c>
      <c r="E279" t="s">
        <v>32</v>
      </c>
      <c r="F279">
        <v>7</v>
      </c>
      <c r="G279">
        <v>2</v>
      </c>
      <c r="H279" t="s">
        <v>44</v>
      </c>
      <c r="I279">
        <v>1</v>
      </c>
      <c r="J279" t="s">
        <v>34</v>
      </c>
      <c r="K279">
        <v>44</v>
      </c>
      <c r="L279">
        <v>4</v>
      </c>
      <c r="M279">
        <v>2</v>
      </c>
      <c r="N279" t="s">
        <v>35</v>
      </c>
      <c r="O279">
        <v>1</v>
      </c>
      <c r="P279" t="s">
        <v>45</v>
      </c>
      <c r="Q279">
        <v>5605</v>
      </c>
      <c r="R279">
        <v>19191</v>
      </c>
      <c r="S279">
        <v>1</v>
      </c>
      <c r="T279">
        <v>1</v>
      </c>
      <c r="U279" s="17">
        <v>0.24</v>
      </c>
      <c r="V279">
        <v>4</v>
      </c>
      <c r="W279">
        <v>3</v>
      </c>
      <c r="X279">
        <v>1</v>
      </c>
      <c r="Y279">
        <v>8</v>
      </c>
      <c r="Z279">
        <v>3</v>
      </c>
      <c r="AA279">
        <v>3</v>
      </c>
      <c r="AB279">
        <v>8</v>
      </c>
      <c r="AC279">
        <v>0</v>
      </c>
      <c r="AD279">
        <v>7</v>
      </c>
      <c r="AE279">
        <v>7</v>
      </c>
      <c r="AF279">
        <v>0</v>
      </c>
      <c r="AG279">
        <f>IF(tbl_HR_Data[[#This Row],[Gender]]="Male",1,0)</f>
        <v>0</v>
      </c>
      <c r="AH279" cm="1">
        <f t="array" ref="AH279">_xlfn.SWITCH(tbl_HR_Data[[#This Row],[BusinessTravel]], "Non-Travel", 0, "Travel_Rarely", 1, "Travel_Frequently", 2)</f>
        <v>1</v>
      </c>
      <c r="AI279" cm="1">
        <f t="array" ref="AI279">_xlfn.SWITCH(tbl_HR_Data[[#This Row],[MaritalStatus]],"Single",0,"Married",1,"Divorced",2)</f>
        <v>2</v>
      </c>
      <c r="AJ279">
        <f>IF(tbl_HR_Data[[#This Row],[OverTime]]=1,1,0)</f>
        <v>1</v>
      </c>
      <c r="AK279">
        <f>IF(tbl_HR_Data[[#This Row],[DistanceFromHome]]&gt;15,1,0)</f>
        <v>0</v>
      </c>
      <c r="AL279">
        <f>IF(tbl_HR_Data[[#This Row],[JobSatisfaction]]&lt;=2,1,0)</f>
        <v>1</v>
      </c>
      <c r="AM279">
        <f>IF(tbl_HR_Data[[#This Row],[MonthlyIncome]]&lt;$AT$2,1,0)</f>
        <v>0</v>
      </c>
      <c r="AN279">
        <f>IF(tbl_HR_Data[[#This Row],[Travel_Code]]=2,1,0)</f>
        <v>0</v>
      </c>
      <c r="AO279">
        <f>(tbl_HR_Data[[#This Row],[Flag_OT]] * Logic_Parameters!$B$2) +
 (tbl_HR_Data[[#This Row],[Flag_Travel]] * Logic_Parameters!$B$3) +
 (tbl_HR_Data[[#This Row],[Flag_Satisfaction]] * Logic_Parameters!$B$4) +
 (tbl_HR_Data[[#This Row],[Flag_Distance]]* Logic_Parameters!$B$5) +
 (tbl_HR_Data[[#This Row],[Flag_Income]] * Logic_Parameters!$B$6)</f>
        <v>14.204533129978131</v>
      </c>
      <c r="AP279" s="15">
        <f>tbl_HR_Data[[#This Row],[Risk_Score_Raw]] / SUM(Logic_Parameters!$B$2:$B$6)</f>
        <v>0.48938186491297625</v>
      </c>
      <c r="AQ279" s="16" t="str" cm="1">
        <f t="array" ref="AQ279">_xlfn.IFS(tbl_HR_Data[[#This Row],[Attrition_Risk_Percentage]] &gt;= 0.75, "Critical",tbl_HR_Data[ [#This Row],[Attrition_Risk_Percentage] ]&gt;= 0.5, "High",tbl_HR_Data[[#This Row],[Attrition_Risk_Percentage]] &gt;= 0.25, "Medium",TRUE, "Low")</f>
        <v>Medium</v>
      </c>
      <c r="AR279" s="16" cm="1">
        <f t="array" ref="AR279">IFERROR(_xlfn.IFS(tbl_HR_Data[[#This Row],[Risk_Category]]="Critical",tbl_HR_Data[[#This Row],[MonthlyIncome]]*1.5,tbl_HR_Data[[#This Row],[Risk_Category]]="High",tbl_HR_Data[[#This Row],[MonthlyIncome]]*1.5),0)</f>
        <v>0</v>
      </c>
    </row>
    <row r="280" spans="1:44" x14ac:dyDescent="0.35">
      <c r="A280" t="s">
        <v>421</v>
      </c>
      <c r="B280">
        <v>26</v>
      </c>
      <c r="C280" t="s">
        <v>37</v>
      </c>
      <c r="D280">
        <v>1479</v>
      </c>
      <c r="E280" t="s">
        <v>38</v>
      </c>
      <c r="F280">
        <v>1</v>
      </c>
      <c r="G280">
        <v>3</v>
      </c>
      <c r="H280" t="s">
        <v>33</v>
      </c>
      <c r="I280">
        <v>3</v>
      </c>
      <c r="J280" t="s">
        <v>34</v>
      </c>
      <c r="K280">
        <v>84</v>
      </c>
      <c r="L280">
        <v>3</v>
      </c>
      <c r="M280">
        <v>2</v>
      </c>
      <c r="N280" t="s">
        <v>46</v>
      </c>
      <c r="O280">
        <v>2</v>
      </c>
      <c r="P280" t="s">
        <v>45</v>
      </c>
      <c r="Q280">
        <v>6397</v>
      </c>
      <c r="R280">
        <v>26767</v>
      </c>
      <c r="S280">
        <v>1</v>
      </c>
      <c r="T280">
        <v>0</v>
      </c>
      <c r="U280" s="17">
        <v>0.2</v>
      </c>
      <c r="V280">
        <v>4</v>
      </c>
      <c r="W280">
        <v>1</v>
      </c>
      <c r="X280">
        <v>1</v>
      </c>
      <c r="Y280">
        <v>6</v>
      </c>
      <c r="Z280">
        <v>6</v>
      </c>
      <c r="AA280">
        <v>1</v>
      </c>
      <c r="AB280">
        <v>6</v>
      </c>
      <c r="AC280">
        <v>5</v>
      </c>
      <c r="AD280">
        <v>1</v>
      </c>
      <c r="AE280">
        <v>4</v>
      </c>
      <c r="AF280">
        <v>0</v>
      </c>
      <c r="AG280">
        <f>IF(tbl_HR_Data[[#This Row],[Gender]]="Male",1,0)</f>
        <v>0</v>
      </c>
      <c r="AH280" cm="1">
        <f t="array" ref="AH280">_xlfn.SWITCH(tbl_HR_Data[[#This Row],[BusinessTravel]], "Non-Travel", 0, "Travel_Rarely", 1, "Travel_Frequently", 2)</f>
        <v>2</v>
      </c>
      <c r="AI280" cm="1">
        <f t="array" ref="AI280">_xlfn.SWITCH(tbl_HR_Data[[#This Row],[MaritalStatus]],"Single",0,"Married",1,"Divorced",2)</f>
        <v>2</v>
      </c>
      <c r="AJ280">
        <f>IF(tbl_HR_Data[[#This Row],[OverTime]]=1,1,0)</f>
        <v>0</v>
      </c>
      <c r="AK280">
        <f>IF(tbl_HR_Data[[#This Row],[DistanceFromHome]]&gt;15,1,0)</f>
        <v>0</v>
      </c>
      <c r="AL280">
        <f>IF(tbl_HR_Data[[#This Row],[JobSatisfaction]]&lt;=2,1,0)</f>
        <v>1</v>
      </c>
      <c r="AM280">
        <f>IF(tbl_HR_Data[[#This Row],[MonthlyIncome]]&lt;$AT$2,1,0)</f>
        <v>0</v>
      </c>
      <c r="AN280">
        <f>IF(tbl_HR_Data[[#This Row],[Travel_Code]]=2,1,0)</f>
        <v>1</v>
      </c>
      <c r="AO280">
        <f>(tbl_HR_Data[[#This Row],[Flag_OT]] * Logic_Parameters!$B$2) +
 (tbl_HR_Data[[#This Row],[Flag_Travel]] * Logic_Parameters!$B$3) +
 (tbl_HR_Data[[#This Row],[Flag_Satisfaction]] * Logic_Parameters!$B$4) +
 (tbl_HR_Data[[#This Row],[Flag_Distance]]* Logic_Parameters!$B$5) +
 (tbl_HR_Data[[#This Row],[Flag_Income]] * Logic_Parameters!$B$6)</f>
        <v>9.3649231104683075</v>
      </c>
      <c r="AP280" s="15">
        <f>tbl_HR_Data[[#This Row],[Risk_Score_Raw]] / SUM(Logic_Parameters!$B$2:$B$6)</f>
        <v>0.32264513691726432</v>
      </c>
      <c r="AQ280" s="16" t="str" cm="1">
        <f t="array" ref="AQ280">_xlfn.IFS(tbl_HR_Data[[#This Row],[Attrition_Risk_Percentage]] &gt;= 0.75, "Critical",tbl_HR_Data[ [#This Row],[Attrition_Risk_Percentage] ]&gt;= 0.5, "High",tbl_HR_Data[[#This Row],[Attrition_Risk_Percentage]] &gt;= 0.25, "Medium",TRUE, "Low")</f>
        <v>Medium</v>
      </c>
      <c r="AR280" s="16" cm="1">
        <f t="array" ref="AR280">IFERROR(_xlfn.IFS(tbl_HR_Data[[#This Row],[Risk_Category]]="Critical",tbl_HR_Data[[#This Row],[MonthlyIncome]]*1.5,tbl_HR_Data[[#This Row],[Risk_Category]]="High",tbl_HR_Data[[#This Row],[MonthlyIncome]]*1.5),0)</f>
        <v>0</v>
      </c>
    </row>
    <row r="281" spans="1:44" x14ac:dyDescent="0.35">
      <c r="A281" t="s">
        <v>1204</v>
      </c>
      <c r="B281">
        <v>50</v>
      </c>
      <c r="C281" t="s">
        <v>31</v>
      </c>
      <c r="D281">
        <v>797</v>
      </c>
      <c r="E281" t="s">
        <v>38</v>
      </c>
      <c r="F281">
        <v>4</v>
      </c>
      <c r="G281">
        <v>1</v>
      </c>
      <c r="H281" t="s">
        <v>33</v>
      </c>
      <c r="I281">
        <v>1</v>
      </c>
      <c r="J281" t="s">
        <v>39</v>
      </c>
      <c r="K281">
        <v>96</v>
      </c>
      <c r="L281">
        <v>3</v>
      </c>
      <c r="M281">
        <v>5</v>
      </c>
      <c r="N281" t="s">
        <v>50</v>
      </c>
      <c r="O281">
        <v>2</v>
      </c>
      <c r="P281" t="s">
        <v>45</v>
      </c>
      <c r="Q281">
        <v>19144</v>
      </c>
      <c r="R281">
        <v>15815</v>
      </c>
      <c r="S281">
        <v>3</v>
      </c>
      <c r="T281">
        <v>0</v>
      </c>
      <c r="U281" s="17">
        <v>0.14000000000000001</v>
      </c>
      <c r="V281">
        <v>3</v>
      </c>
      <c r="W281">
        <v>1</v>
      </c>
      <c r="X281">
        <v>2</v>
      </c>
      <c r="Y281">
        <v>28</v>
      </c>
      <c r="Z281">
        <v>4</v>
      </c>
      <c r="AA281">
        <v>2</v>
      </c>
      <c r="AB281">
        <v>10</v>
      </c>
      <c r="AC281">
        <v>4</v>
      </c>
      <c r="AD281">
        <v>1</v>
      </c>
      <c r="AE281">
        <v>6</v>
      </c>
      <c r="AF281">
        <v>0</v>
      </c>
      <c r="AG281">
        <f>IF(tbl_HR_Data[[#This Row],[Gender]]="Male",1,0)</f>
        <v>1</v>
      </c>
      <c r="AH281" cm="1">
        <f t="array" ref="AH281">_xlfn.SWITCH(tbl_HR_Data[[#This Row],[BusinessTravel]], "Non-Travel", 0, "Travel_Rarely", 1, "Travel_Frequently", 2)</f>
        <v>1</v>
      </c>
      <c r="AI281" cm="1">
        <f t="array" ref="AI281">_xlfn.SWITCH(tbl_HR_Data[[#This Row],[MaritalStatus]],"Single",0,"Married",1,"Divorced",2)</f>
        <v>2</v>
      </c>
      <c r="AJ281">
        <f>IF(tbl_HR_Data[[#This Row],[OverTime]]=1,1,0)</f>
        <v>0</v>
      </c>
      <c r="AK281">
        <f>IF(tbl_HR_Data[[#This Row],[DistanceFromHome]]&gt;15,1,0)</f>
        <v>0</v>
      </c>
      <c r="AL281">
        <f>IF(tbl_HR_Data[[#This Row],[JobSatisfaction]]&lt;=2,1,0)</f>
        <v>1</v>
      </c>
      <c r="AM281">
        <f>IF(tbl_HR_Data[[#This Row],[MonthlyIncome]]&lt;$AT$2,1,0)</f>
        <v>0</v>
      </c>
      <c r="AN281">
        <f>IF(tbl_HR_Data[[#This Row],[Travel_Code]]=2,1,0)</f>
        <v>0</v>
      </c>
      <c r="AO281">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281" s="15">
        <f>tbl_HR_Data[[#This Row],[Risk_Score_Raw]] / SUM(Logic_Parameters!$B$2:$B$6)</f>
        <v>0.14485673308716898</v>
      </c>
      <c r="AQ281" s="16" t="str" cm="1">
        <f t="array" ref="AQ281">_xlfn.IFS(tbl_HR_Data[[#This Row],[Attrition_Risk_Percentage]] &gt;= 0.75, "Critical",tbl_HR_Data[ [#This Row],[Attrition_Risk_Percentage] ]&gt;= 0.5, "High",tbl_HR_Data[[#This Row],[Attrition_Risk_Percentage]] &gt;= 0.25, "Medium",TRUE, "Low")</f>
        <v>Low</v>
      </c>
      <c r="AR281" s="16" cm="1">
        <f t="array" ref="AR281">IFERROR(_xlfn.IFS(tbl_HR_Data[[#This Row],[Risk_Category]]="Critical",tbl_HR_Data[[#This Row],[MonthlyIncome]]*1.5,tbl_HR_Data[[#This Row],[Risk_Category]]="High",tbl_HR_Data[[#This Row],[MonthlyIncome]]*1.5),0)</f>
        <v>0</v>
      </c>
    </row>
    <row r="282" spans="1:44" x14ac:dyDescent="0.35">
      <c r="A282" t="s">
        <v>241</v>
      </c>
      <c r="B282">
        <v>53</v>
      </c>
      <c r="C282" t="s">
        <v>31</v>
      </c>
      <c r="D282">
        <v>1070</v>
      </c>
      <c r="E282" t="s">
        <v>38</v>
      </c>
      <c r="F282">
        <v>3</v>
      </c>
      <c r="G282">
        <v>4</v>
      </c>
      <c r="H282" t="s">
        <v>44</v>
      </c>
      <c r="I282">
        <v>3</v>
      </c>
      <c r="J282" t="s">
        <v>39</v>
      </c>
      <c r="K282">
        <v>45</v>
      </c>
      <c r="L282">
        <v>3</v>
      </c>
      <c r="M282">
        <v>4</v>
      </c>
      <c r="N282" t="s">
        <v>50</v>
      </c>
      <c r="O282">
        <v>3</v>
      </c>
      <c r="P282" t="s">
        <v>41</v>
      </c>
      <c r="Q282">
        <v>17584</v>
      </c>
      <c r="R282">
        <v>21016</v>
      </c>
      <c r="S282">
        <v>3</v>
      </c>
      <c r="T282">
        <v>1</v>
      </c>
      <c r="U282" s="17">
        <v>0.16</v>
      </c>
      <c r="V282">
        <v>3</v>
      </c>
      <c r="W282">
        <v>4</v>
      </c>
      <c r="X282">
        <v>3</v>
      </c>
      <c r="Y282">
        <v>21</v>
      </c>
      <c r="Z282">
        <v>5</v>
      </c>
      <c r="AA282">
        <v>2</v>
      </c>
      <c r="AB282">
        <v>5</v>
      </c>
      <c r="AC282">
        <v>3</v>
      </c>
      <c r="AD282">
        <v>1</v>
      </c>
      <c r="AE282">
        <v>3</v>
      </c>
      <c r="AF282">
        <v>0</v>
      </c>
      <c r="AG282">
        <f>IF(tbl_HR_Data[[#This Row],[Gender]]="Male",1,0)</f>
        <v>1</v>
      </c>
      <c r="AH282" cm="1">
        <f t="array" ref="AH282">_xlfn.SWITCH(tbl_HR_Data[[#This Row],[BusinessTravel]], "Non-Travel", 0, "Travel_Rarely", 1, "Travel_Frequently", 2)</f>
        <v>1</v>
      </c>
      <c r="AI282" cm="1">
        <f t="array" ref="AI282">_xlfn.SWITCH(tbl_HR_Data[[#This Row],[MaritalStatus]],"Single",0,"Married",1,"Divorced",2)</f>
        <v>1</v>
      </c>
      <c r="AJ282">
        <f>IF(tbl_HR_Data[[#This Row],[OverTime]]=1,1,0)</f>
        <v>1</v>
      </c>
      <c r="AK282">
        <f>IF(tbl_HR_Data[[#This Row],[DistanceFromHome]]&gt;15,1,0)</f>
        <v>0</v>
      </c>
      <c r="AL282">
        <f>IF(tbl_HR_Data[[#This Row],[JobSatisfaction]]&lt;=2,1,0)</f>
        <v>0</v>
      </c>
      <c r="AM282">
        <f>IF(tbl_HR_Data[[#This Row],[MonthlyIncome]]&lt;$AT$2,1,0)</f>
        <v>0</v>
      </c>
      <c r="AN282">
        <f>IF(tbl_HR_Data[[#This Row],[Travel_Code]]=2,1,0)</f>
        <v>0</v>
      </c>
      <c r="AO282">
        <f>(tbl_HR_Data[[#This Row],[Flag_OT]] * Logic_Parameters!$B$2) +
 (tbl_HR_Data[[#This Row],[Flag_Travel]] * Logic_Parameters!$B$3) +
 (tbl_HR_Data[[#This Row],[Flag_Satisfaction]] * Logic_Parameters!$B$4) +
 (tbl_HR_Data[[#This Row],[Flag_Distance]]* Logic_Parameters!$B$5) +
 (tbl_HR_Data[[#This Row],[Flag_Income]] * Logic_Parameters!$B$6)</f>
        <v>10</v>
      </c>
      <c r="AP282" s="15">
        <f>tbl_HR_Data[[#This Row],[Risk_Score_Raw]] / SUM(Logic_Parameters!$B$2:$B$6)</f>
        <v>0.3445251318258073</v>
      </c>
      <c r="AQ282" s="16" t="str" cm="1">
        <f t="array" ref="AQ282">_xlfn.IFS(tbl_HR_Data[[#This Row],[Attrition_Risk_Percentage]] &gt;= 0.75, "Critical",tbl_HR_Data[ [#This Row],[Attrition_Risk_Percentage] ]&gt;= 0.5, "High",tbl_HR_Data[[#This Row],[Attrition_Risk_Percentage]] &gt;= 0.25, "Medium",TRUE, "Low")</f>
        <v>Medium</v>
      </c>
      <c r="AR282" s="16" cm="1">
        <f t="array" ref="AR282">IFERROR(_xlfn.IFS(tbl_HR_Data[[#This Row],[Risk_Category]]="Critical",tbl_HR_Data[[#This Row],[MonthlyIncome]]*1.5,tbl_HR_Data[[#This Row],[Risk_Category]]="High",tbl_HR_Data[[#This Row],[MonthlyIncome]]*1.5),0)</f>
        <v>0</v>
      </c>
    </row>
    <row r="283" spans="1:44" x14ac:dyDescent="0.35">
      <c r="A283" t="s">
        <v>65</v>
      </c>
      <c r="B283">
        <v>42</v>
      </c>
      <c r="C283" t="s">
        <v>31</v>
      </c>
      <c r="D283">
        <v>635</v>
      </c>
      <c r="E283" t="s">
        <v>32</v>
      </c>
      <c r="F283">
        <v>1</v>
      </c>
      <c r="G283">
        <v>1</v>
      </c>
      <c r="H283" t="s">
        <v>33</v>
      </c>
      <c r="I283">
        <v>2</v>
      </c>
      <c r="J283" t="s">
        <v>39</v>
      </c>
      <c r="K283">
        <v>99</v>
      </c>
      <c r="L283">
        <v>3</v>
      </c>
      <c r="M283">
        <v>2</v>
      </c>
      <c r="N283" t="s">
        <v>35</v>
      </c>
      <c r="O283">
        <v>3</v>
      </c>
      <c r="P283" t="s">
        <v>41</v>
      </c>
      <c r="Q283">
        <v>4907</v>
      </c>
      <c r="R283">
        <v>24532</v>
      </c>
      <c r="S283">
        <v>1</v>
      </c>
      <c r="T283">
        <v>0</v>
      </c>
      <c r="U283" s="17">
        <v>0.25</v>
      </c>
      <c r="V283">
        <v>4</v>
      </c>
      <c r="W283">
        <v>3</v>
      </c>
      <c r="X283">
        <v>0</v>
      </c>
      <c r="Y283">
        <v>20</v>
      </c>
      <c r="Z283">
        <v>3</v>
      </c>
      <c r="AA283">
        <v>3</v>
      </c>
      <c r="AB283">
        <v>20</v>
      </c>
      <c r="AC283">
        <v>16</v>
      </c>
      <c r="AD283">
        <v>11</v>
      </c>
      <c r="AE283">
        <v>6</v>
      </c>
      <c r="AF283">
        <v>0</v>
      </c>
      <c r="AG283">
        <f>IF(tbl_HR_Data[[#This Row],[Gender]]="Male",1,0)</f>
        <v>1</v>
      </c>
      <c r="AH283" cm="1">
        <f t="array" ref="AH283">_xlfn.SWITCH(tbl_HR_Data[[#This Row],[BusinessTravel]], "Non-Travel", 0, "Travel_Rarely", 1, "Travel_Frequently", 2)</f>
        <v>1</v>
      </c>
      <c r="AI283" cm="1">
        <f t="array" ref="AI283">_xlfn.SWITCH(tbl_HR_Data[[#This Row],[MaritalStatus]],"Single",0,"Married",1,"Divorced",2)</f>
        <v>1</v>
      </c>
      <c r="AJ283">
        <f>IF(tbl_HR_Data[[#This Row],[OverTime]]=1,1,0)</f>
        <v>0</v>
      </c>
      <c r="AK283">
        <f>IF(tbl_HR_Data[[#This Row],[DistanceFromHome]]&gt;15,1,0)</f>
        <v>0</v>
      </c>
      <c r="AL283">
        <f>IF(tbl_HR_Data[[#This Row],[JobSatisfaction]]&lt;=2,1,0)</f>
        <v>0</v>
      </c>
      <c r="AM283">
        <f>IF(tbl_HR_Data[[#This Row],[MonthlyIncome]]&lt;$AT$2,1,0)</f>
        <v>1</v>
      </c>
      <c r="AN283">
        <f>IF(tbl_HR_Data[[#This Row],[Travel_Code]]=2,1,0)</f>
        <v>0</v>
      </c>
      <c r="AO283">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283" s="15">
        <f>tbl_HR_Data[[#This Row],[Risk_Score_Raw]] / SUM(Logic_Parameters!$B$2:$B$6)</f>
        <v>0.22374939857982484</v>
      </c>
      <c r="AQ283" s="16" t="str" cm="1">
        <f t="array" ref="AQ283">_xlfn.IFS(tbl_HR_Data[[#This Row],[Attrition_Risk_Percentage]] &gt;= 0.75, "Critical",tbl_HR_Data[ [#This Row],[Attrition_Risk_Percentage] ]&gt;= 0.5, "High",tbl_HR_Data[[#This Row],[Attrition_Risk_Percentage]] &gt;= 0.25, "Medium",TRUE, "Low")</f>
        <v>Low</v>
      </c>
      <c r="AR283" s="16" cm="1">
        <f t="array" ref="AR283">IFERROR(_xlfn.IFS(tbl_HR_Data[[#This Row],[Risk_Category]]="Critical",tbl_HR_Data[[#This Row],[MonthlyIncome]]*1.5,tbl_HR_Data[[#This Row],[Risk_Category]]="High",tbl_HR_Data[[#This Row],[MonthlyIncome]]*1.5),0)</f>
        <v>0</v>
      </c>
    </row>
    <row r="284" spans="1:44" x14ac:dyDescent="0.35">
      <c r="A284" t="s">
        <v>1163</v>
      </c>
      <c r="B284">
        <v>29</v>
      </c>
      <c r="C284" t="s">
        <v>37</v>
      </c>
      <c r="D284">
        <v>442</v>
      </c>
      <c r="E284" t="s">
        <v>32</v>
      </c>
      <c r="F284">
        <v>2</v>
      </c>
      <c r="G284">
        <v>2</v>
      </c>
      <c r="H284" t="s">
        <v>33</v>
      </c>
      <c r="I284">
        <v>2</v>
      </c>
      <c r="J284" t="s">
        <v>39</v>
      </c>
      <c r="K284">
        <v>44</v>
      </c>
      <c r="L284">
        <v>3</v>
      </c>
      <c r="M284">
        <v>2</v>
      </c>
      <c r="N284" t="s">
        <v>35</v>
      </c>
      <c r="O284">
        <v>4</v>
      </c>
      <c r="P284" t="s">
        <v>36</v>
      </c>
      <c r="Q284">
        <v>4554</v>
      </c>
      <c r="R284">
        <v>20260</v>
      </c>
      <c r="S284">
        <v>1</v>
      </c>
      <c r="T284">
        <v>0</v>
      </c>
      <c r="U284" s="17">
        <v>0.18</v>
      </c>
      <c r="V284">
        <v>3</v>
      </c>
      <c r="W284">
        <v>1</v>
      </c>
      <c r="X284">
        <v>0</v>
      </c>
      <c r="Y284">
        <v>10</v>
      </c>
      <c r="Z284">
        <v>3</v>
      </c>
      <c r="AA284">
        <v>2</v>
      </c>
      <c r="AB284">
        <v>10</v>
      </c>
      <c r="AC284">
        <v>7</v>
      </c>
      <c r="AD284">
        <v>0</v>
      </c>
      <c r="AE284">
        <v>9</v>
      </c>
      <c r="AF284">
        <v>0</v>
      </c>
      <c r="AG284">
        <f>IF(tbl_HR_Data[[#This Row],[Gender]]="Male",1,0)</f>
        <v>1</v>
      </c>
      <c r="AH284" cm="1">
        <f t="array" ref="AH284">_xlfn.SWITCH(tbl_HR_Data[[#This Row],[BusinessTravel]], "Non-Travel", 0, "Travel_Rarely", 1, "Travel_Frequently", 2)</f>
        <v>2</v>
      </c>
      <c r="AI284" cm="1">
        <f t="array" ref="AI284">_xlfn.SWITCH(tbl_HR_Data[[#This Row],[MaritalStatus]],"Single",0,"Married",1,"Divorced",2)</f>
        <v>0</v>
      </c>
      <c r="AJ284">
        <f>IF(tbl_HR_Data[[#This Row],[OverTime]]=1,1,0)</f>
        <v>0</v>
      </c>
      <c r="AK284">
        <f>IF(tbl_HR_Data[[#This Row],[DistanceFromHome]]&gt;15,1,0)</f>
        <v>0</v>
      </c>
      <c r="AL284">
        <f>IF(tbl_HR_Data[[#This Row],[JobSatisfaction]]&lt;=2,1,0)</f>
        <v>0</v>
      </c>
      <c r="AM284">
        <f>IF(tbl_HR_Data[[#This Row],[MonthlyIncome]]&lt;$AT$2,1,0)</f>
        <v>1</v>
      </c>
      <c r="AN284">
        <f>IF(tbl_HR_Data[[#This Row],[Travel_Code]]=2,1,0)</f>
        <v>1</v>
      </c>
      <c r="AO284">
        <f>(tbl_HR_Data[[#This Row],[Flag_OT]] * Logic_Parameters!$B$2) +
 (tbl_HR_Data[[#This Row],[Flag_Travel]] * Logic_Parameters!$B$3) +
 (tbl_HR_Data[[#This Row],[Flag_Satisfaction]] * Logic_Parameters!$B$4) +
 (tbl_HR_Data[[#This Row],[Flag_Distance]]* Logic_Parameters!$B$5) +
 (tbl_HR_Data[[#This Row],[Flag_Income]] * Logic_Parameters!$B$6)</f>
        <v>11.654818917911005</v>
      </c>
      <c r="AP284" s="15">
        <f>tbl_HR_Data[[#This Row],[Risk_Score_Raw]] / SUM(Logic_Parameters!$B$2:$B$6)</f>
        <v>0.40153780240992015</v>
      </c>
      <c r="AQ284" s="16" t="str" cm="1">
        <f t="array" ref="AQ284">_xlfn.IFS(tbl_HR_Data[[#This Row],[Attrition_Risk_Percentage]] &gt;= 0.75, "Critical",tbl_HR_Data[ [#This Row],[Attrition_Risk_Percentage] ]&gt;= 0.5, "High",tbl_HR_Data[[#This Row],[Attrition_Risk_Percentage]] &gt;= 0.25, "Medium",TRUE, "Low")</f>
        <v>Medium</v>
      </c>
      <c r="AR284" s="16" cm="1">
        <f t="array" ref="AR284">IFERROR(_xlfn.IFS(tbl_HR_Data[[#This Row],[Risk_Category]]="Critical",tbl_HR_Data[[#This Row],[MonthlyIncome]]*1.5,tbl_HR_Data[[#This Row],[Risk_Category]]="High",tbl_HR_Data[[#This Row],[MonthlyIncome]]*1.5),0)</f>
        <v>0</v>
      </c>
    </row>
    <row r="285" spans="1:44" x14ac:dyDescent="0.35">
      <c r="A285" t="s">
        <v>171</v>
      </c>
      <c r="B285">
        <v>55</v>
      </c>
      <c r="C285" t="s">
        <v>31</v>
      </c>
      <c r="D285">
        <v>147</v>
      </c>
      <c r="E285" t="s">
        <v>38</v>
      </c>
      <c r="F285">
        <v>20</v>
      </c>
      <c r="G285">
        <v>2</v>
      </c>
      <c r="H285" t="s">
        <v>52</v>
      </c>
      <c r="I285">
        <v>2</v>
      </c>
      <c r="J285" t="s">
        <v>39</v>
      </c>
      <c r="K285">
        <v>37</v>
      </c>
      <c r="L285">
        <v>3</v>
      </c>
      <c r="M285">
        <v>2</v>
      </c>
      <c r="N285" t="s">
        <v>43</v>
      </c>
      <c r="O285">
        <v>4</v>
      </c>
      <c r="P285" t="s">
        <v>41</v>
      </c>
      <c r="Q285">
        <v>5415</v>
      </c>
      <c r="R285">
        <v>15972</v>
      </c>
      <c r="S285">
        <v>3</v>
      </c>
      <c r="T285">
        <v>1</v>
      </c>
      <c r="U285" s="17">
        <v>0.19</v>
      </c>
      <c r="V285">
        <v>3</v>
      </c>
      <c r="W285">
        <v>4</v>
      </c>
      <c r="X285">
        <v>1</v>
      </c>
      <c r="Y285">
        <v>12</v>
      </c>
      <c r="Z285">
        <v>4</v>
      </c>
      <c r="AA285">
        <v>3</v>
      </c>
      <c r="AB285">
        <v>10</v>
      </c>
      <c r="AC285">
        <v>7</v>
      </c>
      <c r="AD285">
        <v>0</v>
      </c>
      <c r="AE285">
        <v>8</v>
      </c>
      <c r="AF285">
        <v>0</v>
      </c>
      <c r="AG285">
        <f>IF(tbl_HR_Data[[#This Row],[Gender]]="Male",1,0)</f>
        <v>1</v>
      </c>
      <c r="AH285" cm="1">
        <f t="array" ref="AH285">_xlfn.SWITCH(tbl_HR_Data[[#This Row],[BusinessTravel]], "Non-Travel", 0, "Travel_Rarely", 1, "Travel_Frequently", 2)</f>
        <v>1</v>
      </c>
      <c r="AI285" cm="1">
        <f t="array" ref="AI285">_xlfn.SWITCH(tbl_HR_Data[[#This Row],[MaritalStatus]],"Single",0,"Married",1,"Divorced",2)</f>
        <v>1</v>
      </c>
      <c r="AJ285">
        <f>IF(tbl_HR_Data[[#This Row],[OverTime]]=1,1,0)</f>
        <v>1</v>
      </c>
      <c r="AK285">
        <f>IF(tbl_HR_Data[[#This Row],[DistanceFromHome]]&gt;15,1,0)</f>
        <v>1</v>
      </c>
      <c r="AL285">
        <f>IF(tbl_HR_Data[[#This Row],[JobSatisfaction]]&lt;=2,1,0)</f>
        <v>0</v>
      </c>
      <c r="AM285">
        <f>IF(tbl_HR_Data[[#This Row],[MonthlyIncome]]&lt;$AT$2,1,0)</f>
        <v>0</v>
      </c>
      <c r="AN285">
        <f>IF(tbl_HR_Data[[#This Row],[Travel_Code]]=2,1,0)</f>
        <v>0</v>
      </c>
      <c r="AO285">
        <f>(tbl_HR_Data[[#This Row],[Flag_OT]] * Logic_Parameters!$B$2) +
 (tbl_HR_Data[[#This Row],[Flag_Travel]] * Logic_Parameters!$B$3) +
 (tbl_HR_Data[[#This Row],[Flag_Satisfaction]] * Logic_Parameters!$B$4) +
 (tbl_HR_Data[[#This Row],[Flag_Distance]]* Logic_Parameters!$B$5) +
 (tbl_HR_Data[[#This Row],[Flag_Income]] * Logic_Parameters!$B$6)</f>
        <v>13.166106695875378</v>
      </c>
      <c r="AP285" s="15">
        <f>tbl_HR_Data[[#This Row],[Risk_Score_Raw]] / SUM(Logic_Parameters!$B$2:$B$6)</f>
        <v>0.45360546450291089</v>
      </c>
      <c r="AQ285" s="16" t="str" cm="1">
        <f t="array" ref="AQ285">_xlfn.IFS(tbl_HR_Data[[#This Row],[Attrition_Risk_Percentage]] &gt;= 0.75, "Critical",tbl_HR_Data[ [#This Row],[Attrition_Risk_Percentage] ]&gt;= 0.5, "High",tbl_HR_Data[[#This Row],[Attrition_Risk_Percentage]] &gt;= 0.25, "Medium",TRUE, "Low")</f>
        <v>Medium</v>
      </c>
      <c r="AR285" s="16" cm="1">
        <f t="array" ref="AR285">IFERROR(_xlfn.IFS(tbl_HR_Data[[#This Row],[Risk_Category]]="Critical",tbl_HR_Data[[#This Row],[MonthlyIncome]]*1.5,tbl_HR_Data[[#This Row],[Risk_Category]]="High",tbl_HR_Data[[#This Row],[MonthlyIncome]]*1.5),0)</f>
        <v>0</v>
      </c>
    </row>
    <row r="286" spans="1:44" x14ac:dyDescent="0.35">
      <c r="A286" t="s">
        <v>726</v>
      </c>
      <c r="B286">
        <v>26</v>
      </c>
      <c r="C286" t="s">
        <v>37</v>
      </c>
      <c r="D286">
        <v>496</v>
      </c>
      <c r="E286" t="s">
        <v>38</v>
      </c>
      <c r="F286">
        <v>11</v>
      </c>
      <c r="G286">
        <v>2</v>
      </c>
      <c r="H286" t="s">
        <v>44</v>
      </c>
      <c r="I286">
        <v>1</v>
      </c>
      <c r="J286" t="s">
        <v>39</v>
      </c>
      <c r="K286">
        <v>60</v>
      </c>
      <c r="L286">
        <v>3</v>
      </c>
      <c r="M286">
        <v>2</v>
      </c>
      <c r="N286" t="s">
        <v>47</v>
      </c>
      <c r="O286">
        <v>1</v>
      </c>
      <c r="P286" t="s">
        <v>41</v>
      </c>
      <c r="Q286">
        <v>4741</v>
      </c>
      <c r="R286">
        <v>22722</v>
      </c>
      <c r="S286">
        <v>1</v>
      </c>
      <c r="T286">
        <v>1</v>
      </c>
      <c r="U286" s="17">
        <v>0.13</v>
      </c>
      <c r="V286">
        <v>3</v>
      </c>
      <c r="W286">
        <v>3</v>
      </c>
      <c r="X286">
        <v>1</v>
      </c>
      <c r="Y286">
        <v>5</v>
      </c>
      <c r="Z286">
        <v>3</v>
      </c>
      <c r="AA286">
        <v>3</v>
      </c>
      <c r="AB286">
        <v>5</v>
      </c>
      <c r="AC286">
        <v>3</v>
      </c>
      <c r="AD286">
        <v>3</v>
      </c>
      <c r="AE286">
        <v>3</v>
      </c>
      <c r="AF286">
        <v>0</v>
      </c>
      <c r="AG286">
        <f>IF(tbl_HR_Data[[#This Row],[Gender]]="Male",1,0)</f>
        <v>1</v>
      </c>
      <c r="AH286" cm="1">
        <f t="array" ref="AH286">_xlfn.SWITCH(tbl_HR_Data[[#This Row],[BusinessTravel]], "Non-Travel", 0, "Travel_Rarely", 1, "Travel_Frequently", 2)</f>
        <v>2</v>
      </c>
      <c r="AI286" cm="1">
        <f t="array" ref="AI286">_xlfn.SWITCH(tbl_HR_Data[[#This Row],[MaritalStatus]],"Single",0,"Married",1,"Divorced",2)</f>
        <v>1</v>
      </c>
      <c r="AJ286">
        <f>IF(tbl_HR_Data[[#This Row],[OverTime]]=1,1,0)</f>
        <v>1</v>
      </c>
      <c r="AK286">
        <f>IF(tbl_HR_Data[[#This Row],[DistanceFromHome]]&gt;15,1,0)</f>
        <v>0</v>
      </c>
      <c r="AL286">
        <f>IF(tbl_HR_Data[[#This Row],[JobSatisfaction]]&lt;=2,1,0)</f>
        <v>1</v>
      </c>
      <c r="AM286">
        <f>IF(tbl_HR_Data[[#This Row],[MonthlyIncome]]&lt;$AT$2,1,0)</f>
        <v>1</v>
      </c>
      <c r="AN286">
        <f>IF(tbl_HR_Data[[#This Row],[Travel_Code]]=2,1,0)</f>
        <v>1</v>
      </c>
      <c r="AO286">
        <f>(tbl_HR_Data[[#This Row],[Flag_OT]] * Logic_Parameters!$B$2) +
 (tbl_HR_Data[[#This Row],[Flag_Travel]] * Logic_Parameters!$B$3) +
 (tbl_HR_Data[[#This Row],[Flag_Satisfaction]] * Logic_Parameters!$B$4) +
 (tbl_HR_Data[[#This Row],[Flag_Distance]]* Logic_Parameters!$B$5) +
 (tbl_HR_Data[[#This Row],[Flag_Income]] * Logic_Parameters!$B$6)</f>
        <v>25.859352047889136</v>
      </c>
      <c r="AP286" s="15">
        <f>tbl_HR_Data[[#This Row],[Risk_Score_Raw]] / SUM(Logic_Parameters!$B$2:$B$6)</f>
        <v>0.8909196673228964</v>
      </c>
      <c r="AQ286" s="16" t="str" cm="1">
        <f t="array" ref="AQ286">_xlfn.IFS(tbl_HR_Data[[#This Row],[Attrition_Risk_Percentage]] &gt;= 0.75, "Critical",tbl_HR_Data[ [#This Row],[Attrition_Risk_Percentage] ]&gt;= 0.5, "High",tbl_HR_Data[[#This Row],[Attrition_Risk_Percentage]] &gt;= 0.25, "Medium",TRUE, "Low")</f>
        <v>Critical</v>
      </c>
      <c r="AR286" s="16" cm="1">
        <f t="array" ref="AR286">IFERROR(_xlfn.IFS(tbl_HR_Data[[#This Row],[Risk_Category]]="Critical",tbl_HR_Data[[#This Row],[MonthlyIncome]]*1.5,tbl_HR_Data[[#This Row],[Risk_Category]]="High",tbl_HR_Data[[#This Row],[MonthlyIncome]]*1.5),0)</f>
        <v>7111.5</v>
      </c>
    </row>
    <row r="287" spans="1:44" x14ac:dyDescent="0.35">
      <c r="A287" t="s">
        <v>291</v>
      </c>
      <c r="B287">
        <v>37</v>
      </c>
      <c r="C287" t="s">
        <v>31</v>
      </c>
      <c r="D287">
        <v>1372</v>
      </c>
      <c r="E287" t="s">
        <v>38</v>
      </c>
      <c r="F287">
        <v>1</v>
      </c>
      <c r="G287">
        <v>3</v>
      </c>
      <c r="H287" t="s">
        <v>33</v>
      </c>
      <c r="I287">
        <v>4</v>
      </c>
      <c r="J287" t="s">
        <v>34</v>
      </c>
      <c r="K287">
        <v>42</v>
      </c>
      <c r="L287">
        <v>3</v>
      </c>
      <c r="M287">
        <v>1</v>
      </c>
      <c r="N287" t="s">
        <v>40</v>
      </c>
      <c r="O287">
        <v>4</v>
      </c>
      <c r="P287" t="s">
        <v>36</v>
      </c>
      <c r="Q287">
        <v>2115</v>
      </c>
      <c r="R287">
        <v>15881</v>
      </c>
      <c r="S287">
        <v>1</v>
      </c>
      <c r="T287">
        <v>0</v>
      </c>
      <c r="U287" s="17">
        <v>0.12</v>
      </c>
      <c r="V287">
        <v>3</v>
      </c>
      <c r="W287">
        <v>2</v>
      </c>
      <c r="X287">
        <v>0</v>
      </c>
      <c r="Y287">
        <v>17</v>
      </c>
      <c r="Z287">
        <v>3</v>
      </c>
      <c r="AA287">
        <v>3</v>
      </c>
      <c r="AB287">
        <v>17</v>
      </c>
      <c r="AC287">
        <v>12</v>
      </c>
      <c r="AD287">
        <v>5</v>
      </c>
      <c r="AE287">
        <v>7</v>
      </c>
      <c r="AF287">
        <v>0</v>
      </c>
      <c r="AG287">
        <f>IF(tbl_HR_Data[[#This Row],[Gender]]="Male",1,0)</f>
        <v>0</v>
      </c>
      <c r="AH287" cm="1">
        <f t="array" ref="AH287">_xlfn.SWITCH(tbl_HR_Data[[#This Row],[BusinessTravel]], "Non-Travel", 0, "Travel_Rarely", 1, "Travel_Frequently", 2)</f>
        <v>1</v>
      </c>
      <c r="AI287" cm="1">
        <f t="array" ref="AI287">_xlfn.SWITCH(tbl_HR_Data[[#This Row],[MaritalStatus]],"Single",0,"Married",1,"Divorced",2)</f>
        <v>0</v>
      </c>
      <c r="AJ287">
        <f>IF(tbl_HR_Data[[#This Row],[OverTime]]=1,1,0)</f>
        <v>0</v>
      </c>
      <c r="AK287">
        <f>IF(tbl_HR_Data[[#This Row],[DistanceFromHome]]&gt;15,1,0)</f>
        <v>0</v>
      </c>
      <c r="AL287">
        <f>IF(tbl_HR_Data[[#This Row],[JobSatisfaction]]&lt;=2,1,0)</f>
        <v>0</v>
      </c>
      <c r="AM287">
        <f>IF(tbl_HR_Data[[#This Row],[MonthlyIncome]]&lt;$AT$2,1,0)</f>
        <v>1</v>
      </c>
      <c r="AN287">
        <f>IF(tbl_HR_Data[[#This Row],[Travel_Code]]=2,1,0)</f>
        <v>0</v>
      </c>
      <c r="AO287">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287" s="15">
        <f>tbl_HR_Data[[#This Row],[Risk_Score_Raw]] / SUM(Logic_Parameters!$B$2:$B$6)</f>
        <v>0.22374939857982484</v>
      </c>
      <c r="AQ287" s="16" t="str" cm="1">
        <f t="array" ref="AQ287">_xlfn.IFS(tbl_HR_Data[[#This Row],[Attrition_Risk_Percentage]] &gt;= 0.75, "Critical",tbl_HR_Data[ [#This Row],[Attrition_Risk_Percentage] ]&gt;= 0.5, "High",tbl_HR_Data[[#This Row],[Attrition_Risk_Percentage]] &gt;= 0.25, "Medium",TRUE, "Low")</f>
        <v>Low</v>
      </c>
      <c r="AR287" s="16" cm="1">
        <f t="array" ref="AR287">IFERROR(_xlfn.IFS(tbl_HR_Data[[#This Row],[Risk_Category]]="Critical",tbl_HR_Data[[#This Row],[MonthlyIncome]]*1.5,tbl_HR_Data[[#This Row],[Risk_Category]]="High",tbl_HR_Data[[#This Row],[MonthlyIncome]]*1.5),0)</f>
        <v>0</v>
      </c>
    </row>
    <row r="288" spans="1:44" x14ac:dyDescent="0.35">
      <c r="A288" t="s">
        <v>1173</v>
      </c>
      <c r="B288">
        <v>44</v>
      </c>
      <c r="C288" t="s">
        <v>37</v>
      </c>
      <c r="D288">
        <v>920</v>
      </c>
      <c r="E288" t="s">
        <v>38</v>
      </c>
      <c r="F288">
        <v>24</v>
      </c>
      <c r="G288">
        <v>3</v>
      </c>
      <c r="H288" t="s">
        <v>33</v>
      </c>
      <c r="I288">
        <v>4</v>
      </c>
      <c r="J288" t="s">
        <v>39</v>
      </c>
      <c r="K288">
        <v>43</v>
      </c>
      <c r="L288">
        <v>3</v>
      </c>
      <c r="M288">
        <v>1</v>
      </c>
      <c r="N288" t="s">
        <v>43</v>
      </c>
      <c r="O288">
        <v>3</v>
      </c>
      <c r="P288" t="s">
        <v>45</v>
      </c>
      <c r="Q288">
        <v>3161</v>
      </c>
      <c r="R288">
        <v>19920</v>
      </c>
      <c r="S288">
        <v>3</v>
      </c>
      <c r="T288">
        <v>1</v>
      </c>
      <c r="U288" s="17">
        <v>0.22</v>
      </c>
      <c r="V288">
        <v>4</v>
      </c>
      <c r="W288">
        <v>4</v>
      </c>
      <c r="X288">
        <v>1</v>
      </c>
      <c r="Y288">
        <v>19</v>
      </c>
      <c r="Z288">
        <v>0</v>
      </c>
      <c r="AA288">
        <v>1</v>
      </c>
      <c r="AB288">
        <v>1</v>
      </c>
      <c r="AC288">
        <v>0</v>
      </c>
      <c r="AD288">
        <v>0</v>
      </c>
      <c r="AE288">
        <v>0</v>
      </c>
      <c r="AF288">
        <v>1</v>
      </c>
      <c r="AG288">
        <f>IF(tbl_HR_Data[[#This Row],[Gender]]="Male",1,0)</f>
        <v>1</v>
      </c>
      <c r="AH288" cm="1">
        <f t="array" ref="AH288">_xlfn.SWITCH(tbl_HR_Data[[#This Row],[BusinessTravel]], "Non-Travel", 0, "Travel_Rarely", 1, "Travel_Frequently", 2)</f>
        <v>2</v>
      </c>
      <c r="AI288" cm="1">
        <f t="array" ref="AI288">_xlfn.SWITCH(tbl_HR_Data[[#This Row],[MaritalStatus]],"Single",0,"Married",1,"Divorced",2)</f>
        <v>2</v>
      </c>
      <c r="AJ288">
        <f>IF(tbl_HR_Data[[#This Row],[OverTime]]=1,1,0)</f>
        <v>1</v>
      </c>
      <c r="AK288">
        <f>IF(tbl_HR_Data[[#This Row],[DistanceFromHome]]&gt;15,1,0)</f>
        <v>1</v>
      </c>
      <c r="AL288">
        <f>IF(tbl_HR_Data[[#This Row],[JobSatisfaction]]&lt;=2,1,0)</f>
        <v>0</v>
      </c>
      <c r="AM288">
        <f>IF(tbl_HR_Data[[#This Row],[MonthlyIncome]]&lt;$AT$2,1,0)</f>
        <v>1</v>
      </c>
      <c r="AN288">
        <f>IF(tbl_HR_Data[[#This Row],[Travel_Code]]=2,1,0)</f>
        <v>1</v>
      </c>
      <c r="AO288">
        <f>(tbl_HR_Data[[#This Row],[Flag_OT]] * Logic_Parameters!$B$2) +
 (tbl_HR_Data[[#This Row],[Flag_Travel]] * Logic_Parameters!$B$3) +
 (tbl_HR_Data[[#This Row],[Flag_Satisfaction]] * Logic_Parameters!$B$4) +
 (tbl_HR_Data[[#This Row],[Flag_Distance]]* Logic_Parameters!$B$5) +
 (tbl_HR_Data[[#This Row],[Flag_Income]] * Logic_Parameters!$B$6)</f>
        <v>24.820925613786383</v>
      </c>
      <c r="AP288" s="15">
        <f>tbl_HR_Data[[#This Row],[Risk_Score_Raw]] / SUM(Logic_Parameters!$B$2:$B$6)</f>
        <v>0.85514326691283105</v>
      </c>
      <c r="AQ288" s="16" t="str" cm="1">
        <f t="array" ref="AQ288">_xlfn.IFS(tbl_HR_Data[[#This Row],[Attrition_Risk_Percentage]] &gt;= 0.75, "Critical",tbl_HR_Data[ [#This Row],[Attrition_Risk_Percentage] ]&gt;= 0.5, "High",tbl_HR_Data[[#This Row],[Attrition_Risk_Percentage]] &gt;= 0.25, "Medium",TRUE, "Low")</f>
        <v>Critical</v>
      </c>
      <c r="AR288" s="16" cm="1">
        <f t="array" ref="AR288">IFERROR(_xlfn.IFS(tbl_HR_Data[[#This Row],[Risk_Category]]="Critical",tbl_HR_Data[[#This Row],[MonthlyIncome]]*1.5,tbl_HR_Data[[#This Row],[Risk_Category]]="High",tbl_HR_Data[[#This Row],[MonthlyIncome]]*1.5),0)</f>
        <v>4741.5</v>
      </c>
    </row>
    <row r="289" spans="1:44" x14ac:dyDescent="0.35">
      <c r="A289" t="s">
        <v>1427</v>
      </c>
      <c r="B289">
        <v>38</v>
      </c>
      <c r="C289" t="s">
        <v>31</v>
      </c>
      <c r="D289">
        <v>688</v>
      </c>
      <c r="E289" t="s">
        <v>38</v>
      </c>
      <c r="F289">
        <v>23</v>
      </c>
      <c r="G289">
        <v>4</v>
      </c>
      <c r="H289" t="s">
        <v>33</v>
      </c>
      <c r="I289">
        <v>4</v>
      </c>
      <c r="J289" t="s">
        <v>39</v>
      </c>
      <c r="K289">
        <v>82</v>
      </c>
      <c r="L289">
        <v>3</v>
      </c>
      <c r="M289">
        <v>2</v>
      </c>
      <c r="N289" t="s">
        <v>47</v>
      </c>
      <c r="O289">
        <v>4</v>
      </c>
      <c r="P289" t="s">
        <v>45</v>
      </c>
      <c r="Q289">
        <v>5745</v>
      </c>
      <c r="R289">
        <v>18899</v>
      </c>
      <c r="S289">
        <v>9</v>
      </c>
      <c r="T289">
        <v>0</v>
      </c>
      <c r="U289" s="17">
        <v>0.14000000000000001</v>
      </c>
      <c r="V289">
        <v>3</v>
      </c>
      <c r="W289">
        <v>2</v>
      </c>
      <c r="X289">
        <v>1</v>
      </c>
      <c r="Y289">
        <v>10</v>
      </c>
      <c r="Z289">
        <v>2</v>
      </c>
      <c r="AA289">
        <v>3</v>
      </c>
      <c r="AB289">
        <v>2</v>
      </c>
      <c r="AC289">
        <v>2</v>
      </c>
      <c r="AD289">
        <v>1</v>
      </c>
      <c r="AE289">
        <v>2</v>
      </c>
      <c r="AF289">
        <v>0</v>
      </c>
      <c r="AG289">
        <f>IF(tbl_HR_Data[[#This Row],[Gender]]="Male",1,0)</f>
        <v>1</v>
      </c>
      <c r="AH289" cm="1">
        <f t="array" ref="AH289">_xlfn.SWITCH(tbl_HR_Data[[#This Row],[BusinessTravel]], "Non-Travel", 0, "Travel_Rarely", 1, "Travel_Frequently", 2)</f>
        <v>1</v>
      </c>
      <c r="AI289" cm="1">
        <f t="array" ref="AI289">_xlfn.SWITCH(tbl_HR_Data[[#This Row],[MaritalStatus]],"Single",0,"Married",1,"Divorced",2)</f>
        <v>2</v>
      </c>
      <c r="AJ289">
        <f>IF(tbl_HR_Data[[#This Row],[OverTime]]=1,1,0)</f>
        <v>0</v>
      </c>
      <c r="AK289">
        <f>IF(tbl_HR_Data[[#This Row],[DistanceFromHome]]&gt;15,1,0)</f>
        <v>1</v>
      </c>
      <c r="AL289">
        <f>IF(tbl_HR_Data[[#This Row],[JobSatisfaction]]&lt;=2,1,0)</f>
        <v>0</v>
      </c>
      <c r="AM289">
        <f>IF(tbl_HR_Data[[#This Row],[MonthlyIncome]]&lt;$AT$2,1,0)</f>
        <v>0</v>
      </c>
      <c r="AN289">
        <f>IF(tbl_HR_Data[[#This Row],[Travel_Code]]=2,1,0)</f>
        <v>0</v>
      </c>
      <c r="AO289">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289" s="15">
        <f>tbl_HR_Data[[#This Row],[Risk_Score_Raw]] / SUM(Logic_Parameters!$B$2:$B$6)</f>
        <v>0.10908033267710357</v>
      </c>
      <c r="AQ289" s="16" t="str" cm="1">
        <f t="array" ref="AQ289">_xlfn.IFS(tbl_HR_Data[[#This Row],[Attrition_Risk_Percentage]] &gt;= 0.75, "Critical",tbl_HR_Data[ [#This Row],[Attrition_Risk_Percentage] ]&gt;= 0.5, "High",tbl_HR_Data[[#This Row],[Attrition_Risk_Percentage]] &gt;= 0.25, "Medium",TRUE, "Low")</f>
        <v>Low</v>
      </c>
      <c r="AR289" s="16" cm="1">
        <f t="array" ref="AR289">IFERROR(_xlfn.IFS(tbl_HR_Data[[#This Row],[Risk_Category]]="Critical",tbl_HR_Data[[#This Row],[MonthlyIncome]]*1.5,tbl_HR_Data[[#This Row],[Risk_Category]]="High",tbl_HR_Data[[#This Row],[MonthlyIncome]]*1.5),0)</f>
        <v>0</v>
      </c>
    </row>
    <row r="290" spans="1:44" x14ac:dyDescent="0.35">
      <c r="A290" t="s">
        <v>1191</v>
      </c>
      <c r="B290">
        <v>26</v>
      </c>
      <c r="C290" t="s">
        <v>31</v>
      </c>
      <c r="D290">
        <v>1449</v>
      </c>
      <c r="E290" t="s">
        <v>38</v>
      </c>
      <c r="F290">
        <v>16</v>
      </c>
      <c r="G290">
        <v>4</v>
      </c>
      <c r="H290" t="s">
        <v>44</v>
      </c>
      <c r="I290">
        <v>1</v>
      </c>
      <c r="J290" t="s">
        <v>39</v>
      </c>
      <c r="K290">
        <v>45</v>
      </c>
      <c r="L290">
        <v>3</v>
      </c>
      <c r="M290">
        <v>1</v>
      </c>
      <c r="N290" t="s">
        <v>43</v>
      </c>
      <c r="O290">
        <v>2</v>
      </c>
      <c r="P290" t="s">
        <v>45</v>
      </c>
      <c r="Q290">
        <v>2373</v>
      </c>
      <c r="R290">
        <v>14180</v>
      </c>
      <c r="S290">
        <v>2</v>
      </c>
      <c r="T290">
        <v>1</v>
      </c>
      <c r="U290" s="17">
        <v>0.13</v>
      </c>
      <c r="V290">
        <v>3</v>
      </c>
      <c r="W290">
        <v>4</v>
      </c>
      <c r="X290">
        <v>1</v>
      </c>
      <c r="Y290">
        <v>5</v>
      </c>
      <c r="Z290">
        <v>2</v>
      </c>
      <c r="AA290">
        <v>3</v>
      </c>
      <c r="AB290">
        <v>3</v>
      </c>
      <c r="AC290">
        <v>2</v>
      </c>
      <c r="AD290">
        <v>0</v>
      </c>
      <c r="AE290">
        <v>2</v>
      </c>
      <c r="AF290">
        <v>1</v>
      </c>
      <c r="AG290">
        <f>IF(tbl_HR_Data[[#This Row],[Gender]]="Male",1,0)</f>
        <v>1</v>
      </c>
      <c r="AH290" cm="1">
        <f t="array" ref="AH290">_xlfn.SWITCH(tbl_HR_Data[[#This Row],[BusinessTravel]], "Non-Travel", 0, "Travel_Rarely", 1, "Travel_Frequently", 2)</f>
        <v>1</v>
      </c>
      <c r="AI290" cm="1">
        <f t="array" ref="AI290">_xlfn.SWITCH(tbl_HR_Data[[#This Row],[MaritalStatus]],"Single",0,"Married",1,"Divorced",2)</f>
        <v>2</v>
      </c>
      <c r="AJ290">
        <f>IF(tbl_HR_Data[[#This Row],[OverTime]]=1,1,0)</f>
        <v>1</v>
      </c>
      <c r="AK290">
        <f>IF(tbl_HR_Data[[#This Row],[DistanceFromHome]]&gt;15,1,0)</f>
        <v>1</v>
      </c>
      <c r="AL290">
        <f>IF(tbl_HR_Data[[#This Row],[JobSatisfaction]]&lt;=2,1,0)</f>
        <v>1</v>
      </c>
      <c r="AM290">
        <f>IF(tbl_HR_Data[[#This Row],[MonthlyIncome]]&lt;$AT$2,1,0)</f>
        <v>1</v>
      </c>
      <c r="AN290">
        <f>IF(tbl_HR_Data[[#This Row],[Travel_Code]]=2,1,0)</f>
        <v>0</v>
      </c>
      <c r="AO290">
        <f>(tbl_HR_Data[[#This Row],[Flag_OT]] * Logic_Parameters!$B$2) +
 (tbl_HR_Data[[#This Row],[Flag_Travel]] * Logic_Parameters!$B$3) +
 (tbl_HR_Data[[#This Row],[Flag_Satisfaction]] * Logic_Parameters!$B$4) +
 (tbl_HR_Data[[#This Row],[Flag_Distance]]* Logic_Parameters!$B$5) +
 (tbl_HR_Data[[#This Row],[Flag_Income]] * Logic_Parameters!$B$6)</f>
        <v>23.865068763274337</v>
      </c>
      <c r="AP290" s="15">
        <f>tbl_HR_Data[[#This Row],[Risk_Score_Raw]] / SUM(Logic_Parameters!$B$2:$B$6)</f>
        <v>0.82221159616990469</v>
      </c>
      <c r="AQ290" s="16" t="str" cm="1">
        <f t="array" ref="AQ290">_xlfn.IFS(tbl_HR_Data[[#This Row],[Attrition_Risk_Percentage]] &gt;= 0.75, "Critical",tbl_HR_Data[ [#This Row],[Attrition_Risk_Percentage] ]&gt;= 0.5, "High",tbl_HR_Data[[#This Row],[Attrition_Risk_Percentage]] &gt;= 0.25, "Medium",TRUE, "Low")</f>
        <v>Critical</v>
      </c>
      <c r="AR290" s="16" cm="1">
        <f t="array" ref="AR290">IFERROR(_xlfn.IFS(tbl_HR_Data[[#This Row],[Risk_Category]]="Critical",tbl_HR_Data[[#This Row],[MonthlyIncome]]*1.5,tbl_HR_Data[[#This Row],[Risk_Category]]="High",tbl_HR_Data[[#This Row],[MonthlyIncome]]*1.5),0)</f>
        <v>3559.5</v>
      </c>
    </row>
    <row r="291" spans="1:44" x14ac:dyDescent="0.35">
      <c r="A291" t="s">
        <v>773</v>
      </c>
      <c r="B291">
        <v>28</v>
      </c>
      <c r="C291" t="s">
        <v>31</v>
      </c>
      <c r="D291">
        <v>1117</v>
      </c>
      <c r="E291" t="s">
        <v>38</v>
      </c>
      <c r="F291">
        <v>8</v>
      </c>
      <c r="G291">
        <v>2</v>
      </c>
      <c r="H291" t="s">
        <v>33</v>
      </c>
      <c r="I291">
        <v>4</v>
      </c>
      <c r="J291" t="s">
        <v>34</v>
      </c>
      <c r="K291">
        <v>66</v>
      </c>
      <c r="L291">
        <v>3</v>
      </c>
      <c r="M291">
        <v>1</v>
      </c>
      <c r="N291" t="s">
        <v>40</v>
      </c>
      <c r="O291">
        <v>4</v>
      </c>
      <c r="P291" t="s">
        <v>36</v>
      </c>
      <c r="Q291">
        <v>3310</v>
      </c>
      <c r="R291">
        <v>4488</v>
      </c>
      <c r="S291">
        <v>1</v>
      </c>
      <c r="T291">
        <v>0</v>
      </c>
      <c r="U291" s="17">
        <v>0.21</v>
      </c>
      <c r="V291">
        <v>4</v>
      </c>
      <c r="W291">
        <v>4</v>
      </c>
      <c r="X291">
        <v>0</v>
      </c>
      <c r="Y291">
        <v>5</v>
      </c>
      <c r="Z291">
        <v>3</v>
      </c>
      <c r="AA291">
        <v>3</v>
      </c>
      <c r="AB291">
        <v>5</v>
      </c>
      <c r="AC291">
        <v>3</v>
      </c>
      <c r="AD291">
        <v>0</v>
      </c>
      <c r="AE291">
        <v>2</v>
      </c>
      <c r="AF291">
        <v>0</v>
      </c>
      <c r="AG291">
        <f>IF(tbl_HR_Data[[#This Row],[Gender]]="Male",1,0)</f>
        <v>0</v>
      </c>
      <c r="AH291" cm="1">
        <f t="array" ref="AH291">_xlfn.SWITCH(tbl_HR_Data[[#This Row],[BusinessTravel]], "Non-Travel", 0, "Travel_Rarely", 1, "Travel_Frequently", 2)</f>
        <v>1</v>
      </c>
      <c r="AI291" cm="1">
        <f t="array" ref="AI291">_xlfn.SWITCH(tbl_HR_Data[[#This Row],[MaritalStatus]],"Single",0,"Married",1,"Divorced",2)</f>
        <v>0</v>
      </c>
      <c r="AJ291">
        <f>IF(tbl_HR_Data[[#This Row],[OverTime]]=1,1,0)</f>
        <v>0</v>
      </c>
      <c r="AK291">
        <f>IF(tbl_HR_Data[[#This Row],[DistanceFromHome]]&gt;15,1,0)</f>
        <v>0</v>
      </c>
      <c r="AL291">
        <f>IF(tbl_HR_Data[[#This Row],[JobSatisfaction]]&lt;=2,1,0)</f>
        <v>0</v>
      </c>
      <c r="AM291">
        <f>IF(tbl_HR_Data[[#This Row],[MonthlyIncome]]&lt;$AT$2,1,0)</f>
        <v>1</v>
      </c>
      <c r="AN291">
        <f>IF(tbl_HR_Data[[#This Row],[Travel_Code]]=2,1,0)</f>
        <v>0</v>
      </c>
      <c r="AO291">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291" s="15">
        <f>tbl_HR_Data[[#This Row],[Risk_Score_Raw]] / SUM(Logic_Parameters!$B$2:$B$6)</f>
        <v>0.22374939857982484</v>
      </c>
      <c r="AQ291" s="16" t="str" cm="1">
        <f t="array" ref="AQ291">_xlfn.IFS(tbl_HR_Data[[#This Row],[Attrition_Risk_Percentage]] &gt;= 0.75, "Critical",tbl_HR_Data[ [#This Row],[Attrition_Risk_Percentage] ]&gt;= 0.5, "High",tbl_HR_Data[[#This Row],[Attrition_Risk_Percentage]] &gt;= 0.25, "Medium",TRUE, "Low")</f>
        <v>Low</v>
      </c>
      <c r="AR291" s="16" cm="1">
        <f t="array" ref="AR291">IFERROR(_xlfn.IFS(tbl_HR_Data[[#This Row],[Risk_Category]]="Critical",tbl_HR_Data[[#This Row],[MonthlyIncome]]*1.5,tbl_HR_Data[[#This Row],[Risk_Category]]="High",tbl_HR_Data[[#This Row],[MonthlyIncome]]*1.5),0)</f>
        <v>0</v>
      </c>
    </row>
    <row r="292" spans="1:44" x14ac:dyDescent="0.35">
      <c r="A292" t="s">
        <v>1200</v>
      </c>
      <c r="B292">
        <v>49</v>
      </c>
      <c r="C292" t="s">
        <v>37</v>
      </c>
      <c r="D292">
        <v>636</v>
      </c>
      <c r="E292" t="s">
        <v>38</v>
      </c>
      <c r="F292">
        <v>10</v>
      </c>
      <c r="G292">
        <v>4</v>
      </c>
      <c r="H292" t="s">
        <v>33</v>
      </c>
      <c r="I292">
        <v>3</v>
      </c>
      <c r="J292" t="s">
        <v>34</v>
      </c>
      <c r="K292">
        <v>35</v>
      </c>
      <c r="L292">
        <v>3</v>
      </c>
      <c r="M292">
        <v>5</v>
      </c>
      <c r="N292" t="s">
        <v>50</v>
      </c>
      <c r="O292">
        <v>1</v>
      </c>
      <c r="P292" t="s">
        <v>36</v>
      </c>
      <c r="Q292">
        <v>18665</v>
      </c>
      <c r="R292">
        <v>25594</v>
      </c>
      <c r="S292">
        <v>9</v>
      </c>
      <c r="T292">
        <v>1</v>
      </c>
      <c r="U292" s="17">
        <v>0.11</v>
      </c>
      <c r="V292">
        <v>3</v>
      </c>
      <c r="W292">
        <v>4</v>
      </c>
      <c r="X292">
        <v>0</v>
      </c>
      <c r="Y292">
        <v>22</v>
      </c>
      <c r="Z292">
        <v>4</v>
      </c>
      <c r="AA292">
        <v>3</v>
      </c>
      <c r="AB292">
        <v>3</v>
      </c>
      <c r="AC292">
        <v>2</v>
      </c>
      <c r="AD292">
        <v>1</v>
      </c>
      <c r="AE292">
        <v>2</v>
      </c>
      <c r="AF292">
        <v>0</v>
      </c>
      <c r="AG292">
        <f>IF(tbl_HR_Data[[#This Row],[Gender]]="Male",1,0)</f>
        <v>0</v>
      </c>
      <c r="AH292" cm="1">
        <f t="array" ref="AH292">_xlfn.SWITCH(tbl_HR_Data[[#This Row],[BusinessTravel]], "Non-Travel", 0, "Travel_Rarely", 1, "Travel_Frequently", 2)</f>
        <v>2</v>
      </c>
      <c r="AI292" cm="1">
        <f t="array" ref="AI292">_xlfn.SWITCH(tbl_HR_Data[[#This Row],[MaritalStatus]],"Single",0,"Married",1,"Divorced",2)</f>
        <v>0</v>
      </c>
      <c r="AJ292">
        <f>IF(tbl_HR_Data[[#This Row],[OverTime]]=1,1,0)</f>
        <v>1</v>
      </c>
      <c r="AK292">
        <f>IF(tbl_HR_Data[[#This Row],[DistanceFromHome]]&gt;15,1,0)</f>
        <v>0</v>
      </c>
      <c r="AL292">
        <f>IF(tbl_HR_Data[[#This Row],[JobSatisfaction]]&lt;=2,1,0)</f>
        <v>1</v>
      </c>
      <c r="AM292">
        <f>IF(tbl_HR_Data[[#This Row],[MonthlyIncome]]&lt;$AT$2,1,0)</f>
        <v>0</v>
      </c>
      <c r="AN292">
        <f>IF(tbl_HR_Data[[#This Row],[Travel_Code]]=2,1,0)</f>
        <v>1</v>
      </c>
      <c r="AO292">
        <f>(tbl_HR_Data[[#This Row],[Flag_OT]] * Logic_Parameters!$B$2) +
 (tbl_HR_Data[[#This Row],[Flag_Travel]] * Logic_Parameters!$B$3) +
 (tbl_HR_Data[[#This Row],[Flag_Satisfaction]] * Logic_Parameters!$B$4) +
 (tbl_HR_Data[[#This Row],[Flag_Distance]]* Logic_Parameters!$B$5) +
 (tbl_HR_Data[[#This Row],[Flag_Income]] * Logic_Parameters!$B$6)</f>
        <v>19.364923110468307</v>
      </c>
      <c r="AP292" s="15">
        <f>tbl_HR_Data[[#This Row],[Risk_Score_Raw]] / SUM(Logic_Parameters!$B$2:$B$6)</f>
        <v>0.66717026874307161</v>
      </c>
      <c r="AQ292" s="16" t="str" cm="1">
        <f t="array" ref="AQ292">_xlfn.IFS(tbl_HR_Data[[#This Row],[Attrition_Risk_Percentage]] &gt;= 0.75, "Critical",tbl_HR_Data[ [#This Row],[Attrition_Risk_Percentage] ]&gt;= 0.5, "High",tbl_HR_Data[[#This Row],[Attrition_Risk_Percentage]] &gt;= 0.25, "Medium",TRUE, "Low")</f>
        <v>High</v>
      </c>
      <c r="AR292" s="16" cm="1">
        <f t="array" ref="AR292">IFERROR(_xlfn.IFS(tbl_HR_Data[[#This Row],[Risk_Category]]="Critical",tbl_HR_Data[[#This Row],[MonthlyIncome]]*1.5,tbl_HR_Data[[#This Row],[Risk_Category]]="High",tbl_HR_Data[[#This Row],[MonthlyIncome]]*1.5),0)</f>
        <v>27997.5</v>
      </c>
    </row>
    <row r="293" spans="1:44" x14ac:dyDescent="0.35">
      <c r="A293" t="s">
        <v>1250</v>
      </c>
      <c r="B293">
        <v>36</v>
      </c>
      <c r="C293" t="s">
        <v>31</v>
      </c>
      <c r="D293">
        <v>506</v>
      </c>
      <c r="E293" t="s">
        <v>38</v>
      </c>
      <c r="F293">
        <v>3</v>
      </c>
      <c r="G293">
        <v>3</v>
      </c>
      <c r="H293" t="s">
        <v>52</v>
      </c>
      <c r="I293">
        <v>3</v>
      </c>
      <c r="J293" t="s">
        <v>39</v>
      </c>
      <c r="K293">
        <v>30</v>
      </c>
      <c r="L293">
        <v>3</v>
      </c>
      <c r="M293">
        <v>2</v>
      </c>
      <c r="N293" t="s">
        <v>40</v>
      </c>
      <c r="O293">
        <v>2</v>
      </c>
      <c r="P293" t="s">
        <v>36</v>
      </c>
      <c r="Q293">
        <v>4485</v>
      </c>
      <c r="R293">
        <v>26285</v>
      </c>
      <c r="S293">
        <v>4</v>
      </c>
      <c r="T293">
        <v>0</v>
      </c>
      <c r="U293" s="17">
        <v>0.12</v>
      </c>
      <c r="V293">
        <v>3</v>
      </c>
      <c r="W293">
        <v>4</v>
      </c>
      <c r="X293">
        <v>0</v>
      </c>
      <c r="Y293">
        <v>10</v>
      </c>
      <c r="Z293">
        <v>2</v>
      </c>
      <c r="AA293">
        <v>3</v>
      </c>
      <c r="AB293">
        <v>8</v>
      </c>
      <c r="AC293">
        <v>0</v>
      </c>
      <c r="AD293">
        <v>7</v>
      </c>
      <c r="AE293">
        <v>7</v>
      </c>
      <c r="AF293">
        <v>0</v>
      </c>
      <c r="AG293">
        <f>IF(tbl_HR_Data[[#This Row],[Gender]]="Male",1,0)</f>
        <v>1</v>
      </c>
      <c r="AH293" cm="1">
        <f t="array" ref="AH293">_xlfn.SWITCH(tbl_HR_Data[[#This Row],[BusinessTravel]], "Non-Travel", 0, "Travel_Rarely", 1, "Travel_Frequently", 2)</f>
        <v>1</v>
      </c>
      <c r="AI293" cm="1">
        <f t="array" ref="AI293">_xlfn.SWITCH(tbl_HR_Data[[#This Row],[MaritalStatus]],"Single",0,"Married",1,"Divorced",2)</f>
        <v>0</v>
      </c>
      <c r="AJ293">
        <f>IF(tbl_HR_Data[[#This Row],[OverTime]]=1,1,0)</f>
        <v>0</v>
      </c>
      <c r="AK293">
        <f>IF(tbl_HR_Data[[#This Row],[DistanceFromHome]]&gt;15,1,0)</f>
        <v>0</v>
      </c>
      <c r="AL293">
        <f>IF(tbl_HR_Data[[#This Row],[JobSatisfaction]]&lt;=2,1,0)</f>
        <v>1</v>
      </c>
      <c r="AM293">
        <f>IF(tbl_HR_Data[[#This Row],[MonthlyIncome]]&lt;$AT$2,1,0)</f>
        <v>1</v>
      </c>
      <c r="AN293">
        <f>IF(tbl_HR_Data[[#This Row],[Travel_Code]]=2,1,0)</f>
        <v>0</v>
      </c>
      <c r="AO293">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293" s="15">
        <f>tbl_HR_Data[[#This Row],[Risk_Score_Raw]] / SUM(Logic_Parameters!$B$2:$B$6)</f>
        <v>0.3686061316669938</v>
      </c>
      <c r="AQ293" s="16" t="str" cm="1">
        <f t="array" ref="AQ293">_xlfn.IFS(tbl_HR_Data[[#This Row],[Attrition_Risk_Percentage]] &gt;= 0.75, "Critical",tbl_HR_Data[ [#This Row],[Attrition_Risk_Percentage] ]&gt;= 0.5, "High",tbl_HR_Data[[#This Row],[Attrition_Risk_Percentage]] &gt;= 0.25, "Medium",TRUE, "Low")</f>
        <v>Medium</v>
      </c>
      <c r="AR293" s="16" cm="1">
        <f t="array" ref="AR293">IFERROR(_xlfn.IFS(tbl_HR_Data[[#This Row],[Risk_Category]]="Critical",tbl_HR_Data[[#This Row],[MonthlyIncome]]*1.5,tbl_HR_Data[[#This Row],[Risk_Category]]="High",tbl_HR_Data[[#This Row],[MonthlyIncome]]*1.5),0)</f>
        <v>0</v>
      </c>
    </row>
    <row r="294" spans="1:44" x14ac:dyDescent="0.35">
      <c r="A294" t="s">
        <v>570</v>
      </c>
      <c r="B294">
        <v>31</v>
      </c>
      <c r="C294" t="s">
        <v>37</v>
      </c>
      <c r="D294">
        <v>444</v>
      </c>
      <c r="E294" t="s">
        <v>32</v>
      </c>
      <c r="F294">
        <v>5</v>
      </c>
      <c r="G294">
        <v>3</v>
      </c>
      <c r="H294" t="s">
        <v>51</v>
      </c>
      <c r="I294">
        <v>4</v>
      </c>
      <c r="J294" t="s">
        <v>34</v>
      </c>
      <c r="K294">
        <v>84</v>
      </c>
      <c r="L294">
        <v>3</v>
      </c>
      <c r="M294">
        <v>1</v>
      </c>
      <c r="N294" t="s">
        <v>49</v>
      </c>
      <c r="O294">
        <v>2</v>
      </c>
      <c r="P294" t="s">
        <v>45</v>
      </c>
      <c r="Q294">
        <v>2789</v>
      </c>
      <c r="R294">
        <v>3909</v>
      </c>
      <c r="S294">
        <v>1</v>
      </c>
      <c r="T294">
        <v>0</v>
      </c>
      <c r="U294" s="17">
        <v>0.11</v>
      </c>
      <c r="V294">
        <v>3</v>
      </c>
      <c r="W294">
        <v>3</v>
      </c>
      <c r="X294">
        <v>1</v>
      </c>
      <c r="Y294">
        <v>2</v>
      </c>
      <c r="Z294">
        <v>5</v>
      </c>
      <c r="AA294">
        <v>2</v>
      </c>
      <c r="AB294">
        <v>2</v>
      </c>
      <c r="AC294">
        <v>2</v>
      </c>
      <c r="AD294">
        <v>2</v>
      </c>
      <c r="AE294">
        <v>2</v>
      </c>
      <c r="AF294">
        <v>0</v>
      </c>
      <c r="AG294">
        <f>IF(tbl_HR_Data[[#This Row],[Gender]]="Male",1,0)</f>
        <v>0</v>
      </c>
      <c r="AH294" cm="1">
        <f t="array" ref="AH294">_xlfn.SWITCH(tbl_HR_Data[[#This Row],[BusinessTravel]], "Non-Travel", 0, "Travel_Rarely", 1, "Travel_Frequently", 2)</f>
        <v>2</v>
      </c>
      <c r="AI294" cm="1">
        <f t="array" ref="AI294">_xlfn.SWITCH(tbl_HR_Data[[#This Row],[MaritalStatus]],"Single",0,"Married",1,"Divorced",2)</f>
        <v>2</v>
      </c>
      <c r="AJ294">
        <f>IF(tbl_HR_Data[[#This Row],[OverTime]]=1,1,0)</f>
        <v>0</v>
      </c>
      <c r="AK294">
        <f>IF(tbl_HR_Data[[#This Row],[DistanceFromHome]]&gt;15,1,0)</f>
        <v>0</v>
      </c>
      <c r="AL294">
        <f>IF(tbl_HR_Data[[#This Row],[JobSatisfaction]]&lt;=2,1,0)</f>
        <v>1</v>
      </c>
      <c r="AM294">
        <f>IF(tbl_HR_Data[[#This Row],[MonthlyIncome]]&lt;$AT$2,1,0)</f>
        <v>1</v>
      </c>
      <c r="AN294">
        <f>IF(tbl_HR_Data[[#This Row],[Travel_Code]]=2,1,0)</f>
        <v>1</v>
      </c>
      <c r="AO294">
        <f>(tbl_HR_Data[[#This Row],[Flag_OT]] * Logic_Parameters!$B$2) +
 (tbl_HR_Data[[#This Row],[Flag_Travel]] * Logic_Parameters!$B$3) +
 (tbl_HR_Data[[#This Row],[Flag_Satisfaction]] * Logic_Parameters!$B$4) +
 (tbl_HR_Data[[#This Row],[Flag_Distance]]* Logic_Parameters!$B$5) +
 (tbl_HR_Data[[#This Row],[Flag_Income]] * Logic_Parameters!$B$6)</f>
        <v>15.859352047889136</v>
      </c>
      <c r="AP294" s="15">
        <f>tbl_HR_Data[[#This Row],[Risk_Score_Raw]] / SUM(Logic_Parameters!$B$2:$B$6)</f>
        <v>0.54639453549708916</v>
      </c>
      <c r="AQ294" s="16" t="str" cm="1">
        <f t="array" ref="AQ294">_xlfn.IFS(tbl_HR_Data[[#This Row],[Attrition_Risk_Percentage]] &gt;= 0.75, "Critical",tbl_HR_Data[ [#This Row],[Attrition_Risk_Percentage] ]&gt;= 0.5, "High",tbl_HR_Data[[#This Row],[Attrition_Risk_Percentage]] &gt;= 0.25, "Medium",TRUE, "Low")</f>
        <v>High</v>
      </c>
      <c r="AR294" s="16" cm="1">
        <f t="array" ref="AR294">IFERROR(_xlfn.IFS(tbl_HR_Data[[#This Row],[Risk_Category]]="Critical",tbl_HR_Data[[#This Row],[MonthlyIncome]]*1.5,tbl_HR_Data[[#This Row],[Risk_Category]]="High",tbl_HR_Data[[#This Row],[MonthlyIncome]]*1.5),0)</f>
        <v>4183.5</v>
      </c>
    </row>
    <row r="295" spans="1:44" x14ac:dyDescent="0.35">
      <c r="A295" t="s">
        <v>521</v>
      </c>
      <c r="B295">
        <v>26</v>
      </c>
      <c r="C295" t="s">
        <v>31</v>
      </c>
      <c r="D295">
        <v>950</v>
      </c>
      <c r="E295" t="s">
        <v>32</v>
      </c>
      <c r="F295">
        <v>4</v>
      </c>
      <c r="G295">
        <v>4</v>
      </c>
      <c r="H295" t="s">
        <v>51</v>
      </c>
      <c r="I295">
        <v>4</v>
      </c>
      <c r="J295" t="s">
        <v>39</v>
      </c>
      <c r="K295">
        <v>48</v>
      </c>
      <c r="L295">
        <v>2</v>
      </c>
      <c r="M295">
        <v>2</v>
      </c>
      <c r="N295" t="s">
        <v>35</v>
      </c>
      <c r="O295">
        <v>4</v>
      </c>
      <c r="P295" t="s">
        <v>36</v>
      </c>
      <c r="Q295">
        <v>5828</v>
      </c>
      <c r="R295">
        <v>8450</v>
      </c>
      <c r="S295">
        <v>1</v>
      </c>
      <c r="T295">
        <v>1</v>
      </c>
      <c r="U295" s="17">
        <v>0.12</v>
      </c>
      <c r="V295">
        <v>3</v>
      </c>
      <c r="W295">
        <v>2</v>
      </c>
      <c r="X295">
        <v>0</v>
      </c>
      <c r="Y295">
        <v>8</v>
      </c>
      <c r="Z295">
        <v>0</v>
      </c>
      <c r="AA295">
        <v>3</v>
      </c>
      <c r="AB295">
        <v>8</v>
      </c>
      <c r="AC295">
        <v>7</v>
      </c>
      <c r="AD295">
        <v>7</v>
      </c>
      <c r="AE295">
        <v>4</v>
      </c>
      <c r="AF295">
        <v>1</v>
      </c>
      <c r="AG295">
        <f>IF(tbl_HR_Data[[#This Row],[Gender]]="Male",1,0)</f>
        <v>1</v>
      </c>
      <c r="AH295" cm="1">
        <f t="array" ref="AH295">_xlfn.SWITCH(tbl_HR_Data[[#This Row],[BusinessTravel]], "Non-Travel", 0, "Travel_Rarely", 1, "Travel_Frequently", 2)</f>
        <v>1</v>
      </c>
      <c r="AI295" cm="1">
        <f t="array" ref="AI295">_xlfn.SWITCH(tbl_HR_Data[[#This Row],[MaritalStatus]],"Single",0,"Married",1,"Divorced",2)</f>
        <v>0</v>
      </c>
      <c r="AJ295">
        <f>IF(tbl_HR_Data[[#This Row],[OverTime]]=1,1,0)</f>
        <v>1</v>
      </c>
      <c r="AK295">
        <f>IF(tbl_HR_Data[[#This Row],[DistanceFromHome]]&gt;15,1,0)</f>
        <v>0</v>
      </c>
      <c r="AL295">
        <f>IF(tbl_HR_Data[[#This Row],[JobSatisfaction]]&lt;=2,1,0)</f>
        <v>0</v>
      </c>
      <c r="AM295">
        <f>IF(tbl_HR_Data[[#This Row],[MonthlyIncome]]&lt;$AT$2,1,0)</f>
        <v>0</v>
      </c>
      <c r="AN295">
        <f>IF(tbl_HR_Data[[#This Row],[Travel_Code]]=2,1,0)</f>
        <v>0</v>
      </c>
      <c r="AO295">
        <f>(tbl_HR_Data[[#This Row],[Flag_OT]] * Logic_Parameters!$B$2) +
 (tbl_HR_Data[[#This Row],[Flag_Travel]] * Logic_Parameters!$B$3) +
 (tbl_HR_Data[[#This Row],[Flag_Satisfaction]] * Logic_Parameters!$B$4) +
 (tbl_HR_Data[[#This Row],[Flag_Distance]]* Logic_Parameters!$B$5) +
 (tbl_HR_Data[[#This Row],[Flag_Income]] * Logic_Parameters!$B$6)</f>
        <v>10</v>
      </c>
      <c r="AP295" s="15">
        <f>tbl_HR_Data[[#This Row],[Risk_Score_Raw]] / SUM(Logic_Parameters!$B$2:$B$6)</f>
        <v>0.3445251318258073</v>
      </c>
      <c r="AQ295" s="16" t="str" cm="1">
        <f t="array" ref="AQ295">_xlfn.IFS(tbl_HR_Data[[#This Row],[Attrition_Risk_Percentage]] &gt;= 0.75, "Critical",tbl_HR_Data[ [#This Row],[Attrition_Risk_Percentage] ]&gt;= 0.5, "High",tbl_HR_Data[[#This Row],[Attrition_Risk_Percentage]] &gt;= 0.25, "Medium",TRUE, "Low")</f>
        <v>Medium</v>
      </c>
      <c r="AR295" s="16" cm="1">
        <f t="array" ref="AR295">IFERROR(_xlfn.IFS(tbl_HR_Data[[#This Row],[Risk_Category]]="Critical",tbl_HR_Data[[#This Row],[MonthlyIncome]]*1.5,tbl_HR_Data[[#This Row],[Risk_Category]]="High",tbl_HR_Data[[#This Row],[MonthlyIncome]]*1.5),0)</f>
        <v>0</v>
      </c>
    </row>
    <row r="296" spans="1:44" x14ac:dyDescent="0.35">
      <c r="A296" t="s">
        <v>542</v>
      </c>
      <c r="B296">
        <v>37</v>
      </c>
      <c r="C296" t="s">
        <v>37</v>
      </c>
      <c r="D296">
        <v>889</v>
      </c>
      <c r="E296" t="s">
        <v>38</v>
      </c>
      <c r="F296">
        <v>9</v>
      </c>
      <c r="G296">
        <v>3</v>
      </c>
      <c r="H296" t="s">
        <v>44</v>
      </c>
      <c r="I296">
        <v>2</v>
      </c>
      <c r="J296" t="s">
        <v>39</v>
      </c>
      <c r="K296">
        <v>53</v>
      </c>
      <c r="L296">
        <v>3</v>
      </c>
      <c r="M296">
        <v>1</v>
      </c>
      <c r="N296" t="s">
        <v>40</v>
      </c>
      <c r="O296">
        <v>4</v>
      </c>
      <c r="P296" t="s">
        <v>41</v>
      </c>
      <c r="Q296">
        <v>2326</v>
      </c>
      <c r="R296">
        <v>11411</v>
      </c>
      <c r="S296">
        <v>1</v>
      </c>
      <c r="T296">
        <v>1</v>
      </c>
      <c r="U296" s="17">
        <v>0.12</v>
      </c>
      <c r="V296">
        <v>3</v>
      </c>
      <c r="W296">
        <v>3</v>
      </c>
      <c r="X296">
        <v>3</v>
      </c>
      <c r="Y296">
        <v>4</v>
      </c>
      <c r="Z296">
        <v>3</v>
      </c>
      <c r="AA296">
        <v>2</v>
      </c>
      <c r="AB296">
        <v>4</v>
      </c>
      <c r="AC296">
        <v>2</v>
      </c>
      <c r="AD296">
        <v>1</v>
      </c>
      <c r="AE296">
        <v>2</v>
      </c>
      <c r="AF296">
        <v>0</v>
      </c>
      <c r="AG296">
        <f>IF(tbl_HR_Data[[#This Row],[Gender]]="Male",1,0)</f>
        <v>1</v>
      </c>
      <c r="AH296" cm="1">
        <f t="array" ref="AH296">_xlfn.SWITCH(tbl_HR_Data[[#This Row],[BusinessTravel]], "Non-Travel", 0, "Travel_Rarely", 1, "Travel_Frequently", 2)</f>
        <v>2</v>
      </c>
      <c r="AI296" cm="1">
        <f t="array" ref="AI296">_xlfn.SWITCH(tbl_HR_Data[[#This Row],[MaritalStatus]],"Single",0,"Married",1,"Divorced",2)</f>
        <v>1</v>
      </c>
      <c r="AJ296">
        <f>IF(tbl_HR_Data[[#This Row],[OverTime]]=1,1,0)</f>
        <v>1</v>
      </c>
      <c r="AK296">
        <f>IF(tbl_HR_Data[[#This Row],[DistanceFromHome]]&gt;15,1,0)</f>
        <v>0</v>
      </c>
      <c r="AL296">
        <f>IF(tbl_HR_Data[[#This Row],[JobSatisfaction]]&lt;=2,1,0)</f>
        <v>0</v>
      </c>
      <c r="AM296">
        <f>IF(tbl_HR_Data[[#This Row],[MonthlyIncome]]&lt;$AT$2,1,0)</f>
        <v>1</v>
      </c>
      <c r="AN296">
        <f>IF(tbl_HR_Data[[#This Row],[Travel_Code]]=2,1,0)</f>
        <v>1</v>
      </c>
      <c r="AO296">
        <f>(tbl_HR_Data[[#This Row],[Flag_OT]] * Logic_Parameters!$B$2) +
 (tbl_HR_Data[[#This Row],[Flag_Travel]] * Logic_Parameters!$B$3) +
 (tbl_HR_Data[[#This Row],[Flag_Satisfaction]] * Logic_Parameters!$B$4) +
 (tbl_HR_Data[[#This Row],[Flag_Distance]]* Logic_Parameters!$B$5) +
 (tbl_HR_Data[[#This Row],[Flag_Income]] * Logic_Parameters!$B$6)</f>
        <v>21.654818917911005</v>
      </c>
      <c r="AP296" s="15">
        <f>tbl_HR_Data[[#This Row],[Risk_Score_Raw]] / SUM(Logic_Parameters!$B$2:$B$6)</f>
        <v>0.74606293423572745</v>
      </c>
      <c r="AQ296" s="16" t="str" cm="1">
        <f t="array" ref="AQ296">_xlfn.IFS(tbl_HR_Data[[#This Row],[Attrition_Risk_Percentage]] &gt;= 0.75, "Critical",tbl_HR_Data[ [#This Row],[Attrition_Risk_Percentage] ]&gt;= 0.5, "High",tbl_HR_Data[[#This Row],[Attrition_Risk_Percentage]] &gt;= 0.25, "Medium",TRUE, "Low")</f>
        <v>High</v>
      </c>
      <c r="AR296" s="16" cm="1">
        <f t="array" ref="AR296">IFERROR(_xlfn.IFS(tbl_HR_Data[[#This Row],[Risk_Category]]="Critical",tbl_HR_Data[[#This Row],[MonthlyIncome]]*1.5,tbl_HR_Data[[#This Row],[Risk_Category]]="High",tbl_HR_Data[[#This Row],[MonthlyIncome]]*1.5),0)</f>
        <v>3489</v>
      </c>
    </row>
    <row r="297" spans="1:44" x14ac:dyDescent="0.35">
      <c r="A297" t="s">
        <v>278</v>
      </c>
      <c r="B297">
        <v>42</v>
      </c>
      <c r="C297" t="s">
        <v>37</v>
      </c>
      <c r="D297">
        <v>555</v>
      </c>
      <c r="E297" t="s">
        <v>32</v>
      </c>
      <c r="F297">
        <v>26</v>
      </c>
      <c r="G297">
        <v>3</v>
      </c>
      <c r="H297" t="s">
        <v>51</v>
      </c>
      <c r="I297">
        <v>3</v>
      </c>
      <c r="J297" t="s">
        <v>34</v>
      </c>
      <c r="K297">
        <v>77</v>
      </c>
      <c r="L297">
        <v>3</v>
      </c>
      <c r="M297">
        <v>4</v>
      </c>
      <c r="N297" t="s">
        <v>35</v>
      </c>
      <c r="O297">
        <v>2</v>
      </c>
      <c r="P297" t="s">
        <v>41</v>
      </c>
      <c r="Q297">
        <v>13525</v>
      </c>
      <c r="R297">
        <v>14864</v>
      </c>
      <c r="S297">
        <v>5</v>
      </c>
      <c r="T297">
        <v>0</v>
      </c>
      <c r="U297" s="17">
        <v>0.14000000000000001</v>
      </c>
      <c r="V297">
        <v>3</v>
      </c>
      <c r="W297">
        <v>4</v>
      </c>
      <c r="X297">
        <v>1</v>
      </c>
      <c r="Y297">
        <v>23</v>
      </c>
      <c r="Z297">
        <v>2</v>
      </c>
      <c r="AA297">
        <v>4</v>
      </c>
      <c r="AB297">
        <v>20</v>
      </c>
      <c r="AC297">
        <v>4</v>
      </c>
      <c r="AD297">
        <v>4</v>
      </c>
      <c r="AE297">
        <v>8</v>
      </c>
      <c r="AF297">
        <v>0</v>
      </c>
      <c r="AG297">
        <f>IF(tbl_HR_Data[[#This Row],[Gender]]="Male",1,0)</f>
        <v>0</v>
      </c>
      <c r="AH297" cm="1">
        <f t="array" ref="AH297">_xlfn.SWITCH(tbl_HR_Data[[#This Row],[BusinessTravel]], "Non-Travel", 0, "Travel_Rarely", 1, "Travel_Frequently", 2)</f>
        <v>2</v>
      </c>
      <c r="AI297" cm="1">
        <f t="array" ref="AI297">_xlfn.SWITCH(tbl_HR_Data[[#This Row],[MaritalStatus]],"Single",0,"Married",1,"Divorced",2)</f>
        <v>1</v>
      </c>
      <c r="AJ297">
        <f>IF(tbl_HR_Data[[#This Row],[OverTime]]=1,1,0)</f>
        <v>0</v>
      </c>
      <c r="AK297">
        <f>IF(tbl_HR_Data[[#This Row],[DistanceFromHome]]&gt;15,1,0)</f>
        <v>1</v>
      </c>
      <c r="AL297">
        <f>IF(tbl_HR_Data[[#This Row],[JobSatisfaction]]&lt;=2,1,0)</f>
        <v>1</v>
      </c>
      <c r="AM297">
        <f>IF(tbl_HR_Data[[#This Row],[MonthlyIncome]]&lt;$AT$2,1,0)</f>
        <v>0</v>
      </c>
      <c r="AN297">
        <f>IF(tbl_HR_Data[[#This Row],[Travel_Code]]=2,1,0)</f>
        <v>1</v>
      </c>
      <c r="AO297">
        <f>(tbl_HR_Data[[#This Row],[Flag_OT]] * Logic_Parameters!$B$2) +
 (tbl_HR_Data[[#This Row],[Flag_Travel]] * Logic_Parameters!$B$3) +
 (tbl_HR_Data[[#This Row],[Flag_Satisfaction]] * Logic_Parameters!$B$4) +
 (tbl_HR_Data[[#This Row],[Flag_Distance]]* Logic_Parameters!$B$5) +
 (tbl_HR_Data[[#This Row],[Flag_Income]] * Logic_Parameters!$B$6)</f>
        <v>12.531029806343685</v>
      </c>
      <c r="AP297" s="15">
        <f>tbl_HR_Data[[#This Row],[Risk_Score_Raw]] / SUM(Logic_Parameters!$B$2:$B$6)</f>
        <v>0.43172546959436786</v>
      </c>
      <c r="AQ297" s="16" t="str" cm="1">
        <f t="array" ref="AQ297">_xlfn.IFS(tbl_HR_Data[[#This Row],[Attrition_Risk_Percentage]] &gt;= 0.75, "Critical",tbl_HR_Data[ [#This Row],[Attrition_Risk_Percentage] ]&gt;= 0.5, "High",tbl_HR_Data[[#This Row],[Attrition_Risk_Percentage]] &gt;= 0.25, "Medium",TRUE, "Low")</f>
        <v>Medium</v>
      </c>
      <c r="AR297" s="16" cm="1">
        <f t="array" ref="AR297">IFERROR(_xlfn.IFS(tbl_HR_Data[[#This Row],[Risk_Category]]="Critical",tbl_HR_Data[[#This Row],[MonthlyIncome]]*1.5,tbl_HR_Data[[#This Row],[Risk_Category]]="High",tbl_HR_Data[[#This Row],[MonthlyIncome]]*1.5),0)</f>
        <v>0</v>
      </c>
    </row>
    <row r="298" spans="1:44" x14ac:dyDescent="0.35">
      <c r="A298" t="s">
        <v>1096</v>
      </c>
      <c r="B298">
        <v>18</v>
      </c>
      <c r="C298" t="s">
        <v>31</v>
      </c>
      <c r="D298">
        <v>230</v>
      </c>
      <c r="E298" t="s">
        <v>38</v>
      </c>
      <c r="F298">
        <v>3</v>
      </c>
      <c r="G298">
        <v>3</v>
      </c>
      <c r="H298" t="s">
        <v>33</v>
      </c>
      <c r="I298">
        <v>3</v>
      </c>
      <c r="J298" t="s">
        <v>39</v>
      </c>
      <c r="K298">
        <v>54</v>
      </c>
      <c r="L298">
        <v>3</v>
      </c>
      <c r="M298">
        <v>1</v>
      </c>
      <c r="N298" t="s">
        <v>43</v>
      </c>
      <c r="O298">
        <v>3</v>
      </c>
      <c r="P298" t="s">
        <v>36</v>
      </c>
      <c r="Q298">
        <v>1420</v>
      </c>
      <c r="R298">
        <v>25233</v>
      </c>
      <c r="S298">
        <v>1</v>
      </c>
      <c r="T298">
        <v>0</v>
      </c>
      <c r="U298" s="17">
        <v>0.13</v>
      </c>
      <c r="V298">
        <v>3</v>
      </c>
      <c r="W298">
        <v>3</v>
      </c>
      <c r="X298">
        <v>0</v>
      </c>
      <c r="Y298">
        <v>0</v>
      </c>
      <c r="Z298">
        <v>2</v>
      </c>
      <c r="AA298">
        <v>3</v>
      </c>
      <c r="AB298">
        <v>0</v>
      </c>
      <c r="AC298">
        <v>0</v>
      </c>
      <c r="AD298">
        <v>0</v>
      </c>
      <c r="AE298">
        <v>0</v>
      </c>
      <c r="AF298">
        <v>1</v>
      </c>
      <c r="AG298">
        <f>IF(tbl_HR_Data[[#This Row],[Gender]]="Male",1,0)</f>
        <v>1</v>
      </c>
      <c r="AH298" cm="1">
        <f t="array" ref="AH298">_xlfn.SWITCH(tbl_HR_Data[[#This Row],[BusinessTravel]], "Non-Travel", 0, "Travel_Rarely", 1, "Travel_Frequently", 2)</f>
        <v>1</v>
      </c>
      <c r="AI298" cm="1">
        <f t="array" ref="AI298">_xlfn.SWITCH(tbl_HR_Data[[#This Row],[MaritalStatus]],"Single",0,"Married",1,"Divorced",2)</f>
        <v>0</v>
      </c>
      <c r="AJ298">
        <f>IF(tbl_HR_Data[[#This Row],[OverTime]]=1,1,0)</f>
        <v>0</v>
      </c>
      <c r="AK298">
        <f>IF(tbl_HR_Data[[#This Row],[DistanceFromHome]]&gt;15,1,0)</f>
        <v>0</v>
      </c>
      <c r="AL298">
        <f>IF(tbl_HR_Data[[#This Row],[JobSatisfaction]]&lt;=2,1,0)</f>
        <v>0</v>
      </c>
      <c r="AM298">
        <f>IF(tbl_HR_Data[[#This Row],[MonthlyIncome]]&lt;$AT$2,1,0)</f>
        <v>1</v>
      </c>
      <c r="AN298">
        <f>IF(tbl_HR_Data[[#This Row],[Travel_Code]]=2,1,0)</f>
        <v>0</v>
      </c>
      <c r="AO298">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298" s="15">
        <f>tbl_HR_Data[[#This Row],[Risk_Score_Raw]] / SUM(Logic_Parameters!$B$2:$B$6)</f>
        <v>0.22374939857982484</v>
      </c>
      <c r="AQ298" s="16" t="str" cm="1">
        <f t="array" ref="AQ298">_xlfn.IFS(tbl_HR_Data[[#This Row],[Attrition_Risk_Percentage]] &gt;= 0.75, "Critical",tbl_HR_Data[ [#This Row],[Attrition_Risk_Percentage] ]&gt;= 0.5, "High",tbl_HR_Data[[#This Row],[Attrition_Risk_Percentage]] &gt;= 0.25, "Medium",TRUE, "Low")</f>
        <v>Low</v>
      </c>
      <c r="AR298" s="16" cm="1">
        <f t="array" ref="AR298">IFERROR(_xlfn.IFS(tbl_HR_Data[[#This Row],[Risk_Category]]="Critical",tbl_HR_Data[[#This Row],[MonthlyIncome]]*1.5,tbl_HR_Data[[#This Row],[Risk_Category]]="High",tbl_HR_Data[[#This Row],[MonthlyIncome]]*1.5),0)</f>
        <v>0</v>
      </c>
    </row>
    <row r="299" spans="1:44" x14ac:dyDescent="0.35">
      <c r="A299" t="s">
        <v>960</v>
      </c>
      <c r="B299">
        <v>35</v>
      </c>
      <c r="C299" t="s">
        <v>31</v>
      </c>
      <c r="D299">
        <v>1232</v>
      </c>
      <c r="E299" t="s">
        <v>32</v>
      </c>
      <c r="F299">
        <v>16</v>
      </c>
      <c r="G299">
        <v>3</v>
      </c>
      <c r="H299" t="s">
        <v>51</v>
      </c>
      <c r="I299">
        <v>3</v>
      </c>
      <c r="J299" t="s">
        <v>39</v>
      </c>
      <c r="K299">
        <v>96</v>
      </c>
      <c r="L299">
        <v>3</v>
      </c>
      <c r="M299">
        <v>3</v>
      </c>
      <c r="N299" t="s">
        <v>35</v>
      </c>
      <c r="O299">
        <v>2</v>
      </c>
      <c r="P299" t="s">
        <v>41</v>
      </c>
      <c r="Q299">
        <v>8020</v>
      </c>
      <c r="R299">
        <v>5100</v>
      </c>
      <c r="S299">
        <v>0</v>
      </c>
      <c r="T299">
        <v>0</v>
      </c>
      <c r="U299" s="17">
        <v>0.15</v>
      </c>
      <c r="V299">
        <v>3</v>
      </c>
      <c r="W299">
        <v>3</v>
      </c>
      <c r="X299">
        <v>2</v>
      </c>
      <c r="Y299">
        <v>12</v>
      </c>
      <c r="Z299">
        <v>3</v>
      </c>
      <c r="AA299">
        <v>2</v>
      </c>
      <c r="AB299">
        <v>11</v>
      </c>
      <c r="AC299">
        <v>9</v>
      </c>
      <c r="AD299">
        <v>6</v>
      </c>
      <c r="AE299">
        <v>9</v>
      </c>
      <c r="AF299">
        <v>0</v>
      </c>
      <c r="AG299">
        <f>IF(tbl_HR_Data[[#This Row],[Gender]]="Male",1,0)</f>
        <v>1</v>
      </c>
      <c r="AH299" cm="1">
        <f t="array" ref="AH299">_xlfn.SWITCH(tbl_HR_Data[[#This Row],[BusinessTravel]], "Non-Travel", 0, "Travel_Rarely", 1, "Travel_Frequently", 2)</f>
        <v>1</v>
      </c>
      <c r="AI299" cm="1">
        <f t="array" ref="AI299">_xlfn.SWITCH(tbl_HR_Data[[#This Row],[MaritalStatus]],"Single",0,"Married",1,"Divorced",2)</f>
        <v>1</v>
      </c>
      <c r="AJ299">
        <f>IF(tbl_HR_Data[[#This Row],[OverTime]]=1,1,0)</f>
        <v>0</v>
      </c>
      <c r="AK299">
        <f>IF(tbl_HR_Data[[#This Row],[DistanceFromHome]]&gt;15,1,0)</f>
        <v>1</v>
      </c>
      <c r="AL299">
        <f>IF(tbl_HR_Data[[#This Row],[JobSatisfaction]]&lt;=2,1,0)</f>
        <v>1</v>
      </c>
      <c r="AM299">
        <f>IF(tbl_HR_Data[[#This Row],[MonthlyIncome]]&lt;$AT$2,1,0)</f>
        <v>0</v>
      </c>
      <c r="AN299">
        <f>IF(tbl_HR_Data[[#This Row],[Travel_Code]]=2,1,0)</f>
        <v>0</v>
      </c>
      <c r="AO299">
        <f>(tbl_HR_Data[[#This Row],[Flag_OT]] * Logic_Parameters!$B$2) +
 (tbl_HR_Data[[#This Row],[Flag_Travel]] * Logic_Parameters!$B$3) +
 (tbl_HR_Data[[#This Row],[Flag_Satisfaction]] * Logic_Parameters!$B$4) +
 (tbl_HR_Data[[#This Row],[Flag_Distance]]* Logic_Parameters!$B$5) +
 (tbl_HR_Data[[#This Row],[Flag_Income]] * Logic_Parameters!$B$6)</f>
        <v>7.3706398258535089</v>
      </c>
      <c r="AP299" s="15">
        <f>tbl_HR_Data[[#This Row],[Risk_Score_Raw]] / SUM(Logic_Parameters!$B$2:$B$6)</f>
        <v>0.25393706576427255</v>
      </c>
      <c r="AQ299" s="16" t="str" cm="1">
        <f t="array" ref="AQ299">_xlfn.IFS(tbl_HR_Data[[#This Row],[Attrition_Risk_Percentage]] &gt;= 0.75, "Critical",tbl_HR_Data[ [#This Row],[Attrition_Risk_Percentage] ]&gt;= 0.5, "High",tbl_HR_Data[[#This Row],[Attrition_Risk_Percentage]] &gt;= 0.25, "Medium",TRUE, "Low")</f>
        <v>Medium</v>
      </c>
      <c r="AR299" s="16" cm="1">
        <f t="array" ref="AR299">IFERROR(_xlfn.IFS(tbl_HR_Data[[#This Row],[Risk_Category]]="Critical",tbl_HR_Data[[#This Row],[MonthlyIncome]]*1.5,tbl_HR_Data[[#This Row],[Risk_Category]]="High",tbl_HR_Data[[#This Row],[MonthlyIncome]]*1.5),0)</f>
        <v>0</v>
      </c>
    </row>
    <row r="300" spans="1:44" x14ac:dyDescent="0.35">
      <c r="A300" t="s">
        <v>340</v>
      </c>
      <c r="B300">
        <v>36</v>
      </c>
      <c r="C300" t="s">
        <v>37</v>
      </c>
      <c r="D300">
        <v>566</v>
      </c>
      <c r="E300" t="s">
        <v>38</v>
      </c>
      <c r="F300">
        <v>18</v>
      </c>
      <c r="G300">
        <v>4</v>
      </c>
      <c r="H300" t="s">
        <v>33</v>
      </c>
      <c r="I300">
        <v>3</v>
      </c>
      <c r="J300" t="s">
        <v>39</v>
      </c>
      <c r="K300">
        <v>81</v>
      </c>
      <c r="L300">
        <v>4</v>
      </c>
      <c r="M300">
        <v>1</v>
      </c>
      <c r="N300" t="s">
        <v>43</v>
      </c>
      <c r="O300">
        <v>4</v>
      </c>
      <c r="P300" t="s">
        <v>41</v>
      </c>
      <c r="Q300">
        <v>3688</v>
      </c>
      <c r="R300">
        <v>7122</v>
      </c>
      <c r="S300">
        <v>4</v>
      </c>
      <c r="T300">
        <v>0</v>
      </c>
      <c r="U300" s="17">
        <v>0.18</v>
      </c>
      <c r="V300">
        <v>3</v>
      </c>
      <c r="W300">
        <v>4</v>
      </c>
      <c r="X300">
        <v>2</v>
      </c>
      <c r="Y300">
        <v>4</v>
      </c>
      <c r="Z300">
        <v>2</v>
      </c>
      <c r="AA300">
        <v>3</v>
      </c>
      <c r="AB300">
        <v>1</v>
      </c>
      <c r="AC300">
        <v>0</v>
      </c>
      <c r="AD300">
        <v>0</v>
      </c>
      <c r="AE300">
        <v>0</v>
      </c>
      <c r="AF300">
        <v>0</v>
      </c>
      <c r="AG300">
        <f>IF(tbl_HR_Data[[#This Row],[Gender]]="Male",1,0)</f>
        <v>1</v>
      </c>
      <c r="AH300" cm="1">
        <f t="array" ref="AH300">_xlfn.SWITCH(tbl_HR_Data[[#This Row],[BusinessTravel]], "Non-Travel", 0, "Travel_Rarely", 1, "Travel_Frequently", 2)</f>
        <v>2</v>
      </c>
      <c r="AI300" cm="1">
        <f t="array" ref="AI300">_xlfn.SWITCH(tbl_HR_Data[[#This Row],[MaritalStatus]],"Single",0,"Married",1,"Divorced",2)</f>
        <v>1</v>
      </c>
      <c r="AJ300">
        <f>IF(tbl_HR_Data[[#This Row],[OverTime]]=1,1,0)</f>
        <v>0</v>
      </c>
      <c r="AK300">
        <f>IF(tbl_HR_Data[[#This Row],[DistanceFromHome]]&gt;15,1,0)</f>
        <v>1</v>
      </c>
      <c r="AL300">
        <f>IF(tbl_HR_Data[[#This Row],[JobSatisfaction]]&lt;=2,1,0)</f>
        <v>0</v>
      </c>
      <c r="AM300">
        <f>IF(tbl_HR_Data[[#This Row],[MonthlyIncome]]&lt;$AT$2,1,0)</f>
        <v>1</v>
      </c>
      <c r="AN300">
        <f>IF(tbl_HR_Data[[#This Row],[Travel_Code]]=2,1,0)</f>
        <v>1</v>
      </c>
      <c r="AO300">
        <f>(tbl_HR_Data[[#This Row],[Flag_OT]] * Logic_Parameters!$B$2) +
 (tbl_HR_Data[[#This Row],[Flag_Travel]] * Logic_Parameters!$B$3) +
 (tbl_HR_Data[[#This Row],[Flag_Satisfaction]] * Logic_Parameters!$B$4) +
 (tbl_HR_Data[[#This Row],[Flag_Distance]]* Logic_Parameters!$B$5) +
 (tbl_HR_Data[[#This Row],[Flag_Income]] * Logic_Parameters!$B$6)</f>
        <v>14.820925613786383</v>
      </c>
      <c r="AP300" s="15">
        <f>tbl_HR_Data[[#This Row],[Risk_Score_Raw]] / SUM(Logic_Parameters!$B$2:$B$6)</f>
        <v>0.51061813508702369</v>
      </c>
      <c r="AQ300" s="16" t="str" cm="1">
        <f t="array" ref="AQ300">_xlfn.IFS(tbl_HR_Data[[#This Row],[Attrition_Risk_Percentage]] &gt;= 0.75, "Critical",tbl_HR_Data[ [#This Row],[Attrition_Risk_Percentage] ]&gt;= 0.5, "High",tbl_HR_Data[[#This Row],[Attrition_Risk_Percentage]] &gt;= 0.25, "Medium",TRUE, "Low")</f>
        <v>High</v>
      </c>
      <c r="AR300" s="16" cm="1">
        <f t="array" ref="AR300">IFERROR(_xlfn.IFS(tbl_HR_Data[[#This Row],[Risk_Category]]="Critical",tbl_HR_Data[[#This Row],[MonthlyIncome]]*1.5,tbl_HR_Data[[#This Row],[Risk_Category]]="High",tbl_HR_Data[[#This Row],[MonthlyIncome]]*1.5),0)</f>
        <v>5532</v>
      </c>
    </row>
    <row r="301" spans="1:44" x14ac:dyDescent="0.35">
      <c r="A301" t="s">
        <v>890</v>
      </c>
      <c r="B301">
        <v>51</v>
      </c>
      <c r="C301" t="s">
        <v>31</v>
      </c>
      <c r="D301">
        <v>1302</v>
      </c>
      <c r="E301" t="s">
        <v>38</v>
      </c>
      <c r="F301">
        <v>2</v>
      </c>
      <c r="G301">
        <v>3</v>
      </c>
      <c r="H301" t="s">
        <v>44</v>
      </c>
      <c r="I301">
        <v>4</v>
      </c>
      <c r="J301" t="s">
        <v>39</v>
      </c>
      <c r="K301">
        <v>84</v>
      </c>
      <c r="L301">
        <v>1</v>
      </c>
      <c r="M301">
        <v>2</v>
      </c>
      <c r="N301" t="s">
        <v>46</v>
      </c>
      <c r="O301">
        <v>2</v>
      </c>
      <c r="P301" t="s">
        <v>45</v>
      </c>
      <c r="Q301">
        <v>5482</v>
      </c>
      <c r="R301">
        <v>16321</v>
      </c>
      <c r="S301">
        <v>5</v>
      </c>
      <c r="T301">
        <v>0</v>
      </c>
      <c r="U301" s="17">
        <v>0.18</v>
      </c>
      <c r="V301">
        <v>3</v>
      </c>
      <c r="W301">
        <v>4</v>
      </c>
      <c r="X301">
        <v>1</v>
      </c>
      <c r="Y301">
        <v>13</v>
      </c>
      <c r="Z301">
        <v>3</v>
      </c>
      <c r="AA301">
        <v>3</v>
      </c>
      <c r="AB301">
        <v>4</v>
      </c>
      <c r="AC301">
        <v>1</v>
      </c>
      <c r="AD301">
        <v>1</v>
      </c>
      <c r="AE301">
        <v>2</v>
      </c>
      <c r="AF301">
        <v>0</v>
      </c>
      <c r="AG301">
        <f>IF(tbl_HR_Data[[#This Row],[Gender]]="Male",1,0)</f>
        <v>1</v>
      </c>
      <c r="AH301" cm="1">
        <f t="array" ref="AH301">_xlfn.SWITCH(tbl_HR_Data[[#This Row],[BusinessTravel]], "Non-Travel", 0, "Travel_Rarely", 1, "Travel_Frequently", 2)</f>
        <v>1</v>
      </c>
      <c r="AI301" cm="1">
        <f t="array" ref="AI301">_xlfn.SWITCH(tbl_HR_Data[[#This Row],[MaritalStatus]],"Single",0,"Married",1,"Divorced",2)</f>
        <v>2</v>
      </c>
      <c r="AJ301">
        <f>IF(tbl_HR_Data[[#This Row],[OverTime]]=1,1,0)</f>
        <v>0</v>
      </c>
      <c r="AK301">
        <f>IF(tbl_HR_Data[[#This Row],[DistanceFromHome]]&gt;15,1,0)</f>
        <v>0</v>
      </c>
      <c r="AL301">
        <f>IF(tbl_HR_Data[[#This Row],[JobSatisfaction]]&lt;=2,1,0)</f>
        <v>1</v>
      </c>
      <c r="AM301">
        <f>IF(tbl_HR_Data[[#This Row],[MonthlyIncome]]&lt;$AT$2,1,0)</f>
        <v>0</v>
      </c>
      <c r="AN301">
        <f>IF(tbl_HR_Data[[#This Row],[Travel_Code]]=2,1,0)</f>
        <v>0</v>
      </c>
      <c r="AO301">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301" s="15">
        <f>tbl_HR_Data[[#This Row],[Risk_Score_Raw]] / SUM(Logic_Parameters!$B$2:$B$6)</f>
        <v>0.14485673308716898</v>
      </c>
      <c r="AQ301" s="16" t="str" cm="1">
        <f t="array" ref="AQ301">_xlfn.IFS(tbl_HR_Data[[#This Row],[Attrition_Risk_Percentage]] &gt;= 0.75, "Critical",tbl_HR_Data[ [#This Row],[Attrition_Risk_Percentage] ]&gt;= 0.5, "High",tbl_HR_Data[[#This Row],[Attrition_Risk_Percentage]] &gt;= 0.25, "Medium",TRUE, "Low")</f>
        <v>Low</v>
      </c>
      <c r="AR301" s="16" cm="1">
        <f t="array" ref="AR301">IFERROR(_xlfn.IFS(tbl_HR_Data[[#This Row],[Risk_Category]]="Critical",tbl_HR_Data[[#This Row],[MonthlyIncome]]*1.5,tbl_HR_Data[[#This Row],[Risk_Category]]="High",tbl_HR_Data[[#This Row],[MonthlyIncome]]*1.5),0)</f>
        <v>0</v>
      </c>
    </row>
    <row r="302" spans="1:44" x14ac:dyDescent="0.35">
      <c r="A302" t="s">
        <v>360</v>
      </c>
      <c r="B302">
        <v>41</v>
      </c>
      <c r="C302" t="s">
        <v>31</v>
      </c>
      <c r="D302">
        <v>334</v>
      </c>
      <c r="E302" t="s">
        <v>32</v>
      </c>
      <c r="F302">
        <v>2</v>
      </c>
      <c r="G302">
        <v>4</v>
      </c>
      <c r="H302" t="s">
        <v>33</v>
      </c>
      <c r="I302">
        <v>4</v>
      </c>
      <c r="J302" t="s">
        <v>39</v>
      </c>
      <c r="K302">
        <v>88</v>
      </c>
      <c r="L302">
        <v>3</v>
      </c>
      <c r="M302">
        <v>4</v>
      </c>
      <c r="N302" t="s">
        <v>48</v>
      </c>
      <c r="O302">
        <v>2</v>
      </c>
      <c r="P302" t="s">
        <v>36</v>
      </c>
      <c r="Q302">
        <v>16015</v>
      </c>
      <c r="R302">
        <v>15896</v>
      </c>
      <c r="S302">
        <v>1</v>
      </c>
      <c r="T302">
        <v>0</v>
      </c>
      <c r="U302" s="17">
        <v>0.19</v>
      </c>
      <c r="V302">
        <v>3</v>
      </c>
      <c r="W302">
        <v>2</v>
      </c>
      <c r="X302">
        <v>0</v>
      </c>
      <c r="Y302">
        <v>22</v>
      </c>
      <c r="Z302">
        <v>2</v>
      </c>
      <c r="AA302">
        <v>3</v>
      </c>
      <c r="AB302">
        <v>22</v>
      </c>
      <c r="AC302">
        <v>10</v>
      </c>
      <c r="AD302">
        <v>0</v>
      </c>
      <c r="AE302">
        <v>4</v>
      </c>
      <c r="AF302">
        <v>0</v>
      </c>
      <c r="AG302">
        <f>IF(tbl_HR_Data[[#This Row],[Gender]]="Male",1,0)</f>
        <v>1</v>
      </c>
      <c r="AH302" cm="1">
        <f t="array" ref="AH302">_xlfn.SWITCH(tbl_HR_Data[[#This Row],[BusinessTravel]], "Non-Travel", 0, "Travel_Rarely", 1, "Travel_Frequently", 2)</f>
        <v>1</v>
      </c>
      <c r="AI302" cm="1">
        <f t="array" ref="AI302">_xlfn.SWITCH(tbl_HR_Data[[#This Row],[MaritalStatus]],"Single",0,"Married",1,"Divorced",2)</f>
        <v>0</v>
      </c>
      <c r="AJ302">
        <f>IF(tbl_HR_Data[[#This Row],[OverTime]]=1,1,0)</f>
        <v>0</v>
      </c>
      <c r="AK302">
        <f>IF(tbl_HR_Data[[#This Row],[DistanceFromHome]]&gt;15,1,0)</f>
        <v>0</v>
      </c>
      <c r="AL302">
        <f>IF(tbl_HR_Data[[#This Row],[JobSatisfaction]]&lt;=2,1,0)</f>
        <v>1</v>
      </c>
      <c r="AM302">
        <f>IF(tbl_HR_Data[[#This Row],[MonthlyIncome]]&lt;$AT$2,1,0)</f>
        <v>0</v>
      </c>
      <c r="AN302">
        <f>IF(tbl_HR_Data[[#This Row],[Travel_Code]]=2,1,0)</f>
        <v>0</v>
      </c>
      <c r="AO302">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302" s="15">
        <f>tbl_HR_Data[[#This Row],[Risk_Score_Raw]] / SUM(Logic_Parameters!$B$2:$B$6)</f>
        <v>0.14485673308716898</v>
      </c>
      <c r="AQ302" s="16" t="str" cm="1">
        <f t="array" ref="AQ302">_xlfn.IFS(tbl_HR_Data[[#This Row],[Attrition_Risk_Percentage]] &gt;= 0.75, "Critical",tbl_HR_Data[ [#This Row],[Attrition_Risk_Percentage] ]&gt;= 0.5, "High",tbl_HR_Data[[#This Row],[Attrition_Risk_Percentage]] &gt;= 0.25, "Medium",TRUE, "Low")</f>
        <v>Low</v>
      </c>
      <c r="AR302" s="16" cm="1">
        <f t="array" ref="AR302">IFERROR(_xlfn.IFS(tbl_HR_Data[[#This Row],[Risk_Category]]="Critical",tbl_HR_Data[[#This Row],[MonthlyIncome]]*1.5,tbl_HR_Data[[#This Row],[Risk_Category]]="High",tbl_HR_Data[[#This Row],[MonthlyIncome]]*1.5),0)</f>
        <v>0</v>
      </c>
    </row>
    <row r="303" spans="1:44" x14ac:dyDescent="0.35">
      <c r="A303" t="s">
        <v>682</v>
      </c>
      <c r="B303">
        <v>18</v>
      </c>
      <c r="C303" t="s">
        <v>31</v>
      </c>
      <c r="D303">
        <v>812</v>
      </c>
      <c r="E303" t="s">
        <v>32</v>
      </c>
      <c r="F303">
        <v>10</v>
      </c>
      <c r="G303">
        <v>3</v>
      </c>
      <c r="H303" t="s">
        <v>44</v>
      </c>
      <c r="I303">
        <v>4</v>
      </c>
      <c r="J303" t="s">
        <v>34</v>
      </c>
      <c r="K303">
        <v>69</v>
      </c>
      <c r="L303">
        <v>2</v>
      </c>
      <c r="M303">
        <v>1</v>
      </c>
      <c r="N303" t="s">
        <v>49</v>
      </c>
      <c r="O303">
        <v>3</v>
      </c>
      <c r="P303" t="s">
        <v>36</v>
      </c>
      <c r="Q303">
        <v>1200</v>
      </c>
      <c r="R303">
        <v>9724</v>
      </c>
      <c r="S303">
        <v>1</v>
      </c>
      <c r="T303">
        <v>0</v>
      </c>
      <c r="U303" s="17">
        <v>0.12</v>
      </c>
      <c r="V303">
        <v>3</v>
      </c>
      <c r="W303">
        <v>1</v>
      </c>
      <c r="X303">
        <v>0</v>
      </c>
      <c r="Y303">
        <v>0</v>
      </c>
      <c r="Z303">
        <v>2</v>
      </c>
      <c r="AA303">
        <v>3</v>
      </c>
      <c r="AB303">
        <v>0</v>
      </c>
      <c r="AC303">
        <v>0</v>
      </c>
      <c r="AD303">
        <v>0</v>
      </c>
      <c r="AE303">
        <v>0</v>
      </c>
      <c r="AF303">
        <v>0</v>
      </c>
      <c r="AG303">
        <f>IF(tbl_HR_Data[[#This Row],[Gender]]="Male",1,0)</f>
        <v>0</v>
      </c>
      <c r="AH303" cm="1">
        <f t="array" ref="AH303">_xlfn.SWITCH(tbl_HR_Data[[#This Row],[BusinessTravel]], "Non-Travel", 0, "Travel_Rarely", 1, "Travel_Frequently", 2)</f>
        <v>1</v>
      </c>
      <c r="AI303" cm="1">
        <f t="array" ref="AI303">_xlfn.SWITCH(tbl_HR_Data[[#This Row],[MaritalStatus]],"Single",0,"Married",1,"Divorced",2)</f>
        <v>0</v>
      </c>
      <c r="AJ303">
        <f>IF(tbl_HR_Data[[#This Row],[OverTime]]=1,1,0)</f>
        <v>0</v>
      </c>
      <c r="AK303">
        <f>IF(tbl_HR_Data[[#This Row],[DistanceFromHome]]&gt;15,1,0)</f>
        <v>0</v>
      </c>
      <c r="AL303">
        <f>IF(tbl_HR_Data[[#This Row],[JobSatisfaction]]&lt;=2,1,0)</f>
        <v>0</v>
      </c>
      <c r="AM303">
        <f>IF(tbl_HR_Data[[#This Row],[MonthlyIncome]]&lt;$AT$2,1,0)</f>
        <v>1</v>
      </c>
      <c r="AN303">
        <f>IF(tbl_HR_Data[[#This Row],[Travel_Code]]=2,1,0)</f>
        <v>0</v>
      </c>
      <c r="AO303">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303" s="15">
        <f>tbl_HR_Data[[#This Row],[Risk_Score_Raw]] / SUM(Logic_Parameters!$B$2:$B$6)</f>
        <v>0.22374939857982484</v>
      </c>
      <c r="AQ303" s="16" t="str" cm="1">
        <f t="array" ref="AQ303">_xlfn.IFS(tbl_HR_Data[[#This Row],[Attrition_Risk_Percentage]] &gt;= 0.75, "Critical",tbl_HR_Data[ [#This Row],[Attrition_Risk_Percentage] ]&gt;= 0.5, "High",tbl_HR_Data[[#This Row],[Attrition_Risk_Percentage]] &gt;= 0.25, "Medium",TRUE, "Low")</f>
        <v>Low</v>
      </c>
      <c r="AR303" s="16" cm="1">
        <f t="array" ref="AR303">IFERROR(_xlfn.IFS(tbl_HR_Data[[#This Row],[Risk_Category]]="Critical",tbl_HR_Data[[#This Row],[MonthlyIncome]]*1.5,tbl_HR_Data[[#This Row],[Risk_Category]]="High",tbl_HR_Data[[#This Row],[MonthlyIncome]]*1.5),0)</f>
        <v>0</v>
      </c>
    </row>
    <row r="304" spans="1:44" x14ac:dyDescent="0.35">
      <c r="A304" t="s">
        <v>319</v>
      </c>
      <c r="B304">
        <v>28</v>
      </c>
      <c r="C304" t="s">
        <v>31</v>
      </c>
      <c r="D304">
        <v>1476</v>
      </c>
      <c r="E304" t="s">
        <v>38</v>
      </c>
      <c r="F304">
        <v>16</v>
      </c>
      <c r="G304">
        <v>2</v>
      </c>
      <c r="H304" t="s">
        <v>44</v>
      </c>
      <c r="I304">
        <v>2</v>
      </c>
      <c r="J304" t="s">
        <v>39</v>
      </c>
      <c r="K304">
        <v>68</v>
      </c>
      <c r="L304">
        <v>4</v>
      </c>
      <c r="M304">
        <v>2</v>
      </c>
      <c r="N304" t="s">
        <v>47</v>
      </c>
      <c r="O304">
        <v>1</v>
      </c>
      <c r="P304" t="s">
        <v>36</v>
      </c>
      <c r="Q304">
        <v>5661</v>
      </c>
      <c r="R304">
        <v>4824</v>
      </c>
      <c r="S304">
        <v>0</v>
      </c>
      <c r="T304">
        <v>0</v>
      </c>
      <c r="U304" s="17">
        <v>0.19</v>
      </c>
      <c r="V304">
        <v>3</v>
      </c>
      <c r="W304">
        <v>3</v>
      </c>
      <c r="X304">
        <v>0</v>
      </c>
      <c r="Y304">
        <v>9</v>
      </c>
      <c r="Z304">
        <v>2</v>
      </c>
      <c r="AA304">
        <v>3</v>
      </c>
      <c r="AB304">
        <v>8</v>
      </c>
      <c r="AC304">
        <v>3</v>
      </c>
      <c r="AD304">
        <v>0</v>
      </c>
      <c r="AE304">
        <v>7</v>
      </c>
      <c r="AF304">
        <v>0</v>
      </c>
      <c r="AG304">
        <f>IF(tbl_HR_Data[[#This Row],[Gender]]="Male",1,0)</f>
        <v>1</v>
      </c>
      <c r="AH304" cm="1">
        <f t="array" ref="AH304">_xlfn.SWITCH(tbl_HR_Data[[#This Row],[BusinessTravel]], "Non-Travel", 0, "Travel_Rarely", 1, "Travel_Frequently", 2)</f>
        <v>1</v>
      </c>
      <c r="AI304" cm="1">
        <f t="array" ref="AI304">_xlfn.SWITCH(tbl_HR_Data[[#This Row],[MaritalStatus]],"Single",0,"Married",1,"Divorced",2)</f>
        <v>0</v>
      </c>
      <c r="AJ304">
        <f>IF(tbl_HR_Data[[#This Row],[OverTime]]=1,1,0)</f>
        <v>0</v>
      </c>
      <c r="AK304">
        <f>IF(tbl_HR_Data[[#This Row],[DistanceFromHome]]&gt;15,1,0)</f>
        <v>1</v>
      </c>
      <c r="AL304">
        <f>IF(tbl_HR_Data[[#This Row],[JobSatisfaction]]&lt;=2,1,0)</f>
        <v>1</v>
      </c>
      <c r="AM304">
        <f>IF(tbl_HR_Data[[#This Row],[MonthlyIncome]]&lt;$AT$2,1,0)</f>
        <v>0</v>
      </c>
      <c r="AN304">
        <f>IF(tbl_HR_Data[[#This Row],[Travel_Code]]=2,1,0)</f>
        <v>0</v>
      </c>
      <c r="AO304">
        <f>(tbl_HR_Data[[#This Row],[Flag_OT]] * Logic_Parameters!$B$2) +
 (tbl_HR_Data[[#This Row],[Flag_Travel]] * Logic_Parameters!$B$3) +
 (tbl_HR_Data[[#This Row],[Flag_Satisfaction]] * Logic_Parameters!$B$4) +
 (tbl_HR_Data[[#This Row],[Flag_Distance]]* Logic_Parameters!$B$5) +
 (tbl_HR_Data[[#This Row],[Flag_Income]] * Logic_Parameters!$B$6)</f>
        <v>7.3706398258535089</v>
      </c>
      <c r="AP304" s="15">
        <f>tbl_HR_Data[[#This Row],[Risk_Score_Raw]] / SUM(Logic_Parameters!$B$2:$B$6)</f>
        <v>0.25393706576427255</v>
      </c>
      <c r="AQ304" s="16" t="str" cm="1">
        <f t="array" ref="AQ304">_xlfn.IFS(tbl_HR_Data[[#This Row],[Attrition_Risk_Percentage]] &gt;= 0.75, "Critical",tbl_HR_Data[ [#This Row],[Attrition_Risk_Percentage] ]&gt;= 0.5, "High",tbl_HR_Data[[#This Row],[Attrition_Risk_Percentage]] &gt;= 0.25, "Medium",TRUE, "Low")</f>
        <v>Medium</v>
      </c>
      <c r="AR304" s="16" cm="1">
        <f t="array" ref="AR304">IFERROR(_xlfn.IFS(tbl_HR_Data[[#This Row],[Risk_Category]]="Critical",tbl_HR_Data[[#This Row],[MonthlyIncome]]*1.5,tbl_HR_Data[[#This Row],[Risk_Category]]="High",tbl_HR_Data[[#This Row],[MonthlyIncome]]*1.5),0)</f>
        <v>0</v>
      </c>
    </row>
    <row r="305" spans="1:44" x14ac:dyDescent="0.35">
      <c r="A305" t="s">
        <v>1126</v>
      </c>
      <c r="B305">
        <v>31</v>
      </c>
      <c r="C305" t="s">
        <v>31</v>
      </c>
      <c r="D305">
        <v>218</v>
      </c>
      <c r="E305" t="s">
        <v>32</v>
      </c>
      <c r="F305">
        <v>7</v>
      </c>
      <c r="G305">
        <v>3</v>
      </c>
      <c r="H305" t="s">
        <v>52</v>
      </c>
      <c r="I305">
        <v>2</v>
      </c>
      <c r="J305" t="s">
        <v>39</v>
      </c>
      <c r="K305">
        <v>100</v>
      </c>
      <c r="L305">
        <v>4</v>
      </c>
      <c r="M305">
        <v>2</v>
      </c>
      <c r="N305" t="s">
        <v>35</v>
      </c>
      <c r="O305">
        <v>4</v>
      </c>
      <c r="P305" t="s">
        <v>41</v>
      </c>
      <c r="Q305">
        <v>6929</v>
      </c>
      <c r="R305">
        <v>12241</v>
      </c>
      <c r="S305">
        <v>4</v>
      </c>
      <c r="T305">
        <v>0</v>
      </c>
      <c r="U305" s="17">
        <v>0.11</v>
      </c>
      <c r="V305">
        <v>3</v>
      </c>
      <c r="W305">
        <v>2</v>
      </c>
      <c r="X305">
        <v>1</v>
      </c>
      <c r="Y305">
        <v>10</v>
      </c>
      <c r="Z305">
        <v>3</v>
      </c>
      <c r="AA305">
        <v>2</v>
      </c>
      <c r="AB305">
        <v>8</v>
      </c>
      <c r="AC305">
        <v>7</v>
      </c>
      <c r="AD305">
        <v>7</v>
      </c>
      <c r="AE305">
        <v>7</v>
      </c>
      <c r="AF305">
        <v>0</v>
      </c>
      <c r="AG305">
        <f>IF(tbl_HR_Data[[#This Row],[Gender]]="Male",1,0)</f>
        <v>1</v>
      </c>
      <c r="AH305" cm="1">
        <f t="array" ref="AH305">_xlfn.SWITCH(tbl_HR_Data[[#This Row],[BusinessTravel]], "Non-Travel", 0, "Travel_Rarely", 1, "Travel_Frequently", 2)</f>
        <v>1</v>
      </c>
      <c r="AI305" cm="1">
        <f t="array" ref="AI305">_xlfn.SWITCH(tbl_HR_Data[[#This Row],[MaritalStatus]],"Single",0,"Married",1,"Divorced",2)</f>
        <v>1</v>
      </c>
      <c r="AJ305">
        <f>IF(tbl_HR_Data[[#This Row],[OverTime]]=1,1,0)</f>
        <v>0</v>
      </c>
      <c r="AK305">
        <f>IF(tbl_HR_Data[[#This Row],[DistanceFromHome]]&gt;15,1,0)</f>
        <v>0</v>
      </c>
      <c r="AL305">
        <f>IF(tbl_HR_Data[[#This Row],[JobSatisfaction]]&lt;=2,1,0)</f>
        <v>0</v>
      </c>
      <c r="AM305">
        <f>IF(tbl_HR_Data[[#This Row],[MonthlyIncome]]&lt;$AT$2,1,0)</f>
        <v>0</v>
      </c>
      <c r="AN305">
        <f>IF(tbl_HR_Data[[#This Row],[Travel_Code]]=2,1,0)</f>
        <v>0</v>
      </c>
      <c r="AO305">
        <f>(tbl_HR_Data[[#This Row],[Flag_OT]] * Logic_Parameters!$B$2) +
 (tbl_HR_Data[[#This Row],[Flag_Travel]] * Logic_Parameters!$B$3) +
 (tbl_HR_Data[[#This Row],[Flag_Satisfaction]] * Logic_Parameters!$B$4) +
 (tbl_HR_Data[[#This Row],[Flag_Distance]]* Logic_Parameters!$B$5) +
 (tbl_HR_Data[[#This Row],[Flag_Income]] * Logic_Parameters!$B$6)</f>
        <v>0</v>
      </c>
      <c r="AP305" s="15">
        <f>tbl_HR_Data[[#This Row],[Risk_Score_Raw]] / SUM(Logic_Parameters!$B$2:$B$6)</f>
        <v>0</v>
      </c>
      <c r="AQ305" s="16" t="str" cm="1">
        <f t="array" ref="AQ305">_xlfn.IFS(tbl_HR_Data[[#This Row],[Attrition_Risk_Percentage]] &gt;= 0.75, "Critical",tbl_HR_Data[ [#This Row],[Attrition_Risk_Percentage] ]&gt;= 0.5, "High",tbl_HR_Data[[#This Row],[Attrition_Risk_Percentage]] &gt;= 0.25, "Medium",TRUE, "Low")</f>
        <v>Low</v>
      </c>
      <c r="AR305" s="16" cm="1">
        <f t="array" ref="AR305">IFERROR(_xlfn.IFS(tbl_HR_Data[[#This Row],[Risk_Category]]="Critical",tbl_HR_Data[[#This Row],[MonthlyIncome]]*1.5,tbl_HR_Data[[#This Row],[Risk_Category]]="High",tbl_HR_Data[[#This Row],[MonthlyIncome]]*1.5),0)</f>
        <v>0</v>
      </c>
    </row>
    <row r="306" spans="1:44" x14ac:dyDescent="0.35">
      <c r="A306" t="s">
        <v>762</v>
      </c>
      <c r="B306">
        <v>39</v>
      </c>
      <c r="C306" t="s">
        <v>31</v>
      </c>
      <c r="D306">
        <v>1132</v>
      </c>
      <c r="E306" t="s">
        <v>38</v>
      </c>
      <c r="F306">
        <v>1</v>
      </c>
      <c r="G306">
        <v>3</v>
      </c>
      <c r="H306" t="s">
        <v>44</v>
      </c>
      <c r="I306">
        <v>3</v>
      </c>
      <c r="J306" t="s">
        <v>39</v>
      </c>
      <c r="K306">
        <v>48</v>
      </c>
      <c r="L306">
        <v>4</v>
      </c>
      <c r="M306">
        <v>3</v>
      </c>
      <c r="N306" t="s">
        <v>47</v>
      </c>
      <c r="O306">
        <v>4</v>
      </c>
      <c r="P306" t="s">
        <v>45</v>
      </c>
      <c r="Q306">
        <v>9613</v>
      </c>
      <c r="R306">
        <v>10942</v>
      </c>
      <c r="S306">
        <v>0</v>
      </c>
      <c r="T306">
        <v>0</v>
      </c>
      <c r="U306" s="17">
        <v>0.17</v>
      </c>
      <c r="V306">
        <v>3</v>
      </c>
      <c r="W306">
        <v>1</v>
      </c>
      <c r="X306">
        <v>3</v>
      </c>
      <c r="Y306">
        <v>19</v>
      </c>
      <c r="Z306">
        <v>5</v>
      </c>
      <c r="AA306">
        <v>2</v>
      </c>
      <c r="AB306">
        <v>18</v>
      </c>
      <c r="AC306">
        <v>10</v>
      </c>
      <c r="AD306">
        <v>3</v>
      </c>
      <c r="AE306">
        <v>7</v>
      </c>
      <c r="AF306">
        <v>0</v>
      </c>
      <c r="AG306">
        <f>IF(tbl_HR_Data[[#This Row],[Gender]]="Male",1,0)</f>
        <v>1</v>
      </c>
      <c r="AH306" cm="1">
        <f t="array" ref="AH306">_xlfn.SWITCH(tbl_HR_Data[[#This Row],[BusinessTravel]], "Non-Travel", 0, "Travel_Rarely", 1, "Travel_Frequently", 2)</f>
        <v>1</v>
      </c>
      <c r="AI306" cm="1">
        <f t="array" ref="AI306">_xlfn.SWITCH(tbl_HR_Data[[#This Row],[MaritalStatus]],"Single",0,"Married",1,"Divorced",2)</f>
        <v>2</v>
      </c>
      <c r="AJ306">
        <f>IF(tbl_HR_Data[[#This Row],[OverTime]]=1,1,0)</f>
        <v>0</v>
      </c>
      <c r="AK306">
        <f>IF(tbl_HR_Data[[#This Row],[DistanceFromHome]]&gt;15,1,0)</f>
        <v>0</v>
      </c>
      <c r="AL306">
        <f>IF(tbl_HR_Data[[#This Row],[JobSatisfaction]]&lt;=2,1,0)</f>
        <v>0</v>
      </c>
      <c r="AM306">
        <f>IF(tbl_HR_Data[[#This Row],[MonthlyIncome]]&lt;$AT$2,1,0)</f>
        <v>0</v>
      </c>
      <c r="AN306">
        <f>IF(tbl_HR_Data[[#This Row],[Travel_Code]]=2,1,0)</f>
        <v>0</v>
      </c>
      <c r="AO306">
        <f>(tbl_HR_Data[[#This Row],[Flag_OT]] * Logic_Parameters!$B$2) +
 (tbl_HR_Data[[#This Row],[Flag_Travel]] * Logic_Parameters!$B$3) +
 (tbl_HR_Data[[#This Row],[Flag_Satisfaction]] * Logic_Parameters!$B$4) +
 (tbl_HR_Data[[#This Row],[Flag_Distance]]* Logic_Parameters!$B$5) +
 (tbl_HR_Data[[#This Row],[Flag_Income]] * Logic_Parameters!$B$6)</f>
        <v>0</v>
      </c>
      <c r="AP306" s="15">
        <f>tbl_HR_Data[[#This Row],[Risk_Score_Raw]] / SUM(Logic_Parameters!$B$2:$B$6)</f>
        <v>0</v>
      </c>
      <c r="AQ306" s="16" t="str" cm="1">
        <f t="array" ref="AQ306">_xlfn.IFS(tbl_HR_Data[[#This Row],[Attrition_Risk_Percentage]] &gt;= 0.75, "Critical",tbl_HR_Data[ [#This Row],[Attrition_Risk_Percentage] ]&gt;= 0.5, "High",tbl_HR_Data[[#This Row],[Attrition_Risk_Percentage]] &gt;= 0.25, "Medium",TRUE, "Low")</f>
        <v>Low</v>
      </c>
      <c r="AR306" s="16" cm="1">
        <f t="array" ref="AR306">IFERROR(_xlfn.IFS(tbl_HR_Data[[#This Row],[Risk_Category]]="Critical",tbl_HR_Data[[#This Row],[MonthlyIncome]]*1.5,tbl_HR_Data[[#This Row],[Risk_Category]]="High",tbl_HR_Data[[#This Row],[MonthlyIncome]]*1.5),0)</f>
        <v>0</v>
      </c>
    </row>
    <row r="307" spans="1:44" x14ac:dyDescent="0.35">
      <c r="A307" t="s">
        <v>978</v>
      </c>
      <c r="B307">
        <v>36</v>
      </c>
      <c r="C307" t="s">
        <v>1525</v>
      </c>
      <c r="D307">
        <v>1105</v>
      </c>
      <c r="E307" t="s">
        <v>38</v>
      </c>
      <c r="F307">
        <v>24</v>
      </c>
      <c r="G307">
        <v>4</v>
      </c>
      <c r="H307" t="s">
        <v>33</v>
      </c>
      <c r="I307">
        <v>2</v>
      </c>
      <c r="J307" t="s">
        <v>34</v>
      </c>
      <c r="K307">
        <v>47</v>
      </c>
      <c r="L307">
        <v>3</v>
      </c>
      <c r="M307">
        <v>2</v>
      </c>
      <c r="N307" t="s">
        <v>43</v>
      </c>
      <c r="O307">
        <v>2</v>
      </c>
      <c r="P307" t="s">
        <v>41</v>
      </c>
      <c r="Q307">
        <v>5674</v>
      </c>
      <c r="R307">
        <v>6927</v>
      </c>
      <c r="S307">
        <v>7</v>
      </c>
      <c r="T307">
        <v>0</v>
      </c>
      <c r="U307" s="17">
        <v>0.15</v>
      </c>
      <c r="V307">
        <v>3</v>
      </c>
      <c r="W307">
        <v>3</v>
      </c>
      <c r="X307">
        <v>1</v>
      </c>
      <c r="Y307">
        <v>11</v>
      </c>
      <c r="Z307">
        <v>3</v>
      </c>
      <c r="AA307">
        <v>3</v>
      </c>
      <c r="AB307">
        <v>9</v>
      </c>
      <c r="AC307">
        <v>8</v>
      </c>
      <c r="AD307">
        <v>0</v>
      </c>
      <c r="AE307">
        <v>8</v>
      </c>
      <c r="AF307">
        <v>0</v>
      </c>
      <c r="AG307">
        <f>IF(tbl_HR_Data[[#This Row],[Gender]]="Male",1,0)</f>
        <v>0</v>
      </c>
      <c r="AH307" cm="1">
        <f t="array" ref="AH307">_xlfn.SWITCH(tbl_HR_Data[[#This Row],[BusinessTravel]], "Non-Travel", 0, "Travel_Rarely", 1, "Travel_Frequently", 2)</f>
        <v>0</v>
      </c>
      <c r="AI307" cm="1">
        <f t="array" ref="AI307">_xlfn.SWITCH(tbl_HR_Data[[#This Row],[MaritalStatus]],"Single",0,"Married",1,"Divorced",2)</f>
        <v>1</v>
      </c>
      <c r="AJ307">
        <f>IF(tbl_HR_Data[[#This Row],[OverTime]]=1,1,0)</f>
        <v>0</v>
      </c>
      <c r="AK307">
        <f>IF(tbl_HR_Data[[#This Row],[DistanceFromHome]]&gt;15,1,0)</f>
        <v>1</v>
      </c>
      <c r="AL307">
        <f>IF(tbl_HR_Data[[#This Row],[JobSatisfaction]]&lt;=2,1,0)</f>
        <v>1</v>
      </c>
      <c r="AM307">
        <f>IF(tbl_HR_Data[[#This Row],[MonthlyIncome]]&lt;$AT$2,1,0)</f>
        <v>0</v>
      </c>
      <c r="AN307">
        <f>IF(tbl_HR_Data[[#This Row],[Travel_Code]]=2,1,0)</f>
        <v>0</v>
      </c>
      <c r="AO307">
        <f>(tbl_HR_Data[[#This Row],[Flag_OT]] * Logic_Parameters!$B$2) +
 (tbl_HR_Data[[#This Row],[Flag_Travel]] * Logic_Parameters!$B$3) +
 (tbl_HR_Data[[#This Row],[Flag_Satisfaction]] * Logic_Parameters!$B$4) +
 (tbl_HR_Data[[#This Row],[Flag_Distance]]* Logic_Parameters!$B$5) +
 (tbl_HR_Data[[#This Row],[Flag_Income]] * Logic_Parameters!$B$6)</f>
        <v>7.3706398258535089</v>
      </c>
      <c r="AP307" s="15">
        <f>tbl_HR_Data[[#This Row],[Risk_Score_Raw]] / SUM(Logic_Parameters!$B$2:$B$6)</f>
        <v>0.25393706576427255</v>
      </c>
      <c r="AQ307" s="16" t="str" cm="1">
        <f t="array" ref="AQ307">_xlfn.IFS(tbl_HR_Data[[#This Row],[Attrition_Risk_Percentage]] &gt;= 0.75, "Critical",tbl_HR_Data[ [#This Row],[Attrition_Risk_Percentage] ]&gt;= 0.5, "High",tbl_HR_Data[[#This Row],[Attrition_Risk_Percentage]] &gt;= 0.25, "Medium",TRUE, "Low")</f>
        <v>Medium</v>
      </c>
      <c r="AR307" s="16" cm="1">
        <f t="array" ref="AR307">IFERROR(_xlfn.IFS(tbl_HR_Data[[#This Row],[Risk_Category]]="Critical",tbl_HR_Data[[#This Row],[MonthlyIncome]]*1.5,tbl_HR_Data[[#This Row],[Risk_Category]]="High",tbl_HR_Data[[#This Row],[MonthlyIncome]]*1.5),0)</f>
        <v>0</v>
      </c>
    </row>
    <row r="308" spans="1:44" x14ac:dyDescent="0.35">
      <c r="A308" t="s">
        <v>93</v>
      </c>
      <c r="B308">
        <v>32</v>
      </c>
      <c r="C308" t="s">
        <v>31</v>
      </c>
      <c r="D308">
        <v>906</v>
      </c>
      <c r="E308" t="s">
        <v>32</v>
      </c>
      <c r="F308">
        <v>7</v>
      </c>
      <c r="G308">
        <v>3</v>
      </c>
      <c r="H308" t="s">
        <v>33</v>
      </c>
      <c r="I308">
        <v>4</v>
      </c>
      <c r="J308" t="s">
        <v>39</v>
      </c>
      <c r="K308">
        <v>91</v>
      </c>
      <c r="L308">
        <v>2</v>
      </c>
      <c r="M308">
        <v>2</v>
      </c>
      <c r="N308" t="s">
        <v>35</v>
      </c>
      <c r="O308">
        <v>3</v>
      </c>
      <c r="P308" t="s">
        <v>41</v>
      </c>
      <c r="Q308">
        <v>5484</v>
      </c>
      <c r="R308">
        <v>16985</v>
      </c>
      <c r="S308">
        <v>1</v>
      </c>
      <c r="T308">
        <v>0</v>
      </c>
      <c r="U308" s="17">
        <v>0.14000000000000001</v>
      </c>
      <c r="V308">
        <v>3</v>
      </c>
      <c r="W308">
        <v>3</v>
      </c>
      <c r="X308">
        <v>1</v>
      </c>
      <c r="Y308">
        <v>13</v>
      </c>
      <c r="Z308">
        <v>3</v>
      </c>
      <c r="AA308">
        <v>2</v>
      </c>
      <c r="AB308">
        <v>13</v>
      </c>
      <c r="AC308">
        <v>8</v>
      </c>
      <c r="AD308">
        <v>4</v>
      </c>
      <c r="AE308">
        <v>8</v>
      </c>
      <c r="AF308">
        <v>0</v>
      </c>
      <c r="AG308">
        <f>IF(tbl_HR_Data[[#This Row],[Gender]]="Male",1,0)</f>
        <v>1</v>
      </c>
      <c r="AH308" cm="1">
        <f t="array" ref="AH308">_xlfn.SWITCH(tbl_HR_Data[[#This Row],[BusinessTravel]], "Non-Travel", 0, "Travel_Rarely", 1, "Travel_Frequently", 2)</f>
        <v>1</v>
      </c>
      <c r="AI308" cm="1">
        <f t="array" ref="AI308">_xlfn.SWITCH(tbl_HR_Data[[#This Row],[MaritalStatus]],"Single",0,"Married",1,"Divorced",2)</f>
        <v>1</v>
      </c>
      <c r="AJ308">
        <f>IF(tbl_HR_Data[[#This Row],[OverTime]]=1,1,0)</f>
        <v>0</v>
      </c>
      <c r="AK308">
        <f>IF(tbl_HR_Data[[#This Row],[DistanceFromHome]]&gt;15,1,0)</f>
        <v>0</v>
      </c>
      <c r="AL308">
        <f>IF(tbl_HR_Data[[#This Row],[JobSatisfaction]]&lt;=2,1,0)</f>
        <v>0</v>
      </c>
      <c r="AM308">
        <f>IF(tbl_HR_Data[[#This Row],[MonthlyIncome]]&lt;$AT$2,1,0)</f>
        <v>0</v>
      </c>
      <c r="AN308">
        <f>IF(tbl_HR_Data[[#This Row],[Travel_Code]]=2,1,0)</f>
        <v>0</v>
      </c>
      <c r="AO308">
        <f>(tbl_HR_Data[[#This Row],[Flag_OT]] * Logic_Parameters!$B$2) +
 (tbl_HR_Data[[#This Row],[Flag_Travel]] * Logic_Parameters!$B$3) +
 (tbl_HR_Data[[#This Row],[Flag_Satisfaction]] * Logic_Parameters!$B$4) +
 (tbl_HR_Data[[#This Row],[Flag_Distance]]* Logic_Parameters!$B$5) +
 (tbl_HR_Data[[#This Row],[Flag_Income]] * Logic_Parameters!$B$6)</f>
        <v>0</v>
      </c>
      <c r="AP308" s="15">
        <f>tbl_HR_Data[[#This Row],[Risk_Score_Raw]] / SUM(Logic_Parameters!$B$2:$B$6)</f>
        <v>0</v>
      </c>
      <c r="AQ308" s="16" t="str" cm="1">
        <f t="array" ref="AQ308">_xlfn.IFS(tbl_HR_Data[[#This Row],[Attrition_Risk_Percentage]] &gt;= 0.75, "Critical",tbl_HR_Data[ [#This Row],[Attrition_Risk_Percentage] ]&gt;= 0.5, "High",tbl_HR_Data[[#This Row],[Attrition_Risk_Percentage]] &gt;= 0.25, "Medium",TRUE, "Low")</f>
        <v>Low</v>
      </c>
      <c r="AR308" s="16" cm="1">
        <f t="array" ref="AR308">IFERROR(_xlfn.IFS(tbl_HR_Data[[#This Row],[Risk_Category]]="Critical",tbl_HR_Data[[#This Row],[MonthlyIncome]]*1.5,tbl_HR_Data[[#This Row],[Risk_Category]]="High",tbl_HR_Data[[#This Row],[MonthlyIncome]]*1.5),0)</f>
        <v>0</v>
      </c>
    </row>
    <row r="309" spans="1:44" x14ac:dyDescent="0.35">
      <c r="A309" t="s">
        <v>508</v>
      </c>
      <c r="B309">
        <v>38</v>
      </c>
      <c r="C309" t="s">
        <v>31</v>
      </c>
      <c r="D309">
        <v>849</v>
      </c>
      <c r="E309" t="s">
        <v>38</v>
      </c>
      <c r="F309">
        <v>25</v>
      </c>
      <c r="G309">
        <v>2</v>
      </c>
      <c r="H309" t="s">
        <v>33</v>
      </c>
      <c r="I309">
        <v>1</v>
      </c>
      <c r="J309" t="s">
        <v>34</v>
      </c>
      <c r="K309">
        <v>81</v>
      </c>
      <c r="L309">
        <v>2</v>
      </c>
      <c r="M309">
        <v>3</v>
      </c>
      <c r="N309" t="s">
        <v>50</v>
      </c>
      <c r="O309">
        <v>2</v>
      </c>
      <c r="P309" t="s">
        <v>41</v>
      </c>
      <c r="Q309">
        <v>12061</v>
      </c>
      <c r="R309">
        <v>26707</v>
      </c>
      <c r="S309">
        <v>3</v>
      </c>
      <c r="T309">
        <v>0</v>
      </c>
      <c r="U309" s="17">
        <v>0.17</v>
      </c>
      <c r="V309">
        <v>3</v>
      </c>
      <c r="W309">
        <v>3</v>
      </c>
      <c r="X309">
        <v>1</v>
      </c>
      <c r="Y309">
        <v>19</v>
      </c>
      <c r="Z309">
        <v>2</v>
      </c>
      <c r="AA309">
        <v>3</v>
      </c>
      <c r="AB309">
        <v>10</v>
      </c>
      <c r="AC309">
        <v>8</v>
      </c>
      <c r="AD309">
        <v>0</v>
      </c>
      <c r="AE309">
        <v>1</v>
      </c>
      <c r="AF309">
        <v>0</v>
      </c>
      <c r="AG309">
        <f>IF(tbl_HR_Data[[#This Row],[Gender]]="Male",1,0)</f>
        <v>0</v>
      </c>
      <c r="AH309" cm="1">
        <f t="array" ref="AH309">_xlfn.SWITCH(tbl_HR_Data[[#This Row],[BusinessTravel]], "Non-Travel", 0, "Travel_Rarely", 1, "Travel_Frequently", 2)</f>
        <v>1</v>
      </c>
      <c r="AI309" cm="1">
        <f t="array" ref="AI309">_xlfn.SWITCH(tbl_HR_Data[[#This Row],[MaritalStatus]],"Single",0,"Married",1,"Divorced",2)</f>
        <v>1</v>
      </c>
      <c r="AJ309">
        <f>IF(tbl_HR_Data[[#This Row],[OverTime]]=1,1,0)</f>
        <v>0</v>
      </c>
      <c r="AK309">
        <f>IF(tbl_HR_Data[[#This Row],[DistanceFromHome]]&gt;15,1,0)</f>
        <v>1</v>
      </c>
      <c r="AL309">
        <f>IF(tbl_HR_Data[[#This Row],[JobSatisfaction]]&lt;=2,1,0)</f>
        <v>1</v>
      </c>
      <c r="AM309">
        <f>IF(tbl_HR_Data[[#This Row],[MonthlyIncome]]&lt;$AT$2,1,0)</f>
        <v>0</v>
      </c>
      <c r="AN309">
        <f>IF(tbl_HR_Data[[#This Row],[Travel_Code]]=2,1,0)</f>
        <v>0</v>
      </c>
      <c r="AO309">
        <f>(tbl_HR_Data[[#This Row],[Flag_OT]] * Logic_Parameters!$B$2) +
 (tbl_HR_Data[[#This Row],[Flag_Travel]] * Logic_Parameters!$B$3) +
 (tbl_HR_Data[[#This Row],[Flag_Satisfaction]] * Logic_Parameters!$B$4) +
 (tbl_HR_Data[[#This Row],[Flag_Distance]]* Logic_Parameters!$B$5) +
 (tbl_HR_Data[[#This Row],[Flag_Income]] * Logic_Parameters!$B$6)</f>
        <v>7.3706398258535089</v>
      </c>
      <c r="AP309" s="15">
        <f>tbl_HR_Data[[#This Row],[Risk_Score_Raw]] / SUM(Logic_Parameters!$B$2:$B$6)</f>
        <v>0.25393706576427255</v>
      </c>
      <c r="AQ309" s="16" t="str" cm="1">
        <f t="array" ref="AQ309">_xlfn.IFS(tbl_HR_Data[[#This Row],[Attrition_Risk_Percentage]] &gt;= 0.75, "Critical",tbl_HR_Data[ [#This Row],[Attrition_Risk_Percentage] ]&gt;= 0.5, "High",tbl_HR_Data[[#This Row],[Attrition_Risk_Percentage]] &gt;= 0.25, "Medium",TRUE, "Low")</f>
        <v>Medium</v>
      </c>
      <c r="AR309" s="16" cm="1">
        <f t="array" ref="AR309">IFERROR(_xlfn.IFS(tbl_HR_Data[[#This Row],[Risk_Category]]="Critical",tbl_HR_Data[[#This Row],[MonthlyIncome]]*1.5,tbl_HR_Data[[#This Row],[Risk_Category]]="High",tbl_HR_Data[[#This Row],[MonthlyIncome]]*1.5),0)</f>
        <v>0</v>
      </c>
    </row>
    <row r="310" spans="1:44" x14ac:dyDescent="0.35">
      <c r="A310" t="s">
        <v>390</v>
      </c>
      <c r="B310">
        <v>58</v>
      </c>
      <c r="C310" t="s">
        <v>1525</v>
      </c>
      <c r="D310">
        <v>390</v>
      </c>
      <c r="E310" t="s">
        <v>38</v>
      </c>
      <c r="F310">
        <v>1</v>
      </c>
      <c r="G310">
        <v>4</v>
      </c>
      <c r="H310" t="s">
        <v>33</v>
      </c>
      <c r="I310">
        <v>4</v>
      </c>
      <c r="J310" t="s">
        <v>39</v>
      </c>
      <c r="K310">
        <v>32</v>
      </c>
      <c r="L310">
        <v>1</v>
      </c>
      <c r="M310">
        <v>2</v>
      </c>
      <c r="N310" t="s">
        <v>47</v>
      </c>
      <c r="O310">
        <v>3</v>
      </c>
      <c r="P310" t="s">
        <v>45</v>
      </c>
      <c r="Q310">
        <v>5660</v>
      </c>
      <c r="R310">
        <v>17056</v>
      </c>
      <c r="S310">
        <v>2</v>
      </c>
      <c r="T310">
        <v>1</v>
      </c>
      <c r="U310" s="17">
        <v>0.13</v>
      </c>
      <c r="V310">
        <v>3</v>
      </c>
      <c r="W310">
        <v>4</v>
      </c>
      <c r="X310">
        <v>1</v>
      </c>
      <c r="Y310">
        <v>12</v>
      </c>
      <c r="Z310">
        <v>2</v>
      </c>
      <c r="AA310">
        <v>3</v>
      </c>
      <c r="AB310">
        <v>5</v>
      </c>
      <c r="AC310">
        <v>3</v>
      </c>
      <c r="AD310">
        <v>1</v>
      </c>
      <c r="AE310">
        <v>2</v>
      </c>
      <c r="AF310">
        <v>0</v>
      </c>
      <c r="AG310">
        <f>IF(tbl_HR_Data[[#This Row],[Gender]]="Male",1,0)</f>
        <v>1</v>
      </c>
      <c r="AH310" cm="1">
        <f t="array" ref="AH310">_xlfn.SWITCH(tbl_HR_Data[[#This Row],[BusinessTravel]], "Non-Travel", 0, "Travel_Rarely", 1, "Travel_Frequently", 2)</f>
        <v>0</v>
      </c>
      <c r="AI310" cm="1">
        <f t="array" ref="AI310">_xlfn.SWITCH(tbl_HR_Data[[#This Row],[MaritalStatus]],"Single",0,"Married",1,"Divorced",2)</f>
        <v>2</v>
      </c>
      <c r="AJ310">
        <f>IF(tbl_HR_Data[[#This Row],[OverTime]]=1,1,0)</f>
        <v>1</v>
      </c>
      <c r="AK310">
        <f>IF(tbl_HR_Data[[#This Row],[DistanceFromHome]]&gt;15,1,0)</f>
        <v>0</v>
      </c>
      <c r="AL310">
        <f>IF(tbl_HR_Data[[#This Row],[JobSatisfaction]]&lt;=2,1,0)</f>
        <v>0</v>
      </c>
      <c r="AM310">
        <f>IF(tbl_HR_Data[[#This Row],[MonthlyIncome]]&lt;$AT$2,1,0)</f>
        <v>0</v>
      </c>
      <c r="AN310">
        <f>IF(tbl_HR_Data[[#This Row],[Travel_Code]]=2,1,0)</f>
        <v>0</v>
      </c>
      <c r="AO310">
        <f>(tbl_HR_Data[[#This Row],[Flag_OT]] * Logic_Parameters!$B$2) +
 (tbl_HR_Data[[#This Row],[Flag_Travel]] * Logic_Parameters!$B$3) +
 (tbl_HR_Data[[#This Row],[Flag_Satisfaction]] * Logic_Parameters!$B$4) +
 (tbl_HR_Data[[#This Row],[Flag_Distance]]* Logic_Parameters!$B$5) +
 (tbl_HR_Data[[#This Row],[Flag_Income]] * Logic_Parameters!$B$6)</f>
        <v>10</v>
      </c>
      <c r="AP310" s="15">
        <f>tbl_HR_Data[[#This Row],[Risk_Score_Raw]] / SUM(Logic_Parameters!$B$2:$B$6)</f>
        <v>0.3445251318258073</v>
      </c>
      <c r="AQ310" s="16" t="str" cm="1">
        <f t="array" ref="AQ310">_xlfn.IFS(tbl_HR_Data[[#This Row],[Attrition_Risk_Percentage]] &gt;= 0.75, "Critical",tbl_HR_Data[ [#This Row],[Attrition_Risk_Percentage] ]&gt;= 0.5, "High",tbl_HR_Data[[#This Row],[Attrition_Risk_Percentage]] &gt;= 0.25, "Medium",TRUE, "Low")</f>
        <v>Medium</v>
      </c>
      <c r="AR310" s="16" cm="1">
        <f t="array" ref="AR310">IFERROR(_xlfn.IFS(tbl_HR_Data[[#This Row],[Risk_Category]]="Critical",tbl_HR_Data[[#This Row],[MonthlyIncome]]*1.5,tbl_HR_Data[[#This Row],[Risk_Category]]="High",tbl_HR_Data[[#This Row],[MonthlyIncome]]*1.5),0)</f>
        <v>0</v>
      </c>
    </row>
    <row r="311" spans="1:44" x14ac:dyDescent="0.35">
      <c r="A311" t="s">
        <v>618</v>
      </c>
      <c r="B311">
        <v>31</v>
      </c>
      <c r="C311" t="s">
        <v>31</v>
      </c>
      <c r="D311">
        <v>691</v>
      </c>
      <c r="E311" t="s">
        <v>38</v>
      </c>
      <c r="F311">
        <v>5</v>
      </c>
      <c r="G311">
        <v>4</v>
      </c>
      <c r="H311" t="s">
        <v>52</v>
      </c>
      <c r="I311">
        <v>3</v>
      </c>
      <c r="J311" t="s">
        <v>39</v>
      </c>
      <c r="K311">
        <v>86</v>
      </c>
      <c r="L311">
        <v>3</v>
      </c>
      <c r="M311">
        <v>1</v>
      </c>
      <c r="N311" t="s">
        <v>40</v>
      </c>
      <c r="O311">
        <v>4</v>
      </c>
      <c r="P311" t="s">
        <v>41</v>
      </c>
      <c r="Q311">
        <v>4821</v>
      </c>
      <c r="R311">
        <v>10077</v>
      </c>
      <c r="S311">
        <v>0</v>
      </c>
      <c r="T311">
        <v>1</v>
      </c>
      <c r="U311" s="17">
        <v>0.12</v>
      </c>
      <c r="V311">
        <v>3</v>
      </c>
      <c r="W311">
        <v>3</v>
      </c>
      <c r="X311">
        <v>1</v>
      </c>
      <c r="Y311">
        <v>6</v>
      </c>
      <c r="Z311">
        <v>4</v>
      </c>
      <c r="AA311">
        <v>3</v>
      </c>
      <c r="AB311">
        <v>5</v>
      </c>
      <c r="AC311">
        <v>2</v>
      </c>
      <c r="AD311">
        <v>0</v>
      </c>
      <c r="AE311">
        <v>3</v>
      </c>
      <c r="AF311">
        <v>0</v>
      </c>
      <c r="AG311">
        <f>IF(tbl_HR_Data[[#This Row],[Gender]]="Male",1,0)</f>
        <v>1</v>
      </c>
      <c r="AH311" cm="1">
        <f t="array" ref="AH311">_xlfn.SWITCH(tbl_HR_Data[[#This Row],[BusinessTravel]], "Non-Travel", 0, "Travel_Rarely", 1, "Travel_Frequently", 2)</f>
        <v>1</v>
      </c>
      <c r="AI311" cm="1">
        <f t="array" ref="AI311">_xlfn.SWITCH(tbl_HR_Data[[#This Row],[MaritalStatus]],"Single",0,"Married",1,"Divorced",2)</f>
        <v>1</v>
      </c>
      <c r="AJ311">
        <f>IF(tbl_HR_Data[[#This Row],[OverTime]]=1,1,0)</f>
        <v>1</v>
      </c>
      <c r="AK311">
        <f>IF(tbl_HR_Data[[#This Row],[DistanceFromHome]]&gt;15,1,0)</f>
        <v>0</v>
      </c>
      <c r="AL311">
        <f>IF(tbl_HR_Data[[#This Row],[JobSatisfaction]]&lt;=2,1,0)</f>
        <v>0</v>
      </c>
      <c r="AM311">
        <f>IF(tbl_HR_Data[[#This Row],[MonthlyIncome]]&lt;$AT$2,1,0)</f>
        <v>1</v>
      </c>
      <c r="AN311">
        <f>IF(tbl_HR_Data[[#This Row],[Travel_Code]]=2,1,0)</f>
        <v>0</v>
      </c>
      <c r="AO311">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311" s="15">
        <f>tbl_HR_Data[[#This Row],[Risk_Score_Raw]] / SUM(Logic_Parameters!$B$2:$B$6)</f>
        <v>0.56827453040563214</v>
      </c>
      <c r="AQ311" s="16" t="str" cm="1">
        <f t="array" ref="AQ311">_xlfn.IFS(tbl_HR_Data[[#This Row],[Attrition_Risk_Percentage]] &gt;= 0.75, "Critical",tbl_HR_Data[ [#This Row],[Attrition_Risk_Percentage] ]&gt;= 0.5, "High",tbl_HR_Data[[#This Row],[Attrition_Risk_Percentage]] &gt;= 0.25, "Medium",TRUE, "Low")</f>
        <v>High</v>
      </c>
      <c r="AR311" s="16" cm="1">
        <f t="array" ref="AR311">IFERROR(_xlfn.IFS(tbl_HR_Data[[#This Row],[Risk_Category]]="Critical",tbl_HR_Data[[#This Row],[MonthlyIncome]]*1.5,tbl_HR_Data[[#This Row],[Risk_Category]]="High",tbl_HR_Data[[#This Row],[MonthlyIncome]]*1.5),0)</f>
        <v>7231.5</v>
      </c>
    </row>
    <row r="312" spans="1:44" x14ac:dyDescent="0.35">
      <c r="A312" t="s">
        <v>373</v>
      </c>
      <c r="B312">
        <v>31</v>
      </c>
      <c r="C312" t="s">
        <v>31</v>
      </c>
      <c r="D312">
        <v>106</v>
      </c>
      <c r="E312" t="s">
        <v>53</v>
      </c>
      <c r="F312">
        <v>2</v>
      </c>
      <c r="G312">
        <v>3</v>
      </c>
      <c r="H312" t="s">
        <v>53</v>
      </c>
      <c r="I312">
        <v>1</v>
      </c>
      <c r="J312" t="s">
        <v>39</v>
      </c>
      <c r="K312">
        <v>62</v>
      </c>
      <c r="L312">
        <v>2</v>
      </c>
      <c r="M312">
        <v>2</v>
      </c>
      <c r="N312" t="s">
        <v>53</v>
      </c>
      <c r="O312">
        <v>1</v>
      </c>
      <c r="P312" t="s">
        <v>41</v>
      </c>
      <c r="Q312">
        <v>6410</v>
      </c>
      <c r="R312">
        <v>17822</v>
      </c>
      <c r="S312">
        <v>3</v>
      </c>
      <c r="T312">
        <v>0</v>
      </c>
      <c r="U312" s="17">
        <v>0.12</v>
      </c>
      <c r="V312">
        <v>3</v>
      </c>
      <c r="W312">
        <v>4</v>
      </c>
      <c r="X312">
        <v>0</v>
      </c>
      <c r="Y312">
        <v>9</v>
      </c>
      <c r="Z312">
        <v>1</v>
      </c>
      <c r="AA312">
        <v>3</v>
      </c>
      <c r="AB312">
        <v>2</v>
      </c>
      <c r="AC312">
        <v>2</v>
      </c>
      <c r="AD312">
        <v>1</v>
      </c>
      <c r="AE312">
        <v>0</v>
      </c>
      <c r="AF312">
        <v>0</v>
      </c>
      <c r="AG312">
        <f>IF(tbl_HR_Data[[#This Row],[Gender]]="Male",1,0)</f>
        <v>1</v>
      </c>
      <c r="AH312" cm="1">
        <f t="array" ref="AH312">_xlfn.SWITCH(tbl_HR_Data[[#This Row],[BusinessTravel]], "Non-Travel", 0, "Travel_Rarely", 1, "Travel_Frequently", 2)</f>
        <v>1</v>
      </c>
      <c r="AI312" cm="1">
        <f t="array" ref="AI312">_xlfn.SWITCH(tbl_HR_Data[[#This Row],[MaritalStatus]],"Single",0,"Married",1,"Divorced",2)</f>
        <v>1</v>
      </c>
      <c r="AJ312">
        <f>IF(tbl_HR_Data[[#This Row],[OverTime]]=1,1,0)</f>
        <v>0</v>
      </c>
      <c r="AK312">
        <f>IF(tbl_HR_Data[[#This Row],[DistanceFromHome]]&gt;15,1,0)</f>
        <v>0</v>
      </c>
      <c r="AL312">
        <f>IF(tbl_HR_Data[[#This Row],[JobSatisfaction]]&lt;=2,1,0)</f>
        <v>1</v>
      </c>
      <c r="AM312">
        <f>IF(tbl_HR_Data[[#This Row],[MonthlyIncome]]&lt;$AT$2,1,0)</f>
        <v>0</v>
      </c>
      <c r="AN312">
        <f>IF(tbl_HR_Data[[#This Row],[Travel_Code]]=2,1,0)</f>
        <v>0</v>
      </c>
      <c r="AO312">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312" s="15">
        <f>tbl_HR_Data[[#This Row],[Risk_Score_Raw]] / SUM(Logic_Parameters!$B$2:$B$6)</f>
        <v>0.14485673308716898</v>
      </c>
      <c r="AQ312" s="16" t="str" cm="1">
        <f t="array" ref="AQ312">_xlfn.IFS(tbl_HR_Data[[#This Row],[Attrition_Risk_Percentage]] &gt;= 0.75, "Critical",tbl_HR_Data[ [#This Row],[Attrition_Risk_Percentage] ]&gt;= 0.5, "High",tbl_HR_Data[[#This Row],[Attrition_Risk_Percentage]] &gt;= 0.25, "Medium",TRUE, "Low")</f>
        <v>Low</v>
      </c>
      <c r="AR312" s="16" cm="1">
        <f t="array" ref="AR312">IFERROR(_xlfn.IFS(tbl_HR_Data[[#This Row],[Risk_Category]]="Critical",tbl_HR_Data[[#This Row],[MonthlyIncome]]*1.5,tbl_HR_Data[[#This Row],[Risk_Category]]="High",tbl_HR_Data[[#This Row],[MonthlyIncome]]*1.5),0)</f>
        <v>0</v>
      </c>
    </row>
    <row r="313" spans="1:44" x14ac:dyDescent="0.35">
      <c r="A313" t="s">
        <v>1335</v>
      </c>
      <c r="B313">
        <v>45</v>
      </c>
      <c r="C313" t="s">
        <v>37</v>
      </c>
      <c r="D313">
        <v>1249</v>
      </c>
      <c r="E313" t="s">
        <v>38</v>
      </c>
      <c r="F313">
        <v>7</v>
      </c>
      <c r="G313">
        <v>3</v>
      </c>
      <c r="H313" t="s">
        <v>33</v>
      </c>
      <c r="I313">
        <v>1</v>
      </c>
      <c r="J313" t="s">
        <v>39</v>
      </c>
      <c r="K313">
        <v>97</v>
      </c>
      <c r="L313">
        <v>3</v>
      </c>
      <c r="M313">
        <v>3</v>
      </c>
      <c r="N313" t="s">
        <v>43</v>
      </c>
      <c r="O313">
        <v>1</v>
      </c>
      <c r="P313" t="s">
        <v>45</v>
      </c>
      <c r="Q313">
        <v>5210</v>
      </c>
      <c r="R313">
        <v>20308</v>
      </c>
      <c r="S313">
        <v>1</v>
      </c>
      <c r="T313">
        <v>0</v>
      </c>
      <c r="U313" s="17">
        <v>0.18</v>
      </c>
      <c r="V313">
        <v>3</v>
      </c>
      <c r="W313">
        <v>1</v>
      </c>
      <c r="X313">
        <v>1</v>
      </c>
      <c r="Y313">
        <v>24</v>
      </c>
      <c r="Z313">
        <v>2</v>
      </c>
      <c r="AA313">
        <v>3</v>
      </c>
      <c r="AB313">
        <v>24</v>
      </c>
      <c r="AC313">
        <v>9</v>
      </c>
      <c r="AD313">
        <v>9</v>
      </c>
      <c r="AE313">
        <v>11</v>
      </c>
      <c r="AF313">
        <v>0</v>
      </c>
      <c r="AG313">
        <f>IF(tbl_HR_Data[[#This Row],[Gender]]="Male",1,0)</f>
        <v>1</v>
      </c>
      <c r="AH313" cm="1">
        <f t="array" ref="AH313">_xlfn.SWITCH(tbl_HR_Data[[#This Row],[BusinessTravel]], "Non-Travel", 0, "Travel_Rarely", 1, "Travel_Frequently", 2)</f>
        <v>2</v>
      </c>
      <c r="AI313" cm="1">
        <f t="array" ref="AI313">_xlfn.SWITCH(tbl_HR_Data[[#This Row],[MaritalStatus]],"Single",0,"Married",1,"Divorced",2)</f>
        <v>2</v>
      </c>
      <c r="AJ313">
        <f>IF(tbl_HR_Data[[#This Row],[OverTime]]=1,1,0)</f>
        <v>0</v>
      </c>
      <c r="AK313">
        <f>IF(tbl_HR_Data[[#This Row],[DistanceFromHome]]&gt;15,1,0)</f>
        <v>0</v>
      </c>
      <c r="AL313">
        <f>IF(tbl_HR_Data[[#This Row],[JobSatisfaction]]&lt;=2,1,0)</f>
        <v>1</v>
      </c>
      <c r="AM313">
        <f>IF(tbl_HR_Data[[#This Row],[MonthlyIncome]]&lt;$AT$2,1,0)</f>
        <v>0</v>
      </c>
      <c r="AN313">
        <f>IF(tbl_HR_Data[[#This Row],[Travel_Code]]=2,1,0)</f>
        <v>1</v>
      </c>
      <c r="AO313">
        <f>(tbl_HR_Data[[#This Row],[Flag_OT]] * Logic_Parameters!$B$2) +
 (tbl_HR_Data[[#This Row],[Flag_Travel]] * Logic_Parameters!$B$3) +
 (tbl_HR_Data[[#This Row],[Flag_Satisfaction]] * Logic_Parameters!$B$4) +
 (tbl_HR_Data[[#This Row],[Flag_Distance]]* Logic_Parameters!$B$5) +
 (tbl_HR_Data[[#This Row],[Flag_Income]] * Logic_Parameters!$B$6)</f>
        <v>9.3649231104683075</v>
      </c>
      <c r="AP313" s="15">
        <f>tbl_HR_Data[[#This Row],[Risk_Score_Raw]] / SUM(Logic_Parameters!$B$2:$B$6)</f>
        <v>0.32264513691726432</v>
      </c>
      <c r="AQ313" s="16" t="str" cm="1">
        <f t="array" ref="AQ313">_xlfn.IFS(tbl_HR_Data[[#This Row],[Attrition_Risk_Percentage]] &gt;= 0.75, "Critical",tbl_HR_Data[ [#This Row],[Attrition_Risk_Percentage] ]&gt;= 0.5, "High",tbl_HR_Data[[#This Row],[Attrition_Risk_Percentage]] &gt;= 0.25, "Medium",TRUE, "Low")</f>
        <v>Medium</v>
      </c>
      <c r="AR313" s="16" cm="1">
        <f t="array" ref="AR313">IFERROR(_xlfn.IFS(tbl_HR_Data[[#This Row],[Risk_Category]]="Critical",tbl_HR_Data[[#This Row],[MonthlyIncome]]*1.5,tbl_HR_Data[[#This Row],[Risk_Category]]="High",tbl_HR_Data[[#This Row],[MonthlyIncome]]*1.5),0)</f>
        <v>0</v>
      </c>
    </row>
    <row r="314" spans="1:44" x14ac:dyDescent="0.35">
      <c r="A314" t="s">
        <v>492</v>
      </c>
      <c r="B314">
        <v>31</v>
      </c>
      <c r="C314" t="s">
        <v>31</v>
      </c>
      <c r="D314">
        <v>192</v>
      </c>
      <c r="E314" t="s">
        <v>38</v>
      </c>
      <c r="F314">
        <v>2</v>
      </c>
      <c r="G314">
        <v>4</v>
      </c>
      <c r="H314" t="s">
        <v>33</v>
      </c>
      <c r="I314">
        <v>3</v>
      </c>
      <c r="J314" t="s">
        <v>39</v>
      </c>
      <c r="K314">
        <v>32</v>
      </c>
      <c r="L314">
        <v>3</v>
      </c>
      <c r="M314">
        <v>1</v>
      </c>
      <c r="N314" t="s">
        <v>40</v>
      </c>
      <c r="O314">
        <v>4</v>
      </c>
      <c r="P314" t="s">
        <v>45</v>
      </c>
      <c r="Q314">
        <v>2695</v>
      </c>
      <c r="R314">
        <v>7747</v>
      </c>
      <c r="S314">
        <v>0</v>
      </c>
      <c r="T314">
        <v>1</v>
      </c>
      <c r="U314" s="17">
        <v>0.18</v>
      </c>
      <c r="V314">
        <v>3</v>
      </c>
      <c r="W314">
        <v>2</v>
      </c>
      <c r="X314">
        <v>1</v>
      </c>
      <c r="Y314">
        <v>3</v>
      </c>
      <c r="Z314">
        <v>2</v>
      </c>
      <c r="AA314">
        <v>1</v>
      </c>
      <c r="AB314">
        <v>2</v>
      </c>
      <c r="AC314">
        <v>2</v>
      </c>
      <c r="AD314">
        <v>2</v>
      </c>
      <c r="AE314">
        <v>2</v>
      </c>
      <c r="AF314">
        <v>0</v>
      </c>
      <c r="AG314">
        <f>IF(tbl_HR_Data[[#This Row],[Gender]]="Male",1,0)</f>
        <v>1</v>
      </c>
      <c r="AH314" cm="1">
        <f t="array" ref="AH314">_xlfn.SWITCH(tbl_HR_Data[[#This Row],[BusinessTravel]], "Non-Travel", 0, "Travel_Rarely", 1, "Travel_Frequently", 2)</f>
        <v>1</v>
      </c>
      <c r="AI314" cm="1">
        <f t="array" ref="AI314">_xlfn.SWITCH(tbl_HR_Data[[#This Row],[MaritalStatus]],"Single",0,"Married",1,"Divorced",2)</f>
        <v>2</v>
      </c>
      <c r="AJ314">
        <f>IF(tbl_HR_Data[[#This Row],[OverTime]]=1,1,0)</f>
        <v>1</v>
      </c>
      <c r="AK314">
        <f>IF(tbl_HR_Data[[#This Row],[DistanceFromHome]]&gt;15,1,0)</f>
        <v>0</v>
      </c>
      <c r="AL314">
        <f>IF(tbl_HR_Data[[#This Row],[JobSatisfaction]]&lt;=2,1,0)</f>
        <v>0</v>
      </c>
      <c r="AM314">
        <f>IF(tbl_HR_Data[[#This Row],[MonthlyIncome]]&lt;$AT$2,1,0)</f>
        <v>1</v>
      </c>
      <c r="AN314">
        <f>IF(tbl_HR_Data[[#This Row],[Travel_Code]]=2,1,0)</f>
        <v>0</v>
      </c>
      <c r="AO314">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314" s="15">
        <f>tbl_HR_Data[[#This Row],[Risk_Score_Raw]] / SUM(Logic_Parameters!$B$2:$B$6)</f>
        <v>0.56827453040563214</v>
      </c>
      <c r="AQ314" s="16" t="str" cm="1">
        <f t="array" ref="AQ314">_xlfn.IFS(tbl_HR_Data[[#This Row],[Attrition_Risk_Percentage]] &gt;= 0.75, "Critical",tbl_HR_Data[ [#This Row],[Attrition_Risk_Percentage] ]&gt;= 0.5, "High",tbl_HR_Data[[#This Row],[Attrition_Risk_Percentage]] &gt;= 0.25, "Medium",TRUE, "Low")</f>
        <v>High</v>
      </c>
      <c r="AR314" s="16" cm="1">
        <f t="array" ref="AR314">IFERROR(_xlfn.IFS(tbl_HR_Data[[#This Row],[Risk_Category]]="Critical",tbl_HR_Data[[#This Row],[MonthlyIncome]]*1.5,tbl_HR_Data[[#This Row],[Risk_Category]]="High",tbl_HR_Data[[#This Row],[MonthlyIncome]]*1.5),0)</f>
        <v>4042.5</v>
      </c>
    </row>
    <row r="315" spans="1:44" x14ac:dyDescent="0.35">
      <c r="A315" t="s">
        <v>875</v>
      </c>
      <c r="B315">
        <v>33</v>
      </c>
      <c r="C315" t="s">
        <v>37</v>
      </c>
      <c r="D315">
        <v>553</v>
      </c>
      <c r="E315" t="s">
        <v>38</v>
      </c>
      <c r="F315">
        <v>5</v>
      </c>
      <c r="G315">
        <v>4</v>
      </c>
      <c r="H315" t="s">
        <v>33</v>
      </c>
      <c r="I315">
        <v>4</v>
      </c>
      <c r="J315" t="s">
        <v>34</v>
      </c>
      <c r="K315">
        <v>74</v>
      </c>
      <c r="L315">
        <v>3</v>
      </c>
      <c r="M315">
        <v>3</v>
      </c>
      <c r="N315" t="s">
        <v>48</v>
      </c>
      <c r="O315">
        <v>2</v>
      </c>
      <c r="P315" t="s">
        <v>41</v>
      </c>
      <c r="Q315">
        <v>11878</v>
      </c>
      <c r="R315">
        <v>23364</v>
      </c>
      <c r="S315">
        <v>6</v>
      </c>
      <c r="T315">
        <v>0</v>
      </c>
      <c r="U315" s="17">
        <v>0.11</v>
      </c>
      <c r="V315">
        <v>3</v>
      </c>
      <c r="W315">
        <v>2</v>
      </c>
      <c r="X315">
        <v>2</v>
      </c>
      <c r="Y315">
        <v>12</v>
      </c>
      <c r="Z315">
        <v>2</v>
      </c>
      <c r="AA315">
        <v>3</v>
      </c>
      <c r="AB315">
        <v>10</v>
      </c>
      <c r="AC315">
        <v>6</v>
      </c>
      <c r="AD315">
        <v>8</v>
      </c>
      <c r="AE315">
        <v>8</v>
      </c>
      <c r="AF315">
        <v>0</v>
      </c>
      <c r="AG315">
        <f>IF(tbl_HR_Data[[#This Row],[Gender]]="Male",1,0)</f>
        <v>0</v>
      </c>
      <c r="AH315" cm="1">
        <f t="array" ref="AH315">_xlfn.SWITCH(tbl_HR_Data[[#This Row],[BusinessTravel]], "Non-Travel", 0, "Travel_Rarely", 1, "Travel_Frequently", 2)</f>
        <v>2</v>
      </c>
      <c r="AI315" cm="1">
        <f t="array" ref="AI315">_xlfn.SWITCH(tbl_HR_Data[[#This Row],[MaritalStatus]],"Single",0,"Married",1,"Divorced",2)</f>
        <v>1</v>
      </c>
      <c r="AJ315">
        <f>IF(tbl_HR_Data[[#This Row],[OverTime]]=1,1,0)</f>
        <v>0</v>
      </c>
      <c r="AK315">
        <f>IF(tbl_HR_Data[[#This Row],[DistanceFromHome]]&gt;15,1,0)</f>
        <v>0</v>
      </c>
      <c r="AL315">
        <f>IF(tbl_HR_Data[[#This Row],[JobSatisfaction]]&lt;=2,1,0)</f>
        <v>1</v>
      </c>
      <c r="AM315">
        <f>IF(tbl_HR_Data[[#This Row],[MonthlyIncome]]&lt;$AT$2,1,0)</f>
        <v>0</v>
      </c>
      <c r="AN315">
        <f>IF(tbl_HR_Data[[#This Row],[Travel_Code]]=2,1,0)</f>
        <v>1</v>
      </c>
      <c r="AO315">
        <f>(tbl_HR_Data[[#This Row],[Flag_OT]] * Logic_Parameters!$B$2) +
 (tbl_HR_Data[[#This Row],[Flag_Travel]] * Logic_Parameters!$B$3) +
 (tbl_HR_Data[[#This Row],[Flag_Satisfaction]] * Logic_Parameters!$B$4) +
 (tbl_HR_Data[[#This Row],[Flag_Distance]]* Logic_Parameters!$B$5) +
 (tbl_HR_Data[[#This Row],[Flag_Income]] * Logic_Parameters!$B$6)</f>
        <v>9.3649231104683075</v>
      </c>
      <c r="AP315" s="15">
        <f>tbl_HR_Data[[#This Row],[Risk_Score_Raw]] / SUM(Logic_Parameters!$B$2:$B$6)</f>
        <v>0.32264513691726432</v>
      </c>
      <c r="AQ315" s="16" t="str" cm="1">
        <f t="array" ref="AQ315">_xlfn.IFS(tbl_HR_Data[[#This Row],[Attrition_Risk_Percentage]] &gt;= 0.75, "Critical",tbl_HR_Data[ [#This Row],[Attrition_Risk_Percentage] ]&gt;= 0.5, "High",tbl_HR_Data[[#This Row],[Attrition_Risk_Percentage]] &gt;= 0.25, "Medium",TRUE, "Low")</f>
        <v>Medium</v>
      </c>
      <c r="AR315" s="16" cm="1">
        <f t="array" ref="AR315">IFERROR(_xlfn.IFS(tbl_HR_Data[[#This Row],[Risk_Category]]="Critical",tbl_HR_Data[[#This Row],[MonthlyIncome]]*1.5,tbl_HR_Data[[#This Row],[Risk_Category]]="High",tbl_HR_Data[[#This Row],[MonthlyIncome]]*1.5),0)</f>
        <v>0</v>
      </c>
    </row>
    <row r="316" spans="1:44" x14ac:dyDescent="0.35">
      <c r="A316" t="s">
        <v>86</v>
      </c>
      <c r="B316">
        <v>39</v>
      </c>
      <c r="C316" t="s">
        <v>31</v>
      </c>
      <c r="D316">
        <v>117</v>
      </c>
      <c r="E316" t="s">
        <v>38</v>
      </c>
      <c r="F316">
        <v>10</v>
      </c>
      <c r="G316">
        <v>1</v>
      </c>
      <c r="H316" t="s">
        <v>44</v>
      </c>
      <c r="I316">
        <v>3</v>
      </c>
      <c r="J316" t="s">
        <v>39</v>
      </c>
      <c r="K316">
        <v>99</v>
      </c>
      <c r="L316">
        <v>3</v>
      </c>
      <c r="M316">
        <v>4</v>
      </c>
      <c r="N316" t="s">
        <v>48</v>
      </c>
      <c r="O316">
        <v>1</v>
      </c>
      <c r="P316" t="s">
        <v>41</v>
      </c>
      <c r="Q316">
        <v>17068</v>
      </c>
      <c r="R316">
        <v>5355</v>
      </c>
      <c r="S316">
        <v>1</v>
      </c>
      <c r="T316">
        <v>1</v>
      </c>
      <c r="U316" s="17">
        <v>0.14000000000000001</v>
      </c>
      <c r="V316">
        <v>3</v>
      </c>
      <c r="W316">
        <v>4</v>
      </c>
      <c r="X316">
        <v>0</v>
      </c>
      <c r="Y316">
        <v>21</v>
      </c>
      <c r="Z316">
        <v>3</v>
      </c>
      <c r="AA316">
        <v>3</v>
      </c>
      <c r="AB316">
        <v>21</v>
      </c>
      <c r="AC316">
        <v>9</v>
      </c>
      <c r="AD316">
        <v>11</v>
      </c>
      <c r="AE316">
        <v>10</v>
      </c>
      <c r="AF316">
        <v>0</v>
      </c>
      <c r="AG316">
        <f>IF(tbl_HR_Data[[#This Row],[Gender]]="Male",1,0)</f>
        <v>1</v>
      </c>
      <c r="AH316" cm="1">
        <f t="array" ref="AH316">_xlfn.SWITCH(tbl_HR_Data[[#This Row],[BusinessTravel]], "Non-Travel", 0, "Travel_Rarely", 1, "Travel_Frequently", 2)</f>
        <v>1</v>
      </c>
      <c r="AI316" cm="1">
        <f t="array" ref="AI316">_xlfn.SWITCH(tbl_HR_Data[[#This Row],[MaritalStatus]],"Single",0,"Married",1,"Divorced",2)</f>
        <v>1</v>
      </c>
      <c r="AJ316">
        <f>IF(tbl_HR_Data[[#This Row],[OverTime]]=1,1,0)</f>
        <v>1</v>
      </c>
      <c r="AK316">
        <f>IF(tbl_HR_Data[[#This Row],[DistanceFromHome]]&gt;15,1,0)</f>
        <v>0</v>
      </c>
      <c r="AL316">
        <f>IF(tbl_HR_Data[[#This Row],[JobSatisfaction]]&lt;=2,1,0)</f>
        <v>1</v>
      </c>
      <c r="AM316">
        <f>IF(tbl_HR_Data[[#This Row],[MonthlyIncome]]&lt;$AT$2,1,0)</f>
        <v>0</v>
      </c>
      <c r="AN316">
        <f>IF(tbl_HR_Data[[#This Row],[Travel_Code]]=2,1,0)</f>
        <v>0</v>
      </c>
      <c r="AO316">
        <f>(tbl_HR_Data[[#This Row],[Flag_OT]] * Logic_Parameters!$B$2) +
 (tbl_HR_Data[[#This Row],[Flag_Travel]] * Logic_Parameters!$B$3) +
 (tbl_HR_Data[[#This Row],[Flag_Satisfaction]] * Logic_Parameters!$B$4) +
 (tbl_HR_Data[[#This Row],[Flag_Distance]]* Logic_Parameters!$B$5) +
 (tbl_HR_Data[[#This Row],[Flag_Income]] * Logic_Parameters!$B$6)</f>
        <v>14.204533129978131</v>
      </c>
      <c r="AP316" s="15">
        <f>tbl_HR_Data[[#This Row],[Risk_Score_Raw]] / SUM(Logic_Parameters!$B$2:$B$6)</f>
        <v>0.48938186491297625</v>
      </c>
      <c r="AQ316" s="16" t="str" cm="1">
        <f t="array" ref="AQ316">_xlfn.IFS(tbl_HR_Data[[#This Row],[Attrition_Risk_Percentage]] &gt;= 0.75, "Critical",tbl_HR_Data[ [#This Row],[Attrition_Risk_Percentage] ]&gt;= 0.5, "High",tbl_HR_Data[[#This Row],[Attrition_Risk_Percentage]] &gt;= 0.25, "Medium",TRUE, "Low")</f>
        <v>Medium</v>
      </c>
      <c r="AR316" s="16" cm="1">
        <f t="array" ref="AR316">IFERROR(_xlfn.IFS(tbl_HR_Data[[#This Row],[Risk_Category]]="Critical",tbl_HR_Data[[#This Row],[MonthlyIncome]]*1.5,tbl_HR_Data[[#This Row],[Risk_Category]]="High",tbl_HR_Data[[#This Row],[MonthlyIncome]]*1.5),0)</f>
        <v>0</v>
      </c>
    </row>
    <row r="317" spans="1:44" x14ac:dyDescent="0.35">
      <c r="A317" t="s">
        <v>192</v>
      </c>
      <c r="B317">
        <v>43</v>
      </c>
      <c r="C317" t="s">
        <v>37</v>
      </c>
      <c r="D317">
        <v>185</v>
      </c>
      <c r="E317" t="s">
        <v>38</v>
      </c>
      <c r="F317">
        <v>10</v>
      </c>
      <c r="G317">
        <v>4</v>
      </c>
      <c r="H317" t="s">
        <v>33</v>
      </c>
      <c r="I317">
        <v>3</v>
      </c>
      <c r="J317" t="s">
        <v>34</v>
      </c>
      <c r="K317">
        <v>33</v>
      </c>
      <c r="L317">
        <v>3</v>
      </c>
      <c r="M317">
        <v>1</v>
      </c>
      <c r="N317" t="s">
        <v>43</v>
      </c>
      <c r="O317">
        <v>4</v>
      </c>
      <c r="P317" t="s">
        <v>36</v>
      </c>
      <c r="Q317">
        <v>2455</v>
      </c>
      <c r="R317">
        <v>10675</v>
      </c>
      <c r="S317">
        <v>0</v>
      </c>
      <c r="T317">
        <v>0</v>
      </c>
      <c r="U317" s="17">
        <v>0.19</v>
      </c>
      <c r="V317">
        <v>3</v>
      </c>
      <c r="W317">
        <v>1</v>
      </c>
      <c r="X317">
        <v>0</v>
      </c>
      <c r="Y317">
        <v>9</v>
      </c>
      <c r="Z317">
        <v>5</v>
      </c>
      <c r="AA317">
        <v>3</v>
      </c>
      <c r="AB317">
        <v>8</v>
      </c>
      <c r="AC317">
        <v>7</v>
      </c>
      <c r="AD317">
        <v>1</v>
      </c>
      <c r="AE317">
        <v>7</v>
      </c>
      <c r="AF317">
        <v>0</v>
      </c>
      <c r="AG317">
        <f>IF(tbl_HR_Data[[#This Row],[Gender]]="Male",1,0)</f>
        <v>0</v>
      </c>
      <c r="AH317" cm="1">
        <f t="array" ref="AH317">_xlfn.SWITCH(tbl_HR_Data[[#This Row],[BusinessTravel]], "Non-Travel", 0, "Travel_Rarely", 1, "Travel_Frequently", 2)</f>
        <v>2</v>
      </c>
      <c r="AI317" cm="1">
        <f t="array" ref="AI317">_xlfn.SWITCH(tbl_HR_Data[[#This Row],[MaritalStatus]],"Single",0,"Married",1,"Divorced",2)</f>
        <v>0</v>
      </c>
      <c r="AJ317">
        <f>IF(tbl_HR_Data[[#This Row],[OverTime]]=1,1,0)</f>
        <v>0</v>
      </c>
      <c r="AK317">
        <f>IF(tbl_HR_Data[[#This Row],[DistanceFromHome]]&gt;15,1,0)</f>
        <v>0</v>
      </c>
      <c r="AL317">
        <f>IF(tbl_HR_Data[[#This Row],[JobSatisfaction]]&lt;=2,1,0)</f>
        <v>0</v>
      </c>
      <c r="AM317">
        <f>IF(tbl_HR_Data[[#This Row],[MonthlyIncome]]&lt;$AT$2,1,0)</f>
        <v>1</v>
      </c>
      <c r="AN317">
        <f>IF(tbl_HR_Data[[#This Row],[Travel_Code]]=2,1,0)</f>
        <v>1</v>
      </c>
      <c r="AO317">
        <f>(tbl_HR_Data[[#This Row],[Flag_OT]] * Logic_Parameters!$B$2) +
 (tbl_HR_Data[[#This Row],[Flag_Travel]] * Logic_Parameters!$B$3) +
 (tbl_HR_Data[[#This Row],[Flag_Satisfaction]] * Logic_Parameters!$B$4) +
 (tbl_HR_Data[[#This Row],[Flag_Distance]]* Logic_Parameters!$B$5) +
 (tbl_HR_Data[[#This Row],[Flag_Income]] * Logic_Parameters!$B$6)</f>
        <v>11.654818917911005</v>
      </c>
      <c r="AP317" s="15">
        <f>tbl_HR_Data[[#This Row],[Risk_Score_Raw]] / SUM(Logic_Parameters!$B$2:$B$6)</f>
        <v>0.40153780240992015</v>
      </c>
      <c r="AQ317" s="16" t="str" cm="1">
        <f t="array" ref="AQ317">_xlfn.IFS(tbl_HR_Data[[#This Row],[Attrition_Risk_Percentage]] &gt;= 0.75, "Critical",tbl_HR_Data[ [#This Row],[Attrition_Risk_Percentage] ]&gt;= 0.5, "High",tbl_HR_Data[[#This Row],[Attrition_Risk_Percentage]] &gt;= 0.25, "Medium",TRUE, "Low")</f>
        <v>Medium</v>
      </c>
      <c r="AR317" s="16" cm="1">
        <f t="array" ref="AR317">IFERROR(_xlfn.IFS(tbl_HR_Data[[#This Row],[Risk_Category]]="Critical",tbl_HR_Data[[#This Row],[MonthlyIncome]]*1.5,tbl_HR_Data[[#This Row],[Risk_Category]]="High",tbl_HR_Data[[#This Row],[MonthlyIncome]]*1.5),0)</f>
        <v>0</v>
      </c>
    </row>
    <row r="318" spans="1:44" x14ac:dyDescent="0.35">
      <c r="A318" t="s">
        <v>879</v>
      </c>
      <c r="B318">
        <v>49</v>
      </c>
      <c r="C318" t="s">
        <v>31</v>
      </c>
      <c r="D318">
        <v>1091</v>
      </c>
      <c r="E318" t="s">
        <v>38</v>
      </c>
      <c r="F318">
        <v>1</v>
      </c>
      <c r="G318">
        <v>2</v>
      </c>
      <c r="H318" t="s">
        <v>52</v>
      </c>
      <c r="I318">
        <v>3</v>
      </c>
      <c r="J318" t="s">
        <v>34</v>
      </c>
      <c r="K318">
        <v>90</v>
      </c>
      <c r="L318">
        <v>2</v>
      </c>
      <c r="M318">
        <v>4</v>
      </c>
      <c r="N318" t="s">
        <v>47</v>
      </c>
      <c r="O318">
        <v>3</v>
      </c>
      <c r="P318" t="s">
        <v>36</v>
      </c>
      <c r="Q318">
        <v>13964</v>
      </c>
      <c r="R318">
        <v>17810</v>
      </c>
      <c r="S318">
        <v>7</v>
      </c>
      <c r="T318">
        <v>1</v>
      </c>
      <c r="U318" s="17">
        <v>0.12</v>
      </c>
      <c r="V318">
        <v>3</v>
      </c>
      <c r="W318">
        <v>4</v>
      </c>
      <c r="X318">
        <v>0</v>
      </c>
      <c r="Y318">
        <v>25</v>
      </c>
      <c r="Z318">
        <v>2</v>
      </c>
      <c r="AA318">
        <v>3</v>
      </c>
      <c r="AB318">
        <v>7</v>
      </c>
      <c r="AC318">
        <v>1</v>
      </c>
      <c r="AD318">
        <v>0</v>
      </c>
      <c r="AE318">
        <v>7</v>
      </c>
      <c r="AF318">
        <v>0</v>
      </c>
      <c r="AG318">
        <f>IF(tbl_HR_Data[[#This Row],[Gender]]="Male",1,0)</f>
        <v>0</v>
      </c>
      <c r="AH318" cm="1">
        <f t="array" ref="AH318">_xlfn.SWITCH(tbl_HR_Data[[#This Row],[BusinessTravel]], "Non-Travel", 0, "Travel_Rarely", 1, "Travel_Frequently", 2)</f>
        <v>1</v>
      </c>
      <c r="AI318" cm="1">
        <f t="array" ref="AI318">_xlfn.SWITCH(tbl_HR_Data[[#This Row],[MaritalStatus]],"Single",0,"Married",1,"Divorced",2)</f>
        <v>0</v>
      </c>
      <c r="AJ318">
        <f>IF(tbl_HR_Data[[#This Row],[OverTime]]=1,1,0)</f>
        <v>1</v>
      </c>
      <c r="AK318">
        <f>IF(tbl_HR_Data[[#This Row],[DistanceFromHome]]&gt;15,1,0)</f>
        <v>0</v>
      </c>
      <c r="AL318">
        <f>IF(tbl_HR_Data[[#This Row],[JobSatisfaction]]&lt;=2,1,0)</f>
        <v>0</v>
      </c>
      <c r="AM318">
        <f>IF(tbl_HR_Data[[#This Row],[MonthlyIncome]]&lt;$AT$2,1,0)</f>
        <v>0</v>
      </c>
      <c r="AN318">
        <f>IF(tbl_HR_Data[[#This Row],[Travel_Code]]=2,1,0)</f>
        <v>0</v>
      </c>
      <c r="AO318">
        <f>(tbl_HR_Data[[#This Row],[Flag_OT]] * Logic_Parameters!$B$2) +
 (tbl_HR_Data[[#This Row],[Flag_Travel]] * Logic_Parameters!$B$3) +
 (tbl_HR_Data[[#This Row],[Flag_Satisfaction]] * Logic_Parameters!$B$4) +
 (tbl_HR_Data[[#This Row],[Flag_Distance]]* Logic_Parameters!$B$5) +
 (tbl_HR_Data[[#This Row],[Flag_Income]] * Logic_Parameters!$B$6)</f>
        <v>10</v>
      </c>
      <c r="AP318" s="15">
        <f>tbl_HR_Data[[#This Row],[Risk_Score_Raw]] / SUM(Logic_Parameters!$B$2:$B$6)</f>
        <v>0.3445251318258073</v>
      </c>
      <c r="AQ318" s="16" t="str" cm="1">
        <f t="array" ref="AQ318">_xlfn.IFS(tbl_HR_Data[[#This Row],[Attrition_Risk_Percentage]] &gt;= 0.75, "Critical",tbl_HR_Data[ [#This Row],[Attrition_Risk_Percentage] ]&gt;= 0.5, "High",tbl_HR_Data[[#This Row],[Attrition_Risk_Percentage]] &gt;= 0.25, "Medium",TRUE, "Low")</f>
        <v>Medium</v>
      </c>
      <c r="AR318" s="16" cm="1">
        <f t="array" ref="AR318">IFERROR(_xlfn.IFS(tbl_HR_Data[[#This Row],[Risk_Category]]="Critical",tbl_HR_Data[[#This Row],[MonthlyIncome]]*1.5,tbl_HR_Data[[#This Row],[Risk_Category]]="High",tbl_HR_Data[[#This Row],[MonthlyIncome]]*1.5),0)</f>
        <v>0</v>
      </c>
    </row>
    <row r="319" spans="1:44" x14ac:dyDescent="0.35">
      <c r="A319" t="s">
        <v>89</v>
      </c>
      <c r="B319">
        <v>52</v>
      </c>
      <c r="C319" t="s">
        <v>31</v>
      </c>
      <c r="D319">
        <v>723</v>
      </c>
      <c r="E319" t="s">
        <v>38</v>
      </c>
      <c r="F319">
        <v>8</v>
      </c>
      <c r="G319">
        <v>4</v>
      </c>
      <c r="H319" t="s">
        <v>44</v>
      </c>
      <c r="I319">
        <v>3</v>
      </c>
      <c r="J319" t="s">
        <v>39</v>
      </c>
      <c r="K319">
        <v>85</v>
      </c>
      <c r="L319">
        <v>2</v>
      </c>
      <c r="M319">
        <v>2</v>
      </c>
      <c r="N319" t="s">
        <v>40</v>
      </c>
      <c r="O319">
        <v>2</v>
      </c>
      <c r="P319" t="s">
        <v>41</v>
      </c>
      <c r="Q319">
        <v>4941</v>
      </c>
      <c r="R319">
        <v>17747</v>
      </c>
      <c r="S319">
        <v>2</v>
      </c>
      <c r="T319">
        <v>0</v>
      </c>
      <c r="U319" s="17">
        <v>0.15</v>
      </c>
      <c r="V319">
        <v>3</v>
      </c>
      <c r="W319">
        <v>1</v>
      </c>
      <c r="X319">
        <v>0</v>
      </c>
      <c r="Y319">
        <v>11</v>
      </c>
      <c r="Z319">
        <v>3</v>
      </c>
      <c r="AA319">
        <v>2</v>
      </c>
      <c r="AB319">
        <v>8</v>
      </c>
      <c r="AC319">
        <v>2</v>
      </c>
      <c r="AD319">
        <v>7</v>
      </c>
      <c r="AE319">
        <v>7</v>
      </c>
      <c r="AF319">
        <v>1</v>
      </c>
      <c r="AG319">
        <f>IF(tbl_HR_Data[[#This Row],[Gender]]="Male",1,0)</f>
        <v>1</v>
      </c>
      <c r="AH319" cm="1">
        <f t="array" ref="AH319">_xlfn.SWITCH(tbl_HR_Data[[#This Row],[BusinessTravel]], "Non-Travel", 0, "Travel_Rarely", 1, "Travel_Frequently", 2)</f>
        <v>1</v>
      </c>
      <c r="AI319" cm="1">
        <f t="array" ref="AI319">_xlfn.SWITCH(tbl_HR_Data[[#This Row],[MaritalStatus]],"Single",0,"Married",1,"Divorced",2)</f>
        <v>1</v>
      </c>
      <c r="AJ319">
        <f>IF(tbl_HR_Data[[#This Row],[OverTime]]=1,1,0)</f>
        <v>0</v>
      </c>
      <c r="AK319">
        <f>IF(tbl_HR_Data[[#This Row],[DistanceFromHome]]&gt;15,1,0)</f>
        <v>0</v>
      </c>
      <c r="AL319">
        <f>IF(tbl_HR_Data[[#This Row],[JobSatisfaction]]&lt;=2,1,0)</f>
        <v>1</v>
      </c>
      <c r="AM319">
        <f>IF(tbl_HR_Data[[#This Row],[MonthlyIncome]]&lt;$AT$2,1,0)</f>
        <v>0</v>
      </c>
      <c r="AN319">
        <f>IF(tbl_HR_Data[[#This Row],[Travel_Code]]=2,1,0)</f>
        <v>0</v>
      </c>
      <c r="AO319">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319" s="15">
        <f>tbl_HR_Data[[#This Row],[Risk_Score_Raw]] / SUM(Logic_Parameters!$B$2:$B$6)</f>
        <v>0.14485673308716898</v>
      </c>
      <c r="AQ319" s="16" t="str" cm="1">
        <f t="array" ref="AQ319">_xlfn.IFS(tbl_HR_Data[[#This Row],[Attrition_Risk_Percentage]] &gt;= 0.75, "Critical",tbl_HR_Data[ [#This Row],[Attrition_Risk_Percentage] ]&gt;= 0.5, "High",tbl_HR_Data[[#This Row],[Attrition_Risk_Percentage]] &gt;= 0.25, "Medium",TRUE, "Low")</f>
        <v>Low</v>
      </c>
      <c r="AR319" s="16" cm="1">
        <f t="array" ref="AR319">IFERROR(_xlfn.IFS(tbl_HR_Data[[#This Row],[Risk_Category]]="Critical",tbl_HR_Data[[#This Row],[MonthlyIncome]]*1.5,tbl_HR_Data[[#This Row],[Risk_Category]]="High",tbl_HR_Data[[#This Row],[MonthlyIncome]]*1.5),0)</f>
        <v>0</v>
      </c>
    </row>
    <row r="320" spans="1:44" x14ac:dyDescent="0.35">
      <c r="A320" t="s">
        <v>1073</v>
      </c>
      <c r="B320">
        <v>27</v>
      </c>
      <c r="C320" t="s">
        <v>31</v>
      </c>
      <c r="D320">
        <v>1220</v>
      </c>
      <c r="E320" t="s">
        <v>38</v>
      </c>
      <c r="F320">
        <v>5</v>
      </c>
      <c r="G320">
        <v>3</v>
      </c>
      <c r="H320" t="s">
        <v>33</v>
      </c>
      <c r="I320">
        <v>3</v>
      </c>
      <c r="J320" t="s">
        <v>34</v>
      </c>
      <c r="K320">
        <v>85</v>
      </c>
      <c r="L320">
        <v>3</v>
      </c>
      <c r="M320">
        <v>1</v>
      </c>
      <c r="N320" t="s">
        <v>40</v>
      </c>
      <c r="O320">
        <v>2</v>
      </c>
      <c r="P320" t="s">
        <v>36</v>
      </c>
      <c r="Q320">
        <v>2478</v>
      </c>
      <c r="R320">
        <v>20938</v>
      </c>
      <c r="S320">
        <v>1</v>
      </c>
      <c r="T320">
        <v>1</v>
      </c>
      <c r="U320" s="17">
        <v>0.12</v>
      </c>
      <c r="V320">
        <v>3</v>
      </c>
      <c r="W320">
        <v>2</v>
      </c>
      <c r="X320">
        <v>0</v>
      </c>
      <c r="Y320">
        <v>4</v>
      </c>
      <c r="Z320">
        <v>2</v>
      </c>
      <c r="AA320">
        <v>2</v>
      </c>
      <c r="AB320">
        <v>4</v>
      </c>
      <c r="AC320">
        <v>3</v>
      </c>
      <c r="AD320">
        <v>1</v>
      </c>
      <c r="AE320">
        <v>2</v>
      </c>
      <c r="AF320">
        <v>0</v>
      </c>
      <c r="AG320">
        <f>IF(tbl_HR_Data[[#This Row],[Gender]]="Male",1,0)</f>
        <v>0</v>
      </c>
      <c r="AH320" cm="1">
        <f t="array" ref="AH320">_xlfn.SWITCH(tbl_HR_Data[[#This Row],[BusinessTravel]], "Non-Travel", 0, "Travel_Rarely", 1, "Travel_Frequently", 2)</f>
        <v>1</v>
      </c>
      <c r="AI320" cm="1">
        <f t="array" ref="AI320">_xlfn.SWITCH(tbl_HR_Data[[#This Row],[MaritalStatus]],"Single",0,"Married",1,"Divorced",2)</f>
        <v>0</v>
      </c>
      <c r="AJ320">
        <f>IF(tbl_HR_Data[[#This Row],[OverTime]]=1,1,0)</f>
        <v>1</v>
      </c>
      <c r="AK320">
        <f>IF(tbl_HR_Data[[#This Row],[DistanceFromHome]]&gt;15,1,0)</f>
        <v>0</v>
      </c>
      <c r="AL320">
        <f>IF(tbl_HR_Data[[#This Row],[JobSatisfaction]]&lt;=2,1,0)</f>
        <v>1</v>
      </c>
      <c r="AM320">
        <f>IF(tbl_HR_Data[[#This Row],[MonthlyIncome]]&lt;$AT$2,1,0)</f>
        <v>1</v>
      </c>
      <c r="AN320">
        <f>IF(tbl_HR_Data[[#This Row],[Travel_Code]]=2,1,0)</f>
        <v>0</v>
      </c>
      <c r="AO320">
        <f>(tbl_HR_Data[[#This Row],[Flag_OT]] * Logic_Parameters!$B$2) +
 (tbl_HR_Data[[#This Row],[Flag_Travel]] * Logic_Parameters!$B$3) +
 (tbl_HR_Data[[#This Row],[Flag_Satisfaction]] * Logic_Parameters!$B$4) +
 (tbl_HR_Data[[#This Row],[Flag_Distance]]* Logic_Parameters!$B$5) +
 (tbl_HR_Data[[#This Row],[Flag_Income]] * Logic_Parameters!$B$6)</f>
        <v>20.698962067398959</v>
      </c>
      <c r="AP320" s="15">
        <f>tbl_HR_Data[[#This Row],[Risk_Score_Raw]] / SUM(Logic_Parameters!$B$2:$B$6)</f>
        <v>0.71313126349280109</v>
      </c>
      <c r="AQ320" s="16" t="str" cm="1">
        <f t="array" ref="AQ320">_xlfn.IFS(tbl_HR_Data[[#This Row],[Attrition_Risk_Percentage]] &gt;= 0.75, "Critical",tbl_HR_Data[ [#This Row],[Attrition_Risk_Percentage] ]&gt;= 0.5, "High",tbl_HR_Data[[#This Row],[Attrition_Risk_Percentage]] &gt;= 0.25, "Medium",TRUE, "Low")</f>
        <v>High</v>
      </c>
      <c r="AR320" s="16" cm="1">
        <f t="array" ref="AR320">IFERROR(_xlfn.IFS(tbl_HR_Data[[#This Row],[Risk_Category]]="Critical",tbl_HR_Data[[#This Row],[MonthlyIncome]]*1.5,tbl_HR_Data[[#This Row],[Risk_Category]]="High",tbl_HR_Data[[#This Row],[MonthlyIncome]]*1.5),0)</f>
        <v>3717</v>
      </c>
    </row>
    <row r="321" spans="1:44" x14ac:dyDescent="0.35">
      <c r="A321" t="s">
        <v>1263</v>
      </c>
      <c r="B321">
        <v>32</v>
      </c>
      <c r="C321" t="s">
        <v>31</v>
      </c>
      <c r="D321">
        <v>588</v>
      </c>
      <c r="E321" t="s">
        <v>32</v>
      </c>
      <c r="F321">
        <v>8</v>
      </c>
      <c r="G321">
        <v>2</v>
      </c>
      <c r="H321" t="s">
        <v>52</v>
      </c>
      <c r="I321">
        <v>3</v>
      </c>
      <c r="J321" t="s">
        <v>34</v>
      </c>
      <c r="K321">
        <v>65</v>
      </c>
      <c r="L321">
        <v>2</v>
      </c>
      <c r="M321">
        <v>2</v>
      </c>
      <c r="N321" t="s">
        <v>35</v>
      </c>
      <c r="O321">
        <v>2</v>
      </c>
      <c r="P321" t="s">
        <v>41</v>
      </c>
      <c r="Q321">
        <v>5228</v>
      </c>
      <c r="R321">
        <v>24624</v>
      </c>
      <c r="S321">
        <v>1</v>
      </c>
      <c r="T321">
        <v>1</v>
      </c>
      <c r="U321" s="17">
        <v>0.11</v>
      </c>
      <c r="V321">
        <v>3</v>
      </c>
      <c r="W321">
        <v>4</v>
      </c>
      <c r="X321">
        <v>0</v>
      </c>
      <c r="Y321">
        <v>13</v>
      </c>
      <c r="Z321">
        <v>2</v>
      </c>
      <c r="AA321">
        <v>3</v>
      </c>
      <c r="AB321">
        <v>13</v>
      </c>
      <c r="AC321">
        <v>12</v>
      </c>
      <c r="AD321">
        <v>11</v>
      </c>
      <c r="AE321">
        <v>9</v>
      </c>
      <c r="AF321">
        <v>0</v>
      </c>
      <c r="AG321">
        <f>IF(tbl_HR_Data[[#This Row],[Gender]]="Male",1,0)</f>
        <v>0</v>
      </c>
      <c r="AH321" cm="1">
        <f t="array" ref="AH321">_xlfn.SWITCH(tbl_HR_Data[[#This Row],[BusinessTravel]], "Non-Travel", 0, "Travel_Rarely", 1, "Travel_Frequently", 2)</f>
        <v>1</v>
      </c>
      <c r="AI321" cm="1">
        <f t="array" ref="AI321">_xlfn.SWITCH(tbl_HR_Data[[#This Row],[MaritalStatus]],"Single",0,"Married",1,"Divorced",2)</f>
        <v>1</v>
      </c>
      <c r="AJ321">
        <f>IF(tbl_HR_Data[[#This Row],[OverTime]]=1,1,0)</f>
        <v>1</v>
      </c>
      <c r="AK321">
        <f>IF(tbl_HR_Data[[#This Row],[DistanceFromHome]]&gt;15,1,0)</f>
        <v>0</v>
      </c>
      <c r="AL321">
        <f>IF(tbl_HR_Data[[#This Row],[JobSatisfaction]]&lt;=2,1,0)</f>
        <v>1</v>
      </c>
      <c r="AM321">
        <f>IF(tbl_HR_Data[[#This Row],[MonthlyIncome]]&lt;$AT$2,1,0)</f>
        <v>0</v>
      </c>
      <c r="AN321">
        <f>IF(tbl_HR_Data[[#This Row],[Travel_Code]]=2,1,0)</f>
        <v>0</v>
      </c>
      <c r="AO321">
        <f>(tbl_HR_Data[[#This Row],[Flag_OT]] * Logic_Parameters!$B$2) +
 (tbl_HR_Data[[#This Row],[Flag_Travel]] * Logic_Parameters!$B$3) +
 (tbl_HR_Data[[#This Row],[Flag_Satisfaction]] * Logic_Parameters!$B$4) +
 (tbl_HR_Data[[#This Row],[Flag_Distance]]* Logic_Parameters!$B$5) +
 (tbl_HR_Data[[#This Row],[Flag_Income]] * Logic_Parameters!$B$6)</f>
        <v>14.204533129978131</v>
      </c>
      <c r="AP321" s="15">
        <f>tbl_HR_Data[[#This Row],[Risk_Score_Raw]] / SUM(Logic_Parameters!$B$2:$B$6)</f>
        <v>0.48938186491297625</v>
      </c>
      <c r="AQ321" s="16" t="str" cm="1">
        <f t="array" ref="AQ321">_xlfn.IFS(tbl_HR_Data[[#This Row],[Attrition_Risk_Percentage]] &gt;= 0.75, "Critical",tbl_HR_Data[ [#This Row],[Attrition_Risk_Percentage] ]&gt;= 0.5, "High",tbl_HR_Data[[#This Row],[Attrition_Risk_Percentage]] &gt;= 0.25, "Medium",TRUE, "Low")</f>
        <v>Medium</v>
      </c>
      <c r="AR321" s="16" cm="1">
        <f t="array" ref="AR321">IFERROR(_xlfn.IFS(tbl_HR_Data[[#This Row],[Risk_Category]]="Critical",tbl_HR_Data[[#This Row],[MonthlyIncome]]*1.5,tbl_HR_Data[[#This Row],[Risk_Category]]="High",tbl_HR_Data[[#This Row],[MonthlyIncome]]*1.5),0)</f>
        <v>0</v>
      </c>
    </row>
    <row r="322" spans="1:44" x14ac:dyDescent="0.35">
      <c r="A322" t="s">
        <v>219</v>
      </c>
      <c r="B322">
        <v>27</v>
      </c>
      <c r="C322" t="s">
        <v>31</v>
      </c>
      <c r="D322">
        <v>1377</v>
      </c>
      <c r="E322" t="s">
        <v>32</v>
      </c>
      <c r="F322">
        <v>2</v>
      </c>
      <c r="G322">
        <v>3</v>
      </c>
      <c r="H322" t="s">
        <v>33</v>
      </c>
      <c r="I322">
        <v>4</v>
      </c>
      <c r="J322" t="s">
        <v>39</v>
      </c>
      <c r="K322">
        <v>74</v>
      </c>
      <c r="L322">
        <v>3</v>
      </c>
      <c r="M322">
        <v>2</v>
      </c>
      <c r="N322" t="s">
        <v>35</v>
      </c>
      <c r="O322">
        <v>3</v>
      </c>
      <c r="P322" t="s">
        <v>36</v>
      </c>
      <c r="Q322">
        <v>4478</v>
      </c>
      <c r="R322">
        <v>5242</v>
      </c>
      <c r="S322">
        <v>1</v>
      </c>
      <c r="T322">
        <v>1</v>
      </c>
      <c r="U322" s="17">
        <v>0.11</v>
      </c>
      <c r="V322">
        <v>3</v>
      </c>
      <c r="W322">
        <v>1</v>
      </c>
      <c r="X322">
        <v>0</v>
      </c>
      <c r="Y322">
        <v>5</v>
      </c>
      <c r="Z322">
        <v>3</v>
      </c>
      <c r="AA322">
        <v>3</v>
      </c>
      <c r="AB322">
        <v>5</v>
      </c>
      <c r="AC322">
        <v>4</v>
      </c>
      <c r="AD322">
        <v>0</v>
      </c>
      <c r="AE322">
        <v>4</v>
      </c>
      <c r="AF322">
        <v>0</v>
      </c>
      <c r="AG322">
        <f>IF(tbl_HR_Data[[#This Row],[Gender]]="Male",1,0)</f>
        <v>1</v>
      </c>
      <c r="AH322" cm="1">
        <f t="array" ref="AH322">_xlfn.SWITCH(tbl_HR_Data[[#This Row],[BusinessTravel]], "Non-Travel", 0, "Travel_Rarely", 1, "Travel_Frequently", 2)</f>
        <v>1</v>
      </c>
      <c r="AI322" cm="1">
        <f t="array" ref="AI322">_xlfn.SWITCH(tbl_HR_Data[[#This Row],[MaritalStatus]],"Single",0,"Married",1,"Divorced",2)</f>
        <v>0</v>
      </c>
      <c r="AJ322">
        <f>IF(tbl_HR_Data[[#This Row],[OverTime]]=1,1,0)</f>
        <v>1</v>
      </c>
      <c r="AK322">
        <f>IF(tbl_HR_Data[[#This Row],[DistanceFromHome]]&gt;15,1,0)</f>
        <v>0</v>
      </c>
      <c r="AL322">
        <f>IF(tbl_HR_Data[[#This Row],[JobSatisfaction]]&lt;=2,1,0)</f>
        <v>0</v>
      </c>
      <c r="AM322">
        <f>IF(tbl_HR_Data[[#This Row],[MonthlyIncome]]&lt;$AT$2,1,0)</f>
        <v>1</v>
      </c>
      <c r="AN322">
        <f>IF(tbl_HR_Data[[#This Row],[Travel_Code]]=2,1,0)</f>
        <v>0</v>
      </c>
      <c r="AO322">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322" s="15">
        <f>tbl_HR_Data[[#This Row],[Risk_Score_Raw]] / SUM(Logic_Parameters!$B$2:$B$6)</f>
        <v>0.56827453040563214</v>
      </c>
      <c r="AQ322" s="16" t="str" cm="1">
        <f t="array" ref="AQ322">_xlfn.IFS(tbl_HR_Data[[#This Row],[Attrition_Risk_Percentage]] &gt;= 0.75, "Critical",tbl_HR_Data[ [#This Row],[Attrition_Risk_Percentage] ]&gt;= 0.5, "High",tbl_HR_Data[[#This Row],[Attrition_Risk_Percentage]] &gt;= 0.25, "Medium",TRUE, "Low")</f>
        <v>High</v>
      </c>
      <c r="AR322" s="16" cm="1">
        <f t="array" ref="AR322">IFERROR(_xlfn.IFS(tbl_HR_Data[[#This Row],[Risk_Category]]="Critical",tbl_HR_Data[[#This Row],[MonthlyIncome]]*1.5,tbl_HR_Data[[#This Row],[Risk_Category]]="High",tbl_HR_Data[[#This Row],[MonthlyIncome]]*1.5),0)</f>
        <v>6717</v>
      </c>
    </row>
    <row r="323" spans="1:44" x14ac:dyDescent="0.35">
      <c r="A323" t="s">
        <v>420</v>
      </c>
      <c r="B323">
        <v>31</v>
      </c>
      <c r="C323" t="s">
        <v>31</v>
      </c>
      <c r="D323">
        <v>691</v>
      </c>
      <c r="E323" t="s">
        <v>32</v>
      </c>
      <c r="F323">
        <v>7</v>
      </c>
      <c r="G323">
        <v>3</v>
      </c>
      <c r="H323" t="s">
        <v>51</v>
      </c>
      <c r="I323">
        <v>4</v>
      </c>
      <c r="J323" t="s">
        <v>39</v>
      </c>
      <c r="K323">
        <v>73</v>
      </c>
      <c r="L323">
        <v>3</v>
      </c>
      <c r="M323">
        <v>2</v>
      </c>
      <c r="N323" t="s">
        <v>35</v>
      </c>
      <c r="O323">
        <v>4</v>
      </c>
      <c r="P323" t="s">
        <v>45</v>
      </c>
      <c r="Q323">
        <v>7547</v>
      </c>
      <c r="R323">
        <v>7143</v>
      </c>
      <c r="S323">
        <v>4</v>
      </c>
      <c r="T323">
        <v>0</v>
      </c>
      <c r="U323" s="17">
        <v>0.12</v>
      </c>
      <c r="V323">
        <v>3</v>
      </c>
      <c r="W323">
        <v>4</v>
      </c>
      <c r="X323">
        <v>3</v>
      </c>
      <c r="Y323">
        <v>13</v>
      </c>
      <c r="Z323">
        <v>3</v>
      </c>
      <c r="AA323">
        <v>3</v>
      </c>
      <c r="AB323">
        <v>7</v>
      </c>
      <c r="AC323">
        <v>7</v>
      </c>
      <c r="AD323">
        <v>1</v>
      </c>
      <c r="AE323">
        <v>7</v>
      </c>
      <c r="AF323">
        <v>0</v>
      </c>
      <c r="AG323">
        <f>IF(tbl_HR_Data[[#This Row],[Gender]]="Male",1,0)</f>
        <v>1</v>
      </c>
      <c r="AH323" cm="1">
        <f t="array" ref="AH323">_xlfn.SWITCH(tbl_HR_Data[[#This Row],[BusinessTravel]], "Non-Travel", 0, "Travel_Rarely", 1, "Travel_Frequently", 2)</f>
        <v>1</v>
      </c>
      <c r="AI323" cm="1">
        <f t="array" ref="AI323">_xlfn.SWITCH(tbl_HR_Data[[#This Row],[MaritalStatus]],"Single",0,"Married",1,"Divorced",2)</f>
        <v>2</v>
      </c>
      <c r="AJ323">
        <f>IF(tbl_HR_Data[[#This Row],[OverTime]]=1,1,0)</f>
        <v>0</v>
      </c>
      <c r="AK323">
        <f>IF(tbl_HR_Data[[#This Row],[DistanceFromHome]]&gt;15,1,0)</f>
        <v>0</v>
      </c>
      <c r="AL323">
        <f>IF(tbl_HR_Data[[#This Row],[JobSatisfaction]]&lt;=2,1,0)</f>
        <v>0</v>
      </c>
      <c r="AM323">
        <f>IF(tbl_HR_Data[[#This Row],[MonthlyIncome]]&lt;$AT$2,1,0)</f>
        <v>0</v>
      </c>
      <c r="AN323">
        <f>IF(tbl_HR_Data[[#This Row],[Travel_Code]]=2,1,0)</f>
        <v>0</v>
      </c>
      <c r="AO323">
        <f>(tbl_HR_Data[[#This Row],[Flag_OT]] * Logic_Parameters!$B$2) +
 (tbl_HR_Data[[#This Row],[Flag_Travel]] * Logic_Parameters!$B$3) +
 (tbl_HR_Data[[#This Row],[Flag_Satisfaction]] * Logic_Parameters!$B$4) +
 (tbl_HR_Data[[#This Row],[Flag_Distance]]* Logic_Parameters!$B$5) +
 (tbl_HR_Data[[#This Row],[Flag_Income]] * Logic_Parameters!$B$6)</f>
        <v>0</v>
      </c>
      <c r="AP323" s="15">
        <f>tbl_HR_Data[[#This Row],[Risk_Score_Raw]] / SUM(Logic_Parameters!$B$2:$B$6)</f>
        <v>0</v>
      </c>
      <c r="AQ323" s="16" t="str" cm="1">
        <f t="array" ref="AQ323">_xlfn.IFS(tbl_HR_Data[[#This Row],[Attrition_Risk_Percentage]] &gt;= 0.75, "Critical",tbl_HR_Data[ [#This Row],[Attrition_Risk_Percentage] ]&gt;= 0.5, "High",tbl_HR_Data[[#This Row],[Attrition_Risk_Percentage]] &gt;= 0.25, "Medium",TRUE, "Low")</f>
        <v>Low</v>
      </c>
      <c r="AR323" s="16" cm="1">
        <f t="array" ref="AR323">IFERROR(_xlfn.IFS(tbl_HR_Data[[#This Row],[Risk_Category]]="Critical",tbl_HR_Data[[#This Row],[MonthlyIncome]]*1.5,tbl_HR_Data[[#This Row],[Risk_Category]]="High",tbl_HR_Data[[#This Row],[MonthlyIncome]]*1.5),0)</f>
        <v>0</v>
      </c>
    </row>
    <row r="324" spans="1:44" x14ac:dyDescent="0.35">
      <c r="A324" t="s">
        <v>1051</v>
      </c>
      <c r="B324">
        <v>32</v>
      </c>
      <c r="C324" t="s">
        <v>31</v>
      </c>
      <c r="D324">
        <v>1018</v>
      </c>
      <c r="E324" t="s">
        <v>38</v>
      </c>
      <c r="F324">
        <v>2</v>
      </c>
      <c r="G324">
        <v>4</v>
      </c>
      <c r="H324" t="s">
        <v>44</v>
      </c>
      <c r="I324">
        <v>1</v>
      </c>
      <c r="J324" t="s">
        <v>34</v>
      </c>
      <c r="K324">
        <v>74</v>
      </c>
      <c r="L324">
        <v>4</v>
      </c>
      <c r="M324">
        <v>2</v>
      </c>
      <c r="N324" t="s">
        <v>40</v>
      </c>
      <c r="O324">
        <v>4</v>
      </c>
      <c r="P324" t="s">
        <v>36</v>
      </c>
      <c r="Q324">
        <v>5055</v>
      </c>
      <c r="R324">
        <v>10557</v>
      </c>
      <c r="S324">
        <v>7</v>
      </c>
      <c r="T324">
        <v>0</v>
      </c>
      <c r="U324" s="17">
        <v>0.16</v>
      </c>
      <c r="V324">
        <v>3</v>
      </c>
      <c r="W324">
        <v>3</v>
      </c>
      <c r="X324">
        <v>0</v>
      </c>
      <c r="Y324">
        <v>10</v>
      </c>
      <c r="Z324">
        <v>0</v>
      </c>
      <c r="AA324">
        <v>2</v>
      </c>
      <c r="AB324">
        <v>7</v>
      </c>
      <c r="AC324">
        <v>7</v>
      </c>
      <c r="AD324">
        <v>0</v>
      </c>
      <c r="AE324">
        <v>7</v>
      </c>
      <c r="AF324">
        <v>0</v>
      </c>
      <c r="AG324">
        <f>IF(tbl_HR_Data[[#This Row],[Gender]]="Male",1,0)</f>
        <v>0</v>
      </c>
      <c r="AH324" cm="1">
        <f t="array" ref="AH324">_xlfn.SWITCH(tbl_HR_Data[[#This Row],[BusinessTravel]], "Non-Travel", 0, "Travel_Rarely", 1, "Travel_Frequently", 2)</f>
        <v>1</v>
      </c>
      <c r="AI324" cm="1">
        <f t="array" ref="AI324">_xlfn.SWITCH(tbl_HR_Data[[#This Row],[MaritalStatus]],"Single",0,"Married",1,"Divorced",2)</f>
        <v>0</v>
      </c>
      <c r="AJ324">
        <f>IF(tbl_HR_Data[[#This Row],[OverTime]]=1,1,0)</f>
        <v>0</v>
      </c>
      <c r="AK324">
        <f>IF(tbl_HR_Data[[#This Row],[DistanceFromHome]]&gt;15,1,0)</f>
        <v>0</v>
      </c>
      <c r="AL324">
        <f>IF(tbl_HR_Data[[#This Row],[JobSatisfaction]]&lt;=2,1,0)</f>
        <v>0</v>
      </c>
      <c r="AM324">
        <f>IF(tbl_HR_Data[[#This Row],[MonthlyIncome]]&lt;$AT$2,1,0)</f>
        <v>0</v>
      </c>
      <c r="AN324">
        <f>IF(tbl_HR_Data[[#This Row],[Travel_Code]]=2,1,0)</f>
        <v>0</v>
      </c>
      <c r="AO324">
        <f>(tbl_HR_Data[[#This Row],[Flag_OT]] * Logic_Parameters!$B$2) +
 (tbl_HR_Data[[#This Row],[Flag_Travel]] * Logic_Parameters!$B$3) +
 (tbl_HR_Data[[#This Row],[Flag_Satisfaction]] * Logic_Parameters!$B$4) +
 (tbl_HR_Data[[#This Row],[Flag_Distance]]* Logic_Parameters!$B$5) +
 (tbl_HR_Data[[#This Row],[Flag_Income]] * Logic_Parameters!$B$6)</f>
        <v>0</v>
      </c>
      <c r="AP324" s="15">
        <f>tbl_HR_Data[[#This Row],[Risk_Score_Raw]] / SUM(Logic_Parameters!$B$2:$B$6)</f>
        <v>0</v>
      </c>
      <c r="AQ324" s="16" t="str" cm="1">
        <f t="array" ref="AQ324">_xlfn.IFS(tbl_HR_Data[[#This Row],[Attrition_Risk_Percentage]] &gt;= 0.75, "Critical",tbl_HR_Data[ [#This Row],[Attrition_Risk_Percentage] ]&gt;= 0.5, "High",tbl_HR_Data[[#This Row],[Attrition_Risk_Percentage]] &gt;= 0.25, "Medium",TRUE, "Low")</f>
        <v>Low</v>
      </c>
      <c r="AR324" s="16" cm="1">
        <f t="array" ref="AR324">IFERROR(_xlfn.IFS(tbl_HR_Data[[#This Row],[Risk_Category]]="Critical",tbl_HR_Data[[#This Row],[MonthlyIncome]]*1.5,tbl_HR_Data[[#This Row],[Risk_Category]]="High",tbl_HR_Data[[#This Row],[MonthlyIncome]]*1.5),0)</f>
        <v>0</v>
      </c>
    </row>
    <row r="325" spans="1:44" x14ac:dyDescent="0.35">
      <c r="A325" t="s">
        <v>1418</v>
      </c>
      <c r="B325">
        <v>28</v>
      </c>
      <c r="C325" t="s">
        <v>31</v>
      </c>
      <c r="D325">
        <v>1157</v>
      </c>
      <c r="E325" t="s">
        <v>38</v>
      </c>
      <c r="F325">
        <v>2</v>
      </c>
      <c r="G325">
        <v>4</v>
      </c>
      <c r="H325" t="s">
        <v>44</v>
      </c>
      <c r="I325">
        <v>1</v>
      </c>
      <c r="J325" t="s">
        <v>39</v>
      </c>
      <c r="K325">
        <v>84</v>
      </c>
      <c r="L325">
        <v>1</v>
      </c>
      <c r="M325">
        <v>1</v>
      </c>
      <c r="N325" t="s">
        <v>40</v>
      </c>
      <c r="O325">
        <v>4</v>
      </c>
      <c r="P325" t="s">
        <v>41</v>
      </c>
      <c r="Q325">
        <v>3464</v>
      </c>
      <c r="R325">
        <v>24737</v>
      </c>
      <c r="S325">
        <v>5</v>
      </c>
      <c r="T325">
        <v>1</v>
      </c>
      <c r="U325" s="17">
        <v>0.13</v>
      </c>
      <c r="V325">
        <v>3</v>
      </c>
      <c r="W325">
        <v>4</v>
      </c>
      <c r="X325">
        <v>0</v>
      </c>
      <c r="Y325">
        <v>5</v>
      </c>
      <c r="Z325">
        <v>4</v>
      </c>
      <c r="AA325">
        <v>2</v>
      </c>
      <c r="AB325">
        <v>3</v>
      </c>
      <c r="AC325">
        <v>2</v>
      </c>
      <c r="AD325">
        <v>2</v>
      </c>
      <c r="AE325">
        <v>2</v>
      </c>
      <c r="AF325">
        <v>1</v>
      </c>
      <c r="AG325">
        <f>IF(tbl_HR_Data[[#This Row],[Gender]]="Male",1,0)</f>
        <v>1</v>
      </c>
      <c r="AH325" cm="1">
        <f t="array" ref="AH325">_xlfn.SWITCH(tbl_HR_Data[[#This Row],[BusinessTravel]], "Non-Travel", 0, "Travel_Rarely", 1, "Travel_Frequently", 2)</f>
        <v>1</v>
      </c>
      <c r="AI325" cm="1">
        <f t="array" ref="AI325">_xlfn.SWITCH(tbl_HR_Data[[#This Row],[MaritalStatus]],"Single",0,"Married",1,"Divorced",2)</f>
        <v>1</v>
      </c>
      <c r="AJ325">
        <f>IF(tbl_HR_Data[[#This Row],[OverTime]]=1,1,0)</f>
        <v>1</v>
      </c>
      <c r="AK325">
        <f>IF(tbl_HR_Data[[#This Row],[DistanceFromHome]]&gt;15,1,0)</f>
        <v>0</v>
      </c>
      <c r="AL325">
        <f>IF(tbl_HR_Data[[#This Row],[JobSatisfaction]]&lt;=2,1,0)</f>
        <v>0</v>
      </c>
      <c r="AM325">
        <f>IF(tbl_HR_Data[[#This Row],[MonthlyIncome]]&lt;$AT$2,1,0)</f>
        <v>1</v>
      </c>
      <c r="AN325">
        <f>IF(tbl_HR_Data[[#This Row],[Travel_Code]]=2,1,0)</f>
        <v>0</v>
      </c>
      <c r="AO325">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325" s="15">
        <f>tbl_HR_Data[[#This Row],[Risk_Score_Raw]] / SUM(Logic_Parameters!$B$2:$B$6)</f>
        <v>0.56827453040563214</v>
      </c>
      <c r="AQ325" s="16" t="str" cm="1">
        <f t="array" ref="AQ325">_xlfn.IFS(tbl_HR_Data[[#This Row],[Attrition_Risk_Percentage]] &gt;= 0.75, "Critical",tbl_HR_Data[ [#This Row],[Attrition_Risk_Percentage] ]&gt;= 0.5, "High",tbl_HR_Data[[#This Row],[Attrition_Risk_Percentage]] &gt;= 0.25, "Medium",TRUE, "Low")</f>
        <v>High</v>
      </c>
      <c r="AR325" s="16" cm="1">
        <f t="array" ref="AR325">IFERROR(_xlfn.IFS(tbl_HR_Data[[#This Row],[Risk_Category]]="Critical",tbl_HR_Data[[#This Row],[MonthlyIncome]]*1.5,tbl_HR_Data[[#This Row],[Risk_Category]]="High",tbl_HR_Data[[#This Row],[MonthlyIncome]]*1.5),0)</f>
        <v>5196</v>
      </c>
    </row>
    <row r="326" spans="1:44" x14ac:dyDescent="0.35">
      <c r="A326" t="s">
        <v>129</v>
      </c>
      <c r="B326">
        <v>30</v>
      </c>
      <c r="C326" t="s">
        <v>31</v>
      </c>
      <c r="D326">
        <v>1275</v>
      </c>
      <c r="E326" t="s">
        <v>38</v>
      </c>
      <c r="F326">
        <v>28</v>
      </c>
      <c r="G326">
        <v>2</v>
      </c>
      <c r="H326" t="s">
        <v>44</v>
      </c>
      <c r="I326">
        <v>4</v>
      </c>
      <c r="J326" t="s">
        <v>34</v>
      </c>
      <c r="K326">
        <v>64</v>
      </c>
      <c r="L326">
        <v>3</v>
      </c>
      <c r="M326">
        <v>2</v>
      </c>
      <c r="N326" t="s">
        <v>40</v>
      </c>
      <c r="O326">
        <v>4</v>
      </c>
      <c r="P326" t="s">
        <v>41</v>
      </c>
      <c r="Q326">
        <v>5775</v>
      </c>
      <c r="R326">
        <v>11934</v>
      </c>
      <c r="S326">
        <v>1</v>
      </c>
      <c r="T326">
        <v>0</v>
      </c>
      <c r="U326" s="17">
        <v>0.13</v>
      </c>
      <c r="V326">
        <v>3</v>
      </c>
      <c r="W326">
        <v>4</v>
      </c>
      <c r="X326">
        <v>2</v>
      </c>
      <c r="Y326">
        <v>11</v>
      </c>
      <c r="Z326">
        <v>2</v>
      </c>
      <c r="AA326">
        <v>3</v>
      </c>
      <c r="AB326">
        <v>10</v>
      </c>
      <c r="AC326">
        <v>8</v>
      </c>
      <c r="AD326">
        <v>1</v>
      </c>
      <c r="AE326">
        <v>9</v>
      </c>
      <c r="AF326">
        <v>0</v>
      </c>
      <c r="AG326">
        <f>IF(tbl_HR_Data[[#This Row],[Gender]]="Male",1,0)</f>
        <v>0</v>
      </c>
      <c r="AH326" cm="1">
        <f t="array" ref="AH326">_xlfn.SWITCH(tbl_HR_Data[[#This Row],[BusinessTravel]], "Non-Travel", 0, "Travel_Rarely", 1, "Travel_Frequently", 2)</f>
        <v>1</v>
      </c>
      <c r="AI326" cm="1">
        <f t="array" ref="AI326">_xlfn.SWITCH(tbl_HR_Data[[#This Row],[MaritalStatus]],"Single",0,"Married",1,"Divorced",2)</f>
        <v>1</v>
      </c>
      <c r="AJ326">
        <f>IF(tbl_HR_Data[[#This Row],[OverTime]]=1,1,0)</f>
        <v>0</v>
      </c>
      <c r="AK326">
        <f>IF(tbl_HR_Data[[#This Row],[DistanceFromHome]]&gt;15,1,0)</f>
        <v>1</v>
      </c>
      <c r="AL326">
        <f>IF(tbl_HR_Data[[#This Row],[JobSatisfaction]]&lt;=2,1,0)</f>
        <v>0</v>
      </c>
      <c r="AM326">
        <f>IF(tbl_HR_Data[[#This Row],[MonthlyIncome]]&lt;$AT$2,1,0)</f>
        <v>0</v>
      </c>
      <c r="AN326">
        <f>IF(tbl_HR_Data[[#This Row],[Travel_Code]]=2,1,0)</f>
        <v>0</v>
      </c>
      <c r="AO326">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326" s="15">
        <f>tbl_HR_Data[[#This Row],[Risk_Score_Raw]] / SUM(Logic_Parameters!$B$2:$B$6)</f>
        <v>0.10908033267710357</v>
      </c>
      <c r="AQ326" s="16" t="str" cm="1">
        <f t="array" ref="AQ326">_xlfn.IFS(tbl_HR_Data[[#This Row],[Attrition_Risk_Percentage]] &gt;= 0.75, "Critical",tbl_HR_Data[ [#This Row],[Attrition_Risk_Percentage] ]&gt;= 0.5, "High",tbl_HR_Data[[#This Row],[Attrition_Risk_Percentage]] &gt;= 0.25, "Medium",TRUE, "Low")</f>
        <v>Low</v>
      </c>
      <c r="AR326" s="16" cm="1">
        <f t="array" ref="AR326">IFERROR(_xlfn.IFS(tbl_HR_Data[[#This Row],[Risk_Category]]="Critical",tbl_HR_Data[[#This Row],[MonthlyIncome]]*1.5,tbl_HR_Data[[#This Row],[Risk_Category]]="High",tbl_HR_Data[[#This Row],[MonthlyIncome]]*1.5),0)</f>
        <v>0</v>
      </c>
    </row>
    <row r="327" spans="1:44" x14ac:dyDescent="0.35">
      <c r="A327" t="s">
        <v>1278</v>
      </c>
      <c r="B327">
        <v>31</v>
      </c>
      <c r="C327" t="s">
        <v>37</v>
      </c>
      <c r="D327">
        <v>798</v>
      </c>
      <c r="E327" t="s">
        <v>38</v>
      </c>
      <c r="F327">
        <v>7</v>
      </c>
      <c r="G327">
        <v>2</v>
      </c>
      <c r="H327" t="s">
        <v>33</v>
      </c>
      <c r="I327">
        <v>3</v>
      </c>
      <c r="J327" t="s">
        <v>34</v>
      </c>
      <c r="K327">
        <v>48</v>
      </c>
      <c r="L327">
        <v>2</v>
      </c>
      <c r="M327">
        <v>3</v>
      </c>
      <c r="N327" t="s">
        <v>46</v>
      </c>
      <c r="O327">
        <v>3</v>
      </c>
      <c r="P327" t="s">
        <v>41</v>
      </c>
      <c r="Q327">
        <v>8943</v>
      </c>
      <c r="R327">
        <v>14034</v>
      </c>
      <c r="S327">
        <v>1</v>
      </c>
      <c r="T327">
        <v>0</v>
      </c>
      <c r="U327" s="17">
        <v>0.24</v>
      </c>
      <c r="V327">
        <v>4</v>
      </c>
      <c r="W327">
        <v>1</v>
      </c>
      <c r="X327">
        <v>1</v>
      </c>
      <c r="Y327">
        <v>10</v>
      </c>
      <c r="Z327">
        <v>2</v>
      </c>
      <c r="AA327">
        <v>3</v>
      </c>
      <c r="AB327">
        <v>10</v>
      </c>
      <c r="AC327">
        <v>9</v>
      </c>
      <c r="AD327">
        <v>8</v>
      </c>
      <c r="AE327">
        <v>9</v>
      </c>
      <c r="AF327">
        <v>0</v>
      </c>
      <c r="AG327">
        <f>IF(tbl_HR_Data[[#This Row],[Gender]]="Male",1,0)</f>
        <v>0</v>
      </c>
      <c r="AH327" cm="1">
        <f t="array" ref="AH327">_xlfn.SWITCH(tbl_HR_Data[[#This Row],[BusinessTravel]], "Non-Travel", 0, "Travel_Rarely", 1, "Travel_Frequently", 2)</f>
        <v>2</v>
      </c>
      <c r="AI327" cm="1">
        <f t="array" ref="AI327">_xlfn.SWITCH(tbl_HR_Data[[#This Row],[MaritalStatus]],"Single",0,"Married",1,"Divorced",2)</f>
        <v>1</v>
      </c>
      <c r="AJ327">
        <f>IF(tbl_HR_Data[[#This Row],[OverTime]]=1,1,0)</f>
        <v>0</v>
      </c>
      <c r="AK327">
        <f>IF(tbl_HR_Data[[#This Row],[DistanceFromHome]]&gt;15,1,0)</f>
        <v>0</v>
      </c>
      <c r="AL327">
        <f>IF(tbl_HR_Data[[#This Row],[JobSatisfaction]]&lt;=2,1,0)</f>
        <v>0</v>
      </c>
      <c r="AM327">
        <f>IF(tbl_HR_Data[[#This Row],[MonthlyIncome]]&lt;$AT$2,1,0)</f>
        <v>0</v>
      </c>
      <c r="AN327">
        <f>IF(tbl_HR_Data[[#This Row],[Travel_Code]]=2,1,0)</f>
        <v>1</v>
      </c>
      <c r="AO327">
        <f>(tbl_HR_Data[[#This Row],[Flag_OT]] * Logic_Parameters!$B$2) +
 (tbl_HR_Data[[#This Row],[Flag_Travel]] * Logic_Parameters!$B$3) +
 (tbl_HR_Data[[#This Row],[Flag_Satisfaction]] * Logic_Parameters!$B$4) +
 (tbl_HR_Data[[#This Row],[Flag_Distance]]* Logic_Parameters!$B$5) +
 (tbl_HR_Data[[#This Row],[Flag_Income]] * Logic_Parameters!$B$6)</f>
        <v>5.1603899804901765</v>
      </c>
      <c r="AP327" s="15">
        <f>tbl_HR_Data[[#This Row],[Risk_Score_Raw]] / SUM(Logic_Parameters!$B$2:$B$6)</f>
        <v>0.17778840383009531</v>
      </c>
      <c r="AQ327" s="16" t="str" cm="1">
        <f t="array" ref="AQ327">_xlfn.IFS(tbl_HR_Data[[#This Row],[Attrition_Risk_Percentage]] &gt;= 0.75, "Critical",tbl_HR_Data[ [#This Row],[Attrition_Risk_Percentage] ]&gt;= 0.5, "High",tbl_HR_Data[[#This Row],[Attrition_Risk_Percentage]] &gt;= 0.25, "Medium",TRUE, "Low")</f>
        <v>Low</v>
      </c>
      <c r="AR327" s="16" cm="1">
        <f t="array" ref="AR327">IFERROR(_xlfn.IFS(tbl_HR_Data[[#This Row],[Risk_Category]]="Critical",tbl_HR_Data[[#This Row],[MonthlyIncome]]*1.5,tbl_HR_Data[[#This Row],[Risk_Category]]="High",tbl_HR_Data[[#This Row],[MonthlyIncome]]*1.5),0)</f>
        <v>0</v>
      </c>
    </row>
    <row r="328" spans="1:44" x14ac:dyDescent="0.35">
      <c r="A328" t="s">
        <v>1298</v>
      </c>
      <c r="B328">
        <v>39</v>
      </c>
      <c r="C328" t="s">
        <v>37</v>
      </c>
      <c r="D328">
        <v>672</v>
      </c>
      <c r="E328" t="s">
        <v>38</v>
      </c>
      <c r="F328">
        <v>7</v>
      </c>
      <c r="G328">
        <v>2</v>
      </c>
      <c r="H328" t="s">
        <v>44</v>
      </c>
      <c r="I328">
        <v>3</v>
      </c>
      <c r="J328" t="s">
        <v>39</v>
      </c>
      <c r="K328">
        <v>54</v>
      </c>
      <c r="L328">
        <v>2</v>
      </c>
      <c r="M328">
        <v>5</v>
      </c>
      <c r="N328" t="s">
        <v>48</v>
      </c>
      <c r="O328">
        <v>4</v>
      </c>
      <c r="P328" t="s">
        <v>41</v>
      </c>
      <c r="Q328">
        <v>19272</v>
      </c>
      <c r="R328">
        <v>21141</v>
      </c>
      <c r="S328">
        <v>1</v>
      </c>
      <c r="T328">
        <v>0</v>
      </c>
      <c r="U328" s="17">
        <v>0.15</v>
      </c>
      <c r="V328">
        <v>3</v>
      </c>
      <c r="W328">
        <v>1</v>
      </c>
      <c r="X328">
        <v>1</v>
      </c>
      <c r="Y328">
        <v>21</v>
      </c>
      <c r="Z328">
        <v>2</v>
      </c>
      <c r="AA328">
        <v>3</v>
      </c>
      <c r="AB328">
        <v>21</v>
      </c>
      <c r="AC328">
        <v>9</v>
      </c>
      <c r="AD328">
        <v>13</v>
      </c>
      <c r="AE328">
        <v>3</v>
      </c>
      <c r="AF328">
        <v>0</v>
      </c>
      <c r="AG328">
        <f>IF(tbl_HR_Data[[#This Row],[Gender]]="Male",1,0)</f>
        <v>1</v>
      </c>
      <c r="AH328" cm="1">
        <f t="array" ref="AH328">_xlfn.SWITCH(tbl_HR_Data[[#This Row],[BusinessTravel]], "Non-Travel", 0, "Travel_Rarely", 1, "Travel_Frequently", 2)</f>
        <v>2</v>
      </c>
      <c r="AI328" cm="1">
        <f t="array" ref="AI328">_xlfn.SWITCH(tbl_HR_Data[[#This Row],[MaritalStatus]],"Single",0,"Married",1,"Divorced",2)</f>
        <v>1</v>
      </c>
      <c r="AJ328">
        <f>IF(tbl_HR_Data[[#This Row],[OverTime]]=1,1,0)</f>
        <v>0</v>
      </c>
      <c r="AK328">
        <f>IF(tbl_HR_Data[[#This Row],[DistanceFromHome]]&gt;15,1,0)</f>
        <v>0</v>
      </c>
      <c r="AL328">
        <f>IF(tbl_HR_Data[[#This Row],[JobSatisfaction]]&lt;=2,1,0)</f>
        <v>0</v>
      </c>
      <c r="AM328">
        <f>IF(tbl_HR_Data[[#This Row],[MonthlyIncome]]&lt;$AT$2,1,0)</f>
        <v>0</v>
      </c>
      <c r="AN328">
        <f>IF(tbl_HR_Data[[#This Row],[Travel_Code]]=2,1,0)</f>
        <v>1</v>
      </c>
      <c r="AO328">
        <f>(tbl_HR_Data[[#This Row],[Flag_OT]] * Logic_Parameters!$B$2) +
 (tbl_HR_Data[[#This Row],[Flag_Travel]] * Logic_Parameters!$B$3) +
 (tbl_HR_Data[[#This Row],[Flag_Satisfaction]] * Logic_Parameters!$B$4) +
 (tbl_HR_Data[[#This Row],[Flag_Distance]]* Logic_Parameters!$B$5) +
 (tbl_HR_Data[[#This Row],[Flag_Income]] * Logic_Parameters!$B$6)</f>
        <v>5.1603899804901765</v>
      </c>
      <c r="AP328" s="15">
        <f>tbl_HR_Data[[#This Row],[Risk_Score_Raw]] / SUM(Logic_Parameters!$B$2:$B$6)</f>
        <v>0.17778840383009531</v>
      </c>
      <c r="AQ328" s="16" t="str" cm="1">
        <f t="array" ref="AQ328">_xlfn.IFS(tbl_HR_Data[[#This Row],[Attrition_Risk_Percentage]] &gt;= 0.75, "Critical",tbl_HR_Data[ [#This Row],[Attrition_Risk_Percentage] ]&gt;= 0.5, "High",tbl_HR_Data[[#This Row],[Attrition_Risk_Percentage]] &gt;= 0.25, "Medium",TRUE, "Low")</f>
        <v>Low</v>
      </c>
      <c r="AR328" s="16" cm="1">
        <f t="array" ref="AR328">IFERROR(_xlfn.IFS(tbl_HR_Data[[#This Row],[Risk_Category]]="Critical",tbl_HR_Data[[#This Row],[MonthlyIncome]]*1.5,tbl_HR_Data[[#This Row],[Risk_Category]]="High",tbl_HR_Data[[#This Row],[MonthlyIncome]]*1.5),0)</f>
        <v>0</v>
      </c>
    </row>
    <row r="329" spans="1:44" x14ac:dyDescent="0.35">
      <c r="A329" t="s">
        <v>158</v>
      </c>
      <c r="B329">
        <v>39</v>
      </c>
      <c r="C329" t="s">
        <v>31</v>
      </c>
      <c r="D329">
        <v>1162</v>
      </c>
      <c r="E329" t="s">
        <v>32</v>
      </c>
      <c r="F329">
        <v>3</v>
      </c>
      <c r="G329">
        <v>2</v>
      </c>
      <c r="H329" t="s">
        <v>44</v>
      </c>
      <c r="I329">
        <v>4</v>
      </c>
      <c r="J329" t="s">
        <v>34</v>
      </c>
      <c r="K329">
        <v>41</v>
      </c>
      <c r="L329">
        <v>3</v>
      </c>
      <c r="M329">
        <v>2</v>
      </c>
      <c r="N329" t="s">
        <v>35</v>
      </c>
      <c r="O329">
        <v>3</v>
      </c>
      <c r="P329" t="s">
        <v>41</v>
      </c>
      <c r="Q329">
        <v>5238</v>
      </c>
      <c r="R329">
        <v>17778</v>
      </c>
      <c r="S329">
        <v>4</v>
      </c>
      <c r="T329">
        <v>1</v>
      </c>
      <c r="U329" s="17">
        <v>0.18</v>
      </c>
      <c r="V329">
        <v>3</v>
      </c>
      <c r="W329">
        <v>1</v>
      </c>
      <c r="X329">
        <v>0</v>
      </c>
      <c r="Y329">
        <v>12</v>
      </c>
      <c r="Z329">
        <v>3</v>
      </c>
      <c r="AA329">
        <v>2</v>
      </c>
      <c r="AB329">
        <v>1</v>
      </c>
      <c r="AC329">
        <v>0</v>
      </c>
      <c r="AD329">
        <v>0</v>
      </c>
      <c r="AE329">
        <v>0</v>
      </c>
      <c r="AF329">
        <v>1</v>
      </c>
      <c r="AG329">
        <f>IF(tbl_HR_Data[[#This Row],[Gender]]="Male",1,0)</f>
        <v>0</v>
      </c>
      <c r="AH329" cm="1">
        <f t="array" ref="AH329">_xlfn.SWITCH(tbl_HR_Data[[#This Row],[BusinessTravel]], "Non-Travel", 0, "Travel_Rarely", 1, "Travel_Frequently", 2)</f>
        <v>1</v>
      </c>
      <c r="AI329" cm="1">
        <f t="array" ref="AI329">_xlfn.SWITCH(tbl_HR_Data[[#This Row],[MaritalStatus]],"Single",0,"Married",1,"Divorced",2)</f>
        <v>1</v>
      </c>
      <c r="AJ329">
        <f>IF(tbl_HR_Data[[#This Row],[OverTime]]=1,1,0)</f>
        <v>1</v>
      </c>
      <c r="AK329">
        <f>IF(tbl_HR_Data[[#This Row],[DistanceFromHome]]&gt;15,1,0)</f>
        <v>0</v>
      </c>
      <c r="AL329">
        <f>IF(tbl_HR_Data[[#This Row],[JobSatisfaction]]&lt;=2,1,0)</f>
        <v>0</v>
      </c>
      <c r="AM329">
        <f>IF(tbl_HR_Data[[#This Row],[MonthlyIncome]]&lt;$AT$2,1,0)</f>
        <v>0</v>
      </c>
      <c r="AN329">
        <f>IF(tbl_HR_Data[[#This Row],[Travel_Code]]=2,1,0)</f>
        <v>0</v>
      </c>
      <c r="AO329">
        <f>(tbl_HR_Data[[#This Row],[Flag_OT]] * Logic_Parameters!$B$2) +
 (tbl_HR_Data[[#This Row],[Flag_Travel]] * Logic_Parameters!$B$3) +
 (tbl_HR_Data[[#This Row],[Flag_Satisfaction]] * Logic_Parameters!$B$4) +
 (tbl_HR_Data[[#This Row],[Flag_Distance]]* Logic_Parameters!$B$5) +
 (tbl_HR_Data[[#This Row],[Flag_Income]] * Logic_Parameters!$B$6)</f>
        <v>10</v>
      </c>
      <c r="AP329" s="15">
        <f>tbl_HR_Data[[#This Row],[Risk_Score_Raw]] / SUM(Logic_Parameters!$B$2:$B$6)</f>
        <v>0.3445251318258073</v>
      </c>
      <c r="AQ329" s="16" t="str" cm="1">
        <f t="array" ref="AQ329">_xlfn.IFS(tbl_HR_Data[[#This Row],[Attrition_Risk_Percentage]] &gt;= 0.75, "Critical",tbl_HR_Data[ [#This Row],[Attrition_Risk_Percentage] ]&gt;= 0.5, "High",tbl_HR_Data[[#This Row],[Attrition_Risk_Percentage]] &gt;= 0.25, "Medium",TRUE, "Low")</f>
        <v>Medium</v>
      </c>
      <c r="AR329" s="16" cm="1">
        <f t="array" ref="AR329">IFERROR(_xlfn.IFS(tbl_HR_Data[[#This Row],[Risk_Category]]="Critical",tbl_HR_Data[[#This Row],[MonthlyIncome]]*1.5,tbl_HR_Data[[#This Row],[Risk_Category]]="High",tbl_HR_Data[[#This Row],[MonthlyIncome]]*1.5),0)</f>
        <v>0</v>
      </c>
    </row>
    <row r="330" spans="1:44" x14ac:dyDescent="0.35">
      <c r="A330" t="s">
        <v>377</v>
      </c>
      <c r="B330">
        <v>33</v>
      </c>
      <c r="C330" t="s">
        <v>37</v>
      </c>
      <c r="D330">
        <v>508</v>
      </c>
      <c r="E330" t="s">
        <v>32</v>
      </c>
      <c r="F330">
        <v>10</v>
      </c>
      <c r="G330">
        <v>3</v>
      </c>
      <c r="H330" t="s">
        <v>51</v>
      </c>
      <c r="I330">
        <v>2</v>
      </c>
      <c r="J330" t="s">
        <v>39</v>
      </c>
      <c r="K330">
        <v>46</v>
      </c>
      <c r="L330">
        <v>2</v>
      </c>
      <c r="M330">
        <v>2</v>
      </c>
      <c r="N330" t="s">
        <v>35</v>
      </c>
      <c r="O330">
        <v>4</v>
      </c>
      <c r="P330" t="s">
        <v>36</v>
      </c>
      <c r="Q330">
        <v>4682</v>
      </c>
      <c r="R330">
        <v>4317</v>
      </c>
      <c r="S330">
        <v>3</v>
      </c>
      <c r="T330">
        <v>0</v>
      </c>
      <c r="U330" s="17">
        <v>0.14000000000000001</v>
      </c>
      <c r="V330">
        <v>3</v>
      </c>
      <c r="W330">
        <v>3</v>
      </c>
      <c r="X330">
        <v>0</v>
      </c>
      <c r="Y330">
        <v>9</v>
      </c>
      <c r="Z330">
        <v>6</v>
      </c>
      <c r="AA330">
        <v>2</v>
      </c>
      <c r="AB330">
        <v>7</v>
      </c>
      <c r="AC330">
        <v>7</v>
      </c>
      <c r="AD330">
        <v>0</v>
      </c>
      <c r="AE330">
        <v>1</v>
      </c>
      <c r="AF330">
        <v>0</v>
      </c>
      <c r="AG330">
        <f>IF(tbl_HR_Data[[#This Row],[Gender]]="Male",1,0)</f>
        <v>1</v>
      </c>
      <c r="AH330" cm="1">
        <f t="array" ref="AH330">_xlfn.SWITCH(tbl_HR_Data[[#This Row],[BusinessTravel]], "Non-Travel", 0, "Travel_Rarely", 1, "Travel_Frequently", 2)</f>
        <v>2</v>
      </c>
      <c r="AI330" cm="1">
        <f t="array" ref="AI330">_xlfn.SWITCH(tbl_HR_Data[[#This Row],[MaritalStatus]],"Single",0,"Married",1,"Divorced",2)</f>
        <v>0</v>
      </c>
      <c r="AJ330">
        <f>IF(tbl_HR_Data[[#This Row],[OverTime]]=1,1,0)</f>
        <v>0</v>
      </c>
      <c r="AK330">
        <f>IF(tbl_HR_Data[[#This Row],[DistanceFromHome]]&gt;15,1,0)</f>
        <v>0</v>
      </c>
      <c r="AL330">
        <f>IF(tbl_HR_Data[[#This Row],[JobSatisfaction]]&lt;=2,1,0)</f>
        <v>0</v>
      </c>
      <c r="AM330">
        <f>IF(tbl_HR_Data[[#This Row],[MonthlyIncome]]&lt;$AT$2,1,0)</f>
        <v>1</v>
      </c>
      <c r="AN330">
        <f>IF(tbl_HR_Data[[#This Row],[Travel_Code]]=2,1,0)</f>
        <v>1</v>
      </c>
      <c r="AO330">
        <f>(tbl_HR_Data[[#This Row],[Flag_OT]] * Logic_Parameters!$B$2) +
 (tbl_HR_Data[[#This Row],[Flag_Travel]] * Logic_Parameters!$B$3) +
 (tbl_HR_Data[[#This Row],[Flag_Satisfaction]] * Logic_Parameters!$B$4) +
 (tbl_HR_Data[[#This Row],[Flag_Distance]]* Logic_Parameters!$B$5) +
 (tbl_HR_Data[[#This Row],[Flag_Income]] * Logic_Parameters!$B$6)</f>
        <v>11.654818917911005</v>
      </c>
      <c r="AP330" s="15">
        <f>tbl_HR_Data[[#This Row],[Risk_Score_Raw]] / SUM(Logic_Parameters!$B$2:$B$6)</f>
        <v>0.40153780240992015</v>
      </c>
      <c r="AQ330" s="16" t="str" cm="1">
        <f t="array" ref="AQ330">_xlfn.IFS(tbl_HR_Data[[#This Row],[Attrition_Risk_Percentage]] &gt;= 0.75, "Critical",tbl_HR_Data[ [#This Row],[Attrition_Risk_Percentage] ]&gt;= 0.5, "High",tbl_HR_Data[[#This Row],[Attrition_Risk_Percentage]] &gt;= 0.25, "Medium",TRUE, "Low")</f>
        <v>Medium</v>
      </c>
      <c r="AR330" s="16" cm="1">
        <f t="array" ref="AR330">IFERROR(_xlfn.IFS(tbl_HR_Data[[#This Row],[Risk_Category]]="Critical",tbl_HR_Data[[#This Row],[MonthlyIncome]]*1.5,tbl_HR_Data[[#This Row],[Risk_Category]]="High",tbl_HR_Data[[#This Row],[MonthlyIncome]]*1.5),0)</f>
        <v>0</v>
      </c>
    </row>
    <row r="331" spans="1:44" x14ac:dyDescent="0.35">
      <c r="A331" t="s">
        <v>667</v>
      </c>
      <c r="B331">
        <v>47</v>
      </c>
      <c r="C331" t="s">
        <v>31</v>
      </c>
      <c r="D331">
        <v>1482</v>
      </c>
      <c r="E331" t="s">
        <v>38</v>
      </c>
      <c r="F331">
        <v>5</v>
      </c>
      <c r="G331">
        <v>5</v>
      </c>
      <c r="H331" t="s">
        <v>33</v>
      </c>
      <c r="I331">
        <v>4</v>
      </c>
      <c r="J331" t="s">
        <v>39</v>
      </c>
      <c r="K331">
        <v>42</v>
      </c>
      <c r="L331">
        <v>3</v>
      </c>
      <c r="M331">
        <v>5</v>
      </c>
      <c r="N331" t="s">
        <v>50</v>
      </c>
      <c r="O331">
        <v>3</v>
      </c>
      <c r="P331" t="s">
        <v>41</v>
      </c>
      <c r="Q331">
        <v>18300</v>
      </c>
      <c r="R331">
        <v>16375</v>
      </c>
      <c r="S331">
        <v>4</v>
      </c>
      <c r="T331">
        <v>0</v>
      </c>
      <c r="U331" s="17">
        <v>0.11</v>
      </c>
      <c r="V331">
        <v>3</v>
      </c>
      <c r="W331">
        <v>2</v>
      </c>
      <c r="X331">
        <v>1</v>
      </c>
      <c r="Y331">
        <v>21</v>
      </c>
      <c r="Z331">
        <v>2</v>
      </c>
      <c r="AA331">
        <v>3</v>
      </c>
      <c r="AB331">
        <v>3</v>
      </c>
      <c r="AC331">
        <v>2</v>
      </c>
      <c r="AD331">
        <v>1</v>
      </c>
      <c r="AE331">
        <v>1</v>
      </c>
      <c r="AF331">
        <v>0</v>
      </c>
      <c r="AG331">
        <f>IF(tbl_HR_Data[[#This Row],[Gender]]="Male",1,0)</f>
        <v>1</v>
      </c>
      <c r="AH331" cm="1">
        <f t="array" ref="AH331">_xlfn.SWITCH(tbl_HR_Data[[#This Row],[BusinessTravel]], "Non-Travel", 0, "Travel_Rarely", 1, "Travel_Frequently", 2)</f>
        <v>1</v>
      </c>
      <c r="AI331" cm="1">
        <f t="array" ref="AI331">_xlfn.SWITCH(tbl_HR_Data[[#This Row],[MaritalStatus]],"Single",0,"Married",1,"Divorced",2)</f>
        <v>1</v>
      </c>
      <c r="AJ331">
        <f>IF(tbl_HR_Data[[#This Row],[OverTime]]=1,1,0)</f>
        <v>0</v>
      </c>
      <c r="AK331">
        <f>IF(tbl_HR_Data[[#This Row],[DistanceFromHome]]&gt;15,1,0)</f>
        <v>0</v>
      </c>
      <c r="AL331">
        <f>IF(tbl_HR_Data[[#This Row],[JobSatisfaction]]&lt;=2,1,0)</f>
        <v>0</v>
      </c>
      <c r="AM331">
        <f>IF(tbl_HR_Data[[#This Row],[MonthlyIncome]]&lt;$AT$2,1,0)</f>
        <v>0</v>
      </c>
      <c r="AN331">
        <f>IF(tbl_HR_Data[[#This Row],[Travel_Code]]=2,1,0)</f>
        <v>0</v>
      </c>
      <c r="AO331">
        <f>(tbl_HR_Data[[#This Row],[Flag_OT]] * Logic_Parameters!$B$2) +
 (tbl_HR_Data[[#This Row],[Flag_Travel]] * Logic_Parameters!$B$3) +
 (tbl_HR_Data[[#This Row],[Flag_Satisfaction]] * Logic_Parameters!$B$4) +
 (tbl_HR_Data[[#This Row],[Flag_Distance]]* Logic_Parameters!$B$5) +
 (tbl_HR_Data[[#This Row],[Flag_Income]] * Logic_Parameters!$B$6)</f>
        <v>0</v>
      </c>
      <c r="AP331" s="15">
        <f>tbl_HR_Data[[#This Row],[Risk_Score_Raw]] / SUM(Logic_Parameters!$B$2:$B$6)</f>
        <v>0</v>
      </c>
      <c r="AQ331" s="16" t="str" cm="1">
        <f t="array" ref="AQ331">_xlfn.IFS(tbl_HR_Data[[#This Row],[Attrition_Risk_Percentage]] &gt;= 0.75, "Critical",tbl_HR_Data[ [#This Row],[Attrition_Risk_Percentage] ]&gt;= 0.5, "High",tbl_HR_Data[[#This Row],[Attrition_Risk_Percentage]] &gt;= 0.25, "Medium",TRUE, "Low")</f>
        <v>Low</v>
      </c>
      <c r="AR331" s="16" cm="1">
        <f t="array" ref="AR331">IFERROR(_xlfn.IFS(tbl_HR_Data[[#This Row],[Risk_Category]]="Critical",tbl_HR_Data[[#This Row],[MonthlyIncome]]*1.5,tbl_HR_Data[[#This Row],[Risk_Category]]="High",tbl_HR_Data[[#This Row],[MonthlyIncome]]*1.5),0)</f>
        <v>0</v>
      </c>
    </row>
    <row r="332" spans="1:44" x14ac:dyDescent="0.35">
      <c r="A332" t="s">
        <v>734</v>
      </c>
      <c r="B332">
        <v>43</v>
      </c>
      <c r="C332" t="s">
        <v>37</v>
      </c>
      <c r="D332">
        <v>559</v>
      </c>
      <c r="E332" t="s">
        <v>38</v>
      </c>
      <c r="F332">
        <v>10</v>
      </c>
      <c r="G332">
        <v>4</v>
      </c>
      <c r="H332" t="s">
        <v>33</v>
      </c>
      <c r="I332">
        <v>3</v>
      </c>
      <c r="J332" t="s">
        <v>34</v>
      </c>
      <c r="K332">
        <v>82</v>
      </c>
      <c r="L332">
        <v>2</v>
      </c>
      <c r="M332">
        <v>2</v>
      </c>
      <c r="N332" t="s">
        <v>43</v>
      </c>
      <c r="O332">
        <v>3</v>
      </c>
      <c r="P332" t="s">
        <v>45</v>
      </c>
      <c r="Q332">
        <v>5257</v>
      </c>
      <c r="R332">
        <v>6227</v>
      </c>
      <c r="S332">
        <v>1</v>
      </c>
      <c r="T332">
        <v>0</v>
      </c>
      <c r="U332" s="17">
        <v>0.11</v>
      </c>
      <c r="V332">
        <v>3</v>
      </c>
      <c r="W332">
        <v>2</v>
      </c>
      <c r="X332">
        <v>1</v>
      </c>
      <c r="Y332">
        <v>9</v>
      </c>
      <c r="Z332">
        <v>3</v>
      </c>
      <c r="AA332">
        <v>4</v>
      </c>
      <c r="AB332">
        <v>9</v>
      </c>
      <c r="AC332">
        <v>7</v>
      </c>
      <c r="AD332">
        <v>0</v>
      </c>
      <c r="AE332">
        <v>0</v>
      </c>
      <c r="AF332">
        <v>0</v>
      </c>
      <c r="AG332">
        <f>IF(tbl_HR_Data[[#This Row],[Gender]]="Male",1,0)</f>
        <v>0</v>
      </c>
      <c r="AH332" cm="1">
        <f t="array" ref="AH332">_xlfn.SWITCH(tbl_HR_Data[[#This Row],[BusinessTravel]], "Non-Travel", 0, "Travel_Rarely", 1, "Travel_Frequently", 2)</f>
        <v>2</v>
      </c>
      <c r="AI332" cm="1">
        <f t="array" ref="AI332">_xlfn.SWITCH(tbl_HR_Data[[#This Row],[MaritalStatus]],"Single",0,"Married",1,"Divorced",2)</f>
        <v>2</v>
      </c>
      <c r="AJ332">
        <f>IF(tbl_HR_Data[[#This Row],[OverTime]]=1,1,0)</f>
        <v>0</v>
      </c>
      <c r="AK332">
        <f>IF(tbl_HR_Data[[#This Row],[DistanceFromHome]]&gt;15,1,0)</f>
        <v>0</v>
      </c>
      <c r="AL332">
        <f>IF(tbl_HR_Data[[#This Row],[JobSatisfaction]]&lt;=2,1,0)</f>
        <v>0</v>
      </c>
      <c r="AM332">
        <f>IF(tbl_HR_Data[[#This Row],[MonthlyIncome]]&lt;$AT$2,1,0)</f>
        <v>0</v>
      </c>
      <c r="AN332">
        <f>IF(tbl_HR_Data[[#This Row],[Travel_Code]]=2,1,0)</f>
        <v>1</v>
      </c>
      <c r="AO332">
        <f>(tbl_HR_Data[[#This Row],[Flag_OT]] * Logic_Parameters!$B$2) +
 (tbl_HR_Data[[#This Row],[Flag_Travel]] * Logic_Parameters!$B$3) +
 (tbl_HR_Data[[#This Row],[Flag_Satisfaction]] * Logic_Parameters!$B$4) +
 (tbl_HR_Data[[#This Row],[Flag_Distance]]* Logic_Parameters!$B$5) +
 (tbl_HR_Data[[#This Row],[Flag_Income]] * Logic_Parameters!$B$6)</f>
        <v>5.1603899804901765</v>
      </c>
      <c r="AP332" s="15">
        <f>tbl_HR_Data[[#This Row],[Risk_Score_Raw]] / SUM(Logic_Parameters!$B$2:$B$6)</f>
        <v>0.17778840383009531</v>
      </c>
      <c r="AQ332" s="16" t="str" cm="1">
        <f t="array" ref="AQ332">_xlfn.IFS(tbl_HR_Data[[#This Row],[Attrition_Risk_Percentage]] &gt;= 0.75, "Critical",tbl_HR_Data[ [#This Row],[Attrition_Risk_Percentage] ]&gt;= 0.5, "High",tbl_HR_Data[[#This Row],[Attrition_Risk_Percentage]] &gt;= 0.25, "Medium",TRUE, "Low")</f>
        <v>Low</v>
      </c>
      <c r="AR332" s="16" cm="1">
        <f t="array" ref="AR332">IFERROR(_xlfn.IFS(tbl_HR_Data[[#This Row],[Risk_Category]]="Critical",tbl_HR_Data[[#This Row],[MonthlyIncome]]*1.5,tbl_HR_Data[[#This Row],[Risk_Category]]="High",tbl_HR_Data[[#This Row],[MonthlyIncome]]*1.5),0)</f>
        <v>0</v>
      </c>
    </row>
    <row r="333" spans="1:44" x14ac:dyDescent="0.35">
      <c r="A333" t="s">
        <v>1071</v>
      </c>
      <c r="B333">
        <v>27</v>
      </c>
      <c r="C333" t="s">
        <v>1525</v>
      </c>
      <c r="D333">
        <v>210</v>
      </c>
      <c r="E333" t="s">
        <v>32</v>
      </c>
      <c r="F333">
        <v>1</v>
      </c>
      <c r="G333">
        <v>1</v>
      </c>
      <c r="H333" t="s">
        <v>51</v>
      </c>
      <c r="I333">
        <v>3</v>
      </c>
      <c r="J333" t="s">
        <v>39</v>
      </c>
      <c r="K333">
        <v>73</v>
      </c>
      <c r="L333">
        <v>3</v>
      </c>
      <c r="M333">
        <v>2</v>
      </c>
      <c r="N333" t="s">
        <v>35</v>
      </c>
      <c r="O333">
        <v>2</v>
      </c>
      <c r="P333" t="s">
        <v>41</v>
      </c>
      <c r="Q333">
        <v>6349</v>
      </c>
      <c r="R333">
        <v>22107</v>
      </c>
      <c r="S333">
        <v>0</v>
      </c>
      <c r="T333">
        <v>1</v>
      </c>
      <c r="U333" s="17">
        <v>0.13</v>
      </c>
      <c r="V333">
        <v>3</v>
      </c>
      <c r="W333">
        <v>4</v>
      </c>
      <c r="X333">
        <v>1</v>
      </c>
      <c r="Y333">
        <v>6</v>
      </c>
      <c r="Z333">
        <v>0</v>
      </c>
      <c r="AA333">
        <v>3</v>
      </c>
      <c r="AB333">
        <v>5</v>
      </c>
      <c r="AC333">
        <v>4</v>
      </c>
      <c r="AD333">
        <v>1</v>
      </c>
      <c r="AE333">
        <v>4</v>
      </c>
      <c r="AF333">
        <v>0</v>
      </c>
      <c r="AG333">
        <f>IF(tbl_HR_Data[[#This Row],[Gender]]="Male",1,0)</f>
        <v>1</v>
      </c>
      <c r="AH333" cm="1">
        <f t="array" ref="AH333">_xlfn.SWITCH(tbl_HR_Data[[#This Row],[BusinessTravel]], "Non-Travel", 0, "Travel_Rarely", 1, "Travel_Frequently", 2)</f>
        <v>0</v>
      </c>
      <c r="AI333" cm="1">
        <f t="array" ref="AI333">_xlfn.SWITCH(tbl_HR_Data[[#This Row],[MaritalStatus]],"Single",0,"Married",1,"Divorced",2)</f>
        <v>1</v>
      </c>
      <c r="AJ333">
        <f>IF(tbl_HR_Data[[#This Row],[OverTime]]=1,1,0)</f>
        <v>1</v>
      </c>
      <c r="AK333">
        <f>IF(tbl_HR_Data[[#This Row],[DistanceFromHome]]&gt;15,1,0)</f>
        <v>0</v>
      </c>
      <c r="AL333">
        <f>IF(tbl_HR_Data[[#This Row],[JobSatisfaction]]&lt;=2,1,0)</f>
        <v>1</v>
      </c>
      <c r="AM333">
        <f>IF(tbl_HR_Data[[#This Row],[MonthlyIncome]]&lt;$AT$2,1,0)</f>
        <v>0</v>
      </c>
      <c r="AN333">
        <f>IF(tbl_HR_Data[[#This Row],[Travel_Code]]=2,1,0)</f>
        <v>0</v>
      </c>
      <c r="AO333">
        <f>(tbl_HR_Data[[#This Row],[Flag_OT]] * Logic_Parameters!$B$2) +
 (tbl_HR_Data[[#This Row],[Flag_Travel]] * Logic_Parameters!$B$3) +
 (tbl_HR_Data[[#This Row],[Flag_Satisfaction]] * Logic_Parameters!$B$4) +
 (tbl_HR_Data[[#This Row],[Flag_Distance]]* Logic_Parameters!$B$5) +
 (tbl_HR_Data[[#This Row],[Flag_Income]] * Logic_Parameters!$B$6)</f>
        <v>14.204533129978131</v>
      </c>
      <c r="AP333" s="15">
        <f>tbl_HR_Data[[#This Row],[Risk_Score_Raw]] / SUM(Logic_Parameters!$B$2:$B$6)</f>
        <v>0.48938186491297625</v>
      </c>
      <c r="AQ333" s="16" t="str" cm="1">
        <f t="array" ref="AQ333">_xlfn.IFS(tbl_HR_Data[[#This Row],[Attrition_Risk_Percentage]] &gt;= 0.75, "Critical",tbl_HR_Data[ [#This Row],[Attrition_Risk_Percentage] ]&gt;= 0.5, "High",tbl_HR_Data[[#This Row],[Attrition_Risk_Percentage]] &gt;= 0.25, "Medium",TRUE, "Low")</f>
        <v>Medium</v>
      </c>
      <c r="AR333" s="16" cm="1">
        <f t="array" ref="AR333">IFERROR(_xlfn.IFS(tbl_HR_Data[[#This Row],[Risk_Category]]="Critical",tbl_HR_Data[[#This Row],[MonthlyIncome]]*1.5,tbl_HR_Data[[#This Row],[Risk_Category]]="High",tbl_HR_Data[[#This Row],[MonthlyIncome]]*1.5),0)</f>
        <v>0</v>
      </c>
    </row>
    <row r="334" spans="1:44" x14ac:dyDescent="0.35">
      <c r="A334" t="s">
        <v>333</v>
      </c>
      <c r="B334">
        <v>54</v>
      </c>
      <c r="C334" t="s">
        <v>37</v>
      </c>
      <c r="D334">
        <v>928</v>
      </c>
      <c r="E334" t="s">
        <v>38</v>
      </c>
      <c r="F334">
        <v>20</v>
      </c>
      <c r="G334">
        <v>4</v>
      </c>
      <c r="H334" t="s">
        <v>33</v>
      </c>
      <c r="I334">
        <v>4</v>
      </c>
      <c r="J334" t="s">
        <v>34</v>
      </c>
      <c r="K334">
        <v>31</v>
      </c>
      <c r="L334">
        <v>3</v>
      </c>
      <c r="M334">
        <v>2</v>
      </c>
      <c r="N334" t="s">
        <v>40</v>
      </c>
      <c r="O334">
        <v>3</v>
      </c>
      <c r="P334" t="s">
        <v>36</v>
      </c>
      <c r="Q334">
        <v>4869</v>
      </c>
      <c r="R334">
        <v>16885</v>
      </c>
      <c r="S334">
        <v>3</v>
      </c>
      <c r="T334">
        <v>0</v>
      </c>
      <c r="U334" s="17">
        <v>0.12</v>
      </c>
      <c r="V334">
        <v>3</v>
      </c>
      <c r="W334">
        <v>4</v>
      </c>
      <c r="X334">
        <v>0</v>
      </c>
      <c r="Y334">
        <v>20</v>
      </c>
      <c r="Z334">
        <v>4</v>
      </c>
      <c r="AA334">
        <v>2</v>
      </c>
      <c r="AB334">
        <v>4</v>
      </c>
      <c r="AC334">
        <v>3</v>
      </c>
      <c r="AD334">
        <v>0</v>
      </c>
      <c r="AE334">
        <v>3</v>
      </c>
      <c r="AF334">
        <v>0</v>
      </c>
      <c r="AG334">
        <f>IF(tbl_HR_Data[[#This Row],[Gender]]="Male",1,0)</f>
        <v>0</v>
      </c>
      <c r="AH334" cm="1">
        <f t="array" ref="AH334">_xlfn.SWITCH(tbl_HR_Data[[#This Row],[BusinessTravel]], "Non-Travel", 0, "Travel_Rarely", 1, "Travel_Frequently", 2)</f>
        <v>2</v>
      </c>
      <c r="AI334" cm="1">
        <f t="array" ref="AI334">_xlfn.SWITCH(tbl_HR_Data[[#This Row],[MaritalStatus]],"Single",0,"Married",1,"Divorced",2)</f>
        <v>0</v>
      </c>
      <c r="AJ334">
        <f>IF(tbl_HR_Data[[#This Row],[OverTime]]=1,1,0)</f>
        <v>0</v>
      </c>
      <c r="AK334">
        <f>IF(tbl_HR_Data[[#This Row],[DistanceFromHome]]&gt;15,1,0)</f>
        <v>1</v>
      </c>
      <c r="AL334">
        <f>IF(tbl_HR_Data[[#This Row],[JobSatisfaction]]&lt;=2,1,0)</f>
        <v>0</v>
      </c>
      <c r="AM334">
        <f>IF(tbl_HR_Data[[#This Row],[MonthlyIncome]]&lt;$AT$2,1,0)</f>
        <v>1</v>
      </c>
      <c r="AN334">
        <f>IF(tbl_HR_Data[[#This Row],[Travel_Code]]=2,1,0)</f>
        <v>1</v>
      </c>
      <c r="AO334">
        <f>(tbl_HR_Data[[#This Row],[Flag_OT]] * Logic_Parameters!$B$2) +
 (tbl_HR_Data[[#This Row],[Flag_Travel]] * Logic_Parameters!$B$3) +
 (tbl_HR_Data[[#This Row],[Flag_Satisfaction]] * Logic_Parameters!$B$4) +
 (tbl_HR_Data[[#This Row],[Flag_Distance]]* Logic_Parameters!$B$5) +
 (tbl_HR_Data[[#This Row],[Flag_Income]] * Logic_Parameters!$B$6)</f>
        <v>14.820925613786383</v>
      </c>
      <c r="AP334" s="15">
        <f>tbl_HR_Data[[#This Row],[Risk_Score_Raw]] / SUM(Logic_Parameters!$B$2:$B$6)</f>
        <v>0.51061813508702369</v>
      </c>
      <c r="AQ334" s="16" t="str" cm="1">
        <f t="array" ref="AQ334">_xlfn.IFS(tbl_HR_Data[[#This Row],[Attrition_Risk_Percentage]] &gt;= 0.75, "Critical",tbl_HR_Data[ [#This Row],[Attrition_Risk_Percentage] ]&gt;= 0.5, "High",tbl_HR_Data[[#This Row],[Attrition_Risk_Percentage]] &gt;= 0.25, "Medium",TRUE, "Low")</f>
        <v>High</v>
      </c>
      <c r="AR334" s="16" cm="1">
        <f t="array" ref="AR334">IFERROR(_xlfn.IFS(tbl_HR_Data[[#This Row],[Risk_Category]]="Critical",tbl_HR_Data[[#This Row],[MonthlyIncome]]*1.5,tbl_HR_Data[[#This Row],[Risk_Category]]="High",tbl_HR_Data[[#This Row],[MonthlyIncome]]*1.5),0)</f>
        <v>7303.5</v>
      </c>
    </row>
    <row r="335" spans="1:44" x14ac:dyDescent="0.35">
      <c r="A335" t="s">
        <v>1066</v>
      </c>
      <c r="B335">
        <v>43</v>
      </c>
      <c r="C335" t="s">
        <v>31</v>
      </c>
      <c r="D335">
        <v>1001</v>
      </c>
      <c r="E335" t="s">
        <v>38</v>
      </c>
      <c r="F335">
        <v>7</v>
      </c>
      <c r="G335">
        <v>3</v>
      </c>
      <c r="H335" t="s">
        <v>33</v>
      </c>
      <c r="I335">
        <v>3</v>
      </c>
      <c r="J335" t="s">
        <v>34</v>
      </c>
      <c r="K335">
        <v>43</v>
      </c>
      <c r="L335">
        <v>3</v>
      </c>
      <c r="M335">
        <v>3</v>
      </c>
      <c r="N335" t="s">
        <v>47</v>
      </c>
      <c r="O335">
        <v>1</v>
      </c>
      <c r="P335" t="s">
        <v>41</v>
      </c>
      <c r="Q335">
        <v>9985</v>
      </c>
      <c r="R335">
        <v>9262</v>
      </c>
      <c r="S335">
        <v>8</v>
      </c>
      <c r="T335">
        <v>0</v>
      </c>
      <c r="U335" s="17">
        <v>0.16</v>
      </c>
      <c r="V335">
        <v>3</v>
      </c>
      <c r="W335">
        <v>1</v>
      </c>
      <c r="X335">
        <v>1</v>
      </c>
      <c r="Y335">
        <v>10</v>
      </c>
      <c r="Z335">
        <v>1</v>
      </c>
      <c r="AA335">
        <v>2</v>
      </c>
      <c r="AB335">
        <v>1</v>
      </c>
      <c r="AC335">
        <v>0</v>
      </c>
      <c r="AD335">
        <v>0</v>
      </c>
      <c r="AE335">
        <v>0</v>
      </c>
      <c r="AF335">
        <v>0</v>
      </c>
      <c r="AG335">
        <f>IF(tbl_HR_Data[[#This Row],[Gender]]="Male",1,0)</f>
        <v>0</v>
      </c>
      <c r="AH335" cm="1">
        <f t="array" ref="AH335">_xlfn.SWITCH(tbl_HR_Data[[#This Row],[BusinessTravel]], "Non-Travel", 0, "Travel_Rarely", 1, "Travel_Frequently", 2)</f>
        <v>1</v>
      </c>
      <c r="AI335" cm="1">
        <f t="array" ref="AI335">_xlfn.SWITCH(tbl_HR_Data[[#This Row],[MaritalStatus]],"Single",0,"Married",1,"Divorced",2)</f>
        <v>1</v>
      </c>
      <c r="AJ335">
        <f>IF(tbl_HR_Data[[#This Row],[OverTime]]=1,1,0)</f>
        <v>0</v>
      </c>
      <c r="AK335">
        <f>IF(tbl_HR_Data[[#This Row],[DistanceFromHome]]&gt;15,1,0)</f>
        <v>0</v>
      </c>
      <c r="AL335">
        <f>IF(tbl_HR_Data[[#This Row],[JobSatisfaction]]&lt;=2,1,0)</f>
        <v>1</v>
      </c>
      <c r="AM335">
        <f>IF(tbl_HR_Data[[#This Row],[MonthlyIncome]]&lt;$AT$2,1,0)</f>
        <v>0</v>
      </c>
      <c r="AN335">
        <f>IF(tbl_HR_Data[[#This Row],[Travel_Code]]=2,1,0)</f>
        <v>0</v>
      </c>
      <c r="AO335">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335" s="15">
        <f>tbl_HR_Data[[#This Row],[Risk_Score_Raw]] / SUM(Logic_Parameters!$B$2:$B$6)</f>
        <v>0.14485673308716898</v>
      </c>
      <c r="AQ335" s="16" t="str" cm="1">
        <f t="array" ref="AQ335">_xlfn.IFS(tbl_HR_Data[[#This Row],[Attrition_Risk_Percentage]] &gt;= 0.75, "Critical",tbl_HR_Data[ [#This Row],[Attrition_Risk_Percentage] ]&gt;= 0.5, "High",tbl_HR_Data[[#This Row],[Attrition_Risk_Percentage]] &gt;= 0.25, "Medium",TRUE, "Low")</f>
        <v>Low</v>
      </c>
      <c r="AR335" s="16" cm="1">
        <f t="array" ref="AR335">IFERROR(_xlfn.IFS(tbl_HR_Data[[#This Row],[Risk_Category]]="Critical",tbl_HR_Data[[#This Row],[MonthlyIncome]]*1.5,tbl_HR_Data[[#This Row],[Risk_Category]]="High",tbl_HR_Data[[#This Row],[MonthlyIncome]]*1.5),0)</f>
        <v>0</v>
      </c>
    </row>
    <row r="336" spans="1:44" x14ac:dyDescent="0.35">
      <c r="A336" t="s">
        <v>589</v>
      </c>
      <c r="B336">
        <v>45</v>
      </c>
      <c r="C336" t="s">
        <v>31</v>
      </c>
      <c r="D336">
        <v>549</v>
      </c>
      <c r="E336" t="s">
        <v>38</v>
      </c>
      <c r="F336">
        <v>8</v>
      </c>
      <c r="G336">
        <v>4</v>
      </c>
      <c r="H336" t="s">
        <v>42</v>
      </c>
      <c r="I336">
        <v>4</v>
      </c>
      <c r="J336" t="s">
        <v>39</v>
      </c>
      <c r="K336">
        <v>75</v>
      </c>
      <c r="L336">
        <v>3</v>
      </c>
      <c r="M336">
        <v>2</v>
      </c>
      <c r="N336" t="s">
        <v>40</v>
      </c>
      <c r="O336">
        <v>4</v>
      </c>
      <c r="P336" t="s">
        <v>41</v>
      </c>
      <c r="Q336">
        <v>3697</v>
      </c>
      <c r="R336">
        <v>9278</v>
      </c>
      <c r="S336">
        <v>9</v>
      </c>
      <c r="T336">
        <v>0</v>
      </c>
      <c r="U336" s="17">
        <v>0.14000000000000001</v>
      </c>
      <c r="V336">
        <v>3</v>
      </c>
      <c r="W336">
        <v>1</v>
      </c>
      <c r="X336">
        <v>2</v>
      </c>
      <c r="Y336">
        <v>12</v>
      </c>
      <c r="Z336">
        <v>3</v>
      </c>
      <c r="AA336">
        <v>3</v>
      </c>
      <c r="AB336">
        <v>10</v>
      </c>
      <c r="AC336">
        <v>9</v>
      </c>
      <c r="AD336">
        <v>9</v>
      </c>
      <c r="AE336">
        <v>8</v>
      </c>
      <c r="AF336">
        <v>0</v>
      </c>
      <c r="AG336">
        <f>IF(tbl_HR_Data[[#This Row],[Gender]]="Male",1,0)</f>
        <v>1</v>
      </c>
      <c r="AH336" cm="1">
        <f t="array" ref="AH336">_xlfn.SWITCH(tbl_HR_Data[[#This Row],[BusinessTravel]], "Non-Travel", 0, "Travel_Rarely", 1, "Travel_Frequently", 2)</f>
        <v>1</v>
      </c>
      <c r="AI336" cm="1">
        <f t="array" ref="AI336">_xlfn.SWITCH(tbl_HR_Data[[#This Row],[MaritalStatus]],"Single",0,"Married",1,"Divorced",2)</f>
        <v>1</v>
      </c>
      <c r="AJ336">
        <f>IF(tbl_HR_Data[[#This Row],[OverTime]]=1,1,0)</f>
        <v>0</v>
      </c>
      <c r="AK336">
        <f>IF(tbl_HR_Data[[#This Row],[DistanceFromHome]]&gt;15,1,0)</f>
        <v>0</v>
      </c>
      <c r="AL336">
        <f>IF(tbl_HR_Data[[#This Row],[JobSatisfaction]]&lt;=2,1,0)</f>
        <v>0</v>
      </c>
      <c r="AM336">
        <f>IF(tbl_HR_Data[[#This Row],[MonthlyIncome]]&lt;$AT$2,1,0)</f>
        <v>1</v>
      </c>
      <c r="AN336">
        <f>IF(tbl_HR_Data[[#This Row],[Travel_Code]]=2,1,0)</f>
        <v>0</v>
      </c>
      <c r="AO336">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336" s="15">
        <f>tbl_HR_Data[[#This Row],[Risk_Score_Raw]] / SUM(Logic_Parameters!$B$2:$B$6)</f>
        <v>0.22374939857982484</v>
      </c>
      <c r="AQ336" s="16" t="str" cm="1">
        <f t="array" ref="AQ336">_xlfn.IFS(tbl_HR_Data[[#This Row],[Attrition_Risk_Percentage]] &gt;= 0.75, "Critical",tbl_HR_Data[ [#This Row],[Attrition_Risk_Percentage] ]&gt;= 0.5, "High",tbl_HR_Data[[#This Row],[Attrition_Risk_Percentage]] &gt;= 0.25, "Medium",TRUE, "Low")</f>
        <v>Low</v>
      </c>
      <c r="AR336" s="16" cm="1">
        <f t="array" ref="AR336">IFERROR(_xlfn.IFS(tbl_HR_Data[[#This Row],[Risk_Category]]="Critical",tbl_HR_Data[[#This Row],[MonthlyIncome]]*1.5,tbl_HR_Data[[#This Row],[Risk_Category]]="High",tbl_HR_Data[[#This Row],[MonthlyIncome]]*1.5),0)</f>
        <v>0</v>
      </c>
    </row>
    <row r="337" spans="1:44" x14ac:dyDescent="0.35">
      <c r="A337" t="s">
        <v>798</v>
      </c>
      <c r="B337">
        <v>40</v>
      </c>
      <c r="C337" t="s">
        <v>31</v>
      </c>
      <c r="D337">
        <v>1124</v>
      </c>
      <c r="E337" t="s">
        <v>32</v>
      </c>
      <c r="F337">
        <v>1</v>
      </c>
      <c r="G337">
        <v>2</v>
      </c>
      <c r="H337" t="s">
        <v>44</v>
      </c>
      <c r="I337">
        <v>2</v>
      </c>
      <c r="J337" t="s">
        <v>39</v>
      </c>
      <c r="K337">
        <v>57</v>
      </c>
      <c r="L337">
        <v>1</v>
      </c>
      <c r="M337">
        <v>2</v>
      </c>
      <c r="N337" t="s">
        <v>35</v>
      </c>
      <c r="O337">
        <v>4</v>
      </c>
      <c r="P337" t="s">
        <v>41</v>
      </c>
      <c r="Q337">
        <v>7457</v>
      </c>
      <c r="R337">
        <v>13273</v>
      </c>
      <c r="S337">
        <v>2</v>
      </c>
      <c r="T337">
        <v>1</v>
      </c>
      <c r="U337" s="17">
        <v>0.22</v>
      </c>
      <c r="V337">
        <v>4</v>
      </c>
      <c r="W337">
        <v>3</v>
      </c>
      <c r="X337">
        <v>3</v>
      </c>
      <c r="Y337">
        <v>6</v>
      </c>
      <c r="Z337">
        <v>2</v>
      </c>
      <c r="AA337">
        <v>2</v>
      </c>
      <c r="AB337">
        <v>4</v>
      </c>
      <c r="AC337">
        <v>3</v>
      </c>
      <c r="AD337">
        <v>0</v>
      </c>
      <c r="AE337">
        <v>2</v>
      </c>
      <c r="AF337">
        <v>0</v>
      </c>
      <c r="AG337">
        <f>IF(tbl_HR_Data[[#This Row],[Gender]]="Male",1,0)</f>
        <v>1</v>
      </c>
      <c r="AH337" cm="1">
        <f t="array" ref="AH337">_xlfn.SWITCH(tbl_HR_Data[[#This Row],[BusinessTravel]], "Non-Travel", 0, "Travel_Rarely", 1, "Travel_Frequently", 2)</f>
        <v>1</v>
      </c>
      <c r="AI337" cm="1">
        <f t="array" ref="AI337">_xlfn.SWITCH(tbl_HR_Data[[#This Row],[MaritalStatus]],"Single",0,"Married",1,"Divorced",2)</f>
        <v>1</v>
      </c>
      <c r="AJ337">
        <f>IF(tbl_HR_Data[[#This Row],[OverTime]]=1,1,0)</f>
        <v>1</v>
      </c>
      <c r="AK337">
        <f>IF(tbl_HR_Data[[#This Row],[DistanceFromHome]]&gt;15,1,0)</f>
        <v>0</v>
      </c>
      <c r="AL337">
        <f>IF(tbl_HR_Data[[#This Row],[JobSatisfaction]]&lt;=2,1,0)</f>
        <v>0</v>
      </c>
      <c r="AM337">
        <f>IF(tbl_HR_Data[[#This Row],[MonthlyIncome]]&lt;$AT$2,1,0)</f>
        <v>0</v>
      </c>
      <c r="AN337">
        <f>IF(tbl_HR_Data[[#This Row],[Travel_Code]]=2,1,0)</f>
        <v>0</v>
      </c>
      <c r="AO337">
        <f>(tbl_HR_Data[[#This Row],[Flag_OT]] * Logic_Parameters!$B$2) +
 (tbl_HR_Data[[#This Row],[Flag_Travel]] * Logic_Parameters!$B$3) +
 (tbl_HR_Data[[#This Row],[Flag_Satisfaction]] * Logic_Parameters!$B$4) +
 (tbl_HR_Data[[#This Row],[Flag_Distance]]* Logic_Parameters!$B$5) +
 (tbl_HR_Data[[#This Row],[Flag_Income]] * Logic_Parameters!$B$6)</f>
        <v>10</v>
      </c>
      <c r="AP337" s="15">
        <f>tbl_HR_Data[[#This Row],[Risk_Score_Raw]] / SUM(Logic_Parameters!$B$2:$B$6)</f>
        <v>0.3445251318258073</v>
      </c>
      <c r="AQ337" s="16" t="str" cm="1">
        <f t="array" ref="AQ337">_xlfn.IFS(tbl_HR_Data[[#This Row],[Attrition_Risk_Percentage]] &gt;= 0.75, "Critical",tbl_HR_Data[ [#This Row],[Attrition_Risk_Percentage] ]&gt;= 0.5, "High",tbl_HR_Data[[#This Row],[Attrition_Risk_Percentage]] &gt;= 0.25, "Medium",TRUE, "Low")</f>
        <v>Medium</v>
      </c>
      <c r="AR337" s="16" cm="1">
        <f t="array" ref="AR337">IFERROR(_xlfn.IFS(tbl_HR_Data[[#This Row],[Risk_Category]]="Critical",tbl_HR_Data[[#This Row],[MonthlyIncome]]*1.5,tbl_HR_Data[[#This Row],[Risk_Category]]="High",tbl_HR_Data[[#This Row],[MonthlyIncome]]*1.5),0)</f>
        <v>0</v>
      </c>
    </row>
    <row r="338" spans="1:44" x14ac:dyDescent="0.35">
      <c r="A338" t="s">
        <v>1033</v>
      </c>
      <c r="B338">
        <v>29</v>
      </c>
      <c r="C338" t="s">
        <v>31</v>
      </c>
      <c r="D338">
        <v>318</v>
      </c>
      <c r="E338" t="s">
        <v>38</v>
      </c>
      <c r="F338">
        <v>8</v>
      </c>
      <c r="G338">
        <v>4</v>
      </c>
      <c r="H338" t="s">
        <v>42</v>
      </c>
      <c r="I338">
        <v>2</v>
      </c>
      <c r="J338" t="s">
        <v>39</v>
      </c>
      <c r="K338">
        <v>77</v>
      </c>
      <c r="L338">
        <v>1</v>
      </c>
      <c r="M338">
        <v>1</v>
      </c>
      <c r="N338" t="s">
        <v>43</v>
      </c>
      <c r="O338">
        <v>1</v>
      </c>
      <c r="P338" t="s">
        <v>41</v>
      </c>
      <c r="Q338">
        <v>2119</v>
      </c>
      <c r="R338">
        <v>4759</v>
      </c>
      <c r="S338">
        <v>1</v>
      </c>
      <c r="T338">
        <v>1</v>
      </c>
      <c r="U338" s="17">
        <v>0.11</v>
      </c>
      <c r="V338">
        <v>3</v>
      </c>
      <c r="W338">
        <v>4</v>
      </c>
      <c r="X338">
        <v>0</v>
      </c>
      <c r="Y338">
        <v>7</v>
      </c>
      <c r="Z338">
        <v>4</v>
      </c>
      <c r="AA338">
        <v>2</v>
      </c>
      <c r="AB338">
        <v>7</v>
      </c>
      <c r="AC338">
        <v>7</v>
      </c>
      <c r="AD338">
        <v>0</v>
      </c>
      <c r="AE338">
        <v>7</v>
      </c>
      <c r="AF338">
        <v>1</v>
      </c>
      <c r="AG338">
        <f>IF(tbl_HR_Data[[#This Row],[Gender]]="Male",1,0)</f>
        <v>1</v>
      </c>
      <c r="AH338" cm="1">
        <f t="array" ref="AH338">_xlfn.SWITCH(tbl_HR_Data[[#This Row],[BusinessTravel]], "Non-Travel", 0, "Travel_Rarely", 1, "Travel_Frequently", 2)</f>
        <v>1</v>
      </c>
      <c r="AI338" cm="1">
        <f t="array" ref="AI338">_xlfn.SWITCH(tbl_HR_Data[[#This Row],[MaritalStatus]],"Single",0,"Married",1,"Divorced",2)</f>
        <v>1</v>
      </c>
      <c r="AJ338">
        <f>IF(tbl_HR_Data[[#This Row],[OverTime]]=1,1,0)</f>
        <v>1</v>
      </c>
      <c r="AK338">
        <f>IF(tbl_HR_Data[[#This Row],[DistanceFromHome]]&gt;15,1,0)</f>
        <v>0</v>
      </c>
      <c r="AL338">
        <f>IF(tbl_HR_Data[[#This Row],[JobSatisfaction]]&lt;=2,1,0)</f>
        <v>1</v>
      </c>
      <c r="AM338">
        <f>IF(tbl_HR_Data[[#This Row],[MonthlyIncome]]&lt;$AT$2,1,0)</f>
        <v>1</v>
      </c>
      <c r="AN338">
        <f>IF(tbl_HR_Data[[#This Row],[Travel_Code]]=2,1,0)</f>
        <v>0</v>
      </c>
      <c r="AO338">
        <f>(tbl_HR_Data[[#This Row],[Flag_OT]] * Logic_Parameters!$B$2) +
 (tbl_HR_Data[[#This Row],[Flag_Travel]] * Logic_Parameters!$B$3) +
 (tbl_HR_Data[[#This Row],[Flag_Satisfaction]] * Logic_Parameters!$B$4) +
 (tbl_HR_Data[[#This Row],[Flag_Distance]]* Logic_Parameters!$B$5) +
 (tbl_HR_Data[[#This Row],[Flag_Income]] * Logic_Parameters!$B$6)</f>
        <v>20.698962067398959</v>
      </c>
      <c r="AP338" s="15">
        <f>tbl_HR_Data[[#This Row],[Risk_Score_Raw]] / SUM(Logic_Parameters!$B$2:$B$6)</f>
        <v>0.71313126349280109</v>
      </c>
      <c r="AQ338" s="16" t="str" cm="1">
        <f t="array" ref="AQ338">_xlfn.IFS(tbl_HR_Data[[#This Row],[Attrition_Risk_Percentage]] &gt;= 0.75, "Critical",tbl_HR_Data[ [#This Row],[Attrition_Risk_Percentage] ]&gt;= 0.5, "High",tbl_HR_Data[[#This Row],[Attrition_Risk_Percentage]] &gt;= 0.25, "Medium",TRUE, "Low")</f>
        <v>High</v>
      </c>
      <c r="AR338" s="16" cm="1">
        <f t="array" ref="AR338">IFERROR(_xlfn.IFS(tbl_HR_Data[[#This Row],[Risk_Category]]="Critical",tbl_HR_Data[[#This Row],[MonthlyIncome]]*1.5,tbl_HR_Data[[#This Row],[Risk_Category]]="High",tbl_HR_Data[[#This Row],[MonthlyIncome]]*1.5),0)</f>
        <v>3178.5</v>
      </c>
    </row>
    <row r="339" spans="1:44" x14ac:dyDescent="0.35">
      <c r="A339" t="s">
        <v>655</v>
      </c>
      <c r="B339">
        <v>29</v>
      </c>
      <c r="C339" t="s">
        <v>31</v>
      </c>
      <c r="D339">
        <v>738</v>
      </c>
      <c r="E339" t="s">
        <v>38</v>
      </c>
      <c r="F339">
        <v>9</v>
      </c>
      <c r="G339">
        <v>5</v>
      </c>
      <c r="H339" t="s">
        <v>42</v>
      </c>
      <c r="I339">
        <v>2</v>
      </c>
      <c r="J339" t="s">
        <v>39</v>
      </c>
      <c r="K339">
        <v>30</v>
      </c>
      <c r="L339">
        <v>2</v>
      </c>
      <c r="M339">
        <v>1</v>
      </c>
      <c r="N339" t="s">
        <v>43</v>
      </c>
      <c r="O339">
        <v>4</v>
      </c>
      <c r="P339" t="s">
        <v>36</v>
      </c>
      <c r="Q339">
        <v>3983</v>
      </c>
      <c r="R339">
        <v>7621</v>
      </c>
      <c r="S339">
        <v>0</v>
      </c>
      <c r="T339">
        <v>0</v>
      </c>
      <c r="U339" s="17">
        <v>0.17</v>
      </c>
      <c r="V339">
        <v>3</v>
      </c>
      <c r="W339">
        <v>3</v>
      </c>
      <c r="X339">
        <v>0</v>
      </c>
      <c r="Y339">
        <v>4</v>
      </c>
      <c r="Z339">
        <v>2</v>
      </c>
      <c r="AA339">
        <v>3</v>
      </c>
      <c r="AB339">
        <v>3</v>
      </c>
      <c r="AC339">
        <v>2</v>
      </c>
      <c r="AD339">
        <v>2</v>
      </c>
      <c r="AE339">
        <v>2</v>
      </c>
      <c r="AF339">
        <v>0</v>
      </c>
      <c r="AG339">
        <f>IF(tbl_HR_Data[[#This Row],[Gender]]="Male",1,0)</f>
        <v>1</v>
      </c>
      <c r="AH339" cm="1">
        <f t="array" ref="AH339">_xlfn.SWITCH(tbl_HR_Data[[#This Row],[BusinessTravel]], "Non-Travel", 0, "Travel_Rarely", 1, "Travel_Frequently", 2)</f>
        <v>1</v>
      </c>
      <c r="AI339" cm="1">
        <f t="array" ref="AI339">_xlfn.SWITCH(tbl_HR_Data[[#This Row],[MaritalStatus]],"Single",0,"Married",1,"Divorced",2)</f>
        <v>0</v>
      </c>
      <c r="AJ339">
        <f>IF(tbl_HR_Data[[#This Row],[OverTime]]=1,1,0)</f>
        <v>0</v>
      </c>
      <c r="AK339">
        <f>IF(tbl_HR_Data[[#This Row],[DistanceFromHome]]&gt;15,1,0)</f>
        <v>0</v>
      </c>
      <c r="AL339">
        <f>IF(tbl_HR_Data[[#This Row],[JobSatisfaction]]&lt;=2,1,0)</f>
        <v>0</v>
      </c>
      <c r="AM339">
        <f>IF(tbl_HR_Data[[#This Row],[MonthlyIncome]]&lt;$AT$2,1,0)</f>
        <v>1</v>
      </c>
      <c r="AN339">
        <f>IF(tbl_HR_Data[[#This Row],[Travel_Code]]=2,1,0)</f>
        <v>0</v>
      </c>
      <c r="AO339">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339" s="15">
        <f>tbl_HR_Data[[#This Row],[Risk_Score_Raw]] / SUM(Logic_Parameters!$B$2:$B$6)</f>
        <v>0.22374939857982484</v>
      </c>
      <c r="AQ339" s="16" t="str" cm="1">
        <f t="array" ref="AQ339">_xlfn.IFS(tbl_HR_Data[[#This Row],[Attrition_Risk_Percentage]] &gt;= 0.75, "Critical",tbl_HR_Data[ [#This Row],[Attrition_Risk_Percentage] ]&gt;= 0.5, "High",tbl_HR_Data[[#This Row],[Attrition_Risk_Percentage]] &gt;= 0.25, "Medium",TRUE, "Low")</f>
        <v>Low</v>
      </c>
      <c r="AR339" s="16" cm="1">
        <f t="array" ref="AR339">IFERROR(_xlfn.IFS(tbl_HR_Data[[#This Row],[Risk_Category]]="Critical",tbl_HR_Data[[#This Row],[MonthlyIncome]]*1.5,tbl_HR_Data[[#This Row],[Risk_Category]]="High",tbl_HR_Data[[#This Row],[MonthlyIncome]]*1.5),0)</f>
        <v>0</v>
      </c>
    </row>
    <row r="340" spans="1:44" x14ac:dyDescent="0.35">
      <c r="A340" t="s">
        <v>932</v>
      </c>
      <c r="B340">
        <v>30</v>
      </c>
      <c r="C340" t="s">
        <v>31</v>
      </c>
      <c r="D340">
        <v>570</v>
      </c>
      <c r="E340" t="s">
        <v>32</v>
      </c>
      <c r="F340">
        <v>5</v>
      </c>
      <c r="G340">
        <v>3</v>
      </c>
      <c r="H340" t="s">
        <v>51</v>
      </c>
      <c r="I340">
        <v>4</v>
      </c>
      <c r="J340" t="s">
        <v>34</v>
      </c>
      <c r="K340">
        <v>30</v>
      </c>
      <c r="L340">
        <v>2</v>
      </c>
      <c r="M340">
        <v>2</v>
      </c>
      <c r="N340" t="s">
        <v>35</v>
      </c>
      <c r="O340">
        <v>3</v>
      </c>
      <c r="P340" t="s">
        <v>45</v>
      </c>
      <c r="Q340">
        <v>6118</v>
      </c>
      <c r="R340">
        <v>5431</v>
      </c>
      <c r="S340">
        <v>1</v>
      </c>
      <c r="T340">
        <v>0</v>
      </c>
      <c r="U340" s="17">
        <v>0.13</v>
      </c>
      <c r="V340">
        <v>3</v>
      </c>
      <c r="W340">
        <v>3</v>
      </c>
      <c r="X340">
        <v>3</v>
      </c>
      <c r="Y340">
        <v>10</v>
      </c>
      <c r="Z340">
        <v>2</v>
      </c>
      <c r="AA340">
        <v>3</v>
      </c>
      <c r="AB340">
        <v>10</v>
      </c>
      <c r="AC340">
        <v>9</v>
      </c>
      <c r="AD340">
        <v>1</v>
      </c>
      <c r="AE340">
        <v>2</v>
      </c>
      <c r="AF340">
        <v>0</v>
      </c>
      <c r="AG340">
        <f>IF(tbl_HR_Data[[#This Row],[Gender]]="Male",1,0)</f>
        <v>0</v>
      </c>
      <c r="AH340" cm="1">
        <f t="array" ref="AH340">_xlfn.SWITCH(tbl_HR_Data[[#This Row],[BusinessTravel]], "Non-Travel", 0, "Travel_Rarely", 1, "Travel_Frequently", 2)</f>
        <v>1</v>
      </c>
      <c r="AI340" cm="1">
        <f t="array" ref="AI340">_xlfn.SWITCH(tbl_HR_Data[[#This Row],[MaritalStatus]],"Single",0,"Married",1,"Divorced",2)</f>
        <v>2</v>
      </c>
      <c r="AJ340">
        <f>IF(tbl_HR_Data[[#This Row],[OverTime]]=1,1,0)</f>
        <v>0</v>
      </c>
      <c r="AK340">
        <f>IF(tbl_HR_Data[[#This Row],[DistanceFromHome]]&gt;15,1,0)</f>
        <v>0</v>
      </c>
      <c r="AL340">
        <f>IF(tbl_HR_Data[[#This Row],[JobSatisfaction]]&lt;=2,1,0)</f>
        <v>0</v>
      </c>
      <c r="AM340">
        <f>IF(tbl_HR_Data[[#This Row],[MonthlyIncome]]&lt;$AT$2,1,0)</f>
        <v>0</v>
      </c>
      <c r="AN340">
        <f>IF(tbl_HR_Data[[#This Row],[Travel_Code]]=2,1,0)</f>
        <v>0</v>
      </c>
      <c r="AO340">
        <f>(tbl_HR_Data[[#This Row],[Flag_OT]] * Logic_Parameters!$B$2) +
 (tbl_HR_Data[[#This Row],[Flag_Travel]] * Logic_Parameters!$B$3) +
 (tbl_HR_Data[[#This Row],[Flag_Satisfaction]] * Logic_Parameters!$B$4) +
 (tbl_HR_Data[[#This Row],[Flag_Distance]]* Logic_Parameters!$B$5) +
 (tbl_HR_Data[[#This Row],[Flag_Income]] * Logic_Parameters!$B$6)</f>
        <v>0</v>
      </c>
      <c r="AP340" s="15">
        <f>tbl_HR_Data[[#This Row],[Risk_Score_Raw]] / SUM(Logic_Parameters!$B$2:$B$6)</f>
        <v>0</v>
      </c>
      <c r="AQ340" s="16" t="str" cm="1">
        <f t="array" ref="AQ340">_xlfn.IFS(tbl_HR_Data[[#This Row],[Attrition_Risk_Percentage]] &gt;= 0.75, "Critical",tbl_HR_Data[ [#This Row],[Attrition_Risk_Percentage] ]&gt;= 0.5, "High",tbl_HR_Data[[#This Row],[Attrition_Risk_Percentage]] &gt;= 0.25, "Medium",TRUE, "Low")</f>
        <v>Low</v>
      </c>
      <c r="AR340" s="16" cm="1">
        <f t="array" ref="AR340">IFERROR(_xlfn.IFS(tbl_HR_Data[[#This Row],[Risk_Category]]="Critical",tbl_HR_Data[[#This Row],[MonthlyIncome]]*1.5,tbl_HR_Data[[#This Row],[Risk_Category]]="High",tbl_HR_Data[[#This Row],[MonthlyIncome]]*1.5),0)</f>
        <v>0</v>
      </c>
    </row>
    <row r="341" spans="1:44" x14ac:dyDescent="0.35">
      <c r="A341" t="s">
        <v>1287</v>
      </c>
      <c r="B341">
        <v>27</v>
      </c>
      <c r="C341" t="s">
        <v>31</v>
      </c>
      <c r="D341">
        <v>1130</v>
      </c>
      <c r="E341" t="s">
        <v>32</v>
      </c>
      <c r="F341">
        <v>8</v>
      </c>
      <c r="G341">
        <v>4</v>
      </c>
      <c r="H341" t="s">
        <v>51</v>
      </c>
      <c r="I341">
        <v>2</v>
      </c>
      <c r="J341" t="s">
        <v>34</v>
      </c>
      <c r="K341">
        <v>56</v>
      </c>
      <c r="L341">
        <v>3</v>
      </c>
      <c r="M341">
        <v>2</v>
      </c>
      <c r="N341" t="s">
        <v>35</v>
      </c>
      <c r="O341">
        <v>2</v>
      </c>
      <c r="P341" t="s">
        <v>41</v>
      </c>
      <c r="Q341">
        <v>6214</v>
      </c>
      <c r="R341">
        <v>3415</v>
      </c>
      <c r="S341">
        <v>1</v>
      </c>
      <c r="T341">
        <v>0</v>
      </c>
      <c r="U341" s="17">
        <v>0.18</v>
      </c>
      <c r="V341">
        <v>3</v>
      </c>
      <c r="W341">
        <v>1</v>
      </c>
      <c r="X341">
        <v>1</v>
      </c>
      <c r="Y341">
        <v>8</v>
      </c>
      <c r="Z341">
        <v>3</v>
      </c>
      <c r="AA341">
        <v>3</v>
      </c>
      <c r="AB341">
        <v>8</v>
      </c>
      <c r="AC341">
        <v>7</v>
      </c>
      <c r="AD341">
        <v>0</v>
      </c>
      <c r="AE341">
        <v>7</v>
      </c>
      <c r="AF341">
        <v>0</v>
      </c>
      <c r="AG341">
        <f>IF(tbl_HR_Data[[#This Row],[Gender]]="Male",1,0)</f>
        <v>0</v>
      </c>
      <c r="AH341" cm="1">
        <f t="array" ref="AH341">_xlfn.SWITCH(tbl_HR_Data[[#This Row],[BusinessTravel]], "Non-Travel", 0, "Travel_Rarely", 1, "Travel_Frequently", 2)</f>
        <v>1</v>
      </c>
      <c r="AI341" cm="1">
        <f t="array" ref="AI341">_xlfn.SWITCH(tbl_HR_Data[[#This Row],[MaritalStatus]],"Single",0,"Married",1,"Divorced",2)</f>
        <v>1</v>
      </c>
      <c r="AJ341">
        <f>IF(tbl_HR_Data[[#This Row],[OverTime]]=1,1,0)</f>
        <v>0</v>
      </c>
      <c r="AK341">
        <f>IF(tbl_HR_Data[[#This Row],[DistanceFromHome]]&gt;15,1,0)</f>
        <v>0</v>
      </c>
      <c r="AL341">
        <f>IF(tbl_HR_Data[[#This Row],[JobSatisfaction]]&lt;=2,1,0)</f>
        <v>1</v>
      </c>
      <c r="AM341">
        <f>IF(tbl_HR_Data[[#This Row],[MonthlyIncome]]&lt;$AT$2,1,0)</f>
        <v>0</v>
      </c>
      <c r="AN341">
        <f>IF(tbl_HR_Data[[#This Row],[Travel_Code]]=2,1,0)</f>
        <v>0</v>
      </c>
      <c r="AO341">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341" s="15">
        <f>tbl_HR_Data[[#This Row],[Risk_Score_Raw]] / SUM(Logic_Parameters!$B$2:$B$6)</f>
        <v>0.14485673308716898</v>
      </c>
      <c r="AQ341" s="16" t="str" cm="1">
        <f t="array" ref="AQ341">_xlfn.IFS(tbl_HR_Data[[#This Row],[Attrition_Risk_Percentage]] &gt;= 0.75, "Critical",tbl_HR_Data[ [#This Row],[Attrition_Risk_Percentage] ]&gt;= 0.5, "High",tbl_HR_Data[[#This Row],[Attrition_Risk_Percentage]] &gt;= 0.25, "Medium",TRUE, "Low")</f>
        <v>Low</v>
      </c>
      <c r="AR341" s="16" cm="1">
        <f t="array" ref="AR341">IFERROR(_xlfn.IFS(tbl_HR_Data[[#This Row],[Risk_Category]]="Critical",tbl_HR_Data[[#This Row],[MonthlyIncome]]*1.5,tbl_HR_Data[[#This Row],[Risk_Category]]="High",tbl_HR_Data[[#This Row],[MonthlyIncome]]*1.5),0)</f>
        <v>0</v>
      </c>
    </row>
    <row r="342" spans="1:44" x14ac:dyDescent="0.35">
      <c r="A342" t="s">
        <v>1063</v>
      </c>
      <c r="B342">
        <v>37</v>
      </c>
      <c r="C342" t="s">
        <v>31</v>
      </c>
      <c r="D342">
        <v>1192</v>
      </c>
      <c r="E342" t="s">
        <v>38</v>
      </c>
      <c r="F342">
        <v>5</v>
      </c>
      <c r="G342">
        <v>2</v>
      </c>
      <c r="H342" t="s">
        <v>44</v>
      </c>
      <c r="I342">
        <v>4</v>
      </c>
      <c r="J342" t="s">
        <v>39</v>
      </c>
      <c r="K342">
        <v>61</v>
      </c>
      <c r="L342">
        <v>3</v>
      </c>
      <c r="M342">
        <v>2</v>
      </c>
      <c r="N342" t="s">
        <v>46</v>
      </c>
      <c r="O342">
        <v>4</v>
      </c>
      <c r="P342" t="s">
        <v>45</v>
      </c>
      <c r="Q342">
        <v>6347</v>
      </c>
      <c r="R342">
        <v>23177</v>
      </c>
      <c r="S342">
        <v>7</v>
      </c>
      <c r="T342">
        <v>0</v>
      </c>
      <c r="U342" s="17">
        <v>0.16</v>
      </c>
      <c r="V342">
        <v>3</v>
      </c>
      <c r="W342">
        <v>3</v>
      </c>
      <c r="X342">
        <v>2</v>
      </c>
      <c r="Y342">
        <v>8</v>
      </c>
      <c r="Z342">
        <v>2</v>
      </c>
      <c r="AA342">
        <v>2</v>
      </c>
      <c r="AB342">
        <v>6</v>
      </c>
      <c r="AC342">
        <v>2</v>
      </c>
      <c r="AD342">
        <v>0</v>
      </c>
      <c r="AE342">
        <v>4</v>
      </c>
      <c r="AF342">
        <v>0</v>
      </c>
      <c r="AG342">
        <f>IF(tbl_HR_Data[[#This Row],[Gender]]="Male",1,0)</f>
        <v>1</v>
      </c>
      <c r="AH342" cm="1">
        <f t="array" ref="AH342">_xlfn.SWITCH(tbl_HR_Data[[#This Row],[BusinessTravel]], "Non-Travel", 0, "Travel_Rarely", 1, "Travel_Frequently", 2)</f>
        <v>1</v>
      </c>
      <c r="AI342" cm="1">
        <f t="array" ref="AI342">_xlfn.SWITCH(tbl_HR_Data[[#This Row],[MaritalStatus]],"Single",0,"Married",1,"Divorced",2)</f>
        <v>2</v>
      </c>
      <c r="AJ342">
        <f>IF(tbl_HR_Data[[#This Row],[OverTime]]=1,1,0)</f>
        <v>0</v>
      </c>
      <c r="AK342">
        <f>IF(tbl_HR_Data[[#This Row],[DistanceFromHome]]&gt;15,1,0)</f>
        <v>0</v>
      </c>
      <c r="AL342">
        <f>IF(tbl_HR_Data[[#This Row],[JobSatisfaction]]&lt;=2,1,0)</f>
        <v>0</v>
      </c>
      <c r="AM342">
        <f>IF(tbl_HR_Data[[#This Row],[MonthlyIncome]]&lt;$AT$2,1,0)</f>
        <v>0</v>
      </c>
      <c r="AN342">
        <f>IF(tbl_HR_Data[[#This Row],[Travel_Code]]=2,1,0)</f>
        <v>0</v>
      </c>
      <c r="AO342">
        <f>(tbl_HR_Data[[#This Row],[Flag_OT]] * Logic_Parameters!$B$2) +
 (tbl_HR_Data[[#This Row],[Flag_Travel]] * Logic_Parameters!$B$3) +
 (tbl_HR_Data[[#This Row],[Flag_Satisfaction]] * Logic_Parameters!$B$4) +
 (tbl_HR_Data[[#This Row],[Flag_Distance]]* Logic_Parameters!$B$5) +
 (tbl_HR_Data[[#This Row],[Flag_Income]] * Logic_Parameters!$B$6)</f>
        <v>0</v>
      </c>
      <c r="AP342" s="15">
        <f>tbl_HR_Data[[#This Row],[Risk_Score_Raw]] / SUM(Logic_Parameters!$B$2:$B$6)</f>
        <v>0</v>
      </c>
      <c r="AQ342" s="16" t="str" cm="1">
        <f t="array" ref="AQ342">_xlfn.IFS(tbl_HR_Data[[#This Row],[Attrition_Risk_Percentage]] &gt;= 0.75, "Critical",tbl_HR_Data[ [#This Row],[Attrition_Risk_Percentage] ]&gt;= 0.5, "High",tbl_HR_Data[[#This Row],[Attrition_Risk_Percentage]] &gt;= 0.25, "Medium",TRUE, "Low")</f>
        <v>Low</v>
      </c>
      <c r="AR342" s="16" cm="1">
        <f t="array" ref="AR342">IFERROR(_xlfn.IFS(tbl_HR_Data[[#This Row],[Risk_Category]]="Critical",tbl_HR_Data[[#This Row],[MonthlyIncome]]*1.5,tbl_HR_Data[[#This Row],[Risk_Category]]="High",tbl_HR_Data[[#This Row],[MonthlyIncome]]*1.5),0)</f>
        <v>0</v>
      </c>
    </row>
    <row r="343" spans="1:44" x14ac:dyDescent="0.35">
      <c r="A343" t="s">
        <v>1366</v>
      </c>
      <c r="B343">
        <v>38</v>
      </c>
      <c r="C343" t="s">
        <v>31</v>
      </c>
      <c r="D343">
        <v>343</v>
      </c>
      <c r="E343" t="s">
        <v>38</v>
      </c>
      <c r="F343">
        <v>15</v>
      </c>
      <c r="G343">
        <v>2</v>
      </c>
      <c r="H343" t="s">
        <v>33</v>
      </c>
      <c r="I343">
        <v>3</v>
      </c>
      <c r="J343" t="s">
        <v>39</v>
      </c>
      <c r="K343">
        <v>92</v>
      </c>
      <c r="L343">
        <v>2</v>
      </c>
      <c r="M343">
        <v>3</v>
      </c>
      <c r="N343" t="s">
        <v>50</v>
      </c>
      <c r="O343">
        <v>4</v>
      </c>
      <c r="P343" t="s">
        <v>45</v>
      </c>
      <c r="Q343">
        <v>11510</v>
      </c>
      <c r="R343">
        <v>15682</v>
      </c>
      <c r="S343">
        <v>0</v>
      </c>
      <c r="T343">
        <v>1</v>
      </c>
      <c r="U343" s="17">
        <v>0.14000000000000001</v>
      </c>
      <c r="V343">
        <v>3</v>
      </c>
      <c r="W343">
        <v>2</v>
      </c>
      <c r="X343">
        <v>1</v>
      </c>
      <c r="Y343">
        <v>12</v>
      </c>
      <c r="Z343">
        <v>3</v>
      </c>
      <c r="AA343">
        <v>3</v>
      </c>
      <c r="AB343">
        <v>11</v>
      </c>
      <c r="AC343">
        <v>10</v>
      </c>
      <c r="AD343">
        <v>2</v>
      </c>
      <c r="AE343">
        <v>9</v>
      </c>
      <c r="AF343">
        <v>0</v>
      </c>
      <c r="AG343">
        <f>IF(tbl_HR_Data[[#This Row],[Gender]]="Male",1,0)</f>
        <v>1</v>
      </c>
      <c r="AH343" cm="1">
        <f t="array" ref="AH343">_xlfn.SWITCH(tbl_HR_Data[[#This Row],[BusinessTravel]], "Non-Travel", 0, "Travel_Rarely", 1, "Travel_Frequently", 2)</f>
        <v>1</v>
      </c>
      <c r="AI343" cm="1">
        <f t="array" ref="AI343">_xlfn.SWITCH(tbl_HR_Data[[#This Row],[MaritalStatus]],"Single",0,"Married",1,"Divorced",2)</f>
        <v>2</v>
      </c>
      <c r="AJ343">
        <f>IF(tbl_HR_Data[[#This Row],[OverTime]]=1,1,0)</f>
        <v>1</v>
      </c>
      <c r="AK343">
        <f>IF(tbl_HR_Data[[#This Row],[DistanceFromHome]]&gt;15,1,0)</f>
        <v>0</v>
      </c>
      <c r="AL343">
        <f>IF(tbl_HR_Data[[#This Row],[JobSatisfaction]]&lt;=2,1,0)</f>
        <v>0</v>
      </c>
      <c r="AM343">
        <f>IF(tbl_HR_Data[[#This Row],[MonthlyIncome]]&lt;$AT$2,1,0)</f>
        <v>0</v>
      </c>
      <c r="AN343">
        <f>IF(tbl_HR_Data[[#This Row],[Travel_Code]]=2,1,0)</f>
        <v>0</v>
      </c>
      <c r="AO343">
        <f>(tbl_HR_Data[[#This Row],[Flag_OT]] * Logic_Parameters!$B$2) +
 (tbl_HR_Data[[#This Row],[Flag_Travel]] * Logic_Parameters!$B$3) +
 (tbl_HR_Data[[#This Row],[Flag_Satisfaction]] * Logic_Parameters!$B$4) +
 (tbl_HR_Data[[#This Row],[Flag_Distance]]* Logic_Parameters!$B$5) +
 (tbl_HR_Data[[#This Row],[Flag_Income]] * Logic_Parameters!$B$6)</f>
        <v>10</v>
      </c>
      <c r="AP343" s="15">
        <f>tbl_HR_Data[[#This Row],[Risk_Score_Raw]] / SUM(Logic_Parameters!$B$2:$B$6)</f>
        <v>0.3445251318258073</v>
      </c>
      <c r="AQ343" s="16" t="str" cm="1">
        <f t="array" ref="AQ343">_xlfn.IFS(tbl_HR_Data[[#This Row],[Attrition_Risk_Percentage]] &gt;= 0.75, "Critical",tbl_HR_Data[ [#This Row],[Attrition_Risk_Percentage] ]&gt;= 0.5, "High",tbl_HR_Data[[#This Row],[Attrition_Risk_Percentage]] &gt;= 0.25, "Medium",TRUE, "Low")</f>
        <v>Medium</v>
      </c>
      <c r="AR343" s="16" cm="1">
        <f t="array" ref="AR343">IFERROR(_xlfn.IFS(tbl_HR_Data[[#This Row],[Risk_Category]]="Critical",tbl_HR_Data[[#This Row],[MonthlyIncome]]*1.5,tbl_HR_Data[[#This Row],[Risk_Category]]="High",tbl_HR_Data[[#This Row],[MonthlyIncome]]*1.5),0)</f>
        <v>0</v>
      </c>
    </row>
    <row r="344" spans="1:44" x14ac:dyDescent="0.35">
      <c r="A344" t="s">
        <v>434</v>
      </c>
      <c r="B344">
        <v>31</v>
      </c>
      <c r="C344" t="s">
        <v>31</v>
      </c>
      <c r="D344">
        <v>1232</v>
      </c>
      <c r="E344" t="s">
        <v>38</v>
      </c>
      <c r="F344">
        <v>7</v>
      </c>
      <c r="G344">
        <v>4</v>
      </c>
      <c r="H344" t="s">
        <v>44</v>
      </c>
      <c r="I344">
        <v>3</v>
      </c>
      <c r="J344" t="s">
        <v>34</v>
      </c>
      <c r="K344">
        <v>39</v>
      </c>
      <c r="L344">
        <v>3</v>
      </c>
      <c r="M344">
        <v>3</v>
      </c>
      <c r="N344" t="s">
        <v>46</v>
      </c>
      <c r="O344">
        <v>4</v>
      </c>
      <c r="P344" t="s">
        <v>36</v>
      </c>
      <c r="Q344">
        <v>7143</v>
      </c>
      <c r="R344">
        <v>25713</v>
      </c>
      <c r="S344">
        <v>1</v>
      </c>
      <c r="T344">
        <v>1</v>
      </c>
      <c r="U344" s="17">
        <v>0.14000000000000001</v>
      </c>
      <c r="V344">
        <v>3</v>
      </c>
      <c r="W344">
        <v>3</v>
      </c>
      <c r="X344">
        <v>0</v>
      </c>
      <c r="Y344">
        <v>11</v>
      </c>
      <c r="Z344">
        <v>2</v>
      </c>
      <c r="AA344">
        <v>2</v>
      </c>
      <c r="AB344">
        <v>11</v>
      </c>
      <c r="AC344">
        <v>9</v>
      </c>
      <c r="AD344">
        <v>4</v>
      </c>
      <c r="AE344">
        <v>10</v>
      </c>
      <c r="AF344">
        <v>0</v>
      </c>
      <c r="AG344">
        <f>IF(tbl_HR_Data[[#This Row],[Gender]]="Male",1,0)</f>
        <v>0</v>
      </c>
      <c r="AH344" cm="1">
        <f t="array" ref="AH344">_xlfn.SWITCH(tbl_HR_Data[[#This Row],[BusinessTravel]], "Non-Travel", 0, "Travel_Rarely", 1, "Travel_Frequently", 2)</f>
        <v>1</v>
      </c>
      <c r="AI344" cm="1">
        <f t="array" ref="AI344">_xlfn.SWITCH(tbl_HR_Data[[#This Row],[MaritalStatus]],"Single",0,"Married",1,"Divorced",2)</f>
        <v>0</v>
      </c>
      <c r="AJ344">
        <f>IF(tbl_HR_Data[[#This Row],[OverTime]]=1,1,0)</f>
        <v>1</v>
      </c>
      <c r="AK344">
        <f>IF(tbl_HR_Data[[#This Row],[DistanceFromHome]]&gt;15,1,0)</f>
        <v>0</v>
      </c>
      <c r="AL344">
        <f>IF(tbl_HR_Data[[#This Row],[JobSatisfaction]]&lt;=2,1,0)</f>
        <v>0</v>
      </c>
      <c r="AM344">
        <f>IF(tbl_HR_Data[[#This Row],[MonthlyIncome]]&lt;$AT$2,1,0)</f>
        <v>0</v>
      </c>
      <c r="AN344">
        <f>IF(tbl_HR_Data[[#This Row],[Travel_Code]]=2,1,0)</f>
        <v>0</v>
      </c>
      <c r="AO344">
        <f>(tbl_HR_Data[[#This Row],[Flag_OT]] * Logic_Parameters!$B$2) +
 (tbl_HR_Data[[#This Row],[Flag_Travel]] * Logic_Parameters!$B$3) +
 (tbl_HR_Data[[#This Row],[Flag_Satisfaction]] * Logic_Parameters!$B$4) +
 (tbl_HR_Data[[#This Row],[Flag_Distance]]* Logic_Parameters!$B$5) +
 (tbl_HR_Data[[#This Row],[Flag_Income]] * Logic_Parameters!$B$6)</f>
        <v>10</v>
      </c>
      <c r="AP344" s="15">
        <f>tbl_HR_Data[[#This Row],[Risk_Score_Raw]] / SUM(Logic_Parameters!$B$2:$B$6)</f>
        <v>0.3445251318258073</v>
      </c>
      <c r="AQ344" s="16" t="str" cm="1">
        <f t="array" ref="AQ344">_xlfn.IFS(tbl_HR_Data[[#This Row],[Attrition_Risk_Percentage]] &gt;= 0.75, "Critical",tbl_HR_Data[ [#This Row],[Attrition_Risk_Percentage] ]&gt;= 0.5, "High",tbl_HR_Data[[#This Row],[Attrition_Risk_Percentage]] &gt;= 0.25, "Medium",TRUE, "Low")</f>
        <v>Medium</v>
      </c>
      <c r="AR344" s="16" cm="1">
        <f t="array" ref="AR344">IFERROR(_xlfn.IFS(tbl_HR_Data[[#This Row],[Risk_Category]]="Critical",tbl_HR_Data[[#This Row],[MonthlyIncome]]*1.5,tbl_HR_Data[[#This Row],[Risk_Category]]="High",tbl_HR_Data[[#This Row],[MonthlyIncome]]*1.5),0)</f>
        <v>0</v>
      </c>
    </row>
    <row r="345" spans="1:44" x14ac:dyDescent="0.35">
      <c r="A345" t="s">
        <v>1280</v>
      </c>
      <c r="B345">
        <v>29</v>
      </c>
      <c r="C345" t="s">
        <v>31</v>
      </c>
      <c r="D345">
        <v>144</v>
      </c>
      <c r="E345" t="s">
        <v>32</v>
      </c>
      <c r="F345">
        <v>10</v>
      </c>
      <c r="G345">
        <v>1</v>
      </c>
      <c r="H345" t="s">
        <v>51</v>
      </c>
      <c r="I345">
        <v>4</v>
      </c>
      <c r="J345" t="s">
        <v>34</v>
      </c>
      <c r="K345">
        <v>39</v>
      </c>
      <c r="L345">
        <v>2</v>
      </c>
      <c r="M345">
        <v>2</v>
      </c>
      <c r="N345" t="s">
        <v>35</v>
      </c>
      <c r="O345">
        <v>2</v>
      </c>
      <c r="P345" t="s">
        <v>45</v>
      </c>
      <c r="Q345">
        <v>8268</v>
      </c>
      <c r="R345">
        <v>11866</v>
      </c>
      <c r="S345">
        <v>1</v>
      </c>
      <c r="T345">
        <v>1</v>
      </c>
      <c r="U345" s="17">
        <v>0.14000000000000001</v>
      </c>
      <c r="V345">
        <v>3</v>
      </c>
      <c r="W345">
        <v>1</v>
      </c>
      <c r="X345">
        <v>2</v>
      </c>
      <c r="Y345">
        <v>7</v>
      </c>
      <c r="Z345">
        <v>2</v>
      </c>
      <c r="AA345">
        <v>3</v>
      </c>
      <c r="AB345">
        <v>7</v>
      </c>
      <c r="AC345">
        <v>7</v>
      </c>
      <c r="AD345">
        <v>1</v>
      </c>
      <c r="AE345">
        <v>7</v>
      </c>
      <c r="AF345">
        <v>0</v>
      </c>
      <c r="AG345">
        <f>IF(tbl_HR_Data[[#This Row],[Gender]]="Male",1,0)</f>
        <v>0</v>
      </c>
      <c r="AH345" cm="1">
        <f t="array" ref="AH345">_xlfn.SWITCH(tbl_HR_Data[[#This Row],[BusinessTravel]], "Non-Travel", 0, "Travel_Rarely", 1, "Travel_Frequently", 2)</f>
        <v>1</v>
      </c>
      <c r="AI345" cm="1">
        <f t="array" ref="AI345">_xlfn.SWITCH(tbl_HR_Data[[#This Row],[MaritalStatus]],"Single",0,"Married",1,"Divorced",2)</f>
        <v>2</v>
      </c>
      <c r="AJ345">
        <f>IF(tbl_HR_Data[[#This Row],[OverTime]]=1,1,0)</f>
        <v>1</v>
      </c>
      <c r="AK345">
        <f>IF(tbl_HR_Data[[#This Row],[DistanceFromHome]]&gt;15,1,0)</f>
        <v>0</v>
      </c>
      <c r="AL345">
        <f>IF(tbl_HR_Data[[#This Row],[JobSatisfaction]]&lt;=2,1,0)</f>
        <v>1</v>
      </c>
      <c r="AM345">
        <f>IF(tbl_HR_Data[[#This Row],[MonthlyIncome]]&lt;$AT$2,1,0)</f>
        <v>0</v>
      </c>
      <c r="AN345">
        <f>IF(tbl_HR_Data[[#This Row],[Travel_Code]]=2,1,0)</f>
        <v>0</v>
      </c>
      <c r="AO345">
        <f>(tbl_HR_Data[[#This Row],[Flag_OT]] * Logic_Parameters!$B$2) +
 (tbl_HR_Data[[#This Row],[Flag_Travel]] * Logic_Parameters!$B$3) +
 (tbl_HR_Data[[#This Row],[Flag_Satisfaction]] * Logic_Parameters!$B$4) +
 (tbl_HR_Data[[#This Row],[Flag_Distance]]* Logic_Parameters!$B$5) +
 (tbl_HR_Data[[#This Row],[Flag_Income]] * Logic_Parameters!$B$6)</f>
        <v>14.204533129978131</v>
      </c>
      <c r="AP345" s="15">
        <f>tbl_HR_Data[[#This Row],[Risk_Score_Raw]] / SUM(Logic_Parameters!$B$2:$B$6)</f>
        <v>0.48938186491297625</v>
      </c>
      <c r="AQ345" s="16" t="str" cm="1">
        <f t="array" ref="AQ345">_xlfn.IFS(tbl_HR_Data[[#This Row],[Attrition_Risk_Percentage]] &gt;= 0.75, "Critical",tbl_HR_Data[ [#This Row],[Attrition_Risk_Percentage] ]&gt;= 0.5, "High",tbl_HR_Data[[#This Row],[Attrition_Risk_Percentage]] &gt;= 0.25, "Medium",TRUE, "Low")</f>
        <v>Medium</v>
      </c>
      <c r="AR345" s="16" cm="1">
        <f t="array" ref="AR345">IFERROR(_xlfn.IFS(tbl_HR_Data[[#This Row],[Risk_Category]]="Critical",tbl_HR_Data[[#This Row],[MonthlyIncome]]*1.5,tbl_HR_Data[[#This Row],[Risk_Category]]="High",tbl_HR_Data[[#This Row],[MonthlyIncome]]*1.5),0)</f>
        <v>0</v>
      </c>
    </row>
    <row r="346" spans="1:44" x14ac:dyDescent="0.35">
      <c r="A346" t="s">
        <v>1315</v>
      </c>
      <c r="B346">
        <v>35</v>
      </c>
      <c r="C346" t="s">
        <v>31</v>
      </c>
      <c r="D346">
        <v>1296</v>
      </c>
      <c r="E346" t="s">
        <v>38</v>
      </c>
      <c r="F346">
        <v>5</v>
      </c>
      <c r="G346">
        <v>4</v>
      </c>
      <c r="H346" t="s">
        <v>52</v>
      </c>
      <c r="I346">
        <v>3</v>
      </c>
      <c r="J346" t="s">
        <v>39</v>
      </c>
      <c r="K346">
        <v>62</v>
      </c>
      <c r="L346">
        <v>3</v>
      </c>
      <c r="M346">
        <v>3</v>
      </c>
      <c r="N346" t="s">
        <v>46</v>
      </c>
      <c r="O346">
        <v>2</v>
      </c>
      <c r="P346" t="s">
        <v>36</v>
      </c>
      <c r="Q346">
        <v>8095</v>
      </c>
      <c r="R346">
        <v>18264</v>
      </c>
      <c r="S346">
        <v>0</v>
      </c>
      <c r="T346">
        <v>0</v>
      </c>
      <c r="U346" s="17">
        <v>0.13</v>
      </c>
      <c r="V346">
        <v>3</v>
      </c>
      <c r="W346">
        <v>4</v>
      </c>
      <c r="X346">
        <v>0</v>
      </c>
      <c r="Y346">
        <v>17</v>
      </c>
      <c r="Z346">
        <v>5</v>
      </c>
      <c r="AA346">
        <v>3</v>
      </c>
      <c r="AB346">
        <v>16</v>
      </c>
      <c r="AC346">
        <v>6</v>
      </c>
      <c r="AD346">
        <v>0</v>
      </c>
      <c r="AE346">
        <v>13</v>
      </c>
      <c r="AF346">
        <v>0</v>
      </c>
      <c r="AG346">
        <f>IF(tbl_HR_Data[[#This Row],[Gender]]="Male",1,0)</f>
        <v>1</v>
      </c>
      <c r="AH346" cm="1">
        <f t="array" ref="AH346">_xlfn.SWITCH(tbl_HR_Data[[#This Row],[BusinessTravel]], "Non-Travel", 0, "Travel_Rarely", 1, "Travel_Frequently", 2)</f>
        <v>1</v>
      </c>
      <c r="AI346" cm="1">
        <f t="array" ref="AI346">_xlfn.SWITCH(tbl_HR_Data[[#This Row],[MaritalStatus]],"Single",0,"Married",1,"Divorced",2)</f>
        <v>0</v>
      </c>
      <c r="AJ346">
        <f>IF(tbl_HR_Data[[#This Row],[OverTime]]=1,1,0)</f>
        <v>0</v>
      </c>
      <c r="AK346">
        <f>IF(tbl_HR_Data[[#This Row],[DistanceFromHome]]&gt;15,1,0)</f>
        <v>0</v>
      </c>
      <c r="AL346">
        <f>IF(tbl_HR_Data[[#This Row],[JobSatisfaction]]&lt;=2,1,0)</f>
        <v>1</v>
      </c>
      <c r="AM346">
        <f>IF(tbl_HR_Data[[#This Row],[MonthlyIncome]]&lt;$AT$2,1,0)</f>
        <v>0</v>
      </c>
      <c r="AN346">
        <f>IF(tbl_HR_Data[[#This Row],[Travel_Code]]=2,1,0)</f>
        <v>0</v>
      </c>
      <c r="AO346">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346" s="15">
        <f>tbl_HR_Data[[#This Row],[Risk_Score_Raw]] / SUM(Logic_Parameters!$B$2:$B$6)</f>
        <v>0.14485673308716898</v>
      </c>
      <c r="AQ346" s="16" t="str" cm="1">
        <f t="array" ref="AQ346">_xlfn.IFS(tbl_HR_Data[[#This Row],[Attrition_Risk_Percentage]] &gt;= 0.75, "Critical",tbl_HR_Data[ [#This Row],[Attrition_Risk_Percentage] ]&gt;= 0.5, "High",tbl_HR_Data[[#This Row],[Attrition_Risk_Percentage]] &gt;= 0.25, "Medium",TRUE, "Low")</f>
        <v>Low</v>
      </c>
      <c r="AR346" s="16" cm="1">
        <f t="array" ref="AR346">IFERROR(_xlfn.IFS(tbl_HR_Data[[#This Row],[Risk_Category]]="Critical",tbl_HR_Data[[#This Row],[MonthlyIncome]]*1.5,tbl_HR_Data[[#This Row],[Risk_Category]]="High",tbl_HR_Data[[#This Row],[MonthlyIncome]]*1.5),0)</f>
        <v>0</v>
      </c>
    </row>
    <row r="347" spans="1:44" x14ac:dyDescent="0.35">
      <c r="A347" t="s">
        <v>1290</v>
      </c>
      <c r="B347">
        <v>23</v>
      </c>
      <c r="C347" t="s">
        <v>31</v>
      </c>
      <c r="D347">
        <v>1309</v>
      </c>
      <c r="E347" t="s">
        <v>38</v>
      </c>
      <c r="F347">
        <v>26</v>
      </c>
      <c r="G347">
        <v>1</v>
      </c>
      <c r="H347" t="s">
        <v>33</v>
      </c>
      <c r="I347">
        <v>3</v>
      </c>
      <c r="J347" t="s">
        <v>39</v>
      </c>
      <c r="K347">
        <v>83</v>
      </c>
      <c r="L347">
        <v>3</v>
      </c>
      <c r="M347">
        <v>1</v>
      </c>
      <c r="N347" t="s">
        <v>40</v>
      </c>
      <c r="O347">
        <v>4</v>
      </c>
      <c r="P347" t="s">
        <v>45</v>
      </c>
      <c r="Q347">
        <v>2904</v>
      </c>
      <c r="R347">
        <v>16092</v>
      </c>
      <c r="S347">
        <v>1</v>
      </c>
      <c r="T347">
        <v>0</v>
      </c>
      <c r="U347" s="17">
        <v>0.12</v>
      </c>
      <c r="V347">
        <v>3</v>
      </c>
      <c r="W347">
        <v>3</v>
      </c>
      <c r="X347">
        <v>2</v>
      </c>
      <c r="Y347">
        <v>4</v>
      </c>
      <c r="Z347">
        <v>2</v>
      </c>
      <c r="AA347">
        <v>2</v>
      </c>
      <c r="AB347">
        <v>4</v>
      </c>
      <c r="AC347">
        <v>2</v>
      </c>
      <c r="AD347">
        <v>0</v>
      </c>
      <c r="AE347">
        <v>2</v>
      </c>
      <c r="AF347">
        <v>0</v>
      </c>
      <c r="AG347">
        <f>IF(tbl_HR_Data[[#This Row],[Gender]]="Male",1,0)</f>
        <v>1</v>
      </c>
      <c r="AH347" cm="1">
        <f t="array" ref="AH347">_xlfn.SWITCH(tbl_HR_Data[[#This Row],[BusinessTravel]], "Non-Travel", 0, "Travel_Rarely", 1, "Travel_Frequently", 2)</f>
        <v>1</v>
      </c>
      <c r="AI347" cm="1">
        <f t="array" ref="AI347">_xlfn.SWITCH(tbl_HR_Data[[#This Row],[MaritalStatus]],"Single",0,"Married",1,"Divorced",2)</f>
        <v>2</v>
      </c>
      <c r="AJ347">
        <f>IF(tbl_HR_Data[[#This Row],[OverTime]]=1,1,0)</f>
        <v>0</v>
      </c>
      <c r="AK347">
        <f>IF(tbl_HR_Data[[#This Row],[DistanceFromHome]]&gt;15,1,0)</f>
        <v>1</v>
      </c>
      <c r="AL347">
        <f>IF(tbl_HR_Data[[#This Row],[JobSatisfaction]]&lt;=2,1,0)</f>
        <v>0</v>
      </c>
      <c r="AM347">
        <f>IF(tbl_HR_Data[[#This Row],[MonthlyIncome]]&lt;$AT$2,1,0)</f>
        <v>1</v>
      </c>
      <c r="AN347">
        <f>IF(tbl_HR_Data[[#This Row],[Travel_Code]]=2,1,0)</f>
        <v>0</v>
      </c>
      <c r="AO347">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347" s="15">
        <f>tbl_HR_Data[[#This Row],[Risk_Score_Raw]] / SUM(Logic_Parameters!$B$2:$B$6)</f>
        <v>0.33282973125692844</v>
      </c>
      <c r="AQ347" s="16" t="str" cm="1">
        <f t="array" ref="AQ347">_xlfn.IFS(tbl_HR_Data[[#This Row],[Attrition_Risk_Percentage]] &gt;= 0.75, "Critical",tbl_HR_Data[ [#This Row],[Attrition_Risk_Percentage] ]&gt;= 0.5, "High",tbl_HR_Data[[#This Row],[Attrition_Risk_Percentage]] &gt;= 0.25, "Medium",TRUE, "Low")</f>
        <v>Medium</v>
      </c>
      <c r="AR347" s="16" cm="1">
        <f t="array" ref="AR347">IFERROR(_xlfn.IFS(tbl_HR_Data[[#This Row],[Risk_Category]]="Critical",tbl_HR_Data[[#This Row],[MonthlyIncome]]*1.5,tbl_HR_Data[[#This Row],[Risk_Category]]="High",tbl_HR_Data[[#This Row],[MonthlyIncome]]*1.5),0)</f>
        <v>0</v>
      </c>
    </row>
    <row r="348" spans="1:44" x14ac:dyDescent="0.35">
      <c r="A348" t="s">
        <v>657</v>
      </c>
      <c r="B348">
        <v>41</v>
      </c>
      <c r="C348" t="s">
        <v>31</v>
      </c>
      <c r="D348">
        <v>483</v>
      </c>
      <c r="E348" t="s">
        <v>38</v>
      </c>
      <c r="F348">
        <v>6</v>
      </c>
      <c r="G348">
        <v>3</v>
      </c>
      <c r="H348" t="s">
        <v>44</v>
      </c>
      <c r="I348">
        <v>4</v>
      </c>
      <c r="J348" t="s">
        <v>39</v>
      </c>
      <c r="K348">
        <v>95</v>
      </c>
      <c r="L348">
        <v>2</v>
      </c>
      <c r="M348">
        <v>2</v>
      </c>
      <c r="N348" t="s">
        <v>46</v>
      </c>
      <c r="O348">
        <v>2</v>
      </c>
      <c r="P348" t="s">
        <v>36</v>
      </c>
      <c r="Q348">
        <v>6032</v>
      </c>
      <c r="R348">
        <v>10110</v>
      </c>
      <c r="S348">
        <v>6</v>
      </c>
      <c r="T348">
        <v>1</v>
      </c>
      <c r="U348" s="17">
        <v>0.15</v>
      </c>
      <c r="V348">
        <v>3</v>
      </c>
      <c r="W348">
        <v>4</v>
      </c>
      <c r="X348">
        <v>0</v>
      </c>
      <c r="Y348">
        <v>8</v>
      </c>
      <c r="Z348">
        <v>3</v>
      </c>
      <c r="AA348">
        <v>3</v>
      </c>
      <c r="AB348">
        <v>5</v>
      </c>
      <c r="AC348">
        <v>4</v>
      </c>
      <c r="AD348">
        <v>1</v>
      </c>
      <c r="AE348">
        <v>2</v>
      </c>
      <c r="AF348">
        <v>0</v>
      </c>
      <c r="AG348">
        <f>IF(tbl_HR_Data[[#This Row],[Gender]]="Male",1,0)</f>
        <v>1</v>
      </c>
      <c r="AH348" cm="1">
        <f t="array" ref="AH348">_xlfn.SWITCH(tbl_HR_Data[[#This Row],[BusinessTravel]], "Non-Travel", 0, "Travel_Rarely", 1, "Travel_Frequently", 2)</f>
        <v>1</v>
      </c>
      <c r="AI348" cm="1">
        <f t="array" ref="AI348">_xlfn.SWITCH(tbl_HR_Data[[#This Row],[MaritalStatus]],"Single",0,"Married",1,"Divorced",2)</f>
        <v>0</v>
      </c>
      <c r="AJ348">
        <f>IF(tbl_HR_Data[[#This Row],[OverTime]]=1,1,0)</f>
        <v>1</v>
      </c>
      <c r="AK348">
        <f>IF(tbl_HR_Data[[#This Row],[DistanceFromHome]]&gt;15,1,0)</f>
        <v>0</v>
      </c>
      <c r="AL348">
        <f>IF(tbl_HR_Data[[#This Row],[JobSatisfaction]]&lt;=2,1,0)</f>
        <v>1</v>
      </c>
      <c r="AM348">
        <f>IF(tbl_HR_Data[[#This Row],[MonthlyIncome]]&lt;$AT$2,1,0)</f>
        <v>0</v>
      </c>
      <c r="AN348">
        <f>IF(tbl_HR_Data[[#This Row],[Travel_Code]]=2,1,0)</f>
        <v>0</v>
      </c>
      <c r="AO348">
        <f>(tbl_HR_Data[[#This Row],[Flag_OT]] * Logic_Parameters!$B$2) +
 (tbl_HR_Data[[#This Row],[Flag_Travel]] * Logic_Parameters!$B$3) +
 (tbl_HR_Data[[#This Row],[Flag_Satisfaction]] * Logic_Parameters!$B$4) +
 (tbl_HR_Data[[#This Row],[Flag_Distance]]* Logic_Parameters!$B$5) +
 (tbl_HR_Data[[#This Row],[Flag_Income]] * Logic_Parameters!$B$6)</f>
        <v>14.204533129978131</v>
      </c>
      <c r="AP348" s="15">
        <f>tbl_HR_Data[[#This Row],[Risk_Score_Raw]] / SUM(Logic_Parameters!$B$2:$B$6)</f>
        <v>0.48938186491297625</v>
      </c>
      <c r="AQ348" s="16" t="str" cm="1">
        <f t="array" ref="AQ348">_xlfn.IFS(tbl_HR_Data[[#This Row],[Attrition_Risk_Percentage]] &gt;= 0.75, "Critical",tbl_HR_Data[ [#This Row],[Attrition_Risk_Percentage] ]&gt;= 0.5, "High",tbl_HR_Data[[#This Row],[Attrition_Risk_Percentage]] &gt;= 0.25, "Medium",TRUE, "Low")</f>
        <v>Medium</v>
      </c>
      <c r="AR348" s="16" cm="1">
        <f t="array" ref="AR348">IFERROR(_xlfn.IFS(tbl_HR_Data[[#This Row],[Risk_Category]]="Critical",tbl_HR_Data[[#This Row],[MonthlyIncome]]*1.5,tbl_HR_Data[[#This Row],[Risk_Category]]="High",tbl_HR_Data[[#This Row],[MonthlyIncome]]*1.5),0)</f>
        <v>0</v>
      </c>
    </row>
    <row r="349" spans="1:44" x14ac:dyDescent="0.35">
      <c r="A349" t="s">
        <v>938</v>
      </c>
      <c r="B349">
        <v>47</v>
      </c>
      <c r="C349" t="s">
        <v>37</v>
      </c>
      <c r="D349">
        <v>1309</v>
      </c>
      <c r="E349" t="s">
        <v>32</v>
      </c>
      <c r="F349">
        <v>4</v>
      </c>
      <c r="G349">
        <v>1</v>
      </c>
      <c r="H349" t="s">
        <v>44</v>
      </c>
      <c r="I349">
        <v>2</v>
      </c>
      <c r="J349" t="s">
        <v>39</v>
      </c>
      <c r="K349">
        <v>99</v>
      </c>
      <c r="L349">
        <v>3</v>
      </c>
      <c r="M349">
        <v>2</v>
      </c>
      <c r="N349" t="s">
        <v>49</v>
      </c>
      <c r="O349">
        <v>3</v>
      </c>
      <c r="P349" t="s">
        <v>36</v>
      </c>
      <c r="Q349">
        <v>2976</v>
      </c>
      <c r="R349">
        <v>25751</v>
      </c>
      <c r="S349">
        <v>3</v>
      </c>
      <c r="T349">
        <v>0</v>
      </c>
      <c r="U349" s="17">
        <v>0.19</v>
      </c>
      <c r="V349">
        <v>3</v>
      </c>
      <c r="W349">
        <v>1</v>
      </c>
      <c r="X349">
        <v>0</v>
      </c>
      <c r="Y349">
        <v>5</v>
      </c>
      <c r="Z349">
        <v>3</v>
      </c>
      <c r="AA349">
        <v>3</v>
      </c>
      <c r="AB349">
        <v>0</v>
      </c>
      <c r="AC349">
        <v>0</v>
      </c>
      <c r="AD349">
        <v>0</v>
      </c>
      <c r="AE349">
        <v>0</v>
      </c>
      <c r="AF349">
        <v>0</v>
      </c>
      <c r="AG349">
        <f>IF(tbl_HR_Data[[#This Row],[Gender]]="Male",1,0)</f>
        <v>1</v>
      </c>
      <c r="AH349" cm="1">
        <f t="array" ref="AH349">_xlfn.SWITCH(tbl_HR_Data[[#This Row],[BusinessTravel]], "Non-Travel", 0, "Travel_Rarely", 1, "Travel_Frequently", 2)</f>
        <v>2</v>
      </c>
      <c r="AI349" cm="1">
        <f t="array" ref="AI349">_xlfn.SWITCH(tbl_HR_Data[[#This Row],[MaritalStatus]],"Single",0,"Married",1,"Divorced",2)</f>
        <v>0</v>
      </c>
      <c r="AJ349">
        <f>IF(tbl_HR_Data[[#This Row],[OverTime]]=1,1,0)</f>
        <v>0</v>
      </c>
      <c r="AK349">
        <f>IF(tbl_HR_Data[[#This Row],[DistanceFromHome]]&gt;15,1,0)</f>
        <v>0</v>
      </c>
      <c r="AL349">
        <f>IF(tbl_HR_Data[[#This Row],[JobSatisfaction]]&lt;=2,1,0)</f>
        <v>0</v>
      </c>
      <c r="AM349">
        <f>IF(tbl_HR_Data[[#This Row],[MonthlyIncome]]&lt;$AT$2,1,0)</f>
        <v>1</v>
      </c>
      <c r="AN349">
        <f>IF(tbl_HR_Data[[#This Row],[Travel_Code]]=2,1,0)</f>
        <v>1</v>
      </c>
      <c r="AO349">
        <f>(tbl_HR_Data[[#This Row],[Flag_OT]] * Logic_Parameters!$B$2) +
 (tbl_HR_Data[[#This Row],[Flag_Travel]] * Logic_Parameters!$B$3) +
 (tbl_HR_Data[[#This Row],[Flag_Satisfaction]] * Logic_Parameters!$B$4) +
 (tbl_HR_Data[[#This Row],[Flag_Distance]]* Logic_Parameters!$B$5) +
 (tbl_HR_Data[[#This Row],[Flag_Income]] * Logic_Parameters!$B$6)</f>
        <v>11.654818917911005</v>
      </c>
      <c r="AP349" s="15">
        <f>tbl_HR_Data[[#This Row],[Risk_Score_Raw]] / SUM(Logic_Parameters!$B$2:$B$6)</f>
        <v>0.40153780240992015</v>
      </c>
      <c r="AQ349" s="16" t="str" cm="1">
        <f t="array" ref="AQ349">_xlfn.IFS(tbl_HR_Data[[#This Row],[Attrition_Risk_Percentage]] &gt;= 0.75, "Critical",tbl_HR_Data[ [#This Row],[Attrition_Risk_Percentage] ]&gt;= 0.5, "High",tbl_HR_Data[[#This Row],[Attrition_Risk_Percentage]] &gt;= 0.25, "Medium",TRUE, "Low")</f>
        <v>Medium</v>
      </c>
      <c r="AR349" s="16" cm="1">
        <f t="array" ref="AR349">IFERROR(_xlfn.IFS(tbl_HR_Data[[#This Row],[Risk_Category]]="Critical",tbl_HR_Data[[#This Row],[MonthlyIncome]]*1.5,tbl_HR_Data[[#This Row],[Risk_Category]]="High",tbl_HR_Data[[#This Row],[MonthlyIncome]]*1.5),0)</f>
        <v>0</v>
      </c>
    </row>
    <row r="350" spans="1:44" x14ac:dyDescent="0.35">
      <c r="A350" t="s">
        <v>746</v>
      </c>
      <c r="B350">
        <v>42</v>
      </c>
      <c r="C350" t="s">
        <v>31</v>
      </c>
      <c r="D350">
        <v>810</v>
      </c>
      <c r="E350" t="s">
        <v>38</v>
      </c>
      <c r="F350">
        <v>23</v>
      </c>
      <c r="G350">
        <v>5</v>
      </c>
      <c r="H350" t="s">
        <v>33</v>
      </c>
      <c r="I350">
        <v>1</v>
      </c>
      <c r="J350" t="s">
        <v>34</v>
      </c>
      <c r="K350">
        <v>44</v>
      </c>
      <c r="L350">
        <v>3</v>
      </c>
      <c r="M350">
        <v>4</v>
      </c>
      <c r="N350" t="s">
        <v>50</v>
      </c>
      <c r="O350">
        <v>4</v>
      </c>
      <c r="P350" t="s">
        <v>36</v>
      </c>
      <c r="Q350">
        <v>15992</v>
      </c>
      <c r="R350">
        <v>15901</v>
      </c>
      <c r="S350">
        <v>2</v>
      </c>
      <c r="T350">
        <v>0</v>
      </c>
      <c r="U350" s="17">
        <v>0.14000000000000001</v>
      </c>
      <c r="V350">
        <v>3</v>
      </c>
      <c r="W350">
        <v>2</v>
      </c>
      <c r="X350">
        <v>0</v>
      </c>
      <c r="Y350">
        <v>16</v>
      </c>
      <c r="Z350">
        <v>2</v>
      </c>
      <c r="AA350">
        <v>3</v>
      </c>
      <c r="AB350">
        <v>1</v>
      </c>
      <c r="AC350">
        <v>0</v>
      </c>
      <c r="AD350">
        <v>0</v>
      </c>
      <c r="AE350">
        <v>0</v>
      </c>
      <c r="AF350">
        <v>0</v>
      </c>
      <c r="AG350">
        <f>IF(tbl_HR_Data[[#This Row],[Gender]]="Male",1,0)</f>
        <v>0</v>
      </c>
      <c r="AH350" cm="1">
        <f t="array" ref="AH350">_xlfn.SWITCH(tbl_HR_Data[[#This Row],[BusinessTravel]], "Non-Travel", 0, "Travel_Rarely", 1, "Travel_Frequently", 2)</f>
        <v>1</v>
      </c>
      <c r="AI350" cm="1">
        <f t="array" ref="AI350">_xlfn.SWITCH(tbl_HR_Data[[#This Row],[MaritalStatus]],"Single",0,"Married",1,"Divorced",2)</f>
        <v>0</v>
      </c>
      <c r="AJ350">
        <f>IF(tbl_HR_Data[[#This Row],[OverTime]]=1,1,0)</f>
        <v>0</v>
      </c>
      <c r="AK350">
        <f>IF(tbl_HR_Data[[#This Row],[DistanceFromHome]]&gt;15,1,0)</f>
        <v>1</v>
      </c>
      <c r="AL350">
        <f>IF(tbl_HR_Data[[#This Row],[JobSatisfaction]]&lt;=2,1,0)</f>
        <v>0</v>
      </c>
      <c r="AM350">
        <f>IF(tbl_HR_Data[[#This Row],[MonthlyIncome]]&lt;$AT$2,1,0)</f>
        <v>0</v>
      </c>
      <c r="AN350">
        <f>IF(tbl_HR_Data[[#This Row],[Travel_Code]]=2,1,0)</f>
        <v>0</v>
      </c>
      <c r="AO350">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350" s="15">
        <f>tbl_HR_Data[[#This Row],[Risk_Score_Raw]] / SUM(Logic_Parameters!$B$2:$B$6)</f>
        <v>0.10908033267710357</v>
      </c>
      <c r="AQ350" s="16" t="str" cm="1">
        <f t="array" ref="AQ350">_xlfn.IFS(tbl_HR_Data[[#This Row],[Attrition_Risk_Percentage]] &gt;= 0.75, "Critical",tbl_HR_Data[ [#This Row],[Attrition_Risk_Percentage] ]&gt;= 0.5, "High",tbl_HR_Data[[#This Row],[Attrition_Risk_Percentage]] &gt;= 0.25, "Medium",TRUE, "Low")</f>
        <v>Low</v>
      </c>
      <c r="AR350" s="16" cm="1">
        <f t="array" ref="AR350">IFERROR(_xlfn.IFS(tbl_HR_Data[[#This Row],[Risk_Category]]="Critical",tbl_HR_Data[[#This Row],[MonthlyIncome]]*1.5,tbl_HR_Data[[#This Row],[Risk_Category]]="High",tbl_HR_Data[[#This Row],[MonthlyIncome]]*1.5),0)</f>
        <v>0</v>
      </c>
    </row>
    <row r="351" spans="1:44" x14ac:dyDescent="0.35">
      <c r="A351" t="s">
        <v>808</v>
      </c>
      <c r="B351">
        <v>29</v>
      </c>
      <c r="C351" t="s">
        <v>1525</v>
      </c>
      <c r="D351">
        <v>746</v>
      </c>
      <c r="E351" t="s">
        <v>32</v>
      </c>
      <c r="F351">
        <v>2</v>
      </c>
      <c r="G351">
        <v>3</v>
      </c>
      <c r="H351" t="s">
        <v>33</v>
      </c>
      <c r="I351">
        <v>4</v>
      </c>
      <c r="J351" t="s">
        <v>39</v>
      </c>
      <c r="K351">
        <v>61</v>
      </c>
      <c r="L351">
        <v>3</v>
      </c>
      <c r="M351">
        <v>2</v>
      </c>
      <c r="N351" t="s">
        <v>35</v>
      </c>
      <c r="O351">
        <v>3</v>
      </c>
      <c r="P351" t="s">
        <v>41</v>
      </c>
      <c r="Q351">
        <v>4649</v>
      </c>
      <c r="R351">
        <v>16928</v>
      </c>
      <c r="S351">
        <v>1</v>
      </c>
      <c r="T351">
        <v>0</v>
      </c>
      <c r="U351" s="17">
        <v>0.14000000000000001</v>
      </c>
      <c r="V351">
        <v>3</v>
      </c>
      <c r="W351">
        <v>1</v>
      </c>
      <c r="X351">
        <v>1</v>
      </c>
      <c r="Y351">
        <v>4</v>
      </c>
      <c r="Z351">
        <v>3</v>
      </c>
      <c r="AA351">
        <v>2</v>
      </c>
      <c r="AB351">
        <v>4</v>
      </c>
      <c r="AC351">
        <v>3</v>
      </c>
      <c r="AD351">
        <v>0</v>
      </c>
      <c r="AE351">
        <v>2</v>
      </c>
      <c r="AF351">
        <v>0</v>
      </c>
      <c r="AG351">
        <f>IF(tbl_HR_Data[[#This Row],[Gender]]="Male",1,0)</f>
        <v>1</v>
      </c>
      <c r="AH351" cm="1">
        <f t="array" ref="AH351">_xlfn.SWITCH(tbl_HR_Data[[#This Row],[BusinessTravel]], "Non-Travel", 0, "Travel_Rarely", 1, "Travel_Frequently", 2)</f>
        <v>0</v>
      </c>
      <c r="AI351" cm="1">
        <f t="array" ref="AI351">_xlfn.SWITCH(tbl_HR_Data[[#This Row],[MaritalStatus]],"Single",0,"Married",1,"Divorced",2)</f>
        <v>1</v>
      </c>
      <c r="AJ351">
        <f>IF(tbl_HR_Data[[#This Row],[OverTime]]=1,1,0)</f>
        <v>0</v>
      </c>
      <c r="AK351">
        <f>IF(tbl_HR_Data[[#This Row],[DistanceFromHome]]&gt;15,1,0)</f>
        <v>0</v>
      </c>
      <c r="AL351">
        <f>IF(tbl_HR_Data[[#This Row],[JobSatisfaction]]&lt;=2,1,0)</f>
        <v>0</v>
      </c>
      <c r="AM351">
        <f>IF(tbl_HR_Data[[#This Row],[MonthlyIncome]]&lt;$AT$2,1,0)</f>
        <v>1</v>
      </c>
      <c r="AN351">
        <f>IF(tbl_HR_Data[[#This Row],[Travel_Code]]=2,1,0)</f>
        <v>0</v>
      </c>
      <c r="AO351">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351" s="15">
        <f>tbl_HR_Data[[#This Row],[Risk_Score_Raw]] / SUM(Logic_Parameters!$B$2:$B$6)</f>
        <v>0.22374939857982484</v>
      </c>
      <c r="AQ351" s="16" t="str" cm="1">
        <f t="array" ref="AQ351">_xlfn.IFS(tbl_HR_Data[[#This Row],[Attrition_Risk_Percentage]] &gt;= 0.75, "Critical",tbl_HR_Data[ [#This Row],[Attrition_Risk_Percentage] ]&gt;= 0.5, "High",tbl_HR_Data[[#This Row],[Attrition_Risk_Percentage]] &gt;= 0.25, "Medium",TRUE, "Low")</f>
        <v>Low</v>
      </c>
      <c r="AR351" s="16" cm="1">
        <f t="array" ref="AR351">IFERROR(_xlfn.IFS(tbl_HR_Data[[#This Row],[Risk_Category]]="Critical",tbl_HR_Data[[#This Row],[MonthlyIncome]]*1.5,tbl_HR_Data[[#This Row],[Risk_Category]]="High",tbl_HR_Data[[#This Row],[MonthlyIncome]]*1.5),0)</f>
        <v>0</v>
      </c>
    </row>
    <row r="352" spans="1:44" x14ac:dyDescent="0.35">
      <c r="A352" t="s">
        <v>704</v>
      </c>
      <c r="B352">
        <v>42</v>
      </c>
      <c r="C352" t="s">
        <v>31</v>
      </c>
      <c r="D352">
        <v>544</v>
      </c>
      <c r="E352" t="s">
        <v>53</v>
      </c>
      <c r="F352">
        <v>2</v>
      </c>
      <c r="G352">
        <v>1</v>
      </c>
      <c r="H352" t="s">
        <v>52</v>
      </c>
      <c r="I352">
        <v>3</v>
      </c>
      <c r="J352" t="s">
        <v>39</v>
      </c>
      <c r="K352">
        <v>52</v>
      </c>
      <c r="L352">
        <v>3</v>
      </c>
      <c r="M352">
        <v>1</v>
      </c>
      <c r="N352" t="s">
        <v>53</v>
      </c>
      <c r="O352">
        <v>3</v>
      </c>
      <c r="P352" t="s">
        <v>45</v>
      </c>
      <c r="Q352">
        <v>2696</v>
      </c>
      <c r="R352">
        <v>24017</v>
      </c>
      <c r="S352">
        <v>0</v>
      </c>
      <c r="T352">
        <v>1</v>
      </c>
      <c r="U352" s="17">
        <v>0.11</v>
      </c>
      <c r="V352">
        <v>3</v>
      </c>
      <c r="W352">
        <v>3</v>
      </c>
      <c r="X352">
        <v>1</v>
      </c>
      <c r="Y352">
        <v>4</v>
      </c>
      <c r="Z352">
        <v>5</v>
      </c>
      <c r="AA352">
        <v>3</v>
      </c>
      <c r="AB352">
        <v>3</v>
      </c>
      <c r="AC352">
        <v>2</v>
      </c>
      <c r="AD352">
        <v>1</v>
      </c>
      <c r="AE352">
        <v>0</v>
      </c>
      <c r="AF352">
        <v>0</v>
      </c>
      <c r="AG352">
        <f>IF(tbl_HR_Data[[#This Row],[Gender]]="Male",1,0)</f>
        <v>1</v>
      </c>
      <c r="AH352" cm="1">
        <f t="array" ref="AH352">_xlfn.SWITCH(tbl_HR_Data[[#This Row],[BusinessTravel]], "Non-Travel", 0, "Travel_Rarely", 1, "Travel_Frequently", 2)</f>
        <v>1</v>
      </c>
      <c r="AI352" cm="1">
        <f t="array" ref="AI352">_xlfn.SWITCH(tbl_HR_Data[[#This Row],[MaritalStatus]],"Single",0,"Married",1,"Divorced",2)</f>
        <v>2</v>
      </c>
      <c r="AJ352">
        <f>IF(tbl_HR_Data[[#This Row],[OverTime]]=1,1,0)</f>
        <v>1</v>
      </c>
      <c r="AK352">
        <f>IF(tbl_HR_Data[[#This Row],[DistanceFromHome]]&gt;15,1,0)</f>
        <v>0</v>
      </c>
      <c r="AL352">
        <f>IF(tbl_HR_Data[[#This Row],[JobSatisfaction]]&lt;=2,1,0)</f>
        <v>0</v>
      </c>
      <c r="AM352">
        <f>IF(tbl_HR_Data[[#This Row],[MonthlyIncome]]&lt;$AT$2,1,0)</f>
        <v>1</v>
      </c>
      <c r="AN352">
        <f>IF(tbl_HR_Data[[#This Row],[Travel_Code]]=2,1,0)</f>
        <v>0</v>
      </c>
      <c r="AO352">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352" s="15">
        <f>tbl_HR_Data[[#This Row],[Risk_Score_Raw]] / SUM(Logic_Parameters!$B$2:$B$6)</f>
        <v>0.56827453040563214</v>
      </c>
      <c r="AQ352" s="16" t="str" cm="1">
        <f t="array" ref="AQ352">_xlfn.IFS(tbl_HR_Data[[#This Row],[Attrition_Risk_Percentage]] &gt;= 0.75, "Critical",tbl_HR_Data[ [#This Row],[Attrition_Risk_Percentage] ]&gt;= 0.5, "High",tbl_HR_Data[[#This Row],[Attrition_Risk_Percentage]] &gt;= 0.25, "Medium",TRUE, "Low")</f>
        <v>High</v>
      </c>
      <c r="AR352" s="16" cm="1">
        <f t="array" ref="AR352">IFERROR(_xlfn.IFS(tbl_HR_Data[[#This Row],[Risk_Category]]="Critical",tbl_HR_Data[[#This Row],[MonthlyIncome]]*1.5,tbl_HR_Data[[#This Row],[Risk_Category]]="High",tbl_HR_Data[[#This Row],[MonthlyIncome]]*1.5),0)</f>
        <v>4044</v>
      </c>
    </row>
    <row r="353" spans="1:44" x14ac:dyDescent="0.35">
      <c r="A353" t="s">
        <v>664</v>
      </c>
      <c r="B353">
        <v>32</v>
      </c>
      <c r="C353" t="s">
        <v>31</v>
      </c>
      <c r="D353">
        <v>1062</v>
      </c>
      <c r="E353" t="s">
        <v>38</v>
      </c>
      <c r="F353">
        <v>2</v>
      </c>
      <c r="G353">
        <v>3</v>
      </c>
      <c r="H353" t="s">
        <v>44</v>
      </c>
      <c r="I353">
        <v>3</v>
      </c>
      <c r="J353" t="s">
        <v>34</v>
      </c>
      <c r="K353">
        <v>75</v>
      </c>
      <c r="L353">
        <v>3</v>
      </c>
      <c r="M353">
        <v>1</v>
      </c>
      <c r="N353" t="s">
        <v>43</v>
      </c>
      <c r="O353">
        <v>2</v>
      </c>
      <c r="P353" t="s">
        <v>41</v>
      </c>
      <c r="Q353">
        <v>2370</v>
      </c>
      <c r="R353">
        <v>3956</v>
      </c>
      <c r="S353">
        <v>1</v>
      </c>
      <c r="T353">
        <v>0</v>
      </c>
      <c r="U353" s="17">
        <v>0.13</v>
      </c>
      <c r="V353">
        <v>3</v>
      </c>
      <c r="W353">
        <v>3</v>
      </c>
      <c r="X353">
        <v>1</v>
      </c>
      <c r="Y353">
        <v>8</v>
      </c>
      <c r="Z353">
        <v>4</v>
      </c>
      <c r="AA353">
        <v>3</v>
      </c>
      <c r="AB353">
        <v>8</v>
      </c>
      <c r="AC353">
        <v>0</v>
      </c>
      <c r="AD353">
        <v>0</v>
      </c>
      <c r="AE353">
        <v>7</v>
      </c>
      <c r="AF353">
        <v>0</v>
      </c>
      <c r="AG353">
        <f>IF(tbl_HR_Data[[#This Row],[Gender]]="Male",1,0)</f>
        <v>0</v>
      </c>
      <c r="AH353" cm="1">
        <f t="array" ref="AH353">_xlfn.SWITCH(tbl_HR_Data[[#This Row],[BusinessTravel]], "Non-Travel", 0, "Travel_Rarely", 1, "Travel_Frequently", 2)</f>
        <v>1</v>
      </c>
      <c r="AI353" cm="1">
        <f t="array" ref="AI353">_xlfn.SWITCH(tbl_HR_Data[[#This Row],[MaritalStatus]],"Single",0,"Married",1,"Divorced",2)</f>
        <v>1</v>
      </c>
      <c r="AJ353">
        <f>IF(tbl_HR_Data[[#This Row],[OverTime]]=1,1,0)</f>
        <v>0</v>
      </c>
      <c r="AK353">
        <f>IF(tbl_HR_Data[[#This Row],[DistanceFromHome]]&gt;15,1,0)</f>
        <v>0</v>
      </c>
      <c r="AL353">
        <f>IF(tbl_HR_Data[[#This Row],[JobSatisfaction]]&lt;=2,1,0)</f>
        <v>1</v>
      </c>
      <c r="AM353">
        <f>IF(tbl_HR_Data[[#This Row],[MonthlyIncome]]&lt;$AT$2,1,0)</f>
        <v>1</v>
      </c>
      <c r="AN353">
        <f>IF(tbl_HR_Data[[#This Row],[Travel_Code]]=2,1,0)</f>
        <v>0</v>
      </c>
      <c r="AO353">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353" s="15">
        <f>tbl_HR_Data[[#This Row],[Risk_Score_Raw]] / SUM(Logic_Parameters!$B$2:$B$6)</f>
        <v>0.3686061316669938</v>
      </c>
      <c r="AQ353" s="16" t="str" cm="1">
        <f t="array" ref="AQ353">_xlfn.IFS(tbl_HR_Data[[#This Row],[Attrition_Risk_Percentage]] &gt;= 0.75, "Critical",tbl_HR_Data[ [#This Row],[Attrition_Risk_Percentage] ]&gt;= 0.5, "High",tbl_HR_Data[[#This Row],[Attrition_Risk_Percentage]] &gt;= 0.25, "Medium",TRUE, "Low")</f>
        <v>Medium</v>
      </c>
      <c r="AR353" s="16" cm="1">
        <f t="array" ref="AR353">IFERROR(_xlfn.IFS(tbl_HR_Data[[#This Row],[Risk_Category]]="Critical",tbl_HR_Data[[#This Row],[MonthlyIncome]]*1.5,tbl_HR_Data[[#This Row],[Risk_Category]]="High",tbl_HR_Data[[#This Row],[MonthlyIncome]]*1.5),0)</f>
        <v>0</v>
      </c>
    </row>
    <row r="354" spans="1:44" x14ac:dyDescent="0.35">
      <c r="A354" t="s">
        <v>639</v>
      </c>
      <c r="B354">
        <v>48</v>
      </c>
      <c r="C354" t="s">
        <v>31</v>
      </c>
      <c r="D354">
        <v>530</v>
      </c>
      <c r="E354" t="s">
        <v>32</v>
      </c>
      <c r="F354">
        <v>29</v>
      </c>
      <c r="G354">
        <v>1</v>
      </c>
      <c r="H354" t="s">
        <v>44</v>
      </c>
      <c r="I354">
        <v>1</v>
      </c>
      <c r="J354" t="s">
        <v>34</v>
      </c>
      <c r="K354">
        <v>91</v>
      </c>
      <c r="L354">
        <v>3</v>
      </c>
      <c r="M354">
        <v>3</v>
      </c>
      <c r="N354" t="s">
        <v>48</v>
      </c>
      <c r="O354">
        <v>3</v>
      </c>
      <c r="P354" t="s">
        <v>41</v>
      </c>
      <c r="Q354">
        <v>12504</v>
      </c>
      <c r="R354">
        <v>23978</v>
      </c>
      <c r="S354">
        <v>3</v>
      </c>
      <c r="T354">
        <v>0</v>
      </c>
      <c r="U354" s="17">
        <v>0.21</v>
      </c>
      <c r="V354">
        <v>4</v>
      </c>
      <c r="W354">
        <v>2</v>
      </c>
      <c r="X354">
        <v>1</v>
      </c>
      <c r="Y354">
        <v>15</v>
      </c>
      <c r="Z354">
        <v>3</v>
      </c>
      <c r="AA354">
        <v>1</v>
      </c>
      <c r="AB354">
        <v>0</v>
      </c>
      <c r="AC354">
        <v>0</v>
      </c>
      <c r="AD354">
        <v>0</v>
      </c>
      <c r="AE354">
        <v>0</v>
      </c>
      <c r="AF354">
        <v>0</v>
      </c>
      <c r="AG354">
        <f>IF(tbl_HR_Data[[#This Row],[Gender]]="Male",1,0)</f>
        <v>0</v>
      </c>
      <c r="AH354" cm="1">
        <f t="array" ref="AH354">_xlfn.SWITCH(tbl_HR_Data[[#This Row],[BusinessTravel]], "Non-Travel", 0, "Travel_Rarely", 1, "Travel_Frequently", 2)</f>
        <v>1</v>
      </c>
      <c r="AI354" cm="1">
        <f t="array" ref="AI354">_xlfn.SWITCH(tbl_HR_Data[[#This Row],[MaritalStatus]],"Single",0,"Married",1,"Divorced",2)</f>
        <v>1</v>
      </c>
      <c r="AJ354">
        <f>IF(tbl_HR_Data[[#This Row],[OverTime]]=1,1,0)</f>
        <v>0</v>
      </c>
      <c r="AK354">
        <f>IF(tbl_HR_Data[[#This Row],[DistanceFromHome]]&gt;15,1,0)</f>
        <v>1</v>
      </c>
      <c r="AL354">
        <f>IF(tbl_HR_Data[[#This Row],[JobSatisfaction]]&lt;=2,1,0)</f>
        <v>0</v>
      </c>
      <c r="AM354">
        <f>IF(tbl_HR_Data[[#This Row],[MonthlyIncome]]&lt;$AT$2,1,0)</f>
        <v>0</v>
      </c>
      <c r="AN354">
        <f>IF(tbl_HR_Data[[#This Row],[Travel_Code]]=2,1,0)</f>
        <v>0</v>
      </c>
      <c r="AO354">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354" s="15">
        <f>tbl_HR_Data[[#This Row],[Risk_Score_Raw]] / SUM(Logic_Parameters!$B$2:$B$6)</f>
        <v>0.10908033267710357</v>
      </c>
      <c r="AQ354" s="16" t="str" cm="1">
        <f t="array" ref="AQ354">_xlfn.IFS(tbl_HR_Data[[#This Row],[Attrition_Risk_Percentage]] &gt;= 0.75, "Critical",tbl_HR_Data[ [#This Row],[Attrition_Risk_Percentage] ]&gt;= 0.5, "High",tbl_HR_Data[[#This Row],[Attrition_Risk_Percentage]] &gt;= 0.25, "Medium",TRUE, "Low")</f>
        <v>Low</v>
      </c>
      <c r="AR354" s="16" cm="1">
        <f t="array" ref="AR354">IFERROR(_xlfn.IFS(tbl_HR_Data[[#This Row],[Risk_Category]]="Critical",tbl_HR_Data[[#This Row],[MonthlyIncome]]*1.5,tbl_HR_Data[[#This Row],[Risk_Category]]="High",tbl_HR_Data[[#This Row],[MonthlyIncome]]*1.5),0)</f>
        <v>0</v>
      </c>
    </row>
    <row r="355" spans="1:44" x14ac:dyDescent="0.35">
      <c r="A355" t="s">
        <v>1274</v>
      </c>
      <c r="B355">
        <v>37</v>
      </c>
      <c r="C355" t="s">
        <v>31</v>
      </c>
      <c r="D355">
        <v>1319</v>
      </c>
      <c r="E355" t="s">
        <v>38</v>
      </c>
      <c r="F355">
        <v>6</v>
      </c>
      <c r="G355">
        <v>3</v>
      </c>
      <c r="H355" t="s">
        <v>44</v>
      </c>
      <c r="I355">
        <v>3</v>
      </c>
      <c r="J355" t="s">
        <v>39</v>
      </c>
      <c r="K355">
        <v>51</v>
      </c>
      <c r="L355">
        <v>4</v>
      </c>
      <c r="M355">
        <v>2</v>
      </c>
      <c r="N355" t="s">
        <v>40</v>
      </c>
      <c r="O355">
        <v>1</v>
      </c>
      <c r="P355" t="s">
        <v>45</v>
      </c>
      <c r="Q355">
        <v>5974</v>
      </c>
      <c r="R355">
        <v>17001</v>
      </c>
      <c r="S355">
        <v>4</v>
      </c>
      <c r="T355">
        <v>1</v>
      </c>
      <c r="U355" s="17">
        <v>0.13</v>
      </c>
      <c r="V355">
        <v>3</v>
      </c>
      <c r="W355">
        <v>1</v>
      </c>
      <c r="X355">
        <v>2</v>
      </c>
      <c r="Y355">
        <v>13</v>
      </c>
      <c r="Z355">
        <v>2</v>
      </c>
      <c r="AA355">
        <v>3</v>
      </c>
      <c r="AB355">
        <v>7</v>
      </c>
      <c r="AC355">
        <v>7</v>
      </c>
      <c r="AD355">
        <v>6</v>
      </c>
      <c r="AE355">
        <v>7</v>
      </c>
      <c r="AF355">
        <v>0</v>
      </c>
      <c r="AG355">
        <f>IF(tbl_HR_Data[[#This Row],[Gender]]="Male",1,0)</f>
        <v>1</v>
      </c>
      <c r="AH355" cm="1">
        <f t="array" ref="AH355">_xlfn.SWITCH(tbl_HR_Data[[#This Row],[BusinessTravel]], "Non-Travel", 0, "Travel_Rarely", 1, "Travel_Frequently", 2)</f>
        <v>1</v>
      </c>
      <c r="AI355" cm="1">
        <f t="array" ref="AI355">_xlfn.SWITCH(tbl_HR_Data[[#This Row],[MaritalStatus]],"Single",0,"Married",1,"Divorced",2)</f>
        <v>2</v>
      </c>
      <c r="AJ355">
        <f>IF(tbl_HR_Data[[#This Row],[OverTime]]=1,1,0)</f>
        <v>1</v>
      </c>
      <c r="AK355">
        <f>IF(tbl_HR_Data[[#This Row],[DistanceFromHome]]&gt;15,1,0)</f>
        <v>0</v>
      </c>
      <c r="AL355">
        <f>IF(tbl_HR_Data[[#This Row],[JobSatisfaction]]&lt;=2,1,0)</f>
        <v>1</v>
      </c>
      <c r="AM355">
        <f>IF(tbl_HR_Data[[#This Row],[MonthlyIncome]]&lt;$AT$2,1,0)</f>
        <v>0</v>
      </c>
      <c r="AN355">
        <f>IF(tbl_HR_Data[[#This Row],[Travel_Code]]=2,1,0)</f>
        <v>0</v>
      </c>
      <c r="AO355">
        <f>(tbl_HR_Data[[#This Row],[Flag_OT]] * Logic_Parameters!$B$2) +
 (tbl_HR_Data[[#This Row],[Flag_Travel]] * Logic_Parameters!$B$3) +
 (tbl_HR_Data[[#This Row],[Flag_Satisfaction]] * Logic_Parameters!$B$4) +
 (tbl_HR_Data[[#This Row],[Flag_Distance]]* Logic_Parameters!$B$5) +
 (tbl_HR_Data[[#This Row],[Flag_Income]] * Logic_Parameters!$B$6)</f>
        <v>14.204533129978131</v>
      </c>
      <c r="AP355" s="15">
        <f>tbl_HR_Data[[#This Row],[Risk_Score_Raw]] / SUM(Logic_Parameters!$B$2:$B$6)</f>
        <v>0.48938186491297625</v>
      </c>
      <c r="AQ355" s="16" t="str" cm="1">
        <f t="array" ref="AQ355">_xlfn.IFS(tbl_HR_Data[[#This Row],[Attrition_Risk_Percentage]] &gt;= 0.75, "Critical",tbl_HR_Data[ [#This Row],[Attrition_Risk_Percentage] ]&gt;= 0.5, "High",tbl_HR_Data[[#This Row],[Attrition_Risk_Percentage]] &gt;= 0.25, "Medium",TRUE, "Low")</f>
        <v>Medium</v>
      </c>
      <c r="AR355" s="16" cm="1">
        <f t="array" ref="AR355">IFERROR(_xlfn.IFS(tbl_HR_Data[[#This Row],[Risk_Category]]="Critical",tbl_HR_Data[[#This Row],[MonthlyIncome]]*1.5,tbl_HR_Data[[#This Row],[Risk_Category]]="High",tbl_HR_Data[[#This Row],[MonthlyIncome]]*1.5),0)</f>
        <v>0</v>
      </c>
    </row>
    <row r="356" spans="1:44" x14ac:dyDescent="0.35">
      <c r="A356" t="s">
        <v>258</v>
      </c>
      <c r="B356">
        <v>30</v>
      </c>
      <c r="C356" t="s">
        <v>1525</v>
      </c>
      <c r="D356">
        <v>641</v>
      </c>
      <c r="E356" t="s">
        <v>32</v>
      </c>
      <c r="F356">
        <v>25</v>
      </c>
      <c r="G356">
        <v>2</v>
      </c>
      <c r="H356" t="s">
        <v>52</v>
      </c>
      <c r="I356">
        <v>4</v>
      </c>
      <c r="J356" t="s">
        <v>34</v>
      </c>
      <c r="K356">
        <v>85</v>
      </c>
      <c r="L356">
        <v>3</v>
      </c>
      <c r="M356">
        <v>2</v>
      </c>
      <c r="N356" t="s">
        <v>35</v>
      </c>
      <c r="O356">
        <v>3</v>
      </c>
      <c r="P356" t="s">
        <v>41</v>
      </c>
      <c r="Q356">
        <v>4736</v>
      </c>
      <c r="R356">
        <v>6069</v>
      </c>
      <c r="S356">
        <v>7</v>
      </c>
      <c r="T356">
        <v>1</v>
      </c>
      <c r="U356" s="17">
        <v>0.12</v>
      </c>
      <c r="V356">
        <v>3</v>
      </c>
      <c r="W356">
        <v>2</v>
      </c>
      <c r="X356">
        <v>1</v>
      </c>
      <c r="Y356">
        <v>4</v>
      </c>
      <c r="Z356">
        <v>2</v>
      </c>
      <c r="AA356">
        <v>4</v>
      </c>
      <c r="AB356">
        <v>2</v>
      </c>
      <c r="AC356">
        <v>2</v>
      </c>
      <c r="AD356">
        <v>2</v>
      </c>
      <c r="AE356">
        <v>2</v>
      </c>
      <c r="AF356">
        <v>0</v>
      </c>
      <c r="AG356">
        <f>IF(tbl_HR_Data[[#This Row],[Gender]]="Male",1,0)</f>
        <v>0</v>
      </c>
      <c r="AH356" cm="1">
        <f t="array" ref="AH356">_xlfn.SWITCH(tbl_HR_Data[[#This Row],[BusinessTravel]], "Non-Travel", 0, "Travel_Rarely", 1, "Travel_Frequently", 2)</f>
        <v>0</v>
      </c>
      <c r="AI356" cm="1">
        <f t="array" ref="AI356">_xlfn.SWITCH(tbl_HR_Data[[#This Row],[MaritalStatus]],"Single",0,"Married",1,"Divorced",2)</f>
        <v>1</v>
      </c>
      <c r="AJ356">
        <f>IF(tbl_HR_Data[[#This Row],[OverTime]]=1,1,0)</f>
        <v>1</v>
      </c>
      <c r="AK356">
        <f>IF(tbl_HR_Data[[#This Row],[DistanceFromHome]]&gt;15,1,0)</f>
        <v>1</v>
      </c>
      <c r="AL356">
        <f>IF(tbl_HR_Data[[#This Row],[JobSatisfaction]]&lt;=2,1,0)</f>
        <v>0</v>
      </c>
      <c r="AM356">
        <f>IF(tbl_HR_Data[[#This Row],[MonthlyIncome]]&lt;$AT$2,1,0)</f>
        <v>1</v>
      </c>
      <c r="AN356">
        <f>IF(tbl_HR_Data[[#This Row],[Travel_Code]]=2,1,0)</f>
        <v>0</v>
      </c>
      <c r="AO356">
        <f>(tbl_HR_Data[[#This Row],[Flag_OT]] * Logic_Parameters!$B$2) +
 (tbl_HR_Data[[#This Row],[Flag_Travel]] * Logic_Parameters!$B$3) +
 (tbl_HR_Data[[#This Row],[Flag_Satisfaction]] * Logic_Parameters!$B$4) +
 (tbl_HR_Data[[#This Row],[Flag_Distance]]* Logic_Parameters!$B$5) +
 (tbl_HR_Data[[#This Row],[Flag_Income]] * Logic_Parameters!$B$6)</f>
        <v>19.660535633296206</v>
      </c>
      <c r="AP356" s="15">
        <f>tbl_HR_Data[[#This Row],[Risk_Score_Raw]] / SUM(Logic_Parameters!$B$2:$B$6)</f>
        <v>0.67735486308273574</v>
      </c>
      <c r="AQ356" s="16" t="str" cm="1">
        <f t="array" ref="AQ356">_xlfn.IFS(tbl_HR_Data[[#This Row],[Attrition_Risk_Percentage]] &gt;= 0.75, "Critical",tbl_HR_Data[ [#This Row],[Attrition_Risk_Percentage] ]&gt;= 0.5, "High",tbl_HR_Data[[#This Row],[Attrition_Risk_Percentage]] &gt;= 0.25, "Medium",TRUE, "Low")</f>
        <v>High</v>
      </c>
      <c r="AR356" s="16" cm="1">
        <f t="array" ref="AR356">IFERROR(_xlfn.IFS(tbl_HR_Data[[#This Row],[Risk_Category]]="Critical",tbl_HR_Data[[#This Row],[MonthlyIncome]]*1.5,tbl_HR_Data[[#This Row],[Risk_Category]]="High",tbl_HR_Data[[#This Row],[MonthlyIncome]]*1.5),0)</f>
        <v>7104</v>
      </c>
    </row>
    <row r="357" spans="1:44" x14ac:dyDescent="0.35">
      <c r="A357" t="s">
        <v>638</v>
      </c>
      <c r="B357">
        <v>26</v>
      </c>
      <c r="C357" t="s">
        <v>31</v>
      </c>
      <c r="D357">
        <v>933</v>
      </c>
      <c r="E357" t="s">
        <v>32</v>
      </c>
      <c r="F357">
        <v>1</v>
      </c>
      <c r="G357">
        <v>3</v>
      </c>
      <c r="H357" t="s">
        <v>33</v>
      </c>
      <c r="I357">
        <v>3</v>
      </c>
      <c r="J357" t="s">
        <v>39</v>
      </c>
      <c r="K357">
        <v>57</v>
      </c>
      <c r="L357">
        <v>3</v>
      </c>
      <c r="M357">
        <v>2</v>
      </c>
      <c r="N357" t="s">
        <v>35</v>
      </c>
      <c r="O357">
        <v>3</v>
      </c>
      <c r="P357" t="s">
        <v>41</v>
      </c>
      <c r="Q357">
        <v>5296</v>
      </c>
      <c r="R357">
        <v>20156</v>
      </c>
      <c r="S357">
        <v>1</v>
      </c>
      <c r="T357">
        <v>0</v>
      </c>
      <c r="U357" s="17">
        <v>0.17</v>
      </c>
      <c r="V357">
        <v>3</v>
      </c>
      <c r="W357">
        <v>2</v>
      </c>
      <c r="X357">
        <v>1</v>
      </c>
      <c r="Y357">
        <v>8</v>
      </c>
      <c r="Z357">
        <v>3</v>
      </c>
      <c r="AA357">
        <v>3</v>
      </c>
      <c r="AB357">
        <v>8</v>
      </c>
      <c r="AC357">
        <v>7</v>
      </c>
      <c r="AD357">
        <v>7</v>
      </c>
      <c r="AE357">
        <v>7</v>
      </c>
      <c r="AF357">
        <v>0</v>
      </c>
      <c r="AG357">
        <f>IF(tbl_HR_Data[[#This Row],[Gender]]="Male",1,0)</f>
        <v>1</v>
      </c>
      <c r="AH357" cm="1">
        <f t="array" ref="AH357">_xlfn.SWITCH(tbl_HR_Data[[#This Row],[BusinessTravel]], "Non-Travel", 0, "Travel_Rarely", 1, "Travel_Frequently", 2)</f>
        <v>1</v>
      </c>
      <c r="AI357" cm="1">
        <f t="array" ref="AI357">_xlfn.SWITCH(tbl_HR_Data[[#This Row],[MaritalStatus]],"Single",0,"Married",1,"Divorced",2)</f>
        <v>1</v>
      </c>
      <c r="AJ357">
        <f>IF(tbl_HR_Data[[#This Row],[OverTime]]=1,1,0)</f>
        <v>0</v>
      </c>
      <c r="AK357">
        <f>IF(tbl_HR_Data[[#This Row],[DistanceFromHome]]&gt;15,1,0)</f>
        <v>0</v>
      </c>
      <c r="AL357">
        <f>IF(tbl_HR_Data[[#This Row],[JobSatisfaction]]&lt;=2,1,0)</f>
        <v>0</v>
      </c>
      <c r="AM357">
        <f>IF(tbl_HR_Data[[#This Row],[MonthlyIncome]]&lt;$AT$2,1,0)</f>
        <v>0</v>
      </c>
      <c r="AN357">
        <f>IF(tbl_HR_Data[[#This Row],[Travel_Code]]=2,1,0)</f>
        <v>0</v>
      </c>
      <c r="AO357">
        <f>(tbl_HR_Data[[#This Row],[Flag_OT]] * Logic_Parameters!$B$2) +
 (tbl_HR_Data[[#This Row],[Flag_Travel]] * Logic_Parameters!$B$3) +
 (tbl_HR_Data[[#This Row],[Flag_Satisfaction]] * Logic_Parameters!$B$4) +
 (tbl_HR_Data[[#This Row],[Flag_Distance]]* Logic_Parameters!$B$5) +
 (tbl_HR_Data[[#This Row],[Flag_Income]] * Logic_Parameters!$B$6)</f>
        <v>0</v>
      </c>
      <c r="AP357" s="15">
        <f>tbl_HR_Data[[#This Row],[Risk_Score_Raw]] / SUM(Logic_Parameters!$B$2:$B$6)</f>
        <v>0</v>
      </c>
      <c r="AQ357" s="16" t="str" cm="1">
        <f t="array" ref="AQ357">_xlfn.IFS(tbl_HR_Data[[#This Row],[Attrition_Risk_Percentage]] &gt;= 0.75, "Critical",tbl_HR_Data[ [#This Row],[Attrition_Risk_Percentage] ]&gt;= 0.5, "High",tbl_HR_Data[[#This Row],[Attrition_Risk_Percentage]] &gt;= 0.25, "Medium",TRUE, "Low")</f>
        <v>Low</v>
      </c>
      <c r="AR357" s="16" cm="1">
        <f t="array" ref="AR357">IFERROR(_xlfn.IFS(tbl_HR_Data[[#This Row],[Risk_Category]]="Critical",tbl_HR_Data[[#This Row],[MonthlyIncome]]*1.5,tbl_HR_Data[[#This Row],[Risk_Category]]="High",tbl_HR_Data[[#This Row],[MonthlyIncome]]*1.5),0)</f>
        <v>0</v>
      </c>
    </row>
    <row r="358" spans="1:44" x14ac:dyDescent="0.35">
      <c r="A358" t="s">
        <v>182</v>
      </c>
      <c r="B358">
        <v>42</v>
      </c>
      <c r="C358" t="s">
        <v>31</v>
      </c>
      <c r="D358">
        <v>1332</v>
      </c>
      <c r="E358" t="s">
        <v>38</v>
      </c>
      <c r="F358">
        <v>2</v>
      </c>
      <c r="G358">
        <v>4</v>
      </c>
      <c r="H358" t="s">
        <v>42</v>
      </c>
      <c r="I358">
        <v>1</v>
      </c>
      <c r="J358" t="s">
        <v>39</v>
      </c>
      <c r="K358">
        <v>98</v>
      </c>
      <c r="L358">
        <v>2</v>
      </c>
      <c r="M358">
        <v>2</v>
      </c>
      <c r="N358" t="s">
        <v>47</v>
      </c>
      <c r="O358">
        <v>4</v>
      </c>
      <c r="P358" t="s">
        <v>36</v>
      </c>
      <c r="Q358">
        <v>6781</v>
      </c>
      <c r="R358">
        <v>17078</v>
      </c>
      <c r="S358">
        <v>3</v>
      </c>
      <c r="T358">
        <v>0</v>
      </c>
      <c r="U358" s="17">
        <v>0.23</v>
      </c>
      <c r="V358">
        <v>4</v>
      </c>
      <c r="W358">
        <v>2</v>
      </c>
      <c r="X358">
        <v>0</v>
      </c>
      <c r="Y358">
        <v>14</v>
      </c>
      <c r="Z358">
        <v>6</v>
      </c>
      <c r="AA358">
        <v>3</v>
      </c>
      <c r="AB358">
        <v>1</v>
      </c>
      <c r="AC358">
        <v>0</v>
      </c>
      <c r="AD358">
        <v>0</v>
      </c>
      <c r="AE358">
        <v>0</v>
      </c>
      <c r="AF358">
        <v>0</v>
      </c>
      <c r="AG358">
        <f>IF(tbl_HR_Data[[#This Row],[Gender]]="Male",1,0)</f>
        <v>1</v>
      </c>
      <c r="AH358" cm="1">
        <f t="array" ref="AH358">_xlfn.SWITCH(tbl_HR_Data[[#This Row],[BusinessTravel]], "Non-Travel", 0, "Travel_Rarely", 1, "Travel_Frequently", 2)</f>
        <v>1</v>
      </c>
      <c r="AI358" cm="1">
        <f t="array" ref="AI358">_xlfn.SWITCH(tbl_HR_Data[[#This Row],[MaritalStatus]],"Single",0,"Married",1,"Divorced",2)</f>
        <v>0</v>
      </c>
      <c r="AJ358">
        <f>IF(tbl_HR_Data[[#This Row],[OverTime]]=1,1,0)</f>
        <v>0</v>
      </c>
      <c r="AK358">
        <f>IF(tbl_HR_Data[[#This Row],[DistanceFromHome]]&gt;15,1,0)</f>
        <v>0</v>
      </c>
      <c r="AL358">
        <f>IF(tbl_HR_Data[[#This Row],[JobSatisfaction]]&lt;=2,1,0)</f>
        <v>0</v>
      </c>
      <c r="AM358">
        <f>IF(tbl_HR_Data[[#This Row],[MonthlyIncome]]&lt;$AT$2,1,0)</f>
        <v>0</v>
      </c>
      <c r="AN358">
        <f>IF(tbl_HR_Data[[#This Row],[Travel_Code]]=2,1,0)</f>
        <v>0</v>
      </c>
      <c r="AO358">
        <f>(tbl_HR_Data[[#This Row],[Flag_OT]] * Logic_Parameters!$B$2) +
 (tbl_HR_Data[[#This Row],[Flag_Travel]] * Logic_Parameters!$B$3) +
 (tbl_HR_Data[[#This Row],[Flag_Satisfaction]] * Logic_Parameters!$B$4) +
 (tbl_HR_Data[[#This Row],[Flag_Distance]]* Logic_Parameters!$B$5) +
 (tbl_HR_Data[[#This Row],[Flag_Income]] * Logic_Parameters!$B$6)</f>
        <v>0</v>
      </c>
      <c r="AP358" s="15">
        <f>tbl_HR_Data[[#This Row],[Risk_Score_Raw]] / SUM(Logic_Parameters!$B$2:$B$6)</f>
        <v>0</v>
      </c>
      <c r="AQ358" s="16" t="str" cm="1">
        <f t="array" ref="AQ358">_xlfn.IFS(tbl_HR_Data[[#This Row],[Attrition_Risk_Percentage]] &gt;= 0.75, "Critical",tbl_HR_Data[ [#This Row],[Attrition_Risk_Percentage] ]&gt;= 0.5, "High",tbl_HR_Data[[#This Row],[Attrition_Risk_Percentage]] &gt;= 0.25, "Medium",TRUE, "Low")</f>
        <v>Low</v>
      </c>
      <c r="AR358" s="16" cm="1">
        <f t="array" ref="AR358">IFERROR(_xlfn.IFS(tbl_HR_Data[[#This Row],[Risk_Category]]="Critical",tbl_HR_Data[[#This Row],[MonthlyIncome]]*1.5,tbl_HR_Data[[#This Row],[Risk_Category]]="High",tbl_HR_Data[[#This Row],[MonthlyIncome]]*1.5),0)</f>
        <v>0</v>
      </c>
    </row>
    <row r="359" spans="1:44" x14ac:dyDescent="0.35">
      <c r="A359" t="s">
        <v>1383</v>
      </c>
      <c r="B359">
        <v>21</v>
      </c>
      <c r="C359" t="s">
        <v>37</v>
      </c>
      <c r="D359">
        <v>756</v>
      </c>
      <c r="E359" t="s">
        <v>32</v>
      </c>
      <c r="F359">
        <v>1</v>
      </c>
      <c r="G359">
        <v>1</v>
      </c>
      <c r="H359" t="s">
        <v>52</v>
      </c>
      <c r="I359">
        <v>1</v>
      </c>
      <c r="J359" t="s">
        <v>34</v>
      </c>
      <c r="K359">
        <v>99</v>
      </c>
      <c r="L359">
        <v>2</v>
      </c>
      <c r="M359">
        <v>1</v>
      </c>
      <c r="N359" t="s">
        <v>49</v>
      </c>
      <c r="O359">
        <v>2</v>
      </c>
      <c r="P359" t="s">
        <v>36</v>
      </c>
      <c r="Q359">
        <v>2174</v>
      </c>
      <c r="R359">
        <v>9150</v>
      </c>
      <c r="S359">
        <v>1</v>
      </c>
      <c r="T359">
        <v>1</v>
      </c>
      <c r="U359" s="17">
        <v>0.11</v>
      </c>
      <c r="V359">
        <v>3</v>
      </c>
      <c r="W359">
        <v>3</v>
      </c>
      <c r="X359">
        <v>0</v>
      </c>
      <c r="Y359">
        <v>3</v>
      </c>
      <c r="Z359">
        <v>3</v>
      </c>
      <c r="AA359">
        <v>3</v>
      </c>
      <c r="AB359">
        <v>3</v>
      </c>
      <c r="AC359">
        <v>2</v>
      </c>
      <c r="AD359">
        <v>1</v>
      </c>
      <c r="AE359">
        <v>2</v>
      </c>
      <c r="AF359">
        <v>1</v>
      </c>
      <c r="AG359">
        <f>IF(tbl_HR_Data[[#This Row],[Gender]]="Male",1,0)</f>
        <v>0</v>
      </c>
      <c r="AH359" cm="1">
        <f t="array" ref="AH359">_xlfn.SWITCH(tbl_HR_Data[[#This Row],[BusinessTravel]], "Non-Travel", 0, "Travel_Rarely", 1, "Travel_Frequently", 2)</f>
        <v>2</v>
      </c>
      <c r="AI359" cm="1">
        <f t="array" ref="AI359">_xlfn.SWITCH(tbl_HR_Data[[#This Row],[MaritalStatus]],"Single",0,"Married",1,"Divorced",2)</f>
        <v>0</v>
      </c>
      <c r="AJ359">
        <f>IF(tbl_HR_Data[[#This Row],[OverTime]]=1,1,0)</f>
        <v>1</v>
      </c>
      <c r="AK359">
        <f>IF(tbl_HR_Data[[#This Row],[DistanceFromHome]]&gt;15,1,0)</f>
        <v>0</v>
      </c>
      <c r="AL359">
        <f>IF(tbl_HR_Data[[#This Row],[JobSatisfaction]]&lt;=2,1,0)</f>
        <v>1</v>
      </c>
      <c r="AM359">
        <f>IF(tbl_HR_Data[[#This Row],[MonthlyIncome]]&lt;$AT$2,1,0)</f>
        <v>1</v>
      </c>
      <c r="AN359">
        <f>IF(tbl_HR_Data[[#This Row],[Travel_Code]]=2,1,0)</f>
        <v>1</v>
      </c>
      <c r="AO359">
        <f>(tbl_HR_Data[[#This Row],[Flag_OT]] * Logic_Parameters!$B$2) +
 (tbl_HR_Data[[#This Row],[Flag_Travel]] * Logic_Parameters!$B$3) +
 (tbl_HR_Data[[#This Row],[Flag_Satisfaction]] * Logic_Parameters!$B$4) +
 (tbl_HR_Data[[#This Row],[Flag_Distance]]* Logic_Parameters!$B$5) +
 (tbl_HR_Data[[#This Row],[Flag_Income]] * Logic_Parameters!$B$6)</f>
        <v>25.859352047889136</v>
      </c>
      <c r="AP359" s="15">
        <f>tbl_HR_Data[[#This Row],[Risk_Score_Raw]] / SUM(Logic_Parameters!$B$2:$B$6)</f>
        <v>0.8909196673228964</v>
      </c>
      <c r="AQ359" s="16" t="str" cm="1">
        <f t="array" ref="AQ359">_xlfn.IFS(tbl_HR_Data[[#This Row],[Attrition_Risk_Percentage]] &gt;= 0.75, "Critical",tbl_HR_Data[ [#This Row],[Attrition_Risk_Percentage] ]&gt;= 0.5, "High",tbl_HR_Data[[#This Row],[Attrition_Risk_Percentage]] &gt;= 0.25, "Medium",TRUE, "Low")</f>
        <v>Critical</v>
      </c>
      <c r="AR359" s="16" cm="1">
        <f t="array" ref="AR359">IFERROR(_xlfn.IFS(tbl_HR_Data[[#This Row],[Risk_Category]]="Critical",tbl_HR_Data[[#This Row],[MonthlyIncome]]*1.5,tbl_HR_Data[[#This Row],[Risk_Category]]="High",tbl_HR_Data[[#This Row],[MonthlyIncome]]*1.5),0)</f>
        <v>3261</v>
      </c>
    </row>
    <row r="360" spans="1:44" x14ac:dyDescent="0.35">
      <c r="A360" t="s">
        <v>105</v>
      </c>
      <c r="B360">
        <v>36</v>
      </c>
      <c r="C360" t="s">
        <v>1525</v>
      </c>
      <c r="D360">
        <v>845</v>
      </c>
      <c r="E360" t="s">
        <v>32</v>
      </c>
      <c r="F360">
        <v>1</v>
      </c>
      <c r="G360">
        <v>5</v>
      </c>
      <c r="H360" t="s">
        <v>44</v>
      </c>
      <c r="I360">
        <v>4</v>
      </c>
      <c r="J360" t="s">
        <v>34</v>
      </c>
      <c r="K360">
        <v>45</v>
      </c>
      <c r="L360">
        <v>3</v>
      </c>
      <c r="M360">
        <v>2</v>
      </c>
      <c r="N360" t="s">
        <v>35</v>
      </c>
      <c r="O360">
        <v>4</v>
      </c>
      <c r="P360" t="s">
        <v>36</v>
      </c>
      <c r="Q360">
        <v>6653</v>
      </c>
      <c r="R360">
        <v>15276</v>
      </c>
      <c r="S360">
        <v>4</v>
      </c>
      <c r="T360">
        <v>0</v>
      </c>
      <c r="U360" s="17">
        <v>0.15</v>
      </c>
      <c r="V360">
        <v>3</v>
      </c>
      <c r="W360">
        <v>2</v>
      </c>
      <c r="X360">
        <v>0</v>
      </c>
      <c r="Y360">
        <v>7</v>
      </c>
      <c r="Z360">
        <v>6</v>
      </c>
      <c r="AA360">
        <v>3</v>
      </c>
      <c r="AB360">
        <v>1</v>
      </c>
      <c r="AC360">
        <v>0</v>
      </c>
      <c r="AD360">
        <v>0</v>
      </c>
      <c r="AE360">
        <v>0</v>
      </c>
      <c r="AF360">
        <v>0</v>
      </c>
      <c r="AG360">
        <f>IF(tbl_HR_Data[[#This Row],[Gender]]="Male",1,0)</f>
        <v>0</v>
      </c>
      <c r="AH360" cm="1">
        <f t="array" ref="AH360">_xlfn.SWITCH(tbl_HR_Data[[#This Row],[BusinessTravel]], "Non-Travel", 0, "Travel_Rarely", 1, "Travel_Frequently", 2)</f>
        <v>0</v>
      </c>
      <c r="AI360" cm="1">
        <f t="array" ref="AI360">_xlfn.SWITCH(tbl_HR_Data[[#This Row],[MaritalStatus]],"Single",0,"Married",1,"Divorced",2)</f>
        <v>0</v>
      </c>
      <c r="AJ360">
        <f>IF(tbl_HR_Data[[#This Row],[OverTime]]=1,1,0)</f>
        <v>0</v>
      </c>
      <c r="AK360">
        <f>IF(tbl_HR_Data[[#This Row],[DistanceFromHome]]&gt;15,1,0)</f>
        <v>0</v>
      </c>
      <c r="AL360">
        <f>IF(tbl_HR_Data[[#This Row],[JobSatisfaction]]&lt;=2,1,0)</f>
        <v>0</v>
      </c>
      <c r="AM360">
        <f>IF(tbl_HR_Data[[#This Row],[MonthlyIncome]]&lt;$AT$2,1,0)</f>
        <v>0</v>
      </c>
      <c r="AN360">
        <f>IF(tbl_HR_Data[[#This Row],[Travel_Code]]=2,1,0)</f>
        <v>0</v>
      </c>
      <c r="AO360">
        <f>(tbl_HR_Data[[#This Row],[Flag_OT]] * Logic_Parameters!$B$2) +
 (tbl_HR_Data[[#This Row],[Flag_Travel]] * Logic_Parameters!$B$3) +
 (tbl_HR_Data[[#This Row],[Flag_Satisfaction]] * Logic_Parameters!$B$4) +
 (tbl_HR_Data[[#This Row],[Flag_Distance]]* Logic_Parameters!$B$5) +
 (tbl_HR_Data[[#This Row],[Flag_Income]] * Logic_Parameters!$B$6)</f>
        <v>0</v>
      </c>
      <c r="AP360" s="15">
        <f>tbl_HR_Data[[#This Row],[Risk_Score_Raw]] / SUM(Logic_Parameters!$B$2:$B$6)</f>
        <v>0</v>
      </c>
      <c r="AQ360" s="16" t="str" cm="1">
        <f t="array" ref="AQ360">_xlfn.IFS(tbl_HR_Data[[#This Row],[Attrition_Risk_Percentage]] &gt;= 0.75, "Critical",tbl_HR_Data[ [#This Row],[Attrition_Risk_Percentage] ]&gt;= 0.5, "High",tbl_HR_Data[[#This Row],[Attrition_Risk_Percentage]] &gt;= 0.25, "Medium",TRUE, "Low")</f>
        <v>Low</v>
      </c>
      <c r="AR360" s="16" cm="1">
        <f t="array" ref="AR360">IFERROR(_xlfn.IFS(tbl_HR_Data[[#This Row],[Risk_Category]]="Critical",tbl_HR_Data[[#This Row],[MonthlyIncome]]*1.5,tbl_HR_Data[[#This Row],[Risk_Category]]="High",tbl_HR_Data[[#This Row],[MonthlyIncome]]*1.5),0)</f>
        <v>0</v>
      </c>
    </row>
    <row r="361" spans="1:44" x14ac:dyDescent="0.35">
      <c r="A361" t="s">
        <v>1465</v>
      </c>
      <c r="B361">
        <v>36</v>
      </c>
      <c r="C361" t="s">
        <v>37</v>
      </c>
      <c r="D361">
        <v>541</v>
      </c>
      <c r="E361" t="s">
        <v>32</v>
      </c>
      <c r="F361">
        <v>3</v>
      </c>
      <c r="G361">
        <v>4</v>
      </c>
      <c r="H361" t="s">
        <v>44</v>
      </c>
      <c r="I361">
        <v>1</v>
      </c>
      <c r="J361" t="s">
        <v>39</v>
      </c>
      <c r="K361">
        <v>48</v>
      </c>
      <c r="L361">
        <v>2</v>
      </c>
      <c r="M361">
        <v>3</v>
      </c>
      <c r="N361" t="s">
        <v>35</v>
      </c>
      <c r="O361">
        <v>4</v>
      </c>
      <c r="P361" t="s">
        <v>41</v>
      </c>
      <c r="Q361">
        <v>9699</v>
      </c>
      <c r="R361">
        <v>7246</v>
      </c>
      <c r="S361">
        <v>4</v>
      </c>
      <c r="T361">
        <v>0</v>
      </c>
      <c r="U361" s="17">
        <v>0.11</v>
      </c>
      <c r="V361">
        <v>3</v>
      </c>
      <c r="W361">
        <v>1</v>
      </c>
      <c r="X361">
        <v>1</v>
      </c>
      <c r="Y361">
        <v>16</v>
      </c>
      <c r="Z361">
        <v>2</v>
      </c>
      <c r="AA361">
        <v>3</v>
      </c>
      <c r="AB361">
        <v>13</v>
      </c>
      <c r="AC361">
        <v>9</v>
      </c>
      <c r="AD361">
        <v>1</v>
      </c>
      <c r="AE361">
        <v>12</v>
      </c>
      <c r="AF361">
        <v>0</v>
      </c>
      <c r="AG361">
        <f>IF(tbl_HR_Data[[#This Row],[Gender]]="Male",1,0)</f>
        <v>1</v>
      </c>
      <c r="AH361" cm="1">
        <f t="array" ref="AH361">_xlfn.SWITCH(tbl_HR_Data[[#This Row],[BusinessTravel]], "Non-Travel", 0, "Travel_Rarely", 1, "Travel_Frequently", 2)</f>
        <v>2</v>
      </c>
      <c r="AI361" cm="1">
        <f t="array" ref="AI361">_xlfn.SWITCH(tbl_HR_Data[[#This Row],[MaritalStatus]],"Single",0,"Married",1,"Divorced",2)</f>
        <v>1</v>
      </c>
      <c r="AJ361">
        <f>IF(tbl_HR_Data[[#This Row],[OverTime]]=1,1,0)</f>
        <v>0</v>
      </c>
      <c r="AK361">
        <f>IF(tbl_HR_Data[[#This Row],[DistanceFromHome]]&gt;15,1,0)</f>
        <v>0</v>
      </c>
      <c r="AL361">
        <f>IF(tbl_HR_Data[[#This Row],[JobSatisfaction]]&lt;=2,1,0)</f>
        <v>0</v>
      </c>
      <c r="AM361">
        <f>IF(tbl_HR_Data[[#This Row],[MonthlyIncome]]&lt;$AT$2,1,0)</f>
        <v>0</v>
      </c>
      <c r="AN361">
        <f>IF(tbl_HR_Data[[#This Row],[Travel_Code]]=2,1,0)</f>
        <v>1</v>
      </c>
      <c r="AO361">
        <f>(tbl_HR_Data[[#This Row],[Flag_OT]] * Logic_Parameters!$B$2) +
 (tbl_HR_Data[[#This Row],[Flag_Travel]] * Logic_Parameters!$B$3) +
 (tbl_HR_Data[[#This Row],[Flag_Satisfaction]] * Logic_Parameters!$B$4) +
 (tbl_HR_Data[[#This Row],[Flag_Distance]]* Logic_Parameters!$B$5) +
 (tbl_HR_Data[[#This Row],[Flag_Income]] * Logic_Parameters!$B$6)</f>
        <v>5.1603899804901765</v>
      </c>
      <c r="AP361" s="15">
        <f>tbl_HR_Data[[#This Row],[Risk_Score_Raw]] / SUM(Logic_Parameters!$B$2:$B$6)</f>
        <v>0.17778840383009531</v>
      </c>
      <c r="AQ361" s="16" t="str" cm="1">
        <f t="array" ref="AQ361">_xlfn.IFS(tbl_HR_Data[[#This Row],[Attrition_Risk_Percentage]] &gt;= 0.75, "Critical",tbl_HR_Data[ [#This Row],[Attrition_Risk_Percentage] ]&gt;= 0.5, "High",tbl_HR_Data[[#This Row],[Attrition_Risk_Percentage]] &gt;= 0.25, "Medium",TRUE, "Low")</f>
        <v>Low</v>
      </c>
      <c r="AR361" s="16" cm="1">
        <f t="array" ref="AR361">IFERROR(_xlfn.IFS(tbl_HR_Data[[#This Row],[Risk_Category]]="Critical",tbl_HR_Data[[#This Row],[MonthlyIncome]]*1.5,tbl_HR_Data[[#This Row],[Risk_Category]]="High",tbl_HR_Data[[#This Row],[MonthlyIncome]]*1.5),0)</f>
        <v>0</v>
      </c>
    </row>
    <row r="362" spans="1:44" x14ac:dyDescent="0.35">
      <c r="A362" t="s">
        <v>880</v>
      </c>
      <c r="B362">
        <v>57</v>
      </c>
      <c r="C362" t="s">
        <v>31</v>
      </c>
      <c r="D362">
        <v>593</v>
      </c>
      <c r="E362" t="s">
        <v>38</v>
      </c>
      <c r="F362">
        <v>1</v>
      </c>
      <c r="G362">
        <v>4</v>
      </c>
      <c r="H362" t="s">
        <v>44</v>
      </c>
      <c r="I362">
        <v>4</v>
      </c>
      <c r="J362" t="s">
        <v>39</v>
      </c>
      <c r="K362">
        <v>88</v>
      </c>
      <c r="L362">
        <v>3</v>
      </c>
      <c r="M362">
        <v>2</v>
      </c>
      <c r="N362" t="s">
        <v>47</v>
      </c>
      <c r="O362">
        <v>3</v>
      </c>
      <c r="P362" t="s">
        <v>41</v>
      </c>
      <c r="Q362">
        <v>6755</v>
      </c>
      <c r="R362">
        <v>2967</v>
      </c>
      <c r="S362">
        <v>2</v>
      </c>
      <c r="T362">
        <v>0</v>
      </c>
      <c r="U362" s="17">
        <v>0.11</v>
      </c>
      <c r="V362">
        <v>3</v>
      </c>
      <c r="W362">
        <v>3</v>
      </c>
      <c r="X362">
        <v>0</v>
      </c>
      <c r="Y362">
        <v>15</v>
      </c>
      <c r="Z362">
        <v>2</v>
      </c>
      <c r="AA362">
        <v>3</v>
      </c>
      <c r="AB362">
        <v>3</v>
      </c>
      <c r="AC362">
        <v>2</v>
      </c>
      <c r="AD362">
        <v>1</v>
      </c>
      <c r="AE362">
        <v>2</v>
      </c>
      <c r="AF362">
        <v>0</v>
      </c>
      <c r="AG362">
        <f>IF(tbl_HR_Data[[#This Row],[Gender]]="Male",1,0)</f>
        <v>1</v>
      </c>
      <c r="AH362" cm="1">
        <f t="array" ref="AH362">_xlfn.SWITCH(tbl_HR_Data[[#This Row],[BusinessTravel]], "Non-Travel", 0, "Travel_Rarely", 1, "Travel_Frequently", 2)</f>
        <v>1</v>
      </c>
      <c r="AI362" cm="1">
        <f t="array" ref="AI362">_xlfn.SWITCH(tbl_HR_Data[[#This Row],[MaritalStatus]],"Single",0,"Married",1,"Divorced",2)</f>
        <v>1</v>
      </c>
      <c r="AJ362">
        <f>IF(tbl_HR_Data[[#This Row],[OverTime]]=1,1,0)</f>
        <v>0</v>
      </c>
      <c r="AK362">
        <f>IF(tbl_HR_Data[[#This Row],[DistanceFromHome]]&gt;15,1,0)</f>
        <v>0</v>
      </c>
      <c r="AL362">
        <f>IF(tbl_HR_Data[[#This Row],[JobSatisfaction]]&lt;=2,1,0)</f>
        <v>0</v>
      </c>
      <c r="AM362">
        <f>IF(tbl_HR_Data[[#This Row],[MonthlyIncome]]&lt;$AT$2,1,0)</f>
        <v>0</v>
      </c>
      <c r="AN362">
        <f>IF(tbl_HR_Data[[#This Row],[Travel_Code]]=2,1,0)</f>
        <v>0</v>
      </c>
      <c r="AO362">
        <f>(tbl_HR_Data[[#This Row],[Flag_OT]] * Logic_Parameters!$B$2) +
 (tbl_HR_Data[[#This Row],[Flag_Travel]] * Logic_Parameters!$B$3) +
 (tbl_HR_Data[[#This Row],[Flag_Satisfaction]] * Logic_Parameters!$B$4) +
 (tbl_HR_Data[[#This Row],[Flag_Distance]]* Logic_Parameters!$B$5) +
 (tbl_HR_Data[[#This Row],[Flag_Income]] * Logic_Parameters!$B$6)</f>
        <v>0</v>
      </c>
      <c r="AP362" s="15">
        <f>tbl_HR_Data[[#This Row],[Risk_Score_Raw]] / SUM(Logic_Parameters!$B$2:$B$6)</f>
        <v>0</v>
      </c>
      <c r="AQ362" s="16" t="str" cm="1">
        <f t="array" ref="AQ362">_xlfn.IFS(tbl_HR_Data[[#This Row],[Attrition_Risk_Percentage]] &gt;= 0.75, "Critical",tbl_HR_Data[ [#This Row],[Attrition_Risk_Percentage] ]&gt;= 0.5, "High",tbl_HR_Data[[#This Row],[Attrition_Risk_Percentage]] &gt;= 0.25, "Medium",TRUE, "Low")</f>
        <v>Low</v>
      </c>
      <c r="AR362" s="16" cm="1">
        <f t="array" ref="AR362">IFERROR(_xlfn.IFS(tbl_HR_Data[[#This Row],[Risk_Category]]="Critical",tbl_HR_Data[[#This Row],[MonthlyIncome]]*1.5,tbl_HR_Data[[#This Row],[Risk_Category]]="High",tbl_HR_Data[[#This Row],[MonthlyIncome]]*1.5),0)</f>
        <v>0</v>
      </c>
    </row>
    <row r="363" spans="1:44" x14ac:dyDescent="0.35">
      <c r="A363" t="s">
        <v>641</v>
      </c>
      <c r="B363">
        <v>40</v>
      </c>
      <c r="C363" t="s">
        <v>31</v>
      </c>
      <c r="D363">
        <v>1171</v>
      </c>
      <c r="E363" t="s">
        <v>38</v>
      </c>
      <c r="F363">
        <v>10</v>
      </c>
      <c r="G363">
        <v>4</v>
      </c>
      <c r="H363" t="s">
        <v>33</v>
      </c>
      <c r="I363">
        <v>4</v>
      </c>
      <c r="J363" t="s">
        <v>34</v>
      </c>
      <c r="K363">
        <v>46</v>
      </c>
      <c r="L363">
        <v>4</v>
      </c>
      <c r="M363">
        <v>1</v>
      </c>
      <c r="N363" t="s">
        <v>43</v>
      </c>
      <c r="O363">
        <v>3</v>
      </c>
      <c r="P363" t="s">
        <v>41</v>
      </c>
      <c r="Q363">
        <v>2213</v>
      </c>
      <c r="R363">
        <v>22495</v>
      </c>
      <c r="S363">
        <v>3</v>
      </c>
      <c r="T363">
        <v>1</v>
      </c>
      <c r="U363" s="17">
        <v>0.13</v>
      </c>
      <c r="V363">
        <v>3</v>
      </c>
      <c r="W363">
        <v>3</v>
      </c>
      <c r="X363">
        <v>1</v>
      </c>
      <c r="Y363">
        <v>10</v>
      </c>
      <c r="Z363">
        <v>3</v>
      </c>
      <c r="AA363">
        <v>3</v>
      </c>
      <c r="AB363">
        <v>7</v>
      </c>
      <c r="AC363">
        <v>7</v>
      </c>
      <c r="AD363">
        <v>1</v>
      </c>
      <c r="AE363">
        <v>7</v>
      </c>
      <c r="AF363">
        <v>0</v>
      </c>
      <c r="AG363">
        <f>IF(tbl_HR_Data[[#This Row],[Gender]]="Male",1,0)</f>
        <v>0</v>
      </c>
      <c r="AH363" cm="1">
        <f t="array" ref="AH363">_xlfn.SWITCH(tbl_HR_Data[[#This Row],[BusinessTravel]], "Non-Travel", 0, "Travel_Rarely", 1, "Travel_Frequently", 2)</f>
        <v>1</v>
      </c>
      <c r="AI363" cm="1">
        <f t="array" ref="AI363">_xlfn.SWITCH(tbl_HR_Data[[#This Row],[MaritalStatus]],"Single",0,"Married",1,"Divorced",2)</f>
        <v>1</v>
      </c>
      <c r="AJ363">
        <f>IF(tbl_HR_Data[[#This Row],[OverTime]]=1,1,0)</f>
        <v>1</v>
      </c>
      <c r="AK363">
        <f>IF(tbl_HR_Data[[#This Row],[DistanceFromHome]]&gt;15,1,0)</f>
        <v>0</v>
      </c>
      <c r="AL363">
        <f>IF(tbl_HR_Data[[#This Row],[JobSatisfaction]]&lt;=2,1,0)</f>
        <v>0</v>
      </c>
      <c r="AM363">
        <f>IF(tbl_HR_Data[[#This Row],[MonthlyIncome]]&lt;$AT$2,1,0)</f>
        <v>1</v>
      </c>
      <c r="AN363">
        <f>IF(tbl_HR_Data[[#This Row],[Travel_Code]]=2,1,0)</f>
        <v>0</v>
      </c>
      <c r="AO363">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363" s="15">
        <f>tbl_HR_Data[[#This Row],[Risk_Score_Raw]] / SUM(Logic_Parameters!$B$2:$B$6)</f>
        <v>0.56827453040563214</v>
      </c>
      <c r="AQ363" s="16" t="str" cm="1">
        <f t="array" ref="AQ363">_xlfn.IFS(tbl_HR_Data[[#This Row],[Attrition_Risk_Percentage]] &gt;= 0.75, "Critical",tbl_HR_Data[ [#This Row],[Attrition_Risk_Percentage] ]&gt;= 0.5, "High",tbl_HR_Data[[#This Row],[Attrition_Risk_Percentage]] &gt;= 0.25, "Medium",TRUE, "Low")</f>
        <v>High</v>
      </c>
      <c r="AR363" s="16" cm="1">
        <f t="array" ref="AR363">IFERROR(_xlfn.IFS(tbl_HR_Data[[#This Row],[Risk_Category]]="Critical",tbl_HR_Data[[#This Row],[MonthlyIncome]]*1.5,tbl_HR_Data[[#This Row],[Risk_Category]]="High",tbl_HR_Data[[#This Row],[MonthlyIncome]]*1.5),0)</f>
        <v>3319.5</v>
      </c>
    </row>
    <row r="364" spans="1:44" x14ac:dyDescent="0.35">
      <c r="A364" t="s">
        <v>411</v>
      </c>
      <c r="B364">
        <v>21</v>
      </c>
      <c r="C364" t="s">
        <v>1525</v>
      </c>
      <c r="D364">
        <v>895</v>
      </c>
      <c r="E364" t="s">
        <v>32</v>
      </c>
      <c r="F364">
        <v>9</v>
      </c>
      <c r="G364">
        <v>2</v>
      </c>
      <c r="H364" t="s">
        <v>44</v>
      </c>
      <c r="I364">
        <v>1</v>
      </c>
      <c r="J364" t="s">
        <v>39</v>
      </c>
      <c r="K364">
        <v>39</v>
      </c>
      <c r="L364">
        <v>3</v>
      </c>
      <c r="M364">
        <v>1</v>
      </c>
      <c r="N364" t="s">
        <v>49</v>
      </c>
      <c r="O364">
        <v>4</v>
      </c>
      <c r="P364" t="s">
        <v>36</v>
      </c>
      <c r="Q364">
        <v>2610</v>
      </c>
      <c r="R364">
        <v>2851</v>
      </c>
      <c r="S364">
        <v>1</v>
      </c>
      <c r="T364">
        <v>0</v>
      </c>
      <c r="U364" s="17">
        <v>0.24</v>
      </c>
      <c r="V364">
        <v>4</v>
      </c>
      <c r="W364">
        <v>3</v>
      </c>
      <c r="X364">
        <v>0</v>
      </c>
      <c r="Y364">
        <v>3</v>
      </c>
      <c r="Z364">
        <v>3</v>
      </c>
      <c r="AA364">
        <v>2</v>
      </c>
      <c r="AB364">
        <v>3</v>
      </c>
      <c r="AC364">
        <v>2</v>
      </c>
      <c r="AD364">
        <v>2</v>
      </c>
      <c r="AE364">
        <v>2</v>
      </c>
      <c r="AF364">
        <v>0</v>
      </c>
      <c r="AG364">
        <f>IF(tbl_HR_Data[[#This Row],[Gender]]="Male",1,0)</f>
        <v>1</v>
      </c>
      <c r="AH364" cm="1">
        <f t="array" ref="AH364">_xlfn.SWITCH(tbl_HR_Data[[#This Row],[BusinessTravel]], "Non-Travel", 0, "Travel_Rarely", 1, "Travel_Frequently", 2)</f>
        <v>0</v>
      </c>
      <c r="AI364" cm="1">
        <f t="array" ref="AI364">_xlfn.SWITCH(tbl_HR_Data[[#This Row],[MaritalStatus]],"Single",0,"Married",1,"Divorced",2)</f>
        <v>0</v>
      </c>
      <c r="AJ364">
        <f>IF(tbl_HR_Data[[#This Row],[OverTime]]=1,1,0)</f>
        <v>0</v>
      </c>
      <c r="AK364">
        <f>IF(tbl_HR_Data[[#This Row],[DistanceFromHome]]&gt;15,1,0)</f>
        <v>0</v>
      </c>
      <c r="AL364">
        <f>IF(tbl_HR_Data[[#This Row],[JobSatisfaction]]&lt;=2,1,0)</f>
        <v>0</v>
      </c>
      <c r="AM364">
        <f>IF(tbl_HR_Data[[#This Row],[MonthlyIncome]]&lt;$AT$2,1,0)</f>
        <v>1</v>
      </c>
      <c r="AN364">
        <f>IF(tbl_HR_Data[[#This Row],[Travel_Code]]=2,1,0)</f>
        <v>0</v>
      </c>
      <c r="AO364">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364" s="15">
        <f>tbl_HR_Data[[#This Row],[Risk_Score_Raw]] / SUM(Logic_Parameters!$B$2:$B$6)</f>
        <v>0.22374939857982484</v>
      </c>
      <c r="AQ364" s="16" t="str" cm="1">
        <f t="array" ref="AQ364">_xlfn.IFS(tbl_HR_Data[[#This Row],[Attrition_Risk_Percentage]] &gt;= 0.75, "Critical",tbl_HR_Data[ [#This Row],[Attrition_Risk_Percentage] ]&gt;= 0.5, "High",tbl_HR_Data[[#This Row],[Attrition_Risk_Percentage]] &gt;= 0.25, "Medium",TRUE, "Low")</f>
        <v>Low</v>
      </c>
      <c r="AR364" s="16" cm="1">
        <f t="array" ref="AR364">IFERROR(_xlfn.IFS(tbl_HR_Data[[#This Row],[Risk_Category]]="Critical",tbl_HR_Data[[#This Row],[MonthlyIncome]]*1.5,tbl_HR_Data[[#This Row],[Risk_Category]]="High",tbl_HR_Data[[#This Row],[MonthlyIncome]]*1.5),0)</f>
        <v>0</v>
      </c>
    </row>
    <row r="365" spans="1:44" x14ac:dyDescent="0.35">
      <c r="A365" t="s">
        <v>1008</v>
      </c>
      <c r="B365">
        <v>33</v>
      </c>
      <c r="C365" t="s">
        <v>31</v>
      </c>
      <c r="D365">
        <v>350</v>
      </c>
      <c r="E365" t="s">
        <v>32</v>
      </c>
      <c r="F365">
        <v>5</v>
      </c>
      <c r="G365">
        <v>3</v>
      </c>
      <c r="H365" t="s">
        <v>51</v>
      </c>
      <c r="I365">
        <v>4</v>
      </c>
      <c r="J365" t="s">
        <v>34</v>
      </c>
      <c r="K365">
        <v>34</v>
      </c>
      <c r="L365">
        <v>3</v>
      </c>
      <c r="M365">
        <v>1</v>
      </c>
      <c r="N365" t="s">
        <v>49</v>
      </c>
      <c r="O365">
        <v>3</v>
      </c>
      <c r="P365" t="s">
        <v>36</v>
      </c>
      <c r="Q365">
        <v>2851</v>
      </c>
      <c r="R365">
        <v>9150</v>
      </c>
      <c r="S365">
        <v>1</v>
      </c>
      <c r="T365">
        <v>1</v>
      </c>
      <c r="U365" s="17">
        <v>0.13</v>
      </c>
      <c r="V365">
        <v>3</v>
      </c>
      <c r="W365">
        <v>2</v>
      </c>
      <c r="X365">
        <v>0</v>
      </c>
      <c r="Y365">
        <v>1</v>
      </c>
      <c r="Z365">
        <v>2</v>
      </c>
      <c r="AA365">
        <v>3</v>
      </c>
      <c r="AB365">
        <v>1</v>
      </c>
      <c r="AC365">
        <v>0</v>
      </c>
      <c r="AD365">
        <v>0</v>
      </c>
      <c r="AE365">
        <v>0</v>
      </c>
      <c r="AF365">
        <v>1</v>
      </c>
      <c r="AG365">
        <f>IF(tbl_HR_Data[[#This Row],[Gender]]="Male",1,0)</f>
        <v>0</v>
      </c>
      <c r="AH365" cm="1">
        <f t="array" ref="AH365">_xlfn.SWITCH(tbl_HR_Data[[#This Row],[BusinessTravel]], "Non-Travel", 0, "Travel_Rarely", 1, "Travel_Frequently", 2)</f>
        <v>1</v>
      </c>
      <c r="AI365" cm="1">
        <f t="array" ref="AI365">_xlfn.SWITCH(tbl_HR_Data[[#This Row],[MaritalStatus]],"Single",0,"Married",1,"Divorced",2)</f>
        <v>0</v>
      </c>
      <c r="AJ365">
        <f>IF(tbl_HR_Data[[#This Row],[OverTime]]=1,1,0)</f>
        <v>1</v>
      </c>
      <c r="AK365">
        <f>IF(tbl_HR_Data[[#This Row],[DistanceFromHome]]&gt;15,1,0)</f>
        <v>0</v>
      </c>
      <c r="AL365">
        <f>IF(tbl_HR_Data[[#This Row],[JobSatisfaction]]&lt;=2,1,0)</f>
        <v>0</v>
      </c>
      <c r="AM365">
        <f>IF(tbl_HR_Data[[#This Row],[MonthlyIncome]]&lt;$AT$2,1,0)</f>
        <v>1</v>
      </c>
      <c r="AN365">
        <f>IF(tbl_HR_Data[[#This Row],[Travel_Code]]=2,1,0)</f>
        <v>0</v>
      </c>
      <c r="AO365">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365" s="15">
        <f>tbl_HR_Data[[#This Row],[Risk_Score_Raw]] / SUM(Logic_Parameters!$B$2:$B$6)</f>
        <v>0.56827453040563214</v>
      </c>
      <c r="AQ365" s="16" t="str" cm="1">
        <f t="array" ref="AQ365">_xlfn.IFS(tbl_HR_Data[[#This Row],[Attrition_Risk_Percentage]] &gt;= 0.75, "Critical",tbl_HR_Data[ [#This Row],[Attrition_Risk_Percentage] ]&gt;= 0.5, "High",tbl_HR_Data[[#This Row],[Attrition_Risk_Percentage]] &gt;= 0.25, "Medium",TRUE, "Low")</f>
        <v>High</v>
      </c>
      <c r="AR365" s="16" cm="1">
        <f t="array" ref="AR365">IFERROR(_xlfn.IFS(tbl_HR_Data[[#This Row],[Risk_Category]]="Critical",tbl_HR_Data[[#This Row],[MonthlyIncome]]*1.5,tbl_HR_Data[[#This Row],[Risk_Category]]="High",tbl_HR_Data[[#This Row],[MonthlyIncome]]*1.5),0)</f>
        <v>4276.5</v>
      </c>
    </row>
    <row r="366" spans="1:44" x14ac:dyDescent="0.35">
      <c r="A366" t="s">
        <v>1321</v>
      </c>
      <c r="B366">
        <v>37</v>
      </c>
      <c r="C366" t="s">
        <v>31</v>
      </c>
      <c r="D366">
        <v>921</v>
      </c>
      <c r="E366" t="s">
        <v>38</v>
      </c>
      <c r="F366">
        <v>10</v>
      </c>
      <c r="G366">
        <v>3</v>
      </c>
      <c r="H366" t="s">
        <v>44</v>
      </c>
      <c r="I366">
        <v>3</v>
      </c>
      <c r="J366" t="s">
        <v>34</v>
      </c>
      <c r="K366">
        <v>98</v>
      </c>
      <c r="L366">
        <v>3</v>
      </c>
      <c r="M366">
        <v>1</v>
      </c>
      <c r="N366" t="s">
        <v>43</v>
      </c>
      <c r="O366">
        <v>1</v>
      </c>
      <c r="P366" t="s">
        <v>41</v>
      </c>
      <c r="Q366">
        <v>3452</v>
      </c>
      <c r="R366">
        <v>17663</v>
      </c>
      <c r="S366">
        <v>6</v>
      </c>
      <c r="T366">
        <v>0</v>
      </c>
      <c r="U366" s="17">
        <v>0.2</v>
      </c>
      <c r="V366">
        <v>4</v>
      </c>
      <c r="W366">
        <v>2</v>
      </c>
      <c r="X366">
        <v>1</v>
      </c>
      <c r="Y366">
        <v>17</v>
      </c>
      <c r="Z366">
        <v>3</v>
      </c>
      <c r="AA366">
        <v>3</v>
      </c>
      <c r="AB366">
        <v>5</v>
      </c>
      <c r="AC366">
        <v>4</v>
      </c>
      <c r="AD366">
        <v>0</v>
      </c>
      <c r="AE366">
        <v>3</v>
      </c>
      <c r="AF366">
        <v>0</v>
      </c>
      <c r="AG366">
        <f>IF(tbl_HR_Data[[#This Row],[Gender]]="Male",1,0)</f>
        <v>0</v>
      </c>
      <c r="AH366" cm="1">
        <f t="array" ref="AH366">_xlfn.SWITCH(tbl_HR_Data[[#This Row],[BusinessTravel]], "Non-Travel", 0, "Travel_Rarely", 1, "Travel_Frequently", 2)</f>
        <v>1</v>
      </c>
      <c r="AI366" cm="1">
        <f t="array" ref="AI366">_xlfn.SWITCH(tbl_HR_Data[[#This Row],[MaritalStatus]],"Single",0,"Married",1,"Divorced",2)</f>
        <v>1</v>
      </c>
      <c r="AJ366">
        <f>IF(tbl_HR_Data[[#This Row],[OverTime]]=1,1,0)</f>
        <v>0</v>
      </c>
      <c r="AK366">
        <f>IF(tbl_HR_Data[[#This Row],[DistanceFromHome]]&gt;15,1,0)</f>
        <v>0</v>
      </c>
      <c r="AL366">
        <f>IF(tbl_HR_Data[[#This Row],[JobSatisfaction]]&lt;=2,1,0)</f>
        <v>1</v>
      </c>
      <c r="AM366">
        <f>IF(tbl_HR_Data[[#This Row],[MonthlyIncome]]&lt;$AT$2,1,0)</f>
        <v>1</v>
      </c>
      <c r="AN366">
        <f>IF(tbl_HR_Data[[#This Row],[Travel_Code]]=2,1,0)</f>
        <v>0</v>
      </c>
      <c r="AO366">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366" s="15">
        <f>tbl_HR_Data[[#This Row],[Risk_Score_Raw]] / SUM(Logic_Parameters!$B$2:$B$6)</f>
        <v>0.3686061316669938</v>
      </c>
      <c r="AQ366" s="16" t="str" cm="1">
        <f t="array" ref="AQ366">_xlfn.IFS(tbl_HR_Data[[#This Row],[Attrition_Risk_Percentage]] &gt;= 0.75, "Critical",tbl_HR_Data[ [#This Row],[Attrition_Risk_Percentage] ]&gt;= 0.5, "High",tbl_HR_Data[[#This Row],[Attrition_Risk_Percentage]] &gt;= 0.25, "Medium",TRUE, "Low")</f>
        <v>Medium</v>
      </c>
      <c r="AR366" s="16" cm="1">
        <f t="array" ref="AR366">IFERROR(_xlfn.IFS(tbl_HR_Data[[#This Row],[Risk_Category]]="Critical",tbl_HR_Data[[#This Row],[MonthlyIncome]]*1.5,tbl_HR_Data[[#This Row],[Risk_Category]]="High",tbl_HR_Data[[#This Row],[MonthlyIncome]]*1.5),0)</f>
        <v>0</v>
      </c>
    </row>
    <row r="367" spans="1:44" x14ac:dyDescent="0.35">
      <c r="A367" t="s">
        <v>1054</v>
      </c>
      <c r="B367">
        <v>46</v>
      </c>
      <c r="C367" t="s">
        <v>1525</v>
      </c>
      <c r="D367">
        <v>1144</v>
      </c>
      <c r="E367" t="s">
        <v>38</v>
      </c>
      <c r="F367">
        <v>7</v>
      </c>
      <c r="G367">
        <v>4</v>
      </c>
      <c r="H367" t="s">
        <v>44</v>
      </c>
      <c r="I367">
        <v>3</v>
      </c>
      <c r="J367" t="s">
        <v>34</v>
      </c>
      <c r="K367">
        <v>30</v>
      </c>
      <c r="L367">
        <v>3</v>
      </c>
      <c r="M367">
        <v>2</v>
      </c>
      <c r="N367" t="s">
        <v>46</v>
      </c>
      <c r="O367">
        <v>3</v>
      </c>
      <c r="P367" t="s">
        <v>41</v>
      </c>
      <c r="Q367">
        <v>5258</v>
      </c>
      <c r="R367">
        <v>16044</v>
      </c>
      <c r="S367">
        <v>2</v>
      </c>
      <c r="T367">
        <v>0</v>
      </c>
      <c r="U367" s="17">
        <v>0.14000000000000001</v>
      </c>
      <c r="V367">
        <v>3</v>
      </c>
      <c r="W367">
        <v>3</v>
      </c>
      <c r="X367">
        <v>0</v>
      </c>
      <c r="Y367">
        <v>7</v>
      </c>
      <c r="Z367">
        <v>2</v>
      </c>
      <c r="AA367">
        <v>4</v>
      </c>
      <c r="AB367">
        <v>1</v>
      </c>
      <c r="AC367">
        <v>0</v>
      </c>
      <c r="AD367">
        <v>0</v>
      </c>
      <c r="AE367">
        <v>0</v>
      </c>
      <c r="AF367">
        <v>0</v>
      </c>
      <c r="AG367">
        <f>IF(tbl_HR_Data[[#This Row],[Gender]]="Male",1,0)</f>
        <v>0</v>
      </c>
      <c r="AH367" cm="1">
        <f t="array" ref="AH367">_xlfn.SWITCH(tbl_HR_Data[[#This Row],[BusinessTravel]], "Non-Travel", 0, "Travel_Rarely", 1, "Travel_Frequently", 2)</f>
        <v>0</v>
      </c>
      <c r="AI367" cm="1">
        <f t="array" ref="AI367">_xlfn.SWITCH(tbl_HR_Data[[#This Row],[MaritalStatus]],"Single",0,"Married",1,"Divorced",2)</f>
        <v>1</v>
      </c>
      <c r="AJ367">
        <f>IF(tbl_HR_Data[[#This Row],[OverTime]]=1,1,0)</f>
        <v>0</v>
      </c>
      <c r="AK367">
        <f>IF(tbl_HR_Data[[#This Row],[DistanceFromHome]]&gt;15,1,0)</f>
        <v>0</v>
      </c>
      <c r="AL367">
        <f>IF(tbl_HR_Data[[#This Row],[JobSatisfaction]]&lt;=2,1,0)</f>
        <v>0</v>
      </c>
      <c r="AM367">
        <f>IF(tbl_HR_Data[[#This Row],[MonthlyIncome]]&lt;$AT$2,1,0)</f>
        <v>0</v>
      </c>
      <c r="AN367">
        <f>IF(tbl_HR_Data[[#This Row],[Travel_Code]]=2,1,0)</f>
        <v>0</v>
      </c>
      <c r="AO367">
        <f>(tbl_HR_Data[[#This Row],[Flag_OT]] * Logic_Parameters!$B$2) +
 (tbl_HR_Data[[#This Row],[Flag_Travel]] * Logic_Parameters!$B$3) +
 (tbl_HR_Data[[#This Row],[Flag_Satisfaction]] * Logic_Parameters!$B$4) +
 (tbl_HR_Data[[#This Row],[Flag_Distance]]* Logic_Parameters!$B$5) +
 (tbl_HR_Data[[#This Row],[Flag_Income]] * Logic_Parameters!$B$6)</f>
        <v>0</v>
      </c>
      <c r="AP367" s="15">
        <f>tbl_HR_Data[[#This Row],[Risk_Score_Raw]] / SUM(Logic_Parameters!$B$2:$B$6)</f>
        <v>0</v>
      </c>
      <c r="AQ367" s="16" t="str" cm="1">
        <f t="array" ref="AQ367">_xlfn.IFS(tbl_HR_Data[[#This Row],[Attrition_Risk_Percentage]] &gt;= 0.75, "Critical",tbl_HR_Data[ [#This Row],[Attrition_Risk_Percentage] ]&gt;= 0.5, "High",tbl_HR_Data[[#This Row],[Attrition_Risk_Percentage]] &gt;= 0.25, "Medium",TRUE, "Low")</f>
        <v>Low</v>
      </c>
      <c r="AR367" s="16" cm="1">
        <f t="array" ref="AR367">IFERROR(_xlfn.IFS(tbl_HR_Data[[#This Row],[Risk_Category]]="Critical",tbl_HR_Data[[#This Row],[MonthlyIncome]]*1.5,tbl_HR_Data[[#This Row],[Risk_Category]]="High",tbl_HR_Data[[#This Row],[MonthlyIncome]]*1.5),0)</f>
        <v>0</v>
      </c>
    </row>
    <row r="368" spans="1:44" x14ac:dyDescent="0.35">
      <c r="A368" t="s">
        <v>1118</v>
      </c>
      <c r="B368">
        <v>41</v>
      </c>
      <c r="C368" t="s">
        <v>37</v>
      </c>
      <c r="D368">
        <v>143</v>
      </c>
      <c r="E368" t="s">
        <v>32</v>
      </c>
      <c r="F368">
        <v>4</v>
      </c>
      <c r="G368">
        <v>3</v>
      </c>
      <c r="H368" t="s">
        <v>51</v>
      </c>
      <c r="I368">
        <v>1</v>
      </c>
      <c r="J368" t="s">
        <v>39</v>
      </c>
      <c r="K368">
        <v>56</v>
      </c>
      <c r="L368">
        <v>3</v>
      </c>
      <c r="M368">
        <v>2</v>
      </c>
      <c r="N368" t="s">
        <v>35</v>
      </c>
      <c r="O368">
        <v>2</v>
      </c>
      <c r="P368" t="s">
        <v>36</v>
      </c>
      <c r="Q368">
        <v>9355</v>
      </c>
      <c r="R368">
        <v>9558</v>
      </c>
      <c r="S368">
        <v>1</v>
      </c>
      <c r="T368">
        <v>0</v>
      </c>
      <c r="U368" s="17">
        <v>0.18</v>
      </c>
      <c r="V368">
        <v>3</v>
      </c>
      <c r="W368">
        <v>3</v>
      </c>
      <c r="X368">
        <v>0</v>
      </c>
      <c r="Y368">
        <v>8</v>
      </c>
      <c r="Z368">
        <v>5</v>
      </c>
      <c r="AA368">
        <v>3</v>
      </c>
      <c r="AB368">
        <v>8</v>
      </c>
      <c r="AC368">
        <v>7</v>
      </c>
      <c r="AD368">
        <v>7</v>
      </c>
      <c r="AE368">
        <v>7</v>
      </c>
      <c r="AF368">
        <v>1</v>
      </c>
      <c r="AG368">
        <f>IF(tbl_HR_Data[[#This Row],[Gender]]="Male",1,0)</f>
        <v>1</v>
      </c>
      <c r="AH368" cm="1">
        <f t="array" ref="AH368">_xlfn.SWITCH(tbl_HR_Data[[#This Row],[BusinessTravel]], "Non-Travel", 0, "Travel_Rarely", 1, "Travel_Frequently", 2)</f>
        <v>2</v>
      </c>
      <c r="AI368" cm="1">
        <f t="array" ref="AI368">_xlfn.SWITCH(tbl_HR_Data[[#This Row],[MaritalStatus]],"Single",0,"Married",1,"Divorced",2)</f>
        <v>0</v>
      </c>
      <c r="AJ368">
        <f>IF(tbl_HR_Data[[#This Row],[OverTime]]=1,1,0)</f>
        <v>0</v>
      </c>
      <c r="AK368">
        <f>IF(tbl_HR_Data[[#This Row],[DistanceFromHome]]&gt;15,1,0)</f>
        <v>0</v>
      </c>
      <c r="AL368">
        <f>IF(tbl_HR_Data[[#This Row],[JobSatisfaction]]&lt;=2,1,0)</f>
        <v>1</v>
      </c>
      <c r="AM368">
        <f>IF(tbl_HR_Data[[#This Row],[MonthlyIncome]]&lt;$AT$2,1,0)</f>
        <v>0</v>
      </c>
      <c r="AN368">
        <f>IF(tbl_HR_Data[[#This Row],[Travel_Code]]=2,1,0)</f>
        <v>1</v>
      </c>
      <c r="AO368">
        <f>(tbl_HR_Data[[#This Row],[Flag_OT]] * Logic_Parameters!$B$2) +
 (tbl_HR_Data[[#This Row],[Flag_Travel]] * Logic_Parameters!$B$3) +
 (tbl_HR_Data[[#This Row],[Flag_Satisfaction]] * Logic_Parameters!$B$4) +
 (tbl_HR_Data[[#This Row],[Flag_Distance]]* Logic_Parameters!$B$5) +
 (tbl_HR_Data[[#This Row],[Flag_Income]] * Logic_Parameters!$B$6)</f>
        <v>9.3649231104683075</v>
      </c>
      <c r="AP368" s="15">
        <f>tbl_HR_Data[[#This Row],[Risk_Score_Raw]] / SUM(Logic_Parameters!$B$2:$B$6)</f>
        <v>0.32264513691726432</v>
      </c>
      <c r="AQ368" s="16" t="str" cm="1">
        <f t="array" ref="AQ368">_xlfn.IFS(tbl_HR_Data[[#This Row],[Attrition_Risk_Percentage]] &gt;= 0.75, "Critical",tbl_HR_Data[ [#This Row],[Attrition_Risk_Percentage] ]&gt;= 0.5, "High",tbl_HR_Data[[#This Row],[Attrition_Risk_Percentage]] &gt;= 0.25, "Medium",TRUE, "Low")</f>
        <v>Medium</v>
      </c>
      <c r="AR368" s="16" cm="1">
        <f t="array" ref="AR368">IFERROR(_xlfn.IFS(tbl_HR_Data[[#This Row],[Risk_Category]]="Critical",tbl_HR_Data[[#This Row],[MonthlyIncome]]*1.5,tbl_HR_Data[[#This Row],[Risk_Category]]="High",tbl_HR_Data[[#This Row],[MonthlyIncome]]*1.5),0)</f>
        <v>0</v>
      </c>
    </row>
    <row r="369" spans="1:44" x14ac:dyDescent="0.35">
      <c r="A369" t="s">
        <v>1296</v>
      </c>
      <c r="B369">
        <v>50</v>
      </c>
      <c r="C369" t="s">
        <v>31</v>
      </c>
      <c r="D369">
        <v>1046</v>
      </c>
      <c r="E369" t="s">
        <v>38</v>
      </c>
      <c r="F369">
        <v>10</v>
      </c>
      <c r="G369">
        <v>3</v>
      </c>
      <c r="H369" t="s">
        <v>52</v>
      </c>
      <c r="I369">
        <v>4</v>
      </c>
      <c r="J369" t="s">
        <v>39</v>
      </c>
      <c r="K369">
        <v>100</v>
      </c>
      <c r="L369">
        <v>2</v>
      </c>
      <c r="M369">
        <v>3</v>
      </c>
      <c r="N369" t="s">
        <v>47</v>
      </c>
      <c r="O369">
        <v>4</v>
      </c>
      <c r="P369" t="s">
        <v>36</v>
      </c>
      <c r="Q369">
        <v>10496</v>
      </c>
      <c r="R369">
        <v>2755</v>
      </c>
      <c r="S369">
        <v>6</v>
      </c>
      <c r="T369">
        <v>0</v>
      </c>
      <c r="U369" s="17">
        <v>0.15</v>
      </c>
      <c r="V369">
        <v>3</v>
      </c>
      <c r="W369">
        <v>4</v>
      </c>
      <c r="X369">
        <v>0</v>
      </c>
      <c r="Y369">
        <v>20</v>
      </c>
      <c r="Z369">
        <v>2</v>
      </c>
      <c r="AA369">
        <v>3</v>
      </c>
      <c r="AB369">
        <v>4</v>
      </c>
      <c r="AC369">
        <v>3</v>
      </c>
      <c r="AD369">
        <v>1</v>
      </c>
      <c r="AE369">
        <v>3</v>
      </c>
      <c r="AF369">
        <v>0</v>
      </c>
      <c r="AG369">
        <f>IF(tbl_HR_Data[[#This Row],[Gender]]="Male",1,0)</f>
        <v>1</v>
      </c>
      <c r="AH369" cm="1">
        <f t="array" ref="AH369">_xlfn.SWITCH(tbl_HR_Data[[#This Row],[BusinessTravel]], "Non-Travel", 0, "Travel_Rarely", 1, "Travel_Frequently", 2)</f>
        <v>1</v>
      </c>
      <c r="AI369" cm="1">
        <f t="array" ref="AI369">_xlfn.SWITCH(tbl_HR_Data[[#This Row],[MaritalStatus]],"Single",0,"Married",1,"Divorced",2)</f>
        <v>0</v>
      </c>
      <c r="AJ369">
        <f>IF(tbl_HR_Data[[#This Row],[OverTime]]=1,1,0)</f>
        <v>0</v>
      </c>
      <c r="AK369">
        <f>IF(tbl_HR_Data[[#This Row],[DistanceFromHome]]&gt;15,1,0)</f>
        <v>0</v>
      </c>
      <c r="AL369">
        <f>IF(tbl_HR_Data[[#This Row],[JobSatisfaction]]&lt;=2,1,0)</f>
        <v>0</v>
      </c>
      <c r="AM369">
        <f>IF(tbl_HR_Data[[#This Row],[MonthlyIncome]]&lt;$AT$2,1,0)</f>
        <v>0</v>
      </c>
      <c r="AN369">
        <f>IF(tbl_HR_Data[[#This Row],[Travel_Code]]=2,1,0)</f>
        <v>0</v>
      </c>
      <c r="AO369">
        <f>(tbl_HR_Data[[#This Row],[Flag_OT]] * Logic_Parameters!$B$2) +
 (tbl_HR_Data[[#This Row],[Flag_Travel]] * Logic_Parameters!$B$3) +
 (tbl_HR_Data[[#This Row],[Flag_Satisfaction]] * Logic_Parameters!$B$4) +
 (tbl_HR_Data[[#This Row],[Flag_Distance]]* Logic_Parameters!$B$5) +
 (tbl_HR_Data[[#This Row],[Flag_Income]] * Logic_Parameters!$B$6)</f>
        <v>0</v>
      </c>
      <c r="AP369" s="15">
        <f>tbl_HR_Data[[#This Row],[Risk_Score_Raw]] / SUM(Logic_Parameters!$B$2:$B$6)</f>
        <v>0</v>
      </c>
      <c r="AQ369" s="16" t="str" cm="1">
        <f t="array" ref="AQ369">_xlfn.IFS(tbl_HR_Data[[#This Row],[Attrition_Risk_Percentage]] &gt;= 0.75, "Critical",tbl_HR_Data[ [#This Row],[Attrition_Risk_Percentage] ]&gt;= 0.5, "High",tbl_HR_Data[[#This Row],[Attrition_Risk_Percentage]] &gt;= 0.25, "Medium",TRUE, "Low")</f>
        <v>Low</v>
      </c>
      <c r="AR369" s="16" cm="1">
        <f t="array" ref="AR369">IFERROR(_xlfn.IFS(tbl_HR_Data[[#This Row],[Risk_Category]]="Critical",tbl_HR_Data[[#This Row],[MonthlyIncome]]*1.5,tbl_HR_Data[[#This Row],[Risk_Category]]="High",tbl_HR_Data[[#This Row],[MonthlyIncome]]*1.5),0)</f>
        <v>0</v>
      </c>
    </row>
    <row r="370" spans="1:44" x14ac:dyDescent="0.35">
      <c r="A370" t="s">
        <v>1241</v>
      </c>
      <c r="B370">
        <v>40</v>
      </c>
      <c r="C370" t="s">
        <v>31</v>
      </c>
      <c r="D370">
        <v>575</v>
      </c>
      <c r="E370" t="s">
        <v>32</v>
      </c>
      <c r="F370">
        <v>22</v>
      </c>
      <c r="G370">
        <v>2</v>
      </c>
      <c r="H370" t="s">
        <v>51</v>
      </c>
      <c r="I370">
        <v>3</v>
      </c>
      <c r="J370" t="s">
        <v>39</v>
      </c>
      <c r="K370">
        <v>68</v>
      </c>
      <c r="L370">
        <v>2</v>
      </c>
      <c r="M370">
        <v>2</v>
      </c>
      <c r="N370" t="s">
        <v>35</v>
      </c>
      <c r="O370">
        <v>3</v>
      </c>
      <c r="P370" t="s">
        <v>41</v>
      </c>
      <c r="Q370">
        <v>6380</v>
      </c>
      <c r="R370">
        <v>6110</v>
      </c>
      <c r="S370">
        <v>2</v>
      </c>
      <c r="T370">
        <v>1</v>
      </c>
      <c r="U370" s="17">
        <v>0.12</v>
      </c>
      <c r="V370">
        <v>3</v>
      </c>
      <c r="W370">
        <v>1</v>
      </c>
      <c r="X370">
        <v>2</v>
      </c>
      <c r="Y370">
        <v>8</v>
      </c>
      <c r="Z370">
        <v>6</v>
      </c>
      <c r="AA370">
        <v>3</v>
      </c>
      <c r="AB370">
        <v>6</v>
      </c>
      <c r="AC370">
        <v>4</v>
      </c>
      <c r="AD370">
        <v>1</v>
      </c>
      <c r="AE370">
        <v>0</v>
      </c>
      <c r="AF370">
        <v>1</v>
      </c>
      <c r="AG370">
        <f>IF(tbl_HR_Data[[#This Row],[Gender]]="Male",1,0)</f>
        <v>1</v>
      </c>
      <c r="AH370" cm="1">
        <f t="array" ref="AH370">_xlfn.SWITCH(tbl_HR_Data[[#This Row],[BusinessTravel]], "Non-Travel", 0, "Travel_Rarely", 1, "Travel_Frequently", 2)</f>
        <v>1</v>
      </c>
      <c r="AI370" cm="1">
        <f t="array" ref="AI370">_xlfn.SWITCH(tbl_HR_Data[[#This Row],[MaritalStatus]],"Single",0,"Married",1,"Divorced",2)</f>
        <v>1</v>
      </c>
      <c r="AJ370">
        <f>IF(tbl_HR_Data[[#This Row],[OverTime]]=1,1,0)</f>
        <v>1</v>
      </c>
      <c r="AK370">
        <f>IF(tbl_HR_Data[[#This Row],[DistanceFromHome]]&gt;15,1,0)</f>
        <v>1</v>
      </c>
      <c r="AL370">
        <f>IF(tbl_HR_Data[[#This Row],[JobSatisfaction]]&lt;=2,1,0)</f>
        <v>0</v>
      </c>
      <c r="AM370">
        <f>IF(tbl_HR_Data[[#This Row],[MonthlyIncome]]&lt;$AT$2,1,0)</f>
        <v>0</v>
      </c>
      <c r="AN370">
        <f>IF(tbl_HR_Data[[#This Row],[Travel_Code]]=2,1,0)</f>
        <v>0</v>
      </c>
      <c r="AO370">
        <f>(tbl_HR_Data[[#This Row],[Flag_OT]] * Logic_Parameters!$B$2) +
 (tbl_HR_Data[[#This Row],[Flag_Travel]] * Logic_Parameters!$B$3) +
 (tbl_HR_Data[[#This Row],[Flag_Satisfaction]] * Logic_Parameters!$B$4) +
 (tbl_HR_Data[[#This Row],[Flag_Distance]]* Logic_Parameters!$B$5) +
 (tbl_HR_Data[[#This Row],[Flag_Income]] * Logic_Parameters!$B$6)</f>
        <v>13.166106695875378</v>
      </c>
      <c r="AP370" s="15">
        <f>tbl_HR_Data[[#This Row],[Risk_Score_Raw]] / SUM(Logic_Parameters!$B$2:$B$6)</f>
        <v>0.45360546450291089</v>
      </c>
      <c r="AQ370" s="16" t="str" cm="1">
        <f t="array" ref="AQ370">_xlfn.IFS(tbl_HR_Data[[#This Row],[Attrition_Risk_Percentage]] &gt;= 0.75, "Critical",tbl_HR_Data[ [#This Row],[Attrition_Risk_Percentage] ]&gt;= 0.5, "High",tbl_HR_Data[[#This Row],[Attrition_Risk_Percentage]] &gt;= 0.25, "Medium",TRUE, "Low")</f>
        <v>Medium</v>
      </c>
      <c r="AR370" s="16" cm="1">
        <f t="array" ref="AR370">IFERROR(_xlfn.IFS(tbl_HR_Data[[#This Row],[Risk_Category]]="Critical",tbl_HR_Data[[#This Row],[MonthlyIncome]]*1.5,tbl_HR_Data[[#This Row],[Risk_Category]]="High",tbl_HR_Data[[#This Row],[MonthlyIncome]]*1.5),0)</f>
        <v>0</v>
      </c>
    </row>
    <row r="371" spans="1:44" x14ac:dyDescent="0.35">
      <c r="A371" t="s">
        <v>477</v>
      </c>
      <c r="B371">
        <v>31</v>
      </c>
      <c r="C371" t="s">
        <v>31</v>
      </c>
      <c r="D371">
        <v>408</v>
      </c>
      <c r="E371" t="s">
        <v>38</v>
      </c>
      <c r="F371">
        <v>9</v>
      </c>
      <c r="G371">
        <v>4</v>
      </c>
      <c r="H371" t="s">
        <v>33</v>
      </c>
      <c r="I371">
        <v>3</v>
      </c>
      <c r="J371" t="s">
        <v>39</v>
      </c>
      <c r="K371">
        <v>42</v>
      </c>
      <c r="L371">
        <v>2</v>
      </c>
      <c r="M371">
        <v>1</v>
      </c>
      <c r="N371" t="s">
        <v>40</v>
      </c>
      <c r="O371">
        <v>2</v>
      </c>
      <c r="P371" t="s">
        <v>36</v>
      </c>
      <c r="Q371">
        <v>2657</v>
      </c>
      <c r="R371">
        <v>7551</v>
      </c>
      <c r="S371">
        <v>0</v>
      </c>
      <c r="T371">
        <v>1</v>
      </c>
      <c r="U371" s="17">
        <v>0.16</v>
      </c>
      <c r="V371">
        <v>3</v>
      </c>
      <c r="W371">
        <v>4</v>
      </c>
      <c r="X371">
        <v>0</v>
      </c>
      <c r="Y371">
        <v>3</v>
      </c>
      <c r="Z371">
        <v>5</v>
      </c>
      <c r="AA371">
        <v>3</v>
      </c>
      <c r="AB371">
        <v>2</v>
      </c>
      <c r="AC371">
        <v>2</v>
      </c>
      <c r="AD371">
        <v>2</v>
      </c>
      <c r="AE371">
        <v>2</v>
      </c>
      <c r="AF371">
        <v>0</v>
      </c>
      <c r="AG371">
        <f>IF(tbl_HR_Data[[#This Row],[Gender]]="Male",1,0)</f>
        <v>1</v>
      </c>
      <c r="AH371" cm="1">
        <f t="array" ref="AH371">_xlfn.SWITCH(tbl_HR_Data[[#This Row],[BusinessTravel]], "Non-Travel", 0, "Travel_Rarely", 1, "Travel_Frequently", 2)</f>
        <v>1</v>
      </c>
      <c r="AI371" cm="1">
        <f t="array" ref="AI371">_xlfn.SWITCH(tbl_HR_Data[[#This Row],[MaritalStatus]],"Single",0,"Married",1,"Divorced",2)</f>
        <v>0</v>
      </c>
      <c r="AJ371">
        <f>IF(tbl_HR_Data[[#This Row],[OverTime]]=1,1,0)</f>
        <v>1</v>
      </c>
      <c r="AK371">
        <f>IF(tbl_HR_Data[[#This Row],[DistanceFromHome]]&gt;15,1,0)</f>
        <v>0</v>
      </c>
      <c r="AL371">
        <f>IF(tbl_HR_Data[[#This Row],[JobSatisfaction]]&lt;=2,1,0)</f>
        <v>1</v>
      </c>
      <c r="AM371">
        <f>IF(tbl_HR_Data[[#This Row],[MonthlyIncome]]&lt;$AT$2,1,0)</f>
        <v>1</v>
      </c>
      <c r="AN371">
        <f>IF(tbl_HR_Data[[#This Row],[Travel_Code]]=2,1,0)</f>
        <v>0</v>
      </c>
      <c r="AO371">
        <f>(tbl_HR_Data[[#This Row],[Flag_OT]] * Logic_Parameters!$B$2) +
 (tbl_HR_Data[[#This Row],[Flag_Travel]] * Logic_Parameters!$B$3) +
 (tbl_HR_Data[[#This Row],[Flag_Satisfaction]] * Logic_Parameters!$B$4) +
 (tbl_HR_Data[[#This Row],[Flag_Distance]]* Logic_Parameters!$B$5) +
 (tbl_HR_Data[[#This Row],[Flag_Income]] * Logic_Parameters!$B$6)</f>
        <v>20.698962067398959</v>
      </c>
      <c r="AP371" s="15">
        <f>tbl_HR_Data[[#This Row],[Risk_Score_Raw]] / SUM(Logic_Parameters!$B$2:$B$6)</f>
        <v>0.71313126349280109</v>
      </c>
      <c r="AQ371" s="16" t="str" cm="1">
        <f t="array" ref="AQ371">_xlfn.IFS(tbl_HR_Data[[#This Row],[Attrition_Risk_Percentage]] &gt;= 0.75, "Critical",tbl_HR_Data[ [#This Row],[Attrition_Risk_Percentage] ]&gt;= 0.5, "High",tbl_HR_Data[[#This Row],[Attrition_Risk_Percentage]] &gt;= 0.25, "Medium",TRUE, "Low")</f>
        <v>High</v>
      </c>
      <c r="AR371" s="16" cm="1">
        <f t="array" ref="AR371">IFERROR(_xlfn.IFS(tbl_HR_Data[[#This Row],[Risk_Category]]="Critical",tbl_HR_Data[[#This Row],[MonthlyIncome]]*1.5,tbl_HR_Data[[#This Row],[Risk_Category]]="High",tbl_HR_Data[[#This Row],[MonthlyIncome]]*1.5),0)</f>
        <v>3985.5</v>
      </c>
    </row>
    <row r="372" spans="1:44" x14ac:dyDescent="0.35">
      <c r="A372" t="s">
        <v>146</v>
      </c>
      <c r="B372">
        <v>21</v>
      </c>
      <c r="C372" t="s">
        <v>31</v>
      </c>
      <c r="D372">
        <v>156</v>
      </c>
      <c r="E372" t="s">
        <v>32</v>
      </c>
      <c r="F372">
        <v>12</v>
      </c>
      <c r="G372">
        <v>3</v>
      </c>
      <c r="H372" t="s">
        <v>33</v>
      </c>
      <c r="I372">
        <v>3</v>
      </c>
      <c r="J372" t="s">
        <v>34</v>
      </c>
      <c r="K372">
        <v>90</v>
      </c>
      <c r="L372">
        <v>4</v>
      </c>
      <c r="M372">
        <v>1</v>
      </c>
      <c r="N372" t="s">
        <v>49</v>
      </c>
      <c r="O372">
        <v>2</v>
      </c>
      <c r="P372" t="s">
        <v>36</v>
      </c>
      <c r="Q372">
        <v>2716</v>
      </c>
      <c r="R372">
        <v>25422</v>
      </c>
      <c r="S372">
        <v>1</v>
      </c>
      <c r="T372">
        <v>0</v>
      </c>
      <c r="U372" s="17">
        <v>0.15</v>
      </c>
      <c r="V372">
        <v>3</v>
      </c>
      <c r="W372">
        <v>4</v>
      </c>
      <c r="X372">
        <v>0</v>
      </c>
      <c r="Y372">
        <v>1</v>
      </c>
      <c r="Z372">
        <v>0</v>
      </c>
      <c r="AA372">
        <v>3</v>
      </c>
      <c r="AB372">
        <v>1</v>
      </c>
      <c r="AC372">
        <v>0</v>
      </c>
      <c r="AD372">
        <v>0</v>
      </c>
      <c r="AE372">
        <v>0</v>
      </c>
      <c r="AF372">
        <v>1</v>
      </c>
      <c r="AG372">
        <f>IF(tbl_HR_Data[[#This Row],[Gender]]="Male",1,0)</f>
        <v>0</v>
      </c>
      <c r="AH372" cm="1">
        <f t="array" ref="AH372">_xlfn.SWITCH(tbl_HR_Data[[#This Row],[BusinessTravel]], "Non-Travel", 0, "Travel_Rarely", 1, "Travel_Frequently", 2)</f>
        <v>1</v>
      </c>
      <c r="AI372" cm="1">
        <f t="array" ref="AI372">_xlfn.SWITCH(tbl_HR_Data[[#This Row],[MaritalStatus]],"Single",0,"Married",1,"Divorced",2)</f>
        <v>0</v>
      </c>
      <c r="AJ372">
        <f>IF(tbl_HR_Data[[#This Row],[OverTime]]=1,1,0)</f>
        <v>0</v>
      </c>
      <c r="AK372">
        <f>IF(tbl_HR_Data[[#This Row],[DistanceFromHome]]&gt;15,1,0)</f>
        <v>0</v>
      </c>
      <c r="AL372">
        <f>IF(tbl_HR_Data[[#This Row],[JobSatisfaction]]&lt;=2,1,0)</f>
        <v>1</v>
      </c>
      <c r="AM372">
        <f>IF(tbl_HR_Data[[#This Row],[MonthlyIncome]]&lt;$AT$2,1,0)</f>
        <v>1</v>
      </c>
      <c r="AN372">
        <f>IF(tbl_HR_Data[[#This Row],[Travel_Code]]=2,1,0)</f>
        <v>0</v>
      </c>
      <c r="AO372">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372" s="15">
        <f>tbl_HR_Data[[#This Row],[Risk_Score_Raw]] / SUM(Logic_Parameters!$B$2:$B$6)</f>
        <v>0.3686061316669938</v>
      </c>
      <c r="AQ372" s="16" t="str" cm="1">
        <f t="array" ref="AQ372">_xlfn.IFS(tbl_HR_Data[[#This Row],[Attrition_Risk_Percentage]] &gt;= 0.75, "Critical",tbl_HR_Data[ [#This Row],[Attrition_Risk_Percentage] ]&gt;= 0.5, "High",tbl_HR_Data[[#This Row],[Attrition_Risk_Percentage]] &gt;= 0.25, "Medium",TRUE, "Low")</f>
        <v>Medium</v>
      </c>
      <c r="AR372" s="16" cm="1">
        <f t="array" ref="AR372">IFERROR(_xlfn.IFS(tbl_HR_Data[[#This Row],[Risk_Category]]="Critical",tbl_HR_Data[[#This Row],[MonthlyIncome]]*1.5,tbl_HR_Data[[#This Row],[Risk_Category]]="High",tbl_HR_Data[[#This Row],[MonthlyIncome]]*1.5),0)</f>
        <v>0</v>
      </c>
    </row>
    <row r="373" spans="1:44" x14ac:dyDescent="0.35">
      <c r="A373" t="s">
        <v>1428</v>
      </c>
      <c r="B373">
        <v>29</v>
      </c>
      <c r="C373" t="s">
        <v>31</v>
      </c>
      <c r="D373">
        <v>1283</v>
      </c>
      <c r="E373" t="s">
        <v>38</v>
      </c>
      <c r="F373">
        <v>23</v>
      </c>
      <c r="G373">
        <v>3</v>
      </c>
      <c r="H373" t="s">
        <v>33</v>
      </c>
      <c r="I373">
        <v>4</v>
      </c>
      <c r="J373" t="s">
        <v>39</v>
      </c>
      <c r="K373">
        <v>54</v>
      </c>
      <c r="L373">
        <v>3</v>
      </c>
      <c r="M373">
        <v>1</v>
      </c>
      <c r="N373" t="s">
        <v>40</v>
      </c>
      <c r="O373">
        <v>4</v>
      </c>
      <c r="P373" t="s">
        <v>36</v>
      </c>
      <c r="Q373">
        <v>2201</v>
      </c>
      <c r="R373">
        <v>18168</v>
      </c>
      <c r="S373">
        <v>9</v>
      </c>
      <c r="T373">
        <v>0</v>
      </c>
      <c r="U373" s="17">
        <v>0.16</v>
      </c>
      <c r="V373">
        <v>3</v>
      </c>
      <c r="W373">
        <v>4</v>
      </c>
      <c r="X373">
        <v>0</v>
      </c>
      <c r="Y373">
        <v>6</v>
      </c>
      <c r="Z373">
        <v>4</v>
      </c>
      <c r="AA373">
        <v>3</v>
      </c>
      <c r="AB373">
        <v>3</v>
      </c>
      <c r="AC373">
        <v>2</v>
      </c>
      <c r="AD373">
        <v>1</v>
      </c>
      <c r="AE373">
        <v>2</v>
      </c>
      <c r="AF373">
        <v>0</v>
      </c>
      <c r="AG373">
        <f>IF(tbl_HR_Data[[#This Row],[Gender]]="Male",1,0)</f>
        <v>1</v>
      </c>
      <c r="AH373" cm="1">
        <f t="array" ref="AH373">_xlfn.SWITCH(tbl_HR_Data[[#This Row],[BusinessTravel]], "Non-Travel", 0, "Travel_Rarely", 1, "Travel_Frequently", 2)</f>
        <v>1</v>
      </c>
      <c r="AI373" cm="1">
        <f t="array" ref="AI373">_xlfn.SWITCH(tbl_HR_Data[[#This Row],[MaritalStatus]],"Single",0,"Married",1,"Divorced",2)</f>
        <v>0</v>
      </c>
      <c r="AJ373">
        <f>IF(tbl_HR_Data[[#This Row],[OverTime]]=1,1,0)</f>
        <v>0</v>
      </c>
      <c r="AK373">
        <f>IF(tbl_HR_Data[[#This Row],[DistanceFromHome]]&gt;15,1,0)</f>
        <v>1</v>
      </c>
      <c r="AL373">
        <f>IF(tbl_HR_Data[[#This Row],[JobSatisfaction]]&lt;=2,1,0)</f>
        <v>0</v>
      </c>
      <c r="AM373">
        <f>IF(tbl_HR_Data[[#This Row],[MonthlyIncome]]&lt;$AT$2,1,0)</f>
        <v>1</v>
      </c>
      <c r="AN373">
        <f>IF(tbl_HR_Data[[#This Row],[Travel_Code]]=2,1,0)</f>
        <v>0</v>
      </c>
      <c r="AO373">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373" s="15">
        <f>tbl_HR_Data[[#This Row],[Risk_Score_Raw]] / SUM(Logic_Parameters!$B$2:$B$6)</f>
        <v>0.33282973125692844</v>
      </c>
      <c r="AQ373" s="16" t="str" cm="1">
        <f t="array" ref="AQ373">_xlfn.IFS(tbl_HR_Data[[#This Row],[Attrition_Risk_Percentage]] &gt;= 0.75, "Critical",tbl_HR_Data[ [#This Row],[Attrition_Risk_Percentage] ]&gt;= 0.5, "High",tbl_HR_Data[[#This Row],[Attrition_Risk_Percentage]] &gt;= 0.25, "Medium",TRUE, "Low")</f>
        <v>Medium</v>
      </c>
      <c r="AR373" s="16" cm="1">
        <f t="array" ref="AR373">IFERROR(_xlfn.IFS(tbl_HR_Data[[#This Row],[Risk_Category]]="Critical",tbl_HR_Data[[#This Row],[MonthlyIncome]]*1.5,tbl_HR_Data[[#This Row],[Risk_Category]]="High",tbl_HR_Data[[#This Row],[MonthlyIncome]]*1.5),0)</f>
        <v>0</v>
      </c>
    </row>
    <row r="374" spans="1:44" x14ac:dyDescent="0.35">
      <c r="A374" t="s">
        <v>1087</v>
      </c>
      <c r="B374">
        <v>35</v>
      </c>
      <c r="C374" t="s">
        <v>31</v>
      </c>
      <c r="D374">
        <v>755</v>
      </c>
      <c r="E374" t="s">
        <v>38</v>
      </c>
      <c r="F374">
        <v>9</v>
      </c>
      <c r="G374">
        <v>4</v>
      </c>
      <c r="H374" t="s">
        <v>33</v>
      </c>
      <c r="I374">
        <v>3</v>
      </c>
      <c r="J374" t="s">
        <v>39</v>
      </c>
      <c r="K374">
        <v>97</v>
      </c>
      <c r="L374">
        <v>2</v>
      </c>
      <c r="M374">
        <v>2</v>
      </c>
      <c r="N374" t="s">
        <v>47</v>
      </c>
      <c r="O374">
        <v>2</v>
      </c>
      <c r="P374" t="s">
        <v>36</v>
      </c>
      <c r="Q374">
        <v>6540</v>
      </c>
      <c r="R374">
        <v>19394</v>
      </c>
      <c r="S374">
        <v>9</v>
      </c>
      <c r="T374">
        <v>0</v>
      </c>
      <c r="U374" s="17">
        <v>0.19</v>
      </c>
      <c r="V374">
        <v>3</v>
      </c>
      <c r="W374">
        <v>3</v>
      </c>
      <c r="X374">
        <v>0</v>
      </c>
      <c r="Y374">
        <v>10</v>
      </c>
      <c r="Z374">
        <v>5</v>
      </c>
      <c r="AA374">
        <v>3</v>
      </c>
      <c r="AB374">
        <v>1</v>
      </c>
      <c r="AC374">
        <v>1</v>
      </c>
      <c r="AD374">
        <v>0</v>
      </c>
      <c r="AE374">
        <v>0</v>
      </c>
      <c r="AF374">
        <v>0</v>
      </c>
      <c r="AG374">
        <f>IF(tbl_HR_Data[[#This Row],[Gender]]="Male",1,0)</f>
        <v>1</v>
      </c>
      <c r="AH374" cm="1">
        <f t="array" ref="AH374">_xlfn.SWITCH(tbl_HR_Data[[#This Row],[BusinessTravel]], "Non-Travel", 0, "Travel_Rarely", 1, "Travel_Frequently", 2)</f>
        <v>1</v>
      </c>
      <c r="AI374" cm="1">
        <f t="array" ref="AI374">_xlfn.SWITCH(tbl_HR_Data[[#This Row],[MaritalStatus]],"Single",0,"Married",1,"Divorced",2)</f>
        <v>0</v>
      </c>
      <c r="AJ374">
        <f>IF(tbl_HR_Data[[#This Row],[OverTime]]=1,1,0)</f>
        <v>0</v>
      </c>
      <c r="AK374">
        <f>IF(tbl_HR_Data[[#This Row],[DistanceFromHome]]&gt;15,1,0)</f>
        <v>0</v>
      </c>
      <c r="AL374">
        <f>IF(tbl_HR_Data[[#This Row],[JobSatisfaction]]&lt;=2,1,0)</f>
        <v>1</v>
      </c>
      <c r="AM374">
        <f>IF(tbl_HR_Data[[#This Row],[MonthlyIncome]]&lt;$AT$2,1,0)</f>
        <v>0</v>
      </c>
      <c r="AN374">
        <f>IF(tbl_HR_Data[[#This Row],[Travel_Code]]=2,1,0)</f>
        <v>0</v>
      </c>
      <c r="AO374">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374" s="15">
        <f>tbl_HR_Data[[#This Row],[Risk_Score_Raw]] / SUM(Logic_Parameters!$B$2:$B$6)</f>
        <v>0.14485673308716898</v>
      </c>
      <c r="AQ374" s="16" t="str" cm="1">
        <f t="array" ref="AQ374">_xlfn.IFS(tbl_HR_Data[[#This Row],[Attrition_Risk_Percentage]] &gt;= 0.75, "Critical",tbl_HR_Data[ [#This Row],[Attrition_Risk_Percentage] ]&gt;= 0.5, "High",tbl_HR_Data[[#This Row],[Attrition_Risk_Percentage]] &gt;= 0.25, "Medium",TRUE, "Low")</f>
        <v>Low</v>
      </c>
      <c r="AR374" s="16" cm="1">
        <f t="array" ref="AR374">IFERROR(_xlfn.IFS(tbl_HR_Data[[#This Row],[Risk_Category]]="Critical",tbl_HR_Data[[#This Row],[MonthlyIncome]]*1.5,tbl_HR_Data[[#This Row],[Risk_Category]]="High",tbl_HR_Data[[#This Row],[MonthlyIncome]]*1.5),0)</f>
        <v>0</v>
      </c>
    </row>
    <row r="375" spans="1:44" x14ac:dyDescent="0.35">
      <c r="A375" t="s">
        <v>415</v>
      </c>
      <c r="B375">
        <v>27</v>
      </c>
      <c r="C375" t="s">
        <v>31</v>
      </c>
      <c r="D375">
        <v>1469</v>
      </c>
      <c r="E375" t="s">
        <v>38</v>
      </c>
      <c r="F375">
        <v>1</v>
      </c>
      <c r="G375">
        <v>2</v>
      </c>
      <c r="H375" t="s">
        <v>44</v>
      </c>
      <c r="I375">
        <v>4</v>
      </c>
      <c r="J375" t="s">
        <v>39</v>
      </c>
      <c r="K375">
        <v>82</v>
      </c>
      <c r="L375">
        <v>3</v>
      </c>
      <c r="M375">
        <v>1</v>
      </c>
      <c r="N375" t="s">
        <v>43</v>
      </c>
      <c r="O375">
        <v>2</v>
      </c>
      <c r="P375" t="s">
        <v>45</v>
      </c>
      <c r="Q375">
        <v>3816</v>
      </c>
      <c r="R375">
        <v>17881</v>
      </c>
      <c r="S375">
        <v>1</v>
      </c>
      <c r="T375">
        <v>0</v>
      </c>
      <c r="U375" s="17">
        <v>0.11</v>
      </c>
      <c r="V375">
        <v>3</v>
      </c>
      <c r="W375">
        <v>2</v>
      </c>
      <c r="X375">
        <v>1</v>
      </c>
      <c r="Y375">
        <v>5</v>
      </c>
      <c r="Z375">
        <v>2</v>
      </c>
      <c r="AA375">
        <v>3</v>
      </c>
      <c r="AB375">
        <v>5</v>
      </c>
      <c r="AC375">
        <v>2</v>
      </c>
      <c r="AD375">
        <v>0</v>
      </c>
      <c r="AE375">
        <v>4</v>
      </c>
      <c r="AF375">
        <v>0</v>
      </c>
      <c r="AG375">
        <f>IF(tbl_HR_Data[[#This Row],[Gender]]="Male",1,0)</f>
        <v>1</v>
      </c>
      <c r="AH375" cm="1">
        <f t="array" ref="AH375">_xlfn.SWITCH(tbl_HR_Data[[#This Row],[BusinessTravel]], "Non-Travel", 0, "Travel_Rarely", 1, "Travel_Frequently", 2)</f>
        <v>1</v>
      </c>
      <c r="AI375" cm="1">
        <f t="array" ref="AI375">_xlfn.SWITCH(tbl_HR_Data[[#This Row],[MaritalStatus]],"Single",0,"Married",1,"Divorced",2)</f>
        <v>2</v>
      </c>
      <c r="AJ375">
        <f>IF(tbl_HR_Data[[#This Row],[OverTime]]=1,1,0)</f>
        <v>0</v>
      </c>
      <c r="AK375">
        <f>IF(tbl_HR_Data[[#This Row],[DistanceFromHome]]&gt;15,1,0)</f>
        <v>0</v>
      </c>
      <c r="AL375">
        <f>IF(tbl_HR_Data[[#This Row],[JobSatisfaction]]&lt;=2,1,0)</f>
        <v>1</v>
      </c>
      <c r="AM375">
        <f>IF(tbl_HR_Data[[#This Row],[MonthlyIncome]]&lt;$AT$2,1,0)</f>
        <v>1</v>
      </c>
      <c r="AN375">
        <f>IF(tbl_HR_Data[[#This Row],[Travel_Code]]=2,1,0)</f>
        <v>0</v>
      </c>
      <c r="AO375">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375" s="15">
        <f>tbl_HR_Data[[#This Row],[Risk_Score_Raw]] / SUM(Logic_Parameters!$B$2:$B$6)</f>
        <v>0.3686061316669938</v>
      </c>
      <c r="AQ375" s="16" t="str" cm="1">
        <f t="array" ref="AQ375">_xlfn.IFS(tbl_HR_Data[[#This Row],[Attrition_Risk_Percentage]] &gt;= 0.75, "Critical",tbl_HR_Data[ [#This Row],[Attrition_Risk_Percentage] ]&gt;= 0.5, "High",tbl_HR_Data[[#This Row],[Attrition_Risk_Percentage]] &gt;= 0.25, "Medium",TRUE, "Low")</f>
        <v>Medium</v>
      </c>
      <c r="AR375" s="16" cm="1">
        <f t="array" ref="AR375">IFERROR(_xlfn.IFS(tbl_HR_Data[[#This Row],[Risk_Category]]="Critical",tbl_HR_Data[[#This Row],[MonthlyIncome]]*1.5,tbl_HR_Data[[#This Row],[Risk_Category]]="High",tbl_HR_Data[[#This Row],[MonthlyIncome]]*1.5),0)</f>
        <v>0</v>
      </c>
    </row>
    <row r="376" spans="1:44" x14ac:dyDescent="0.35">
      <c r="A376" t="s">
        <v>361</v>
      </c>
      <c r="B376">
        <v>28</v>
      </c>
      <c r="C376" t="s">
        <v>31</v>
      </c>
      <c r="D376">
        <v>304</v>
      </c>
      <c r="E376" t="s">
        <v>32</v>
      </c>
      <c r="F376">
        <v>9</v>
      </c>
      <c r="G376">
        <v>4</v>
      </c>
      <c r="H376" t="s">
        <v>33</v>
      </c>
      <c r="I376">
        <v>2</v>
      </c>
      <c r="J376" t="s">
        <v>39</v>
      </c>
      <c r="K376">
        <v>92</v>
      </c>
      <c r="L376">
        <v>3</v>
      </c>
      <c r="M376">
        <v>2</v>
      </c>
      <c r="N376" t="s">
        <v>35</v>
      </c>
      <c r="O376">
        <v>4</v>
      </c>
      <c r="P376" t="s">
        <v>36</v>
      </c>
      <c r="Q376">
        <v>5253</v>
      </c>
      <c r="R376">
        <v>20750</v>
      </c>
      <c r="S376">
        <v>1</v>
      </c>
      <c r="T376">
        <v>0</v>
      </c>
      <c r="U376" s="17">
        <v>0.16</v>
      </c>
      <c r="V376">
        <v>3</v>
      </c>
      <c r="W376">
        <v>4</v>
      </c>
      <c r="X376">
        <v>0</v>
      </c>
      <c r="Y376">
        <v>7</v>
      </c>
      <c r="Z376">
        <v>1</v>
      </c>
      <c r="AA376">
        <v>3</v>
      </c>
      <c r="AB376">
        <v>7</v>
      </c>
      <c r="AC376">
        <v>5</v>
      </c>
      <c r="AD376">
        <v>0</v>
      </c>
      <c r="AE376">
        <v>7</v>
      </c>
      <c r="AF376">
        <v>0</v>
      </c>
      <c r="AG376">
        <f>IF(tbl_HR_Data[[#This Row],[Gender]]="Male",1,0)</f>
        <v>1</v>
      </c>
      <c r="AH376" cm="1">
        <f t="array" ref="AH376">_xlfn.SWITCH(tbl_HR_Data[[#This Row],[BusinessTravel]], "Non-Travel", 0, "Travel_Rarely", 1, "Travel_Frequently", 2)</f>
        <v>1</v>
      </c>
      <c r="AI376" cm="1">
        <f t="array" ref="AI376">_xlfn.SWITCH(tbl_HR_Data[[#This Row],[MaritalStatus]],"Single",0,"Married",1,"Divorced",2)</f>
        <v>0</v>
      </c>
      <c r="AJ376">
        <f>IF(tbl_HR_Data[[#This Row],[OverTime]]=1,1,0)</f>
        <v>0</v>
      </c>
      <c r="AK376">
        <f>IF(tbl_HR_Data[[#This Row],[DistanceFromHome]]&gt;15,1,0)</f>
        <v>0</v>
      </c>
      <c r="AL376">
        <f>IF(tbl_HR_Data[[#This Row],[JobSatisfaction]]&lt;=2,1,0)</f>
        <v>0</v>
      </c>
      <c r="AM376">
        <f>IF(tbl_HR_Data[[#This Row],[MonthlyIncome]]&lt;$AT$2,1,0)</f>
        <v>0</v>
      </c>
      <c r="AN376">
        <f>IF(tbl_HR_Data[[#This Row],[Travel_Code]]=2,1,0)</f>
        <v>0</v>
      </c>
      <c r="AO376">
        <f>(tbl_HR_Data[[#This Row],[Flag_OT]] * Logic_Parameters!$B$2) +
 (tbl_HR_Data[[#This Row],[Flag_Travel]] * Logic_Parameters!$B$3) +
 (tbl_HR_Data[[#This Row],[Flag_Satisfaction]] * Logic_Parameters!$B$4) +
 (tbl_HR_Data[[#This Row],[Flag_Distance]]* Logic_Parameters!$B$5) +
 (tbl_HR_Data[[#This Row],[Flag_Income]] * Logic_Parameters!$B$6)</f>
        <v>0</v>
      </c>
      <c r="AP376" s="15">
        <f>tbl_HR_Data[[#This Row],[Risk_Score_Raw]] / SUM(Logic_Parameters!$B$2:$B$6)</f>
        <v>0</v>
      </c>
      <c r="AQ376" s="16" t="str" cm="1">
        <f t="array" ref="AQ376">_xlfn.IFS(tbl_HR_Data[[#This Row],[Attrition_Risk_Percentage]] &gt;= 0.75, "Critical",tbl_HR_Data[ [#This Row],[Attrition_Risk_Percentage] ]&gt;= 0.5, "High",tbl_HR_Data[[#This Row],[Attrition_Risk_Percentage]] &gt;= 0.25, "Medium",TRUE, "Low")</f>
        <v>Low</v>
      </c>
      <c r="AR376" s="16" cm="1">
        <f t="array" ref="AR376">IFERROR(_xlfn.IFS(tbl_HR_Data[[#This Row],[Risk_Category]]="Critical",tbl_HR_Data[[#This Row],[MonthlyIncome]]*1.5,tbl_HR_Data[[#This Row],[Risk_Category]]="High",tbl_HR_Data[[#This Row],[MonthlyIncome]]*1.5),0)</f>
        <v>0</v>
      </c>
    </row>
    <row r="377" spans="1:44" x14ac:dyDescent="0.35">
      <c r="A377" t="s">
        <v>485</v>
      </c>
      <c r="B377">
        <v>49</v>
      </c>
      <c r="C377" t="s">
        <v>31</v>
      </c>
      <c r="D377">
        <v>1261</v>
      </c>
      <c r="E377" t="s">
        <v>38</v>
      </c>
      <c r="F377">
        <v>7</v>
      </c>
      <c r="G377">
        <v>3</v>
      </c>
      <c r="H377" t="s">
        <v>42</v>
      </c>
      <c r="I377">
        <v>2</v>
      </c>
      <c r="J377" t="s">
        <v>39</v>
      </c>
      <c r="K377">
        <v>31</v>
      </c>
      <c r="L377">
        <v>2</v>
      </c>
      <c r="M377">
        <v>3</v>
      </c>
      <c r="N377" t="s">
        <v>47</v>
      </c>
      <c r="O377">
        <v>3</v>
      </c>
      <c r="P377" t="s">
        <v>36</v>
      </c>
      <c r="Q377">
        <v>10965</v>
      </c>
      <c r="R377">
        <v>12066</v>
      </c>
      <c r="S377">
        <v>8</v>
      </c>
      <c r="T377">
        <v>0</v>
      </c>
      <c r="U377" s="17">
        <v>0.24</v>
      </c>
      <c r="V377">
        <v>4</v>
      </c>
      <c r="W377">
        <v>3</v>
      </c>
      <c r="X377">
        <v>0</v>
      </c>
      <c r="Y377">
        <v>26</v>
      </c>
      <c r="Z377">
        <v>2</v>
      </c>
      <c r="AA377">
        <v>3</v>
      </c>
      <c r="AB377">
        <v>5</v>
      </c>
      <c r="AC377">
        <v>2</v>
      </c>
      <c r="AD377">
        <v>0</v>
      </c>
      <c r="AE377">
        <v>0</v>
      </c>
      <c r="AF377">
        <v>0</v>
      </c>
      <c r="AG377">
        <f>IF(tbl_HR_Data[[#This Row],[Gender]]="Male",1,0)</f>
        <v>1</v>
      </c>
      <c r="AH377" cm="1">
        <f t="array" ref="AH377">_xlfn.SWITCH(tbl_HR_Data[[#This Row],[BusinessTravel]], "Non-Travel", 0, "Travel_Rarely", 1, "Travel_Frequently", 2)</f>
        <v>1</v>
      </c>
      <c r="AI377" cm="1">
        <f t="array" ref="AI377">_xlfn.SWITCH(tbl_HR_Data[[#This Row],[MaritalStatus]],"Single",0,"Married",1,"Divorced",2)</f>
        <v>0</v>
      </c>
      <c r="AJ377">
        <f>IF(tbl_HR_Data[[#This Row],[OverTime]]=1,1,0)</f>
        <v>0</v>
      </c>
      <c r="AK377">
        <f>IF(tbl_HR_Data[[#This Row],[DistanceFromHome]]&gt;15,1,0)</f>
        <v>0</v>
      </c>
      <c r="AL377">
        <f>IF(tbl_HR_Data[[#This Row],[JobSatisfaction]]&lt;=2,1,0)</f>
        <v>0</v>
      </c>
      <c r="AM377">
        <f>IF(tbl_HR_Data[[#This Row],[MonthlyIncome]]&lt;$AT$2,1,0)</f>
        <v>0</v>
      </c>
      <c r="AN377">
        <f>IF(tbl_HR_Data[[#This Row],[Travel_Code]]=2,1,0)</f>
        <v>0</v>
      </c>
      <c r="AO377">
        <f>(tbl_HR_Data[[#This Row],[Flag_OT]] * Logic_Parameters!$B$2) +
 (tbl_HR_Data[[#This Row],[Flag_Travel]] * Logic_Parameters!$B$3) +
 (tbl_HR_Data[[#This Row],[Flag_Satisfaction]] * Logic_Parameters!$B$4) +
 (tbl_HR_Data[[#This Row],[Flag_Distance]]* Logic_Parameters!$B$5) +
 (tbl_HR_Data[[#This Row],[Flag_Income]] * Logic_Parameters!$B$6)</f>
        <v>0</v>
      </c>
      <c r="AP377" s="15">
        <f>tbl_HR_Data[[#This Row],[Risk_Score_Raw]] / SUM(Logic_Parameters!$B$2:$B$6)</f>
        <v>0</v>
      </c>
      <c r="AQ377" s="16" t="str" cm="1">
        <f t="array" ref="AQ377">_xlfn.IFS(tbl_HR_Data[[#This Row],[Attrition_Risk_Percentage]] &gt;= 0.75, "Critical",tbl_HR_Data[ [#This Row],[Attrition_Risk_Percentage] ]&gt;= 0.5, "High",tbl_HR_Data[[#This Row],[Attrition_Risk_Percentage]] &gt;= 0.25, "Medium",TRUE, "Low")</f>
        <v>Low</v>
      </c>
      <c r="AR377" s="16" cm="1">
        <f t="array" ref="AR377">IFERROR(_xlfn.IFS(tbl_HR_Data[[#This Row],[Risk_Category]]="Critical",tbl_HR_Data[[#This Row],[MonthlyIncome]]*1.5,tbl_HR_Data[[#This Row],[Risk_Category]]="High",tbl_HR_Data[[#This Row],[MonthlyIncome]]*1.5),0)</f>
        <v>0</v>
      </c>
    </row>
    <row r="378" spans="1:44" x14ac:dyDescent="0.35">
      <c r="A378" t="s">
        <v>691</v>
      </c>
      <c r="B378">
        <v>51</v>
      </c>
      <c r="C378" t="s">
        <v>31</v>
      </c>
      <c r="D378">
        <v>1178</v>
      </c>
      <c r="E378" t="s">
        <v>32</v>
      </c>
      <c r="F378">
        <v>14</v>
      </c>
      <c r="G378">
        <v>2</v>
      </c>
      <c r="H378" t="s">
        <v>33</v>
      </c>
      <c r="I378">
        <v>3</v>
      </c>
      <c r="J378" t="s">
        <v>34</v>
      </c>
      <c r="K378">
        <v>87</v>
      </c>
      <c r="L378">
        <v>3</v>
      </c>
      <c r="M378">
        <v>2</v>
      </c>
      <c r="N378" t="s">
        <v>35</v>
      </c>
      <c r="O378">
        <v>4</v>
      </c>
      <c r="P378" t="s">
        <v>41</v>
      </c>
      <c r="Q378">
        <v>4936</v>
      </c>
      <c r="R378">
        <v>14862</v>
      </c>
      <c r="S378">
        <v>4</v>
      </c>
      <c r="T378">
        <v>0</v>
      </c>
      <c r="U378" s="17">
        <v>0.11</v>
      </c>
      <c r="V378">
        <v>3</v>
      </c>
      <c r="W378">
        <v>3</v>
      </c>
      <c r="X378">
        <v>1</v>
      </c>
      <c r="Y378">
        <v>18</v>
      </c>
      <c r="Z378">
        <v>2</v>
      </c>
      <c r="AA378">
        <v>2</v>
      </c>
      <c r="AB378">
        <v>7</v>
      </c>
      <c r="AC378">
        <v>7</v>
      </c>
      <c r="AD378">
        <v>0</v>
      </c>
      <c r="AE378">
        <v>7</v>
      </c>
      <c r="AF378">
        <v>0</v>
      </c>
      <c r="AG378">
        <f>IF(tbl_HR_Data[[#This Row],[Gender]]="Male",1,0)</f>
        <v>0</v>
      </c>
      <c r="AH378" cm="1">
        <f t="array" ref="AH378">_xlfn.SWITCH(tbl_HR_Data[[#This Row],[BusinessTravel]], "Non-Travel", 0, "Travel_Rarely", 1, "Travel_Frequently", 2)</f>
        <v>1</v>
      </c>
      <c r="AI378" cm="1">
        <f t="array" ref="AI378">_xlfn.SWITCH(tbl_HR_Data[[#This Row],[MaritalStatus]],"Single",0,"Married",1,"Divorced",2)</f>
        <v>1</v>
      </c>
      <c r="AJ378">
        <f>IF(tbl_HR_Data[[#This Row],[OverTime]]=1,1,0)</f>
        <v>0</v>
      </c>
      <c r="AK378">
        <f>IF(tbl_HR_Data[[#This Row],[DistanceFromHome]]&gt;15,1,0)</f>
        <v>0</v>
      </c>
      <c r="AL378">
        <f>IF(tbl_HR_Data[[#This Row],[JobSatisfaction]]&lt;=2,1,0)</f>
        <v>0</v>
      </c>
      <c r="AM378">
        <f>IF(tbl_HR_Data[[#This Row],[MonthlyIncome]]&lt;$AT$2,1,0)</f>
        <v>0</v>
      </c>
      <c r="AN378">
        <f>IF(tbl_HR_Data[[#This Row],[Travel_Code]]=2,1,0)</f>
        <v>0</v>
      </c>
      <c r="AO378">
        <f>(tbl_HR_Data[[#This Row],[Flag_OT]] * Logic_Parameters!$B$2) +
 (tbl_HR_Data[[#This Row],[Flag_Travel]] * Logic_Parameters!$B$3) +
 (tbl_HR_Data[[#This Row],[Flag_Satisfaction]] * Logic_Parameters!$B$4) +
 (tbl_HR_Data[[#This Row],[Flag_Distance]]* Logic_Parameters!$B$5) +
 (tbl_HR_Data[[#This Row],[Flag_Income]] * Logic_Parameters!$B$6)</f>
        <v>0</v>
      </c>
      <c r="AP378" s="15">
        <f>tbl_HR_Data[[#This Row],[Risk_Score_Raw]] / SUM(Logic_Parameters!$B$2:$B$6)</f>
        <v>0</v>
      </c>
      <c r="AQ378" s="16" t="str" cm="1">
        <f t="array" ref="AQ378">_xlfn.IFS(tbl_HR_Data[[#This Row],[Attrition_Risk_Percentage]] &gt;= 0.75, "Critical",tbl_HR_Data[ [#This Row],[Attrition_Risk_Percentage] ]&gt;= 0.5, "High",tbl_HR_Data[[#This Row],[Attrition_Risk_Percentage]] &gt;= 0.25, "Medium",TRUE, "Low")</f>
        <v>Low</v>
      </c>
      <c r="AR378" s="16" cm="1">
        <f t="array" ref="AR378">IFERROR(_xlfn.IFS(tbl_HR_Data[[#This Row],[Risk_Category]]="Critical",tbl_HR_Data[[#This Row],[MonthlyIncome]]*1.5,tbl_HR_Data[[#This Row],[Risk_Category]]="High",tbl_HR_Data[[#This Row],[MonthlyIncome]]*1.5),0)</f>
        <v>0</v>
      </c>
    </row>
    <row r="379" spans="1:44" x14ac:dyDescent="0.35">
      <c r="A379" t="s">
        <v>775</v>
      </c>
      <c r="B379">
        <v>36</v>
      </c>
      <c r="C379" t="s">
        <v>31</v>
      </c>
      <c r="D379">
        <v>329</v>
      </c>
      <c r="E379" t="s">
        <v>38</v>
      </c>
      <c r="F379">
        <v>2</v>
      </c>
      <c r="G379">
        <v>3</v>
      </c>
      <c r="H379" t="s">
        <v>33</v>
      </c>
      <c r="I379">
        <v>4</v>
      </c>
      <c r="J379" t="s">
        <v>34</v>
      </c>
      <c r="K379">
        <v>96</v>
      </c>
      <c r="L379">
        <v>3</v>
      </c>
      <c r="M379">
        <v>1</v>
      </c>
      <c r="N379" t="s">
        <v>40</v>
      </c>
      <c r="O379">
        <v>3</v>
      </c>
      <c r="P379" t="s">
        <v>41</v>
      </c>
      <c r="Q379">
        <v>2543</v>
      </c>
      <c r="R379">
        <v>11868</v>
      </c>
      <c r="S379">
        <v>4</v>
      </c>
      <c r="T379">
        <v>0</v>
      </c>
      <c r="U379" s="17">
        <v>0.13</v>
      </c>
      <c r="V379">
        <v>3</v>
      </c>
      <c r="W379">
        <v>2</v>
      </c>
      <c r="X379">
        <v>1</v>
      </c>
      <c r="Y379">
        <v>6</v>
      </c>
      <c r="Z379">
        <v>3</v>
      </c>
      <c r="AA379">
        <v>3</v>
      </c>
      <c r="AB379">
        <v>2</v>
      </c>
      <c r="AC379">
        <v>2</v>
      </c>
      <c r="AD379">
        <v>2</v>
      </c>
      <c r="AE379">
        <v>2</v>
      </c>
      <c r="AF379">
        <v>0</v>
      </c>
      <c r="AG379">
        <f>IF(tbl_HR_Data[[#This Row],[Gender]]="Male",1,0)</f>
        <v>0</v>
      </c>
      <c r="AH379" cm="1">
        <f t="array" ref="AH379">_xlfn.SWITCH(tbl_HR_Data[[#This Row],[BusinessTravel]], "Non-Travel", 0, "Travel_Rarely", 1, "Travel_Frequently", 2)</f>
        <v>1</v>
      </c>
      <c r="AI379" cm="1">
        <f t="array" ref="AI379">_xlfn.SWITCH(tbl_HR_Data[[#This Row],[MaritalStatus]],"Single",0,"Married",1,"Divorced",2)</f>
        <v>1</v>
      </c>
      <c r="AJ379">
        <f>IF(tbl_HR_Data[[#This Row],[OverTime]]=1,1,0)</f>
        <v>0</v>
      </c>
      <c r="AK379">
        <f>IF(tbl_HR_Data[[#This Row],[DistanceFromHome]]&gt;15,1,0)</f>
        <v>0</v>
      </c>
      <c r="AL379">
        <f>IF(tbl_HR_Data[[#This Row],[JobSatisfaction]]&lt;=2,1,0)</f>
        <v>0</v>
      </c>
      <c r="AM379">
        <f>IF(tbl_HR_Data[[#This Row],[MonthlyIncome]]&lt;$AT$2,1,0)</f>
        <v>1</v>
      </c>
      <c r="AN379">
        <f>IF(tbl_HR_Data[[#This Row],[Travel_Code]]=2,1,0)</f>
        <v>0</v>
      </c>
      <c r="AO379">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379" s="15">
        <f>tbl_HR_Data[[#This Row],[Risk_Score_Raw]] / SUM(Logic_Parameters!$B$2:$B$6)</f>
        <v>0.22374939857982484</v>
      </c>
      <c r="AQ379" s="16" t="str" cm="1">
        <f t="array" ref="AQ379">_xlfn.IFS(tbl_HR_Data[[#This Row],[Attrition_Risk_Percentage]] &gt;= 0.75, "Critical",tbl_HR_Data[ [#This Row],[Attrition_Risk_Percentage] ]&gt;= 0.5, "High",tbl_HR_Data[[#This Row],[Attrition_Risk_Percentage]] &gt;= 0.25, "Medium",TRUE, "Low")</f>
        <v>Low</v>
      </c>
      <c r="AR379" s="16" cm="1">
        <f t="array" ref="AR379">IFERROR(_xlfn.IFS(tbl_HR_Data[[#This Row],[Risk_Category]]="Critical",tbl_HR_Data[[#This Row],[MonthlyIncome]]*1.5,tbl_HR_Data[[#This Row],[Risk_Category]]="High",tbl_HR_Data[[#This Row],[MonthlyIncome]]*1.5),0)</f>
        <v>0</v>
      </c>
    </row>
    <row r="380" spans="1:44" x14ac:dyDescent="0.35">
      <c r="A380" t="s">
        <v>853</v>
      </c>
      <c r="B380">
        <v>34</v>
      </c>
      <c r="C380" t="s">
        <v>1525</v>
      </c>
      <c r="D380">
        <v>1362</v>
      </c>
      <c r="E380" t="s">
        <v>32</v>
      </c>
      <c r="F380">
        <v>19</v>
      </c>
      <c r="G380">
        <v>3</v>
      </c>
      <c r="H380" t="s">
        <v>51</v>
      </c>
      <c r="I380">
        <v>1</v>
      </c>
      <c r="J380" t="s">
        <v>39</v>
      </c>
      <c r="K380">
        <v>67</v>
      </c>
      <c r="L380">
        <v>4</v>
      </c>
      <c r="M380">
        <v>2</v>
      </c>
      <c r="N380" t="s">
        <v>35</v>
      </c>
      <c r="O380">
        <v>4</v>
      </c>
      <c r="P380" t="s">
        <v>36</v>
      </c>
      <c r="Q380">
        <v>5304</v>
      </c>
      <c r="R380">
        <v>4652</v>
      </c>
      <c r="S380">
        <v>8</v>
      </c>
      <c r="T380">
        <v>1</v>
      </c>
      <c r="U380" s="17">
        <v>0.13</v>
      </c>
      <c r="V380">
        <v>3</v>
      </c>
      <c r="W380">
        <v>2</v>
      </c>
      <c r="X380">
        <v>0</v>
      </c>
      <c r="Y380">
        <v>9</v>
      </c>
      <c r="Z380">
        <v>3</v>
      </c>
      <c r="AA380">
        <v>2</v>
      </c>
      <c r="AB380">
        <v>5</v>
      </c>
      <c r="AC380">
        <v>2</v>
      </c>
      <c r="AD380">
        <v>0</v>
      </c>
      <c r="AE380">
        <v>4</v>
      </c>
      <c r="AF380">
        <v>1</v>
      </c>
      <c r="AG380">
        <f>IF(tbl_HR_Data[[#This Row],[Gender]]="Male",1,0)</f>
        <v>1</v>
      </c>
      <c r="AH380" cm="1">
        <f t="array" ref="AH380">_xlfn.SWITCH(tbl_HR_Data[[#This Row],[BusinessTravel]], "Non-Travel", 0, "Travel_Rarely", 1, "Travel_Frequently", 2)</f>
        <v>0</v>
      </c>
      <c r="AI380" cm="1">
        <f t="array" ref="AI380">_xlfn.SWITCH(tbl_HR_Data[[#This Row],[MaritalStatus]],"Single",0,"Married",1,"Divorced",2)</f>
        <v>0</v>
      </c>
      <c r="AJ380">
        <f>IF(tbl_HR_Data[[#This Row],[OverTime]]=1,1,0)</f>
        <v>1</v>
      </c>
      <c r="AK380">
        <f>IF(tbl_HR_Data[[#This Row],[DistanceFromHome]]&gt;15,1,0)</f>
        <v>1</v>
      </c>
      <c r="AL380">
        <f>IF(tbl_HR_Data[[#This Row],[JobSatisfaction]]&lt;=2,1,0)</f>
        <v>0</v>
      </c>
      <c r="AM380">
        <f>IF(tbl_HR_Data[[#This Row],[MonthlyIncome]]&lt;$AT$2,1,0)</f>
        <v>0</v>
      </c>
      <c r="AN380">
        <f>IF(tbl_HR_Data[[#This Row],[Travel_Code]]=2,1,0)</f>
        <v>0</v>
      </c>
      <c r="AO380">
        <f>(tbl_HR_Data[[#This Row],[Flag_OT]] * Logic_Parameters!$B$2) +
 (tbl_HR_Data[[#This Row],[Flag_Travel]] * Logic_Parameters!$B$3) +
 (tbl_HR_Data[[#This Row],[Flag_Satisfaction]] * Logic_Parameters!$B$4) +
 (tbl_HR_Data[[#This Row],[Flag_Distance]]* Logic_Parameters!$B$5) +
 (tbl_HR_Data[[#This Row],[Flag_Income]] * Logic_Parameters!$B$6)</f>
        <v>13.166106695875378</v>
      </c>
      <c r="AP380" s="15">
        <f>tbl_HR_Data[[#This Row],[Risk_Score_Raw]] / SUM(Logic_Parameters!$B$2:$B$6)</f>
        <v>0.45360546450291089</v>
      </c>
      <c r="AQ380" s="16" t="str" cm="1">
        <f t="array" ref="AQ380">_xlfn.IFS(tbl_HR_Data[[#This Row],[Attrition_Risk_Percentage]] &gt;= 0.75, "Critical",tbl_HR_Data[ [#This Row],[Attrition_Risk_Percentage] ]&gt;= 0.5, "High",tbl_HR_Data[[#This Row],[Attrition_Risk_Percentage]] &gt;= 0.25, "Medium",TRUE, "Low")</f>
        <v>Medium</v>
      </c>
      <c r="AR380" s="16" cm="1">
        <f t="array" ref="AR380">IFERROR(_xlfn.IFS(tbl_HR_Data[[#This Row],[Risk_Category]]="Critical",tbl_HR_Data[[#This Row],[MonthlyIncome]]*1.5,tbl_HR_Data[[#This Row],[Risk_Category]]="High",tbl_HR_Data[[#This Row],[MonthlyIncome]]*1.5),0)</f>
        <v>0</v>
      </c>
    </row>
    <row r="381" spans="1:44" x14ac:dyDescent="0.35">
      <c r="A381" t="s">
        <v>647</v>
      </c>
      <c r="B381">
        <v>55</v>
      </c>
      <c r="C381" t="s">
        <v>31</v>
      </c>
      <c r="D381">
        <v>1311</v>
      </c>
      <c r="E381" t="s">
        <v>38</v>
      </c>
      <c r="F381">
        <v>2</v>
      </c>
      <c r="G381">
        <v>3</v>
      </c>
      <c r="H381" t="s">
        <v>33</v>
      </c>
      <c r="I381">
        <v>3</v>
      </c>
      <c r="J381" t="s">
        <v>34</v>
      </c>
      <c r="K381">
        <v>97</v>
      </c>
      <c r="L381">
        <v>3</v>
      </c>
      <c r="M381">
        <v>4</v>
      </c>
      <c r="N381" t="s">
        <v>48</v>
      </c>
      <c r="O381">
        <v>4</v>
      </c>
      <c r="P381" t="s">
        <v>36</v>
      </c>
      <c r="Q381">
        <v>16659</v>
      </c>
      <c r="R381">
        <v>23258</v>
      </c>
      <c r="S381">
        <v>2</v>
      </c>
      <c r="T381">
        <v>1</v>
      </c>
      <c r="U381" s="17">
        <v>0.13</v>
      </c>
      <c r="V381">
        <v>3</v>
      </c>
      <c r="W381">
        <v>3</v>
      </c>
      <c r="X381">
        <v>0</v>
      </c>
      <c r="Y381">
        <v>30</v>
      </c>
      <c r="Z381">
        <v>2</v>
      </c>
      <c r="AA381">
        <v>3</v>
      </c>
      <c r="AB381">
        <v>5</v>
      </c>
      <c r="AC381">
        <v>4</v>
      </c>
      <c r="AD381">
        <v>1</v>
      </c>
      <c r="AE381">
        <v>2</v>
      </c>
      <c r="AF381">
        <v>0</v>
      </c>
      <c r="AG381">
        <f>IF(tbl_HR_Data[[#This Row],[Gender]]="Male",1,0)</f>
        <v>0</v>
      </c>
      <c r="AH381" cm="1">
        <f t="array" ref="AH381">_xlfn.SWITCH(tbl_HR_Data[[#This Row],[BusinessTravel]], "Non-Travel", 0, "Travel_Rarely", 1, "Travel_Frequently", 2)</f>
        <v>1</v>
      </c>
      <c r="AI381" cm="1">
        <f t="array" ref="AI381">_xlfn.SWITCH(tbl_HR_Data[[#This Row],[MaritalStatus]],"Single",0,"Married",1,"Divorced",2)</f>
        <v>0</v>
      </c>
      <c r="AJ381">
        <f>IF(tbl_HR_Data[[#This Row],[OverTime]]=1,1,0)</f>
        <v>1</v>
      </c>
      <c r="AK381">
        <f>IF(tbl_HR_Data[[#This Row],[DistanceFromHome]]&gt;15,1,0)</f>
        <v>0</v>
      </c>
      <c r="AL381">
        <f>IF(tbl_HR_Data[[#This Row],[JobSatisfaction]]&lt;=2,1,0)</f>
        <v>0</v>
      </c>
      <c r="AM381">
        <f>IF(tbl_HR_Data[[#This Row],[MonthlyIncome]]&lt;$AT$2,1,0)</f>
        <v>0</v>
      </c>
      <c r="AN381">
        <f>IF(tbl_HR_Data[[#This Row],[Travel_Code]]=2,1,0)</f>
        <v>0</v>
      </c>
      <c r="AO381">
        <f>(tbl_HR_Data[[#This Row],[Flag_OT]] * Logic_Parameters!$B$2) +
 (tbl_HR_Data[[#This Row],[Flag_Travel]] * Logic_Parameters!$B$3) +
 (tbl_HR_Data[[#This Row],[Flag_Satisfaction]] * Logic_Parameters!$B$4) +
 (tbl_HR_Data[[#This Row],[Flag_Distance]]* Logic_Parameters!$B$5) +
 (tbl_HR_Data[[#This Row],[Flag_Income]] * Logic_Parameters!$B$6)</f>
        <v>10</v>
      </c>
      <c r="AP381" s="15">
        <f>tbl_HR_Data[[#This Row],[Risk_Score_Raw]] / SUM(Logic_Parameters!$B$2:$B$6)</f>
        <v>0.3445251318258073</v>
      </c>
      <c r="AQ381" s="16" t="str" cm="1">
        <f t="array" ref="AQ381">_xlfn.IFS(tbl_HR_Data[[#This Row],[Attrition_Risk_Percentage]] &gt;= 0.75, "Critical",tbl_HR_Data[ [#This Row],[Attrition_Risk_Percentage] ]&gt;= 0.5, "High",tbl_HR_Data[[#This Row],[Attrition_Risk_Percentage]] &gt;= 0.25, "Medium",TRUE, "Low")</f>
        <v>Medium</v>
      </c>
      <c r="AR381" s="16" cm="1">
        <f t="array" ref="AR381">IFERROR(_xlfn.IFS(tbl_HR_Data[[#This Row],[Risk_Category]]="Critical",tbl_HR_Data[[#This Row],[MonthlyIncome]]*1.5,tbl_HR_Data[[#This Row],[Risk_Category]]="High",tbl_HR_Data[[#This Row],[MonthlyIncome]]*1.5),0)</f>
        <v>0</v>
      </c>
    </row>
    <row r="382" spans="1:44" x14ac:dyDescent="0.35">
      <c r="A382" t="s">
        <v>909</v>
      </c>
      <c r="B382">
        <v>24</v>
      </c>
      <c r="C382" t="s">
        <v>31</v>
      </c>
      <c r="D382">
        <v>1371</v>
      </c>
      <c r="E382" t="s">
        <v>32</v>
      </c>
      <c r="F382">
        <v>10</v>
      </c>
      <c r="G382">
        <v>4</v>
      </c>
      <c r="H382" t="s">
        <v>51</v>
      </c>
      <c r="I382">
        <v>4</v>
      </c>
      <c r="J382" t="s">
        <v>34</v>
      </c>
      <c r="K382">
        <v>77</v>
      </c>
      <c r="L382">
        <v>3</v>
      </c>
      <c r="M382">
        <v>2</v>
      </c>
      <c r="N382" t="s">
        <v>35</v>
      </c>
      <c r="O382">
        <v>3</v>
      </c>
      <c r="P382" t="s">
        <v>45</v>
      </c>
      <c r="Q382">
        <v>4260</v>
      </c>
      <c r="R382">
        <v>5915</v>
      </c>
      <c r="S382">
        <v>1</v>
      </c>
      <c r="T382">
        <v>1</v>
      </c>
      <c r="U382" s="17">
        <v>0.12</v>
      </c>
      <c r="V382">
        <v>3</v>
      </c>
      <c r="W382">
        <v>4</v>
      </c>
      <c r="X382">
        <v>1</v>
      </c>
      <c r="Y382">
        <v>5</v>
      </c>
      <c r="Z382">
        <v>2</v>
      </c>
      <c r="AA382">
        <v>4</v>
      </c>
      <c r="AB382">
        <v>5</v>
      </c>
      <c r="AC382">
        <v>2</v>
      </c>
      <c r="AD382">
        <v>0</v>
      </c>
      <c r="AE382">
        <v>3</v>
      </c>
      <c r="AF382">
        <v>0</v>
      </c>
      <c r="AG382">
        <f>IF(tbl_HR_Data[[#This Row],[Gender]]="Male",1,0)</f>
        <v>0</v>
      </c>
      <c r="AH382" cm="1">
        <f t="array" ref="AH382">_xlfn.SWITCH(tbl_HR_Data[[#This Row],[BusinessTravel]], "Non-Travel", 0, "Travel_Rarely", 1, "Travel_Frequently", 2)</f>
        <v>1</v>
      </c>
      <c r="AI382" cm="1">
        <f t="array" ref="AI382">_xlfn.SWITCH(tbl_HR_Data[[#This Row],[MaritalStatus]],"Single",0,"Married",1,"Divorced",2)</f>
        <v>2</v>
      </c>
      <c r="AJ382">
        <f>IF(tbl_HR_Data[[#This Row],[OverTime]]=1,1,0)</f>
        <v>1</v>
      </c>
      <c r="AK382">
        <f>IF(tbl_HR_Data[[#This Row],[DistanceFromHome]]&gt;15,1,0)</f>
        <v>0</v>
      </c>
      <c r="AL382">
        <f>IF(tbl_HR_Data[[#This Row],[JobSatisfaction]]&lt;=2,1,0)</f>
        <v>0</v>
      </c>
      <c r="AM382">
        <f>IF(tbl_HR_Data[[#This Row],[MonthlyIncome]]&lt;$AT$2,1,0)</f>
        <v>1</v>
      </c>
      <c r="AN382">
        <f>IF(tbl_HR_Data[[#This Row],[Travel_Code]]=2,1,0)</f>
        <v>0</v>
      </c>
      <c r="AO382">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382" s="15">
        <f>tbl_HR_Data[[#This Row],[Risk_Score_Raw]] / SUM(Logic_Parameters!$B$2:$B$6)</f>
        <v>0.56827453040563214</v>
      </c>
      <c r="AQ382" s="16" t="str" cm="1">
        <f t="array" ref="AQ382">_xlfn.IFS(tbl_HR_Data[[#This Row],[Attrition_Risk_Percentage]] &gt;= 0.75, "Critical",tbl_HR_Data[ [#This Row],[Attrition_Risk_Percentage] ]&gt;= 0.5, "High",tbl_HR_Data[[#This Row],[Attrition_Risk_Percentage]] &gt;= 0.25, "Medium",TRUE, "Low")</f>
        <v>High</v>
      </c>
      <c r="AR382" s="16" cm="1">
        <f t="array" ref="AR382">IFERROR(_xlfn.IFS(tbl_HR_Data[[#This Row],[Risk_Category]]="Critical",tbl_HR_Data[[#This Row],[MonthlyIncome]]*1.5,tbl_HR_Data[[#This Row],[Risk_Category]]="High",tbl_HR_Data[[#This Row],[MonthlyIncome]]*1.5),0)</f>
        <v>6390</v>
      </c>
    </row>
    <row r="383" spans="1:44" x14ac:dyDescent="0.35">
      <c r="A383" t="s">
        <v>695</v>
      </c>
      <c r="B383">
        <v>30</v>
      </c>
      <c r="C383" t="s">
        <v>31</v>
      </c>
      <c r="D383">
        <v>202</v>
      </c>
      <c r="E383" t="s">
        <v>32</v>
      </c>
      <c r="F383">
        <v>2</v>
      </c>
      <c r="G383">
        <v>1</v>
      </c>
      <c r="H383" t="s">
        <v>52</v>
      </c>
      <c r="I383">
        <v>3</v>
      </c>
      <c r="J383" t="s">
        <v>39</v>
      </c>
      <c r="K383">
        <v>72</v>
      </c>
      <c r="L383">
        <v>3</v>
      </c>
      <c r="M383">
        <v>1</v>
      </c>
      <c r="N383" t="s">
        <v>49</v>
      </c>
      <c r="O383">
        <v>2</v>
      </c>
      <c r="P383" t="s">
        <v>41</v>
      </c>
      <c r="Q383">
        <v>2476</v>
      </c>
      <c r="R383">
        <v>17434</v>
      </c>
      <c r="S383">
        <v>1</v>
      </c>
      <c r="T383">
        <v>0</v>
      </c>
      <c r="U383" s="17">
        <v>0.18</v>
      </c>
      <c r="V383">
        <v>3</v>
      </c>
      <c r="W383">
        <v>1</v>
      </c>
      <c r="X383">
        <v>1</v>
      </c>
      <c r="Y383">
        <v>1</v>
      </c>
      <c r="Z383">
        <v>3</v>
      </c>
      <c r="AA383">
        <v>3</v>
      </c>
      <c r="AB383">
        <v>1</v>
      </c>
      <c r="AC383">
        <v>0</v>
      </c>
      <c r="AD383">
        <v>0</v>
      </c>
      <c r="AE383">
        <v>0</v>
      </c>
      <c r="AF383">
        <v>0</v>
      </c>
      <c r="AG383">
        <f>IF(tbl_HR_Data[[#This Row],[Gender]]="Male",1,0)</f>
        <v>1</v>
      </c>
      <c r="AH383" cm="1">
        <f t="array" ref="AH383">_xlfn.SWITCH(tbl_HR_Data[[#This Row],[BusinessTravel]], "Non-Travel", 0, "Travel_Rarely", 1, "Travel_Frequently", 2)</f>
        <v>1</v>
      </c>
      <c r="AI383" cm="1">
        <f t="array" ref="AI383">_xlfn.SWITCH(tbl_HR_Data[[#This Row],[MaritalStatus]],"Single",0,"Married",1,"Divorced",2)</f>
        <v>1</v>
      </c>
      <c r="AJ383">
        <f>IF(tbl_HR_Data[[#This Row],[OverTime]]=1,1,0)</f>
        <v>0</v>
      </c>
      <c r="AK383">
        <f>IF(tbl_HR_Data[[#This Row],[DistanceFromHome]]&gt;15,1,0)</f>
        <v>0</v>
      </c>
      <c r="AL383">
        <f>IF(tbl_HR_Data[[#This Row],[JobSatisfaction]]&lt;=2,1,0)</f>
        <v>1</v>
      </c>
      <c r="AM383">
        <f>IF(tbl_HR_Data[[#This Row],[MonthlyIncome]]&lt;$AT$2,1,0)</f>
        <v>1</v>
      </c>
      <c r="AN383">
        <f>IF(tbl_HR_Data[[#This Row],[Travel_Code]]=2,1,0)</f>
        <v>0</v>
      </c>
      <c r="AO383">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383" s="15">
        <f>tbl_HR_Data[[#This Row],[Risk_Score_Raw]] / SUM(Logic_Parameters!$B$2:$B$6)</f>
        <v>0.3686061316669938</v>
      </c>
      <c r="AQ383" s="16" t="str" cm="1">
        <f t="array" ref="AQ383">_xlfn.IFS(tbl_HR_Data[[#This Row],[Attrition_Risk_Percentage]] &gt;= 0.75, "Critical",tbl_HR_Data[ [#This Row],[Attrition_Risk_Percentage] ]&gt;= 0.5, "High",tbl_HR_Data[[#This Row],[Attrition_Risk_Percentage]] &gt;= 0.25, "Medium",TRUE, "Low")</f>
        <v>Medium</v>
      </c>
      <c r="AR383" s="16" cm="1">
        <f t="array" ref="AR383">IFERROR(_xlfn.IFS(tbl_HR_Data[[#This Row],[Risk_Category]]="Critical",tbl_HR_Data[[#This Row],[MonthlyIncome]]*1.5,tbl_HR_Data[[#This Row],[Risk_Category]]="High",tbl_HR_Data[[#This Row],[MonthlyIncome]]*1.5),0)</f>
        <v>0</v>
      </c>
    </row>
    <row r="384" spans="1:44" x14ac:dyDescent="0.35">
      <c r="A384" t="s">
        <v>572</v>
      </c>
      <c r="B384">
        <v>26</v>
      </c>
      <c r="C384" t="s">
        <v>37</v>
      </c>
      <c r="D384">
        <v>575</v>
      </c>
      <c r="E384" t="s">
        <v>38</v>
      </c>
      <c r="F384">
        <v>3</v>
      </c>
      <c r="G384">
        <v>1</v>
      </c>
      <c r="H384" t="s">
        <v>52</v>
      </c>
      <c r="I384">
        <v>3</v>
      </c>
      <c r="J384" t="s">
        <v>39</v>
      </c>
      <c r="K384">
        <v>73</v>
      </c>
      <c r="L384">
        <v>3</v>
      </c>
      <c r="M384">
        <v>1</v>
      </c>
      <c r="N384" t="s">
        <v>40</v>
      </c>
      <c r="O384">
        <v>1</v>
      </c>
      <c r="P384" t="s">
        <v>36</v>
      </c>
      <c r="Q384">
        <v>3102</v>
      </c>
      <c r="R384">
        <v>6582</v>
      </c>
      <c r="S384">
        <v>0</v>
      </c>
      <c r="T384">
        <v>0</v>
      </c>
      <c r="U384" s="17">
        <v>0.22</v>
      </c>
      <c r="V384">
        <v>4</v>
      </c>
      <c r="W384">
        <v>3</v>
      </c>
      <c r="X384">
        <v>0</v>
      </c>
      <c r="Y384">
        <v>7</v>
      </c>
      <c r="Z384">
        <v>2</v>
      </c>
      <c r="AA384">
        <v>3</v>
      </c>
      <c r="AB384">
        <v>6</v>
      </c>
      <c r="AC384">
        <v>4</v>
      </c>
      <c r="AD384">
        <v>0</v>
      </c>
      <c r="AE384">
        <v>4</v>
      </c>
      <c r="AF384">
        <v>1</v>
      </c>
      <c r="AG384">
        <f>IF(tbl_HR_Data[[#This Row],[Gender]]="Male",1,0)</f>
        <v>1</v>
      </c>
      <c r="AH384" cm="1">
        <f t="array" ref="AH384">_xlfn.SWITCH(tbl_HR_Data[[#This Row],[BusinessTravel]], "Non-Travel", 0, "Travel_Rarely", 1, "Travel_Frequently", 2)</f>
        <v>2</v>
      </c>
      <c r="AI384" cm="1">
        <f t="array" ref="AI384">_xlfn.SWITCH(tbl_HR_Data[[#This Row],[MaritalStatus]],"Single",0,"Married",1,"Divorced",2)</f>
        <v>0</v>
      </c>
      <c r="AJ384">
        <f>IF(tbl_HR_Data[[#This Row],[OverTime]]=1,1,0)</f>
        <v>0</v>
      </c>
      <c r="AK384">
        <f>IF(tbl_HR_Data[[#This Row],[DistanceFromHome]]&gt;15,1,0)</f>
        <v>0</v>
      </c>
      <c r="AL384">
        <f>IF(tbl_HR_Data[[#This Row],[JobSatisfaction]]&lt;=2,1,0)</f>
        <v>1</v>
      </c>
      <c r="AM384">
        <f>IF(tbl_HR_Data[[#This Row],[MonthlyIncome]]&lt;$AT$2,1,0)</f>
        <v>1</v>
      </c>
      <c r="AN384">
        <f>IF(tbl_HR_Data[[#This Row],[Travel_Code]]=2,1,0)</f>
        <v>1</v>
      </c>
      <c r="AO384">
        <f>(tbl_HR_Data[[#This Row],[Flag_OT]] * Logic_Parameters!$B$2) +
 (tbl_HR_Data[[#This Row],[Flag_Travel]] * Logic_Parameters!$B$3) +
 (tbl_HR_Data[[#This Row],[Flag_Satisfaction]] * Logic_Parameters!$B$4) +
 (tbl_HR_Data[[#This Row],[Flag_Distance]]* Logic_Parameters!$B$5) +
 (tbl_HR_Data[[#This Row],[Flag_Income]] * Logic_Parameters!$B$6)</f>
        <v>15.859352047889136</v>
      </c>
      <c r="AP384" s="15">
        <f>tbl_HR_Data[[#This Row],[Risk_Score_Raw]] / SUM(Logic_Parameters!$B$2:$B$6)</f>
        <v>0.54639453549708916</v>
      </c>
      <c r="AQ384" s="16" t="str" cm="1">
        <f t="array" ref="AQ384">_xlfn.IFS(tbl_HR_Data[[#This Row],[Attrition_Risk_Percentage]] &gt;= 0.75, "Critical",tbl_HR_Data[ [#This Row],[Attrition_Risk_Percentage] ]&gt;= 0.5, "High",tbl_HR_Data[[#This Row],[Attrition_Risk_Percentage]] &gt;= 0.25, "Medium",TRUE, "Low")</f>
        <v>High</v>
      </c>
      <c r="AR384" s="16" cm="1">
        <f t="array" ref="AR384">IFERROR(_xlfn.IFS(tbl_HR_Data[[#This Row],[Risk_Category]]="Critical",tbl_HR_Data[[#This Row],[MonthlyIncome]]*1.5,tbl_HR_Data[[#This Row],[Risk_Category]]="High",tbl_HR_Data[[#This Row],[MonthlyIncome]]*1.5),0)</f>
        <v>4653</v>
      </c>
    </row>
    <row r="385" spans="1:44" x14ac:dyDescent="0.35">
      <c r="A385" t="s">
        <v>546</v>
      </c>
      <c r="B385">
        <v>22</v>
      </c>
      <c r="C385" t="s">
        <v>31</v>
      </c>
      <c r="D385">
        <v>253</v>
      </c>
      <c r="E385" t="s">
        <v>38</v>
      </c>
      <c r="F385">
        <v>11</v>
      </c>
      <c r="G385">
        <v>3</v>
      </c>
      <c r="H385" t="s">
        <v>44</v>
      </c>
      <c r="I385">
        <v>1</v>
      </c>
      <c r="J385" t="s">
        <v>34</v>
      </c>
      <c r="K385">
        <v>43</v>
      </c>
      <c r="L385">
        <v>3</v>
      </c>
      <c r="M385">
        <v>1</v>
      </c>
      <c r="N385" t="s">
        <v>40</v>
      </c>
      <c r="O385">
        <v>2</v>
      </c>
      <c r="P385" t="s">
        <v>41</v>
      </c>
      <c r="Q385">
        <v>2244</v>
      </c>
      <c r="R385">
        <v>24440</v>
      </c>
      <c r="S385">
        <v>1</v>
      </c>
      <c r="T385">
        <v>0</v>
      </c>
      <c r="U385" s="17">
        <v>0.13</v>
      </c>
      <c r="V385">
        <v>3</v>
      </c>
      <c r="W385">
        <v>4</v>
      </c>
      <c r="X385">
        <v>1</v>
      </c>
      <c r="Y385">
        <v>2</v>
      </c>
      <c r="Z385">
        <v>1</v>
      </c>
      <c r="AA385">
        <v>3</v>
      </c>
      <c r="AB385">
        <v>2</v>
      </c>
      <c r="AC385">
        <v>1</v>
      </c>
      <c r="AD385">
        <v>1</v>
      </c>
      <c r="AE385">
        <v>2</v>
      </c>
      <c r="AF385">
        <v>0</v>
      </c>
      <c r="AG385">
        <f>IF(tbl_HR_Data[[#This Row],[Gender]]="Male",1,0)</f>
        <v>0</v>
      </c>
      <c r="AH385" cm="1">
        <f t="array" ref="AH385">_xlfn.SWITCH(tbl_HR_Data[[#This Row],[BusinessTravel]], "Non-Travel", 0, "Travel_Rarely", 1, "Travel_Frequently", 2)</f>
        <v>1</v>
      </c>
      <c r="AI385" cm="1">
        <f t="array" ref="AI385">_xlfn.SWITCH(tbl_HR_Data[[#This Row],[MaritalStatus]],"Single",0,"Married",1,"Divorced",2)</f>
        <v>1</v>
      </c>
      <c r="AJ385">
        <f>IF(tbl_HR_Data[[#This Row],[OverTime]]=1,1,0)</f>
        <v>0</v>
      </c>
      <c r="AK385">
        <f>IF(tbl_HR_Data[[#This Row],[DistanceFromHome]]&gt;15,1,0)</f>
        <v>0</v>
      </c>
      <c r="AL385">
        <f>IF(tbl_HR_Data[[#This Row],[JobSatisfaction]]&lt;=2,1,0)</f>
        <v>1</v>
      </c>
      <c r="AM385">
        <f>IF(tbl_HR_Data[[#This Row],[MonthlyIncome]]&lt;$AT$2,1,0)</f>
        <v>1</v>
      </c>
      <c r="AN385">
        <f>IF(tbl_HR_Data[[#This Row],[Travel_Code]]=2,1,0)</f>
        <v>0</v>
      </c>
      <c r="AO385">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385" s="15">
        <f>tbl_HR_Data[[#This Row],[Risk_Score_Raw]] / SUM(Logic_Parameters!$B$2:$B$6)</f>
        <v>0.3686061316669938</v>
      </c>
      <c r="AQ385" s="16" t="str" cm="1">
        <f t="array" ref="AQ385">_xlfn.IFS(tbl_HR_Data[[#This Row],[Attrition_Risk_Percentage]] &gt;= 0.75, "Critical",tbl_HR_Data[ [#This Row],[Attrition_Risk_Percentage] ]&gt;= 0.5, "High",tbl_HR_Data[[#This Row],[Attrition_Risk_Percentage]] &gt;= 0.25, "Medium",TRUE, "Low")</f>
        <v>Medium</v>
      </c>
      <c r="AR385" s="16" cm="1">
        <f t="array" ref="AR385">IFERROR(_xlfn.IFS(tbl_HR_Data[[#This Row],[Risk_Category]]="Critical",tbl_HR_Data[[#This Row],[MonthlyIncome]]*1.5,tbl_HR_Data[[#This Row],[Risk_Category]]="High",tbl_HR_Data[[#This Row],[MonthlyIncome]]*1.5),0)</f>
        <v>0</v>
      </c>
    </row>
    <row r="386" spans="1:44" x14ac:dyDescent="0.35">
      <c r="A386" t="s">
        <v>581</v>
      </c>
      <c r="B386">
        <v>36</v>
      </c>
      <c r="C386" t="s">
        <v>31</v>
      </c>
      <c r="D386">
        <v>164</v>
      </c>
      <c r="E386" t="s">
        <v>32</v>
      </c>
      <c r="F386">
        <v>2</v>
      </c>
      <c r="G386">
        <v>2</v>
      </c>
      <c r="H386" t="s">
        <v>44</v>
      </c>
      <c r="I386">
        <v>2</v>
      </c>
      <c r="J386" t="s">
        <v>39</v>
      </c>
      <c r="K386">
        <v>61</v>
      </c>
      <c r="L386">
        <v>2</v>
      </c>
      <c r="M386">
        <v>3</v>
      </c>
      <c r="N386" t="s">
        <v>35</v>
      </c>
      <c r="O386">
        <v>3</v>
      </c>
      <c r="P386" t="s">
        <v>41</v>
      </c>
      <c r="Q386">
        <v>7596</v>
      </c>
      <c r="R386">
        <v>3809</v>
      </c>
      <c r="S386">
        <v>1</v>
      </c>
      <c r="T386">
        <v>0</v>
      </c>
      <c r="U386" s="17">
        <v>0.13</v>
      </c>
      <c r="V386">
        <v>3</v>
      </c>
      <c r="W386">
        <v>2</v>
      </c>
      <c r="X386">
        <v>2</v>
      </c>
      <c r="Y386">
        <v>10</v>
      </c>
      <c r="Z386">
        <v>2</v>
      </c>
      <c r="AA386">
        <v>3</v>
      </c>
      <c r="AB386">
        <v>10</v>
      </c>
      <c r="AC386">
        <v>9</v>
      </c>
      <c r="AD386">
        <v>9</v>
      </c>
      <c r="AE386">
        <v>0</v>
      </c>
      <c r="AF386">
        <v>0</v>
      </c>
      <c r="AG386">
        <f>IF(tbl_HR_Data[[#This Row],[Gender]]="Male",1,0)</f>
        <v>1</v>
      </c>
      <c r="AH386" cm="1">
        <f t="array" ref="AH386">_xlfn.SWITCH(tbl_HR_Data[[#This Row],[BusinessTravel]], "Non-Travel", 0, "Travel_Rarely", 1, "Travel_Frequently", 2)</f>
        <v>1</v>
      </c>
      <c r="AI386" cm="1">
        <f t="array" ref="AI386">_xlfn.SWITCH(tbl_HR_Data[[#This Row],[MaritalStatus]],"Single",0,"Married",1,"Divorced",2)</f>
        <v>1</v>
      </c>
      <c r="AJ386">
        <f>IF(tbl_HR_Data[[#This Row],[OverTime]]=1,1,0)</f>
        <v>0</v>
      </c>
      <c r="AK386">
        <f>IF(tbl_HR_Data[[#This Row],[DistanceFromHome]]&gt;15,1,0)</f>
        <v>0</v>
      </c>
      <c r="AL386">
        <f>IF(tbl_HR_Data[[#This Row],[JobSatisfaction]]&lt;=2,1,0)</f>
        <v>0</v>
      </c>
      <c r="AM386">
        <f>IF(tbl_HR_Data[[#This Row],[MonthlyIncome]]&lt;$AT$2,1,0)</f>
        <v>0</v>
      </c>
      <c r="AN386">
        <f>IF(tbl_HR_Data[[#This Row],[Travel_Code]]=2,1,0)</f>
        <v>0</v>
      </c>
      <c r="AO386">
        <f>(tbl_HR_Data[[#This Row],[Flag_OT]] * Logic_Parameters!$B$2) +
 (tbl_HR_Data[[#This Row],[Flag_Travel]] * Logic_Parameters!$B$3) +
 (tbl_HR_Data[[#This Row],[Flag_Satisfaction]] * Logic_Parameters!$B$4) +
 (tbl_HR_Data[[#This Row],[Flag_Distance]]* Logic_Parameters!$B$5) +
 (tbl_HR_Data[[#This Row],[Flag_Income]] * Logic_Parameters!$B$6)</f>
        <v>0</v>
      </c>
      <c r="AP386" s="15">
        <f>tbl_HR_Data[[#This Row],[Risk_Score_Raw]] / SUM(Logic_Parameters!$B$2:$B$6)</f>
        <v>0</v>
      </c>
      <c r="AQ386" s="16" t="str" cm="1">
        <f t="array" ref="AQ386">_xlfn.IFS(tbl_HR_Data[[#This Row],[Attrition_Risk_Percentage]] &gt;= 0.75, "Critical",tbl_HR_Data[ [#This Row],[Attrition_Risk_Percentage] ]&gt;= 0.5, "High",tbl_HR_Data[[#This Row],[Attrition_Risk_Percentage]] &gt;= 0.25, "Medium",TRUE, "Low")</f>
        <v>Low</v>
      </c>
      <c r="AR386" s="16" cm="1">
        <f t="array" ref="AR386">IFERROR(_xlfn.IFS(tbl_HR_Data[[#This Row],[Risk_Category]]="Critical",tbl_HR_Data[[#This Row],[MonthlyIncome]]*1.5,tbl_HR_Data[[#This Row],[Risk_Category]]="High",tbl_HR_Data[[#This Row],[MonthlyIncome]]*1.5),0)</f>
        <v>0</v>
      </c>
    </row>
    <row r="387" spans="1:44" x14ac:dyDescent="0.35">
      <c r="A387" t="s">
        <v>1475</v>
      </c>
      <c r="B387">
        <v>30</v>
      </c>
      <c r="C387" t="s">
        <v>37</v>
      </c>
      <c r="D387">
        <v>464</v>
      </c>
      <c r="E387" t="s">
        <v>38</v>
      </c>
      <c r="F387">
        <v>4</v>
      </c>
      <c r="G387">
        <v>3</v>
      </c>
      <c r="H387" t="s">
        <v>52</v>
      </c>
      <c r="I387">
        <v>3</v>
      </c>
      <c r="J387" t="s">
        <v>39</v>
      </c>
      <c r="K387">
        <v>40</v>
      </c>
      <c r="L387">
        <v>3</v>
      </c>
      <c r="M387">
        <v>1</v>
      </c>
      <c r="N387" t="s">
        <v>40</v>
      </c>
      <c r="O387">
        <v>4</v>
      </c>
      <c r="P387" t="s">
        <v>36</v>
      </c>
      <c r="Q387">
        <v>2285</v>
      </c>
      <c r="R387">
        <v>3427</v>
      </c>
      <c r="S387">
        <v>9</v>
      </c>
      <c r="T387">
        <v>1</v>
      </c>
      <c r="U387" s="17">
        <v>0.23</v>
      </c>
      <c r="V387">
        <v>4</v>
      </c>
      <c r="W387">
        <v>3</v>
      </c>
      <c r="X387">
        <v>0</v>
      </c>
      <c r="Y387">
        <v>3</v>
      </c>
      <c r="Z387">
        <v>4</v>
      </c>
      <c r="AA387">
        <v>3</v>
      </c>
      <c r="AB387">
        <v>1</v>
      </c>
      <c r="AC387">
        <v>0</v>
      </c>
      <c r="AD387">
        <v>0</v>
      </c>
      <c r="AE387">
        <v>0</v>
      </c>
      <c r="AF387">
        <v>1</v>
      </c>
      <c r="AG387">
        <f>IF(tbl_HR_Data[[#This Row],[Gender]]="Male",1,0)</f>
        <v>1</v>
      </c>
      <c r="AH387" cm="1">
        <f t="array" ref="AH387">_xlfn.SWITCH(tbl_HR_Data[[#This Row],[BusinessTravel]], "Non-Travel", 0, "Travel_Rarely", 1, "Travel_Frequently", 2)</f>
        <v>2</v>
      </c>
      <c r="AI387" cm="1">
        <f t="array" ref="AI387">_xlfn.SWITCH(tbl_HR_Data[[#This Row],[MaritalStatus]],"Single",0,"Married",1,"Divorced",2)</f>
        <v>0</v>
      </c>
      <c r="AJ387">
        <f>IF(tbl_HR_Data[[#This Row],[OverTime]]=1,1,0)</f>
        <v>1</v>
      </c>
      <c r="AK387">
        <f>IF(tbl_HR_Data[[#This Row],[DistanceFromHome]]&gt;15,1,0)</f>
        <v>0</v>
      </c>
      <c r="AL387">
        <f>IF(tbl_HR_Data[[#This Row],[JobSatisfaction]]&lt;=2,1,0)</f>
        <v>0</v>
      </c>
      <c r="AM387">
        <f>IF(tbl_HR_Data[[#This Row],[MonthlyIncome]]&lt;$AT$2,1,0)</f>
        <v>1</v>
      </c>
      <c r="AN387">
        <f>IF(tbl_HR_Data[[#This Row],[Travel_Code]]=2,1,0)</f>
        <v>1</v>
      </c>
      <c r="AO387">
        <f>(tbl_HR_Data[[#This Row],[Flag_OT]] * Logic_Parameters!$B$2) +
 (tbl_HR_Data[[#This Row],[Flag_Travel]] * Logic_Parameters!$B$3) +
 (tbl_HR_Data[[#This Row],[Flag_Satisfaction]] * Logic_Parameters!$B$4) +
 (tbl_HR_Data[[#This Row],[Flag_Distance]]* Logic_Parameters!$B$5) +
 (tbl_HR_Data[[#This Row],[Flag_Income]] * Logic_Parameters!$B$6)</f>
        <v>21.654818917911005</v>
      </c>
      <c r="AP387" s="15">
        <f>tbl_HR_Data[[#This Row],[Risk_Score_Raw]] / SUM(Logic_Parameters!$B$2:$B$6)</f>
        <v>0.74606293423572745</v>
      </c>
      <c r="AQ387" s="16" t="str" cm="1">
        <f t="array" ref="AQ387">_xlfn.IFS(tbl_HR_Data[[#This Row],[Attrition_Risk_Percentage]] &gt;= 0.75, "Critical",tbl_HR_Data[ [#This Row],[Attrition_Risk_Percentage] ]&gt;= 0.5, "High",tbl_HR_Data[[#This Row],[Attrition_Risk_Percentage]] &gt;= 0.25, "Medium",TRUE, "Low")</f>
        <v>High</v>
      </c>
      <c r="AR387" s="16" cm="1">
        <f t="array" ref="AR387">IFERROR(_xlfn.IFS(tbl_HR_Data[[#This Row],[Risk_Category]]="Critical",tbl_HR_Data[[#This Row],[MonthlyIncome]]*1.5,tbl_HR_Data[[#This Row],[Risk_Category]]="High",tbl_HR_Data[[#This Row],[MonthlyIncome]]*1.5),0)</f>
        <v>3427.5</v>
      </c>
    </row>
    <row r="388" spans="1:44" x14ac:dyDescent="0.35">
      <c r="A388" t="s">
        <v>307</v>
      </c>
      <c r="B388">
        <v>37</v>
      </c>
      <c r="C388" t="s">
        <v>31</v>
      </c>
      <c r="D388">
        <v>1107</v>
      </c>
      <c r="E388" t="s">
        <v>38</v>
      </c>
      <c r="F388">
        <v>14</v>
      </c>
      <c r="G388">
        <v>3</v>
      </c>
      <c r="H388" t="s">
        <v>33</v>
      </c>
      <c r="I388">
        <v>4</v>
      </c>
      <c r="J388" t="s">
        <v>34</v>
      </c>
      <c r="K388">
        <v>95</v>
      </c>
      <c r="L388">
        <v>3</v>
      </c>
      <c r="M388">
        <v>1</v>
      </c>
      <c r="N388" t="s">
        <v>43</v>
      </c>
      <c r="O388">
        <v>1</v>
      </c>
      <c r="P388" t="s">
        <v>45</v>
      </c>
      <c r="Q388">
        <v>3034</v>
      </c>
      <c r="R388">
        <v>26914</v>
      </c>
      <c r="S388">
        <v>1</v>
      </c>
      <c r="T388">
        <v>0</v>
      </c>
      <c r="U388" s="17">
        <v>0.12</v>
      </c>
      <c r="V388">
        <v>3</v>
      </c>
      <c r="W388">
        <v>3</v>
      </c>
      <c r="X388">
        <v>1</v>
      </c>
      <c r="Y388">
        <v>18</v>
      </c>
      <c r="Z388">
        <v>2</v>
      </c>
      <c r="AA388">
        <v>2</v>
      </c>
      <c r="AB388">
        <v>18</v>
      </c>
      <c r="AC388">
        <v>7</v>
      </c>
      <c r="AD388">
        <v>12</v>
      </c>
      <c r="AE388">
        <v>17</v>
      </c>
      <c r="AF388">
        <v>0</v>
      </c>
      <c r="AG388">
        <f>IF(tbl_HR_Data[[#This Row],[Gender]]="Male",1,0)</f>
        <v>0</v>
      </c>
      <c r="AH388" cm="1">
        <f t="array" ref="AH388">_xlfn.SWITCH(tbl_HR_Data[[#This Row],[BusinessTravel]], "Non-Travel", 0, "Travel_Rarely", 1, "Travel_Frequently", 2)</f>
        <v>1</v>
      </c>
      <c r="AI388" cm="1">
        <f t="array" ref="AI388">_xlfn.SWITCH(tbl_HR_Data[[#This Row],[MaritalStatus]],"Single",0,"Married",1,"Divorced",2)</f>
        <v>2</v>
      </c>
      <c r="AJ388">
        <f>IF(tbl_HR_Data[[#This Row],[OverTime]]=1,1,0)</f>
        <v>0</v>
      </c>
      <c r="AK388">
        <f>IF(tbl_HR_Data[[#This Row],[DistanceFromHome]]&gt;15,1,0)</f>
        <v>0</v>
      </c>
      <c r="AL388">
        <f>IF(tbl_HR_Data[[#This Row],[JobSatisfaction]]&lt;=2,1,0)</f>
        <v>1</v>
      </c>
      <c r="AM388">
        <f>IF(tbl_HR_Data[[#This Row],[MonthlyIncome]]&lt;$AT$2,1,0)</f>
        <v>1</v>
      </c>
      <c r="AN388">
        <f>IF(tbl_HR_Data[[#This Row],[Travel_Code]]=2,1,0)</f>
        <v>0</v>
      </c>
      <c r="AO388">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388" s="15">
        <f>tbl_HR_Data[[#This Row],[Risk_Score_Raw]] / SUM(Logic_Parameters!$B$2:$B$6)</f>
        <v>0.3686061316669938</v>
      </c>
      <c r="AQ388" s="16" t="str" cm="1">
        <f t="array" ref="AQ388">_xlfn.IFS(tbl_HR_Data[[#This Row],[Attrition_Risk_Percentage]] &gt;= 0.75, "Critical",tbl_HR_Data[ [#This Row],[Attrition_Risk_Percentage] ]&gt;= 0.5, "High",tbl_HR_Data[[#This Row],[Attrition_Risk_Percentage]] &gt;= 0.25, "Medium",TRUE, "Low")</f>
        <v>Medium</v>
      </c>
      <c r="AR388" s="16" cm="1">
        <f t="array" ref="AR388">IFERROR(_xlfn.IFS(tbl_HR_Data[[#This Row],[Risk_Category]]="Critical",tbl_HR_Data[[#This Row],[MonthlyIncome]]*1.5,tbl_HR_Data[[#This Row],[Risk_Category]]="High",tbl_HR_Data[[#This Row],[MonthlyIncome]]*1.5),0)</f>
        <v>0</v>
      </c>
    </row>
    <row r="389" spans="1:44" x14ac:dyDescent="0.35">
      <c r="A389" t="s">
        <v>809</v>
      </c>
      <c r="B389">
        <v>40</v>
      </c>
      <c r="C389" t="s">
        <v>31</v>
      </c>
      <c r="D389">
        <v>759</v>
      </c>
      <c r="E389" t="s">
        <v>32</v>
      </c>
      <c r="F389">
        <v>2</v>
      </c>
      <c r="G389">
        <v>2</v>
      </c>
      <c r="H389" t="s">
        <v>51</v>
      </c>
      <c r="I389">
        <v>4</v>
      </c>
      <c r="J389" t="s">
        <v>34</v>
      </c>
      <c r="K389">
        <v>46</v>
      </c>
      <c r="L389">
        <v>3</v>
      </c>
      <c r="M389">
        <v>2</v>
      </c>
      <c r="N389" t="s">
        <v>35</v>
      </c>
      <c r="O389">
        <v>2</v>
      </c>
      <c r="P389" t="s">
        <v>45</v>
      </c>
      <c r="Q389">
        <v>5715</v>
      </c>
      <c r="R389">
        <v>22553</v>
      </c>
      <c r="S389">
        <v>7</v>
      </c>
      <c r="T389">
        <v>0</v>
      </c>
      <c r="U389" s="17">
        <v>0.12</v>
      </c>
      <c r="V389">
        <v>3</v>
      </c>
      <c r="W389">
        <v>3</v>
      </c>
      <c r="X389">
        <v>2</v>
      </c>
      <c r="Y389">
        <v>8</v>
      </c>
      <c r="Z389">
        <v>5</v>
      </c>
      <c r="AA389">
        <v>3</v>
      </c>
      <c r="AB389">
        <v>5</v>
      </c>
      <c r="AC389">
        <v>4</v>
      </c>
      <c r="AD389">
        <v>1</v>
      </c>
      <c r="AE389">
        <v>3</v>
      </c>
      <c r="AF389">
        <v>0</v>
      </c>
      <c r="AG389">
        <f>IF(tbl_HR_Data[[#This Row],[Gender]]="Male",1,0)</f>
        <v>0</v>
      </c>
      <c r="AH389" cm="1">
        <f t="array" ref="AH389">_xlfn.SWITCH(tbl_HR_Data[[#This Row],[BusinessTravel]], "Non-Travel", 0, "Travel_Rarely", 1, "Travel_Frequently", 2)</f>
        <v>1</v>
      </c>
      <c r="AI389" cm="1">
        <f t="array" ref="AI389">_xlfn.SWITCH(tbl_HR_Data[[#This Row],[MaritalStatus]],"Single",0,"Married",1,"Divorced",2)</f>
        <v>2</v>
      </c>
      <c r="AJ389">
        <f>IF(tbl_HR_Data[[#This Row],[OverTime]]=1,1,0)</f>
        <v>0</v>
      </c>
      <c r="AK389">
        <f>IF(tbl_HR_Data[[#This Row],[DistanceFromHome]]&gt;15,1,0)</f>
        <v>0</v>
      </c>
      <c r="AL389">
        <f>IF(tbl_HR_Data[[#This Row],[JobSatisfaction]]&lt;=2,1,0)</f>
        <v>1</v>
      </c>
      <c r="AM389">
        <f>IF(tbl_HR_Data[[#This Row],[MonthlyIncome]]&lt;$AT$2,1,0)</f>
        <v>0</v>
      </c>
      <c r="AN389">
        <f>IF(tbl_HR_Data[[#This Row],[Travel_Code]]=2,1,0)</f>
        <v>0</v>
      </c>
      <c r="AO389">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389" s="15">
        <f>tbl_HR_Data[[#This Row],[Risk_Score_Raw]] / SUM(Logic_Parameters!$B$2:$B$6)</f>
        <v>0.14485673308716898</v>
      </c>
      <c r="AQ389" s="16" t="str" cm="1">
        <f t="array" ref="AQ389">_xlfn.IFS(tbl_HR_Data[[#This Row],[Attrition_Risk_Percentage]] &gt;= 0.75, "Critical",tbl_HR_Data[ [#This Row],[Attrition_Risk_Percentage] ]&gt;= 0.5, "High",tbl_HR_Data[[#This Row],[Attrition_Risk_Percentage]] &gt;= 0.25, "Medium",TRUE, "Low")</f>
        <v>Low</v>
      </c>
      <c r="AR389" s="16" cm="1">
        <f t="array" ref="AR389">IFERROR(_xlfn.IFS(tbl_HR_Data[[#This Row],[Risk_Category]]="Critical",tbl_HR_Data[[#This Row],[MonthlyIncome]]*1.5,tbl_HR_Data[[#This Row],[Risk_Category]]="High",tbl_HR_Data[[#This Row],[MonthlyIncome]]*1.5),0)</f>
        <v>0</v>
      </c>
    </row>
    <row r="390" spans="1:44" x14ac:dyDescent="0.35">
      <c r="A390" t="s">
        <v>1301</v>
      </c>
      <c r="B390">
        <v>42</v>
      </c>
      <c r="C390" t="s">
        <v>31</v>
      </c>
      <c r="D390">
        <v>201</v>
      </c>
      <c r="E390" t="s">
        <v>38</v>
      </c>
      <c r="F390">
        <v>1</v>
      </c>
      <c r="G390">
        <v>4</v>
      </c>
      <c r="H390" t="s">
        <v>33</v>
      </c>
      <c r="I390">
        <v>2</v>
      </c>
      <c r="J390" t="s">
        <v>34</v>
      </c>
      <c r="K390">
        <v>95</v>
      </c>
      <c r="L390">
        <v>3</v>
      </c>
      <c r="M390">
        <v>1</v>
      </c>
      <c r="N390" t="s">
        <v>43</v>
      </c>
      <c r="O390">
        <v>1</v>
      </c>
      <c r="P390" t="s">
        <v>45</v>
      </c>
      <c r="Q390">
        <v>2576</v>
      </c>
      <c r="R390">
        <v>20490</v>
      </c>
      <c r="S390">
        <v>3</v>
      </c>
      <c r="T390">
        <v>0</v>
      </c>
      <c r="U390" s="17">
        <v>0.16</v>
      </c>
      <c r="V390">
        <v>3</v>
      </c>
      <c r="W390">
        <v>2</v>
      </c>
      <c r="X390">
        <v>1</v>
      </c>
      <c r="Y390">
        <v>8</v>
      </c>
      <c r="Z390">
        <v>5</v>
      </c>
      <c r="AA390">
        <v>3</v>
      </c>
      <c r="AB390">
        <v>5</v>
      </c>
      <c r="AC390">
        <v>2</v>
      </c>
      <c r="AD390">
        <v>1</v>
      </c>
      <c r="AE390">
        <v>2</v>
      </c>
      <c r="AF390">
        <v>0</v>
      </c>
      <c r="AG390">
        <f>IF(tbl_HR_Data[[#This Row],[Gender]]="Male",1,0)</f>
        <v>0</v>
      </c>
      <c r="AH390" cm="1">
        <f t="array" ref="AH390">_xlfn.SWITCH(tbl_HR_Data[[#This Row],[BusinessTravel]], "Non-Travel", 0, "Travel_Rarely", 1, "Travel_Frequently", 2)</f>
        <v>1</v>
      </c>
      <c r="AI390" cm="1">
        <f t="array" ref="AI390">_xlfn.SWITCH(tbl_HR_Data[[#This Row],[MaritalStatus]],"Single",0,"Married",1,"Divorced",2)</f>
        <v>2</v>
      </c>
      <c r="AJ390">
        <f>IF(tbl_HR_Data[[#This Row],[OverTime]]=1,1,0)</f>
        <v>0</v>
      </c>
      <c r="AK390">
        <f>IF(tbl_HR_Data[[#This Row],[DistanceFromHome]]&gt;15,1,0)</f>
        <v>0</v>
      </c>
      <c r="AL390">
        <f>IF(tbl_HR_Data[[#This Row],[JobSatisfaction]]&lt;=2,1,0)</f>
        <v>1</v>
      </c>
      <c r="AM390">
        <f>IF(tbl_HR_Data[[#This Row],[MonthlyIncome]]&lt;$AT$2,1,0)</f>
        <v>1</v>
      </c>
      <c r="AN390">
        <f>IF(tbl_HR_Data[[#This Row],[Travel_Code]]=2,1,0)</f>
        <v>0</v>
      </c>
      <c r="AO390">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390" s="15">
        <f>tbl_HR_Data[[#This Row],[Risk_Score_Raw]] / SUM(Logic_Parameters!$B$2:$B$6)</f>
        <v>0.3686061316669938</v>
      </c>
      <c r="AQ390" s="16" t="str" cm="1">
        <f t="array" ref="AQ390">_xlfn.IFS(tbl_HR_Data[[#This Row],[Attrition_Risk_Percentage]] &gt;= 0.75, "Critical",tbl_HR_Data[ [#This Row],[Attrition_Risk_Percentage] ]&gt;= 0.5, "High",tbl_HR_Data[[#This Row],[Attrition_Risk_Percentage]] &gt;= 0.25, "Medium",TRUE, "Low")</f>
        <v>Medium</v>
      </c>
      <c r="AR390" s="16" cm="1">
        <f t="array" ref="AR390">IFERROR(_xlfn.IFS(tbl_HR_Data[[#This Row],[Risk_Category]]="Critical",tbl_HR_Data[[#This Row],[MonthlyIncome]]*1.5,tbl_HR_Data[[#This Row],[Risk_Category]]="High",tbl_HR_Data[[#This Row],[MonthlyIncome]]*1.5),0)</f>
        <v>0</v>
      </c>
    </row>
    <row r="391" spans="1:44" x14ac:dyDescent="0.35">
      <c r="A391" t="s">
        <v>922</v>
      </c>
      <c r="B391">
        <v>37</v>
      </c>
      <c r="C391" t="s">
        <v>31</v>
      </c>
      <c r="D391">
        <v>1305</v>
      </c>
      <c r="E391" t="s">
        <v>38</v>
      </c>
      <c r="F391">
        <v>10</v>
      </c>
      <c r="G391">
        <v>4</v>
      </c>
      <c r="H391" t="s">
        <v>33</v>
      </c>
      <c r="I391">
        <v>3</v>
      </c>
      <c r="J391" t="s">
        <v>39</v>
      </c>
      <c r="K391">
        <v>49</v>
      </c>
      <c r="L391">
        <v>3</v>
      </c>
      <c r="M391">
        <v>2</v>
      </c>
      <c r="N391" t="s">
        <v>46</v>
      </c>
      <c r="O391">
        <v>2</v>
      </c>
      <c r="P391" t="s">
        <v>36</v>
      </c>
      <c r="Q391">
        <v>4197</v>
      </c>
      <c r="R391">
        <v>21123</v>
      </c>
      <c r="S391">
        <v>2</v>
      </c>
      <c r="T391">
        <v>1</v>
      </c>
      <c r="U391" s="17">
        <v>0.12</v>
      </c>
      <c r="V391">
        <v>3</v>
      </c>
      <c r="W391">
        <v>4</v>
      </c>
      <c r="X391">
        <v>0</v>
      </c>
      <c r="Y391">
        <v>18</v>
      </c>
      <c r="Z391">
        <v>2</v>
      </c>
      <c r="AA391">
        <v>2</v>
      </c>
      <c r="AB391">
        <v>1</v>
      </c>
      <c r="AC391">
        <v>0</v>
      </c>
      <c r="AD391">
        <v>0</v>
      </c>
      <c r="AE391">
        <v>1</v>
      </c>
      <c r="AF391">
        <v>0</v>
      </c>
      <c r="AG391">
        <f>IF(tbl_HR_Data[[#This Row],[Gender]]="Male",1,0)</f>
        <v>1</v>
      </c>
      <c r="AH391" cm="1">
        <f t="array" ref="AH391">_xlfn.SWITCH(tbl_HR_Data[[#This Row],[BusinessTravel]], "Non-Travel", 0, "Travel_Rarely", 1, "Travel_Frequently", 2)</f>
        <v>1</v>
      </c>
      <c r="AI391" cm="1">
        <f t="array" ref="AI391">_xlfn.SWITCH(tbl_HR_Data[[#This Row],[MaritalStatus]],"Single",0,"Married",1,"Divorced",2)</f>
        <v>0</v>
      </c>
      <c r="AJ391">
        <f>IF(tbl_HR_Data[[#This Row],[OverTime]]=1,1,0)</f>
        <v>1</v>
      </c>
      <c r="AK391">
        <f>IF(tbl_HR_Data[[#This Row],[DistanceFromHome]]&gt;15,1,0)</f>
        <v>0</v>
      </c>
      <c r="AL391">
        <f>IF(tbl_HR_Data[[#This Row],[JobSatisfaction]]&lt;=2,1,0)</f>
        <v>1</v>
      </c>
      <c r="AM391">
        <f>IF(tbl_HR_Data[[#This Row],[MonthlyIncome]]&lt;$AT$2,1,0)</f>
        <v>1</v>
      </c>
      <c r="AN391">
        <f>IF(tbl_HR_Data[[#This Row],[Travel_Code]]=2,1,0)</f>
        <v>0</v>
      </c>
      <c r="AO391">
        <f>(tbl_HR_Data[[#This Row],[Flag_OT]] * Logic_Parameters!$B$2) +
 (tbl_HR_Data[[#This Row],[Flag_Travel]] * Logic_Parameters!$B$3) +
 (tbl_HR_Data[[#This Row],[Flag_Satisfaction]] * Logic_Parameters!$B$4) +
 (tbl_HR_Data[[#This Row],[Flag_Distance]]* Logic_Parameters!$B$5) +
 (tbl_HR_Data[[#This Row],[Flag_Income]] * Logic_Parameters!$B$6)</f>
        <v>20.698962067398959</v>
      </c>
      <c r="AP391" s="15">
        <f>tbl_HR_Data[[#This Row],[Risk_Score_Raw]] / SUM(Logic_Parameters!$B$2:$B$6)</f>
        <v>0.71313126349280109</v>
      </c>
      <c r="AQ391" s="16" t="str" cm="1">
        <f t="array" ref="AQ391">_xlfn.IFS(tbl_HR_Data[[#This Row],[Attrition_Risk_Percentage]] &gt;= 0.75, "Critical",tbl_HR_Data[ [#This Row],[Attrition_Risk_Percentage] ]&gt;= 0.5, "High",tbl_HR_Data[[#This Row],[Attrition_Risk_Percentage]] &gt;= 0.25, "Medium",TRUE, "Low")</f>
        <v>High</v>
      </c>
      <c r="AR391" s="16" cm="1">
        <f t="array" ref="AR391">IFERROR(_xlfn.IFS(tbl_HR_Data[[#This Row],[Risk_Category]]="Critical",tbl_HR_Data[[#This Row],[MonthlyIncome]]*1.5,tbl_HR_Data[[#This Row],[Risk_Category]]="High",tbl_HR_Data[[#This Row],[MonthlyIncome]]*1.5),0)</f>
        <v>6295.5</v>
      </c>
    </row>
    <row r="392" spans="1:44" x14ac:dyDescent="0.35">
      <c r="A392" t="s">
        <v>208</v>
      </c>
      <c r="B392">
        <v>43</v>
      </c>
      <c r="C392" t="s">
        <v>31</v>
      </c>
      <c r="D392">
        <v>982</v>
      </c>
      <c r="E392" t="s">
        <v>38</v>
      </c>
      <c r="F392">
        <v>12</v>
      </c>
      <c r="G392">
        <v>3</v>
      </c>
      <c r="H392" t="s">
        <v>33</v>
      </c>
      <c r="I392">
        <v>1</v>
      </c>
      <c r="J392" t="s">
        <v>39</v>
      </c>
      <c r="K392">
        <v>59</v>
      </c>
      <c r="L392">
        <v>2</v>
      </c>
      <c r="M392">
        <v>4</v>
      </c>
      <c r="N392" t="s">
        <v>50</v>
      </c>
      <c r="O392">
        <v>2</v>
      </c>
      <c r="P392" t="s">
        <v>45</v>
      </c>
      <c r="Q392">
        <v>14336</v>
      </c>
      <c r="R392">
        <v>4345</v>
      </c>
      <c r="S392">
        <v>1</v>
      </c>
      <c r="T392">
        <v>0</v>
      </c>
      <c r="U392" s="17">
        <v>0.11</v>
      </c>
      <c r="V392">
        <v>3</v>
      </c>
      <c r="W392">
        <v>3</v>
      </c>
      <c r="X392">
        <v>1</v>
      </c>
      <c r="Y392">
        <v>25</v>
      </c>
      <c r="Z392">
        <v>3</v>
      </c>
      <c r="AA392">
        <v>3</v>
      </c>
      <c r="AB392">
        <v>25</v>
      </c>
      <c r="AC392">
        <v>10</v>
      </c>
      <c r="AD392">
        <v>3</v>
      </c>
      <c r="AE392">
        <v>9</v>
      </c>
      <c r="AF392">
        <v>0</v>
      </c>
      <c r="AG392">
        <f>IF(tbl_HR_Data[[#This Row],[Gender]]="Male",1,0)</f>
        <v>1</v>
      </c>
      <c r="AH392" cm="1">
        <f t="array" ref="AH392">_xlfn.SWITCH(tbl_HR_Data[[#This Row],[BusinessTravel]], "Non-Travel", 0, "Travel_Rarely", 1, "Travel_Frequently", 2)</f>
        <v>1</v>
      </c>
      <c r="AI392" cm="1">
        <f t="array" ref="AI392">_xlfn.SWITCH(tbl_HR_Data[[#This Row],[MaritalStatus]],"Single",0,"Married",1,"Divorced",2)</f>
        <v>2</v>
      </c>
      <c r="AJ392">
        <f>IF(tbl_HR_Data[[#This Row],[OverTime]]=1,1,0)</f>
        <v>0</v>
      </c>
      <c r="AK392">
        <f>IF(tbl_HR_Data[[#This Row],[DistanceFromHome]]&gt;15,1,0)</f>
        <v>0</v>
      </c>
      <c r="AL392">
        <f>IF(tbl_HR_Data[[#This Row],[JobSatisfaction]]&lt;=2,1,0)</f>
        <v>1</v>
      </c>
      <c r="AM392">
        <f>IF(tbl_HR_Data[[#This Row],[MonthlyIncome]]&lt;$AT$2,1,0)</f>
        <v>0</v>
      </c>
      <c r="AN392">
        <f>IF(tbl_HR_Data[[#This Row],[Travel_Code]]=2,1,0)</f>
        <v>0</v>
      </c>
      <c r="AO392">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392" s="15">
        <f>tbl_HR_Data[[#This Row],[Risk_Score_Raw]] / SUM(Logic_Parameters!$B$2:$B$6)</f>
        <v>0.14485673308716898</v>
      </c>
      <c r="AQ392" s="16" t="str" cm="1">
        <f t="array" ref="AQ392">_xlfn.IFS(tbl_HR_Data[[#This Row],[Attrition_Risk_Percentage]] &gt;= 0.75, "Critical",tbl_HR_Data[ [#This Row],[Attrition_Risk_Percentage] ]&gt;= 0.5, "High",tbl_HR_Data[[#This Row],[Attrition_Risk_Percentage]] &gt;= 0.25, "Medium",TRUE, "Low")</f>
        <v>Low</v>
      </c>
      <c r="AR392" s="16" cm="1">
        <f t="array" ref="AR392">IFERROR(_xlfn.IFS(tbl_HR_Data[[#This Row],[Risk_Category]]="Critical",tbl_HR_Data[[#This Row],[MonthlyIncome]]*1.5,tbl_HR_Data[[#This Row],[Risk_Category]]="High",tbl_HR_Data[[#This Row],[MonthlyIncome]]*1.5),0)</f>
        <v>0</v>
      </c>
    </row>
    <row r="393" spans="1:44" x14ac:dyDescent="0.35">
      <c r="A393" t="s">
        <v>1279</v>
      </c>
      <c r="B393">
        <v>40</v>
      </c>
      <c r="C393" t="s">
        <v>31</v>
      </c>
      <c r="D393">
        <v>555</v>
      </c>
      <c r="E393" t="s">
        <v>38</v>
      </c>
      <c r="F393">
        <v>2</v>
      </c>
      <c r="G393">
        <v>3</v>
      </c>
      <c r="H393" t="s">
        <v>44</v>
      </c>
      <c r="I393">
        <v>2</v>
      </c>
      <c r="J393" t="s">
        <v>34</v>
      </c>
      <c r="K393">
        <v>78</v>
      </c>
      <c r="L393">
        <v>2</v>
      </c>
      <c r="M393">
        <v>2</v>
      </c>
      <c r="N393" t="s">
        <v>43</v>
      </c>
      <c r="O393">
        <v>3</v>
      </c>
      <c r="P393" t="s">
        <v>41</v>
      </c>
      <c r="Q393">
        <v>3448</v>
      </c>
      <c r="R393">
        <v>13436</v>
      </c>
      <c r="S393">
        <v>6</v>
      </c>
      <c r="T393">
        <v>0</v>
      </c>
      <c r="U393" s="17">
        <v>0.22</v>
      </c>
      <c r="V393">
        <v>4</v>
      </c>
      <c r="W393">
        <v>2</v>
      </c>
      <c r="X393">
        <v>1</v>
      </c>
      <c r="Y393">
        <v>20</v>
      </c>
      <c r="Z393">
        <v>3</v>
      </c>
      <c r="AA393">
        <v>3</v>
      </c>
      <c r="AB393">
        <v>1</v>
      </c>
      <c r="AC393">
        <v>0</v>
      </c>
      <c r="AD393">
        <v>0</v>
      </c>
      <c r="AE393">
        <v>0</v>
      </c>
      <c r="AF393">
        <v>0</v>
      </c>
      <c r="AG393">
        <f>IF(tbl_HR_Data[[#This Row],[Gender]]="Male",1,0)</f>
        <v>0</v>
      </c>
      <c r="AH393" cm="1">
        <f t="array" ref="AH393">_xlfn.SWITCH(tbl_HR_Data[[#This Row],[BusinessTravel]], "Non-Travel", 0, "Travel_Rarely", 1, "Travel_Frequently", 2)</f>
        <v>1</v>
      </c>
      <c r="AI393" cm="1">
        <f t="array" ref="AI393">_xlfn.SWITCH(tbl_HR_Data[[#This Row],[MaritalStatus]],"Single",0,"Married",1,"Divorced",2)</f>
        <v>1</v>
      </c>
      <c r="AJ393">
        <f>IF(tbl_HR_Data[[#This Row],[OverTime]]=1,1,0)</f>
        <v>0</v>
      </c>
      <c r="AK393">
        <f>IF(tbl_HR_Data[[#This Row],[DistanceFromHome]]&gt;15,1,0)</f>
        <v>0</v>
      </c>
      <c r="AL393">
        <f>IF(tbl_HR_Data[[#This Row],[JobSatisfaction]]&lt;=2,1,0)</f>
        <v>0</v>
      </c>
      <c r="AM393">
        <f>IF(tbl_HR_Data[[#This Row],[MonthlyIncome]]&lt;$AT$2,1,0)</f>
        <v>1</v>
      </c>
      <c r="AN393">
        <f>IF(tbl_HR_Data[[#This Row],[Travel_Code]]=2,1,0)</f>
        <v>0</v>
      </c>
      <c r="AO393">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393" s="15">
        <f>tbl_HR_Data[[#This Row],[Risk_Score_Raw]] / SUM(Logic_Parameters!$B$2:$B$6)</f>
        <v>0.22374939857982484</v>
      </c>
      <c r="AQ393" s="16" t="str" cm="1">
        <f t="array" ref="AQ393">_xlfn.IFS(tbl_HR_Data[[#This Row],[Attrition_Risk_Percentage]] &gt;= 0.75, "Critical",tbl_HR_Data[ [#This Row],[Attrition_Risk_Percentage] ]&gt;= 0.5, "High",tbl_HR_Data[[#This Row],[Attrition_Risk_Percentage]] &gt;= 0.25, "Medium",TRUE, "Low")</f>
        <v>Low</v>
      </c>
      <c r="AR393" s="16" cm="1">
        <f t="array" ref="AR393">IFERROR(_xlfn.IFS(tbl_HR_Data[[#This Row],[Risk_Category]]="Critical",tbl_HR_Data[[#This Row],[MonthlyIncome]]*1.5,tbl_HR_Data[[#This Row],[Risk_Category]]="High",tbl_HR_Data[[#This Row],[MonthlyIncome]]*1.5),0)</f>
        <v>0</v>
      </c>
    </row>
    <row r="394" spans="1:44" x14ac:dyDescent="0.35">
      <c r="A394" t="s">
        <v>1325</v>
      </c>
      <c r="B394">
        <v>54</v>
      </c>
      <c r="C394" t="s">
        <v>31</v>
      </c>
      <c r="D394">
        <v>821</v>
      </c>
      <c r="E394" t="s">
        <v>38</v>
      </c>
      <c r="F394">
        <v>5</v>
      </c>
      <c r="G394">
        <v>2</v>
      </c>
      <c r="H394" t="s">
        <v>44</v>
      </c>
      <c r="I394">
        <v>1</v>
      </c>
      <c r="J394" t="s">
        <v>39</v>
      </c>
      <c r="K394">
        <v>86</v>
      </c>
      <c r="L394">
        <v>3</v>
      </c>
      <c r="M394">
        <v>5</v>
      </c>
      <c r="N394" t="s">
        <v>50</v>
      </c>
      <c r="O394">
        <v>1</v>
      </c>
      <c r="P394" t="s">
        <v>41</v>
      </c>
      <c r="Q394">
        <v>19406</v>
      </c>
      <c r="R394">
        <v>8509</v>
      </c>
      <c r="S394">
        <v>4</v>
      </c>
      <c r="T394">
        <v>0</v>
      </c>
      <c r="U394" s="17">
        <v>0.11</v>
      </c>
      <c r="V394">
        <v>3</v>
      </c>
      <c r="W394">
        <v>3</v>
      </c>
      <c r="X394">
        <v>1</v>
      </c>
      <c r="Y394">
        <v>24</v>
      </c>
      <c r="Z394">
        <v>4</v>
      </c>
      <c r="AA394">
        <v>2</v>
      </c>
      <c r="AB394">
        <v>4</v>
      </c>
      <c r="AC394">
        <v>2</v>
      </c>
      <c r="AD394">
        <v>1</v>
      </c>
      <c r="AE394">
        <v>2</v>
      </c>
      <c r="AF394">
        <v>0</v>
      </c>
      <c r="AG394">
        <f>IF(tbl_HR_Data[[#This Row],[Gender]]="Male",1,0)</f>
        <v>1</v>
      </c>
      <c r="AH394" cm="1">
        <f t="array" ref="AH394">_xlfn.SWITCH(tbl_HR_Data[[#This Row],[BusinessTravel]], "Non-Travel", 0, "Travel_Rarely", 1, "Travel_Frequently", 2)</f>
        <v>1</v>
      </c>
      <c r="AI394" cm="1">
        <f t="array" ref="AI394">_xlfn.SWITCH(tbl_HR_Data[[#This Row],[MaritalStatus]],"Single",0,"Married",1,"Divorced",2)</f>
        <v>1</v>
      </c>
      <c r="AJ394">
        <f>IF(tbl_HR_Data[[#This Row],[OverTime]]=1,1,0)</f>
        <v>0</v>
      </c>
      <c r="AK394">
        <f>IF(tbl_HR_Data[[#This Row],[DistanceFromHome]]&gt;15,1,0)</f>
        <v>0</v>
      </c>
      <c r="AL394">
        <f>IF(tbl_HR_Data[[#This Row],[JobSatisfaction]]&lt;=2,1,0)</f>
        <v>1</v>
      </c>
      <c r="AM394">
        <f>IF(tbl_HR_Data[[#This Row],[MonthlyIncome]]&lt;$AT$2,1,0)</f>
        <v>0</v>
      </c>
      <c r="AN394">
        <f>IF(tbl_HR_Data[[#This Row],[Travel_Code]]=2,1,0)</f>
        <v>0</v>
      </c>
      <c r="AO394">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394" s="15">
        <f>tbl_HR_Data[[#This Row],[Risk_Score_Raw]] / SUM(Logic_Parameters!$B$2:$B$6)</f>
        <v>0.14485673308716898</v>
      </c>
      <c r="AQ394" s="16" t="str" cm="1">
        <f t="array" ref="AQ394">_xlfn.IFS(tbl_HR_Data[[#This Row],[Attrition_Risk_Percentage]] &gt;= 0.75, "Critical",tbl_HR_Data[ [#This Row],[Attrition_Risk_Percentage] ]&gt;= 0.5, "High",tbl_HR_Data[[#This Row],[Attrition_Risk_Percentage]] &gt;= 0.25, "Medium",TRUE, "Low")</f>
        <v>Low</v>
      </c>
      <c r="AR394" s="16" cm="1">
        <f t="array" ref="AR394">IFERROR(_xlfn.IFS(tbl_HR_Data[[#This Row],[Risk_Category]]="Critical",tbl_HR_Data[[#This Row],[MonthlyIncome]]*1.5,tbl_HR_Data[[#This Row],[Risk_Category]]="High",tbl_HR_Data[[#This Row],[MonthlyIncome]]*1.5),0)</f>
        <v>0</v>
      </c>
    </row>
    <row r="395" spans="1:44" x14ac:dyDescent="0.35">
      <c r="A395" t="s">
        <v>1025</v>
      </c>
      <c r="B395">
        <v>34</v>
      </c>
      <c r="C395" t="s">
        <v>1525</v>
      </c>
      <c r="D395">
        <v>1381</v>
      </c>
      <c r="E395" t="s">
        <v>32</v>
      </c>
      <c r="F395">
        <v>4</v>
      </c>
      <c r="G395">
        <v>4</v>
      </c>
      <c r="H395" t="s">
        <v>51</v>
      </c>
      <c r="I395">
        <v>3</v>
      </c>
      <c r="J395" t="s">
        <v>34</v>
      </c>
      <c r="K395">
        <v>72</v>
      </c>
      <c r="L395">
        <v>3</v>
      </c>
      <c r="M395">
        <v>2</v>
      </c>
      <c r="N395" t="s">
        <v>35</v>
      </c>
      <c r="O395">
        <v>3</v>
      </c>
      <c r="P395" t="s">
        <v>41</v>
      </c>
      <c r="Q395">
        <v>6538</v>
      </c>
      <c r="R395">
        <v>12740</v>
      </c>
      <c r="S395">
        <v>9</v>
      </c>
      <c r="T395">
        <v>0</v>
      </c>
      <c r="U395" s="17">
        <v>0.15</v>
      </c>
      <c r="V395">
        <v>3</v>
      </c>
      <c r="W395">
        <v>1</v>
      </c>
      <c r="X395">
        <v>1</v>
      </c>
      <c r="Y395">
        <v>6</v>
      </c>
      <c r="Z395">
        <v>3</v>
      </c>
      <c r="AA395">
        <v>3</v>
      </c>
      <c r="AB395">
        <v>3</v>
      </c>
      <c r="AC395">
        <v>2</v>
      </c>
      <c r="AD395">
        <v>1</v>
      </c>
      <c r="AE395">
        <v>2</v>
      </c>
      <c r="AF395">
        <v>0</v>
      </c>
      <c r="AG395">
        <f>IF(tbl_HR_Data[[#This Row],[Gender]]="Male",1,0)</f>
        <v>0</v>
      </c>
      <c r="AH395" cm="1">
        <f t="array" ref="AH395">_xlfn.SWITCH(tbl_HR_Data[[#This Row],[BusinessTravel]], "Non-Travel", 0, "Travel_Rarely", 1, "Travel_Frequently", 2)</f>
        <v>0</v>
      </c>
      <c r="AI395" cm="1">
        <f t="array" ref="AI395">_xlfn.SWITCH(tbl_HR_Data[[#This Row],[MaritalStatus]],"Single",0,"Married",1,"Divorced",2)</f>
        <v>1</v>
      </c>
      <c r="AJ395">
        <f>IF(tbl_HR_Data[[#This Row],[OverTime]]=1,1,0)</f>
        <v>0</v>
      </c>
      <c r="AK395">
        <f>IF(tbl_HR_Data[[#This Row],[DistanceFromHome]]&gt;15,1,0)</f>
        <v>0</v>
      </c>
      <c r="AL395">
        <f>IF(tbl_HR_Data[[#This Row],[JobSatisfaction]]&lt;=2,1,0)</f>
        <v>0</v>
      </c>
      <c r="AM395">
        <f>IF(tbl_HR_Data[[#This Row],[MonthlyIncome]]&lt;$AT$2,1,0)</f>
        <v>0</v>
      </c>
      <c r="AN395">
        <f>IF(tbl_HR_Data[[#This Row],[Travel_Code]]=2,1,0)</f>
        <v>0</v>
      </c>
      <c r="AO395">
        <f>(tbl_HR_Data[[#This Row],[Flag_OT]] * Logic_Parameters!$B$2) +
 (tbl_HR_Data[[#This Row],[Flag_Travel]] * Logic_Parameters!$B$3) +
 (tbl_HR_Data[[#This Row],[Flag_Satisfaction]] * Logic_Parameters!$B$4) +
 (tbl_HR_Data[[#This Row],[Flag_Distance]]* Logic_Parameters!$B$5) +
 (tbl_HR_Data[[#This Row],[Flag_Income]] * Logic_Parameters!$B$6)</f>
        <v>0</v>
      </c>
      <c r="AP395" s="15">
        <f>tbl_HR_Data[[#This Row],[Risk_Score_Raw]] / SUM(Logic_Parameters!$B$2:$B$6)</f>
        <v>0</v>
      </c>
      <c r="AQ395" s="16" t="str" cm="1">
        <f t="array" ref="AQ395">_xlfn.IFS(tbl_HR_Data[[#This Row],[Attrition_Risk_Percentage]] &gt;= 0.75, "Critical",tbl_HR_Data[ [#This Row],[Attrition_Risk_Percentage] ]&gt;= 0.5, "High",tbl_HR_Data[[#This Row],[Attrition_Risk_Percentage]] &gt;= 0.25, "Medium",TRUE, "Low")</f>
        <v>Low</v>
      </c>
      <c r="AR395" s="16" cm="1">
        <f t="array" ref="AR395">IFERROR(_xlfn.IFS(tbl_HR_Data[[#This Row],[Risk_Category]]="Critical",tbl_HR_Data[[#This Row],[MonthlyIncome]]*1.5,tbl_HR_Data[[#This Row],[Risk_Category]]="High",tbl_HR_Data[[#This Row],[MonthlyIncome]]*1.5),0)</f>
        <v>0</v>
      </c>
    </row>
    <row r="396" spans="1:44" x14ac:dyDescent="0.35">
      <c r="A396" t="s">
        <v>877</v>
      </c>
      <c r="B396">
        <v>31</v>
      </c>
      <c r="C396" t="s">
        <v>31</v>
      </c>
      <c r="D396">
        <v>480</v>
      </c>
      <c r="E396" t="s">
        <v>38</v>
      </c>
      <c r="F396">
        <v>7</v>
      </c>
      <c r="G396">
        <v>2</v>
      </c>
      <c r="H396" t="s">
        <v>44</v>
      </c>
      <c r="I396">
        <v>2</v>
      </c>
      <c r="J396" t="s">
        <v>34</v>
      </c>
      <c r="K396">
        <v>31</v>
      </c>
      <c r="L396">
        <v>3</v>
      </c>
      <c r="M396">
        <v>2</v>
      </c>
      <c r="N396" t="s">
        <v>46</v>
      </c>
      <c r="O396">
        <v>1</v>
      </c>
      <c r="P396" t="s">
        <v>41</v>
      </c>
      <c r="Q396">
        <v>4306</v>
      </c>
      <c r="R396">
        <v>4156</v>
      </c>
      <c r="S396">
        <v>1</v>
      </c>
      <c r="T396">
        <v>0</v>
      </c>
      <c r="U396" s="17">
        <v>0.12</v>
      </c>
      <c r="V396">
        <v>3</v>
      </c>
      <c r="W396">
        <v>2</v>
      </c>
      <c r="X396">
        <v>1</v>
      </c>
      <c r="Y396">
        <v>13</v>
      </c>
      <c r="Z396">
        <v>5</v>
      </c>
      <c r="AA396">
        <v>1</v>
      </c>
      <c r="AB396">
        <v>13</v>
      </c>
      <c r="AC396">
        <v>10</v>
      </c>
      <c r="AD396">
        <v>3</v>
      </c>
      <c r="AE396">
        <v>12</v>
      </c>
      <c r="AF396">
        <v>0</v>
      </c>
      <c r="AG396">
        <f>IF(tbl_HR_Data[[#This Row],[Gender]]="Male",1,0)</f>
        <v>0</v>
      </c>
      <c r="AH396" cm="1">
        <f t="array" ref="AH396">_xlfn.SWITCH(tbl_HR_Data[[#This Row],[BusinessTravel]], "Non-Travel", 0, "Travel_Rarely", 1, "Travel_Frequently", 2)</f>
        <v>1</v>
      </c>
      <c r="AI396" cm="1">
        <f t="array" ref="AI396">_xlfn.SWITCH(tbl_HR_Data[[#This Row],[MaritalStatus]],"Single",0,"Married",1,"Divorced",2)</f>
        <v>1</v>
      </c>
      <c r="AJ396">
        <f>IF(tbl_HR_Data[[#This Row],[OverTime]]=1,1,0)</f>
        <v>0</v>
      </c>
      <c r="AK396">
        <f>IF(tbl_HR_Data[[#This Row],[DistanceFromHome]]&gt;15,1,0)</f>
        <v>0</v>
      </c>
      <c r="AL396">
        <f>IF(tbl_HR_Data[[#This Row],[JobSatisfaction]]&lt;=2,1,0)</f>
        <v>1</v>
      </c>
      <c r="AM396">
        <f>IF(tbl_HR_Data[[#This Row],[MonthlyIncome]]&lt;$AT$2,1,0)</f>
        <v>1</v>
      </c>
      <c r="AN396">
        <f>IF(tbl_HR_Data[[#This Row],[Travel_Code]]=2,1,0)</f>
        <v>0</v>
      </c>
      <c r="AO396">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396" s="15">
        <f>tbl_HR_Data[[#This Row],[Risk_Score_Raw]] / SUM(Logic_Parameters!$B$2:$B$6)</f>
        <v>0.3686061316669938</v>
      </c>
      <c r="AQ396" s="16" t="str" cm="1">
        <f t="array" ref="AQ396">_xlfn.IFS(tbl_HR_Data[[#This Row],[Attrition_Risk_Percentage]] &gt;= 0.75, "Critical",tbl_HR_Data[ [#This Row],[Attrition_Risk_Percentage] ]&gt;= 0.5, "High",tbl_HR_Data[[#This Row],[Attrition_Risk_Percentage]] &gt;= 0.25, "Medium",TRUE, "Low")</f>
        <v>Medium</v>
      </c>
      <c r="AR396" s="16" cm="1">
        <f t="array" ref="AR396">IFERROR(_xlfn.IFS(tbl_HR_Data[[#This Row],[Risk_Category]]="Critical",tbl_HR_Data[[#This Row],[MonthlyIncome]]*1.5,tbl_HR_Data[[#This Row],[Risk_Category]]="High",tbl_HR_Data[[#This Row],[MonthlyIncome]]*1.5),0)</f>
        <v>0</v>
      </c>
    </row>
    <row r="397" spans="1:44" x14ac:dyDescent="0.35">
      <c r="A397" t="s">
        <v>933</v>
      </c>
      <c r="B397">
        <v>43</v>
      </c>
      <c r="C397" t="s">
        <v>37</v>
      </c>
      <c r="D397">
        <v>313</v>
      </c>
      <c r="E397" t="s">
        <v>38</v>
      </c>
      <c r="F397">
        <v>21</v>
      </c>
      <c r="G397">
        <v>3</v>
      </c>
      <c r="H397" t="s">
        <v>44</v>
      </c>
      <c r="I397">
        <v>4</v>
      </c>
      <c r="J397" t="s">
        <v>39</v>
      </c>
      <c r="K397">
        <v>61</v>
      </c>
      <c r="L397">
        <v>3</v>
      </c>
      <c r="M397">
        <v>1</v>
      </c>
      <c r="N397" t="s">
        <v>43</v>
      </c>
      <c r="O397">
        <v>4</v>
      </c>
      <c r="P397" t="s">
        <v>41</v>
      </c>
      <c r="Q397">
        <v>2258</v>
      </c>
      <c r="R397">
        <v>15238</v>
      </c>
      <c r="S397">
        <v>7</v>
      </c>
      <c r="T397">
        <v>0</v>
      </c>
      <c r="U397" s="17">
        <v>0.2</v>
      </c>
      <c r="V397">
        <v>4</v>
      </c>
      <c r="W397">
        <v>1</v>
      </c>
      <c r="X397">
        <v>1</v>
      </c>
      <c r="Y397">
        <v>8</v>
      </c>
      <c r="Z397">
        <v>1</v>
      </c>
      <c r="AA397">
        <v>3</v>
      </c>
      <c r="AB397">
        <v>3</v>
      </c>
      <c r="AC397">
        <v>2</v>
      </c>
      <c r="AD397">
        <v>1</v>
      </c>
      <c r="AE397">
        <v>2</v>
      </c>
      <c r="AF397">
        <v>0</v>
      </c>
      <c r="AG397">
        <f>IF(tbl_HR_Data[[#This Row],[Gender]]="Male",1,0)</f>
        <v>1</v>
      </c>
      <c r="AH397" cm="1">
        <f t="array" ref="AH397">_xlfn.SWITCH(tbl_HR_Data[[#This Row],[BusinessTravel]], "Non-Travel", 0, "Travel_Rarely", 1, "Travel_Frequently", 2)</f>
        <v>2</v>
      </c>
      <c r="AI397" cm="1">
        <f t="array" ref="AI397">_xlfn.SWITCH(tbl_HR_Data[[#This Row],[MaritalStatus]],"Single",0,"Married",1,"Divorced",2)</f>
        <v>1</v>
      </c>
      <c r="AJ397">
        <f>IF(tbl_HR_Data[[#This Row],[OverTime]]=1,1,0)</f>
        <v>0</v>
      </c>
      <c r="AK397">
        <f>IF(tbl_HR_Data[[#This Row],[DistanceFromHome]]&gt;15,1,0)</f>
        <v>1</v>
      </c>
      <c r="AL397">
        <f>IF(tbl_HR_Data[[#This Row],[JobSatisfaction]]&lt;=2,1,0)</f>
        <v>0</v>
      </c>
      <c r="AM397">
        <f>IF(tbl_HR_Data[[#This Row],[MonthlyIncome]]&lt;$AT$2,1,0)</f>
        <v>1</v>
      </c>
      <c r="AN397">
        <f>IF(tbl_HR_Data[[#This Row],[Travel_Code]]=2,1,0)</f>
        <v>1</v>
      </c>
      <c r="AO397">
        <f>(tbl_HR_Data[[#This Row],[Flag_OT]] * Logic_Parameters!$B$2) +
 (tbl_HR_Data[[#This Row],[Flag_Travel]] * Logic_Parameters!$B$3) +
 (tbl_HR_Data[[#This Row],[Flag_Satisfaction]] * Logic_Parameters!$B$4) +
 (tbl_HR_Data[[#This Row],[Flag_Distance]]* Logic_Parameters!$B$5) +
 (tbl_HR_Data[[#This Row],[Flag_Income]] * Logic_Parameters!$B$6)</f>
        <v>14.820925613786383</v>
      </c>
      <c r="AP397" s="15">
        <f>tbl_HR_Data[[#This Row],[Risk_Score_Raw]] / SUM(Logic_Parameters!$B$2:$B$6)</f>
        <v>0.51061813508702369</v>
      </c>
      <c r="AQ397" s="16" t="str" cm="1">
        <f t="array" ref="AQ397">_xlfn.IFS(tbl_HR_Data[[#This Row],[Attrition_Risk_Percentage]] &gt;= 0.75, "Critical",tbl_HR_Data[ [#This Row],[Attrition_Risk_Percentage] ]&gt;= 0.5, "High",tbl_HR_Data[[#This Row],[Attrition_Risk_Percentage]] &gt;= 0.25, "Medium",TRUE, "Low")</f>
        <v>High</v>
      </c>
      <c r="AR397" s="16" cm="1">
        <f t="array" ref="AR397">IFERROR(_xlfn.IFS(tbl_HR_Data[[#This Row],[Risk_Category]]="Critical",tbl_HR_Data[[#This Row],[MonthlyIncome]]*1.5,tbl_HR_Data[[#This Row],[Risk_Category]]="High",tbl_HR_Data[[#This Row],[MonthlyIncome]]*1.5),0)</f>
        <v>3387</v>
      </c>
    </row>
    <row r="398" spans="1:44" x14ac:dyDescent="0.35">
      <c r="A398" t="s">
        <v>1004</v>
      </c>
      <c r="B398">
        <v>43</v>
      </c>
      <c r="C398" t="s">
        <v>31</v>
      </c>
      <c r="D398">
        <v>1473</v>
      </c>
      <c r="E398" t="s">
        <v>38</v>
      </c>
      <c r="F398">
        <v>8</v>
      </c>
      <c r="G398">
        <v>4</v>
      </c>
      <c r="H398" t="s">
        <v>42</v>
      </c>
      <c r="I398">
        <v>3</v>
      </c>
      <c r="J398" t="s">
        <v>34</v>
      </c>
      <c r="K398">
        <v>74</v>
      </c>
      <c r="L398">
        <v>3</v>
      </c>
      <c r="M398">
        <v>2</v>
      </c>
      <c r="N398" t="s">
        <v>47</v>
      </c>
      <c r="O398">
        <v>3</v>
      </c>
      <c r="P398" t="s">
        <v>45</v>
      </c>
      <c r="Q398">
        <v>4522</v>
      </c>
      <c r="R398">
        <v>2227</v>
      </c>
      <c r="S398">
        <v>4</v>
      </c>
      <c r="T398">
        <v>1</v>
      </c>
      <c r="U398" s="17">
        <v>0.14000000000000001</v>
      </c>
      <c r="V398">
        <v>3</v>
      </c>
      <c r="W398">
        <v>4</v>
      </c>
      <c r="X398">
        <v>0</v>
      </c>
      <c r="Y398">
        <v>8</v>
      </c>
      <c r="Z398">
        <v>3</v>
      </c>
      <c r="AA398">
        <v>3</v>
      </c>
      <c r="AB398">
        <v>5</v>
      </c>
      <c r="AC398">
        <v>2</v>
      </c>
      <c r="AD398">
        <v>0</v>
      </c>
      <c r="AE398">
        <v>2</v>
      </c>
      <c r="AF398">
        <v>0</v>
      </c>
      <c r="AG398">
        <f>IF(tbl_HR_Data[[#This Row],[Gender]]="Male",1,0)</f>
        <v>0</v>
      </c>
      <c r="AH398" cm="1">
        <f t="array" ref="AH398">_xlfn.SWITCH(tbl_HR_Data[[#This Row],[BusinessTravel]], "Non-Travel", 0, "Travel_Rarely", 1, "Travel_Frequently", 2)</f>
        <v>1</v>
      </c>
      <c r="AI398" cm="1">
        <f t="array" ref="AI398">_xlfn.SWITCH(tbl_HR_Data[[#This Row],[MaritalStatus]],"Single",0,"Married",1,"Divorced",2)</f>
        <v>2</v>
      </c>
      <c r="AJ398">
        <f>IF(tbl_HR_Data[[#This Row],[OverTime]]=1,1,0)</f>
        <v>1</v>
      </c>
      <c r="AK398">
        <f>IF(tbl_HR_Data[[#This Row],[DistanceFromHome]]&gt;15,1,0)</f>
        <v>0</v>
      </c>
      <c r="AL398">
        <f>IF(tbl_HR_Data[[#This Row],[JobSatisfaction]]&lt;=2,1,0)</f>
        <v>0</v>
      </c>
      <c r="AM398">
        <f>IF(tbl_HR_Data[[#This Row],[MonthlyIncome]]&lt;$AT$2,1,0)</f>
        <v>1</v>
      </c>
      <c r="AN398">
        <f>IF(tbl_HR_Data[[#This Row],[Travel_Code]]=2,1,0)</f>
        <v>0</v>
      </c>
      <c r="AO398">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398" s="15">
        <f>tbl_HR_Data[[#This Row],[Risk_Score_Raw]] / SUM(Logic_Parameters!$B$2:$B$6)</f>
        <v>0.56827453040563214</v>
      </c>
      <c r="AQ398" s="16" t="str" cm="1">
        <f t="array" ref="AQ398">_xlfn.IFS(tbl_HR_Data[[#This Row],[Attrition_Risk_Percentage]] &gt;= 0.75, "Critical",tbl_HR_Data[ [#This Row],[Attrition_Risk_Percentage] ]&gt;= 0.5, "High",tbl_HR_Data[[#This Row],[Attrition_Risk_Percentage]] &gt;= 0.25, "Medium",TRUE, "Low")</f>
        <v>High</v>
      </c>
      <c r="AR398" s="16" cm="1">
        <f t="array" ref="AR398">IFERROR(_xlfn.IFS(tbl_HR_Data[[#This Row],[Risk_Category]]="Critical",tbl_HR_Data[[#This Row],[MonthlyIncome]]*1.5,tbl_HR_Data[[#This Row],[Risk_Category]]="High",tbl_HR_Data[[#This Row],[MonthlyIncome]]*1.5),0)</f>
        <v>6783</v>
      </c>
    </row>
    <row r="399" spans="1:44" x14ac:dyDescent="0.35">
      <c r="A399" t="s">
        <v>1045</v>
      </c>
      <c r="B399">
        <v>25</v>
      </c>
      <c r="C399" t="s">
        <v>31</v>
      </c>
      <c r="D399">
        <v>891</v>
      </c>
      <c r="E399" t="s">
        <v>32</v>
      </c>
      <c r="F399">
        <v>4</v>
      </c>
      <c r="G399">
        <v>2</v>
      </c>
      <c r="H399" t="s">
        <v>33</v>
      </c>
      <c r="I399">
        <v>2</v>
      </c>
      <c r="J399" t="s">
        <v>34</v>
      </c>
      <c r="K399">
        <v>99</v>
      </c>
      <c r="L399">
        <v>2</v>
      </c>
      <c r="M399">
        <v>2</v>
      </c>
      <c r="N399" t="s">
        <v>35</v>
      </c>
      <c r="O399">
        <v>4</v>
      </c>
      <c r="P399" t="s">
        <v>36</v>
      </c>
      <c r="Q399">
        <v>4487</v>
      </c>
      <c r="R399">
        <v>12090</v>
      </c>
      <c r="S399">
        <v>1</v>
      </c>
      <c r="T399">
        <v>1</v>
      </c>
      <c r="U399" s="17">
        <v>0.11</v>
      </c>
      <c r="V399">
        <v>3</v>
      </c>
      <c r="W399">
        <v>2</v>
      </c>
      <c r="X399">
        <v>0</v>
      </c>
      <c r="Y399">
        <v>5</v>
      </c>
      <c r="Z399">
        <v>3</v>
      </c>
      <c r="AA399">
        <v>3</v>
      </c>
      <c r="AB399">
        <v>5</v>
      </c>
      <c r="AC399">
        <v>4</v>
      </c>
      <c r="AD399">
        <v>1</v>
      </c>
      <c r="AE399">
        <v>3</v>
      </c>
      <c r="AF399">
        <v>0</v>
      </c>
      <c r="AG399">
        <f>IF(tbl_HR_Data[[#This Row],[Gender]]="Male",1,0)</f>
        <v>0</v>
      </c>
      <c r="AH399" cm="1">
        <f t="array" ref="AH399">_xlfn.SWITCH(tbl_HR_Data[[#This Row],[BusinessTravel]], "Non-Travel", 0, "Travel_Rarely", 1, "Travel_Frequently", 2)</f>
        <v>1</v>
      </c>
      <c r="AI399" cm="1">
        <f t="array" ref="AI399">_xlfn.SWITCH(tbl_HR_Data[[#This Row],[MaritalStatus]],"Single",0,"Married",1,"Divorced",2)</f>
        <v>0</v>
      </c>
      <c r="AJ399">
        <f>IF(tbl_HR_Data[[#This Row],[OverTime]]=1,1,0)</f>
        <v>1</v>
      </c>
      <c r="AK399">
        <f>IF(tbl_HR_Data[[#This Row],[DistanceFromHome]]&gt;15,1,0)</f>
        <v>0</v>
      </c>
      <c r="AL399">
        <f>IF(tbl_HR_Data[[#This Row],[JobSatisfaction]]&lt;=2,1,0)</f>
        <v>0</v>
      </c>
      <c r="AM399">
        <f>IF(tbl_HR_Data[[#This Row],[MonthlyIncome]]&lt;$AT$2,1,0)</f>
        <v>1</v>
      </c>
      <c r="AN399">
        <f>IF(tbl_HR_Data[[#This Row],[Travel_Code]]=2,1,0)</f>
        <v>0</v>
      </c>
      <c r="AO399">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399" s="15">
        <f>tbl_HR_Data[[#This Row],[Risk_Score_Raw]] / SUM(Logic_Parameters!$B$2:$B$6)</f>
        <v>0.56827453040563214</v>
      </c>
      <c r="AQ399" s="16" t="str" cm="1">
        <f t="array" ref="AQ399">_xlfn.IFS(tbl_HR_Data[[#This Row],[Attrition_Risk_Percentage]] &gt;= 0.75, "Critical",tbl_HR_Data[ [#This Row],[Attrition_Risk_Percentage] ]&gt;= 0.5, "High",tbl_HR_Data[[#This Row],[Attrition_Risk_Percentage]] &gt;= 0.25, "Medium",TRUE, "Low")</f>
        <v>High</v>
      </c>
      <c r="AR399" s="16" cm="1">
        <f t="array" ref="AR399">IFERROR(_xlfn.IFS(tbl_HR_Data[[#This Row],[Risk_Category]]="Critical",tbl_HR_Data[[#This Row],[MonthlyIncome]]*1.5,tbl_HR_Data[[#This Row],[Risk_Category]]="High",tbl_HR_Data[[#This Row],[MonthlyIncome]]*1.5),0)</f>
        <v>6730.5</v>
      </c>
    </row>
    <row r="400" spans="1:44" x14ac:dyDescent="0.35">
      <c r="A400" t="s">
        <v>1086</v>
      </c>
      <c r="B400">
        <v>37</v>
      </c>
      <c r="C400" t="s">
        <v>1525</v>
      </c>
      <c r="D400">
        <v>1063</v>
      </c>
      <c r="E400" t="s">
        <v>38</v>
      </c>
      <c r="F400">
        <v>25</v>
      </c>
      <c r="G400">
        <v>5</v>
      </c>
      <c r="H400" t="s">
        <v>44</v>
      </c>
      <c r="I400">
        <v>2</v>
      </c>
      <c r="J400" t="s">
        <v>34</v>
      </c>
      <c r="K400">
        <v>72</v>
      </c>
      <c r="L400">
        <v>3</v>
      </c>
      <c r="M400">
        <v>2</v>
      </c>
      <c r="N400" t="s">
        <v>40</v>
      </c>
      <c r="O400">
        <v>3</v>
      </c>
      <c r="P400" t="s">
        <v>41</v>
      </c>
      <c r="Q400">
        <v>4449</v>
      </c>
      <c r="R400">
        <v>23866</v>
      </c>
      <c r="S400">
        <v>3</v>
      </c>
      <c r="T400">
        <v>1</v>
      </c>
      <c r="U400" s="17">
        <v>0.15</v>
      </c>
      <c r="V400">
        <v>3</v>
      </c>
      <c r="W400">
        <v>1</v>
      </c>
      <c r="X400">
        <v>2</v>
      </c>
      <c r="Y400">
        <v>15</v>
      </c>
      <c r="Z400">
        <v>2</v>
      </c>
      <c r="AA400">
        <v>3</v>
      </c>
      <c r="AB400">
        <v>13</v>
      </c>
      <c r="AC400">
        <v>11</v>
      </c>
      <c r="AD400">
        <v>10</v>
      </c>
      <c r="AE400">
        <v>7</v>
      </c>
      <c r="AF400">
        <v>0</v>
      </c>
      <c r="AG400">
        <f>IF(tbl_HR_Data[[#This Row],[Gender]]="Male",1,0)</f>
        <v>0</v>
      </c>
      <c r="AH400" cm="1">
        <f t="array" ref="AH400">_xlfn.SWITCH(tbl_HR_Data[[#This Row],[BusinessTravel]], "Non-Travel", 0, "Travel_Rarely", 1, "Travel_Frequently", 2)</f>
        <v>0</v>
      </c>
      <c r="AI400" cm="1">
        <f t="array" ref="AI400">_xlfn.SWITCH(tbl_HR_Data[[#This Row],[MaritalStatus]],"Single",0,"Married",1,"Divorced",2)</f>
        <v>1</v>
      </c>
      <c r="AJ400">
        <f>IF(tbl_HR_Data[[#This Row],[OverTime]]=1,1,0)</f>
        <v>1</v>
      </c>
      <c r="AK400">
        <f>IF(tbl_HR_Data[[#This Row],[DistanceFromHome]]&gt;15,1,0)</f>
        <v>1</v>
      </c>
      <c r="AL400">
        <f>IF(tbl_HR_Data[[#This Row],[JobSatisfaction]]&lt;=2,1,0)</f>
        <v>0</v>
      </c>
      <c r="AM400">
        <f>IF(tbl_HR_Data[[#This Row],[MonthlyIncome]]&lt;$AT$2,1,0)</f>
        <v>1</v>
      </c>
      <c r="AN400">
        <f>IF(tbl_HR_Data[[#This Row],[Travel_Code]]=2,1,0)</f>
        <v>0</v>
      </c>
      <c r="AO400">
        <f>(tbl_HR_Data[[#This Row],[Flag_OT]] * Logic_Parameters!$B$2) +
 (tbl_HR_Data[[#This Row],[Flag_Travel]] * Logic_Parameters!$B$3) +
 (tbl_HR_Data[[#This Row],[Flag_Satisfaction]] * Logic_Parameters!$B$4) +
 (tbl_HR_Data[[#This Row],[Flag_Distance]]* Logic_Parameters!$B$5) +
 (tbl_HR_Data[[#This Row],[Flag_Income]] * Logic_Parameters!$B$6)</f>
        <v>19.660535633296206</v>
      </c>
      <c r="AP400" s="15">
        <f>tbl_HR_Data[[#This Row],[Risk_Score_Raw]] / SUM(Logic_Parameters!$B$2:$B$6)</f>
        <v>0.67735486308273574</v>
      </c>
      <c r="AQ400" s="16" t="str" cm="1">
        <f t="array" ref="AQ400">_xlfn.IFS(tbl_HR_Data[[#This Row],[Attrition_Risk_Percentage]] &gt;= 0.75, "Critical",tbl_HR_Data[ [#This Row],[Attrition_Risk_Percentage] ]&gt;= 0.5, "High",tbl_HR_Data[[#This Row],[Attrition_Risk_Percentage]] &gt;= 0.25, "Medium",TRUE, "Low")</f>
        <v>High</v>
      </c>
      <c r="AR400" s="16" cm="1">
        <f t="array" ref="AR400">IFERROR(_xlfn.IFS(tbl_HR_Data[[#This Row],[Risk_Category]]="Critical",tbl_HR_Data[[#This Row],[MonthlyIncome]]*1.5,tbl_HR_Data[[#This Row],[Risk_Category]]="High",tbl_HR_Data[[#This Row],[MonthlyIncome]]*1.5),0)</f>
        <v>6673.5</v>
      </c>
    </row>
    <row r="401" spans="1:44" x14ac:dyDescent="0.35">
      <c r="A401" t="s">
        <v>886</v>
      </c>
      <c r="B401">
        <v>31</v>
      </c>
      <c r="C401" t="s">
        <v>31</v>
      </c>
      <c r="D401">
        <v>329</v>
      </c>
      <c r="E401" t="s">
        <v>38</v>
      </c>
      <c r="F401">
        <v>1</v>
      </c>
      <c r="G401">
        <v>2</v>
      </c>
      <c r="H401" t="s">
        <v>33</v>
      </c>
      <c r="I401">
        <v>4</v>
      </c>
      <c r="J401" t="s">
        <v>39</v>
      </c>
      <c r="K401">
        <v>98</v>
      </c>
      <c r="L401">
        <v>2</v>
      </c>
      <c r="M401">
        <v>1</v>
      </c>
      <c r="N401" t="s">
        <v>43</v>
      </c>
      <c r="O401">
        <v>1</v>
      </c>
      <c r="P401" t="s">
        <v>41</v>
      </c>
      <c r="Q401">
        <v>2218</v>
      </c>
      <c r="R401">
        <v>16193</v>
      </c>
      <c r="S401">
        <v>1</v>
      </c>
      <c r="T401">
        <v>0</v>
      </c>
      <c r="U401" s="17">
        <v>0.12</v>
      </c>
      <c r="V401">
        <v>3</v>
      </c>
      <c r="W401">
        <v>3</v>
      </c>
      <c r="X401">
        <v>1</v>
      </c>
      <c r="Y401">
        <v>4</v>
      </c>
      <c r="Z401">
        <v>3</v>
      </c>
      <c r="AA401">
        <v>3</v>
      </c>
      <c r="AB401">
        <v>4</v>
      </c>
      <c r="AC401">
        <v>2</v>
      </c>
      <c r="AD401">
        <v>3</v>
      </c>
      <c r="AE401">
        <v>2</v>
      </c>
      <c r="AF401">
        <v>0</v>
      </c>
      <c r="AG401">
        <f>IF(tbl_HR_Data[[#This Row],[Gender]]="Male",1,0)</f>
        <v>1</v>
      </c>
      <c r="AH401" cm="1">
        <f t="array" ref="AH401">_xlfn.SWITCH(tbl_HR_Data[[#This Row],[BusinessTravel]], "Non-Travel", 0, "Travel_Rarely", 1, "Travel_Frequently", 2)</f>
        <v>1</v>
      </c>
      <c r="AI401" cm="1">
        <f t="array" ref="AI401">_xlfn.SWITCH(tbl_HR_Data[[#This Row],[MaritalStatus]],"Single",0,"Married",1,"Divorced",2)</f>
        <v>1</v>
      </c>
      <c r="AJ401">
        <f>IF(tbl_HR_Data[[#This Row],[OverTime]]=1,1,0)</f>
        <v>0</v>
      </c>
      <c r="AK401">
        <f>IF(tbl_HR_Data[[#This Row],[DistanceFromHome]]&gt;15,1,0)</f>
        <v>0</v>
      </c>
      <c r="AL401">
        <f>IF(tbl_HR_Data[[#This Row],[JobSatisfaction]]&lt;=2,1,0)</f>
        <v>1</v>
      </c>
      <c r="AM401">
        <f>IF(tbl_HR_Data[[#This Row],[MonthlyIncome]]&lt;$AT$2,1,0)</f>
        <v>1</v>
      </c>
      <c r="AN401">
        <f>IF(tbl_HR_Data[[#This Row],[Travel_Code]]=2,1,0)</f>
        <v>0</v>
      </c>
      <c r="AO401">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401" s="15">
        <f>tbl_HR_Data[[#This Row],[Risk_Score_Raw]] / SUM(Logic_Parameters!$B$2:$B$6)</f>
        <v>0.3686061316669938</v>
      </c>
      <c r="AQ401" s="16" t="str" cm="1">
        <f t="array" ref="AQ401">_xlfn.IFS(tbl_HR_Data[[#This Row],[Attrition_Risk_Percentage]] &gt;= 0.75, "Critical",tbl_HR_Data[ [#This Row],[Attrition_Risk_Percentage] ]&gt;= 0.5, "High",tbl_HR_Data[[#This Row],[Attrition_Risk_Percentage]] &gt;= 0.25, "Medium",TRUE, "Low")</f>
        <v>Medium</v>
      </c>
      <c r="AR401" s="16" cm="1">
        <f t="array" ref="AR401">IFERROR(_xlfn.IFS(tbl_HR_Data[[#This Row],[Risk_Category]]="Critical",tbl_HR_Data[[#This Row],[MonthlyIncome]]*1.5,tbl_HR_Data[[#This Row],[Risk_Category]]="High",tbl_HR_Data[[#This Row],[MonthlyIncome]]*1.5),0)</f>
        <v>0</v>
      </c>
    </row>
    <row r="402" spans="1:44" x14ac:dyDescent="0.35">
      <c r="A402" t="s">
        <v>718</v>
      </c>
      <c r="B402">
        <v>39</v>
      </c>
      <c r="C402" t="s">
        <v>37</v>
      </c>
      <c r="D402">
        <v>1218</v>
      </c>
      <c r="E402" t="s">
        <v>38</v>
      </c>
      <c r="F402">
        <v>1</v>
      </c>
      <c r="G402">
        <v>1</v>
      </c>
      <c r="H402" t="s">
        <v>33</v>
      </c>
      <c r="I402">
        <v>2</v>
      </c>
      <c r="J402" t="s">
        <v>39</v>
      </c>
      <c r="K402">
        <v>52</v>
      </c>
      <c r="L402">
        <v>3</v>
      </c>
      <c r="M402">
        <v>5</v>
      </c>
      <c r="N402" t="s">
        <v>48</v>
      </c>
      <c r="O402">
        <v>3</v>
      </c>
      <c r="P402" t="s">
        <v>45</v>
      </c>
      <c r="Q402">
        <v>19197</v>
      </c>
      <c r="R402">
        <v>8213</v>
      </c>
      <c r="S402">
        <v>1</v>
      </c>
      <c r="T402">
        <v>1</v>
      </c>
      <c r="U402" s="17">
        <v>0.14000000000000001</v>
      </c>
      <c r="V402">
        <v>3</v>
      </c>
      <c r="W402">
        <v>3</v>
      </c>
      <c r="X402">
        <v>1</v>
      </c>
      <c r="Y402">
        <v>21</v>
      </c>
      <c r="Z402">
        <v>3</v>
      </c>
      <c r="AA402">
        <v>3</v>
      </c>
      <c r="AB402">
        <v>21</v>
      </c>
      <c r="AC402">
        <v>8</v>
      </c>
      <c r="AD402">
        <v>1</v>
      </c>
      <c r="AE402">
        <v>6</v>
      </c>
      <c r="AF402">
        <v>0</v>
      </c>
      <c r="AG402">
        <f>IF(tbl_HR_Data[[#This Row],[Gender]]="Male",1,0)</f>
        <v>1</v>
      </c>
      <c r="AH402" cm="1">
        <f t="array" ref="AH402">_xlfn.SWITCH(tbl_HR_Data[[#This Row],[BusinessTravel]], "Non-Travel", 0, "Travel_Rarely", 1, "Travel_Frequently", 2)</f>
        <v>2</v>
      </c>
      <c r="AI402" cm="1">
        <f t="array" ref="AI402">_xlfn.SWITCH(tbl_HR_Data[[#This Row],[MaritalStatus]],"Single",0,"Married",1,"Divorced",2)</f>
        <v>2</v>
      </c>
      <c r="AJ402">
        <f>IF(tbl_HR_Data[[#This Row],[OverTime]]=1,1,0)</f>
        <v>1</v>
      </c>
      <c r="AK402">
        <f>IF(tbl_HR_Data[[#This Row],[DistanceFromHome]]&gt;15,1,0)</f>
        <v>0</v>
      </c>
      <c r="AL402">
        <f>IF(tbl_HR_Data[[#This Row],[JobSatisfaction]]&lt;=2,1,0)</f>
        <v>0</v>
      </c>
      <c r="AM402">
        <f>IF(tbl_HR_Data[[#This Row],[MonthlyIncome]]&lt;$AT$2,1,0)</f>
        <v>0</v>
      </c>
      <c r="AN402">
        <f>IF(tbl_HR_Data[[#This Row],[Travel_Code]]=2,1,0)</f>
        <v>1</v>
      </c>
      <c r="AO402">
        <f>(tbl_HR_Data[[#This Row],[Flag_OT]] * Logic_Parameters!$B$2) +
 (tbl_HR_Data[[#This Row],[Flag_Travel]] * Logic_Parameters!$B$3) +
 (tbl_HR_Data[[#This Row],[Flag_Satisfaction]] * Logic_Parameters!$B$4) +
 (tbl_HR_Data[[#This Row],[Flag_Distance]]* Logic_Parameters!$B$5) +
 (tbl_HR_Data[[#This Row],[Flag_Income]] * Logic_Parameters!$B$6)</f>
        <v>15.160389980490176</v>
      </c>
      <c r="AP402" s="15">
        <f>tbl_HR_Data[[#This Row],[Risk_Score_Raw]] / SUM(Logic_Parameters!$B$2:$B$6)</f>
        <v>0.52231353565590266</v>
      </c>
      <c r="AQ402" s="16" t="str" cm="1">
        <f t="array" ref="AQ402">_xlfn.IFS(tbl_HR_Data[[#This Row],[Attrition_Risk_Percentage]] &gt;= 0.75, "Critical",tbl_HR_Data[ [#This Row],[Attrition_Risk_Percentage] ]&gt;= 0.5, "High",tbl_HR_Data[[#This Row],[Attrition_Risk_Percentage]] &gt;= 0.25, "Medium",TRUE, "Low")</f>
        <v>High</v>
      </c>
      <c r="AR402" s="16" cm="1">
        <f t="array" ref="AR402">IFERROR(_xlfn.IFS(tbl_HR_Data[[#This Row],[Risk_Category]]="Critical",tbl_HR_Data[[#This Row],[MonthlyIncome]]*1.5,tbl_HR_Data[[#This Row],[Risk_Category]]="High",tbl_HR_Data[[#This Row],[MonthlyIncome]]*1.5),0)</f>
        <v>28795.5</v>
      </c>
    </row>
    <row r="403" spans="1:44" x14ac:dyDescent="0.35">
      <c r="A403" t="s">
        <v>1171</v>
      </c>
      <c r="B403">
        <v>56</v>
      </c>
      <c r="C403" t="s">
        <v>37</v>
      </c>
      <c r="D403">
        <v>906</v>
      </c>
      <c r="E403" t="s">
        <v>32</v>
      </c>
      <c r="F403">
        <v>6</v>
      </c>
      <c r="G403">
        <v>3</v>
      </c>
      <c r="H403" t="s">
        <v>33</v>
      </c>
      <c r="I403">
        <v>3</v>
      </c>
      <c r="J403" t="s">
        <v>34</v>
      </c>
      <c r="K403">
        <v>86</v>
      </c>
      <c r="L403">
        <v>4</v>
      </c>
      <c r="M403">
        <v>4</v>
      </c>
      <c r="N403" t="s">
        <v>35</v>
      </c>
      <c r="O403">
        <v>1</v>
      </c>
      <c r="P403" t="s">
        <v>41</v>
      </c>
      <c r="Q403">
        <v>13212</v>
      </c>
      <c r="R403">
        <v>18256</v>
      </c>
      <c r="S403">
        <v>9</v>
      </c>
      <c r="T403">
        <v>0</v>
      </c>
      <c r="U403" s="17">
        <v>0.11</v>
      </c>
      <c r="V403">
        <v>3</v>
      </c>
      <c r="W403">
        <v>4</v>
      </c>
      <c r="X403">
        <v>3</v>
      </c>
      <c r="Y403">
        <v>36</v>
      </c>
      <c r="Z403">
        <v>0</v>
      </c>
      <c r="AA403">
        <v>2</v>
      </c>
      <c r="AB403">
        <v>7</v>
      </c>
      <c r="AC403">
        <v>7</v>
      </c>
      <c r="AD403">
        <v>7</v>
      </c>
      <c r="AE403">
        <v>7</v>
      </c>
      <c r="AF403">
        <v>0</v>
      </c>
      <c r="AG403">
        <f>IF(tbl_HR_Data[[#This Row],[Gender]]="Male",1,0)</f>
        <v>0</v>
      </c>
      <c r="AH403" cm="1">
        <f t="array" ref="AH403">_xlfn.SWITCH(tbl_HR_Data[[#This Row],[BusinessTravel]], "Non-Travel", 0, "Travel_Rarely", 1, "Travel_Frequently", 2)</f>
        <v>2</v>
      </c>
      <c r="AI403" cm="1">
        <f t="array" ref="AI403">_xlfn.SWITCH(tbl_HR_Data[[#This Row],[MaritalStatus]],"Single",0,"Married",1,"Divorced",2)</f>
        <v>1</v>
      </c>
      <c r="AJ403">
        <f>IF(tbl_HR_Data[[#This Row],[OverTime]]=1,1,0)</f>
        <v>0</v>
      </c>
      <c r="AK403">
        <f>IF(tbl_HR_Data[[#This Row],[DistanceFromHome]]&gt;15,1,0)</f>
        <v>0</v>
      </c>
      <c r="AL403">
        <f>IF(tbl_HR_Data[[#This Row],[JobSatisfaction]]&lt;=2,1,0)</f>
        <v>1</v>
      </c>
      <c r="AM403">
        <f>IF(tbl_HR_Data[[#This Row],[MonthlyIncome]]&lt;$AT$2,1,0)</f>
        <v>0</v>
      </c>
      <c r="AN403">
        <f>IF(tbl_HR_Data[[#This Row],[Travel_Code]]=2,1,0)</f>
        <v>1</v>
      </c>
      <c r="AO403">
        <f>(tbl_HR_Data[[#This Row],[Flag_OT]] * Logic_Parameters!$B$2) +
 (tbl_HR_Data[[#This Row],[Flag_Travel]] * Logic_Parameters!$B$3) +
 (tbl_HR_Data[[#This Row],[Flag_Satisfaction]] * Logic_Parameters!$B$4) +
 (tbl_HR_Data[[#This Row],[Flag_Distance]]* Logic_Parameters!$B$5) +
 (tbl_HR_Data[[#This Row],[Flag_Income]] * Logic_Parameters!$B$6)</f>
        <v>9.3649231104683075</v>
      </c>
      <c r="AP403" s="15">
        <f>tbl_HR_Data[[#This Row],[Risk_Score_Raw]] / SUM(Logic_Parameters!$B$2:$B$6)</f>
        <v>0.32264513691726432</v>
      </c>
      <c r="AQ403" s="16" t="str" cm="1">
        <f t="array" ref="AQ403">_xlfn.IFS(tbl_HR_Data[[#This Row],[Attrition_Risk_Percentage]] &gt;= 0.75, "Critical",tbl_HR_Data[ [#This Row],[Attrition_Risk_Percentage] ]&gt;= 0.5, "High",tbl_HR_Data[[#This Row],[Attrition_Risk_Percentage]] &gt;= 0.25, "Medium",TRUE, "Low")</f>
        <v>Medium</v>
      </c>
      <c r="AR403" s="16" cm="1">
        <f t="array" ref="AR403">IFERROR(_xlfn.IFS(tbl_HR_Data[[#This Row],[Risk_Category]]="Critical",tbl_HR_Data[[#This Row],[MonthlyIncome]]*1.5,tbl_HR_Data[[#This Row],[Risk_Category]]="High",tbl_HR_Data[[#This Row],[MonthlyIncome]]*1.5),0)</f>
        <v>0</v>
      </c>
    </row>
    <row r="404" spans="1:44" x14ac:dyDescent="0.35">
      <c r="A404" t="s">
        <v>456</v>
      </c>
      <c r="B404">
        <v>30</v>
      </c>
      <c r="C404" t="s">
        <v>31</v>
      </c>
      <c r="D404">
        <v>1082</v>
      </c>
      <c r="E404" t="s">
        <v>32</v>
      </c>
      <c r="F404">
        <v>12</v>
      </c>
      <c r="G404">
        <v>3</v>
      </c>
      <c r="H404" t="s">
        <v>52</v>
      </c>
      <c r="I404">
        <v>2</v>
      </c>
      <c r="J404" t="s">
        <v>34</v>
      </c>
      <c r="K404">
        <v>83</v>
      </c>
      <c r="L404">
        <v>3</v>
      </c>
      <c r="M404">
        <v>2</v>
      </c>
      <c r="N404" t="s">
        <v>35</v>
      </c>
      <c r="O404">
        <v>3</v>
      </c>
      <c r="P404" t="s">
        <v>36</v>
      </c>
      <c r="Q404">
        <v>6577</v>
      </c>
      <c r="R404">
        <v>19558</v>
      </c>
      <c r="S404">
        <v>0</v>
      </c>
      <c r="T404">
        <v>0</v>
      </c>
      <c r="U404" s="17">
        <v>0.11</v>
      </c>
      <c r="V404">
        <v>3</v>
      </c>
      <c r="W404">
        <v>2</v>
      </c>
      <c r="X404">
        <v>0</v>
      </c>
      <c r="Y404">
        <v>6</v>
      </c>
      <c r="Z404">
        <v>6</v>
      </c>
      <c r="AA404">
        <v>3</v>
      </c>
      <c r="AB404">
        <v>5</v>
      </c>
      <c r="AC404">
        <v>4</v>
      </c>
      <c r="AD404">
        <v>4</v>
      </c>
      <c r="AE404">
        <v>4</v>
      </c>
      <c r="AF404">
        <v>0</v>
      </c>
      <c r="AG404">
        <f>IF(tbl_HR_Data[[#This Row],[Gender]]="Male",1,0)</f>
        <v>0</v>
      </c>
      <c r="AH404" cm="1">
        <f t="array" ref="AH404">_xlfn.SWITCH(tbl_HR_Data[[#This Row],[BusinessTravel]], "Non-Travel", 0, "Travel_Rarely", 1, "Travel_Frequently", 2)</f>
        <v>1</v>
      </c>
      <c r="AI404" cm="1">
        <f t="array" ref="AI404">_xlfn.SWITCH(tbl_HR_Data[[#This Row],[MaritalStatus]],"Single",0,"Married",1,"Divorced",2)</f>
        <v>0</v>
      </c>
      <c r="AJ404">
        <f>IF(tbl_HR_Data[[#This Row],[OverTime]]=1,1,0)</f>
        <v>0</v>
      </c>
      <c r="AK404">
        <f>IF(tbl_HR_Data[[#This Row],[DistanceFromHome]]&gt;15,1,0)</f>
        <v>0</v>
      </c>
      <c r="AL404">
        <f>IF(tbl_HR_Data[[#This Row],[JobSatisfaction]]&lt;=2,1,0)</f>
        <v>0</v>
      </c>
      <c r="AM404">
        <f>IF(tbl_HR_Data[[#This Row],[MonthlyIncome]]&lt;$AT$2,1,0)</f>
        <v>0</v>
      </c>
      <c r="AN404">
        <f>IF(tbl_HR_Data[[#This Row],[Travel_Code]]=2,1,0)</f>
        <v>0</v>
      </c>
      <c r="AO404">
        <f>(tbl_HR_Data[[#This Row],[Flag_OT]] * Logic_Parameters!$B$2) +
 (tbl_HR_Data[[#This Row],[Flag_Travel]] * Logic_Parameters!$B$3) +
 (tbl_HR_Data[[#This Row],[Flag_Satisfaction]] * Logic_Parameters!$B$4) +
 (tbl_HR_Data[[#This Row],[Flag_Distance]]* Logic_Parameters!$B$5) +
 (tbl_HR_Data[[#This Row],[Flag_Income]] * Logic_Parameters!$B$6)</f>
        <v>0</v>
      </c>
      <c r="AP404" s="15">
        <f>tbl_HR_Data[[#This Row],[Risk_Score_Raw]] / SUM(Logic_Parameters!$B$2:$B$6)</f>
        <v>0</v>
      </c>
      <c r="AQ404" s="16" t="str" cm="1">
        <f t="array" ref="AQ404">_xlfn.IFS(tbl_HR_Data[[#This Row],[Attrition_Risk_Percentage]] &gt;= 0.75, "Critical",tbl_HR_Data[ [#This Row],[Attrition_Risk_Percentage] ]&gt;= 0.5, "High",tbl_HR_Data[[#This Row],[Attrition_Risk_Percentage]] &gt;= 0.25, "Medium",TRUE, "Low")</f>
        <v>Low</v>
      </c>
      <c r="AR404" s="16" cm="1">
        <f t="array" ref="AR404">IFERROR(_xlfn.IFS(tbl_HR_Data[[#This Row],[Risk_Category]]="Critical",tbl_HR_Data[[#This Row],[MonthlyIncome]]*1.5,tbl_HR_Data[[#This Row],[Risk_Category]]="High",tbl_HR_Data[[#This Row],[MonthlyIncome]]*1.5),0)</f>
        <v>0</v>
      </c>
    </row>
    <row r="405" spans="1:44" x14ac:dyDescent="0.35">
      <c r="A405" t="s">
        <v>410</v>
      </c>
      <c r="B405">
        <v>41</v>
      </c>
      <c r="C405" t="s">
        <v>31</v>
      </c>
      <c r="D405">
        <v>645</v>
      </c>
      <c r="E405" t="s">
        <v>32</v>
      </c>
      <c r="F405">
        <v>1</v>
      </c>
      <c r="G405">
        <v>3</v>
      </c>
      <c r="H405" t="s">
        <v>51</v>
      </c>
      <c r="I405">
        <v>2</v>
      </c>
      <c r="J405" t="s">
        <v>39</v>
      </c>
      <c r="K405">
        <v>49</v>
      </c>
      <c r="L405">
        <v>4</v>
      </c>
      <c r="M405">
        <v>3</v>
      </c>
      <c r="N405" t="s">
        <v>35</v>
      </c>
      <c r="O405">
        <v>1</v>
      </c>
      <c r="P405" t="s">
        <v>41</v>
      </c>
      <c r="Q405">
        <v>8392</v>
      </c>
      <c r="R405">
        <v>19566</v>
      </c>
      <c r="S405">
        <v>1</v>
      </c>
      <c r="T405">
        <v>0</v>
      </c>
      <c r="U405" s="17">
        <v>0.16</v>
      </c>
      <c r="V405">
        <v>3</v>
      </c>
      <c r="W405">
        <v>3</v>
      </c>
      <c r="X405">
        <v>1</v>
      </c>
      <c r="Y405">
        <v>10</v>
      </c>
      <c r="Z405">
        <v>2</v>
      </c>
      <c r="AA405">
        <v>3</v>
      </c>
      <c r="AB405">
        <v>10</v>
      </c>
      <c r="AC405">
        <v>7</v>
      </c>
      <c r="AD405">
        <v>0</v>
      </c>
      <c r="AE405">
        <v>7</v>
      </c>
      <c r="AF405">
        <v>0</v>
      </c>
      <c r="AG405">
        <f>IF(tbl_HR_Data[[#This Row],[Gender]]="Male",1,0)</f>
        <v>1</v>
      </c>
      <c r="AH405" cm="1">
        <f t="array" ref="AH405">_xlfn.SWITCH(tbl_HR_Data[[#This Row],[BusinessTravel]], "Non-Travel", 0, "Travel_Rarely", 1, "Travel_Frequently", 2)</f>
        <v>1</v>
      </c>
      <c r="AI405" cm="1">
        <f t="array" ref="AI405">_xlfn.SWITCH(tbl_HR_Data[[#This Row],[MaritalStatus]],"Single",0,"Married",1,"Divorced",2)</f>
        <v>1</v>
      </c>
      <c r="AJ405">
        <f>IF(tbl_HR_Data[[#This Row],[OverTime]]=1,1,0)</f>
        <v>0</v>
      </c>
      <c r="AK405">
        <f>IF(tbl_HR_Data[[#This Row],[DistanceFromHome]]&gt;15,1,0)</f>
        <v>0</v>
      </c>
      <c r="AL405">
        <f>IF(tbl_HR_Data[[#This Row],[JobSatisfaction]]&lt;=2,1,0)</f>
        <v>1</v>
      </c>
      <c r="AM405">
        <f>IF(tbl_HR_Data[[#This Row],[MonthlyIncome]]&lt;$AT$2,1,0)</f>
        <v>0</v>
      </c>
      <c r="AN405">
        <f>IF(tbl_HR_Data[[#This Row],[Travel_Code]]=2,1,0)</f>
        <v>0</v>
      </c>
      <c r="AO405">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405" s="15">
        <f>tbl_HR_Data[[#This Row],[Risk_Score_Raw]] / SUM(Logic_Parameters!$B$2:$B$6)</f>
        <v>0.14485673308716898</v>
      </c>
      <c r="AQ405" s="16" t="str" cm="1">
        <f t="array" ref="AQ405">_xlfn.IFS(tbl_HR_Data[[#This Row],[Attrition_Risk_Percentage]] &gt;= 0.75, "Critical",tbl_HR_Data[ [#This Row],[Attrition_Risk_Percentage] ]&gt;= 0.5, "High",tbl_HR_Data[[#This Row],[Attrition_Risk_Percentage]] &gt;= 0.25, "Medium",TRUE, "Low")</f>
        <v>Low</v>
      </c>
      <c r="AR405" s="16" cm="1">
        <f t="array" ref="AR405">IFERROR(_xlfn.IFS(tbl_HR_Data[[#This Row],[Risk_Category]]="Critical",tbl_HR_Data[[#This Row],[MonthlyIncome]]*1.5,tbl_HR_Data[[#This Row],[Risk_Category]]="High",tbl_HR_Data[[#This Row],[MonthlyIncome]]*1.5),0)</f>
        <v>0</v>
      </c>
    </row>
    <row r="406" spans="1:44" x14ac:dyDescent="0.35">
      <c r="A406" t="s">
        <v>1344</v>
      </c>
      <c r="B406">
        <v>28</v>
      </c>
      <c r="C406" t="s">
        <v>31</v>
      </c>
      <c r="D406">
        <v>1300</v>
      </c>
      <c r="E406" t="s">
        <v>38</v>
      </c>
      <c r="F406">
        <v>17</v>
      </c>
      <c r="G406">
        <v>2</v>
      </c>
      <c r="H406" t="s">
        <v>44</v>
      </c>
      <c r="I406">
        <v>3</v>
      </c>
      <c r="J406" t="s">
        <v>39</v>
      </c>
      <c r="K406">
        <v>79</v>
      </c>
      <c r="L406">
        <v>3</v>
      </c>
      <c r="M406">
        <v>2</v>
      </c>
      <c r="N406" t="s">
        <v>43</v>
      </c>
      <c r="O406">
        <v>1</v>
      </c>
      <c r="P406" t="s">
        <v>45</v>
      </c>
      <c r="Q406">
        <v>4558</v>
      </c>
      <c r="R406">
        <v>13535</v>
      </c>
      <c r="S406">
        <v>1</v>
      </c>
      <c r="T406">
        <v>0</v>
      </c>
      <c r="U406" s="17">
        <v>0.12</v>
      </c>
      <c r="V406">
        <v>3</v>
      </c>
      <c r="W406">
        <v>4</v>
      </c>
      <c r="X406">
        <v>1</v>
      </c>
      <c r="Y406">
        <v>10</v>
      </c>
      <c r="Z406">
        <v>2</v>
      </c>
      <c r="AA406">
        <v>3</v>
      </c>
      <c r="AB406">
        <v>10</v>
      </c>
      <c r="AC406">
        <v>0</v>
      </c>
      <c r="AD406">
        <v>1</v>
      </c>
      <c r="AE406">
        <v>8</v>
      </c>
      <c r="AF406">
        <v>0</v>
      </c>
      <c r="AG406">
        <f>IF(tbl_HR_Data[[#This Row],[Gender]]="Male",1,0)</f>
        <v>1</v>
      </c>
      <c r="AH406" cm="1">
        <f t="array" ref="AH406">_xlfn.SWITCH(tbl_HR_Data[[#This Row],[BusinessTravel]], "Non-Travel", 0, "Travel_Rarely", 1, "Travel_Frequently", 2)</f>
        <v>1</v>
      </c>
      <c r="AI406" cm="1">
        <f t="array" ref="AI406">_xlfn.SWITCH(tbl_HR_Data[[#This Row],[MaritalStatus]],"Single",0,"Married",1,"Divorced",2)</f>
        <v>2</v>
      </c>
      <c r="AJ406">
        <f>IF(tbl_HR_Data[[#This Row],[OverTime]]=1,1,0)</f>
        <v>0</v>
      </c>
      <c r="AK406">
        <f>IF(tbl_HR_Data[[#This Row],[DistanceFromHome]]&gt;15,1,0)</f>
        <v>1</v>
      </c>
      <c r="AL406">
        <f>IF(tbl_HR_Data[[#This Row],[JobSatisfaction]]&lt;=2,1,0)</f>
        <v>1</v>
      </c>
      <c r="AM406">
        <f>IF(tbl_HR_Data[[#This Row],[MonthlyIncome]]&lt;$AT$2,1,0)</f>
        <v>1</v>
      </c>
      <c r="AN406">
        <f>IF(tbl_HR_Data[[#This Row],[Travel_Code]]=2,1,0)</f>
        <v>0</v>
      </c>
      <c r="AO406">
        <f>(tbl_HR_Data[[#This Row],[Flag_OT]] * Logic_Parameters!$B$2) +
 (tbl_HR_Data[[#This Row],[Flag_Travel]] * Logic_Parameters!$B$3) +
 (tbl_HR_Data[[#This Row],[Flag_Satisfaction]] * Logic_Parameters!$B$4) +
 (tbl_HR_Data[[#This Row],[Flag_Distance]]* Logic_Parameters!$B$5) +
 (tbl_HR_Data[[#This Row],[Flag_Income]] * Logic_Parameters!$B$6)</f>
        <v>13.865068763274337</v>
      </c>
      <c r="AP406" s="15">
        <f>tbl_HR_Data[[#This Row],[Risk_Score_Raw]] / SUM(Logic_Parameters!$B$2:$B$6)</f>
        <v>0.47768646434409739</v>
      </c>
      <c r="AQ406" s="16" t="str" cm="1">
        <f t="array" ref="AQ406">_xlfn.IFS(tbl_HR_Data[[#This Row],[Attrition_Risk_Percentage]] &gt;= 0.75, "Critical",tbl_HR_Data[ [#This Row],[Attrition_Risk_Percentage] ]&gt;= 0.5, "High",tbl_HR_Data[[#This Row],[Attrition_Risk_Percentage]] &gt;= 0.25, "Medium",TRUE, "Low")</f>
        <v>Medium</v>
      </c>
      <c r="AR406" s="16" cm="1">
        <f t="array" ref="AR406">IFERROR(_xlfn.IFS(tbl_HR_Data[[#This Row],[Risk_Category]]="Critical",tbl_HR_Data[[#This Row],[MonthlyIncome]]*1.5,tbl_HR_Data[[#This Row],[Risk_Category]]="High",tbl_HR_Data[[#This Row],[MonthlyIncome]]*1.5),0)</f>
        <v>0</v>
      </c>
    </row>
    <row r="407" spans="1:44" x14ac:dyDescent="0.35">
      <c r="A407" t="s">
        <v>1374</v>
      </c>
      <c r="B407">
        <v>25</v>
      </c>
      <c r="C407" t="s">
        <v>31</v>
      </c>
      <c r="D407">
        <v>688</v>
      </c>
      <c r="E407" t="s">
        <v>38</v>
      </c>
      <c r="F407">
        <v>3</v>
      </c>
      <c r="G407">
        <v>3</v>
      </c>
      <c r="H407" t="s">
        <v>44</v>
      </c>
      <c r="I407">
        <v>1</v>
      </c>
      <c r="J407" t="s">
        <v>39</v>
      </c>
      <c r="K407">
        <v>91</v>
      </c>
      <c r="L407">
        <v>3</v>
      </c>
      <c r="M407">
        <v>1</v>
      </c>
      <c r="N407" t="s">
        <v>43</v>
      </c>
      <c r="O407">
        <v>1</v>
      </c>
      <c r="P407" t="s">
        <v>41</v>
      </c>
      <c r="Q407">
        <v>4031</v>
      </c>
      <c r="R407">
        <v>9396</v>
      </c>
      <c r="S407">
        <v>5</v>
      </c>
      <c r="T407">
        <v>0</v>
      </c>
      <c r="U407" s="17">
        <v>0.13</v>
      </c>
      <c r="V407">
        <v>3</v>
      </c>
      <c r="W407">
        <v>3</v>
      </c>
      <c r="X407">
        <v>1</v>
      </c>
      <c r="Y407">
        <v>6</v>
      </c>
      <c r="Z407">
        <v>5</v>
      </c>
      <c r="AA407">
        <v>3</v>
      </c>
      <c r="AB407">
        <v>2</v>
      </c>
      <c r="AC407">
        <v>2</v>
      </c>
      <c r="AD407">
        <v>0</v>
      </c>
      <c r="AE407">
        <v>2</v>
      </c>
      <c r="AF407">
        <v>1</v>
      </c>
      <c r="AG407">
        <f>IF(tbl_HR_Data[[#This Row],[Gender]]="Male",1,0)</f>
        <v>1</v>
      </c>
      <c r="AH407" cm="1">
        <f t="array" ref="AH407">_xlfn.SWITCH(tbl_HR_Data[[#This Row],[BusinessTravel]], "Non-Travel", 0, "Travel_Rarely", 1, "Travel_Frequently", 2)</f>
        <v>1</v>
      </c>
      <c r="AI407" cm="1">
        <f t="array" ref="AI407">_xlfn.SWITCH(tbl_HR_Data[[#This Row],[MaritalStatus]],"Single",0,"Married",1,"Divorced",2)</f>
        <v>1</v>
      </c>
      <c r="AJ407">
        <f>IF(tbl_HR_Data[[#This Row],[OverTime]]=1,1,0)</f>
        <v>0</v>
      </c>
      <c r="AK407">
        <f>IF(tbl_HR_Data[[#This Row],[DistanceFromHome]]&gt;15,1,0)</f>
        <v>0</v>
      </c>
      <c r="AL407">
        <f>IF(tbl_HR_Data[[#This Row],[JobSatisfaction]]&lt;=2,1,0)</f>
        <v>1</v>
      </c>
      <c r="AM407">
        <f>IF(tbl_HR_Data[[#This Row],[MonthlyIncome]]&lt;$AT$2,1,0)</f>
        <v>1</v>
      </c>
      <c r="AN407">
        <f>IF(tbl_HR_Data[[#This Row],[Travel_Code]]=2,1,0)</f>
        <v>0</v>
      </c>
      <c r="AO407">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407" s="15">
        <f>tbl_HR_Data[[#This Row],[Risk_Score_Raw]] / SUM(Logic_Parameters!$B$2:$B$6)</f>
        <v>0.3686061316669938</v>
      </c>
      <c r="AQ407" s="16" t="str" cm="1">
        <f t="array" ref="AQ407">_xlfn.IFS(tbl_HR_Data[[#This Row],[Attrition_Risk_Percentage]] &gt;= 0.75, "Critical",tbl_HR_Data[ [#This Row],[Attrition_Risk_Percentage] ]&gt;= 0.5, "High",tbl_HR_Data[[#This Row],[Attrition_Risk_Percentage]] &gt;= 0.25, "Medium",TRUE, "Low")</f>
        <v>Medium</v>
      </c>
      <c r="AR407" s="16" cm="1">
        <f t="array" ref="AR407">IFERROR(_xlfn.IFS(tbl_HR_Data[[#This Row],[Risk_Category]]="Critical",tbl_HR_Data[[#This Row],[MonthlyIncome]]*1.5,tbl_HR_Data[[#This Row],[Risk_Category]]="High",tbl_HR_Data[[#This Row],[MonthlyIncome]]*1.5),0)</f>
        <v>0</v>
      </c>
    </row>
    <row r="408" spans="1:44" x14ac:dyDescent="0.35">
      <c r="A408" t="s">
        <v>1028</v>
      </c>
      <c r="B408">
        <v>52</v>
      </c>
      <c r="C408" t="s">
        <v>31</v>
      </c>
      <c r="D408">
        <v>319</v>
      </c>
      <c r="E408" t="s">
        <v>38</v>
      </c>
      <c r="F408">
        <v>3</v>
      </c>
      <c r="G408">
        <v>3</v>
      </c>
      <c r="H408" t="s">
        <v>44</v>
      </c>
      <c r="I408">
        <v>4</v>
      </c>
      <c r="J408" t="s">
        <v>39</v>
      </c>
      <c r="K408">
        <v>39</v>
      </c>
      <c r="L408">
        <v>2</v>
      </c>
      <c r="M408">
        <v>3</v>
      </c>
      <c r="N408" t="s">
        <v>46</v>
      </c>
      <c r="O408">
        <v>3</v>
      </c>
      <c r="P408" t="s">
        <v>41</v>
      </c>
      <c r="Q408">
        <v>7969</v>
      </c>
      <c r="R408">
        <v>19609</v>
      </c>
      <c r="S408">
        <v>2</v>
      </c>
      <c r="T408">
        <v>1</v>
      </c>
      <c r="U408" s="17">
        <v>0.14000000000000001</v>
      </c>
      <c r="V408">
        <v>3</v>
      </c>
      <c r="W408">
        <v>3</v>
      </c>
      <c r="X408">
        <v>0</v>
      </c>
      <c r="Y408">
        <v>28</v>
      </c>
      <c r="Z408">
        <v>4</v>
      </c>
      <c r="AA408">
        <v>3</v>
      </c>
      <c r="AB408">
        <v>5</v>
      </c>
      <c r="AC408">
        <v>4</v>
      </c>
      <c r="AD408">
        <v>0</v>
      </c>
      <c r="AE408">
        <v>4</v>
      </c>
      <c r="AF408">
        <v>0</v>
      </c>
      <c r="AG408">
        <f>IF(tbl_HR_Data[[#This Row],[Gender]]="Male",1,0)</f>
        <v>1</v>
      </c>
      <c r="AH408" cm="1">
        <f t="array" ref="AH408">_xlfn.SWITCH(tbl_HR_Data[[#This Row],[BusinessTravel]], "Non-Travel", 0, "Travel_Rarely", 1, "Travel_Frequently", 2)</f>
        <v>1</v>
      </c>
      <c r="AI408" cm="1">
        <f t="array" ref="AI408">_xlfn.SWITCH(tbl_HR_Data[[#This Row],[MaritalStatus]],"Single",0,"Married",1,"Divorced",2)</f>
        <v>1</v>
      </c>
      <c r="AJ408">
        <f>IF(tbl_HR_Data[[#This Row],[OverTime]]=1,1,0)</f>
        <v>1</v>
      </c>
      <c r="AK408">
        <f>IF(tbl_HR_Data[[#This Row],[DistanceFromHome]]&gt;15,1,0)</f>
        <v>0</v>
      </c>
      <c r="AL408">
        <f>IF(tbl_HR_Data[[#This Row],[JobSatisfaction]]&lt;=2,1,0)</f>
        <v>0</v>
      </c>
      <c r="AM408">
        <f>IF(tbl_HR_Data[[#This Row],[MonthlyIncome]]&lt;$AT$2,1,0)</f>
        <v>0</v>
      </c>
      <c r="AN408">
        <f>IF(tbl_HR_Data[[#This Row],[Travel_Code]]=2,1,0)</f>
        <v>0</v>
      </c>
      <c r="AO408">
        <f>(tbl_HR_Data[[#This Row],[Flag_OT]] * Logic_Parameters!$B$2) +
 (tbl_HR_Data[[#This Row],[Flag_Travel]] * Logic_Parameters!$B$3) +
 (tbl_HR_Data[[#This Row],[Flag_Satisfaction]] * Logic_Parameters!$B$4) +
 (tbl_HR_Data[[#This Row],[Flag_Distance]]* Logic_Parameters!$B$5) +
 (tbl_HR_Data[[#This Row],[Flag_Income]] * Logic_Parameters!$B$6)</f>
        <v>10</v>
      </c>
      <c r="AP408" s="15">
        <f>tbl_HR_Data[[#This Row],[Risk_Score_Raw]] / SUM(Logic_Parameters!$B$2:$B$6)</f>
        <v>0.3445251318258073</v>
      </c>
      <c r="AQ408" s="16" t="str" cm="1">
        <f t="array" ref="AQ408">_xlfn.IFS(tbl_HR_Data[[#This Row],[Attrition_Risk_Percentage]] &gt;= 0.75, "Critical",tbl_HR_Data[ [#This Row],[Attrition_Risk_Percentage] ]&gt;= 0.5, "High",tbl_HR_Data[[#This Row],[Attrition_Risk_Percentage]] &gt;= 0.25, "Medium",TRUE, "Low")</f>
        <v>Medium</v>
      </c>
      <c r="AR408" s="16" cm="1">
        <f t="array" ref="AR408">IFERROR(_xlfn.IFS(tbl_HR_Data[[#This Row],[Risk_Category]]="Critical",tbl_HR_Data[[#This Row],[MonthlyIncome]]*1.5,tbl_HR_Data[[#This Row],[Risk_Category]]="High",tbl_HR_Data[[#This Row],[MonthlyIncome]]*1.5),0)</f>
        <v>0</v>
      </c>
    </row>
    <row r="409" spans="1:44" x14ac:dyDescent="0.35">
      <c r="A409" t="s">
        <v>1032</v>
      </c>
      <c r="B409">
        <v>45</v>
      </c>
      <c r="C409" t="s">
        <v>31</v>
      </c>
      <c r="D409">
        <v>192</v>
      </c>
      <c r="E409" t="s">
        <v>38</v>
      </c>
      <c r="F409">
        <v>10</v>
      </c>
      <c r="G409">
        <v>2</v>
      </c>
      <c r="H409" t="s">
        <v>33</v>
      </c>
      <c r="I409">
        <v>1</v>
      </c>
      <c r="J409" t="s">
        <v>39</v>
      </c>
      <c r="K409">
        <v>69</v>
      </c>
      <c r="L409">
        <v>3</v>
      </c>
      <c r="M409">
        <v>1</v>
      </c>
      <c r="N409" t="s">
        <v>40</v>
      </c>
      <c r="O409">
        <v>4</v>
      </c>
      <c r="P409" t="s">
        <v>41</v>
      </c>
      <c r="Q409">
        <v>2654</v>
      </c>
      <c r="R409">
        <v>9655</v>
      </c>
      <c r="S409">
        <v>3</v>
      </c>
      <c r="T409">
        <v>0</v>
      </c>
      <c r="U409" s="17">
        <v>0.21</v>
      </c>
      <c r="V409">
        <v>4</v>
      </c>
      <c r="W409">
        <v>4</v>
      </c>
      <c r="X409">
        <v>2</v>
      </c>
      <c r="Y409">
        <v>8</v>
      </c>
      <c r="Z409">
        <v>3</v>
      </c>
      <c r="AA409">
        <v>2</v>
      </c>
      <c r="AB409">
        <v>2</v>
      </c>
      <c r="AC409">
        <v>2</v>
      </c>
      <c r="AD409">
        <v>0</v>
      </c>
      <c r="AE409">
        <v>2</v>
      </c>
      <c r="AF409">
        <v>0</v>
      </c>
      <c r="AG409">
        <f>IF(tbl_HR_Data[[#This Row],[Gender]]="Male",1,0)</f>
        <v>1</v>
      </c>
      <c r="AH409" cm="1">
        <f t="array" ref="AH409">_xlfn.SWITCH(tbl_HR_Data[[#This Row],[BusinessTravel]], "Non-Travel", 0, "Travel_Rarely", 1, "Travel_Frequently", 2)</f>
        <v>1</v>
      </c>
      <c r="AI409" cm="1">
        <f t="array" ref="AI409">_xlfn.SWITCH(tbl_HR_Data[[#This Row],[MaritalStatus]],"Single",0,"Married",1,"Divorced",2)</f>
        <v>1</v>
      </c>
      <c r="AJ409">
        <f>IF(tbl_HR_Data[[#This Row],[OverTime]]=1,1,0)</f>
        <v>0</v>
      </c>
      <c r="AK409">
        <f>IF(tbl_HR_Data[[#This Row],[DistanceFromHome]]&gt;15,1,0)</f>
        <v>0</v>
      </c>
      <c r="AL409">
        <f>IF(tbl_HR_Data[[#This Row],[JobSatisfaction]]&lt;=2,1,0)</f>
        <v>0</v>
      </c>
      <c r="AM409">
        <f>IF(tbl_HR_Data[[#This Row],[MonthlyIncome]]&lt;$AT$2,1,0)</f>
        <v>1</v>
      </c>
      <c r="AN409">
        <f>IF(tbl_HR_Data[[#This Row],[Travel_Code]]=2,1,0)</f>
        <v>0</v>
      </c>
      <c r="AO409">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409" s="15">
        <f>tbl_HR_Data[[#This Row],[Risk_Score_Raw]] / SUM(Logic_Parameters!$B$2:$B$6)</f>
        <v>0.22374939857982484</v>
      </c>
      <c r="AQ409" s="16" t="str" cm="1">
        <f t="array" ref="AQ409">_xlfn.IFS(tbl_HR_Data[[#This Row],[Attrition_Risk_Percentage]] &gt;= 0.75, "Critical",tbl_HR_Data[ [#This Row],[Attrition_Risk_Percentage] ]&gt;= 0.5, "High",tbl_HR_Data[[#This Row],[Attrition_Risk_Percentage]] &gt;= 0.25, "Medium",TRUE, "Low")</f>
        <v>Low</v>
      </c>
      <c r="AR409" s="16" cm="1">
        <f t="array" ref="AR409">IFERROR(_xlfn.IFS(tbl_HR_Data[[#This Row],[Risk_Category]]="Critical",tbl_HR_Data[[#This Row],[MonthlyIncome]]*1.5,tbl_HR_Data[[#This Row],[Risk_Category]]="High",tbl_HR_Data[[#This Row],[MonthlyIncome]]*1.5),0)</f>
        <v>0</v>
      </c>
    </row>
    <row r="410" spans="1:44" x14ac:dyDescent="0.35">
      <c r="A410" t="s">
        <v>1167</v>
      </c>
      <c r="B410">
        <v>52</v>
      </c>
      <c r="C410" t="s">
        <v>31</v>
      </c>
      <c r="D410">
        <v>1490</v>
      </c>
      <c r="E410" t="s">
        <v>38</v>
      </c>
      <c r="F410">
        <v>4</v>
      </c>
      <c r="G410">
        <v>2</v>
      </c>
      <c r="H410" t="s">
        <v>33</v>
      </c>
      <c r="I410">
        <v>4</v>
      </c>
      <c r="J410" t="s">
        <v>34</v>
      </c>
      <c r="K410">
        <v>30</v>
      </c>
      <c r="L410">
        <v>3</v>
      </c>
      <c r="M410">
        <v>4</v>
      </c>
      <c r="N410" t="s">
        <v>48</v>
      </c>
      <c r="O410">
        <v>4</v>
      </c>
      <c r="P410" t="s">
        <v>41</v>
      </c>
      <c r="Q410">
        <v>16555</v>
      </c>
      <c r="R410">
        <v>10310</v>
      </c>
      <c r="S410">
        <v>2</v>
      </c>
      <c r="T410">
        <v>0</v>
      </c>
      <c r="U410" s="17">
        <v>0.13</v>
      </c>
      <c r="V410">
        <v>3</v>
      </c>
      <c r="W410">
        <v>4</v>
      </c>
      <c r="X410">
        <v>0</v>
      </c>
      <c r="Y410">
        <v>31</v>
      </c>
      <c r="Z410">
        <v>2</v>
      </c>
      <c r="AA410">
        <v>1</v>
      </c>
      <c r="AB410">
        <v>5</v>
      </c>
      <c r="AC410">
        <v>2</v>
      </c>
      <c r="AD410">
        <v>1</v>
      </c>
      <c r="AE410">
        <v>4</v>
      </c>
      <c r="AF410">
        <v>0</v>
      </c>
      <c r="AG410">
        <f>IF(tbl_HR_Data[[#This Row],[Gender]]="Male",1,0)</f>
        <v>0</v>
      </c>
      <c r="AH410" cm="1">
        <f t="array" ref="AH410">_xlfn.SWITCH(tbl_HR_Data[[#This Row],[BusinessTravel]], "Non-Travel", 0, "Travel_Rarely", 1, "Travel_Frequently", 2)</f>
        <v>1</v>
      </c>
      <c r="AI410" cm="1">
        <f t="array" ref="AI410">_xlfn.SWITCH(tbl_HR_Data[[#This Row],[MaritalStatus]],"Single",0,"Married",1,"Divorced",2)</f>
        <v>1</v>
      </c>
      <c r="AJ410">
        <f>IF(tbl_HR_Data[[#This Row],[OverTime]]=1,1,0)</f>
        <v>0</v>
      </c>
      <c r="AK410">
        <f>IF(tbl_HR_Data[[#This Row],[DistanceFromHome]]&gt;15,1,0)</f>
        <v>0</v>
      </c>
      <c r="AL410">
        <f>IF(tbl_HR_Data[[#This Row],[JobSatisfaction]]&lt;=2,1,0)</f>
        <v>0</v>
      </c>
      <c r="AM410">
        <f>IF(tbl_HR_Data[[#This Row],[MonthlyIncome]]&lt;$AT$2,1,0)</f>
        <v>0</v>
      </c>
      <c r="AN410">
        <f>IF(tbl_HR_Data[[#This Row],[Travel_Code]]=2,1,0)</f>
        <v>0</v>
      </c>
      <c r="AO410">
        <f>(tbl_HR_Data[[#This Row],[Flag_OT]] * Logic_Parameters!$B$2) +
 (tbl_HR_Data[[#This Row],[Flag_Travel]] * Logic_Parameters!$B$3) +
 (tbl_HR_Data[[#This Row],[Flag_Satisfaction]] * Logic_Parameters!$B$4) +
 (tbl_HR_Data[[#This Row],[Flag_Distance]]* Logic_Parameters!$B$5) +
 (tbl_HR_Data[[#This Row],[Flag_Income]] * Logic_Parameters!$B$6)</f>
        <v>0</v>
      </c>
      <c r="AP410" s="15">
        <f>tbl_HR_Data[[#This Row],[Risk_Score_Raw]] / SUM(Logic_Parameters!$B$2:$B$6)</f>
        <v>0</v>
      </c>
      <c r="AQ410" s="16" t="str" cm="1">
        <f t="array" ref="AQ410">_xlfn.IFS(tbl_HR_Data[[#This Row],[Attrition_Risk_Percentage]] &gt;= 0.75, "Critical",tbl_HR_Data[ [#This Row],[Attrition_Risk_Percentage] ]&gt;= 0.5, "High",tbl_HR_Data[[#This Row],[Attrition_Risk_Percentage]] &gt;= 0.25, "Medium",TRUE, "Low")</f>
        <v>Low</v>
      </c>
      <c r="AR410" s="16" cm="1">
        <f t="array" ref="AR410">IFERROR(_xlfn.IFS(tbl_HR_Data[[#This Row],[Risk_Category]]="Critical",tbl_HR_Data[[#This Row],[MonthlyIncome]]*1.5,tbl_HR_Data[[#This Row],[Risk_Category]]="High",tbl_HR_Data[[#This Row],[MonthlyIncome]]*1.5),0)</f>
        <v>0</v>
      </c>
    </row>
    <row r="411" spans="1:44" x14ac:dyDescent="0.35">
      <c r="A411" t="s">
        <v>594</v>
      </c>
      <c r="B411">
        <v>42</v>
      </c>
      <c r="C411" t="s">
        <v>37</v>
      </c>
      <c r="D411">
        <v>532</v>
      </c>
      <c r="E411" t="s">
        <v>38</v>
      </c>
      <c r="F411">
        <v>29</v>
      </c>
      <c r="G411">
        <v>2</v>
      </c>
      <c r="H411" t="s">
        <v>33</v>
      </c>
      <c r="I411">
        <v>1</v>
      </c>
      <c r="J411" t="s">
        <v>34</v>
      </c>
      <c r="K411">
        <v>92</v>
      </c>
      <c r="L411">
        <v>3</v>
      </c>
      <c r="M411">
        <v>2</v>
      </c>
      <c r="N411" t="s">
        <v>40</v>
      </c>
      <c r="O411">
        <v>3</v>
      </c>
      <c r="P411" t="s">
        <v>45</v>
      </c>
      <c r="Q411">
        <v>4556</v>
      </c>
      <c r="R411">
        <v>12932</v>
      </c>
      <c r="S411">
        <v>2</v>
      </c>
      <c r="T411">
        <v>0</v>
      </c>
      <c r="U411" s="17">
        <v>0.11</v>
      </c>
      <c r="V411">
        <v>3</v>
      </c>
      <c r="W411">
        <v>2</v>
      </c>
      <c r="X411">
        <v>1</v>
      </c>
      <c r="Y411">
        <v>19</v>
      </c>
      <c r="Z411">
        <v>3</v>
      </c>
      <c r="AA411">
        <v>3</v>
      </c>
      <c r="AB411">
        <v>5</v>
      </c>
      <c r="AC411">
        <v>4</v>
      </c>
      <c r="AD411">
        <v>0</v>
      </c>
      <c r="AE411">
        <v>2</v>
      </c>
      <c r="AF411">
        <v>0</v>
      </c>
      <c r="AG411">
        <f>IF(tbl_HR_Data[[#This Row],[Gender]]="Male",1,0)</f>
        <v>0</v>
      </c>
      <c r="AH411" cm="1">
        <f t="array" ref="AH411">_xlfn.SWITCH(tbl_HR_Data[[#This Row],[BusinessTravel]], "Non-Travel", 0, "Travel_Rarely", 1, "Travel_Frequently", 2)</f>
        <v>2</v>
      </c>
      <c r="AI411" cm="1">
        <f t="array" ref="AI411">_xlfn.SWITCH(tbl_HR_Data[[#This Row],[MaritalStatus]],"Single",0,"Married",1,"Divorced",2)</f>
        <v>2</v>
      </c>
      <c r="AJ411">
        <f>IF(tbl_HR_Data[[#This Row],[OverTime]]=1,1,0)</f>
        <v>0</v>
      </c>
      <c r="AK411">
        <f>IF(tbl_HR_Data[[#This Row],[DistanceFromHome]]&gt;15,1,0)</f>
        <v>1</v>
      </c>
      <c r="AL411">
        <f>IF(tbl_HR_Data[[#This Row],[JobSatisfaction]]&lt;=2,1,0)</f>
        <v>0</v>
      </c>
      <c r="AM411">
        <f>IF(tbl_HR_Data[[#This Row],[MonthlyIncome]]&lt;$AT$2,1,0)</f>
        <v>1</v>
      </c>
      <c r="AN411">
        <f>IF(tbl_HR_Data[[#This Row],[Travel_Code]]=2,1,0)</f>
        <v>1</v>
      </c>
      <c r="AO411">
        <f>(tbl_HR_Data[[#This Row],[Flag_OT]] * Logic_Parameters!$B$2) +
 (tbl_HR_Data[[#This Row],[Flag_Travel]] * Logic_Parameters!$B$3) +
 (tbl_HR_Data[[#This Row],[Flag_Satisfaction]] * Logic_Parameters!$B$4) +
 (tbl_HR_Data[[#This Row],[Flag_Distance]]* Logic_Parameters!$B$5) +
 (tbl_HR_Data[[#This Row],[Flag_Income]] * Logic_Parameters!$B$6)</f>
        <v>14.820925613786383</v>
      </c>
      <c r="AP411" s="15">
        <f>tbl_HR_Data[[#This Row],[Risk_Score_Raw]] / SUM(Logic_Parameters!$B$2:$B$6)</f>
        <v>0.51061813508702369</v>
      </c>
      <c r="AQ411" s="16" t="str" cm="1">
        <f t="array" ref="AQ411">_xlfn.IFS(tbl_HR_Data[[#This Row],[Attrition_Risk_Percentage]] &gt;= 0.75, "Critical",tbl_HR_Data[ [#This Row],[Attrition_Risk_Percentage] ]&gt;= 0.5, "High",tbl_HR_Data[[#This Row],[Attrition_Risk_Percentage]] &gt;= 0.25, "Medium",TRUE, "Low")</f>
        <v>High</v>
      </c>
      <c r="AR411" s="16" cm="1">
        <f t="array" ref="AR411">IFERROR(_xlfn.IFS(tbl_HR_Data[[#This Row],[Risk_Category]]="Critical",tbl_HR_Data[[#This Row],[MonthlyIncome]]*1.5,tbl_HR_Data[[#This Row],[Risk_Category]]="High",tbl_HR_Data[[#This Row],[MonthlyIncome]]*1.5),0)</f>
        <v>6834</v>
      </c>
    </row>
    <row r="412" spans="1:44" x14ac:dyDescent="0.35">
      <c r="A412" t="s">
        <v>878</v>
      </c>
      <c r="B412">
        <v>30</v>
      </c>
      <c r="C412" t="s">
        <v>31</v>
      </c>
      <c r="D412">
        <v>317</v>
      </c>
      <c r="E412" t="s">
        <v>38</v>
      </c>
      <c r="F412">
        <v>2</v>
      </c>
      <c r="G412">
        <v>3</v>
      </c>
      <c r="H412" t="s">
        <v>33</v>
      </c>
      <c r="I412">
        <v>3</v>
      </c>
      <c r="J412" t="s">
        <v>34</v>
      </c>
      <c r="K412">
        <v>43</v>
      </c>
      <c r="L412">
        <v>1</v>
      </c>
      <c r="M412">
        <v>2</v>
      </c>
      <c r="N412" t="s">
        <v>46</v>
      </c>
      <c r="O412">
        <v>4</v>
      </c>
      <c r="P412" t="s">
        <v>36</v>
      </c>
      <c r="Q412">
        <v>6091</v>
      </c>
      <c r="R412">
        <v>24793</v>
      </c>
      <c r="S412">
        <v>2</v>
      </c>
      <c r="T412">
        <v>0</v>
      </c>
      <c r="U412" s="17">
        <v>0.2</v>
      </c>
      <c r="V412">
        <v>4</v>
      </c>
      <c r="W412">
        <v>3</v>
      </c>
      <c r="X412">
        <v>0</v>
      </c>
      <c r="Y412">
        <v>11</v>
      </c>
      <c r="Z412">
        <v>2</v>
      </c>
      <c r="AA412">
        <v>3</v>
      </c>
      <c r="AB412">
        <v>5</v>
      </c>
      <c r="AC412">
        <v>4</v>
      </c>
      <c r="AD412">
        <v>0</v>
      </c>
      <c r="AE412">
        <v>2</v>
      </c>
      <c r="AF412">
        <v>0</v>
      </c>
      <c r="AG412">
        <f>IF(tbl_HR_Data[[#This Row],[Gender]]="Male",1,0)</f>
        <v>0</v>
      </c>
      <c r="AH412" cm="1">
        <f t="array" ref="AH412">_xlfn.SWITCH(tbl_HR_Data[[#This Row],[BusinessTravel]], "Non-Travel", 0, "Travel_Rarely", 1, "Travel_Frequently", 2)</f>
        <v>1</v>
      </c>
      <c r="AI412" cm="1">
        <f t="array" ref="AI412">_xlfn.SWITCH(tbl_HR_Data[[#This Row],[MaritalStatus]],"Single",0,"Married",1,"Divorced",2)</f>
        <v>0</v>
      </c>
      <c r="AJ412">
        <f>IF(tbl_HR_Data[[#This Row],[OverTime]]=1,1,0)</f>
        <v>0</v>
      </c>
      <c r="AK412">
        <f>IF(tbl_HR_Data[[#This Row],[DistanceFromHome]]&gt;15,1,0)</f>
        <v>0</v>
      </c>
      <c r="AL412">
        <f>IF(tbl_HR_Data[[#This Row],[JobSatisfaction]]&lt;=2,1,0)</f>
        <v>0</v>
      </c>
      <c r="AM412">
        <f>IF(tbl_HR_Data[[#This Row],[MonthlyIncome]]&lt;$AT$2,1,0)</f>
        <v>0</v>
      </c>
      <c r="AN412">
        <f>IF(tbl_HR_Data[[#This Row],[Travel_Code]]=2,1,0)</f>
        <v>0</v>
      </c>
      <c r="AO412">
        <f>(tbl_HR_Data[[#This Row],[Flag_OT]] * Logic_Parameters!$B$2) +
 (tbl_HR_Data[[#This Row],[Flag_Travel]] * Logic_Parameters!$B$3) +
 (tbl_HR_Data[[#This Row],[Flag_Satisfaction]] * Logic_Parameters!$B$4) +
 (tbl_HR_Data[[#This Row],[Flag_Distance]]* Logic_Parameters!$B$5) +
 (tbl_HR_Data[[#This Row],[Flag_Income]] * Logic_Parameters!$B$6)</f>
        <v>0</v>
      </c>
      <c r="AP412" s="15">
        <f>tbl_HR_Data[[#This Row],[Risk_Score_Raw]] / SUM(Logic_Parameters!$B$2:$B$6)</f>
        <v>0</v>
      </c>
      <c r="AQ412" s="16" t="str" cm="1">
        <f t="array" ref="AQ412">_xlfn.IFS(tbl_HR_Data[[#This Row],[Attrition_Risk_Percentage]] &gt;= 0.75, "Critical",tbl_HR_Data[ [#This Row],[Attrition_Risk_Percentage] ]&gt;= 0.5, "High",tbl_HR_Data[[#This Row],[Attrition_Risk_Percentage]] &gt;= 0.25, "Medium",TRUE, "Low")</f>
        <v>Low</v>
      </c>
      <c r="AR412" s="16" cm="1">
        <f t="array" ref="AR412">IFERROR(_xlfn.IFS(tbl_HR_Data[[#This Row],[Risk_Category]]="Critical",tbl_HR_Data[[#This Row],[MonthlyIncome]]*1.5,tbl_HR_Data[[#This Row],[Risk_Category]]="High",tbl_HR_Data[[#This Row],[MonthlyIncome]]*1.5),0)</f>
        <v>0</v>
      </c>
    </row>
    <row r="413" spans="1:44" x14ac:dyDescent="0.35">
      <c r="A413" t="s">
        <v>399</v>
      </c>
      <c r="B413">
        <v>60</v>
      </c>
      <c r="C413" t="s">
        <v>31</v>
      </c>
      <c r="D413">
        <v>422</v>
      </c>
      <c r="E413" t="s">
        <v>38</v>
      </c>
      <c r="F413">
        <v>7</v>
      </c>
      <c r="G413">
        <v>3</v>
      </c>
      <c r="H413" t="s">
        <v>33</v>
      </c>
      <c r="I413">
        <v>1</v>
      </c>
      <c r="J413" t="s">
        <v>34</v>
      </c>
      <c r="K413">
        <v>41</v>
      </c>
      <c r="L413">
        <v>3</v>
      </c>
      <c r="M413">
        <v>5</v>
      </c>
      <c r="N413" t="s">
        <v>48</v>
      </c>
      <c r="O413">
        <v>1</v>
      </c>
      <c r="P413" t="s">
        <v>41</v>
      </c>
      <c r="Q413">
        <v>19566</v>
      </c>
      <c r="R413">
        <v>3854</v>
      </c>
      <c r="S413">
        <v>5</v>
      </c>
      <c r="T413">
        <v>0</v>
      </c>
      <c r="U413" s="17">
        <v>0.11</v>
      </c>
      <c r="V413">
        <v>3</v>
      </c>
      <c r="W413">
        <v>4</v>
      </c>
      <c r="X413">
        <v>0</v>
      </c>
      <c r="Y413">
        <v>33</v>
      </c>
      <c r="Z413">
        <v>5</v>
      </c>
      <c r="AA413">
        <v>1</v>
      </c>
      <c r="AB413">
        <v>29</v>
      </c>
      <c r="AC413">
        <v>8</v>
      </c>
      <c r="AD413">
        <v>11</v>
      </c>
      <c r="AE413">
        <v>10</v>
      </c>
      <c r="AF413">
        <v>0</v>
      </c>
      <c r="AG413">
        <f>IF(tbl_HR_Data[[#This Row],[Gender]]="Male",1,0)</f>
        <v>0</v>
      </c>
      <c r="AH413" cm="1">
        <f t="array" ref="AH413">_xlfn.SWITCH(tbl_HR_Data[[#This Row],[BusinessTravel]], "Non-Travel", 0, "Travel_Rarely", 1, "Travel_Frequently", 2)</f>
        <v>1</v>
      </c>
      <c r="AI413" cm="1">
        <f t="array" ref="AI413">_xlfn.SWITCH(tbl_HR_Data[[#This Row],[MaritalStatus]],"Single",0,"Married",1,"Divorced",2)</f>
        <v>1</v>
      </c>
      <c r="AJ413">
        <f>IF(tbl_HR_Data[[#This Row],[OverTime]]=1,1,0)</f>
        <v>0</v>
      </c>
      <c r="AK413">
        <f>IF(tbl_HR_Data[[#This Row],[DistanceFromHome]]&gt;15,1,0)</f>
        <v>0</v>
      </c>
      <c r="AL413">
        <f>IF(tbl_HR_Data[[#This Row],[JobSatisfaction]]&lt;=2,1,0)</f>
        <v>1</v>
      </c>
      <c r="AM413">
        <f>IF(tbl_HR_Data[[#This Row],[MonthlyIncome]]&lt;$AT$2,1,0)</f>
        <v>0</v>
      </c>
      <c r="AN413">
        <f>IF(tbl_HR_Data[[#This Row],[Travel_Code]]=2,1,0)</f>
        <v>0</v>
      </c>
      <c r="AO413">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413" s="15">
        <f>tbl_HR_Data[[#This Row],[Risk_Score_Raw]] / SUM(Logic_Parameters!$B$2:$B$6)</f>
        <v>0.14485673308716898</v>
      </c>
      <c r="AQ413" s="16" t="str" cm="1">
        <f t="array" ref="AQ413">_xlfn.IFS(tbl_HR_Data[[#This Row],[Attrition_Risk_Percentage]] &gt;= 0.75, "Critical",tbl_HR_Data[ [#This Row],[Attrition_Risk_Percentage] ]&gt;= 0.5, "High",tbl_HR_Data[[#This Row],[Attrition_Risk_Percentage]] &gt;= 0.25, "Medium",TRUE, "Low")</f>
        <v>Low</v>
      </c>
      <c r="AR413" s="16" cm="1">
        <f t="array" ref="AR413">IFERROR(_xlfn.IFS(tbl_HR_Data[[#This Row],[Risk_Category]]="Critical",tbl_HR_Data[[#This Row],[MonthlyIncome]]*1.5,tbl_HR_Data[[#This Row],[Risk_Category]]="High",tbl_HR_Data[[#This Row],[MonthlyIncome]]*1.5),0)</f>
        <v>0</v>
      </c>
    </row>
    <row r="414" spans="1:44" x14ac:dyDescent="0.35">
      <c r="A414" t="s">
        <v>1024</v>
      </c>
      <c r="B414">
        <v>46</v>
      </c>
      <c r="C414" t="s">
        <v>31</v>
      </c>
      <c r="D414">
        <v>1485</v>
      </c>
      <c r="E414" t="s">
        <v>38</v>
      </c>
      <c r="F414">
        <v>18</v>
      </c>
      <c r="G414">
        <v>3</v>
      </c>
      <c r="H414" t="s">
        <v>44</v>
      </c>
      <c r="I414">
        <v>3</v>
      </c>
      <c r="J414" t="s">
        <v>34</v>
      </c>
      <c r="K414">
        <v>87</v>
      </c>
      <c r="L414">
        <v>3</v>
      </c>
      <c r="M414">
        <v>2</v>
      </c>
      <c r="N414" t="s">
        <v>46</v>
      </c>
      <c r="O414">
        <v>3</v>
      </c>
      <c r="P414" t="s">
        <v>45</v>
      </c>
      <c r="Q414">
        <v>4810</v>
      </c>
      <c r="R414">
        <v>26314</v>
      </c>
      <c r="S414">
        <v>2</v>
      </c>
      <c r="T414">
        <v>0</v>
      </c>
      <c r="U414" s="17">
        <v>0.14000000000000001</v>
      </c>
      <c r="V414">
        <v>3</v>
      </c>
      <c r="W414">
        <v>3</v>
      </c>
      <c r="X414">
        <v>1</v>
      </c>
      <c r="Y414">
        <v>19</v>
      </c>
      <c r="Z414">
        <v>5</v>
      </c>
      <c r="AA414">
        <v>2</v>
      </c>
      <c r="AB414">
        <v>10</v>
      </c>
      <c r="AC414">
        <v>7</v>
      </c>
      <c r="AD414">
        <v>0</v>
      </c>
      <c r="AE414">
        <v>8</v>
      </c>
      <c r="AF414">
        <v>0</v>
      </c>
      <c r="AG414">
        <f>IF(tbl_HR_Data[[#This Row],[Gender]]="Male",1,0)</f>
        <v>0</v>
      </c>
      <c r="AH414" cm="1">
        <f t="array" ref="AH414">_xlfn.SWITCH(tbl_HR_Data[[#This Row],[BusinessTravel]], "Non-Travel", 0, "Travel_Rarely", 1, "Travel_Frequently", 2)</f>
        <v>1</v>
      </c>
      <c r="AI414" cm="1">
        <f t="array" ref="AI414">_xlfn.SWITCH(tbl_HR_Data[[#This Row],[MaritalStatus]],"Single",0,"Married",1,"Divorced",2)</f>
        <v>2</v>
      </c>
      <c r="AJ414">
        <f>IF(tbl_HR_Data[[#This Row],[OverTime]]=1,1,0)</f>
        <v>0</v>
      </c>
      <c r="AK414">
        <f>IF(tbl_HR_Data[[#This Row],[DistanceFromHome]]&gt;15,1,0)</f>
        <v>1</v>
      </c>
      <c r="AL414">
        <f>IF(tbl_HR_Data[[#This Row],[JobSatisfaction]]&lt;=2,1,0)</f>
        <v>0</v>
      </c>
      <c r="AM414">
        <f>IF(tbl_HR_Data[[#This Row],[MonthlyIncome]]&lt;$AT$2,1,0)</f>
        <v>1</v>
      </c>
      <c r="AN414">
        <f>IF(tbl_HR_Data[[#This Row],[Travel_Code]]=2,1,0)</f>
        <v>0</v>
      </c>
      <c r="AO414">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414" s="15">
        <f>tbl_HR_Data[[#This Row],[Risk_Score_Raw]] / SUM(Logic_Parameters!$B$2:$B$6)</f>
        <v>0.33282973125692844</v>
      </c>
      <c r="AQ414" s="16" t="str" cm="1">
        <f t="array" ref="AQ414">_xlfn.IFS(tbl_HR_Data[[#This Row],[Attrition_Risk_Percentage]] &gt;= 0.75, "Critical",tbl_HR_Data[ [#This Row],[Attrition_Risk_Percentage] ]&gt;= 0.5, "High",tbl_HR_Data[[#This Row],[Attrition_Risk_Percentage]] &gt;= 0.25, "Medium",TRUE, "Low")</f>
        <v>Medium</v>
      </c>
      <c r="AR414" s="16" cm="1">
        <f t="array" ref="AR414">IFERROR(_xlfn.IFS(tbl_HR_Data[[#This Row],[Risk_Category]]="Critical",tbl_HR_Data[[#This Row],[MonthlyIncome]]*1.5,tbl_HR_Data[[#This Row],[Risk_Category]]="High",tbl_HR_Data[[#This Row],[MonthlyIncome]]*1.5),0)</f>
        <v>0</v>
      </c>
    </row>
    <row r="415" spans="1:44" x14ac:dyDescent="0.35">
      <c r="A415" t="s">
        <v>493</v>
      </c>
      <c r="B415">
        <v>42</v>
      </c>
      <c r="C415" t="s">
        <v>37</v>
      </c>
      <c r="D415">
        <v>1368</v>
      </c>
      <c r="E415" t="s">
        <v>38</v>
      </c>
      <c r="F415">
        <v>28</v>
      </c>
      <c r="G415">
        <v>4</v>
      </c>
      <c r="H415" t="s">
        <v>52</v>
      </c>
      <c r="I415">
        <v>4</v>
      </c>
      <c r="J415" t="s">
        <v>34</v>
      </c>
      <c r="K415">
        <v>88</v>
      </c>
      <c r="L415">
        <v>2</v>
      </c>
      <c r="M415">
        <v>2</v>
      </c>
      <c r="N415" t="s">
        <v>47</v>
      </c>
      <c r="O415">
        <v>4</v>
      </c>
      <c r="P415" t="s">
        <v>41</v>
      </c>
      <c r="Q415">
        <v>4523</v>
      </c>
      <c r="R415">
        <v>4386</v>
      </c>
      <c r="S415">
        <v>0</v>
      </c>
      <c r="T415">
        <v>0</v>
      </c>
      <c r="U415" s="17">
        <v>0.11</v>
      </c>
      <c r="V415">
        <v>3</v>
      </c>
      <c r="W415">
        <v>4</v>
      </c>
      <c r="X415">
        <v>3</v>
      </c>
      <c r="Y415">
        <v>7</v>
      </c>
      <c r="Z415">
        <v>4</v>
      </c>
      <c r="AA415">
        <v>4</v>
      </c>
      <c r="AB415">
        <v>6</v>
      </c>
      <c r="AC415">
        <v>5</v>
      </c>
      <c r="AD415">
        <v>0</v>
      </c>
      <c r="AE415">
        <v>4</v>
      </c>
      <c r="AF415">
        <v>0</v>
      </c>
      <c r="AG415">
        <f>IF(tbl_HR_Data[[#This Row],[Gender]]="Male",1,0)</f>
        <v>0</v>
      </c>
      <c r="AH415" cm="1">
        <f t="array" ref="AH415">_xlfn.SWITCH(tbl_HR_Data[[#This Row],[BusinessTravel]], "Non-Travel", 0, "Travel_Rarely", 1, "Travel_Frequently", 2)</f>
        <v>2</v>
      </c>
      <c r="AI415" cm="1">
        <f t="array" ref="AI415">_xlfn.SWITCH(tbl_HR_Data[[#This Row],[MaritalStatus]],"Single",0,"Married",1,"Divorced",2)</f>
        <v>1</v>
      </c>
      <c r="AJ415">
        <f>IF(tbl_HR_Data[[#This Row],[OverTime]]=1,1,0)</f>
        <v>0</v>
      </c>
      <c r="AK415">
        <f>IF(tbl_HR_Data[[#This Row],[DistanceFromHome]]&gt;15,1,0)</f>
        <v>1</v>
      </c>
      <c r="AL415">
        <f>IF(tbl_HR_Data[[#This Row],[JobSatisfaction]]&lt;=2,1,0)</f>
        <v>0</v>
      </c>
      <c r="AM415">
        <f>IF(tbl_HR_Data[[#This Row],[MonthlyIncome]]&lt;$AT$2,1,0)</f>
        <v>1</v>
      </c>
      <c r="AN415">
        <f>IF(tbl_HR_Data[[#This Row],[Travel_Code]]=2,1,0)</f>
        <v>1</v>
      </c>
      <c r="AO415">
        <f>(tbl_HR_Data[[#This Row],[Flag_OT]] * Logic_Parameters!$B$2) +
 (tbl_HR_Data[[#This Row],[Flag_Travel]] * Logic_Parameters!$B$3) +
 (tbl_HR_Data[[#This Row],[Flag_Satisfaction]] * Logic_Parameters!$B$4) +
 (tbl_HR_Data[[#This Row],[Flag_Distance]]* Logic_Parameters!$B$5) +
 (tbl_HR_Data[[#This Row],[Flag_Income]] * Logic_Parameters!$B$6)</f>
        <v>14.820925613786383</v>
      </c>
      <c r="AP415" s="15">
        <f>tbl_HR_Data[[#This Row],[Risk_Score_Raw]] / SUM(Logic_Parameters!$B$2:$B$6)</f>
        <v>0.51061813508702369</v>
      </c>
      <c r="AQ415" s="16" t="str" cm="1">
        <f t="array" ref="AQ415">_xlfn.IFS(tbl_HR_Data[[#This Row],[Attrition_Risk_Percentage]] &gt;= 0.75, "Critical",tbl_HR_Data[ [#This Row],[Attrition_Risk_Percentage] ]&gt;= 0.5, "High",tbl_HR_Data[[#This Row],[Attrition_Risk_Percentage]] &gt;= 0.25, "Medium",TRUE, "Low")</f>
        <v>High</v>
      </c>
      <c r="AR415" s="16" cm="1">
        <f t="array" ref="AR415">IFERROR(_xlfn.IFS(tbl_HR_Data[[#This Row],[Risk_Category]]="Critical",tbl_HR_Data[[#This Row],[MonthlyIncome]]*1.5,tbl_HR_Data[[#This Row],[Risk_Category]]="High",tbl_HR_Data[[#This Row],[MonthlyIncome]]*1.5),0)</f>
        <v>6784.5</v>
      </c>
    </row>
    <row r="416" spans="1:44" x14ac:dyDescent="0.35">
      <c r="A416" t="s">
        <v>409</v>
      </c>
      <c r="B416">
        <v>24</v>
      </c>
      <c r="C416" t="s">
        <v>31</v>
      </c>
      <c r="D416">
        <v>1448</v>
      </c>
      <c r="E416" t="s">
        <v>32</v>
      </c>
      <c r="F416">
        <v>1</v>
      </c>
      <c r="G416">
        <v>1</v>
      </c>
      <c r="H416" t="s">
        <v>52</v>
      </c>
      <c r="I416">
        <v>1</v>
      </c>
      <c r="J416" t="s">
        <v>34</v>
      </c>
      <c r="K416">
        <v>62</v>
      </c>
      <c r="L416">
        <v>3</v>
      </c>
      <c r="M416">
        <v>1</v>
      </c>
      <c r="N416" t="s">
        <v>49</v>
      </c>
      <c r="O416">
        <v>2</v>
      </c>
      <c r="P416" t="s">
        <v>36</v>
      </c>
      <c r="Q416">
        <v>3202</v>
      </c>
      <c r="R416">
        <v>21972</v>
      </c>
      <c r="S416">
        <v>1</v>
      </c>
      <c r="T416">
        <v>1</v>
      </c>
      <c r="U416" s="17">
        <v>0.16</v>
      </c>
      <c r="V416">
        <v>3</v>
      </c>
      <c r="W416">
        <v>2</v>
      </c>
      <c r="X416">
        <v>0</v>
      </c>
      <c r="Y416">
        <v>6</v>
      </c>
      <c r="Z416">
        <v>4</v>
      </c>
      <c r="AA416">
        <v>3</v>
      </c>
      <c r="AB416">
        <v>5</v>
      </c>
      <c r="AC416">
        <v>3</v>
      </c>
      <c r="AD416">
        <v>1</v>
      </c>
      <c r="AE416">
        <v>4</v>
      </c>
      <c r="AF416">
        <v>1</v>
      </c>
      <c r="AG416">
        <f>IF(tbl_HR_Data[[#This Row],[Gender]]="Male",1,0)</f>
        <v>0</v>
      </c>
      <c r="AH416" cm="1">
        <f t="array" ref="AH416">_xlfn.SWITCH(tbl_HR_Data[[#This Row],[BusinessTravel]], "Non-Travel", 0, "Travel_Rarely", 1, "Travel_Frequently", 2)</f>
        <v>1</v>
      </c>
      <c r="AI416" cm="1">
        <f t="array" ref="AI416">_xlfn.SWITCH(tbl_HR_Data[[#This Row],[MaritalStatus]],"Single",0,"Married",1,"Divorced",2)</f>
        <v>0</v>
      </c>
      <c r="AJ416">
        <f>IF(tbl_HR_Data[[#This Row],[OverTime]]=1,1,0)</f>
        <v>1</v>
      </c>
      <c r="AK416">
        <f>IF(tbl_HR_Data[[#This Row],[DistanceFromHome]]&gt;15,1,0)</f>
        <v>0</v>
      </c>
      <c r="AL416">
        <f>IF(tbl_HR_Data[[#This Row],[JobSatisfaction]]&lt;=2,1,0)</f>
        <v>1</v>
      </c>
      <c r="AM416">
        <f>IF(tbl_HR_Data[[#This Row],[MonthlyIncome]]&lt;$AT$2,1,0)</f>
        <v>1</v>
      </c>
      <c r="AN416">
        <f>IF(tbl_HR_Data[[#This Row],[Travel_Code]]=2,1,0)</f>
        <v>0</v>
      </c>
      <c r="AO416">
        <f>(tbl_HR_Data[[#This Row],[Flag_OT]] * Logic_Parameters!$B$2) +
 (tbl_HR_Data[[#This Row],[Flag_Travel]] * Logic_Parameters!$B$3) +
 (tbl_HR_Data[[#This Row],[Flag_Satisfaction]] * Logic_Parameters!$B$4) +
 (tbl_HR_Data[[#This Row],[Flag_Distance]]* Logic_Parameters!$B$5) +
 (tbl_HR_Data[[#This Row],[Flag_Income]] * Logic_Parameters!$B$6)</f>
        <v>20.698962067398959</v>
      </c>
      <c r="AP416" s="15">
        <f>tbl_HR_Data[[#This Row],[Risk_Score_Raw]] / SUM(Logic_Parameters!$B$2:$B$6)</f>
        <v>0.71313126349280109</v>
      </c>
      <c r="AQ416" s="16" t="str" cm="1">
        <f t="array" ref="AQ416">_xlfn.IFS(tbl_HR_Data[[#This Row],[Attrition_Risk_Percentage]] &gt;= 0.75, "Critical",tbl_HR_Data[ [#This Row],[Attrition_Risk_Percentage] ]&gt;= 0.5, "High",tbl_HR_Data[[#This Row],[Attrition_Risk_Percentage]] &gt;= 0.25, "Medium",TRUE, "Low")</f>
        <v>High</v>
      </c>
      <c r="AR416" s="16" cm="1">
        <f t="array" ref="AR416">IFERROR(_xlfn.IFS(tbl_HR_Data[[#This Row],[Risk_Category]]="Critical",tbl_HR_Data[[#This Row],[MonthlyIncome]]*1.5,tbl_HR_Data[[#This Row],[Risk_Category]]="High",tbl_HR_Data[[#This Row],[MonthlyIncome]]*1.5),0)</f>
        <v>4803</v>
      </c>
    </row>
    <row r="417" spans="1:44" x14ac:dyDescent="0.35">
      <c r="A417" t="s">
        <v>255</v>
      </c>
      <c r="B417">
        <v>34</v>
      </c>
      <c r="C417" t="s">
        <v>37</v>
      </c>
      <c r="D417">
        <v>296</v>
      </c>
      <c r="E417" t="s">
        <v>32</v>
      </c>
      <c r="F417">
        <v>6</v>
      </c>
      <c r="G417">
        <v>2</v>
      </c>
      <c r="H417" t="s">
        <v>51</v>
      </c>
      <c r="I417">
        <v>4</v>
      </c>
      <c r="J417" t="s">
        <v>34</v>
      </c>
      <c r="K417">
        <v>33</v>
      </c>
      <c r="L417">
        <v>1</v>
      </c>
      <c r="M417">
        <v>1</v>
      </c>
      <c r="N417" t="s">
        <v>49</v>
      </c>
      <c r="O417">
        <v>3</v>
      </c>
      <c r="P417" t="s">
        <v>45</v>
      </c>
      <c r="Q417">
        <v>2351</v>
      </c>
      <c r="R417">
        <v>12253</v>
      </c>
      <c r="S417">
        <v>0</v>
      </c>
      <c r="T417">
        <v>0</v>
      </c>
      <c r="U417" s="17">
        <v>0.16</v>
      </c>
      <c r="V417">
        <v>3</v>
      </c>
      <c r="W417">
        <v>4</v>
      </c>
      <c r="X417">
        <v>1</v>
      </c>
      <c r="Y417">
        <v>3</v>
      </c>
      <c r="Z417">
        <v>3</v>
      </c>
      <c r="AA417">
        <v>2</v>
      </c>
      <c r="AB417">
        <v>2</v>
      </c>
      <c r="AC417">
        <v>2</v>
      </c>
      <c r="AD417">
        <v>1</v>
      </c>
      <c r="AE417">
        <v>0</v>
      </c>
      <c r="AF417">
        <v>1</v>
      </c>
      <c r="AG417">
        <f>IF(tbl_HR_Data[[#This Row],[Gender]]="Male",1,0)</f>
        <v>0</v>
      </c>
      <c r="AH417" cm="1">
        <f t="array" ref="AH417">_xlfn.SWITCH(tbl_HR_Data[[#This Row],[BusinessTravel]], "Non-Travel", 0, "Travel_Rarely", 1, "Travel_Frequently", 2)</f>
        <v>2</v>
      </c>
      <c r="AI417" cm="1">
        <f t="array" ref="AI417">_xlfn.SWITCH(tbl_HR_Data[[#This Row],[MaritalStatus]],"Single",0,"Married",1,"Divorced",2)</f>
        <v>2</v>
      </c>
      <c r="AJ417">
        <f>IF(tbl_HR_Data[[#This Row],[OverTime]]=1,1,0)</f>
        <v>0</v>
      </c>
      <c r="AK417">
        <f>IF(tbl_HR_Data[[#This Row],[DistanceFromHome]]&gt;15,1,0)</f>
        <v>0</v>
      </c>
      <c r="AL417">
        <f>IF(tbl_HR_Data[[#This Row],[JobSatisfaction]]&lt;=2,1,0)</f>
        <v>0</v>
      </c>
      <c r="AM417">
        <f>IF(tbl_HR_Data[[#This Row],[MonthlyIncome]]&lt;$AT$2,1,0)</f>
        <v>1</v>
      </c>
      <c r="AN417">
        <f>IF(tbl_HR_Data[[#This Row],[Travel_Code]]=2,1,0)</f>
        <v>1</v>
      </c>
      <c r="AO417">
        <f>(tbl_HR_Data[[#This Row],[Flag_OT]] * Logic_Parameters!$B$2) +
 (tbl_HR_Data[[#This Row],[Flag_Travel]] * Logic_Parameters!$B$3) +
 (tbl_HR_Data[[#This Row],[Flag_Satisfaction]] * Logic_Parameters!$B$4) +
 (tbl_HR_Data[[#This Row],[Flag_Distance]]* Logic_Parameters!$B$5) +
 (tbl_HR_Data[[#This Row],[Flag_Income]] * Logic_Parameters!$B$6)</f>
        <v>11.654818917911005</v>
      </c>
      <c r="AP417" s="15">
        <f>tbl_HR_Data[[#This Row],[Risk_Score_Raw]] / SUM(Logic_Parameters!$B$2:$B$6)</f>
        <v>0.40153780240992015</v>
      </c>
      <c r="AQ417" s="16" t="str" cm="1">
        <f t="array" ref="AQ417">_xlfn.IFS(tbl_HR_Data[[#This Row],[Attrition_Risk_Percentage]] &gt;= 0.75, "Critical",tbl_HR_Data[ [#This Row],[Attrition_Risk_Percentage] ]&gt;= 0.5, "High",tbl_HR_Data[[#This Row],[Attrition_Risk_Percentage]] &gt;= 0.25, "Medium",TRUE, "Low")</f>
        <v>Medium</v>
      </c>
      <c r="AR417" s="16" cm="1">
        <f t="array" ref="AR417">IFERROR(_xlfn.IFS(tbl_HR_Data[[#This Row],[Risk_Category]]="Critical",tbl_HR_Data[[#This Row],[MonthlyIncome]]*1.5,tbl_HR_Data[[#This Row],[Risk_Category]]="High",tbl_HR_Data[[#This Row],[MonthlyIncome]]*1.5),0)</f>
        <v>0</v>
      </c>
    </row>
    <row r="418" spans="1:44" x14ac:dyDescent="0.35">
      <c r="A418" t="s">
        <v>113</v>
      </c>
      <c r="B418">
        <v>38</v>
      </c>
      <c r="C418" t="s">
        <v>37</v>
      </c>
      <c r="D418">
        <v>1490</v>
      </c>
      <c r="E418" t="s">
        <v>38</v>
      </c>
      <c r="F418">
        <v>2</v>
      </c>
      <c r="G418">
        <v>2</v>
      </c>
      <c r="H418" t="s">
        <v>33</v>
      </c>
      <c r="I418">
        <v>4</v>
      </c>
      <c r="J418" t="s">
        <v>39</v>
      </c>
      <c r="K418">
        <v>42</v>
      </c>
      <c r="L418">
        <v>3</v>
      </c>
      <c r="M418">
        <v>1</v>
      </c>
      <c r="N418" t="s">
        <v>43</v>
      </c>
      <c r="O418">
        <v>4</v>
      </c>
      <c r="P418" t="s">
        <v>41</v>
      </c>
      <c r="Q418">
        <v>1702</v>
      </c>
      <c r="R418">
        <v>12106</v>
      </c>
      <c r="S418">
        <v>1</v>
      </c>
      <c r="T418">
        <v>1</v>
      </c>
      <c r="U418" s="17">
        <v>0.23</v>
      </c>
      <c r="V418">
        <v>4</v>
      </c>
      <c r="W418">
        <v>3</v>
      </c>
      <c r="X418">
        <v>1</v>
      </c>
      <c r="Y418">
        <v>1</v>
      </c>
      <c r="Z418">
        <v>3</v>
      </c>
      <c r="AA418">
        <v>3</v>
      </c>
      <c r="AB418">
        <v>1</v>
      </c>
      <c r="AC418">
        <v>0</v>
      </c>
      <c r="AD418">
        <v>0</v>
      </c>
      <c r="AE418">
        <v>0</v>
      </c>
      <c r="AF418">
        <v>0</v>
      </c>
      <c r="AG418">
        <f>IF(tbl_HR_Data[[#This Row],[Gender]]="Male",1,0)</f>
        <v>1</v>
      </c>
      <c r="AH418" cm="1">
        <f t="array" ref="AH418">_xlfn.SWITCH(tbl_HR_Data[[#This Row],[BusinessTravel]], "Non-Travel", 0, "Travel_Rarely", 1, "Travel_Frequently", 2)</f>
        <v>2</v>
      </c>
      <c r="AI418" cm="1">
        <f t="array" ref="AI418">_xlfn.SWITCH(tbl_HR_Data[[#This Row],[MaritalStatus]],"Single",0,"Married",1,"Divorced",2)</f>
        <v>1</v>
      </c>
      <c r="AJ418">
        <f>IF(tbl_HR_Data[[#This Row],[OverTime]]=1,1,0)</f>
        <v>1</v>
      </c>
      <c r="AK418">
        <f>IF(tbl_HR_Data[[#This Row],[DistanceFromHome]]&gt;15,1,0)</f>
        <v>0</v>
      </c>
      <c r="AL418">
        <f>IF(tbl_HR_Data[[#This Row],[JobSatisfaction]]&lt;=2,1,0)</f>
        <v>0</v>
      </c>
      <c r="AM418">
        <f>IF(tbl_HR_Data[[#This Row],[MonthlyIncome]]&lt;$AT$2,1,0)</f>
        <v>1</v>
      </c>
      <c r="AN418">
        <f>IF(tbl_HR_Data[[#This Row],[Travel_Code]]=2,1,0)</f>
        <v>1</v>
      </c>
      <c r="AO418">
        <f>(tbl_HR_Data[[#This Row],[Flag_OT]] * Logic_Parameters!$B$2) +
 (tbl_HR_Data[[#This Row],[Flag_Travel]] * Logic_Parameters!$B$3) +
 (tbl_HR_Data[[#This Row],[Flag_Satisfaction]] * Logic_Parameters!$B$4) +
 (tbl_HR_Data[[#This Row],[Flag_Distance]]* Logic_Parameters!$B$5) +
 (tbl_HR_Data[[#This Row],[Flag_Income]] * Logic_Parameters!$B$6)</f>
        <v>21.654818917911005</v>
      </c>
      <c r="AP418" s="15">
        <f>tbl_HR_Data[[#This Row],[Risk_Score_Raw]] / SUM(Logic_Parameters!$B$2:$B$6)</f>
        <v>0.74606293423572745</v>
      </c>
      <c r="AQ418" s="16" t="str" cm="1">
        <f t="array" ref="AQ418">_xlfn.IFS(tbl_HR_Data[[#This Row],[Attrition_Risk_Percentage]] &gt;= 0.75, "Critical",tbl_HR_Data[ [#This Row],[Attrition_Risk_Percentage] ]&gt;= 0.5, "High",tbl_HR_Data[[#This Row],[Attrition_Risk_Percentage]] &gt;= 0.25, "Medium",TRUE, "Low")</f>
        <v>High</v>
      </c>
      <c r="AR418" s="16" cm="1">
        <f t="array" ref="AR418">IFERROR(_xlfn.IFS(tbl_HR_Data[[#This Row],[Risk_Category]]="Critical",tbl_HR_Data[[#This Row],[MonthlyIncome]]*1.5,tbl_HR_Data[[#This Row],[Risk_Category]]="High",tbl_HR_Data[[#This Row],[MonthlyIncome]]*1.5),0)</f>
        <v>2553</v>
      </c>
    </row>
    <row r="419" spans="1:44" x14ac:dyDescent="0.35">
      <c r="A419" t="s">
        <v>811</v>
      </c>
      <c r="B419">
        <v>40</v>
      </c>
      <c r="C419" t="s">
        <v>31</v>
      </c>
      <c r="D419">
        <v>1398</v>
      </c>
      <c r="E419" t="s">
        <v>32</v>
      </c>
      <c r="F419">
        <v>2</v>
      </c>
      <c r="G419">
        <v>4</v>
      </c>
      <c r="H419" t="s">
        <v>33</v>
      </c>
      <c r="I419">
        <v>3</v>
      </c>
      <c r="J419" t="s">
        <v>34</v>
      </c>
      <c r="K419">
        <v>79</v>
      </c>
      <c r="L419">
        <v>3</v>
      </c>
      <c r="M419">
        <v>5</v>
      </c>
      <c r="N419" t="s">
        <v>48</v>
      </c>
      <c r="O419">
        <v>3</v>
      </c>
      <c r="P419" t="s">
        <v>41</v>
      </c>
      <c r="Q419">
        <v>18041</v>
      </c>
      <c r="R419">
        <v>13022</v>
      </c>
      <c r="S419">
        <v>0</v>
      </c>
      <c r="T419">
        <v>0</v>
      </c>
      <c r="U419" s="17">
        <v>0.14000000000000001</v>
      </c>
      <c r="V419">
        <v>3</v>
      </c>
      <c r="W419">
        <v>4</v>
      </c>
      <c r="X419">
        <v>0</v>
      </c>
      <c r="Y419">
        <v>21</v>
      </c>
      <c r="Z419">
        <v>2</v>
      </c>
      <c r="AA419">
        <v>3</v>
      </c>
      <c r="AB419">
        <v>20</v>
      </c>
      <c r="AC419">
        <v>15</v>
      </c>
      <c r="AD419">
        <v>1</v>
      </c>
      <c r="AE419">
        <v>12</v>
      </c>
      <c r="AF419">
        <v>0</v>
      </c>
      <c r="AG419">
        <f>IF(tbl_HR_Data[[#This Row],[Gender]]="Male",1,0)</f>
        <v>0</v>
      </c>
      <c r="AH419" cm="1">
        <f t="array" ref="AH419">_xlfn.SWITCH(tbl_HR_Data[[#This Row],[BusinessTravel]], "Non-Travel", 0, "Travel_Rarely", 1, "Travel_Frequently", 2)</f>
        <v>1</v>
      </c>
      <c r="AI419" cm="1">
        <f t="array" ref="AI419">_xlfn.SWITCH(tbl_HR_Data[[#This Row],[MaritalStatus]],"Single",0,"Married",1,"Divorced",2)</f>
        <v>1</v>
      </c>
      <c r="AJ419">
        <f>IF(tbl_HR_Data[[#This Row],[OverTime]]=1,1,0)</f>
        <v>0</v>
      </c>
      <c r="AK419">
        <f>IF(tbl_HR_Data[[#This Row],[DistanceFromHome]]&gt;15,1,0)</f>
        <v>0</v>
      </c>
      <c r="AL419">
        <f>IF(tbl_HR_Data[[#This Row],[JobSatisfaction]]&lt;=2,1,0)</f>
        <v>0</v>
      </c>
      <c r="AM419">
        <f>IF(tbl_HR_Data[[#This Row],[MonthlyIncome]]&lt;$AT$2,1,0)</f>
        <v>0</v>
      </c>
      <c r="AN419">
        <f>IF(tbl_HR_Data[[#This Row],[Travel_Code]]=2,1,0)</f>
        <v>0</v>
      </c>
      <c r="AO419">
        <f>(tbl_HR_Data[[#This Row],[Flag_OT]] * Logic_Parameters!$B$2) +
 (tbl_HR_Data[[#This Row],[Flag_Travel]] * Logic_Parameters!$B$3) +
 (tbl_HR_Data[[#This Row],[Flag_Satisfaction]] * Logic_Parameters!$B$4) +
 (tbl_HR_Data[[#This Row],[Flag_Distance]]* Logic_Parameters!$B$5) +
 (tbl_HR_Data[[#This Row],[Flag_Income]] * Logic_Parameters!$B$6)</f>
        <v>0</v>
      </c>
      <c r="AP419" s="15">
        <f>tbl_HR_Data[[#This Row],[Risk_Score_Raw]] / SUM(Logic_Parameters!$B$2:$B$6)</f>
        <v>0</v>
      </c>
      <c r="AQ419" s="16" t="str" cm="1">
        <f t="array" ref="AQ419">_xlfn.IFS(tbl_HR_Data[[#This Row],[Attrition_Risk_Percentage]] &gt;= 0.75, "Critical",tbl_HR_Data[ [#This Row],[Attrition_Risk_Percentage] ]&gt;= 0.5, "High",tbl_HR_Data[[#This Row],[Attrition_Risk_Percentage]] &gt;= 0.25, "Medium",TRUE, "Low")</f>
        <v>Low</v>
      </c>
      <c r="AR419" s="16" cm="1">
        <f t="array" ref="AR419">IFERROR(_xlfn.IFS(tbl_HR_Data[[#This Row],[Risk_Category]]="Critical",tbl_HR_Data[[#This Row],[MonthlyIncome]]*1.5,tbl_HR_Data[[#This Row],[Risk_Category]]="High",tbl_HR_Data[[#This Row],[MonthlyIncome]]*1.5),0)</f>
        <v>0</v>
      </c>
    </row>
    <row r="420" spans="1:44" x14ac:dyDescent="0.35">
      <c r="A420" t="s">
        <v>1462</v>
      </c>
      <c r="B420">
        <v>26</v>
      </c>
      <c r="C420" t="s">
        <v>31</v>
      </c>
      <c r="D420">
        <v>1349</v>
      </c>
      <c r="E420" t="s">
        <v>38</v>
      </c>
      <c r="F420">
        <v>23</v>
      </c>
      <c r="G420">
        <v>3</v>
      </c>
      <c r="H420" t="s">
        <v>33</v>
      </c>
      <c r="I420">
        <v>1</v>
      </c>
      <c r="J420" t="s">
        <v>34</v>
      </c>
      <c r="K420">
        <v>90</v>
      </c>
      <c r="L420">
        <v>3</v>
      </c>
      <c r="M420">
        <v>1</v>
      </c>
      <c r="N420" t="s">
        <v>40</v>
      </c>
      <c r="O420">
        <v>4</v>
      </c>
      <c r="P420" t="s">
        <v>45</v>
      </c>
      <c r="Q420">
        <v>2886</v>
      </c>
      <c r="R420">
        <v>3032</v>
      </c>
      <c r="S420">
        <v>1</v>
      </c>
      <c r="T420">
        <v>0</v>
      </c>
      <c r="U420" s="17">
        <v>0.22</v>
      </c>
      <c r="V420">
        <v>4</v>
      </c>
      <c r="W420">
        <v>2</v>
      </c>
      <c r="X420">
        <v>2</v>
      </c>
      <c r="Y420">
        <v>3</v>
      </c>
      <c r="Z420">
        <v>3</v>
      </c>
      <c r="AA420">
        <v>1</v>
      </c>
      <c r="AB420">
        <v>3</v>
      </c>
      <c r="AC420">
        <v>2</v>
      </c>
      <c r="AD420">
        <v>0</v>
      </c>
      <c r="AE420">
        <v>2</v>
      </c>
      <c r="AF420">
        <v>0</v>
      </c>
      <c r="AG420">
        <f>IF(tbl_HR_Data[[#This Row],[Gender]]="Male",1,0)</f>
        <v>0</v>
      </c>
      <c r="AH420" cm="1">
        <f t="array" ref="AH420">_xlfn.SWITCH(tbl_HR_Data[[#This Row],[BusinessTravel]], "Non-Travel", 0, "Travel_Rarely", 1, "Travel_Frequently", 2)</f>
        <v>1</v>
      </c>
      <c r="AI420" cm="1">
        <f t="array" ref="AI420">_xlfn.SWITCH(tbl_HR_Data[[#This Row],[MaritalStatus]],"Single",0,"Married",1,"Divorced",2)</f>
        <v>2</v>
      </c>
      <c r="AJ420">
        <f>IF(tbl_HR_Data[[#This Row],[OverTime]]=1,1,0)</f>
        <v>0</v>
      </c>
      <c r="AK420">
        <f>IF(tbl_HR_Data[[#This Row],[DistanceFromHome]]&gt;15,1,0)</f>
        <v>1</v>
      </c>
      <c r="AL420">
        <f>IF(tbl_HR_Data[[#This Row],[JobSatisfaction]]&lt;=2,1,0)</f>
        <v>0</v>
      </c>
      <c r="AM420">
        <f>IF(tbl_HR_Data[[#This Row],[MonthlyIncome]]&lt;$AT$2,1,0)</f>
        <v>1</v>
      </c>
      <c r="AN420">
        <f>IF(tbl_HR_Data[[#This Row],[Travel_Code]]=2,1,0)</f>
        <v>0</v>
      </c>
      <c r="AO420">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420" s="15">
        <f>tbl_HR_Data[[#This Row],[Risk_Score_Raw]] / SUM(Logic_Parameters!$B$2:$B$6)</f>
        <v>0.33282973125692844</v>
      </c>
      <c r="AQ420" s="16" t="str" cm="1">
        <f t="array" ref="AQ420">_xlfn.IFS(tbl_HR_Data[[#This Row],[Attrition_Risk_Percentage]] &gt;= 0.75, "Critical",tbl_HR_Data[ [#This Row],[Attrition_Risk_Percentage] ]&gt;= 0.5, "High",tbl_HR_Data[[#This Row],[Attrition_Risk_Percentage]] &gt;= 0.25, "Medium",TRUE, "Low")</f>
        <v>Medium</v>
      </c>
      <c r="AR420" s="16" cm="1">
        <f t="array" ref="AR420">IFERROR(_xlfn.IFS(tbl_HR_Data[[#This Row],[Risk_Category]]="Critical",tbl_HR_Data[[#This Row],[MonthlyIncome]]*1.5,tbl_HR_Data[[#This Row],[Risk_Category]]="High",tbl_HR_Data[[#This Row],[MonthlyIncome]]*1.5),0)</f>
        <v>0</v>
      </c>
    </row>
    <row r="421" spans="1:44" x14ac:dyDescent="0.35">
      <c r="A421" t="s">
        <v>738</v>
      </c>
      <c r="B421">
        <v>30</v>
      </c>
      <c r="C421" t="s">
        <v>1525</v>
      </c>
      <c r="D421">
        <v>1400</v>
      </c>
      <c r="E421" t="s">
        <v>38</v>
      </c>
      <c r="F421">
        <v>3</v>
      </c>
      <c r="G421">
        <v>3</v>
      </c>
      <c r="H421" t="s">
        <v>33</v>
      </c>
      <c r="I421">
        <v>3</v>
      </c>
      <c r="J421" t="s">
        <v>39</v>
      </c>
      <c r="K421">
        <v>53</v>
      </c>
      <c r="L421">
        <v>3</v>
      </c>
      <c r="M421">
        <v>1</v>
      </c>
      <c r="N421" t="s">
        <v>43</v>
      </c>
      <c r="O421">
        <v>4</v>
      </c>
      <c r="P421" t="s">
        <v>41</v>
      </c>
      <c r="Q421">
        <v>2097</v>
      </c>
      <c r="R421">
        <v>16734</v>
      </c>
      <c r="S421">
        <v>4</v>
      </c>
      <c r="T421">
        <v>0</v>
      </c>
      <c r="U421" s="17">
        <v>0.15</v>
      </c>
      <c r="V421">
        <v>3</v>
      </c>
      <c r="W421">
        <v>3</v>
      </c>
      <c r="X421">
        <v>1</v>
      </c>
      <c r="Y421">
        <v>9</v>
      </c>
      <c r="Z421">
        <v>3</v>
      </c>
      <c r="AA421">
        <v>1</v>
      </c>
      <c r="AB421">
        <v>5</v>
      </c>
      <c r="AC421">
        <v>3</v>
      </c>
      <c r="AD421">
        <v>1</v>
      </c>
      <c r="AE421">
        <v>4</v>
      </c>
      <c r="AF421">
        <v>0</v>
      </c>
      <c r="AG421">
        <f>IF(tbl_HR_Data[[#This Row],[Gender]]="Male",1,0)</f>
        <v>1</v>
      </c>
      <c r="AH421" cm="1">
        <f t="array" ref="AH421">_xlfn.SWITCH(tbl_HR_Data[[#This Row],[BusinessTravel]], "Non-Travel", 0, "Travel_Rarely", 1, "Travel_Frequently", 2)</f>
        <v>0</v>
      </c>
      <c r="AI421" cm="1">
        <f t="array" ref="AI421">_xlfn.SWITCH(tbl_HR_Data[[#This Row],[MaritalStatus]],"Single",0,"Married",1,"Divorced",2)</f>
        <v>1</v>
      </c>
      <c r="AJ421">
        <f>IF(tbl_HR_Data[[#This Row],[OverTime]]=1,1,0)</f>
        <v>0</v>
      </c>
      <c r="AK421">
        <f>IF(tbl_HR_Data[[#This Row],[DistanceFromHome]]&gt;15,1,0)</f>
        <v>0</v>
      </c>
      <c r="AL421">
        <f>IF(tbl_HR_Data[[#This Row],[JobSatisfaction]]&lt;=2,1,0)</f>
        <v>0</v>
      </c>
      <c r="AM421">
        <f>IF(tbl_HR_Data[[#This Row],[MonthlyIncome]]&lt;$AT$2,1,0)</f>
        <v>1</v>
      </c>
      <c r="AN421">
        <f>IF(tbl_HR_Data[[#This Row],[Travel_Code]]=2,1,0)</f>
        <v>0</v>
      </c>
      <c r="AO421">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421" s="15">
        <f>tbl_HR_Data[[#This Row],[Risk_Score_Raw]] / SUM(Logic_Parameters!$B$2:$B$6)</f>
        <v>0.22374939857982484</v>
      </c>
      <c r="AQ421" s="16" t="str" cm="1">
        <f t="array" ref="AQ421">_xlfn.IFS(tbl_HR_Data[[#This Row],[Attrition_Risk_Percentage]] &gt;= 0.75, "Critical",tbl_HR_Data[ [#This Row],[Attrition_Risk_Percentage] ]&gt;= 0.5, "High",tbl_HR_Data[[#This Row],[Attrition_Risk_Percentage]] &gt;= 0.25, "Medium",TRUE, "Low")</f>
        <v>Low</v>
      </c>
      <c r="AR421" s="16" cm="1">
        <f t="array" ref="AR421">IFERROR(_xlfn.IFS(tbl_HR_Data[[#This Row],[Risk_Category]]="Critical",tbl_HR_Data[[#This Row],[MonthlyIncome]]*1.5,tbl_HR_Data[[#This Row],[Risk_Category]]="High",tbl_HR_Data[[#This Row],[MonthlyIncome]]*1.5),0)</f>
        <v>0</v>
      </c>
    </row>
    <row r="422" spans="1:44" x14ac:dyDescent="0.35">
      <c r="A422" t="s">
        <v>1384</v>
      </c>
      <c r="B422">
        <v>29</v>
      </c>
      <c r="C422" t="s">
        <v>31</v>
      </c>
      <c r="D422">
        <v>986</v>
      </c>
      <c r="E422" t="s">
        <v>38</v>
      </c>
      <c r="F422">
        <v>3</v>
      </c>
      <c r="G422">
        <v>4</v>
      </c>
      <c r="H422" t="s">
        <v>44</v>
      </c>
      <c r="I422">
        <v>2</v>
      </c>
      <c r="J422" t="s">
        <v>39</v>
      </c>
      <c r="K422">
        <v>93</v>
      </c>
      <c r="L422">
        <v>2</v>
      </c>
      <c r="M422">
        <v>3</v>
      </c>
      <c r="N422" t="s">
        <v>50</v>
      </c>
      <c r="O422">
        <v>3</v>
      </c>
      <c r="P422" t="s">
        <v>41</v>
      </c>
      <c r="Q422">
        <v>11935</v>
      </c>
      <c r="R422">
        <v>21526</v>
      </c>
      <c r="S422">
        <v>1</v>
      </c>
      <c r="T422">
        <v>0</v>
      </c>
      <c r="U422" s="17">
        <v>0.18</v>
      </c>
      <c r="V422">
        <v>3</v>
      </c>
      <c r="W422">
        <v>3</v>
      </c>
      <c r="X422">
        <v>0</v>
      </c>
      <c r="Y422">
        <v>10</v>
      </c>
      <c r="Z422">
        <v>2</v>
      </c>
      <c r="AA422">
        <v>3</v>
      </c>
      <c r="AB422">
        <v>10</v>
      </c>
      <c r="AC422">
        <v>2</v>
      </c>
      <c r="AD422">
        <v>0</v>
      </c>
      <c r="AE422">
        <v>7</v>
      </c>
      <c r="AF422">
        <v>0</v>
      </c>
      <c r="AG422">
        <f>IF(tbl_HR_Data[[#This Row],[Gender]]="Male",1,0)</f>
        <v>1</v>
      </c>
      <c r="AH422" cm="1">
        <f t="array" ref="AH422">_xlfn.SWITCH(tbl_HR_Data[[#This Row],[BusinessTravel]], "Non-Travel", 0, "Travel_Rarely", 1, "Travel_Frequently", 2)</f>
        <v>1</v>
      </c>
      <c r="AI422" cm="1">
        <f t="array" ref="AI422">_xlfn.SWITCH(tbl_HR_Data[[#This Row],[MaritalStatus]],"Single",0,"Married",1,"Divorced",2)</f>
        <v>1</v>
      </c>
      <c r="AJ422">
        <f>IF(tbl_HR_Data[[#This Row],[OverTime]]=1,1,0)</f>
        <v>0</v>
      </c>
      <c r="AK422">
        <f>IF(tbl_HR_Data[[#This Row],[DistanceFromHome]]&gt;15,1,0)</f>
        <v>0</v>
      </c>
      <c r="AL422">
        <f>IF(tbl_HR_Data[[#This Row],[JobSatisfaction]]&lt;=2,1,0)</f>
        <v>0</v>
      </c>
      <c r="AM422">
        <f>IF(tbl_HR_Data[[#This Row],[MonthlyIncome]]&lt;$AT$2,1,0)</f>
        <v>0</v>
      </c>
      <c r="AN422">
        <f>IF(tbl_HR_Data[[#This Row],[Travel_Code]]=2,1,0)</f>
        <v>0</v>
      </c>
      <c r="AO422">
        <f>(tbl_HR_Data[[#This Row],[Flag_OT]] * Logic_Parameters!$B$2) +
 (tbl_HR_Data[[#This Row],[Flag_Travel]] * Logic_Parameters!$B$3) +
 (tbl_HR_Data[[#This Row],[Flag_Satisfaction]] * Logic_Parameters!$B$4) +
 (tbl_HR_Data[[#This Row],[Flag_Distance]]* Logic_Parameters!$B$5) +
 (tbl_HR_Data[[#This Row],[Flag_Income]] * Logic_Parameters!$B$6)</f>
        <v>0</v>
      </c>
      <c r="AP422" s="15">
        <f>tbl_HR_Data[[#This Row],[Risk_Score_Raw]] / SUM(Logic_Parameters!$B$2:$B$6)</f>
        <v>0</v>
      </c>
      <c r="AQ422" s="16" t="str" cm="1">
        <f t="array" ref="AQ422">_xlfn.IFS(tbl_HR_Data[[#This Row],[Attrition_Risk_Percentage]] &gt;= 0.75, "Critical",tbl_HR_Data[ [#This Row],[Attrition_Risk_Percentage] ]&gt;= 0.5, "High",tbl_HR_Data[[#This Row],[Attrition_Risk_Percentage]] &gt;= 0.25, "Medium",TRUE, "Low")</f>
        <v>Low</v>
      </c>
      <c r="AR422" s="16" cm="1">
        <f t="array" ref="AR422">IFERROR(_xlfn.IFS(tbl_HR_Data[[#This Row],[Risk_Category]]="Critical",tbl_HR_Data[[#This Row],[MonthlyIncome]]*1.5,tbl_HR_Data[[#This Row],[Risk_Category]]="High",tbl_HR_Data[[#This Row],[MonthlyIncome]]*1.5),0)</f>
        <v>0</v>
      </c>
    </row>
    <row r="423" spans="1:44" x14ac:dyDescent="0.35">
      <c r="A423" t="s">
        <v>1230</v>
      </c>
      <c r="B423">
        <v>29</v>
      </c>
      <c r="C423" t="s">
        <v>31</v>
      </c>
      <c r="D423">
        <v>408</v>
      </c>
      <c r="E423" t="s">
        <v>38</v>
      </c>
      <c r="F423">
        <v>25</v>
      </c>
      <c r="G423">
        <v>5</v>
      </c>
      <c r="H423" t="s">
        <v>52</v>
      </c>
      <c r="I423">
        <v>3</v>
      </c>
      <c r="J423" t="s">
        <v>34</v>
      </c>
      <c r="K423">
        <v>71</v>
      </c>
      <c r="L423">
        <v>2</v>
      </c>
      <c r="M423">
        <v>1</v>
      </c>
      <c r="N423" t="s">
        <v>40</v>
      </c>
      <c r="O423">
        <v>2</v>
      </c>
      <c r="P423" t="s">
        <v>41</v>
      </c>
      <c r="Q423">
        <v>2546</v>
      </c>
      <c r="R423">
        <v>18300</v>
      </c>
      <c r="S423">
        <v>5</v>
      </c>
      <c r="T423">
        <v>0</v>
      </c>
      <c r="U423" s="17">
        <v>0.16</v>
      </c>
      <c r="V423">
        <v>3</v>
      </c>
      <c r="W423">
        <v>2</v>
      </c>
      <c r="X423">
        <v>0</v>
      </c>
      <c r="Y423">
        <v>6</v>
      </c>
      <c r="Z423">
        <v>2</v>
      </c>
      <c r="AA423">
        <v>4</v>
      </c>
      <c r="AB423">
        <v>2</v>
      </c>
      <c r="AC423">
        <v>2</v>
      </c>
      <c r="AD423">
        <v>1</v>
      </c>
      <c r="AE423">
        <v>1</v>
      </c>
      <c r="AF423">
        <v>1</v>
      </c>
      <c r="AG423">
        <f>IF(tbl_HR_Data[[#This Row],[Gender]]="Male",1,0)</f>
        <v>0</v>
      </c>
      <c r="AH423" cm="1">
        <f t="array" ref="AH423">_xlfn.SWITCH(tbl_HR_Data[[#This Row],[BusinessTravel]], "Non-Travel", 0, "Travel_Rarely", 1, "Travel_Frequently", 2)</f>
        <v>1</v>
      </c>
      <c r="AI423" cm="1">
        <f t="array" ref="AI423">_xlfn.SWITCH(tbl_HR_Data[[#This Row],[MaritalStatus]],"Single",0,"Married",1,"Divorced",2)</f>
        <v>1</v>
      </c>
      <c r="AJ423">
        <f>IF(tbl_HR_Data[[#This Row],[OverTime]]=1,1,0)</f>
        <v>0</v>
      </c>
      <c r="AK423">
        <f>IF(tbl_HR_Data[[#This Row],[DistanceFromHome]]&gt;15,1,0)</f>
        <v>1</v>
      </c>
      <c r="AL423">
        <f>IF(tbl_HR_Data[[#This Row],[JobSatisfaction]]&lt;=2,1,0)</f>
        <v>1</v>
      </c>
      <c r="AM423">
        <f>IF(tbl_HR_Data[[#This Row],[MonthlyIncome]]&lt;$AT$2,1,0)</f>
        <v>1</v>
      </c>
      <c r="AN423">
        <f>IF(tbl_HR_Data[[#This Row],[Travel_Code]]=2,1,0)</f>
        <v>0</v>
      </c>
      <c r="AO423">
        <f>(tbl_HR_Data[[#This Row],[Flag_OT]] * Logic_Parameters!$B$2) +
 (tbl_HR_Data[[#This Row],[Flag_Travel]] * Logic_Parameters!$B$3) +
 (tbl_HR_Data[[#This Row],[Flag_Satisfaction]] * Logic_Parameters!$B$4) +
 (tbl_HR_Data[[#This Row],[Flag_Distance]]* Logic_Parameters!$B$5) +
 (tbl_HR_Data[[#This Row],[Flag_Income]] * Logic_Parameters!$B$6)</f>
        <v>13.865068763274337</v>
      </c>
      <c r="AP423" s="15">
        <f>tbl_HR_Data[[#This Row],[Risk_Score_Raw]] / SUM(Logic_Parameters!$B$2:$B$6)</f>
        <v>0.47768646434409739</v>
      </c>
      <c r="AQ423" s="16" t="str" cm="1">
        <f t="array" ref="AQ423">_xlfn.IFS(tbl_HR_Data[[#This Row],[Attrition_Risk_Percentage]] &gt;= 0.75, "Critical",tbl_HR_Data[ [#This Row],[Attrition_Risk_Percentage] ]&gt;= 0.5, "High",tbl_HR_Data[[#This Row],[Attrition_Risk_Percentage]] &gt;= 0.25, "Medium",TRUE, "Low")</f>
        <v>Medium</v>
      </c>
      <c r="AR423" s="16" cm="1">
        <f t="array" ref="AR423">IFERROR(_xlfn.IFS(tbl_HR_Data[[#This Row],[Risk_Category]]="Critical",tbl_HR_Data[[#This Row],[MonthlyIncome]]*1.5,tbl_HR_Data[[#This Row],[Risk_Category]]="High",tbl_HR_Data[[#This Row],[MonthlyIncome]]*1.5),0)</f>
        <v>0</v>
      </c>
    </row>
    <row r="424" spans="1:44" x14ac:dyDescent="0.35">
      <c r="A424" t="s">
        <v>252</v>
      </c>
      <c r="B424">
        <v>19</v>
      </c>
      <c r="C424" t="s">
        <v>31</v>
      </c>
      <c r="D424">
        <v>489</v>
      </c>
      <c r="E424" t="s">
        <v>53</v>
      </c>
      <c r="F424">
        <v>2</v>
      </c>
      <c r="G424">
        <v>2</v>
      </c>
      <c r="H424" t="s">
        <v>52</v>
      </c>
      <c r="I424">
        <v>1</v>
      </c>
      <c r="J424" t="s">
        <v>39</v>
      </c>
      <c r="K424">
        <v>52</v>
      </c>
      <c r="L424">
        <v>2</v>
      </c>
      <c r="M424">
        <v>1</v>
      </c>
      <c r="N424" t="s">
        <v>53</v>
      </c>
      <c r="O424">
        <v>4</v>
      </c>
      <c r="P424" t="s">
        <v>36</v>
      </c>
      <c r="Q424">
        <v>2564</v>
      </c>
      <c r="R424">
        <v>18437</v>
      </c>
      <c r="S424">
        <v>1</v>
      </c>
      <c r="T424">
        <v>0</v>
      </c>
      <c r="U424" s="17">
        <v>0.12</v>
      </c>
      <c r="V424">
        <v>3</v>
      </c>
      <c r="W424">
        <v>3</v>
      </c>
      <c r="X424">
        <v>0</v>
      </c>
      <c r="Y424">
        <v>1</v>
      </c>
      <c r="Z424">
        <v>3</v>
      </c>
      <c r="AA424">
        <v>4</v>
      </c>
      <c r="AB424">
        <v>1</v>
      </c>
      <c r="AC424">
        <v>0</v>
      </c>
      <c r="AD424">
        <v>0</v>
      </c>
      <c r="AE424">
        <v>0</v>
      </c>
      <c r="AF424">
        <v>1</v>
      </c>
      <c r="AG424">
        <f>IF(tbl_HR_Data[[#This Row],[Gender]]="Male",1,0)</f>
        <v>1</v>
      </c>
      <c r="AH424" cm="1">
        <f t="array" ref="AH424">_xlfn.SWITCH(tbl_HR_Data[[#This Row],[BusinessTravel]], "Non-Travel", 0, "Travel_Rarely", 1, "Travel_Frequently", 2)</f>
        <v>1</v>
      </c>
      <c r="AI424" cm="1">
        <f t="array" ref="AI424">_xlfn.SWITCH(tbl_HR_Data[[#This Row],[MaritalStatus]],"Single",0,"Married",1,"Divorced",2)</f>
        <v>0</v>
      </c>
      <c r="AJ424">
        <f>IF(tbl_HR_Data[[#This Row],[OverTime]]=1,1,0)</f>
        <v>0</v>
      </c>
      <c r="AK424">
        <f>IF(tbl_HR_Data[[#This Row],[DistanceFromHome]]&gt;15,1,0)</f>
        <v>0</v>
      </c>
      <c r="AL424">
        <f>IF(tbl_HR_Data[[#This Row],[JobSatisfaction]]&lt;=2,1,0)</f>
        <v>0</v>
      </c>
      <c r="AM424">
        <f>IF(tbl_HR_Data[[#This Row],[MonthlyIncome]]&lt;$AT$2,1,0)</f>
        <v>1</v>
      </c>
      <c r="AN424">
        <f>IF(tbl_HR_Data[[#This Row],[Travel_Code]]=2,1,0)</f>
        <v>0</v>
      </c>
      <c r="AO424">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424" s="15">
        <f>tbl_HR_Data[[#This Row],[Risk_Score_Raw]] / SUM(Logic_Parameters!$B$2:$B$6)</f>
        <v>0.22374939857982484</v>
      </c>
      <c r="AQ424" s="16" t="str" cm="1">
        <f t="array" ref="AQ424">_xlfn.IFS(tbl_HR_Data[[#This Row],[Attrition_Risk_Percentage]] &gt;= 0.75, "Critical",tbl_HR_Data[ [#This Row],[Attrition_Risk_Percentage] ]&gt;= 0.5, "High",tbl_HR_Data[[#This Row],[Attrition_Risk_Percentage]] &gt;= 0.25, "Medium",TRUE, "Low")</f>
        <v>Low</v>
      </c>
      <c r="AR424" s="16" cm="1">
        <f t="array" ref="AR424">IFERROR(_xlfn.IFS(tbl_HR_Data[[#This Row],[Risk_Category]]="Critical",tbl_HR_Data[[#This Row],[MonthlyIncome]]*1.5,tbl_HR_Data[[#This Row],[Risk_Category]]="High",tbl_HR_Data[[#This Row],[MonthlyIncome]]*1.5),0)</f>
        <v>0</v>
      </c>
    </row>
    <row r="425" spans="1:44" x14ac:dyDescent="0.35">
      <c r="A425" t="s">
        <v>1393</v>
      </c>
      <c r="B425">
        <v>30</v>
      </c>
      <c r="C425" t="s">
        <v>1525</v>
      </c>
      <c r="D425">
        <v>1398</v>
      </c>
      <c r="E425" t="s">
        <v>32</v>
      </c>
      <c r="F425">
        <v>22</v>
      </c>
      <c r="G425">
        <v>4</v>
      </c>
      <c r="H425" t="s">
        <v>42</v>
      </c>
      <c r="I425">
        <v>3</v>
      </c>
      <c r="J425" t="s">
        <v>34</v>
      </c>
      <c r="K425">
        <v>69</v>
      </c>
      <c r="L425">
        <v>3</v>
      </c>
      <c r="M425">
        <v>3</v>
      </c>
      <c r="N425" t="s">
        <v>35</v>
      </c>
      <c r="O425">
        <v>1</v>
      </c>
      <c r="P425" t="s">
        <v>41</v>
      </c>
      <c r="Q425">
        <v>8412</v>
      </c>
      <c r="R425">
        <v>2890</v>
      </c>
      <c r="S425">
        <v>0</v>
      </c>
      <c r="T425">
        <v>0</v>
      </c>
      <c r="U425" s="17">
        <v>0.11</v>
      </c>
      <c r="V425">
        <v>3</v>
      </c>
      <c r="W425">
        <v>3</v>
      </c>
      <c r="X425">
        <v>0</v>
      </c>
      <c r="Y425">
        <v>10</v>
      </c>
      <c r="Z425">
        <v>3</v>
      </c>
      <c r="AA425">
        <v>3</v>
      </c>
      <c r="AB425">
        <v>9</v>
      </c>
      <c r="AC425">
        <v>8</v>
      </c>
      <c r="AD425">
        <v>7</v>
      </c>
      <c r="AE425">
        <v>8</v>
      </c>
      <c r="AF425">
        <v>0</v>
      </c>
      <c r="AG425">
        <f>IF(tbl_HR_Data[[#This Row],[Gender]]="Male",1,0)</f>
        <v>0</v>
      </c>
      <c r="AH425" cm="1">
        <f t="array" ref="AH425">_xlfn.SWITCH(tbl_HR_Data[[#This Row],[BusinessTravel]], "Non-Travel", 0, "Travel_Rarely", 1, "Travel_Frequently", 2)</f>
        <v>0</v>
      </c>
      <c r="AI425" cm="1">
        <f t="array" ref="AI425">_xlfn.SWITCH(tbl_HR_Data[[#This Row],[MaritalStatus]],"Single",0,"Married",1,"Divorced",2)</f>
        <v>1</v>
      </c>
      <c r="AJ425">
        <f>IF(tbl_HR_Data[[#This Row],[OverTime]]=1,1,0)</f>
        <v>0</v>
      </c>
      <c r="AK425">
        <f>IF(tbl_HR_Data[[#This Row],[DistanceFromHome]]&gt;15,1,0)</f>
        <v>1</v>
      </c>
      <c r="AL425">
        <f>IF(tbl_HR_Data[[#This Row],[JobSatisfaction]]&lt;=2,1,0)</f>
        <v>1</v>
      </c>
      <c r="AM425">
        <f>IF(tbl_HR_Data[[#This Row],[MonthlyIncome]]&lt;$AT$2,1,0)</f>
        <v>0</v>
      </c>
      <c r="AN425">
        <f>IF(tbl_HR_Data[[#This Row],[Travel_Code]]=2,1,0)</f>
        <v>0</v>
      </c>
      <c r="AO425">
        <f>(tbl_HR_Data[[#This Row],[Flag_OT]] * Logic_Parameters!$B$2) +
 (tbl_HR_Data[[#This Row],[Flag_Travel]] * Logic_Parameters!$B$3) +
 (tbl_HR_Data[[#This Row],[Flag_Satisfaction]] * Logic_Parameters!$B$4) +
 (tbl_HR_Data[[#This Row],[Flag_Distance]]* Logic_Parameters!$B$5) +
 (tbl_HR_Data[[#This Row],[Flag_Income]] * Logic_Parameters!$B$6)</f>
        <v>7.3706398258535089</v>
      </c>
      <c r="AP425" s="15">
        <f>tbl_HR_Data[[#This Row],[Risk_Score_Raw]] / SUM(Logic_Parameters!$B$2:$B$6)</f>
        <v>0.25393706576427255</v>
      </c>
      <c r="AQ425" s="16" t="str" cm="1">
        <f t="array" ref="AQ425">_xlfn.IFS(tbl_HR_Data[[#This Row],[Attrition_Risk_Percentage]] &gt;= 0.75, "Critical",tbl_HR_Data[ [#This Row],[Attrition_Risk_Percentage] ]&gt;= 0.5, "High",tbl_HR_Data[[#This Row],[Attrition_Risk_Percentage]] &gt;= 0.25, "Medium",TRUE, "Low")</f>
        <v>Medium</v>
      </c>
      <c r="AR425" s="16" cm="1">
        <f t="array" ref="AR425">IFERROR(_xlfn.IFS(tbl_HR_Data[[#This Row],[Risk_Category]]="Critical",tbl_HR_Data[[#This Row],[MonthlyIncome]]*1.5,tbl_HR_Data[[#This Row],[Risk_Category]]="High",tbl_HR_Data[[#This Row],[MonthlyIncome]]*1.5),0)</f>
        <v>0</v>
      </c>
    </row>
    <row r="426" spans="1:44" x14ac:dyDescent="0.35">
      <c r="A426" t="s">
        <v>1065</v>
      </c>
      <c r="B426">
        <v>57</v>
      </c>
      <c r="C426" t="s">
        <v>31</v>
      </c>
      <c r="D426">
        <v>210</v>
      </c>
      <c r="E426" t="s">
        <v>32</v>
      </c>
      <c r="F426">
        <v>29</v>
      </c>
      <c r="G426">
        <v>3</v>
      </c>
      <c r="H426" t="s">
        <v>51</v>
      </c>
      <c r="I426">
        <v>1</v>
      </c>
      <c r="J426" t="s">
        <v>39</v>
      </c>
      <c r="K426">
        <v>56</v>
      </c>
      <c r="L426">
        <v>2</v>
      </c>
      <c r="M426">
        <v>4</v>
      </c>
      <c r="N426" t="s">
        <v>48</v>
      </c>
      <c r="O426">
        <v>4</v>
      </c>
      <c r="P426" t="s">
        <v>45</v>
      </c>
      <c r="Q426">
        <v>14118</v>
      </c>
      <c r="R426">
        <v>22102</v>
      </c>
      <c r="S426">
        <v>3</v>
      </c>
      <c r="T426">
        <v>0</v>
      </c>
      <c r="U426" s="17">
        <v>0.12</v>
      </c>
      <c r="V426">
        <v>3</v>
      </c>
      <c r="W426">
        <v>3</v>
      </c>
      <c r="X426">
        <v>1</v>
      </c>
      <c r="Y426">
        <v>32</v>
      </c>
      <c r="Z426">
        <v>3</v>
      </c>
      <c r="AA426">
        <v>2</v>
      </c>
      <c r="AB426">
        <v>1</v>
      </c>
      <c r="AC426">
        <v>0</v>
      </c>
      <c r="AD426">
        <v>0</v>
      </c>
      <c r="AE426">
        <v>0</v>
      </c>
      <c r="AF426">
        <v>0</v>
      </c>
      <c r="AG426">
        <f>IF(tbl_HR_Data[[#This Row],[Gender]]="Male",1,0)</f>
        <v>1</v>
      </c>
      <c r="AH426" cm="1">
        <f t="array" ref="AH426">_xlfn.SWITCH(tbl_HR_Data[[#This Row],[BusinessTravel]], "Non-Travel", 0, "Travel_Rarely", 1, "Travel_Frequently", 2)</f>
        <v>1</v>
      </c>
      <c r="AI426" cm="1">
        <f t="array" ref="AI426">_xlfn.SWITCH(tbl_HR_Data[[#This Row],[MaritalStatus]],"Single",0,"Married",1,"Divorced",2)</f>
        <v>2</v>
      </c>
      <c r="AJ426">
        <f>IF(tbl_HR_Data[[#This Row],[OverTime]]=1,1,0)</f>
        <v>0</v>
      </c>
      <c r="AK426">
        <f>IF(tbl_HR_Data[[#This Row],[DistanceFromHome]]&gt;15,1,0)</f>
        <v>1</v>
      </c>
      <c r="AL426">
        <f>IF(tbl_HR_Data[[#This Row],[JobSatisfaction]]&lt;=2,1,0)</f>
        <v>0</v>
      </c>
      <c r="AM426">
        <f>IF(tbl_HR_Data[[#This Row],[MonthlyIncome]]&lt;$AT$2,1,0)</f>
        <v>0</v>
      </c>
      <c r="AN426">
        <f>IF(tbl_HR_Data[[#This Row],[Travel_Code]]=2,1,0)</f>
        <v>0</v>
      </c>
      <c r="AO426">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426" s="15">
        <f>tbl_HR_Data[[#This Row],[Risk_Score_Raw]] / SUM(Logic_Parameters!$B$2:$B$6)</f>
        <v>0.10908033267710357</v>
      </c>
      <c r="AQ426" s="16" t="str" cm="1">
        <f t="array" ref="AQ426">_xlfn.IFS(tbl_HR_Data[[#This Row],[Attrition_Risk_Percentage]] &gt;= 0.75, "Critical",tbl_HR_Data[ [#This Row],[Attrition_Risk_Percentage] ]&gt;= 0.5, "High",tbl_HR_Data[[#This Row],[Attrition_Risk_Percentage]] &gt;= 0.25, "Medium",TRUE, "Low")</f>
        <v>Low</v>
      </c>
      <c r="AR426" s="16" cm="1">
        <f t="array" ref="AR426">IFERROR(_xlfn.IFS(tbl_HR_Data[[#This Row],[Risk_Category]]="Critical",tbl_HR_Data[[#This Row],[MonthlyIncome]]*1.5,tbl_HR_Data[[#This Row],[Risk_Category]]="High",tbl_HR_Data[[#This Row],[MonthlyIncome]]*1.5),0)</f>
        <v>0</v>
      </c>
    </row>
    <row r="427" spans="1:44" x14ac:dyDescent="0.35">
      <c r="A427" t="s">
        <v>1112</v>
      </c>
      <c r="B427">
        <v>50</v>
      </c>
      <c r="C427" t="s">
        <v>31</v>
      </c>
      <c r="D427">
        <v>1099</v>
      </c>
      <c r="E427" t="s">
        <v>38</v>
      </c>
      <c r="F427">
        <v>29</v>
      </c>
      <c r="G427">
        <v>4</v>
      </c>
      <c r="H427" t="s">
        <v>33</v>
      </c>
      <c r="I427">
        <v>2</v>
      </c>
      <c r="J427" t="s">
        <v>39</v>
      </c>
      <c r="K427">
        <v>88</v>
      </c>
      <c r="L427">
        <v>2</v>
      </c>
      <c r="M427">
        <v>4</v>
      </c>
      <c r="N427" t="s">
        <v>48</v>
      </c>
      <c r="O427">
        <v>3</v>
      </c>
      <c r="P427" t="s">
        <v>41</v>
      </c>
      <c r="Q427">
        <v>17046</v>
      </c>
      <c r="R427">
        <v>9314</v>
      </c>
      <c r="S427">
        <v>0</v>
      </c>
      <c r="T427">
        <v>0</v>
      </c>
      <c r="U427" s="17">
        <v>0.15</v>
      </c>
      <c r="V427">
        <v>3</v>
      </c>
      <c r="W427">
        <v>2</v>
      </c>
      <c r="X427">
        <v>1</v>
      </c>
      <c r="Y427">
        <v>28</v>
      </c>
      <c r="Z427">
        <v>2</v>
      </c>
      <c r="AA427">
        <v>3</v>
      </c>
      <c r="AB427">
        <v>27</v>
      </c>
      <c r="AC427">
        <v>10</v>
      </c>
      <c r="AD427">
        <v>15</v>
      </c>
      <c r="AE427">
        <v>7</v>
      </c>
      <c r="AF427">
        <v>0</v>
      </c>
      <c r="AG427">
        <f>IF(tbl_HR_Data[[#This Row],[Gender]]="Male",1,0)</f>
        <v>1</v>
      </c>
      <c r="AH427" cm="1">
        <f t="array" ref="AH427">_xlfn.SWITCH(tbl_HR_Data[[#This Row],[BusinessTravel]], "Non-Travel", 0, "Travel_Rarely", 1, "Travel_Frequently", 2)</f>
        <v>1</v>
      </c>
      <c r="AI427" cm="1">
        <f t="array" ref="AI427">_xlfn.SWITCH(tbl_HR_Data[[#This Row],[MaritalStatus]],"Single",0,"Married",1,"Divorced",2)</f>
        <v>1</v>
      </c>
      <c r="AJ427">
        <f>IF(tbl_HR_Data[[#This Row],[OverTime]]=1,1,0)</f>
        <v>0</v>
      </c>
      <c r="AK427">
        <f>IF(tbl_HR_Data[[#This Row],[DistanceFromHome]]&gt;15,1,0)</f>
        <v>1</v>
      </c>
      <c r="AL427">
        <f>IF(tbl_HR_Data[[#This Row],[JobSatisfaction]]&lt;=2,1,0)</f>
        <v>0</v>
      </c>
      <c r="AM427">
        <f>IF(tbl_HR_Data[[#This Row],[MonthlyIncome]]&lt;$AT$2,1,0)</f>
        <v>0</v>
      </c>
      <c r="AN427">
        <f>IF(tbl_HR_Data[[#This Row],[Travel_Code]]=2,1,0)</f>
        <v>0</v>
      </c>
      <c r="AO427">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427" s="15">
        <f>tbl_HR_Data[[#This Row],[Risk_Score_Raw]] / SUM(Logic_Parameters!$B$2:$B$6)</f>
        <v>0.10908033267710357</v>
      </c>
      <c r="AQ427" s="16" t="str" cm="1">
        <f t="array" ref="AQ427">_xlfn.IFS(tbl_HR_Data[[#This Row],[Attrition_Risk_Percentage]] &gt;= 0.75, "Critical",tbl_HR_Data[ [#This Row],[Attrition_Risk_Percentage] ]&gt;= 0.5, "High",tbl_HR_Data[[#This Row],[Attrition_Risk_Percentage]] &gt;= 0.25, "Medium",TRUE, "Low")</f>
        <v>Low</v>
      </c>
      <c r="AR427" s="16" cm="1">
        <f t="array" ref="AR427">IFERROR(_xlfn.IFS(tbl_HR_Data[[#This Row],[Risk_Category]]="Critical",tbl_HR_Data[[#This Row],[MonthlyIncome]]*1.5,tbl_HR_Data[[#This Row],[Risk_Category]]="High",tbl_HR_Data[[#This Row],[MonthlyIncome]]*1.5),0)</f>
        <v>0</v>
      </c>
    </row>
    <row r="428" spans="1:44" x14ac:dyDescent="0.35">
      <c r="A428" t="s">
        <v>350</v>
      </c>
      <c r="B428">
        <v>30</v>
      </c>
      <c r="C428" t="s">
        <v>1525</v>
      </c>
      <c r="D428">
        <v>1116</v>
      </c>
      <c r="E428" t="s">
        <v>38</v>
      </c>
      <c r="F428">
        <v>2</v>
      </c>
      <c r="G428">
        <v>3</v>
      </c>
      <c r="H428" t="s">
        <v>44</v>
      </c>
      <c r="I428">
        <v>3</v>
      </c>
      <c r="J428" t="s">
        <v>34</v>
      </c>
      <c r="K428">
        <v>49</v>
      </c>
      <c r="L428">
        <v>3</v>
      </c>
      <c r="M428">
        <v>1</v>
      </c>
      <c r="N428" t="s">
        <v>43</v>
      </c>
      <c r="O428">
        <v>4</v>
      </c>
      <c r="P428" t="s">
        <v>36</v>
      </c>
      <c r="Q428">
        <v>2564</v>
      </c>
      <c r="R428">
        <v>7181</v>
      </c>
      <c r="S428">
        <v>0</v>
      </c>
      <c r="T428">
        <v>0</v>
      </c>
      <c r="U428" s="17">
        <v>0.14000000000000001</v>
      </c>
      <c r="V428">
        <v>3</v>
      </c>
      <c r="W428">
        <v>3</v>
      </c>
      <c r="X428">
        <v>0</v>
      </c>
      <c r="Y428">
        <v>12</v>
      </c>
      <c r="Z428">
        <v>2</v>
      </c>
      <c r="AA428">
        <v>2</v>
      </c>
      <c r="AB428">
        <v>11</v>
      </c>
      <c r="AC428">
        <v>7</v>
      </c>
      <c r="AD428">
        <v>6</v>
      </c>
      <c r="AE428">
        <v>7</v>
      </c>
      <c r="AF428">
        <v>0</v>
      </c>
      <c r="AG428">
        <f>IF(tbl_HR_Data[[#This Row],[Gender]]="Male",1,0)</f>
        <v>0</v>
      </c>
      <c r="AH428" cm="1">
        <f t="array" ref="AH428">_xlfn.SWITCH(tbl_HR_Data[[#This Row],[BusinessTravel]], "Non-Travel", 0, "Travel_Rarely", 1, "Travel_Frequently", 2)</f>
        <v>0</v>
      </c>
      <c r="AI428" cm="1">
        <f t="array" ref="AI428">_xlfn.SWITCH(tbl_HR_Data[[#This Row],[MaritalStatus]],"Single",0,"Married",1,"Divorced",2)</f>
        <v>0</v>
      </c>
      <c r="AJ428">
        <f>IF(tbl_HR_Data[[#This Row],[OverTime]]=1,1,0)</f>
        <v>0</v>
      </c>
      <c r="AK428">
        <f>IF(tbl_HR_Data[[#This Row],[DistanceFromHome]]&gt;15,1,0)</f>
        <v>0</v>
      </c>
      <c r="AL428">
        <f>IF(tbl_HR_Data[[#This Row],[JobSatisfaction]]&lt;=2,1,0)</f>
        <v>0</v>
      </c>
      <c r="AM428">
        <f>IF(tbl_HR_Data[[#This Row],[MonthlyIncome]]&lt;$AT$2,1,0)</f>
        <v>1</v>
      </c>
      <c r="AN428">
        <f>IF(tbl_HR_Data[[#This Row],[Travel_Code]]=2,1,0)</f>
        <v>0</v>
      </c>
      <c r="AO428">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428" s="15">
        <f>tbl_HR_Data[[#This Row],[Risk_Score_Raw]] / SUM(Logic_Parameters!$B$2:$B$6)</f>
        <v>0.22374939857982484</v>
      </c>
      <c r="AQ428" s="16" t="str" cm="1">
        <f t="array" ref="AQ428">_xlfn.IFS(tbl_HR_Data[[#This Row],[Attrition_Risk_Percentage]] &gt;= 0.75, "Critical",tbl_HR_Data[ [#This Row],[Attrition_Risk_Percentage] ]&gt;= 0.5, "High",tbl_HR_Data[[#This Row],[Attrition_Risk_Percentage]] &gt;= 0.25, "Medium",TRUE, "Low")</f>
        <v>Low</v>
      </c>
      <c r="AR428" s="16" cm="1">
        <f t="array" ref="AR428">IFERROR(_xlfn.IFS(tbl_HR_Data[[#This Row],[Risk_Category]]="Critical",tbl_HR_Data[[#This Row],[MonthlyIncome]]*1.5,tbl_HR_Data[[#This Row],[Risk_Category]]="High",tbl_HR_Data[[#This Row],[MonthlyIncome]]*1.5),0)</f>
        <v>0</v>
      </c>
    </row>
    <row r="429" spans="1:44" x14ac:dyDescent="0.35">
      <c r="A429" t="s">
        <v>326</v>
      </c>
      <c r="B429">
        <v>60</v>
      </c>
      <c r="C429" t="s">
        <v>37</v>
      </c>
      <c r="D429">
        <v>1499</v>
      </c>
      <c r="E429" t="s">
        <v>32</v>
      </c>
      <c r="F429">
        <v>28</v>
      </c>
      <c r="G429">
        <v>3</v>
      </c>
      <c r="H429" t="s">
        <v>51</v>
      </c>
      <c r="I429">
        <v>3</v>
      </c>
      <c r="J429" t="s">
        <v>34</v>
      </c>
      <c r="K429">
        <v>80</v>
      </c>
      <c r="L429">
        <v>2</v>
      </c>
      <c r="M429">
        <v>3</v>
      </c>
      <c r="N429" t="s">
        <v>35</v>
      </c>
      <c r="O429">
        <v>1</v>
      </c>
      <c r="P429" t="s">
        <v>41</v>
      </c>
      <c r="Q429">
        <v>10266</v>
      </c>
      <c r="R429">
        <v>2845</v>
      </c>
      <c r="S429">
        <v>4</v>
      </c>
      <c r="T429">
        <v>0</v>
      </c>
      <c r="U429" s="17">
        <v>0.19</v>
      </c>
      <c r="V429">
        <v>3</v>
      </c>
      <c r="W429">
        <v>4</v>
      </c>
      <c r="X429">
        <v>0</v>
      </c>
      <c r="Y429">
        <v>22</v>
      </c>
      <c r="Z429">
        <v>5</v>
      </c>
      <c r="AA429">
        <v>4</v>
      </c>
      <c r="AB429">
        <v>18</v>
      </c>
      <c r="AC429">
        <v>13</v>
      </c>
      <c r="AD429">
        <v>13</v>
      </c>
      <c r="AE429">
        <v>11</v>
      </c>
      <c r="AF429">
        <v>0</v>
      </c>
      <c r="AG429">
        <f>IF(tbl_HR_Data[[#This Row],[Gender]]="Male",1,0)</f>
        <v>0</v>
      </c>
      <c r="AH429" cm="1">
        <f t="array" ref="AH429">_xlfn.SWITCH(tbl_HR_Data[[#This Row],[BusinessTravel]], "Non-Travel", 0, "Travel_Rarely", 1, "Travel_Frequently", 2)</f>
        <v>2</v>
      </c>
      <c r="AI429" cm="1">
        <f t="array" ref="AI429">_xlfn.SWITCH(tbl_HR_Data[[#This Row],[MaritalStatus]],"Single",0,"Married",1,"Divorced",2)</f>
        <v>1</v>
      </c>
      <c r="AJ429">
        <f>IF(tbl_HR_Data[[#This Row],[OverTime]]=1,1,0)</f>
        <v>0</v>
      </c>
      <c r="AK429">
        <f>IF(tbl_HR_Data[[#This Row],[DistanceFromHome]]&gt;15,1,0)</f>
        <v>1</v>
      </c>
      <c r="AL429">
        <f>IF(tbl_HR_Data[[#This Row],[JobSatisfaction]]&lt;=2,1,0)</f>
        <v>1</v>
      </c>
      <c r="AM429">
        <f>IF(tbl_HR_Data[[#This Row],[MonthlyIncome]]&lt;$AT$2,1,0)</f>
        <v>0</v>
      </c>
      <c r="AN429">
        <f>IF(tbl_HR_Data[[#This Row],[Travel_Code]]=2,1,0)</f>
        <v>1</v>
      </c>
      <c r="AO429">
        <f>(tbl_HR_Data[[#This Row],[Flag_OT]] * Logic_Parameters!$B$2) +
 (tbl_HR_Data[[#This Row],[Flag_Travel]] * Logic_Parameters!$B$3) +
 (tbl_HR_Data[[#This Row],[Flag_Satisfaction]] * Logic_Parameters!$B$4) +
 (tbl_HR_Data[[#This Row],[Flag_Distance]]* Logic_Parameters!$B$5) +
 (tbl_HR_Data[[#This Row],[Flag_Income]] * Logic_Parameters!$B$6)</f>
        <v>12.531029806343685</v>
      </c>
      <c r="AP429" s="15">
        <f>tbl_HR_Data[[#This Row],[Risk_Score_Raw]] / SUM(Logic_Parameters!$B$2:$B$6)</f>
        <v>0.43172546959436786</v>
      </c>
      <c r="AQ429" s="16" t="str" cm="1">
        <f t="array" ref="AQ429">_xlfn.IFS(tbl_HR_Data[[#This Row],[Attrition_Risk_Percentage]] &gt;= 0.75, "Critical",tbl_HR_Data[ [#This Row],[Attrition_Risk_Percentage] ]&gt;= 0.5, "High",tbl_HR_Data[[#This Row],[Attrition_Risk_Percentage]] &gt;= 0.25, "Medium",TRUE, "Low")</f>
        <v>Medium</v>
      </c>
      <c r="AR429" s="16" cm="1">
        <f t="array" ref="AR429">IFERROR(_xlfn.IFS(tbl_HR_Data[[#This Row],[Risk_Category]]="Critical",tbl_HR_Data[[#This Row],[MonthlyIncome]]*1.5,tbl_HR_Data[[#This Row],[Risk_Category]]="High",tbl_HR_Data[[#This Row],[MonthlyIncome]]*1.5),0)</f>
        <v>0</v>
      </c>
    </row>
    <row r="430" spans="1:44" x14ac:dyDescent="0.35">
      <c r="A430" t="s">
        <v>1141</v>
      </c>
      <c r="B430">
        <v>47</v>
      </c>
      <c r="C430" t="s">
        <v>31</v>
      </c>
      <c r="D430">
        <v>983</v>
      </c>
      <c r="E430" t="s">
        <v>38</v>
      </c>
      <c r="F430">
        <v>2</v>
      </c>
      <c r="G430">
        <v>2</v>
      </c>
      <c r="H430" t="s">
        <v>44</v>
      </c>
      <c r="I430">
        <v>1</v>
      </c>
      <c r="J430" t="s">
        <v>34</v>
      </c>
      <c r="K430">
        <v>65</v>
      </c>
      <c r="L430">
        <v>3</v>
      </c>
      <c r="M430">
        <v>2</v>
      </c>
      <c r="N430" t="s">
        <v>46</v>
      </c>
      <c r="O430">
        <v>4</v>
      </c>
      <c r="P430" t="s">
        <v>45</v>
      </c>
      <c r="Q430">
        <v>5070</v>
      </c>
      <c r="R430">
        <v>7389</v>
      </c>
      <c r="S430">
        <v>5</v>
      </c>
      <c r="T430">
        <v>0</v>
      </c>
      <c r="U430" s="17">
        <v>0.13</v>
      </c>
      <c r="V430">
        <v>3</v>
      </c>
      <c r="W430">
        <v>3</v>
      </c>
      <c r="X430">
        <v>3</v>
      </c>
      <c r="Y430">
        <v>20</v>
      </c>
      <c r="Z430">
        <v>2</v>
      </c>
      <c r="AA430">
        <v>3</v>
      </c>
      <c r="AB430">
        <v>5</v>
      </c>
      <c r="AC430">
        <v>0</v>
      </c>
      <c r="AD430">
        <v>0</v>
      </c>
      <c r="AE430">
        <v>4</v>
      </c>
      <c r="AF430">
        <v>0</v>
      </c>
      <c r="AG430">
        <f>IF(tbl_HR_Data[[#This Row],[Gender]]="Male",1,0)</f>
        <v>0</v>
      </c>
      <c r="AH430" cm="1">
        <f t="array" ref="AH430">_xlfn.SWITCH(tbl_HR_Data[[#This Row],[BusinessTravel]], "Non-Travel", 0, "Travel_Rarely", 1, "Travel_Frequently", 2)</f>
        <v>1</v>
      </c>
      <c r="AI430" cm="1">
        <f t="array" ref="AI430">_xlfn.SWITCH(tbl_HR_Data[[#This Row],[MaritalStatus]],"Single",0,"Married",1,"Divorced",2)</f>
        <v>2</v>
      </c>
      <c r="AJ430">
        <f>IF(tbl_HR_Data[[#This Row],[OverTime]]=1,1,0)</f>
        <v>0</v>
      </c>
      <c r="AK430">
        <f>IF(tbl_HR_Data[[#This Row],[DistanceFromHome]]&gt;15,1,0)</f>
        <v>0</v>
      </c>
      <c r="AL430">
        <f>IF(tbl_HR_Data[[#This Row],[JobSatisfaction]]&lt;=2,1,0)</f>
        <v>0</v>
      </c>
      <c r="AM430">
        <f>IF(tbl_HR_Data[[#This Row],[MonthlyIncome]]&lt;$AT$2,1,0)</f>
        <v>0</v>
      </c>
      <c r="AN430">
        <f>IF(tbl_HR_Data[[#This Row],[Travel_Code]]=2,1,0)</f>
        <v>0</v>
      </c>
      <c r="AO430">
        <f>(tbl_HR_Data[[#This Row],[Flag_OT]] * Logic_Parameters!$B$2) +
 (tbl_HR_Data[[#This Row],[Flag_Travel]] * Logic_Parameters!$B$3) +
 (tbl_HR_Data[[#This Row],[Flag_Satisfaction]] * Logic_Parameters!$B$4) +
 (tbl_HR_Data[[#This Row],[Flag_Distance]]* Logic_Parameters!$B$5) +
 (tbl_HR_Data[[#This Row],[Flag_Income]] * Logic_Parameters!$B$6)</f>
        <v>0</v>
      </c>
      <c r="AP430" s="15">
        <f>tbl_HR_Data[[#This Row],[Risk_Score_Raw]] / SUM(Logic_Parameters!$B$2:$B$6)</f>
        <v>0</v>
      </c>
      <c r="AQ430" s="16" t="str" cm="1">
        <f t="array" ref="AQ430">_xlfn.IFS(tbl_HR_Data[[#This Row],[Attrition_Risk_Percentage]] &gt;= 0.75, "Critical",tbl_HR_Data[ [#This Row],[Attrition_Risk_Percentage] ]&gt;= 0.5, "High",tbl_HR_Data[[#This Row],[Attrition_Risk_Percentage]] &gt;= 0.25, "Medium",TRUE, "Low")</f>
        <v>Low</v>
      </c>
      <c r="AR430" s="16" cm="1">
        <f t="array" ref="AR430">IFERROR(_xlfn.IFS(tbl_HR_Data[[#This Row],[Risk_Category]]="Critical",tbl_HR_Data[[#This Row],[MonthlyIncome]]*1.5,tbl_HR_Data[[#This Row],[Risk_Category]]="High",tbl_HR_Data[[#This Row],[MonthlyIncome]]*1.5),0)</f>
        <v>0</v>
      </c>
    </row>
    <row r="431" spans="1:44" x14ac:dyDescent="0.35">
      <c r="A431" t="s">
        <v>1304</v>
      </c>
      <c r="B431">
        <v>46</v>
      </c>
      <c r="C431" t="s">
        <v>31</v>
      </c>
      <c r="D431">
        <v>1009</v>
      </c>
      <c r="E431" t="s">
        <v>38</v>
      </c>
      <c r="F431">
        <v>2</v>
      </c>
      <c r="G431">
        <v>3</v>
      </c>
      <c r="H431" t="s">
        <v>33</v>
      </c>
      <c r="I431">
        <v>1</v>
      </c>
      <c r="J431" t="s">
        <v>39</v>
      </c>
      <c r="K431">
        <v>51</v>
      </c>
      <c r="L431">
        <v>3</v>
      </c>
      <c r="M431">
        <v>4</v>
      </c>
      <c r="N431" t="s">
        <v>50</v>
      </c>
      <c r="O431">
        <v>3</v>
      </c>
      <c r="P431" t="s">
        <v>41</v>
      </c>
      <c r="Q431">
        <v>17861</v>
      </c>
      <c r="R431">
        <v>2288</v>
      </c>
      <c r="S431">
        <v>6</v>
      </c>
      <c r="T431">
        <v>0</v>
      </c>
      <c r="U431" s="17">
        <v>0.13</v>
      </c>
      <c r="V431">
        <v>3</v>
      </c>
      <c r="W431">
        <v>3</v>
      </c>
      <c r="X431">
        <v>0</v>
      </c>
      <c r="Y431">
        <v>26</v>
      </c>
      <c r="Z431">
        <v>2</v>
      </c>
      <c r="AA431">
        <v>1</v>
      </c>
      <c r="AB431">
        <v>3</v>
      </c>
      <c r="AC431">
        <v>2</v>
      </c>
      <c r="AD431">
        <v>0</v>
      </c>
      <c r="AE431">
        <v>1</v>
      </c>
      <c r="AF431">
        <v>0</v>
      </c>
      <c r="AG431">
        <f>IF(tbl_HR_Data[[#This Row],[Gender]]="Male",1,0)</f>
        <v>1</v>
      </c>
      <c r="AH431" cm="1">
        <f t="array" ref="AH431">_xlfn.SWITCH(tbl_HR_Data[[#This Row],[BusinessTravel]], "Non-Travel", 0, "Travel_Rarely", 1, "Travel_Frequently", 2)</f>
        <v>1</v>
      </c>
      <c r="AI431" cm="1">
        <f t="array" ref="AI431">_xlfn.SWITCH(tbl_HR_Data[[#This Row],[MaritalStatus]],"Single",0,"Married",1,"Divorced",2)</f>
        <v>1</v>
      </c>
      <c r="AJ431">
        <f>IF(tbl_HR_Data[[#This Row],[OverTime]]=1,1,0)</f>
        <v>0</v>
      </c>
      <c r="AK431">
        <f>IF(tbl_HR_Data[[#This Row],[DistanceFromHome]]&gt;15,1,0)</f>
        <v>0</v>
      </c>
      <c r="AL431">
        <f>IF(tbl_HR_Data[[#This Row],[JobSatisfaction]]&lt;=2,1,0)</f>
        <v>0</v>
      </c>
      <c r="AM431">
        <f>IF(tbl_HR_Data[[#This Row],[MonthlyIncome]]&lt;$AT$2,1,0)</f>
        <v>0</v>
      </c>
      <c r="AN431">
        <f>IF(tbl_HR_Data[[#This Row],[Travel_Code]]=2,1,0)</f>
        <v>0</v>
      </c>
      <c r="AO431">
        <f>(tbl_HR_Data[[#This Row],[Flag_OT]] * Logic_Parameters!$B$2) +
 (tbl_HR_Data[[#This Row],[Flag_Travel]] * Logic_Parameters!$B$3) +
 (tbl_HR_Data[[#This Row],[Flag_Satisfaction]] * Logic_Parameters!$B$4) +
 (tbl_HR_Data[[#This Row],[Flag_Distance]]* Logic_Parameters!$B$5) +
 (tbl_HR_Data[[#This Row],[Flag_Income]] * Logic_Parameters!$B$6)</f>
        <v>0</v>
      </c>
      <c r="AP431" s="15">
        <f>tbl_HR_Data[[#This Row],[Risk_Score_Raw]] / SUM(Logic_Parameters!$B$2:$B$6)</f>
        <v>0</v>
      </c>
      <c r="AQ431" s="16" t="str" cm="1">
        <f t="array" ref="AQ431">_xlfn.IFS(tbl_HR_Data[[#This Row],[Attrition_Risk_Percentage]] &gt;= 0.75, "Critical",tbl_HR_Data[ [#This Row],[Attrition_Risk_Percentage] ]&gt;= 0.5, "High",tbl_HR_Data[[#This Row],[Attrition_Risk_Percentage]] &gt;= 0.25, "Medium",TRUE, "Low")</f>
        <v>Low</v>
      </c>
      <c r="AR431" s="16" cm="1">
        <f t="array" ref="AR431">IFERROR(_xlfn.IFS(tbl_HR_Data[[#This Row],[Risk_Category]]="Critical",tbl_HR_Data[[#This Row],[MonthlyIncome]]*1.5,tbl_HR_Data[[#This Row],[Risk_Category]]="High",tbl_HR_Data[[#This Row],[MonthlyIncome]]*1.5),0)</f>
        <v>0</v>
      </c>
    </row>
    <row r="432" spans="1:44" x14ac:dyDescent="0.35">
      <c r="A432" t="s">
        <v>622</v>
      </c>
      <c r="B432">
        <v>35</v>
      </c>
      <c r="C432" t="s">
        <v>31</v>
      </c>
      <c r="D432">
        <v>144</v>
      </c>
      <c r="E432" t="s">
        <v>38</v>
      </c>
      <c r="F432">
        <v>22</v>
      </c>
      <c r="G432">
        <v>3</v>
      </c>
      <c r="H432" t="s">
        <v>33</v>
      </c>
      <c r="I432">
        <v>4</v>
      </c>
      <c r="J432" t="s">
        <v>39</v>
      </c>
      <c r="K432">
        <v>46</v>
      </c>
      <c r="L432">
        <v>1</v>
      </c>
      <c r="M432">
        <v>1</v>
      </c>
      <c r="N432" t="s">
        <v>43</v>
      </c>
      <c r="O432">
        <v>3</v>
      </c>
      <c r="P432" t="s">
        <v>36</v>
      </c>
      <c r="Q432">
        <v>4230</v>
      </c>
      <c r="R432">
        <v>19225</v>
      </c>
      <c r="S432">
        <v>0</v>
      </c>
      <c r="T432">
        <v>0</v>
      </c>
      <c r="U432" s="17">
        <v>0.15</v>
      </c>
      <c r="V432">
        <v>3</v>
      </c>
      <c r="W432">
        <v>3</v>
      </c>
      <c r="X432">
        <v>0</v>
      </c>
      <c r="Y432">
        <v>6</v>
      </c>
      <c r="Z432">
        <v>2</v>
      </c>
      <c r="AA432">
        <v>3</v>
      </c>
      <c r="AB432">
        <v>5</v>
      </c>
      <c r="AC432">
        <v>4</v>
      </c>
      <c r="AD432">
        <v>4</v>
      </c>
      <c r="AE432">
        <v>3</v>
      </c>
      <c r="AF432">
        <v>0</v>
      </c>
      <c r="AG432">
        <f>IF(tbl_HR_Data[[#This Row],[Gender]]="Male",1,0)</f>
        <v>1</v>
      </c>
      <c r="AH432" cm="1">
        <f t="array" ref="AH432">_xlfn.SWITCH(tbl_HR_Data[[#This Row],[BusinessTravel]], "Non-Travel", 0, "Travel_Rarely", 1, "Travel_Frequently", 2)</f>
        <v>1</v>
      </c>
      <c r="AI432" cm="1">
        <f t="array" ref="AI432">_xlfn.SWITCH(tbl_HR_Data[[#This Row],[MaritalStatus]],"Single",0,"Married",1,"Divorced",2)</f>
        <v>0</v>
      </c>
      <c r="AJ432">
        <f>IF(tbl_HR_Data[[#This Row],[OverTime]]=1,1,0)</f>
        <v>0</v>
      </c>
      <c r="AK432">
        <f>IF(tbl_HR_Data[[#This Row],[DistanceFromHome]]&gt;15,1,0)</f>
        <v>1</v>
      </c>
      <c r="AL432">
        <f>IF(tbl_HR_Data[[#This Row],[JobSatisfaction]]&lt;=2,1,0)</f>
        <v>0</v>
      </c>
      <c r="AM432">
        <f>IF(tbl_HR_Data[[#This Row],[MonthlyIncome]]&lt;$AT$2,1,0)</f>
        <v>1</v>
      </c>
      <c r="AN432">
        <f>IF(tbl_HR_Data[[#This Row],[Travel_Code]]=2,1,0)</f>
        <v>0</v>
      </c>
      <c r="AO432">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432" s="15">
        <f>tbl_HR_Data[[#This Row],[Risk_Score_Raw]] / SUM(Logic_Parameters!$B$2:$B$6)</f>
        <v>0.33282973125692844</v>
      </c>
      <c r="AQ432" s="16" t="str" cm="1">
        <f t="array" ref="AQ432">_xlfn.IFS(tbl_HR_Data[[#This Row],[Attrition_Risk_Percentage]] &gt;= 0.75, "Critical",tbl_HR_Data[ [#This Row],[Attrition_Risk_Percentage] ]&gt;= 0.5, "High",tbl_HR_Data[[#This Row],[Attrition_Risk_Percentage]] &gt;= 0.25, "Medium",TRUE, "Low")</f>
        <v>Medium</v>
      </c>
      <c r="AR432" s="16" cm="1">
        <f t="array" ref="AR432">IFERROR(_xlfn.IFS(tbl_HR_Data[[#This Row],[Risk_Category]]="Critical",tbl_HR_Data[[#This Row],[MonthlyIncome]]*1.5,tbl_HR_Data[[#This Row],[Risk_Category]]="High",tbl_HR_Data[[#This Row],[MonthlyIncome]]*1.5),0)</f>
        <v>0</v>
      </c>
    </row>
    <row r="433" spans="1:44" x14ac:dyDescent="0.35">
      <c r="A433" t="s">
        <v>1437</v>
      </c>
      <c r="B433">
        <v>54</v>
      </c>
      <c r="C433" t="s">
        <v>31</v>
      </c>
      <c r="D433">
        <v>548</v>
      </c>
      <c r="E433" t="s">
        <v>38</v>
      </c>
      <c r="F433">
        <v>8</v>
      </c>
      <c r="G433">
        <v>4</v>
      </c>
      <c r="H433" t="s">
        <v>33</v>
      </c>
      <c r="I433">
        <v>3</v>
      </c>
      <c r="J433" t="s">
        <v>34</v>
      </c>
      <c r="K433">
        <v>42</v>
      </c>
      <c r="L433">
        <v>3</v>
      </c>
      <c r="M433">
        <v>2</v>
      </c>
      <c r="N433" t="s">
        <v>43</v>
      </c>
      <c r="O433">
        <v>3</v>
      </c>
      <c r="P433" t="s">
        <v>36</v>
      </c>
      <c r="Q433">
        <v>3780</v>
      </c>
      <c r="R433">
        <v>23428</v>
      </c>
      <c r="S433">
        <v>7</v>
      </c>
      <c r="T433">
        <v>0</v>
      </c>
      <c r="U433" s="17">
        <v>0.11</v>
      </c>
      <c r="V433">
        <v>3</v>
      </c>
      <c r="W433">
        <v>3</v>
      </c>
      <c r="X433">
        <v>0</v>
      </c>
      <c r="Y433">
        <v>19</v>
      </c>
      <c r="Z433">
        <v>3</v>
      </c>
      <c r="AA433">
        <v>3</v>
      </c>
      <c r="AB433">
        <v>1</v>
      </c>
      <c r="AC433">
        <v>0</v>
      </c>
      <c r="AD433">
        <v>0</v>
      </c>
      <c r="AE433">
        <v>0</v>
      </c>
      <c r="AF433">
        <v>0</v>
      </c>
      <c r="AG433">
        <f>IF(tbl_HR_Data[[#This Row],[Gender]]="Male",1,0)</f>
        <v>0</v>
      </c>
      <c r="AH433" cm="1">
        <f t="array" ref="AH433">_xlfn.SWITCH(tbl_HR_Data[[#This Row],[BusinessTravel]], "Non-Travel", 0, "Travel_Rarely", 1, "Travel_Frequently", 2)</f>
        <v>1</v>
      </c>
      <c r="AI433" cm="1">
        <f t="array" ref="AI433">_xlfn.SWITCH(tbl_HR_Data[[#This Row],[MaritalStatus]],"Single",0,"Married",1,"Divorced",2)</f>
        <v>0</v>
      </c>
      <c r="AJ433">
        <f>IF(tbl_HR_Data[[#This Row],[OverTime]]=1,1,0)</f>
        <v>0</v>
      </c>
      <c r="AK433">
        <f>IF(tbl_HR_Data[[#This Row],[DistanceFromHome]]&gt;15,1,0)</f>
        <v>0</v>
      </c>
      <c r="AL433">
        <f>IF(tbl_HR_Data[[#This Row],[JobSatisfaction]]&lt;=2,1,0)</f>
        <v>0</v>
      </c>
      <c r="AM433">
        <f>IF(tbl_HR_Data[[#This Row],[MonthlyIncome]]&lt;$AT$2,1,0)</f>
        <v>1</v>
      </c>
      <c r="AN433">
        <f>IF(tbl_HR_Data[[#This Row],[Travel_Code]]=2,1,0)</f>
        <v>0</v>
      </c>
      <c r="AO433">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433" s="15">
        <f>tbl_HR_Data[[#This Row],[Risk_Score_Raw]] / SUM(Logic_Parameters!$B$2:$B$6)</f>
        <v>0.22374939857982484</v>
      </c>
      <c r="AQ433" s="16" t="str" cm="1">
        <f t="array" ref="AQ433">_xlfn.IFS(tbl_HR_Data[[#This Row],[Attrition_Risk_Percentage]] &gt;= 0.75, "Critical",tbl_HR_Data[ [#This Row],[Attrition_Risk_Percentage] ]&gt;= 0.5, "High",tbl_HR_Data[[#This Row],[Attrition_Risk_Percentage]] &gt;= 0.25, "Medium",TRUE, "Low")</f>
        <v>Low</v>
      </c>
      <c r="AR433" s="16" cm="1">
        <f t="array" ref="AR433">IFERROR(_xlfn.IFS(tbl_HR_Data[[#This Row],[Risk_Category]]="Critical",tbl_HR_Data[[#This Row],[MonthlyIncome]]*1.5,tbl_HR_Data[[#This Row],[Risk_Category]]="High",tbl_HR_Data[[#This Row],[MonthlyIncome]]*1.5),0)</f>
        <v>0</v>
      </c>
    </row>
    <row r="434" spans="1:44" x14ac:dyDescent="0.35">
      <c r="A434" t="s">
        <v>1416</v>
      </c>
      <c r="B434">
        <v>34</v>
      </c>
      <c r="C434" t="s">
        <v>31</v>
      </c>
      <c r="D434">
        <v>1303</v>
      </c>
      <c r="E434" t="s">
        <v>38</v>
      </c>
      <c r="F434">
        <v>2</v>
      </c>
      <c r="G434">
        <v>4</v>
      </c>
      <c r="H434" t="s">
        <v>33</v>
      </c>
      <c r="I434">
        <v>4</v>
      </c>
      <c r="J434" t="s">
        <v>39</v>
      </c>
      <c r="K434">
        <v>62</v>
      </c>
      <c r="L434">
        <v>2</v>
      </c>
      <c r="M434">
        <v>1</v>
      </c>
      <c r="N434" t="s">
        <v>40</v>
      </c>
      <c r="O434">
        <v>3</v>
      </c>
      <c r="P434" t="s">
        <v>45</v>
      </c>
      <c r="Q434">
        <v>2768</v>
      </c>
      <c r="R434">
        <v>8416</v>
      </c>
      <c r="S434">
        <v>3</v>
      </c>
      <c r="T434">
        <v>0</v>
      </c>
      <c r="U434" s="17">
        <v>0.12</v>
      </c>
      <c r="V434">
        <v>3</v>
      </c>
      <c r="W434">
        <v>3</v>
      </c>
      <c r="X434">
        <v>1</v>
      </c>
      <c r="Y434">
        <v>14</v>
      </c>
      <c r="Z434">
        <v>3</v>
      </c>
      <c r="AA434">
        <v>3</v>
      </c>
      <c r="AB434">
        <v>7</v>
      </c>
      <c r="AC434">
        <v>3</v>
      </c>
      <c r="AD434">
        <v>5</v>
      </c>
      <c r="AE434">
        <v>7</v>
      </c>
      <c r="AF434">
        <v>0</v>
      </c>
      <c r="AG434">
        <f>IF(tbl_HR_Data[[#This Row],[Gender]]="Male",1,0)</f>
        <v>1</v>
      </c>
      <c r="AH434" cm="1">
        <f t="array" ref="AH434">_xlfn.SWITCH(tbl_HR_Data[[#This Row],[BusinessTravel]], "Non-Travel", 0, "Travel_Rarely", 1, "Travel_Frequently", 2)</f>
        <v>1</v>
      </c>
      <c r="AI434" cm="1">
        <f t="array" ref="AI434">_xlfn.SWITCH(tbl_HR_Data[[#This Row],[MaritalStatus]],"Single",0,"Married",1,"Divorced",2)</f>
        <v>2</v>
      </c>
      <c r="AJ434">
        <f>IF(tbl_HR_Data[[#This Row],[OverTime]]=1,1,0)</f>
        <v>0</v>
      </c>
      <c r="AK434">
        <f>IF(tbl_HR_Data[[#This Row],[DistanceFromHome]]&gt;15,1,0)</f>
        <v>0</v>
      </c>
      <c r="AL434">
        <f>IF(tbl_HR_Data[[#This Row],[JobSatisfaction]]&lt;=2,1,0)</f>
        <v>0</v>
      </c>
      <c r="AM434">
        <f>IF(tbl_HR_Data[[#This Row],[MonthlyIncome]]&lt;$AT$2,1,0)</f>
        <v>1</v>
      </c>
      <c r="AN434">
        <f>IF(tbl_HR_Data[[#This Row],[Travel_Code]]=2,1,0)</f>
        <v>0</v>
      </c>
      <c r="AO434">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434" s="15">
        <f>tbl_HR_Data[[#This Row],[Risk_Score_Raw]] / SUM(Logic_Parameters!$B$2:$B$6)</f>
        <v>0.22374939857982484</v>
      </c>
      <c r="AQ434" s="16" t="str" cm="1">
        <f t="array" ref="AQ434">_xlfn.IFS(tbl_HR_Data[[#This Row],[Attrition_Risk_Percentage]] &gt;= 0.75, "Critical",tbl_HR_Data[ [#This Row],[Attrition_Risk_Percentage] ]&gt;= 0.5, "High",tbl_HR_Data[[#This Row],[Attrition_Risk_Percentage]] &gt;= 0.25, "Medium",TRUE, "Low")</f>
        <v>Low</v>
      </c>
      <c r="AR434" s="16" cm="1">
        <f t="array" ref="AR434">IFERROR(_xlfn.IFS(tbl_HR_Data[[#This Row],[Risk_Category]]="Critical",tbl_HR_Data[[#This Row],[MonthlyIncome]]*1.5,tbl_HR_Data[[#This Row],[Risk_Category]]="High",tbl_HR_Data[[#This Row],[MonthlyIncome]]*1.5),0)</f>
        <v>0</v>
      </c>
    </row>
    <row r="435" spans="1:44" x14ac:dyDescent="0.35">
      <c r="A435" t="s">
        <v>1035</v>
      </c>
      <c r="B435">
        <v>46</v>
      </c>
      <c r="C435" t="s">
        <v>31</v>
      </c>
      <c r="D435">
        <v>1125</v>
      </c>
      <c r="E435" t="s">
        <v>32</v>
      </c>
      <c r="F435">
        <v>10</v>
      </c>
      <c r="G435">
        <v>3</v>
      </c>
      <c r="H435" t="s">
        <v>51</v>
      </c>
      <c r="I435">
        <v>3</v>
      </c>
      <c r="J435" t="s">
        <v>34</v>
      </c>
      <c r="K435">
        <v>94</v>
      </c>
      <c r="L435">
        <v>2</v>
      </c>
      <c r="M435">
        <v>3</v>
      </c>
      <c r="N435" t="s">
        <v>35</v>
      </c>
      <c r="O435">
        <v>4</v>
      </c>
      <c r="P435" t="s">
        <v>41</v>
      </c>
      <c r="Q435">
        <v>9071</v>
      </c>
      <c r="R435">
        <v>11563</v>
      </c>
      <c r="S435">
        <v>2</v>
      </c>
      <c r="T435">
        <v>1</v>
      </c>
      <c r="U435" s="17">
        <v>0.19</v>
      </c>
      <c r="V435">
        <v>3</v>
      </c>
      <c r="W435">
        <v>3</v>
      </c>
      <c r="X435">
        <v>1</v>
      </c>
      <c r="Y435">
        <v>15</v>
      </c>
      <c r="Z435">
        <v>3</v>
      </c>
      <c r="AA435">
        <v>3</v>
      </c>
      <c r="AB435">
        <v>3</v>
      </c>
      <c r="AC435">
        <v>2</v>
      </c>
      <c r="AD435">
        <v>1</v>
      </c>
      <c r="AE435">
        <v>2</v>
      </c>
      <c r="AF435">
        <v>0</v>
      </c>
      <c r="AG435">
        <f>IF(tbl_HR_Data[[#This Row],[Gender]]="Male",1,0)</f>
        <v>0</v>
      </c>
      <c r="AH435" cm="1">
        <f t="array" ref="AH435">_xlfn.SWITCH(tbl_HR_Data[[#This Row],[BusinessTravel]], "Non-Travel", 0, "Travel_Rarely", 1, "Travel_Frequently", 2)</f>
        <v>1</v>
      </c>
      <c r="AI435" cm="1">
        <f t="array" ref="AI435">_xlfn.SWITCH(tbl_HR_Data[[#This Row],[MaritalStatus]],"Single",0,"Married",1,"Divorced",2)</f>
        <v>1</v>
      </c>
      <c r="AJ435">
        <f>IF(tbl_HR_Data[[#This Row],[OverTime]]=1,1,0)</f>
        <v>1</v>
      </c>
      <c r="AK435">
        <f>IF(tbl_HR_Data[[#This Row],[DistanceFromHome]]&gt;15,1,0)</f>
        <v>0</v>
      </c>
      <c r="AL435">
        <f>IF(tbl_HR_Data[[#This Row],[JobSatisfaction]]&lt;=2,1,0)</f>
        <v>0</v>
      </c>
      <c r="AM435">
        <f>IF(tbl_HR_Data[[#This Row],[MonthlyIncome]]&lt;$AT$2,1,0)</f>
        <v>0</v>
      </c>
      <c r="AN435">
        <f>IF(tbl_HR_Data[[#This Row],[Travel_Code]]=2,1,0)</f>
        <v>0</v>
      </c>
      <c r="AO435">
        <f>(tbl_HR_Data[[#This Row],[Flag_OT]] * Logic_Parameters!$B$2) +
 (tbl_HR_Data[[#This Row],[Flag_Travel]] * Logic_Parameters!$B$3) +
 (tbl_HR_Data[[#This Row],[Flag_Satisfaction]] * Logic_Parameters!$B$4) +
 (tbl_HR_Data[[#This Row],[Flag_Distance]]* Logic_Parameters!$B$5) +
 (tbl_HR_Data[[#This Row],[Flag_Income]] * Logic_Parameters!$B$6)</f>
        <v>10</v>
      </c>
      <c r="AP435" s="15">
        <f>tbl_HR_Data[[#This Row],[Risk_Score_Raw]] / SUM(Logic_Parameters!$B$2:$B$6)</f>
        <v>0.3445251318258073</v>
      </c>
      <c r="AQ435" s="16" t="str" cm="1">
        <f t="array" ref="AQ435">_xlfn.IFS(tbl_HR_Data[[#This Row],[Attrition_Risk_Percentage]] &gt;= 0.75, "Critical",tbl_HR_Data[ [#This Row],[Attrition_Risk_Percentage] ]&gt;= 0.5, "High",tbl_HR_Data[[#This Row],[Attrition_Risk_Percentage]] &gt;= 0.25, "Medium",TRUE, "Low")</f>
        <v>Medium</v>
      </c>
      <c r="AR435" s="16" cm="1">
        <f t="array" ref="AR435">IFERROR(_xlfn.IFS(tbl_HR_Data[[#This Row],[Risk_Category]]="Critical",tbl_HR_Data[[#This Row],[MonthlyIncome]]*1.5,tbl_HR_Data[[#This Row],[Risk_Category]]="High",tbl_HR_Data[[#This Row],[MonthlyIncome]]*1.5),0)</f>
        <v>0</v>
      </c>
    </row>
    <row r="436" spans="1:44" x14ac:dyDescent="0.35">
      <c r="A436" t="s">
        <v>835</v>
      </c>
      <c r="B436">
        <v>31</v>
      </c>
      <c r="C436" t="s">
        <v>31</v>
      </c>
      <c r="D436">
        <v>1274</v>
      </c>
      <c r="E436" t="s">
        <v>38</v>
      </c>
      <c r="F436">
        <v>9</v>
      </c>
      <c r="G436">
        <v>1</v>
      </c>
      <c r="H436" t="s">
        <v>33</v>
      </c>
      <c r="I436">
        <v>3</v>
      </c>
      <c r="J436" t="s">
        <v>39</v>
      </c>
      <c r="K436">
        <v>33</v>
      </c>
      <c r="L436">
        <v>3</v>
      </c>
      <c r="M436">
        <v>3</v>
      </c>
      <c r="N436" t="s">
        <v>46</v>
      </c>
      <c r="O436">
        <v>2</v>
      </c>
      <c r="P436" t="s">
        <v>45</v>
      </c>
      <c r="Q436">
        <v>10648</v>
      </c>
      <c r="R436">
        <v>14394</v>
      </c>
      <c r="S436">
        <v>1</v>
      </c>
      <c r="T436">
        <v>0</v>
      </c>
      <c r="U436" s="17">
        <v>0.25</v>
      </c>
      <c r="V436">
        <v>4</v>
      </c>
      <c r="W436">
        <v>4</v>
      </c>
      <c r="X436">
        <v>1</v>
      </c>
      <c r="Y436">
        <v>13</v>
      </c>
      <c r="Z436">
        <v>6</v>
      </c>
      <c r="AA436">
        <v>4</v>
      </c>
      <c r="AB436">
        <v>13</v>
      </c>
      <c r="AC436">
        <v>8</v>
      </c>
      <c r="AD436">
        <v>0</v>
      </c>
      <c r="AE436">
        <v>8</v>
      </c>
      <c r="AF436">
        <v>0</v>
      </c>
      <c r="AG436">
        <f>IF(tbl_HR_Data[[#This Row],[Gender]]="Male",1,0)</f>
        <v>1</v>
      </c>
      <c r="AH436" cm="1">
        <f t="array" ref="AH436">_xlfn.SWITCH(tbl_HR_Data[[#This Row],[BusinessTravel]], "Non-Travel", 0, "Travel_Rarely", 1, "Travel_Frequently", 2)</f>
        <v>1</v>
      </c>
      <c r="AI436" cm="1">
        <f t="array" ref="AI436">_xlfn.SWITCH(tbl_HR_Data[[#This Row],[MaritalStatus]],"Single",0,"Married",1,"Divorced",2)</f>
        <v>2</v>
      </c>
      <c r="AJ436">
        <f>IF(tbl_HR_Data[[#This Row],[OverTime]]=1,1,0)</f>
        <v>0</v>
      </c>
      <c r="AK436">
        <f>IF(tbl_HR_Data[[#This Row],[DistanceFromHome]]&gt;15,1,0)</f>
        <v>0</v>
      </c>
      <c r="AL436">
        <f>IF(tbl_HR_Data[[#This Row],[JobSatisfaction]]&lt;=2,1,0)</f>
        <v>1</v>
      </c>
      <c r="AM436">
        <f>IF(tbl_HR_Data[[#This Row],[MonthlyIncome]]&lt;$AT$2,1,0)</f>
        <v>0</v>
      </c>
      <c r="AN436">
        <f>IF(tbl_HR_Data[[#This Row],[Travel_Code]]=2,1,0)</f>
        <v>0</v>
      </c>
      <c r="AO436">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436" s="15">
        <f>tbl_HR_Data[[#This Row],[Risk_Score_Raw]] / SUM(Logic_Parameters!$B$2:$B$6)</f>
        <v>0.14485673308716898</v>
      </c>
      <c r="AQ436" s="16" t="str" cm="1">
        <f t="array" ref="AQ436">_xlfn.IFS(tbl_HR_Data[[#This Row],[Attrition_Risk_Percentage]] &gt;= 0.75, "Critical",tbl_HR_Data[ [#This Row],[Attrition_Risk_Percentage] ]&gt;= 0.5, "High",tbl_HR_Data[[#This Row],[Attrition_Risk_Percentage]] &gt;= 0.25, "Medium",TRUE, "Low")</f>
        <v>Low</v>
      </c>
      <c r="AR436" s="16" cm="1">
        <f t="array" ref="AR436">IFERROR(_xlfn.IFS(tbl_HR_Data[[#This Row],[Risk_Category]]="Critical",tbl_HR_Data[[#This Row],[MonthlyIncome]]*1.5,tbl_HR_Data[[#This Row],[Risk_Category]]="High",tbl_HR_Data[[#This Row],[MonthlyIncome]]*1.5),0)</f>
        <v>0</v>
      </c>
    </row>
    <row r="437" spans="1:44" x14ac:dyDescent="0.35">
      <c r="A437" t="s">
        <v>1165</v>
      </c>
      <c r="B437">
        <v>33</v>
      </c>
      <c r="C437" t="s">
        <v>31</v>
      </c>
      <c r="D437">
        <v>1277</v>
      </c>
      <c r="E437" t="s">
        <v>38</v>
      </c>
      <c r="F437">
        <v>15</v>
      </c>
      <c r="G437">
        <v>1</v>
      </c>
      <c r="H437" t="s">
        <v>44</v>
      </c>
      <c r="I437">
        <v>2</v>
      </c>
      <c r="J437" t="s">
        <v>39</v>
      </c>
      <c r="K437">
        <v>56</v>
      </c>
      <c r="L437">
        <v>3</v>
      </c>
      <c r="M437">
        <v>3</v>
      </c>
      <c r="N437" t="s">
        <v>48</v>
      </c>
      <c r="O437">
        <v>3</v>
      </c>
      <c r="P437" t="s">
        <v>41</v>
      </c>
      <c r="Q437">
        <v>13610</v>
      </c>
      <c r="R437">
        <v>24619</v>
      </c>
      <c r="S437">
        <v>7</v>
      </c>
      <c r="T437">
        <v>1</v>
      </c>
      <c r="U437" s="17">
        <v>0.12</v>
      </c>
      <c r="V437">
        <v>3</v>
      </c>
      <c r="W437">
        <v>4</v>
      </c>
      <c r="X437">
        <v>0</v>
      </c>
      <c r="Y437">
        <v>15</v>
      </c>
      <c r="Z437">
        <v>2</v>
      </c>
      <c r="AA437">
        <v>4</v>
      </c>
      <c r="AB437">
        <v>7</v>
      </c>
      <c r="AC437">
        <v>6</v>
      </c>
      <c r="AD437">
        <v>7</v>
      </c>
      <c r="AE437">
        <v>7</v>
      </c>
      <c r="AF437">
        <v>1</v>
      </c>
      <c r="AG437">
        <f>IF(tbl_HR_Data[[#This Row],[Gender]]="Male",1,0)</f>
        <v>1</v>
      </c>
      <c r="AH437" cm="1">
        <f t="array" ref="AH437">_xlfn.SWITCH(tbl_HR_Data[[#This Row],[BusinessTravel]], "Non-Travel", 0, "Travel_Rarely", 1, "Travel_Frequently", 2)</f>
        <v>1</v>
      </c>
      <c r="AI437" cm="1">
        <f t="array" ref="AI437">_xlfn.SWITCH(tbl_HR_Data[[#This Row],[MaritalStatus]],"Single",0,"Married",1,"Divorced",2)</f>
        <v>1</v>
      </c>
      <c r="AJ437">
        <f>IF(tbl_HR_Data[[#This Row],[OverTime]]=1,1,0)</f>
        <v>1</v>
      </c>
      <c r="AK437">
        <f>IF(tbl_HR_Data[[#This Row],[DistanceFromHome]]&gt;15,1,0)</f>
        <v>0</v>
      </c>
      <c r="AL437">
        <f>IF(tbl_HR_Data[[#This Row],[JobSatisfaction]]&lt;=2,1,0)</f>
        <v>0</v>
      </c>
      <c r="AM437">
        <f>IF(tbl_HR_Data[[#This Row],[MonthlyIncome]]&lt;$AT$2,1,0)</f>
        <v>0</v>
      </c>
      <c r="AN437">
        <f>IF(tbl_HR_Data[[#This Row],[Travel_Code]]=2,1,0)</f>
        <v>0</v>
      </c>
      <c r="AO437">
        <f>(tbl_HR_Data[[#This Row],[Flag_OT]] * Logic_Parameters!$B$2) +
 (tbl_HR_Data[[#This Row],[Flag_Travel]] * Logic_Parameters!$B$3) +
 (tbl_HR_Data[[#This Row],[Flag_Satisfaction]] * Logic_Parameters!$B$4) +
 (tbl_HR_Data[[#This Row],[Flag_Distance]]* Logic_Parameters!$B$5) +
 (tbl_HR_Data[[#This Row],[Flag_Income]] * Logic_Parameters!$B$6)</f>
        <v>10</v>
      </c>
      <c r="AP437" s="15">
        <f>tbl_HR_Data[[#This Row],[Risk_Score_Raw]] / SUM(Logic_Parameters!$B$2:$B$6)</f>
        <v>0.3445251318258073</v>
      </c>
      <c r="AQ437" s="16" t="str" cm="1">
        <f t="array" ref="AQ437">_xlfn.IFS(tbl_HR_Data[[#This Row],[Attrition_Risk_Percentage]] &gt;= 0.75, "Critical",tbl_HR_Data[ [#This Row],[Attrition_Risk_Percentage] ]&gt;= 0.5, "High",tbl_HR_Data[[#This Row],[Attrition_Risk_Percentage]] &gt;= 0.25, "Medium",TRUE, "Low")</f>
        <v>Medium</v>
      </c>
      <c r="AR437" s="16" cm="1">
        <f t="array" ref="AR437">IFERROR(_xlfn.IFS(tbl_HR_Data[[#This Row],[Risk_Category]]="Critical",tbl_HR_Data[[#This Row],[MonthlyIncome]]*1.5,tbl_HR_Data[[#This Row],[Risk_Category]]="High",tbl_HR_Data[[#This Row],[MonthlyIncome]]*1.5),0)</f>
        <v>0</v>
      </c>
    </row>
    <row r="438" spans="1:44" x14ac:dyDescent="0.35">
      <c r="A438" t="s">
        <v>654</v>
      </c>
      <c r="B438">
        <v>33</v>
      </c>
      <c r="C438" t="s">
        <v>31</v>
      </c>
      <c r="D438">
        <v>587</v>
      </c>
      <c r="E438" t="s">
        <v>38</v>
      </c>
      <c r="F438">
        <v>10</v>
      </c>
      <c r="G438">
        <v>1</v>
      </c>
      <c r="H438" t="s">
        <v>44</v>
      </c>
      <c r="I438">
        <v>1</v>
      </c>
      <c r="J438" t="s">
        <v>39</v>
      </c>
      <c r="K438">
        <v>38</v>
      </c>
      <c r="L438">
        <v>1</v>
      </c>
      <c r="M438">
        <v>1</v>
      </c>
      <c r="N438" t="s">
        <v>43</v>
      </c>
      <c r="O438">
        <v>4</v>
      </c>
      <c r="P438" t="s">
        <v>45</v>
      </c>
      <c r="Q438">
        <v>3408</v>
      </c>
      <c r="R438">
        <v>6705</v>
      </c>
      <c r="S438">
        <v>7</v>
      </c>
      <c r="T438">
        <v>0</v>
      </c>
      <c r="U438" s="17">
        <v>0.13</v>
      </c>
      <c r="V438">
        <v>3</v>
      </c>
      <c r="W438">
        <v>1</v>
      </c>
      <c r="X438">
        <v>3</v>
      </c>
      <c r="Y438">
        <v>8</v>
      </c>
      <c r="Z438">
        <v>2</v>
      </c>
      <c r="AA438">
        <v>3</v>
      </c>
      <c r="AB438">
        <v>4</v>
      </c>
      <c r="AC438">
        <v>3</v>
      </c>
      <c r="AD438">
        <v>1</v>
      </c>
      <c r="AE438">
        <v>3</v>
      </c>
      <c r="AF438">
        <v>1</v>
      </c>
      <c r="AG438">
        <f>IF(tbl_HR_Data[[#This Row],[Gender]]="Male",1,0)</f>
        <v>1</v>
      </c>
      <c r="AH438" cm="1">
        <f t="array" ref="AH438">_xlfn.SWITCH(tbl_HR_Data[[#This Row],[BusinessTravel]], "Non-Travel", 0, "Travel_Rarely", 1, "Travel_Frequently", 2)</f>
        <v>1</v>
      </c>
      <c r="AI438" cm="1">
        <f t="array" ref="AI438">_xlfn.SWITCH(tbl_HR_Data[[#This Row],[MaritalStatus]],"Single",0,"Married",1,"Divorced",2)</f>
        <v>2</v>
      </c>
      <c r="AJ438">
        <f>IF(tbl_HR_Data[[#This Row],[OverTime]]=1,1,0)</f>
        <v>0</v>
      </c>
      <c r="AK438">
        <f>IF(tbl_HR_Data[[#This Row],[DistanceFromHome]]&gt;15,1,0)</f>
        <v>0</v>
      </c>
      <c r="AL438">
        <f>IF(tbl_HR_Data[[#This Row],[JobSatisfaction]]&lt;=2,1,0)</f>
        <v>0</v>
      </c>
      <c r="AM438">
        <f>IF(tbl_HR_Data[[#This Row],[MonthlyIncome]]&lt;$AT$2,1,0)</f>
        <v>1</v>
      </c>
      <c r="AN438">
        <f>IF(tbl_HR_Data[[#This Row],[Travel_Code]]=2,1,0)</f>
        <v>0</v>
      </c>
      <c r="AO438">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438" s="15">
        <f>tbl_HR_Data[[#This Row],[Risk_Score_Raw]] / SUM(Logic_Parameters!$B$2:$B$6)</f>
        <v>0.22374939857982484</v>
      </c>
      <c r="AQ438" s="16" t="str" cm="1">
        <f t="array" ref="AQ438">_xlfn.IFS(tbl_HR_Data[[#This Row],[Attrition_Risk_Percentage]] &gt;= 0.75, "Critical",tbl_HR_Data[ [#This Row],[Attrition_Risk_Percentage] ]&gt;= 0.5, "High",tbl_HR_Data[[#This Row],[Attrition_Risk_Percentage]] &gt;= 0.25, "Medium",TRUE, "Low")</f>
        <v>Low</v>
      </c>
      <c r="AR438" s="16" cm="1">
        <f t="array" ref="AR438">IFERROR(_xlfn.IFS(tbl_HR_Data[[#This Row],[Risk_Category]]="Critical",tbl_HR_Data[[#This Row],[MonthlyIncome]]*1.5,tbl_HR_Data[[#This Row],[Risk_Category]]="High",tbl_HR_Data[[#This Row],[MonthlyIncome]]*1.5),0)</f>
        <v>0</v>
      </c>
    </row>
    <row r="439" spans="1:44" x14ac:dyDescent="0.35">
      <c r="A439" t="s">
        <v>635</v>
      </c>
      <c r="B439">
        <v>30</v>
      </c>
      <c r="C439" t="s">
        <v>31</v>
      </c>
      <c r="D439">
        <v>413</v>
      </c>
      <c r="E439" t="s">
        <v>32</v>
      </c>
      <c r="F439">
        <v>7</v>
      </c>
      <c r="G439">
        <v>1</v>
      </c>
      <c r="H439" t="s">
        <v>51</v>
      </c>
      <c r="I439">
        <v>4</v>
      </c>
      <c r="J439" t="s">
        <v>39</v>
      </c>
      <c r="K439">
        <v>57</v>
      </c>
      <c r="L439">
        <v>3</v>
      </c>
      <c r="M439">
        <v>1</v>
      </c>
      <c r="N439" t="s">
        <v>49</v>
      </c>
      <c r="O439">
        <v>2</v>
      </c>
      <c r="P439" t="s">
        <v>36</v>
      </c>
      <c r="Q439">
        <v>2983</v>
      </c>
      <c r="R439">
        <v>18398</v>
      </c>
      <c r="S439">
        <v>0</v>
      </c>
      <c r="T439">
        <v>0</v>
      </c>
      <c r="U439" s="17">
        <v>0.14000000000000001</v>
      </c>
      <c r="V439">
        <v>3</v>
      </c>
      <c r="W439">
        <v>1</v>
      </c>
      <c r="X439">
        <v>0</v>
      </c>
      <c r="Y439">
        <v>4</v>
      </c>
      <c r="Z439">
        <v>3</v>
      </c>
      <c r="AA439">
        <v>3</v>
      </c>
      <c r="AB439">
        <v>3</v>
      </c>
      <c r="AC439">
        <v>2</v>
      </c>
      <c r="AD439">
        <v>1</v>
      </c>
      <c r="AE439">
        <v>2</v>
      </c>
      <c r="AF439">
        <v>0</v>
      </c>
      <c r="AG439">
        <f>IF(tbl_HR_Data[[#This Row],[Gender]]="Male",1,0)</f>
        <v>1</v>
      </c>
      <c r="AH439" cm="1">
        <f t="array" ref="AH439">_xlfn.SWITCH(tbl_HR_Data[[#This Row],[BusinessTravel]], "Non-Travel", 0, "Travel_Rarely", 1, "Travel_Frequently", 2)</f>
        <v>1</v>
      </c>
      <c r="AI439" cm="1">
        <f t="array" ref="AI439">_xlfn.SWITCH(tbl_HR_Data[[#This Row],[MaritalStatus]],"Single",0,"Married",1,"Divorced",2)</f>
        <v>0</v>
      </c>
      <c r="AJ439">
        <f>IF(tbl_HR_Data[[#This Row],[OverTime]]=1,1,0)</f>
        <v>0</v>
      </c>
      <c r="AK439">
        <f>IF(tbl_HR_Data[[#This Row],[DistanceFromHome]]&gt;15,1,0)</f>
        <v>0</v>
      </c>
      <c r="AL439">
        <f>IF(tbl_HR_Data[[#This Row],[JobSatisfaction]]&lt;=2,1,0)</f>
        <v>1</v>
      </c>
      <c r="AM439">
        <f>IF(tbl_HR_Data[[#This Row],[MonthlyIncome]]&lt;$AT$2,1,0)</f>
        <v>1</v>
      </c>
      <c r="AN439">
        <f>IF(tbl_HR_Data[[#This Row],[Travel_Code]]=2,1,0)</f>
        <v>0</v>
      </c>
      <c r="AO439">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439" s="15">
        <f>tbl_HR_Data[[#This Row],[Risk_Score_Raw]] / SUM(Logic_Parameters!$B$2:$B$6)</f>
        <v>0.3686061316669938</v>
      </c>
      <c r="AQ439" s="16" t="str" cm="1">
        <f t="array" ref="AQ439">_xlfn.IFS(tbl_HR_Data[[#This Row],[Attrition_Risk_Percentage]] &gt;= 0.75, "Critical",tbl_HR_Data[ [#This Row],[Attrition_Risk_Percentage] ]&gt;= 0.5, "High",tbl_HR_Data[[#This Row],[Attrition_Risk_Percentage]] &gt;= 0.25, "Medium",TRUE, "Low")</f>
        <v>Medium</v>
      </c>
      <c r="AR439" s="16" cm="1">
        <f t="array" ref="AR439">IFERROR(_xlfn.IFS(tbl_HR_Data[[#This Row],[Risk_Category]]="Critical",tbl_HR_Data[[#This Row],[MonthlyIncome]]*1.5,tbl_HR_Data[[#This Row],[Risk_Category]]="High",tbl_HR_Data[[#This Row],[MonthlyIncome]]*1.5),0)</f>
        <v>0</v>
      </c>
    </row>
    <row r="440" spans="1:44" x14ac:dyDescent="0.35">
      <c r="A440" t="s">
        <v>330</v>
      </c>
      <c r="B440">
        <v>35</v>
      </c>
      <c r="C440" t="s">
        <v>31</v>
      </c>
      <c r="D440">
        <v>1276</v>
      </c>
      <c r="E440" t="s">
        <v>38</v>
      </c>
      <c r="F440">
        <v>16</v>
      </c>
      <c r="G440">
        <v>3</v>
      </c>
      <c r="H440" t="s">
        <v>33</v>
      </c>
      <c r="I440">
        <v>4</v>
      </c>
      <c r="J440" t="s">
        <v>39</v>
      </c>
      <c r="K440">
        <v>72</v>
      </c>
      <c r="L440">
        <v>3</v>
      </c>
      <c r="M440">
        <v>3</v>
      </c>
      <c r="N440" t="s">
        <v>47</v>
      </c>
      <c r="O440">
        <v>3</v>
      </c>
      <c r="P440" t="s">
        <v>41</v>
      </c>
      <c r="Q440">
        <v>7632</v>
      </c>
      <c r="R440">
        <v>14295</v>
      </c>
      <c r="S440">
        <v>4</v>
      </c>
      <c r="T440">
        <v>1</v>
      </c>
      <c r="U440" s="17">
        <v>0.12</v>
      </c>
      <c r="V440">
        <v>3</v>
      </c>
      <c r="W440">
        <v>3</v>
      </c>
      <c r="X440">
        <v>0</v>
      </c>
      <c r="Y440">
        <v>10</v>
      </c>
      <c r="Z440">
        <v>2</v>
      </c>
      <c r="AA440">
        <v>3</v>
      </c>
      <c r="AB440">
        <v>8</v>
      </c>
      <c r="AC440">
        <v>7</v>
      </c>
      <c r="AD440">
        <v>0</v>
      </c>
      <c r="AE440">
        <v>0</v>
      </c>
      <c r="AF440">
        <v>0</v>
      </c>
      <c r="AG440">
        <f>IF(tbl_HR_Data[[#This Row],[Gender]]="Male",1,0)</f>
        <v>1</v>
      </c>
      <c r="AH440" cm="1">
        <f t="array" ref="AH440">_xlfn.SWITCH(tbl_HR_Data[[#This Row],[BusinessTravel]], "Non-Travel", 0, "Travel_Rarely", 1, "Travel_Frequently", 2)</f>
        <v>1</v>
      </c>
      <c r="AI440" cm="1">
        <f t="array" ref="AI440">_xlfn.SWITCH(tbl_HR_Data[[#This Row],[MaritalStatus]],"Single",0,"Married",1,"Divorced",2)</f>
        <v>1</v>
      </c>
      <c r="AJ440">
        <f>IF(tbl_HR_Data[[#This Row],[OverTime]]=1,1,0)</f>
        <v>1</v>
      </c>
      <c r="AK440">
        <f>IF(tbl_HR_Data[[#This Row],[DistanceFromHome]]&gt;15,1,0)</f>
        <v>1</v>
      </c>
      <c r="AL440">
        <f>IF(tbl_HR_Data[[#This Row],[JobSatisfaction]]&lt;=2,1,0)</f>
        <v>0</v>
      </c>
      <c r="AM440">
        <f>IF(tbl_HR_Data[[#This Row],[MonthlyIncome]]&lt;$AT$2,1,0)</f>
        <v>0</v>
      </c>
      <c r="AN440">
        <f>IF(tbl_HR_Data[[#This Row],[Travel_Code]]=2,1,0)</f>
        <v>0</v>
      </c>
      <c r="AO440">
        <f>(tbl_HR_Data[[#This Row],[Flag_OT]] * Logic_Parameters!$B$2) +
 (tbl_HR_Data[[#This Row],[Flag_Travel]] * Logic_Parameters!$B$3) +
 (tbl_HR_Data[[#This Row],[Flag_Satisfaction]] * Logic_Parameters!$B$4) +
 (tbl_HR_Data[[#This Row],[Flag_Distance]]* Logic_Parameters!$B$5) +
 (tbl_HR_Data[[#This Row],[Flag_Income]] * Logic_Parameters!$B$6)</f>
        <v>13.166106695875378</v>
      </c>
      <c r="AP440" s="15">
        <f>tbl_HR_Data[[#This Row],[Risk_Score_Raw]] / SUM(Logic_Parameters!$B$2:$B$6)</f>
        <v>0.45360546450291089</v>
      </c>
      <c r="AQ440" s="16" t="str" cm="1">
        <f t="array" ref="AQ440">_xlfn.IFS(tbl_HR_Data[[#This Row],[Attrition_Risk_Percentage]] &gt;= 0.75, "Critical",tbl_HR_Data[ [#This Row],[Attrition_Risk_Percentage] ]&gt;= 0.5, "High",tbl_HR_Data[[#This Row],[Attrition_Risk_Percentage]] &gt;= 0.25, "Medium",TRUE, "Low")</f>
        <v>Medium</v>
      </c>
      <c r="AR440" s="16" cm="1">
        <f t="array" ref="AR440">IFERROR(_xlfn.IFS(tbl_HR_Data[[#This Row],[Risk_Category]]="Critical",tbl_HR_Data[[#This Row],[MonthlyIncome]]*1.5,tbl_HR_Data[[#This Row],[Risk_Category]]="High",tbl_HR_Data[[#This Row],[MonthlyIncome]]*1.5),0)</f>
        <v>0</v>
      </c>
    </row>
    <row r="441" spans="1:44" x14ac:dyDescent="0.35">
      <c r="A441" t="s">
        <v>230</v>
      </c>
      <c r="B441">
        <v>31</v>
      </c>
      <c r="C441" t="s">
        <v>37</v>
      </c>
      <c r="D441">
        <v>534</v>
      </c>
      <c r="E441" t="s">
        <v>38</v>
      </c>
      <c r="F441">
        <v>20</v>
      </c>
      <c r="G441">
        <v>3</v>
      </c>
      <c r="H441" t="s">
        <v>33</v>
      </c>
      <c r="I441">
        <v>1</v>
      </c>
      <c r="J441" t="s">
        <v>39</v>
      </c>
      <c r="K441">
        <v>66</v>
      </c>
      <c r="L441">
        <v>3</v>
      </c>
      <c r="M441">
        <v>3</v>
      </c>
      <c r="N441" t="s">
        <v>47</v>
      </c>
      <c r="O441">
        <v>3</v>
      </c>
      <c r="P441" t="s">
        <v>41</v>
      </c>
      <c r="Q441">
        <v>9824</v>
      </c>
      <c r="R441">
        <v>22908</v>
      </c>
      <c r="S441">
        <v>3</v>
      </c>
      <c r="T441">
        <v>0</v>
      </c>
      <c r="U441" s="17">
        <v>0.12</v>
      </c>
      <c r="V441">
        <v>3</v>
      </c>
      <c r="W441">
        <v>1</v>
      </c>
      <c r="X441">
        <v>0</v>
      </c>
      <c r="Y441">
        <v>12</v>
      </c>
      <c r="Z441">
        <v>2</v>
      </c>
      <c r="AA441">
        <v>3</v>
      </c>
      <c r="AB441">
        <v>1</v>
      </c>
      <c r="AC441">
        <v>0</v>
      </c>
      <c r="AD441">
        <v>0</v>
      </c>
      <c r="AE441">
        <v>0</v>
      </c>
      <c r="AF441">
        <v>1</v>
      </c>
      <c r="AG441">
        <f>IF(tbl_HR_Data[[#This Row],[Gender]]="Male",1,0)</f>
        <v>1</v>
      </c>
      <c r="AH441" cm="1">
        <f t="array" ref="AH441">_xlfn.SWITCH(tbl_HR_Data[[#This Row],[BusinessTravel]], "Non-Travel", 0, "Travel_Rarely", 1, "Travel_Frequently", 2)</f>
        <v>2</v>
      </c>
      <c r="AI441" cm="1">
        <f t="array" ref="AI441">_xlfn.SWITCH(tbl_HR_Data[[#This Row],[MaritalStatus]],"Single",0,"Married",1,"Divorced",2)</f>
        <v>1</v>
      </c>
      <c r="AJ441">
        <f>IF(tbl_HR_Data[[#This Row],[OverTime]]=1,1,0)</f>
        <v>0</v>
      </c>
      <c r="AK441">
        <f>IF(tbl_HR_Data[[#This Row],[DistanceFromHome]]&gt;15,1,0)</f>
        <v>1</v>
      </c>
      <c r="AL441">
        <f>IF(tbl_HR_Data[[#This Row],[JobSatisfaction]]&lt;=2,1,0)</f>
        <v>0</v>
      </c>
      <c r="AM441">
        <f>IF(tbl_HR_Data[[#This Row],[MonthlyIncome]]&lt;$AT$2,1,0)</f>
        <v>0</v>
      </c>
      <c r="AN441">
        <f>IF(tbl_HR_Data[[#This Row],[Travel_Code]]=2,1,0)</f>
        <v>1</v>
      </c>
      <c r="AO441">
        <f>(tbl_HR_Data[[#This Row],[Flag_OT]] * Logic_Parameters!$B$2) +
 (tbl_HR_Data[[#This Row],[Flag_Travel]] * Logic_Parameters!$B$3) +
 (tbl_HR_Data[[#This Row],[Flag_Satisfaction]] * Logic_Parameters!$B$4) +
 (tbl_HR_Data[[#This Row],[Flag_Distance]]* Logic_Parameters!$B$5) +
 (tbl_HR_Data[[#This Row],[Flag_Income]] * Logic_Parameters!$B$6)</f>
        <v>8.3264966763655544</v>
      </c>
      <c r="AP441" s="15">
        <f>tbl_HR_Data[[#This Row],[Risk_Score_Raw]] / SUM(Logic_Parameters!$B$2:$B$6)</f>
        <v>0.28686873650719891</v>
      </c>
      <c r="AQ441" s="16" t="str" cm="1">
        <f t="array" ref="AQ441">_xlfn.IFS(tbl_HR_Data[[#This Row],[Attrition_Risk_Percentage]] &gt;= 0.75, "Critical",tbl_HR_Data[ [#This Row],[Attrition_Risk_Percentage] ]&gt;= 0.5, "High",tbl_HR_Data[[#This Row],[Attrition_Risk_Percentage]] &gt;= 0.25, "Medium",TRUE, "Low")</f>
        <v>Medium</v>
      </c>
      <c r="AR441" s="16" cm="1">
        <f t="array" ref="AR441">IFERROR(_xlfn.IFS(tbl_HR_Data[[#This Row],[Risk_Category]]="Critical",tbl_HR_Data[[#This Row],[MonthlyIncome]]*1.5,tbl_HR_Data[[#This Row],[Risk_Category]]="High",tbl_HR_Data[[#This Row],[MonthlyIncome]]*1.5),0)</f>
        <v>0</v>
      </c>
    </row>
    <row r="442" spans="1:44" x14ac:dyDescent="0.35">
      <c r="A442" t="s">
        <v>1056</v>
      </c>
      <c r="B442">
        <v>34</v>
      </c>
      <c r="C442" t="s">
        <v>37</v>
      </c>
      <c r="D442">
        <v>988</v>
      </c>
      <c r="E442" t="s">
        <v>53</v>
      </c>
      <c r="F442">
        <v>23</v>
      </c>
      <c r="G442">
        <v>3</v>
      </c>
      <c r="H442" t="s">
        <v>53</v>
      </c>
      <c r="I442">
        <v>2</v>
      </c>
      <c r="J442" t="s">
        <v>34</v>
      </c>
      <c r="K442">
        <v>43</v>
      </c>
      <c r="L442">
        <v>3</v>
      </c>
      <c r="M442">
        <v>3</v>
      </c>
      <c r="N442" t="s">
        <v>53</v>
      </c>
      <c r="O442">
        <v>1</v>
      </c>
      <c r="P442" t="s">
        <v>45</v>
      </c>
      <c r="Q442">
        <v>9950</v>
      </c>
      <c r="R442">
        <v>11533</v>
      </c>
      <c r="S442">
        <v>9</v>
      </c>
      <c r="T442">
        <v>1</v>
      </c>
      <c r="U442" s="17">
        <v>0.15</v>
      </c>
      <c r="V442">
        <v>3</v>
      </c>
      <c r="W442">
        <v>3</v>
      </c>
      <c r="X442">
        <v>3</v>
      </c>
      <c r="Y442">
        <v>11</v>
      </c>
      <c r="Z442">
        <v>2</v>
      </c>
      <c r="AA442">
        <v>3</v>
      </c>
      <c r="AB442">
        <v>3</v>
      </c>
      <c r="AC442">
        <v>2</v>
      </c>
      <c r="AD442">
        <v>0</v>
      </c>
      <c r="AE442">
        <v>2</v>
      </c>
      <c r="AF442">
        <v>1</v>
      </c>
      <c r="AG442">
        <f>IF(tbl_HR_Data[[#This Row],[Gender]]="Male",1,0)</f>
        <v>0</v>
      </c>
      <c r="AH442" cm="1">
        <f t="array" ref="AH442">_xlfn.SWITCH(tbl_HR_Data[[#This Row],[BusinessTravel]], "Non-Travel", 0, "Travel_Rarely", 1, "Travel_Frequently", 2)</f>
        <v>2</v>
      </c>
      <c r="AI442" cm="1">
        <f t="array" ref="AI442">_xlfn.SWITCH(tbl_HR_Data[[#This Row],[MaritalStatus]],"Single",0,"Married",1,"Divorced",2)</f>
        <v>2</v>
      </c>
      <c r="AJ442">
        <f>IF(tbl_HR_Data[[#This Row],[OverTime]]=1,1,0)</f>
        <v>1</v>
      </c>
      <c r="AK442">
        <f>IF(tbl_HR_Data[[#This Row],[DistanceFromHome]]&gt;15,1,0)</f>
        <v>1</v>
      </c>
      <c r="AL442">
        <f>IF(tbl_HR_Data[[#This Row],[JobSatisfaction]]&lt;=2,1,0)</f>
        <v>1</v>
      </c>
      <c r="AM442">
        <f>IF(tbl_HR_Data[[#This Row],[MonthlyIncome]]&lt;$AT$2,1,0)</f>
        <v>0</v>
      </c>
      <c r="AN442">
        <f>IF(tbl_HR_Data[[#This Row],[Travel_Code]]=2,1,0)</f>
        <v>1</v>
      </c>
      <c r="AO442">
        <f>(tbl_HR_Data[[#This Row],[Flag_OT]] * Logic_Parameters!$B$2) +
 (tbl_HR_Data[[#This Row],[Flag_Travel]] * Logic_Parameters!$B$3) +
 (tbl_HR_Data[[#This Row],[Flag_Satisfaction]] * Logic_Parameters!$B$4) +
 (tbl_HR_Data[[#This Row],[Flag_Distance]]* Logic_Parameters!$B$5) +
 (tbl_HR_Data[[#This Row],[Flag_Income]] * Logic_Parameters!$B$6)</f>
        <v>22.531029806343685</v>
      </c>
      <c r="AP442" s="15">
        <f>tbl_HR_Data[[#This Row],[Risk_Score_Raw]] / SUM(Logic_Parameters!$B$2:$B$6)</f>
        <v>0.77625060142017521</v>
      </c>
      <c r="AQ442" s="16" t="str" cm="1">
        <f t="array" ref="AQ442">_xlfn.IFS(tbl_HR_Data[[#This Row],[Attrition_Risk_Percentage]] &gt;= 0.75, "Critical",tbl_HR_Data[ [#This Row],[Attrition_Risk_Percentage] ]&gt;= 0.5, "High",tbl_HR_Data[[#This Row],[Attrition_Risk_Percentage]] &gt;= 0.25, "Medium",TRUE, "Low")</f>
        <v>Critical</v>
      </c>
      <c r="AR442" s="16" cm="1">
        <f t="array" ref="AR442">IFERROR(_xlfn.IFS(tbl_HR_Data[[#This Row],[Risk_Category]]="Critical",tbl_HR_Data[[#This Row],[MonthlyIncome]]*1.5,tbl_HR_Data[[#This Row],[Risk_Category]]="High",tbl_HR_Data[[#This Row],[MonthlyIncome]]*1.5),0)</f>
        <v>14925</v>
      </c>
    </row>
    <row r="443" spans="1:44" x14ac:dyDescent="0.35">
      <c r="A443" t="s">
        <v>1375</v>
      </c>
      <c r="B443">
        <v>42</v>
      </c>
      <c r="C443" t="s">
        <v>37</v>
      </c>
      <c r="D443">
        <v>1474</v>
      </c>
      <c r="E443" t="s">
        <v>38</v>
      </c>
      <c r="F443">
        <v>5</v>
      </c>
      <c r="G443">
        <v>2</v>
      </c>
      <c r="H443" t="s">
        <v>42</v>
      </c>
      <c r="I443">
        <v>2</v>
      </c>
      <c r="J443" t="s">
        <v>39</v>
      </c>
      <c r="K443">
        <v>97</v>
      </c>
      <c r="L443">
        <v>3</v>
      </c>
      <c r="M443">
        <v>1</v>
      </c>
      <c r="N443" t="s">
        <v>43</v>
      </c>
      <c r="O443">
        <v>3</v>
      </c>
      <c r="P443" t="s">
        <v>41</v>
      </c>
      <c r="Q443">
        <v>2093</v>
      </c>
      <c r="R443">
        <v>9260</v>
      </c>
      <c r="S443">
        <v>4</v>
      </c>
      <c r="T443">
        <v>0</v>
      </c>
      <c r="U443" s="17">
        <v>0.17</v>
      </c>
      <c r="V443">
        <v>3</v>
      </c>
      <c r="W443">
        <v>4</v>
      </c>
      <c r="X443">
        <v>1</v>
      </c>
      <c r="Y443">
        <v>8</v>
      </c>
      <c r="Z443">
        <v>4</v>
      </c>
      <c r="AA443">
        <v>3</v>
      </c>
      <c r="AB443">
        <v>2</v>
      </c>
      <c r="AC443">
        <v>2</v>
      </c>
      <c r="AD443">
        <v>2</v>
      </c>
      <c r="AE443">
        <v>0</v>
      </c>
      <c r="AF443">
        <v>0</v>
      </c>
      <c r="AG443">
        <f>IF(tbl_HR_Data[[#This Row],[Gender]]="Male",1,0)</f>
        <v>1</v>
      </c>
      <c r="AH443" cm="1">
        <f t="array" ref="AH443">_xlfn.SWITCH(tbl_HR_Data[[#This Row],[BusinessTravel]], "Non-Travel", 0, "Travel_Rarely", 1, "Travel_Frequently", 2)</f>
        <v>2</v>
      </c>
      <c r="AI443" cm="1">
        <f t="array" ref="AI443">_xlfn.SWITCH(tbl_HR_Data[[#This Row],[MaritalStatus]],"Single",0,"Married",1,"Divorced",2)</f>
        <v>1</v>
      </c>
      <c r="AJ443">
        <f>IF(tbl_HR_Data[[#This Row],[OverTime]]=1,1,0)</f>
        <v>0</v>
      </c>
      <c r="AK443">
        <f>IF(tbl_HR_Data[[#This Row],[DistanceFromHome]]&gt;15,1,0)</f>
        <v>0</v>
      </c>
      <c r="AL443">
        <f>IF(tbl_HR_Data[[#This Row],[JobSatisfaction]]&lt;=2,1,0)</f>
        <v>0</v>
      </c>
      <c r="AM443">
        <f>IF(tbl_HR_Data[[#This Row],[MonthlyIncome]]&lt;$AT$2,1,0)</f>
        <v>1</v>
      </c>
      <c r="AN443">
        <f>IF(tbl_HR_Data[[#This Row],[Travel_Code]]=2,1,0)</f>
        <v>1</v>
      </c>
      <c r="AO443">
        <f>(tbl_HR_Data[[#This Row],[Flag_OT]] * Logic_Parameters!$B$2) +
 (tbl_HR_Data[[#This Row],[Flag_Travel]] * Logic_Parameters!$B$3) +
 (tbl_HR_Data[[#This Row],[Flag_Satisfaction]] * Logic_Parameters!$B$4) +
 (tbl_HR_Data[[#This Row],[Flag_Distance]]* Logic_Parameters!$B$5) +
 (tbl_HR_Data[[#This Row],[Flag_Income]] * Logic_Parameters!$B$6)</f>
        <v>11.654818917911005</v>
      </c>
      <c r="AP443" s="15">
        <f>tbl_HR_Data[[#This Row],[Risk_Score_Raw]] / SUM(Logic_Parameters!$B$2:$B$6)</f>
        <v>0.40153780240992015</v>
      </c>
      <c r="AQ443" s="16" t="str" cm="1">
        <f t="array" ref="AQ443">_xlfn.IFS(tbl_HR_Data[[#This Row],[Attrition_Risk_Percentage]] &gt;= 0.75, "Critical",tbl_HR_Data[ [#This Row],[Attrition_Risk_Percentage] ]&gt;= 0.5, "High",tbl_HR_Data[[#This Row],[Attrition_Risk_Percentage]] &gt;= 0.25, "Medium",TRUE, "Low")</f>
        <v>Medium</v>
      </c>
      <c r="AR443" s="16" cm="1">
        <f t="array" ref="AR443">IFERROR(_xlfn.IFS(tbl_HR_Data[[#This Row],[Risk_Category]]="Critical",tbl_HR_Data[[#This Row],[MonthlyIncome]]*1.5,tbl_HR_Data[[#This Row],[Risk_Category]]="High",tbl_HR_Data[[#This Row],[MonthlyIncome]]*1.5),0)</f>
        <v>0</v>
      </c>
    </row>
    <row r="444" spans="1:44" x14ac:dyDescent="0.35">
      <c r="A444" t="s">
        <v>567</v>
      </c>
      <c r="B444">
        <v>36</v>
      </c>
      <c r="C444" t="s">
        <v>1525</v>
      </c>
      <c r="D444">
        <v>635</v>
      </c>
      <c r="E444" t="s">
        <v>32</v>
      </c>
      <c r="F444">
        <v>10</v>
      </c>
      <c r="G444">
        <v>4</v>
      </c>
      <c r="H444" t="s">
        <v>44</v>
      </c>
      <c r="I444">
        <v>2</v>
      </c>
      <c r="J444" t="s">
        <v>39</v>
      </c>
      <c r="K444">
        <v>32</v>
      </c>
      <c r="L444">
        <v>3</v>
      </c>
      <c r="M444">
        <v>3</v>
      </c>
      <c r="N444" t="s">
        <v>35</v>
      </c>
      <c r="O444">
        <v>4</v>
      </c>
      <c r="P444" t="s">
        <v>36</v>
      </c>
      <c r="Q444">
        <v>9980</v>
      </c>
      <c r="R444">
        <v>15318</v>
      </c>
      <c r="S444">
        <v>1</v>
      </c>
      <c r="T444">
        <v>0</v>
      </c>
      <c r="U444" s="17">
        <v>0.14000000000000001</v>
      </c>
      <c r="V444">
        <v>3</v>
      </c>
      <c r="W444">
        <v>4</v>
      </c>
      <c r="X444">
        <v>0</v>
      </c>
      <c r="Y444">
        <v>10</v>
      </c>
      <c r="Z444">
        <v>3</v>
      </c>
      <c r="AA444">
        <v>2</v>
      </c>
      <c r="AB444">
        <v>10</v>
      </c>
      <c r="AC444">
        <v>3</v>
      </c>
      <c r="AD444">
        <v>9</v>
      </c>
      <c r="AE444">
        <v>7</v>
      </c>
      <c r="AF444">
        <v>0</v>
      </c>
      <c r="AG444">
        <f>IF(tbl_HR_Data[[#This Row],[Gender]]="Male",1,0)</f>
        <v>1</v>
      </c>
      <c r="AH444" cm="1">
        <f t="array" ref="AH444">_xlfn.SWITCH(tbl_HR_Data[[#This Row],[BusinessTravel]], "Non-Travel", 0, "Travel_Rarely", 1, "Travel_Frequently", 2)</f>
        <v>0</v>
      </c>
      <c r="AI444" cm="1">
        <f t="array" ref="AI444">_xlfn.SWITCH(tbl_HR_Data[[#This Row],[MaritalStatus]],"Single",0,"Married",1,"Divorced",2)</f>
        <v>0</v>
      </c>
      <c r="AJ444">
        <f>IF(tbl_HR_Data[[#This Row],[OverTime]]=1,1,0)</f>
        <v>0</v>
      </c>
      <c r="AK444">
        <f>IF(tbl_HR_Data[[#This Row],[DistanceFromHome]]&gt;15,1,0)</f>
        <v>0</v>
      </c>
      <c r="AL444">
        <f>IF(tbl_HR_Data[[#This Row],[JobSatisfaction]]&lt;=2,1,0)</f>
        <v>0</v>
      </c>
      <c r="AM444">
        <f>IF(tbl_HR_Data[[#This Row],[MonthlyIncome]]&lt;$AT$2,1,0)</f>
        <v>0</v>
      </c>
      <c r="AN444">
        <f>IF(tbl_HR_Data[[#This Row],[Travel_Code]]=2,1,0)</f>
        <v>0</v>
      </c>
      <c r="AO444">
        <f>(tbl_HR_Data[[#This Row],[Flag_OT]] * Logic_Parameters!$B$2) +
 (tbl_HR_Data[[#This Row],[Flag_Travel]] * Logic_Parameters!$B$3) +
 (tbl_HR_Data[[#This Row],[Flag_Satisfaction]] * Logic_Parameters!$B$4) +
 (tbl_HR_Data[[#This Row],[Flag_Distance]]* Logic_Parameters!$B$5) +
 (tbl_HR_Data[[#This Row],[Flag_Income]] * Logic_Parameters!$B$6)</f>
        <v>0</v>
      </c>
      <c r="AP444" s="15">
        <f>tbl_HR_Data[[#This Row],[Risk_Score_Raw]] / SUM(Logic_Parameters!$B$2:$B$6)</f>
        <v>0</v>
      </c>
      <c r="AQ444" s="16" t="str" cm="1">
        <f t="array" ref="AQ444">_xlfn.IFS(tbl_HR_Data[[#This Row],[Attrition_Risk_Percentage]] &gt;= 0.75, "Critical",tbl_HR_Data[ [#This Row],[Attrition_Risk_Percentage] ]&gt;= 0.5, "High",tbl_HR_Data[[#This Row],[Attrition_Risk_Percentage]] &gt;= 0.25, "Medium",TRUE, "Low")</f>
        <v>Low</v>
      </c>
      <c r="AR444" s="16" cm="1">
        <f t="array" ref="AR444">IFERROR(_xlfn.IFS(tbl_HR_Data[[#This Row],[Risk_Category]]="Critical",tbl_HR_Data[[#This Row],[MonthlyIncome]]*1.5,tbl_HR_Data[[#This Row],[Risk_Category]]="High",tbl_HR_Data[[#This Row],[MonthlyIncome]]*1.5),0)</f>
        <v>0</v>
      </c>
    </row>
    <row r="445" spans="1:44" x14ac:dyDescent="0.35">
      <c r="A445" t="s">
        <v>1221</v>
      </c>
      <c r="B445">
        <v>22</v>
      </c>
      <c r="C445" t="s">
        <v>37</v>
      </c>
      <c r="D445">
        <v>1368</v>
      </c>
      <c r="E445" t="s">
        <v>38</v>
      </c>
      <c r="F445">
        <v>4</v>
      </c>
      <c r="G445">
        <v>1</v>
      </c>
      <c r="H445" t="s">
        <v>52</v>
      </c>
      <c r="I445">
        <v>3</v>
      </c>
      <c r="J445" t="s">
        <v>39</v>
      </c>
      <c r="K445">
        <v>99</v>
      </c>
      <c r="L445">
        <v>2</v>
      </c>
      <c r="M445">
        <v>1</v>
      </c>
      <c r="N445" t="s">
        <v>43</v>
      </c>
      <c r="O445">
        <v>3</v>
      </c>
      <c r="P445" t="s">
        <v>36</v>
      </c>
      <c r="Q445">
        <v>3894</v>
      </c>
      <c r="R445">
        <v>9129</v>
      </c>
      <c r="S445">
        <v>5</v>
      </c>
      <c r="T445">
        <v>0</v>
      </c>
      <c r="U445" s="17">
        <v>0.16</v>
      </c>
      <c r="V445">
        <v>3</v>
      </c>
      <c r="W445">
        <v>3</v>
      </c>
      <c r="X445">
        <v>0</v>
      </c>
      <c r="Y445">
        <v>4</v>
      </c>
      <c r="Z445">
        <v>3</v>
      </c>
      <c r="AA445">
        <v>3</v>
      </c>
      <c r="AB445">
        <v>2</v>
      </c>
      <c r="AC445">
        <v>2</v>
      </c>
      <c r="AD445">
        <v>1</v>
      </c>
      <c r="AE445">
        <v>2</v>
      </c>
      <c r="AF445">
        <v>1</v>
      </c>
      <c r="AG445">
        <f>IF(tbl_HR_Data[[#This Row],[Gender]]="Male",1,0)</f>
        <v>1</v>
      </c>
      <c r="AH445" cm="1">
        <f t="array" ref="AH445">_xlfn.SWITCH(tbl_HR_Data[[#This Row],[BusinessTravel]], "Non-Travel", 0, "Travel_Rarely", 1, "Travel_Frequently", 2)</f>
        <v>2</v>
      </c>
      <c r="AI445" cm="1">
        <f t="array" ref="AI445">_xlfn.SWITCH(tbl_HR_Data[[#This Row],[MaritalStatus]],"Single",0,"Married",1,"Divorced",2)</f>
        <v>0</v>
      </c>
      <c r="AJ445">
        <f>IF(tbl_HR_Data[[#This Row],[OverTime]]=1,1,0)</f>
        <v>0</v>
      </c>
      <c r="AK445">
        <f>IF(tbl_HR_Data[[#This Row],[DistanceFromHome]]&gt;15,1,0)</f>
        <v>0</v>
      </c>
      <c r="AL445">
        <f>IF(tbl_HR_Data[[#This Row],[JobSatisfaction]]&lt;=2,1,0)</f>
        <v>0</v>
      </c>
      <c r="AM445">
        <f>IF(tbl_HR_Data[[#This Row],[MonthlyIncome]]&lt;$AT$2,1,0)</f>
        <v>1</v>
      </c>
      <c r="AN445">
        <f>IF(tbl_HR_Data[[#This Row],[Travel_Code]]=2,1,0)</f>
        <v>1</v>
      </c>
      <c r="AO445">
        <f>(tbl_HR_Data[[#This Row],[Flag_OT]] * Logic_Parameters!$B$2) +
 (tbl_HR_Data[[#This Row],[Flag_Travel]] * Logic_Parameters!$B$3) +
 (tbl_HR_Data[[#This Row],[Flag_Satisfaction]] * Logic_Parameters!$B$4) +
 (tbl_HR_Data[[#This Row],[Flag_Distance]]* Logic_Parameters!$B$5) +
 (tbl_HR_Data[[#This Row],[Flag_Income]] * Logic_Parameters!$B$6)</f>
        <v>11.654818917911005</v>
      </c>
      <c r="AP445" s="15">
        <f>tbl_HR_Data[[#This Row],[Risk_Score_Raw]] / SUM(Logic_Parameters!$B$2:$B$6)</f>
        <v>0.40153780240992015</v>
      </c>
      <c r="AQ445" s="16" t="str" cm="1">
        <f t="array" ref="AQ445">_xlfn.IFS(tbl_HR_Data[[#This Row],[Attrition_Risk_Percentage]] &gt;= 0.75, "Critical",tbl_HR_Data[ [#This Row],[Attrition_Risk_Percentage] ]&gt;= 0.5, "High",tbl_HR_Data[[#This Row],[Attrition_Risk_Percentage]] &gt;= 0.25, "Medium",TRUE, "Low")</f>
        <v>Medium</v>
      </c>
      <c r="AR445" s="16" cm="1">
        <f t="array" ref="AR445">IFERROR(_xlfn.IFS(tbl_HR_Data[[#This Row],[Risk_Category]]="Critical",tbl_HR_Data[[#This Row],[MonthlyIncome]]*1.5,tbl_HR_Data[[#This Row],[Risk_Category]]="High",tbl_HR_Data[[#This Row],[MonthlyIncome]]*1.5),0)</f>
        <v>0</v>
      </c>
    </row>
    <row r="446" spans="1:44" x14ac:dyDescent="0.35">
      <c r="A446" t="s">
        <v>151</v>
      </c>
      <c r="B446">
        <v>48</v>
      </c>
      <c r="C446" t="s">
        <v>31</v>
      </c>
      <c r="D446">
        <v>163</v>
      </c>
      <c r="E446" t="s">
        <v>32</v>
      </c>
      <c r="F446">
        <v>2</v>
      </c>
      <c r="G446">
        <v>5</v>
      </c>
      <c r="H446" t="s">
        <v>51</v>
      </c>
      <c r="I446">
        <v>2</v>
      </c>
      <c r="J446" t="s">
        <v>34</v>
      </c>
      <c r="K446">
        <v>37</v>
      </c>
      <c r="L446">
        <v>3</v>
      </c>
      <c r="M446">
        <v>2</v>
      </c>
      <c r="N446" t="s">
        <v>35</v>
      </c>
      <c r="O446">
        <v>4</v>
      </c>
      <c r="P446" t="s">
        <v>41</v>
      </c>
      <c r="Q446">
        <v>4051</v>
      </c>
      <c r="R446">
        <v>19658</v>
      </c>
      <c r="S446">
        <v>2</v>
      </c>
      <c r="T446">
        <v>0</v>
      </c>
      <c r="U446" s="17">
        <v>0.14000000000000001</v>
      </c>
      <c r="V446">
        <v>3</v>
      </c>
      <c r="W446">
        <v>1</v>
      </c>
      <c r="X446">
        <v>1</v>
      </c>
      <c r="Y446">
        <v>14</v>
      </c>
      <c r="Z446">
        <v>2</v>
      </c>
      <c r="AA446">
        <v>3</v>
      </c>
      <c r="AB446">
        <v>9</v>
      </c>
      <c r="AC446">
        <v>7</v>
      </c>
      <c r="AD446">
        <v>6</v>
      </c>
      <c r="AE446">
        <v>7</v>
      </c>
      <c r="AF446">
        <v>0</v>
      </c>
      <c r="AG446">
        <f>IF(tbl_HR_Data[[#This Row],[Gender]]="Male",1,0)</f>
        <v>0</v>
      </c>
      <c r="AH446" cm="1">
        <f t="array" ref="AH446">_xlfn.SWITCH(tbl_HR_Data[[#This Row],[BusinessTravel]], "Non-Travel", 0, "Travel_Rarely", 1, "Travel_Frequently", 2)</f>
        <v>1</v>
      </c>
      <c r="AI446" cm="1">
        <f t="array" ref="AI446">_xlfn.SWITCH(tbl_HR_Data[[#This Row],[MaritalStatus]],"Single",0,"Married",1,"Divorced",2)</f>
        <v>1</v>
      </c>
      <c r="AJ446">
        <f>IF(tbl_HR_Data[[#This Row],[OverTime]]=1,1,0)</f>
        <v>0</v>
      </c>
      <c r="AK446">
        <f>IF(tbl_HR_Data[[#This Row],[DistanceFromHome]]&gt;15,1,0)</f>
        <v>0</v>
      </c>
      <c r="AL446">
        <f>IF(tbl_HR_Data[[#This Row],[JobSatisfaction]]&lt;=2,1,0)</f>
        <v>0</v>
      </c>
      <c r="AM446">
        <f>IF(tbl_HR_Data[[#This Row],[MonthlyIncome]]&lt;$AT$2,1,0)</f>
        <v>1</v>
      </c>
      <c r="AN446">
        <f>IF(tbl_HR_Data[[#This Row],[Travel_Code]]=2,1,0)</f>
        <v>0</v>
      </c>
      <c r="AO446">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446" s="15">
        <f>tbl_HR_Data[[#This Row],[Risk_Score_Raw]] / SUM(Logic_Parameters!$B$2:$B$6)</f>
        <v>0.22374939857982484</v>
      </c>
      <c r="AQ446" s="16" t="str" cm="1">
        <f t="array" ref="AQ446">_xlfn.IFS(tbl_HR_Data[[#This Row],[Attrition_Risk_Percentage]] &gt;= 0.75, "Critical",tbl_HR_Data[ [#This Row],[Attrition_Risk_Percentage] ]&gt;= 0.5, "High",tbl_HR_Data[[#This Row],[Attrition_Risk_Percentage]] &gt;= 0.25, "Medium",TRUE, "Low")</f>
        <v>Low</v>
      </c>
      <c r="AR446" s="16" cm="1">
        <f t="array" ref="AR446">IFERROR(_xlfn.IFS(tbl_HR_Data[[#This Row],[Risk_Category]]="Critical",tbl_HR_Data[[#This Row],[MonthlyIncome]]*1.5,tbl_HR_Data[[#This Row],[Risk_Category]]="High",tbl_HR_Data[[#This Row],[MonthlyIncome]]*1.5),0)</f>
        <v>0</v>
      </c>
    </row>
    <row r="447" spans="1:44" x14ac:dyDescent="0.35">
      <c r="A447" t="s">
        <v>828</v>
      </c>
      <c r="B447">
        <v>55</v>
      </c>
      <c r="C447" t="s">
        <v>31</v>
      </c>
      <c r="D447">
        <v>1117</v>
      </c>
      <c r="E447" t="s">
        <v>32</v>
      </c>
      <c r="F447">
        <v>18</v>
      </c>
      <c r="G447">
        <v>5</v>
      </c>
      <c r="H447" t="s">
        <v>33</v>
      </c>
      <c r="I447">
        <v>1</v>
      </c>
      <c r="J447" t="s">
        <v>34</v>
      </c>
      <c r="K447">
        <v>83</v>
      </c>
      <c r="L447">
        <v>3</v>
      </c>
      <c r="M447">
        <v>4</v>
      </c>
      <c r="N447" t="s">
        <v>48</v>
      </c>
      <c r="O447">
        <v>2</v>
      </c>
      <c r="P447" t="s">
        <v>36</v>
      </c>
      <c r="Q447">
        <v>16835</v>
      </c>
      <c r="R447">
        <v>9873</v>
      </c>
      <c r="S447">
        <v>3</v>
      </c>
      <c r="T447">
        <v>0</v>
      </c>
      <c r="U447" s="17">
        <v>0.23</v>
      </c>
      <c r="V447">
        <v>4</v>
      </c>
      <c r="W447">
        <v>4</v>
      </c>
      <c r="X447">
        <v>0</v>
      </c>
      <c r="Y447">
        <v>37</v>
      </c>
      <c r="Z447">
        <v>2</v>
      </c>
      <c r="AA447">
        <v>3</v>
      </c>
      <c r="AB447">
        <v>10</v>
      </c>
      <c r="AC447">
        <v>9</v>
      </c>
      <c r="AD447">
        <v>7</v>
      </c>
      <c r="AE447">
        <v>7</v>
      </c>
      <c r="AF447">
        <v>0</v>
      </c>
      <c r="AG447">
        <f>IF(tbl_HR_Data[[#This Row],[Gender]]="Male",1,0)</f>
        <v>0</v>
      </c>
      <c r="AH447" cm="1">
        <f t="array" ref="AH447">_xlfn.SWITCH(tbl_HR_Data[[#This Row],[BusinessTravel]], "Non-Travel", 0, "Travel_Rarely", 1, "Travel_Frequently", 2)</f>
        <v>1</v>
      </c>
      <c r="AI447" cm="1">
        <f t="array" ref="AI447">_xlfn.SWITCH(tbl_HR_Data[[#This Row],[MaritalStatus]],"Single",0,"Married",1,"Divorced",2)</f>
        <v>0</v>
      </c>
      <c r="AJ447">
        <f>IF(tbl_HR_Data[[#This Row],[OverTime]]=1,1,0)</f>
        <v>0</v>
      </c>
      <c r="AK447">
        <f>IF(tbl_HR_Data[[#This Row],[DistanceFromHome]]&gt;15,1,0)</f>
        <v>1</v>
      </c>
      <c r="AL447">
        <f>IF(tbl_HR_Data[[#This Row],[JobSatisfaction]]&lt;=2,1,0)</f>
        <v>1</v>
      </c>
      <c r="AM447">
        <f>IF(tbl_HR_Data[[#This Row],[MonthlyIncome]]&lt;$AT$2,1,0)</f>
        <v>0</v>
      </c>
      <c r="AN447">
        <f>IF(tbl_HR_Data[[#This Row],[Travel_Code]]=2,1,0)</f>
        <v>0</v>
      </c>
      <c r="AO447">
        <f>(tbl_HR_Data[[#This Row],[Flag_OT]] * Logic_Parameters!$B$2) +
 (tbl_HR_Data[[#This Row],[Flag_Travel]] * Logic_Parameters!$B$3) +
 (tbl_HR_Data[[#This Row],[Flag_Satisfaction]] * Logic_Parameters!$B$4) +
 (tbl_HR_Data[[#This Row],[Flag_Distance]]* Logic_Parameters!$B$5) +
 (tbl_HR_Data[[#This Row],[Flag_Income]] * Logic_Parameters!$B$6)</f>
        <v>7.3706398258535089</v>
      </c>
      <c r="AP447" s="15">
        <f>tbl_HR_Data[[#This Row],[Risk_Score_Raw]] / SUM(Logic_Parameters!$B$2:$B$6)</f>
        <v>0.25393706576427255</v>
      </c>
      <c r="AQ447" s="16" t="str" cm="1">
        <f t="array" ref="AQ447">_xlfn.IFS(tbl_HR_Data[[#This Row],[Attrition_Risk_Percentage]] &gt;= 0.75, "Critical",tbl_HR_Data[ [#This Row],[Attrition_Risk_Percentage] ]&gt;= 0.5, "High",tbl_HR_Data[[#This Row],[Attrition_Risk_Percentage]] &gt;= 0.25, "Medium",TRUE, "Low")</f>
        <v>Medium</v>
      </c>
      <c r="AR447" s="16" cm="1">
        <f t="array" ref="AR447">IFERROR(_xlfn.IFS(tbl_HR_Data[[#This Row],[Risk_Category]]="Critical",tbl_HR_Data[[#This Row],[MonthlyIncome]]*1.5,tbl_HR_Data[[#This Row],[Risk_Category]]="High",tbl_HR_Data[[#This Row],[MonthlyIncome]]*1.5),0)</f>
        <v>0</v>
      </c>
    </row>
    <row r="448" spans="1:44" x14ac:dyDescent="0.35">
      <c r="A448" t="s">
        <v>838</v>
      </c>
      <c r="B448">
        <v>41</v>
      </c>
      <c r="C448" t="s">
        <v>1525</v>
      </c>
      <c r="D448">
        <v>267</v>
      </c>
      <c r="E448" t="s">
        <v>32</v>
      </c>
      <c r="F448">
        <v>10</v>
      </c>
      <c r="G448">
        <v>2</v>
      </c>
      <c r="H448" t="s">
        <v>33</v>
      </c>
      <c r="I448">
        <v>4</v>
      </c>
      <c r="J448" t="s">
        <v>39</v>
      </c>
      <c r="K448">
        <v>56</v>
      </c>
      <c r="L448">
        <v>3</v>
      </c>
      <c r="M448">
        <v>2</v>
      </c>
      <c r="N448" t="s">
        <v>35</v>
      </c>
      <c r="O448">
        <v>4</v>
      </c>
      <c r="P448" t="s">
        <v>36</v>
      </c>
      <c r="Q448">
        <v>6230</v>
      </c>
      <c r="R448">
        <v>13430</v>
      </c>
      <c r="S448">
        <v>7</v>
      </c>
      <c r="T448">
        <v>0</v>
      </c>
      <c r="U448" s="17">
        <v>0.14000000000000001</v>
      </c>
      <c r="V448">
        <v>3</v>
      </c>
      <c r="W448">
        <v>4</v>
      </c>
      <c r="X448">
        <v>0</v>
      </c>
      <c r="Y448">
        <v>16</v>
      </c>
      <c r="Z448">
        <v>3</v>
      </c>
      <c r="AA448">
        <v>3</v>
      </c>
      <c r="AB448">
        <v>14</v>
      </c>
      <c r="AC448">
        <v>3</v>
      </c>
      <c r="AD448">
        <v>1</v>
      </c>
      <c r="AE448">
        <v>10</v>
      </c>
      <c r="AF448">
        <v>0</v>
      </c>
      <c r="AG448">
        <f>IF(tbl_HR_Data[[#This Row],[Gender]]="Male",1,0)</f>
        <v>1</v>
      </c>
      <c r="AH448" cm="1">
        <f t="array" ref="AH448">_xlfn.SWITCH(tbl_HR_Data[[#This Row],[BusinessTravel]], "Non-Travel", 0, "Travel_Rarely", 1, "Travel_Frequently", 2)</f>
        <v>0</v>
      </c>
      <c r="AI448" cm="1">
        <f t="array" ref="AI448">_xlfn.SWITCH(tbl_HR_Data[[#This Row],[MaritalStatus]],"Single",0,"Married",1,"Divorced",2)</f>
        <v>0</v>
      </c>
      <c r="AJ448">
        <f>IF(tbl_HR_Data[[#This Row],[OverTime]]=1,1,0)</f>
        <v>0</v>
      </c>
      <c r="AK448">
        <f>IF(tbl_HR_Data[[#This Row],[DistanceFromHome]]&gt;15,1,0)</f>
        <v>0</v>
      </c>
      <c r="AL448">
        <f>IF(tbl_HR_Data[[#This Row],[JobSatisfaction]]&lt;=2,1,0)</f>
        <v>0</v>
      </c>
      <c r="AM448">
        <f>IF(tbl_HR_Data[[#This Row],[MonthlyIncome]]&lt;$AT$2,1,0)</f>
        <v>0</v>
      </c>
      <c r="AN448">
        <f>IF(tbl_HR_Data[[#This Row],[Travel_Code]]=2,1,0)</f>
        <v>0</v>
      </c>
      <c r="AO448">
        <f>(tbl_HR_Data[[#This Row],[Flag_OT]] * Logic_Parameters!$B$2) +
 (tbl_HR_Data[[#This Row],[Flag_Travel]] * Logic_Parameters!$B$3) +
 (tbl_HR_Data[[#This Row],[Flag_Satisfaction]] * Logic_Parameters!$B$4) +
 (tbl_HR_Data[[#This Row],[Flag_Distance]]* Logic_Parameters!$B$5) +
 (tbl_HR_Data[[#This Row],[Flag_Income]] * Logic_Parameters!$B$6)</f>
        <v>0</v>
      </c>
      <c r="AP448" s="15">
        <f>tbl_HR_Data[[#This Row],[Risk_Score_Raw]] / SUM(Logic_Parameters!$B$2:$B$6)</f>
        <v>0</v>
      </c>
      <c r="AQ448" s="16" t="str" cm="1">
        <f t="array" ref="AQ448">_xlfn.IFS(tbl_HR_Data[[#This Row],[Attrition_Risk_Percentage]] &gt;= 0.75, "Critical",tbl_HR_Data[ [#This Row],[Attrition_Risk_Percentage] ]&gt;= 0.5, "High",tbl_HR_Data[[#This Row],[Attrition_Risk_Percentage]] &gt;= 0.25, "Medium",TRUE, "Low")</f>
        <v>Low</v>
      </c>
      <c r="AR448" s="16" cm="1">
        <f t="array" ref="AR448">IFERROR(_xlfn.IFS(tbl_HR_Data[[#This Row],[Risk_Category]]="Critical",tbl_HR_Data[[#This Row],[MonthlyIncome]]*1.5,tbl_HR_Data[[#This Row],[Risk_Category]]="High",tbl_HR_Data[[#This Row],[MonthlyIncome]]*1.5),0)</f>
        <v>0</v>
      </c>
    </row>
    <row r="449" spans="1:44" x14ac:dyDescent="0.35">
      <c r="A449" t="s">
        <v>479</v>
      </c>
      <c r="B449">
        <v>35</v>
      </c>
      <c r="C449" t="s">
        <v>31</v>
      </c>
      <c r="D449">
        <v>619</v>
      </c>
      <c r="E449" t="s">
        <v>32</v>
      </c>
      <c r="F449">
        <v>1</v>
      </c>
      <c r="G449">
        <v>3</v>
      </c>
      <c r="H449" t="s">
        <v>51</v>
      </c>
      <c r="I449">
        <v>2</v>
      </c>
      <c r="J449" t="s">
        <v>39</v>
      </c>
      <c r="K449">
        <v>85</v>
      </c>
      <c r="L449">
        <v>3</v>
      </c>
      <c r="M449">
        <v>2</v>
      </c>
      <c r="N449" t="s">
        <v>35</v>
      </c>
      <c r="O449">
        <v>3</v>
      </c>
      <c r="P449" t="s">
        <v>41</v>
      </c>
      <c r="Q449">
        <v>4717</v>
      </c>
      <c r="R449">
        <v>18659</v>
      </c>
      <c r="S449">
        <v>9</v>
      </c>
      <c r="T449">
        <v>0</v>
      </c>
      <c r="U449" s="17">
        <v>0.11</v>
      </c>
      <c r="V449">
        <v>3</v>
      </c>
      <c r="W449">
        <v>3</v>
      </c>
      <c r="X449">
        <v>0</v>
      </c>
      <c r="Y449">
        <v>15</v>
      </c>
      <c r="Z449">
        <v>2</v>
      </c>
      <c r="AA449">
        <v>3</v>
      </c>
      <c r="AB449">
        <v>11</v>
      </c>
      <c r="AC449">
        <v>9</v>
      </c>
      <c r="AD449">
        <v>6</v>
      </c>
      <c r="AE449">
        <v>9</v>
      </c>
      <c r="AF449">
        <v>0</v>
      </c>
      <c r="AG449">
        <f>IF(tbl_HR_Data[[#This Row],[Gender]]="Male",1,0)</f>
        <v>1</v>
      </c>
      <c r="AH449" cm="1">
        <f t="array" ref="AH449">_xlfn.SWITCH(tbl_HR_Data[[#This Row],[BusinessTravel]], "Non-Travel", 0, "Travel_Rarely", 1, "Travel_Frequently", 2)</f>
        <v>1</v>
      </c>
      <c r="AI449" cm="1">
        <f t="array" ref="AI449">_xlfn.SWITCH(tbl_HR_Data[[#This Row],[MaritalStatus]],"Single",0,"Married",1,"Divorced",2)</f>
        <v>1</v>
      </c>
      <c r="AJ449">
        <f>IF(tbl_HR_Data[[#This Row],[OverTime]]=1,1,0)</f>
        <v>0</v>
      </c>
      <c r="AK449">
        <f>IF(tbl_HR_Data[[#This Row],[DistanceFromHome]]&gt;15,1,0)</f>
        <v>0</v>
      </c>
      <c r="AL449">
        <f>IF(tbl_HR_Data[[#This Row],[JobSatisfaction]]&lt;=2,1,0)</f>
        <v>0</v>
      </c>
      <c r="AM449">
        <f>IF(tbl_HR_Data[[#This Row],[MonthlyIncome]]&lt;$AT$2,1,0)</f>
        <v>1</v>
      </c>
      <c r="AN449">
        <f>IF(tbl_HR_Data[[#This Row],[Travel_Code]]=2,1,0)</f>
        <v>0</v>
      </c>
      <c r="AO449">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449" s="15">
        <f>tbl_HR_Data[[#This Row],[Risk_Score_Raw]] / SUM(Logic_Parameters!$B$2:$B$6)</f>
        <v>0.22374939857982484</v>
      </c>
      <c r="AQ449" s="16" t="str" cm="1">
        <f t="array" ref="AQ449">_xlfn.IFS(tbl_HR_Data[[#This Row],[Attrition_Risk_Percentage]] &gt;= 0.75, "Critical",tbl_HR_Data[ [#This Row],[Attrition_Risk_Percentage] ]&gt;= 0.5, "High",tbl_HR_Data[[#This Row],[Attrition_Risk_Percentage]] &gt;= 0.25, "Medium",TRUE, "Low")</f>
        <v>Low</v>
      </c>
      <c r="AR449" s="16" cm="1">
        <f t="array" ref="AR449">IFERROR(_xlfn.IFS(tbl_HR_Data[[#This Row],[Risk_Category]]="Critical",tbl_HR_Data[[#This Row],[MonthlyIncome]]*1.5,tbl_HR_Data[[#This Row],[Risk_Category]]="High",tbl_HR_Data[[#This Row],[MonthlyIncome]]*1.5),0)</f>
        <v>0</v>
      </c>
    </row>
    <row r="450" spans="1:44" x14ac:dyDescent="0.35">
      <c r="A450" t="s">
        <v>427</v>
      </c>
      <c r="B450">
        <v>40</v>
      </c>
      <c r="C450" t="s">
        <v>31</v>
      </c>
      <c r="D450">
        <v>302</v>
      </c>
      <c r="E450" t="s">
        <v>38</v>
      </c>
      <c r="F450">
        <v>6</v>
      </c>
      <c r="G450">
        <v>3</v>
      </c>
      <c r="H450" t="s">
        <v>33</v>
      </c>
      <c r="I450">
        <v>2</v>
      </c>
      <c r="J450" t="s">
        <v>34</v>
      </c>
      <c r="K450">
        <v>75</v>
      </c>
      <c r="L450">
        <v>3</v>
      </c>
      <c r="M450">
        <v>4</v>
      </c>
      <c r="N450" t="s">
        <v>46</v>
      </c>
      <c r="O450">
        <v>3</v>
      </c>
      <c r="P450" t="s">
        <v>36</v>
      </c>
      <c r="Q450">
        <v>13237</v>
      </c>
      <c r="R450">
        <v>20364</v>
      </c>
      <c r="S450">
        <v>7</v>
      </c>
      <c r="T450">
        <v>0</v>
      </c>
      <c r="U450" s="17">
        <v>0.15</v>
      </c>
      <c r="V450">
        <v>3</v>
      </c>
      <c r="W450">
        <v>3</v>
      </c>
      <c r="X450">
        <v>0</v>
      </c>
      <c r="Y450">
        <v>22</v>
      </c>
      <c r="Z450">
        <v>3</v>
      </c>
      <c r="AA450">
        <v>3</v>
      </c>
      <c r="AB450">
        <v>20</v>
      </c>
      <c r="AC450">
        <v>6</v>
      </c>
      <c r="AD450">
        <v>5</v>
      </c>
      <c r="AE450">
        <v>13</v>
      </c>
      <c r="AF450">
        <v>0</v>
      </c>
      <c r="AG450">
        <f>IF(tbl_HR_Data[[#This Row],[Gender]]="Male",1,0)</f>
        <v>0</v>
      </c>
      <c r="AH450" cm="1">
        <f t="array" ref="AH450">_xlfn.SWITCH(tbl_HR_Data[[#This Row],[BusinessTravel]], "Non-Travel", 0, "Travel_Rarely", 1, "Travel_Frequently", 2)</f>
        <v>1</v>
      </c>
      <c r="AI450" cm="1">
        <f t="array" ref="AI450">_xlfn.SWITCH(tbl_HR_Data[[#This Row],[MaritalStatus]],"Single",0,"Married",1,"Divorced",2)</f>
        <v>0</v>
      </c>
      <c r="AJ450">
        <f>IF(tbl_HR_Data[[#This Row],[OverTime]]=1,1,0)</f>
        <v>0</v>
      </c>
      <c r="AK450">
        <f>IF(tbl_HR_Data[[#This Row],[DistanceFromHome]]&gt;15,1,0)</f>
        <v>0</v>
      </c>
      <c r="AL450">
        <f>IF(tbl_HR_Data[[#This Row],[JobSatisfaction]]&lt;=2,1,0)</f>
        <v>0</v>
      </c>
      <c r="AM450">
        <f>IF(tbl_HR_Data[[#This Row],[MonthlyIncome]]&lt;$AT$2,1,0)</f>
        <v>0</v>
      </c>
      <c r="AN450">
        <f>IF(tbl_HR_Data[[#This Row],[Travel_Code]]=2,1,0)</f>
        <v>0</v>
      </c>
      <c r="AO450">
        <f>(tbl_HR_Data[[#This Row],[Flag_OT]] * Logic_Parameters!$B$2) +
 (tbl_HR_Data[[#This Row],[Flag_Travel]] * Logic_Parameters!$B$3) +
 (tbl_HR_Data[[#This Row],[Flag_Satisfaction]] * Logic_Parameters!$B$4) +
 (tbl_HR_Data[[#This Row],[Flag_Distance]]* Logic_Parameters!$B$5) +
 (tbl_HR_Data[[#This Row],[Flag_Income]] * Logic_Parameters!$B$6)</f>
        <v>0</v>
      </c>
      <c r="AP450" s="15">
        <f>tbl_HR_Data[[#This Row],[Risk_Score_Raw]] / SUM(Logic_Parameters!$B$2:$B$6)</f>
        <v>0</v>
      </c>
      <c r="AQ450" s="16" t="str" cm="1">
        <f t="array" ref="AQ450">_xlfn.IFS(tbl_HR_Data[[#This Row],[Attrition_Risk_Percentage]] &gt;= 0.75, "Critical",tbl_HR_Data[ [#This Row],[Attrition_Risk_Percentage] ]&gt;= 0.5, "High",tbl_HR_Data[[#This Row],[Attrition_Risk_Percentage]] &gt;= 0.25, "Medium",TRUE, "Low")</f>
        <v>Low</v>
      </c>
      <c r="AR450" s="16" cm="1">
        <f t="array" ref="AR450">IFERROR(_xlfn.IFS(tbl_HR_Data[[#This Row],[Risk_Category]]="Critical",tbl_HR_Data[[#This Row],[MonthlyIncome]]*1.5,tbl_HR_Data[[#This Row],[Risk_Category]]="High",tbl_HR_Data[[#This Row],[MonthlyIncome]]*1.5),0)</f>
        <v>0</v>
      </c>
    </row>
    <row r="451" spans="1:44" x14ac:dyDescent="0.35">
      <c r="A451" t="s">
        <v>733</v>
      </c>
      <c r="B451">
        <v>39</v>
      </c>
      <c r="C451" t="s">
        <v>37</v>
      </c>
      <c r="D451">
        <v>443</v>
      </c>
      <c r="E451" t="s">
        <v>38</v>
      </c>
      <c r="F451">
        <v>8</v>
      </c>
      <c r="G451">
        <v>1</v>
      </c>
      <c r="H451" t="s">
        <v>33</v>
      </c>
      <c r="I451">
        <v>3</v>
      </c>
      <c r="J451" t="s">
        <v>34</v>
      </c>
      <c r="K451">
        <v>48</v>
      </c>
      <c r="L451">
        <v>3</v>
      </c>
      <c r="M451">
        <v>1</v>
      </c>
      <c r="N451" t="s">
        <v>43</v>
      </c>
      <c r="O451">
        <v>3</v>
      </c>
      <c r="P451" t="s">
        <v>41</v>
      </c>
      <c r="Q451">
        <v>3755</v>
      </c>
      <c r="R451">
        <v>17872</v>
      </c>
      <c r="S451">
        <v>1</v>
      </c>
      <c r="T451">
        <v>0</v>
      </c>
      <c r="U451" s="17">
        <v>0.11</v>
      </c>
      <c r="V451">
        <v>3</v>
      </c>
      <c r="W451">
        <v>1</v>
      </c>
      <c r="X451">
        <v>1</v>
      </c>
      <c r="Y451">
        <v>8</v>
      </c>
      <c r="Z451">
        <v>3</v>
      </c>
      <c r="AA451">
        <v>3</v>
      </c>
      <c r="AB451">
        <v>8</v>
      </c>
      <c r="AC451">
        <v>3</v>
      </c>
      <c r="AD451">
        <v>0</v>
      </c>
      <c r="AE451">
        <v>7</v>
      </c>
      <c r="AF451">
        <v>0</v>
      </c>
      <c r="AG451">
        <f>IF(tbl_HR_Data[[#This Row],[Gender]]="Male",1,0)</f>
        <v>0</v>
      </c>
      <c r="AH451" cm="1">
        <f t="array" ref="AH451">_xlfn.SWITCH(tbl_HR_Data[[#This Row],[BusinessTravel]], "Non-Travel", 0, "Travel_Rarely", 1, "Travel_Frequently", 2)</f>
        <v>2</v>
      </c>
      <c r="AI451" cm="1">
        <f t="array" ref="AI451">_xlfn.SWITCH(tbl_HR_Data[[#This Row],[MaritalStatus]],"Single",0,"Married",1,"Divorced",2)</f>
        <v>1</v>
      </c>
      <c r="AJ451">
        <f>IF(tbl_HR_Data[[#This Row],[OverTime]]=1,1,0)</f>
        <v>0</v>
      </c>
      <c r="AK451">
        <f>IF(tbl_HR_Data[[#This Row],[DistanceFromHome]]&gt;15,1,0)</f>
        <v>0</v>
      </c>
      <c r="AL451">
        <f>IF(tbl_HR_Data[[#This Row],[JobSatisfaction]]&lt;=2,1,0)</f>
        <v>0</v>
      </c>
      <c r="AM451">
        <f>IF(tbl_HR_Data[[#This Row],[MonthlyIncome]]&lt;$AT$2,1,0)</f>
        <v>1</v>
      </c>
      <c r="AN451">
        <f>IF(tbl_HR_Data[[#This Row],[Travel_Code]]=2,1,0)</f>
        <v>1</v>
      </c>
      <c r="AO451">
        <f>(tbl_HR_Data[[#This Row],[Flag_OT]] * Logic_Parameters!$B$2) +
 (tbl_HR_Data[[#This Row],[Flag_Travel]] * Logic_Parameters!$B$3) +
 (tbl_HR_Data[[#This Row],[Flag_Satisfaction]] * Logic_Parameters!$B$4) +
 (tbl_HR_Data[[#This Row],[Flag_Distance]]* Logic_Parameters!$B$5) +
 (tbl_HR_Data[[#This Row],[Flag_Income]] * Logic_Parameters!$B$6)</f>
        <v>11.654818917911005</v>
      </c>
      <c r="AP451" s="15">
        <f>tbl_HR_Data[[#This Row],[Risk_Score_Raw]] / SUM(Logic_Parameters!$B$2:$B$6)</f>
        <v>0.40153780240992015</v>
      </c>
      <c r="AQ451" s="16" t="str" cm="1">
        <f t="array" ref="AQ451">_xlfn.IFS(tbl_HR_Data[[#This Row],[Attrition_Risk_Percentage]] &gt;= 0.75, "Critical",tbl_HR_Data[ [#This Row],[Attrition_Risk_Percentage] ]&gt;= 0.5, "High",tbl_HR_Data[[#This Row],[Attrition_Risk_Percentage]] &gt;= 0.25, "Medium",TRUE, "Low")</f>
        <v>Medium</v>
      </c>
      <c r="AR451" s="16" cm="1">
        <f t="array" ref="AR451">IFERROR(_xlfn.IFS(tbl_HR_Data[[#This Row],[Risk_Category]]="Critical",tbl_HR_Data[[#This Row],[MonthlyIncome]]*1.5,tbl_HR_Data[[#This Row],[Risk_Category]]="High",tbl_HR_Data[[#This Row],[MonthlyIncome]]*1.5),0)</f>
        <v>0</v>
      </c>
    </row>
    <row r="452" spans="1:44" x14ac:dyDescent="0.35">
      <c r="A452" t="s">
        <v>320</v>
      </c>
      <c r="B452">
        <v>31</v>
      </c>
      <c r="C452" t="s">
        <v>31</v>
      </c>
      <c r="D452">
        <v>828</v>
      </c>
      <c r="E452" t="s">
        <v>32</v>
      </c>
      <c r="F452">
        <v>2</v>
      </c>
      <c r="G452">
        <v>1</v>
      </c>
      <c r="H452" t="s">
        <v>33</v>
      </c>
      <c r="I452">
        <v>2</v>
      </c>
      <c r="J452" t="s">
        <v>39</v>
      </c>
      <c r="K452">
        <v>77</v>
      </c>
      <c r="L452">
        <v>3</v>
      </c>
      <c r="M452">
        <v>2</v>
      </c>
      <c r="N452" t="s">
        <v>35</v>
      </c>
      <c r="O452">
        <v>4</v>
      </c>
      <c r="P452" t="s">
        <v>36</v>
      </c>
      <c r="Q452">
        <v>6582</v>
      </c>
      <c r="R452">
        <v>8346</v>
      </c>
      <c r="S452">
        <v>4</v>
      </c>
      <c r="T452">
        <v>1</v>
      </c>
      <c r="U452" s="17">
        <v>0.13</v>
      </c>
      <c r="V452">
        <v>3</v>
      </c>
      <c r="W452">
        <v>3</v>
      </c>
      <c r="X452">
        <v>0</v>
      </c>
      <c r="Y452">
        <v>10</v>
      </c>
      <c r="Z452">
        <v>2</v>
      </c>
      <c r="AA452">
        <v>4</v>
      </c>
      <c r="AB452">
        <v>6</v>
      </c>
      <c r="AC452">
        <v>5</v>
      </c>
      <c r="AD452">
        <v>0</v>
      </c>
      <c r="AE452">
        <v>5</v>
      </c>
      <c r="AF452">
        <v>0</v>
      </c>
      <c r="AG452">
        <f>IF(tbl_HR_Data[[#This Row],[Gender]]="Male",1,0)</f>
        <v>1</v>
      </c>
      <c r="AH452" cm="1">
        <f t="array" ref="AH452">_xlfn.SWITCH(tbl_HR_Data[[#This Row],[BusinessTravel]], "Non-Travel", 0, "Travel_Rarely", 1, "Travel_Frequently", 2)</f>
        <v>1</v>
      </c>
      <c r="AI452" cm="1">
        <f t="array" ref="AI452">_xlfn.SWITCH(tbl_HR_Data[[#This Row],[MaritalStatus]],"Single",0,"Married",1,"Divorced",2)</f>
        <v>0</v>
      </c>
      <c r="AJ452">
        <f>IF(tbl_HR_Data[[#This Row],[OverTime]]=1,1,0)</f>
        <v>1</v>
      </c>
      <c r="AK452">
        <f>IF(tbl_HR_Data[[#This Row],[DistanceFromHome]]&gt;15,1,0)</f>
        <v>0</v>
      </c>
      <c r="AL452">
        <f>IF(tbl_HR_Data[[#This Row],[JobSatisfaction]]&lt;=2,1,0)</f>
        <v>0</v>
      </c>
      <c r="AM452">
        <f>IF(tbl_HR_Data[[#This Row],[MonthlyIncome]]&lt;$AT$2,1,0)</f>
        <v>0</v>
      </c>
      <c r="AN452">
        <f>IF(tbl_HR_Data[[#This Row],[Travel_Code]]=2,1,0)</f>
        <v>0</v>
      </c>
      <c r="AO452">
        <f>(tbl_HR_Data[[#This Row],[Flag_OT]] * Logic_Parameters!$B$2) +
 (tbl_HR_Data[[#This Row],[Flag_Travel]] * Logic_Parameters!$B$3) +
 (tbl_HR_Data[[#This Row],[Flag_Satisfaction]] * Logic_Parameters!$B$4) +
 (tbl_HR_Data[[#This Row],[Flag_Distance]]* Logic_Parameters!$B$5) +
 (tbl_HR_Data[[#This Row],[Flag_Income]] * Logic_Parameters!$B$6)</f>
        <v>10</v>
      </c>
      <c r="AP452" s="15">
        <f>tbl_HR_Data[[#This Row],[Risk_Score_Raw]] / SUM(Logic_Parameters!$B$2:$B$6)</f>
        <v>0.3445251318258073</v>
      </c>
      <c r="AQ452" s="16" t="str" cm="1">
        <f t="array" ref="AQ452">_xlfn.IFS(tbl_HR_Data[[#This Row],[Attrition_Risk_Percentage]] &gt;= 0.75, "Critical",tbl_HR_Data[ [#This Row],[Attrition_Risk_Percentage] ]&gt;= 0.5, "High",tbl_HR_Data[[#This Row],[Attrition_Risk_Percentage]] &gt;= 0.25, "Medium",TRUE, "Low")</f>
        <v>Medium</v>
      </c>
      <c r="AR452" s="16" cm="1">
        <f t="array" ref="AR452">IFERROR(_xlfn.IFS(tbl_HR_Data[[#This Row],[Risk_Category]]="Critical",tbl_HR_Data[[#This Row],[MonthlyIncome]]*1.5,tbl_HR_Data[[#This Row],[Risk_Category]]="High",tbl_HR_Data[[#This Row],[MonthlyIncome]]*1.5),0)</f>
        <v>0</v>
      </c>
    </row>
    <row r="453" spans="1:44" x14ac:dyDescent="0.35">
      <c r="A453" t="s">
        <v>1319</v>
      </c>
      <c r="B453">
        <v>42</v>
      </c>
      <c r="C453" t="s">
        <v>31</v>
      </c>
      <c r="D453">
        <v>319</v>
      </c>
      <c r="E453" t="s">
        <v>38</v>
      </c>
      <c r="F453">
        <v>24</v>
      </c>
      <c r="G453">
        <v>3</v>
      </c>
      <c r="H453" t="s">
        <v>44</v>
      </c>
      <c r="I453">
        <v>4</v>
      </c>
      <c r="J453" t="s">
        <v>39</v>
      </c>
      <c r="K453">
        <v>56</v>
      </c>
      <c r="L453">
        <v>3</v>
      </c>
      <c r="M453">
        <v>3</v>
      </c>
      <c r="N453" t="s">
        <v>46</v>
      </c>
      <c r="O453">
        <v>1</v>
      </c>
      <c r="P453" t="s">
        <v>41</v>
      </c>
      <c r="Q453">
        <v>7406</v>
      </c>
      <c r="R453">
        <v>6950</v>
      </c>
      <c r="S453">
        <v>1</v>
      </c>
      <c r="T453">
        <v>1</v>
      </c>
      <c r="U453" s="17">
        <v>0.21</v>
      </c>
      <c r="V453">
        <v>4</v>
      </c>
      <c r="W453">
        <v>4</v>
      </c>
      <c r="X453">
        <v>1</v>
      </c>
      <c r="Y453">
        <v>10</v>
      </c>
      <c r="Z453">
        <v>5</v>
      </c>
      <c r="AA453">
        <v>2</v>
      </c>
      <c r="AB453">
        <v>10</v>
      </c>
      <c r="AC453">
        <v>9</v>
      </c>
      <c r="AD453">
        <v>5</v>
      </c>
      <c r="AE453">
        <v>8</v>
      </c>
      <c r="AF453">
        <v>0</v>
      </c>
      <c r="AG453">
        <f>IF(tbl_HR_Data[[#This Row],[Gender]]="Male",1,0)</f>
        <v>1</v>
      </c>
      <c r="AH453" cm="1">
        <f t="array" ref="AH453">_xlfn.SWITCH(tbl_HR_Data[[#This Row],[BusinessTravel]], "Non-Travel", 0, "Travel_Rarely", 1, "Travel_Frequently", 2)</f>
        <v>1</v>
      </c>
      <c r="AI453" cm="1">
        <f t="array" ref="AI453">_xlfn.SWITCH(tbl_HR_Data[[#This Row],[MaritalStatus]],"Single",0,"Married",1,"Divorced",2)</f>
        <v>1</v>
      </c>
      <c r="AJ453">
        <f>IF(tbl_HR_Data[[#This Row],[OverTime]]=1,1,0)</f>
        <v>1</v>
      </c>
      <c r="AK453">
        <f>IF(tbl_HR_Data[[#This Row],[DistanceFromHome]]&gt;15,1,0)</f>
        <v>1</v>
      </c>
      <c r="AL453">
        <f>IF(tbl_HR_Data[[#This Row],[JobSatisfaction]]&lt;=2,1,0)</f>
        <v>1</v>
      </c>
      <c r="AM453">
        <f>IF(tbl_HR_Data[[#This Row],[MonthlyIncome]]&lt;$AT$2,1,0)</f>
        <v>0</v>
      </c>
      <c r="AN453">
        <f>IF(tbl_HR_Data[[#This Row],[Travel_Code]]=2,1,0)</f>
        <v>0</v>
      </c>
      <c r="AO453">
        <f>(tbl_HR_Data[[#This Row],[Flag_OT]] * Logic_Parameters!$B$2) +
 (tbl_HR_Data[[#This Row],[Flag_Travel]] * Logic_Parameters!$B$3) +
 (tbl_HR_Data[[#This Row],[Flag_Satisfaction]] * Logic_Parameters!$B$4) +
 (tbl_HR_Data[[#This Row],[Flag_Distance]]* Logic_Parameters!$B$5) +
 (tbl_HR_Data[[#This Row],[Flag_Income]] * Logic_Parameters!$B$6)</f>
        <v>17.370639825853509</v>
      </c>
      <c r="AP453" s="15">
        <f>tbl_HR_Data[[#This Row],[Risk_Score_Raw]] / SUM(Logic_Parameters!$B$2:$B$6)</f>
        <v>0.59846219759007979</v>
      </c>
      <c r="AQ453" s="16" t="str" cm="1">
        <f t="array" ref="AQ453">_xlfn.IFS(tbl_HR_Data[[#This Row],[Attrition_Risk_Percentage]] &gt;= 0.75, "Critical",tbl_HR_Data[ [#This Row],[Attrition_Risk_Percentage] ]&gt;= 0.5, "High",tbl_HR_Data[[#This Row],[Attrition_Risk_Percentage]] &gt;= 0.25, "Medium",TRUE, "Low")</f>
        <v>High</v>
      </c>
      <c r="AR453" s="16" cm="1">
        <f t="array" ref="AR453">IFERROR(_xlfn.IFS(tbl_HR_Data[[#This Row],[Risk_Category]]="Critical",tbl_HR_Data[[#This Row],[MonthlyIncome]]*1.5,tbl_HR_Data[[#This Row],[Risk_Category]]="High",tbl_HR_Data[[#This Row],[MonthlyIncome]]*1.5),0)</f>
        <v>11109</v>
      </c>
    </row>
    <row r="454" spans="1:44" x14ac:dyDescent="0.35">
      <c r="A454" t="s">
        <v>659</v>
      </c>
      <c r="B454">
        <v>45</v>
      </c>
      <c r="C454" t="s">
        <v>31</v>
      </c>
      <c r="D454">
        <v>561</v>
      </c>
      <c r="E454" t="s">
        <v>32</v>
      </c>
      <c r="F454">
        <v>2</v>
      </c>
      <c r="G454">
        <v>3</v>
      </c>
      <c r="H454" t="s">
        <v>42</v>
      </c>
      <c r="I454">
        <v>4</v>
      </c>
      <c r="J454" t="s">
        <v>39</v>
      </c>
      <c r="K454">
        <v>61</v>
      </c>
      <c r="L454">
        <v>3</v>
      </c>
      <c r="M454">
        <v>2</v>
      </c>
      <c r="N454" t="s">
        <v>35</v>
      </c>
      <c r="O454">
        <v>2</v>
      </c>
      <c r="P454" t="s">
        <v>41</v>
      </c>
      <c r="Q454">
        <v>4805</v>
      </c>
      <c r="R454">
        <v>16177</v>
      </c>
      <c r="S454">
        <v>0</v>
      </c>
      <c r="T454">
        <v>0</v>
      </c>
      <c r="U454" s="17">
        <v>0.19</v>
      </c>
      <c r="V454">
        <v>3</v>
      </c>
      <c r="W454">
        <v>2</v>
      </c>
      <c r="X454">
        <v>1</v>
      </c>
      <c r="Y454">
        <v>9</v>
      </c>
      <c r="Z454">
        <v>3</v>
      </c>
      <c r="AA454">
        <v>4</v>
      </c>
      <c r="AB454">
        <v>8</v>
      </c>
      <c r="AC454">
        <v>7</v>
      </c>
      <c r="AD454">
        <v>3</v>
      </c>
      <c r="AE454">
        <v>7</v>
      </c>
      <c r="AF454">
        <v>0</v>
      </c>
      <c r="AG454">
        <f>IF(tbl_HR_Data[[#This Row],[Gender]]="Male",1,0)</f>
        <v>1</v>
      </c>
      <c r="AH454" cm="1">
        <f t="array" ref="AH454">_xlfn.SWITCH(tbl_HR_Data[[#This Row],[BusinessTravel]], "Non-Travel", 0, "Travel_Rarely", 1, "Travel_Frequently", 2)</f>
        <v>1</v>
      </c>
      <c r="AI454" cm="1">
        <f t="array" ref="AI454">_xlfn.SWITCH(tbl_HR_Data[[#This Row],[MaritalStatus]],"Single",0,"Married",1,"Divorced",2)</f>
        <v>1</v>
      </c>
      <c r="AJ454">
        <f>IF(tbl_HR_Data[[#This Row],[OverTime]]=1,1,0)</f>
        <v>0</v>
      </c>
      <c r="AK454">
        <f>IF(tbl_HR_Data[[#This Row],[DistanceFromHome]]&gt;15,1,0)</f>
        <v>0</v>
      </c>
      <c r="AL454">
        <f>IF(tbl_HR_Data[[#This Row],[JobSatisfaction]]&lt;=2,1,0)</f>
        <v>1</v>
      </c>
      <c r="AM454">
        <f>IF(tbl_HR_Data[[#This Row],[MonthlyIncome]]&lt;$AT$2,1,0)</f>
        <v>1</v>
      </c>
      <c r="AN454">
        <f>IF(tbl_HR_Data[[#This Row],[Travel_Code]]=2,1,0)</f>
        <v>0</v>
      </c>
      <c r="AO454">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454" s="15">
        <f>tbl_HR_Data[[#This Row],[Risk_Score_Raw]] / SUM(Logic_Parameters!$B$2:$B$6)</f>
        <v>0.3686061316669938</v>
      </c>
      <c r="AQ454" s="16" t="str" cm="1">
        <f t="array" ref="AQ454">_xlfn.IFS(tbl_HR_Data[[#This Row],[Attrition_Risk_Percentage]] &gt;= 0.75, "Critical",tbl_HR_Data[ [#This Row],[Attrition_Risk_Percentage] ]&gt;= 0.5, "High",tbl_HR_Data[[#This Row],[Attrition_Risk_Percentage]] &gt;= 0.25, "Medium",TRUE, "Low")</f>
        <v>Medium</v>
      </c>
      <c r="AR454" s="16" cm="1">
        <f t="array" ref="AR454">IFERROR(_xlfn.IFS(tbl_HR_Data[[#This Row],[Risk_Category]]="Critical",tbl_HR_Data[[#This Row],[MonthlyIncome]]*1.5,tbl_HR_Data[[#This Row],[Risk_Category]]="High",tbl_HR_Data[[#This Row],[MonthlyIncome]]*1.5),0)</f>
        <v>0</v>
      </c>
    </row>
    <row r="455" spans="1:44" x14ac:dyDescent="0.35">
      <c r="A455" t="s">
        <v>1415</v>
      </c>
      <c r="B455">
        <v>26</v>
      </c>
      <c r="C455" t="s">
        <v>37</v>
      </c>
      <c r="D455">
        <v>426</v>
      </c>
      <c r="E455" t="s">
        <v>53</v>
      </c>
      <c r="F455">
        <v>17</v>
      </c>
      <c r="G455">
        <v>4</v>
      </c>
      <c r="H455" t="s">
        <v>33</v>
      </c>
      <c r="I455">
        <v>2</v>
      </c>
      <c r="J455" t="s">
        <v>34</v>
      </c>
      <c r="K455">
        <v>58</v>
      </c>
      <c r="L455">
        <v>3</v>
      </c>
      <c r="M455">
        <v>1</v>
      </c>
      <c r="N455" t="s">
        <v>53</v>
      </c>
      <c r="O455">
        <v>3</v>
      </c>
      <c r="P455" t="s">
        <v>45</v>
      </c>
      <c r="Q455">
        <v>2741</v>
      </c>
      <c r="R455">
        <v>22808</v>
      </c>
      <c r="S455">
        <v>0</v>
      </c>
      <c r="T455">
        <v>1</v>
      </c>
      <c r="U455" s="17">
        <v>0.11</v>
      </c>
      <c r="V455">
        <v>3</v>
      </c>
      <c r="W455">
        <v>2</v>
      </c>
      <c r="X455">
        <v>1</v>
      </c>
      <c r="Y455">
        <v>8</v>
      </c>
      <c r="Z455">
        <v>2</v>
      </c>
      <c r="AA455">
        <v>2</v>
      </c>
      <c r="AB455">
        <v>7</v>
      </c>
      <c r="AC455">
        <v>7</v>
      </c>
      <c r="AD455">
        <v>1</v>
      </c>
      <c r="AE455">
        <v>0</v>
      </c>
      <c r="AF455">
        <v>1</v>
      </c>
      <c r="AG455">
        <f>IF(tbl_HR_Data[[#This Row],[Gender]]="Male",1,0)</f>
        <v>0</v>
      </c>
      <c r="AH455" cm="1">
        <f t="array" ref="AH455">_xlfn.SWITCH(tbl_HR_Data[[#This Row],[BusinessTravel]], "Non-Travel", 0, "Travel_Rarely", 1, "Travel_Frequently", 2)</f>
        <v>2</v>
      </c>
      <c r="AI455" cm="1">
        <f t="array" ref="AI455">_xlfn.SWITCH(tbl_HR_Data[[#This Row],[MaritalStatus]],"Single",0,"Married",1,"Divorced",2)</f>
        <v>2</v>
      </c>
      <c r="AJ455">
        <f>IF(tbl_HR_Data[[#This Row],[OverTime]]=1,1,0)</f>
        <v>1</v>
      </c>
      <c r="AK455">
        <f>IF(tbl_HR_Data[[#This Row],[DistanceFromHome]]&gt;15,1,0)</f>
        <v>1</v>
      </c>
      <c r="AL455">
        <f>IF(tbl_HR_Data[[#This Row],[JobSatisfaction]]&lt;=2,1,0)</f>
        <v>0</v>
      </c>
      <c r="AM455">
        <f>IF(tbl_HR_Data[[#This Row],[MonthlyIncome]]&lt;$AT$2,1,0)</f>
        <v>1</v>
      </c>
      <c r="AN455">
        <f>IF(tbl_HR_Data[[#This Row],[Travel_Code]]=2,1,0)</f>
        <v>1</v>
      </c>
      <c r="AO455">
        <f>(tbl_HR_Data[[#This Row],[Flag_OT]] * Logic_Parameters!$B$2) +
 (tbl_HR_Data[[#This Row],[Flag_Travel]] * Logic_Parameters!$B$3) +
 (tbl_HR_Data[[#This Row],[Flag_Satisfaction]] * Logic_Parameters!$B$4) +
 (tbl_HR_Data[[#This Row],[Flag_Distance]]* Logic_Parameters!$B$5) +
 (tbl_HR_Data[[#This Row],[Flag_Income]] * Logic_Parameters!$B$6)</f>
        <v>24.820925613786383</v>
      </c>
      <c r="AP455" s="15">
        <f>tbl_HR_Data[[#This Row],[Risk_Score_Raw]] / SUM(Logic_Parameters!$B$2:$B$6)</f>
        <v>0.85514326691283105</v>
      </c>
      <c r="AQ455" s="16" t="str" cm="1">
        <f t="array" ref="AQ455">_xlfn.IFS(tbl_HR_Data[[#This Row],[Attrition_Risk_Percentage]] &gt;= 0.75, "Critical",tbl_HR_Data[ [#This Row],[Attrition_Risk_Percentage] ]&gt;= 0.5, "High",tbl_HR_Data[[#This Row],[Attrition_Risk_Percentage]] &gt;= 0.25, "Medium",TRUE, "Low")</f>
        <v>Critical</v>
      </c>
      <c r="AR455" s="16" cm="1">
        <f t="array" ref="AR455">IFERROR(_xlfn.IFS(tbl_HR_Data[[#This Row],[Risk_Category]]="Critical",tbl_HR_Data[[#This Row],[MonthlyIncome]]*1.5,tbl_HR_Data[[#This Row],[Risk_Category]]="High",tbl_HR_Data[[#This Row],[MonthlyIncome]]*1.5),0)</f>
        <v>4111.5</v>
      </c>
    </row>
    <row r="456" spans="1:44" x14ac:dyDescent="0.35">
      <c r="A456" t="s">
        <v>374</v>
      </c>
      <c r="B456">
        <v>29</v>
      </c>
      <c r="C456" t="s">
        <v>31</v>
      </c>
      <c r="D456">
        <v>232</v>
      </c>
      <c r="E456" t="s">
        <v>38</v>
      </c>
      <c r="F456">
        <v>19</v>
      </c>
      <c r="G456">
        <v>3</v>
      </c>
      <c r="H456" t="s">
        <v>52</v>
      </c>
      <c r="I456">
        <v>4</v>
      </c>
      <c r="J456" t="s">
        <v>39</v>
      </c>
      <c r="K456">
        <v>34</v>
      </c>
      <c r="L456">
        <v>3</v>
      </c>
      <c r="M456">
        <v>2</v>
      </c>
      <c r="N456" t="s">
        <v>46</v>
      </c>
      <c r="O456">
        <v>4</v>
      </c>
      <c r="P456" t="s">
        <v>45</v>
      </c>
      <c r="Q456">
        <v>4262</v>
      </c>
      <c r="R456">
        <v>22645</v>
      </c>
      <c r="S456">
        <v>4</v>
      </c>
      <c r="T456">
        <v>0</v>
      </c>
      <c r="U456" s="17">
        <v>0.12</v>
      </c>
      <c r="V456">
        <v>3</v>
      </c>
      <c r="W456">
        <v>2</v>
      </c>
      <c r="X456">
        <v>2</v>
      </c>
      <c r="Y456">
        <v>8</v>
      </c>
      <c r="Z456">
        <v>2</v>
      </c>
      <c r="AA456">
        <v>4</v>
      </c>
      <c r="AB456">
        <v>3</v>
      </c>
      <c r="AC456">
        <v>2</v>
      </c>
      <c r="AD456">
        <v>1</v>
      </c>
      <c r="AE456">
        <v>2</v>
      </c>
      <c r="AF456">
        <v>0</v>
      </c>
      <c r="AG456">
        <f>IF(tbl_HR_Data[[#This Row],[Gender]]="Male",1,0)</f>
        <v>1</v>
      </c>
      <c r="AH456" cm="1">
        <f t="array" ref="AH456">_xlfn.SWITCH(tbl_HR_Data[[#This Row],[BusinessTravel]], "Non-Travel", 0, "Travel_Rarely", 1, "Travel_Frequently", 2)</f>
        <v>1</v>
      </c>
      <c r="AI456" cm="1">
        <f t="array" ref="AI456">_xlfn.SWITCH(tbl_HR_Data[[#This Row],[MaritalStatus]],"Single",0,"Married",1,"Divorced",2)</f>
        <v>2</v>
      </c>
      <c r="AJ456">
        <f>IF(tbl_HR_Data[[#This Row],[OverTime]]=1,1,0)</f>
        <v>0</v>
      </c>
      <c r="AK456">
        <f>IF(tbl_HR_Data[[#This Row],[DistanceFromHome]]&gt;15,1,0)</f>
        <v>1</v>
      </c>
      <c r="AL456">
        <f>IF(tbl_HR_Data[[#This Row],[JobSatisfaction]]&lt;=2,1,0)</f>
        <v>0</v>
      </c>
      <c r="AM456">
        <f>IF(tbl_HR_Data[[#This Row],[MonthlyIncome]]&lt;$AT$2,1,0)</f>
        <v>1</v>
      </c>
      <c r="AN456">
        <f>IF(tbl_HR_Data[[#This Row],[Travel_Code]]=2,1,0)</f>
        <v>0</v>
      </c>
      <c r="AO456">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456" s="15">
        <f>tbl_HR_Data[[#This Row],[Risk_Score_Raw]] / SUM(Logic_Parameters!$B$2:$B$6)</f>
        <v>0.33282973125692844</v>
      </c>
      <c r="AQ456" s="16" t="str" cm="1">
        <f t="array" ref="AQ456">_xlfn.IFS(tbl_HR_Data[[#This Row],[Attrition_Risk_Percentage]] &gt;= 0.75, "Critical",tbl_HR_Data[ [#This Row],[Attrition_Risk_Percentage] ]&gt;= 0.5, "High",tbl_HR_Data[[#This Row],[Attrition_Risk_Percentage]] &gt;= 0.25, "Medium",TRUE, "Low")</f>
        <v>Medium</v>
      </c>
      <c r="AR456" s="16" cm="1">
        <f t="array" ref="AR456">IFERROR(_xlfn.IFS(tbl_HR_Data[[#This Row],[Risk_Category]]="Critical",tbl_HR_Data[[#This Row],[MonthlyIncome]]*1.5,tbl_HR_Data[[#This Row],[Risk_Category]]="High",tbl_HR_Data[[#This Row],[MonthlyIncome]]*1.5),0)</f>
        <v>0</v>
      </c>
    </row>
    <row r="457" spans="1:44" x14ac:dyDescent="0.35">
      <c r="A457" t="s">
        <v>720</v>
      </c>
      <c r="B457">
        <v>33</v>
      </c>
      <c r="C457" t="s">
        <v>31</v>
      </c>
      <c r="D457">
        <v>922</v>
      </c>
      <c r="E457" t="s">
        <v>38</v>
      </c>
      <c r="F457">
        <v>1</v>
      </c>
      <c r="G457">
        <v>5</v>
      </c>
      <c r="H457" t="s">
        <v>44</v>
      </c>
      <c r="I457">
        <v>1</v>
      </c>
      <c r="J457" t="s">
        <v>34</v>
      </c>
      <c r="K457">
        <v>95</v>
      </c>
      <c r="L457">
        <v>4</v>
      </c>
      <c r="M457">
        <v>4</v>
      </c>
      <c r="N457" t="s">
        <v>50</v>
      </c>
      <c r="O457">
        <v>3</v>
      </c>
      <c r="P457" t="s">
        <v>45</v>
      </c>
      <c r="Q457">
        <v>16184</v>
      </c>
      <c r="R457">
        <v>22578</v>
      </c>
      <c r="S457">
        <v>4</v>
      </c>
      <c r="T457">
        <v>0</v>
      </c>
      <c r="U457" s="17">
        <v>0.19</v>
      </c>
      <c r="V457">
        <v>3</v>
      </c>
      <c r="W457">
        <v>3</v>
      </c>
      <c r="X457">
        <v>1</v>
      </c>
      <c r="Y457">
        <v>10</v>
      </c>
      <c r="Z457">
        <v>2</v>
      </c>
      <c r="AA457">
        <v>3</v>
      </c>
      <c r="AB457">
        <v>6</v>
      </c>
      <c r="AC457">
        <v>1</v>
      </c>
      <c r="AD457">
        <v>0</v>
      </c>
      <c r="AE457">
        <v>5</v>
      </c>
      <c r="AF457">
        <v>0</v>
      </c>
      <c r="AG457">
        <f>IF(tbl_HR_Data[[#This Row],[Gender]]="Male",1,0)</f>
        <v>0</v>
      </c>
      <c r="AH457" cm="1">
        <f t="array" ref="AH457">_xlfn.SWITCH(tbl_HR_Data[[#This Row],[BusinessTravel]], "Non-Travel", 0, "Travel_Rarely", 1, "Travel_Frequently", 2)</f>
        <v>1</v>
      </c>
      <c r="AI457" cm="1">
        <f t="array" ref="AI457">_xlfn.SWITCH(tbl_HR_Data[[#This Row],[MaritalStatus]],"Single",0,"Married",1,"Divorced",2)</f>
        <v>2</v>
      </c>
      <c r="AJ457">
        <f>IF(tbl_HR_Data[[#This Row],[OverTime]]=1,1,0)</f>
        <v>0</v>
      </c>
      <c r="AK457">
        <f>IF(tbl_HR_Data[[#This Row],[DistanceFromHome]]&gt;15,1,0)</f>
        <v>0</v>
      </c>
      <c r="AL457">
        <f>IF(tbl_HR_Data[[#This Row],[JobSatisfaction]]&lt;=2,1,0)</f>
        <v>0</v>
      </c>
      <c r="AM457">
        <f>IF(tbl_HR_Data[[#This Row],[MonthlyIncome]]&lt;$AT$2,1,0)</f>
        <v>0</v>
      </c>
      <c r="AN457">
        <f>IF(tbl_HR_Data[[#This Row],[Travel_Code]]=2,1,0)</f>
        <v>0</v>
      </c>
      <c r="AO457">
        <f>(tbl_HR_Data[[#This Row],[Flag_OT]] * Logic_Parameters!$B$2) +
 (tbl_HR_Data[[#This Row],[Flag_Travel]] * Logic_Parameters!$B$3) +
 (tbl_HR_Data[[#This Row],[Flag_Satisfaction]] * Logic_Parameters!$B$4) +
 (tbl_HR_Data[[#This Row],[Flag_Distance]]* Logic_Parameters!$B$5) +
 (tbl_HR_Data[[#This Row],[Flag_Income]] * Logic_Parameters!$B$6)</f>
        <v>0</v>
      </c>
      <c r="AP457" s="15">
        <f>tbl_HR_Data[[#This Row],[Risk_Score_Raw]] / SUM(Logic_Parameters!$B$2:$B$6)</f>
        <v>0</v>
      </c>
      <c r="AQ457" s="16" t="str" cm="1">
        <f t="array" ref="AQ457">_xlfn.IFS(tbl_HR_Data[[#This Row],[Attrition_Risk_Percentage]] &gt;= 0.75, "Critical",tbl_HR_Data[ [#This Row],[Attrition_Risk_Percentage] ]&gt;= 0.5, "High",tbl_HR_Data[[#This Row],[Attrition_Risk_Percentage]] &gt;= 0.25, "Medium",TRUE, "Low")</f>
        <v>Low</v>
      </c>
      <c r="AR457" s="16" cm="1">
        <f t="array" ref="AR457">IFERROR(_xlfn.IFS(tbl_HR_Data[[#This Row],[Risk_Category]]="Critical",tbl_HR_Data[[#This Row],[MonthlyIncome]]*1.5,tbl_HR_Data[[#This Row],[Risk_Category]]="High",tbl_HR_Data[[#This Row],[MonthlyIncome]]*1.5),0)</f>
        <v>0</v>
      </c>
    </row>
    <row r="458" spans="1:44" x14ac:dyDescent="0.35">
      <c r="A458" t="s">
        <v>814</v>
      </c>
      <c r="B458">
        <v>31</v>
      </c>
      <c r="C458" t="s">
        <v>31</v>
      </c>
      <c r="D458">
        <v>688</v>
      </c>
      <c r="E458" t="s">
        <v>32</v>
      </c>
      <c r="F458">
        <v>7</v>
      </c>
      <c r="G458">
        <v>3</v>
      </c>
      <c r="H458" t="s">
        <v>33</v>
      </c>
      <c r="I458">
        <v>3</v>
      </c>
      <c r="J458" t="s">
        <v>39</v>
      </c>
      <c r="K458">
        <v>44</v>
      </c>
      <c r="L458">
        <v>2</v>
      </c>
      <c r="M458">
        <v>3</v>
      </c>
      <c r="N458" t="s">
        <v>48</v>
      </c>
      <c r="O458">
        <v>4</v>
      </c>
      <c r="P458" t="s">
        <v>45</v>
      </c>
      <c r="Q458">
        <v>11557</v>
      </c>
      <c r="R458">
        <v>25291</v>
      </c>
      <c r="S458">
        <v>9</v>
      </c>
      <c r="T458">
        <v>0</v>
      </c>
      <c r="U458" s="17">
        <v>0.21</v>
      </c>
      <c r="V458">
        <v>4</v>
      </c>
      <c r="W458">
        <v>3</v>
      </c>
      <c r="X458">
        <v>1</v>
      </c>
      <c r="Y458">
        <v>10</v>
      </c>
      <c r="Z458">
        <v>3</v>
      </c>
      <c r="AA458">
        <v>2</v>
      </c>
      <c r="AB458">
        <v>5</v>
      </c>
      <c r="AC458">
        <v>4</v>
      </c>
      <c r="AD458">
        <v>0</v>
      </c>
      <c r="AE458">
        <v>1</v>
      </c>
      <c r="AF458">
        <v>0</v>
      </c>
      <c r="AG458">
        <f>IF(tbl_HR_Data[[#This Row],[Gender]]="Male",1,0)</f>
        <v>1</v>
      </c>
      <c r="AH458" cm="1">
        <f t="array" ref="AH458">_xlfn.SWITCH(tbl_HR_Data[[#This Row],[BusinessTravel]], "Non-Travel", 0, "Travel_Rarely", 1, "Travel_Frequently", 2)</f>
        <v>1</v>
      </c>
      <c r="AI458" cm="1">
        <f t="array" ref="AI458">_xlfn.SWITCH(tbl_HR_Data[[#This Row],[MaritalStatus]],"Single",0,"Married",1,"Divorced",2)</f>
        <v>2</v>
      </c>
      <c r="AJ458">
        <f>IF(tbl_HR_Data[[#This Row],[OverTime]]=1,1,0)</f>
        <v>0</v>
      </c>
      <c r="AK458">
        <f>IF(tbl_HR_Data[[#This Row],[DistanceFromHome]]&gt;15,1,0)</f>
        <v>0</v>
      </c>
      <c r="AL458">
        <f>IF(tbl_HR_Data[[#This Row],[JobSatisfaction]]&lt;=2,1,0)</f>
        <v>0</v>
      </c>
      <c r="AM458">
        <f>IF(tbl_HR_Data[[#This Row],[MonthlyIncome]]&lt;$AT$2,1,0)</f>
        <v>0</v>
      </c>
      <c r="AN458">
        <f>IF(tbl_HR_Data[[#This Row],[Travel_Code]]=2,1,0)</f>
        <v>0</v>
      </c>
      <c r="AO458">
        <f>(tbl_HR_Data[[#This Row],[Flag_OT]] * Logic_Parameters!$B$2) +
 (tbl_HR_Data[[#This Row],[Flag_Travel]] * Logic_Parameters!$B$3) +
 (tbl_HR_Data[[#This Row],[Flag_Satisfaction]] * Logic_Parameters!$B$4) +
 (tbl_HR_Data[[#This Row],[Flag_Distance]]* Logic_Parameters!$B$5) +
 (tbl_HR_Data[[#This Row],[Flag_Income]] * Logic_Parameters!$B$6)</f>
        <v>0</v>
      </c>
      <c r="AP458" s="15">
        <f>tbl_HR_Data[[#This Row],[Risk_Score_Raw]] / SUM(Logic_Parameters!$B$2:$B$6)</f>
        <v>0</v>
      </c>
      <c r="AQ458" s="16" t="str" cm="1">
        <f t="array" ref="AQ458">_xlfn.IFS(tbl_HR_Data[[#This Row],[Attrition_Risk_Percentage]] &gt;= 0.75, "Critical",tbl_HR_Data[ [#This Row],[Attrition_Risk_Percentage] ]&gt;= 0.5, "High",tbl_HR_Data[[#This Row],[Attrition_Risk_Percentage]] &gt;= 0.25, "Medium",TRUE, "Low")</f>
        <v>Low</v>
      </c>
      <c r="AR458" s="16" cm="1">
        <f t="array" ref="AR458">IFERROR(_xlfn.IFS(tbl_HR_Data[[#This Row],[Risk_Category]]="Critical",tbl_HR_Data[[#This Row],[MonthlyIncome]]*1.5,tbl_HR_Data[[#This Row],[Risk_Category]]="High",tbl_HR_Data[[#This Row],[MonthlyIncome]]*1.5),0)</f>
        <v>0</v>
      </c>
    </row>
    <row r="459" spans="1:44" x14ac:dyDescent="0.35">
      <c r="A459" t="s">
        <v>648</v>
      </c>
      <c r="B459">
        <v>18</v>
      </c>
      <c r="C459" t="s">
        <v>37</v>
      </c>
      <c r="D459">
        <v>1306</v>
      </c>
      <c r="E459" t="s">
        <v>32</v>
      </c>
      <c r="F459">
        <v>5</v>
      </c>
      <c r="G459">
        <v>3</v>
      </c>
      <c r="H459" t="s">
        <v>51</v>
      </c>
      <c r="I459">
        <v>2</v>
      </c>
      <c r="J459" t="s">
        <v>39</v>
      </c>
      <c r="K459">
        <v>69</v>
      </c>
      <c r="L459">
        <v>3</v>
      </c>
      <c r="M459">
        <v>1</v>
      </c>
      <c r="N459" t="s">
        <v>49</v>
      </c>
      <c r="O459">
        <v>2</v>
      </c>
      <c r="P459" t="s">
        <v>36</v>
      </c>
      <c r="Q459">
        <v>1878</v>
      </c>
      <c r="R459">
        <v>8059</v>
      </c>
      <c r="S459">
        <v>1</v>
      </c>
      <c r="T459">
        <v>1</v>
      </c>
      <c r="U459" s="17">
        <v>0.14000000000000001</v>
      </c>
      <c r="V459">
        <v>3</v>
      </c>
      <c r="W459">
        <v>4</v>
      </c>
      <c r="X459">
        <v>0</v>
      </c>
      <c r="Y459">
        <v>0</v>
      </c>
      <c r="Z459">
        <v>3</v>
      </c>
      <c r="AA459">
        <v>3</v>
      </c>
      <c r="AB459">
        <v>0</v>
      </c>
      <c r="AC459">
        <v>0</v>
      </c>
      <c r="AD459">
        <v>0</v>
      </c>
      <c r="AE459">
        <v>0</v>
      </c>
      <c r="AF459">
        <v>1</v>
      </c>
      <c r="AG459">
        <f>IF(tbl_HR_Data[[#This Row],[Gender]]="Male",1,0)</f>
        <v>1</v>
      </c>
      <c r="AH459" cm="1">
        <f t="array" ref="AH459">_xlfn.SWITCH(tbl_HR_Data[[#This Row],[BusinessTravel]], "Non-Travel", 0, "Travel_Rarely", 1, "Travel_Frequently", 2)</f>
        <v>2</v>
      </c>
      <c r="AI459" cm="1">
        <f t="array" ref="AI459">_xlfn.SWITCH(tbl_HR_Data[[#This Row],[MaritalStatus]],"Single",0,"Married",1,"Divorced",2)</f>
        <v>0</v>
      </c>
      <c r="AJ459">
        <f>IF(tbl_HR_Data[[#This Row],[OverTime]]=1,1,0)</f>
        <v>1</v>
      </c>
      <c r="AK459">
        <f>IF(tbl_HR_Data[[#This Row],[DistanceFromHome]]&gt;15,1,0)</f>
        <v>0</v>
      </c>
      <c r="AL459">
        <f>IF(tbl_HR_Data[[#This Row],[JobSatisfaction]]&lt;=2,1,0)</f>
        <v>1</v>
      </c>
      <c r="AM459">
        <f>IF(tbl_HR_Data[[#This Row],[MonthlyIncome]]&lt;$AT$2,1,0)</f>
        <v>1</v>
      </c>
      <c r="AN459">
        <f>IF(tbl_HR_Data[[#This Row],[Travel_Code]]=2,1,0)</f>
        <v>1</v>
      </c>
      <c r="AO459">
        <f>(tbl_HR_Data[[#This Row],[Flag_OT]] * Logic_Parameters!$B$2) +
 (tbl_HR_Data[[#This Row],[Flag_Travel]] * Logic_Parameters!$B$3) +
 (tbl_HR_Data[[#This Row],[Flag_Satisfaction]] * Logic_Parameters!$B$4) +
 (tbl_HR_Data[[#This Row],[Flag_Distance]]* Logic_Parameters!$B$5) +
 (tbl_HR_Data[[#This Row],[Flag_Income]] * Logic_Parameters!$B$6)</f>
        <v>25.859352047889136</v>
      </c>
      <c r="AP459" s="15">
        <f>tbl_HR_Data[[#This Row],[Risk_Score_Raw]] / SUM(Logic_Parameters!$B$2:$B$6)</f>
        <v>0.8909196673228964</v>
      </c>
      <c r="AQ459" s="16" t="str" cm="1">
        <f t="array" ref="AQ459">_xlfn.IFS(tbl_HR_Data[[#This Row],[Attrition_Risk_Percentage]] &gt;= 0.75, "Critical",tbl_HR_Data[ [#This Row],[Attrition_Risk_Percentage] ]&gt;= 0.5, "High",tbl_HR_Data[[#This Row],[Attrition_Risk_Percentage]] &gt;= 0.25, "Medium",TRUE, "Low")</f>
        <v>Critical</v>
      </c>
      <c r="AR459" s="16" cm="1">
        <f t="array" ref="AR459">IFERROR(_xlfn.IFS(tbl_HR_Data[[#This Row],[Risk_Category]]="Critical",tbl_HR_Data[[#This Row],[MonthlyIncome]]*1.5,tbl_HR_Data[[#This Row],[Risk_Category]]="High",tbl_HR_Data[[#This Row],[MonthlyIncome]]*1.5),0)</f>
        <v>2817</v>
      </c>
    </row>
    <row r="460" spans="1:44" x14ac:dyDescent="0.35">
      <c r="A460" t="s">
        <v>1450</v>
      </c>
      <c r="B460">
        <v>40</v>
      </c>
      <c r="C460" t="s">
        <v>1525</v>
      </c>
      <c r="D460">
        <v>1094</v>
      </c>
      <c r="E460" t="s">
        <v>32</v>
      </c>
      <c r="F460">
        <v>28</v>
      </c>
      <c r="G460">
        <v>3</v>
      </c>
      <c r="H460" t="s">
        <v>42</v>
      </c>
      <c r="I460">
        <v>3</v>
      </c>
      <c r="J460" t="s">
        <v>39</v>
      </c>
      <c r="K460">
        <v>58</v>
      </c>
      <c r="L460">
        <v>1</v>
      </c>
      <c r="M460">
        <v>3</v>
      </c>
      <c r="N460" t="s">
        <v>35</v>
      </c>
      <c r="O460">
        <v>1</v>
      </c>
      <c r="P460" t="s">
        <v>45</v>
      </c>
      <c r="Q460">
        <v>10932</v>
      </c>
      <c r="R460">
        <v>11373</v>
      </c>
      <c r="S460">
        <v>3</v>
      </c>
      <c r="T460">
        <v>0</v>
      </c>
      <c r="U460" s="17">
        <v>0.15</v>
      </c>
      <c r="V460">
        <v>3</v>
      </c>
      <c r="W460">
        <v>3</v>
      </c>
      <c r="X460">
        <v>1</v>
      </c>
      <c r="Y460">
        <v>20</v>
      </c>
      <c r="Z460">
        <v>2</v>
      </c>
      <c r="AA460">
        <v>3</v>
      </c>
      <c r="AB460">
        <v>1</v>
      </c>
      <c r="AC460">
        <v>0</v>
      </c>
      <c r="AD460">
        <v>0</v>
      </c>
      <c r="AE460">
        <v>1</v>
      </c>
      <c r="AF460">
        <v>0</v>
      </c>
      <c r="AG460">
        <f>IF(tbl_HR_Data[[#This Row],[Gender]]="Male",1,0)</f>
        <v>1</v>
      </c>
      <c r="AH460" cm="1">
        <f t="array" ref="AH460">_xlfn.SWITCH(tbl_HR_Data[[#This Row],[BusinessTravel]], "Non-Travel", 0, "Travel_Rarely", 1, "Travel_Frequently", 2)</f>
        <v>0</v>
      </c>
      <c r="AI460" cm="1">
        <f t="array" ref="AI460">_xlfn.SWITCH(tbl_HR_Data[[#This Row],[MaritalStatus]],"Single",0,"Married",1,"Divorced",2)</f>
        <v>2</v>
      </c>
      <c r="AJ460">
        <f>IF(tbl_HR_Data[[#This Row],[OverTime]]=1,1,0)</f>
        <v>0</v>
      </c>
      <c r="AK460">
        <f>IF(tbl_HR_Data[[#This Row],[DistanceFromHome]]&gt;15,1,0)</f>
        <v>1</v>
      </c>
      <c r="AL460">
        <f>IF(tbl_HR_Data[[#This Row],[JobSatisfaction]]&lt;=2,1,0)</f>
        <v>1</v>
      </c>
      <c r="AM460">
        <f>IF(tbl_HR_Data[[#This Row],[MonthlyIncome]]&lt;$AT$2,1,0)</f>
        <v>0</v>
      </c>
      <c r="AN460">
        <f>IF(tbl_HR_Data[[#This Row],[Travel_Code]]=2,1,0)</f>
        <v>0</v>
      </c>
      <c r="AO460">
        <f>(tbl_HR_Data[[#This Row],[Flag_OT]] * Logic_Parameters!$B$2) +
 (tbl_HR_Data[[#This Row],[Flag_Travel]] * Logic_Parameters!$B$3) +
 (tbl_HR_Data[[#This Row],[Flag_Satisfaction]] * Logic_Parameters!$B$4) +
 (tbl_HR_Data[[#This Row],[Flag_Distance]]* Logic_Parameters!$B$5) +
 (tbl_HR_Data[[#This Row],[Flag_Income]] * Logic_Parameters!$B$6)</f>
        <v>7.3706398258535089</v>
      </c>
      <c r="AP460" s="15">
        <f>tbl_HR_Data[[#This Row],[Risk_Score_Raw]] / SUM(Logic_Parameters!$B$2:$B$6)</f>
        <v>0.25393706576427255</v>
      </c>
      <c r="AQ460" s="16" t="str" cm="1">
        <f t="array" ref="AQ460">_xlfn.IFS(tbl_HR_Data[[#This Row],[Attrition_Risk_Percentage]] &gt;= 0.75, "Critical",tbl_HR_Data[ [#This Row],[Attrition_Risk_Percentage] ]&gt;= 0.5, "High",tbl_HR_Data[[#This Row],[Attrition_Risk_Percentage]] &gt;= 0.25, "Medium",TRUE, "Low")</f>
        <v>Medium</v>
      </c>
      <c r="AR460" s="16" cm="1">
        <f t="array" ref="AR460">IFERROR(_xlfn.IFS(tbl_HR_Data[[#This Row],[Risk_Category]]="Critical",tbl_HR_Data[[#This Row],[MonthlyIncome]]*1.5,tbl_HR_Data[[#This Row],[Risk_Category]]="High",tbl_HR_Data[[#This Row],[MonthlyIncome]]*1.5),0)</f>
        <v>0</v>
      </c>
    </row>
    <row r="461" spans="1:44" x14ac:dyDescent="0.35">
      <c r="A461" t="s">
        <v>1049</v>
      </c>
      <c r="B461">
        <v>41</v>
      </c>
      <c r="C461" t="s">
        <v>1525</v>
      </c>
      <c r="D461">
        <v>509</v>
      </c>
      <c r="E461" t="s">
        <v>38</v>
      </c>
      <c r="F461">
        <v>2</v>
      </c>
      <c r="G461">
        <v>4</v>
      </c>
      <c r="H461" t="s">
        <v>42</v>
      </c>
      <c r="I461">
        <v>1</v>
      </c>
      <c r="J461" t="s">
        <v>34</v>
      </c>
      <c r="K461">
        <v>62</v>
      </c>
      <c r="L461">
        <v>2</v>
      </c>
      <c r="M461">
        <v>2</v>
      </c>
      <c r="N461" t="s">
        <v>47</v>
      </c>
      <c r="O461">
        <v>3</v>
      </c>
      <c r="P461" t="s">
        <v>36</v>
      </c>
      <c r="Q461">
        <v>6811</v>
      </c>
      <c r="R461">
        <v>2112</v>
      </c>
      <c r="S461">
        <v>2</v>
      </c>
      <c r="T461">
        <v>1</v>
      </c>
      <c r="U461" s="17">
        <v>0.17</v>
      </c>
      <c r="V461">
        <v>3</v>
      </c>
      <c r="W461">
        <v>1</v>
      </c>
      <c r="X461">
        <v>0</v>
      </c>
      <c r="Y461">
        <v>10</v>
      </c>
      <c r="Z461">
        <v>3</v>
      </c>
      <c r="AA461">
        <v>3</v>
      </c>
      <c r="AB461">
        <v>8</v>
      </c>
      <c r="AC461">
        <v>7</v>
      </c>
      <c r="AD461">
        <v>0</v>
      </c>
      <c r="AE461">
        <v>7</v>
      </c>
      <c r="AF461">
        <v>0</v>
      </c>
      <c r="AG461">
        <f>IF(tbl_HR_Data[[#This Row],[Gender]]="Male",1,0)</f>
        <v>0</v>
      </c>
      <c r="AH461" cm="1">
        <f t="array" ref="AH461">_xlfn.SWITCH(tbl_HR_Data[[#This Row],[BusinessTravel]], "Non-Travel", 0, "Travel_Rarely", 1, "Travel_Frequently", 2)</f>
        <v>0</v>
      </c>
      <c r="AI461" cm="1">
        <f t="array" ref="AI461">_xlfn.SWITCH(tbl_HR_Data[[#This Row],[MaritalStatus]],"Single",0,"Married",1,"Divorced",2)</f>
        <v>0</v>
      </c>
      <c r="AJ461">
        <f>IF(tbl_HR_Data[[#This Row],[OverTime]]=1,1,0)</f>
        <v>1</v>
      </c>
      <c r="AK461">
        <f>IF(tbl_HR_Data[[#This Row],[DistanceFromHome]]&gt;15,1,0)</f>
        <v>0</v>
      </c>
      <c r="AL461">
        <f>IF(tbl_HR_Data[[#This Row],[JobSatisfaction]]&lt;=2,1,0)</f>
        <v>0</v>
      </c>
      <c r="AM461">
        <f>IF(tbl_HR_Data[[#This Row],[MonthlyIncome]]&lt;$AT$2,1,0)</f>
        <v>0</v>
      </c>
      <c r="AN461">
        <f>IF(tbl_HR_Data[[#This Row],[Travel_Code]]=2,1,0)</f>
        <v>0</v>
      </c>
      <c r="AO461">
        <f>(tbl_HR_Data[[#This Row],[Flag_OT]] * Logic_Parameters!$B$2) +
 (tbl_HR_Data[[#This Row],[Flag_Travel]] * Logic_Parameters!$B$3) +
 (tbl_HR_Data[[#This Row],[Flag_Satisfaction]] * Logic_Parameters!$B$4) +
 (tbl_HR_Data[[#This Row],[Flag_Distance]]* Logic_Parameters!$B$5) +
 (tbl_HR_Data[[#This Row],[Flag_Income]] * Logic_Parameters!$B$6)</f>
        <v>10</v>
      </c>
      <c r="AP461" s="15">
        <f>tbl_HR_Data[[#This Row],[Risk_Score_Raw]] / SUM(Logic_Parameters!$B$2:$B$6)</f>
        <v>0.3445251318258073</v>
      </c>
      <c r="AQ461" s="16" t="str" cm="1">
        <f t="array" ref="AQ461">_xlfn.IFS(tbl_HR_Data[[#This Row],[Attrition_Risk_Percentage]] &gt;= 0.75, "Critical",tbl_HR_Data[ [#This Row],[Attrition_Risk_Percentage] ]&gt;= 0.5, "High",tbl_HR_Data[[#This Row],[Attrition_Risk_Percentage]] &gt;= 0.25, "Medium",TRUE, "Low")</f>
        <v>Medium</v>
      </c>
      <c r="AR461" s="16" cm="1">
        <f t="array" ref="AR461">IFERROR(_xlfn.IFS(tbl_HR_Data[[#This Row],[Risk_Category]]="Critical",tbl_HR_Data[[#This Row],[MonthlyIncome]]*1.5,tbl_HR_Data[[#This Row],[Risk_Category]]="High",tbl_HR_Data[[#This Row],[MonthlyIncome]]*1.5),0)</f>
        <v>0</v>
      </c>
    </row>
    <row r="462" spans="1:44" x14ac:dyDescent="0.35">
      <c r="A462" t="s">
        <v>229</v>
      </c>
      <c r="B462">
        <v>26</v>
      </c>
      <c r="C462" t="s">
        <v>31</v>
      </c>
      <c r="D462">
        <v>775</v>
      </c>
      <c r="E462" t="s">
        <v>32</v>
      </c>
      <c r="F462">
        <v>29</v>
      </c>
      <c r="G462">
        <v>2</v>
      </c>
      <c r="H462" t="s">
        <v>44</v>
      </c>
      <c r="I462">
        <v>1</v>
      </c>
      <c r="J462" t="s">
        <v>39</v>
      </c>
      <c r="K462">
        <v>45</v>
      </c>
      <c r="L462">
        <v>3</v>
      </c>
      <c r="M462">
        <v>2</v>
      </c>
      <c r="N462" t="s">
        <v>35</v>
      </c>
      <c r="O462">
        <v>3</v>
      </c>
      <c r="P462" t="s">
        <v>45</v>
      </c>
      <c r="Q462">
        <v>4306</v>
      </c>
      <c r="R462">
        <v>4267</v>
      </c>
      <c r="S462">
        <v>5</v>
      </c>
      <c r="T462">
        <v>0</v>
      </c>
      <c r="U462" s="17">
        <v>0.12</v>
      </c>
      <c r="V462">
        <v>3</v>
      </c>
      <c r="W462">
        <v>1</v>
      </c>
      <c r="X462">
        <v>2</v>
      </c>
      <c r="Y462">
        <v>8</v>
      </c>
      <c r="Z462">
        <v>5</v>
      </c>
      <c r="AA462">
        <v>3</v>
      </c>
      <c r="AB462">
        <v>0</v>
      </c>
      <c r="AC462">
        <v>0</v>
      </c>
      <c r="AD462">
        <v>0</v>
      </c>
      <c r="AE462">
        <v>0</v>
      </c>
      <c r="AF462">
        <v>0</v>
      </c>
      <c r="AG462">
        <f>IF(tbl_HR_Data[[#This Row],[Gender]]="Male",1,0)</f>
        <v>1</v>
      </c>
      <c r="AH462" cm="1">
        <f t="array" ref="AH462">_xlfn.SWITCH(tbl_HR_Data[[#This Row],[BusinessTravel]], "Non-Travel", 0, "Travel_Rarely", 1, "Travel_Frequently", 2)</f>
        <v>1</v>
      </c>
      <c r="AI462" cm="1">
        <f t="array" ref="AI462">_xlfn.SWITCH(tbl_HR_Data[[#This Row],[MaritalStatus]],"Single",0,"Married",1,"Divorced",2)</f>
        <v>2</v>
      </c>
      <c r="AJ462">
        <f>IF(tbl_HR_Data[[#This Row],[OverTime]]=1,1,0)</f>
        <v>0</v>
      </c>
      <c r="AK462">
        <f>IF(tbl_HR_Data[[#This Row],[DistanceFromHome]]&gt;15,1,0)</f>
        <v>1</v>
      </c>
      <c r="AL462">
        <f>IF(tbl_HR_Data[[#This Row],[JobSatisfaction]]&lt;=2,1,0)</f>
        <v>0</v>
      </c>
      <c r="AM462">
        <f>IF(tbl_HR_Data[[#This Row],[MonthlyIncome]]&lt;$AT$2,1,0)</f>
        <v>1</v>
      </c>
      <c r="AN462">
        <f>IF(tbl_HR_Data[[#This Row],[Travel_Code]]=2,1,0)</f>
        <v>0</v>
      </c>
      <c r="AO462">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462" s="15">
        <f>tbl_HR_Data[[#This Row],[Risk_Score_Raw]] / SUM(Logic_Parameters!$B$2:$B$6)</f>
        <v>0.33282973125692844</v>
      </c>
      <c r="AQ462" s="16" t="str" cm="1">
        <f t="array" ref="AQ462">_xlfn.IFS(tbl_HR_Data[[#This Row],[Attrition_Risk_Percentage]] &gt;= 0.75, "Critical",tbl_HR_Data[ [#This Row],[Attrition_Risk_Percentage] ]&gt;= 0.5, "High",tbl_HR_Data[[#This Row],[Attrition_Risk_Percentage]] &gt;= 0.25, "Medium",TRUE, "Low")</f>
        <v>Medium</v>
      </c>
      <c r="AR462" s="16" cm="1">
        <f t="array" ref="AR462">IFERROR(_xlfn.IFS(tbl_HR_Data[[#This Row],[Risk_Category]]="Critical",tbl_HR_Data[[#This Row],[MonthlyIncome]]*1.5,tbl_HR_Data[[#This Row],[Risk_Category]]="High",tbl_HR_Data[[#This Row],[MonthlyIncome]]*1.5),0)</f>
        <v>0</v>
      </c>
    </row>
    <row r="463" spans="1:44" x14ac:dyDescent="0.35">
      <c r="A463" t="s">
        <v>101</v>
      </c>
      <c r="B463">
        <v>35</v>
      </c>
      <c r="C463" t="s">
        <v>31</v>
      </c>
      <c r="D463">
        <v>195</v>
      </c>
      <c r="E463" t="s">
        <v>32</v>
      </c>
      <c r="F463">
        <v>1</v>
      </c>
      <c r="G463">
        <v>3</v>
      </c>
      <c r="H463" t="s">
        <v>44</v>
      </c>
      <c r="I463">
        <v>1</v>
      </c>
      <c r="J463" t="s">
        <v>34</v>
      </c>
      <c r="K463">
        <v>80</v>
      </c>
      <c r="L463">
        <v>3</v>
      </c>
      <c r="M463">
        <v>2</v>
      </c>
      <c r="N463" t="s">
        <v>35</v>
      </c>
      <c r="O463">
        <v>3</v>
      </c>
      <c r="P463" t="s">
        <v>36</v>
      </c>
      <c r="Q463">
        <v>4859</v>
      </c>
      <c r="R463">
        <v>6698</v>
      </c>
      <c r="S463">
        <v>1</v>
      </c>
      <c r="T463">
        <v>0</v>
      </c>
      <c r="U463" s="17">
        <v>0.16</v>
      </c>
      <c r="V463">
        <v>3</v>
      </c>
      <c r="W463">
        <v>4</v>
      </c>
      <c r="X463">
        <v>0</v>
      </c>
      <c r="Y463">
        <v>5</v>
      </c>
      <c r="Z463">
        <v>3</v>
      </c>
      <c r="AA463">
        <v>3</v>
      </c>
      <c r="AB463">
        <v>5</v>
      </c>
      <c r="AC463">
        <v>4</v>
      </c>
      <c r="AD463">
        <v>0</v>
      </c>
      <c r="AE463">
        <v>3</v>
      </c>
      <c r="AF463">
        <v>0</v>
      </c>
      <c r="AG463">
        <f>IF(tbl_HR_Data[[#This Row],[Gender]]="Male",1,0)</f>
        <v>0</v>
      </c>
      <c r="AH463" cm="1">
        <f t="array" ref="AH463">_xlfn.SWITCH(tbl_HR_Data[[#This Row],[BusinessTravel]], "Non-Travel", 0, "Travel_Rarely", 1, "Travel_Frequently", 2)</f>
        <v>1</v>
      </c>
      <c r="AI463" cm="1">
        <f t="array" ref="AI463">_xlfn.SWITCH(tbl_HR_Data[[#This Row],[MaritalStatus]],"Single",0,"Married",1,"Divorced",2)</f>
        <v>0</v>
      </c>
      <c r="AJ463">
        <f>IF(tbl_HR_Data[[#This Row],[OverTime]]=1,1,0)</f>
        <v>0</v>
      </c>
      <c r="AK463">
        <f>IF(tbl_HR_Data[[#This Row],[DistanceFromHome]]&gt;15,1,0)</f>
        <v>0</v>
      </c>
      <c r="AL463">
        <f>IF(tbl_HR_Data[[#This Row],[JobSatisfaction]]&lt;=2,1,0)</f>
        <v>0</v>
      </c>
      <c r="AM463">
        <f>IF(tbl_HR_Data[[#This Row],[MonthlyIncome]]&lt;$AT$2,1,0)</f>
        <v>1</v>
      </c>
      <c r="AN463">
        <f>IF(tbl_HR_Data[[#This Row],[Travel_Code]]=2,1,0)</f>
        <v>0</v>
      </c>
      <c r="AO463">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463" s="15">
        <f>tbl_HR_Data[[#This Row],[Risk_Score_Raw]] / SUM(Logic_Parameters!$B$2:$B$6)</f>
        <v>0.22374939857982484</v>
      </c>
      <c r="AQ463" s="16" t="str" cm="1">
        <f t="array" ref="AQ463">_xlfn.IFS(tbl_HR_Data[[#This Row],[Attrition_Risk_Percentage]] &gt;= 0.75, "Critical",tbl_HR_Data[ [#This Row],[Attrition_Risk_Percentage] ]&gt;= 0.5, "High",tbl_HR_Data[[#This Row],[Attrition_Risk_Percentage]] &gt;= 0.25, "Medium",TRUE, "Low")</f>
        <v>Low</v>
      </c>
      <c r="AR463" s="16" cm="1">
        <f t="array" ref="AR463">IFERROR(_xlfn.IFS(tbl_HR_Data[[#This Row],[Risk_Category]]="Critical",tbl_HR_Data[[#This Row],[MonthlyIncome]]*1.5,tbl_HR_Data[[#This Row],[Risk_Category]]="High",tbl_HR_Data[[#This Row],[MonthlyIncome]]*1.5),0)</f>
        <v>0</v>
      </c>
    </row>
    <row r="464" spans="1:44" x14ac:dyDescent="0.35">
      <c r="A464" t="s">
        <v>189</v>
      </c>
      <c r="B464">
        <v>34</v>
      </c>
      <c r="C464" t="s">
        <v>31</v>
      </c>
      <c r="D464">
        <v>258</v>
      </c>
      <c r="E464" t="s">
        <v>32</v>
      </c>
      <c r="F464">
        <v>21</v>
      </c>
      <c r="G464">
        <v>4</v>
      </c>
      <c r="H464" t="s">
        <v>33</v>
      </c>
      <c r="I464">
        <v>4</v>
      </c>
      <c r="J464" t="s">
        <v>39</v>
      </c>
      <c r="K464">
        <v>74</v>
      </c>
      <c r="L464">
        <v>4</v>
      </c>
      <c r="M464">
        <v>2</v>
      </c>
      <c r="N464" t="s">
        <v>35</v>
      </c>
      <c r="O464">
        <v>4</v>
      </c>
      <c r="P464" t="s">
        <v>36</v>
      </c>
      <c r="Q464">
        <v>5337</v>
      </c>
      <c r="R464">
        <v>19921</v>
      </c>
      <c r="S464">
        <v>1</v>
      </c>
      <c r="T464">
        <v>0</v>
      </c>
      <c r="U464" s="17">
        <v>0.12</v>
      </c>
      <c r="V464">
        <v>3</v>
      </c>
      <c r="W464">
        <v>4</v>
      </c>
      <c r="X464">
        <v>0</v>
      </c>
      <c r="Y464">
        <v>10</v>
      </c>
      <c r="Z464">
        <v>3</v>
      </c>
      <c r="AA464">
        <v>3</v>
      </c>
      <c r="AB464">
        <v>10</v>
      </c>
      <c r="AC464">
        <v>7</v>
      </c>
      <c r="AD464">
        <v>5</v>
      </c>
      <c r="AE464">
        <v>7</v>
      </c>
      <c r="AF464">
        <v>0</v>
      </c>
      <c r="AG464">
        <f>IF(tbl_HR_Data[[#This Row],[Gender]]="Male",1,0)</f>
        <v>1</v>
      </c>
      <c r="AH464" cm="1">
        <f t="array" ref="AH464">_xlfn.SWITCH(tbl_HR_Data[[#This Row],[BusinessTravel]], "Non-Travel", 0, "Travel_Rarely", 1, "Travel_Frequently", 2)</f>
        <v>1</v>
      </c>
      <c r="AI464" cm="1">
        <f t="array" ref="AI464">_xlfn.SWITCH(tbl_HR_Data[[#This Row],[MaritalStatus]],"Single",0,"Married",1,"Divorced",2)</f>
        <v>0</v>
      </c>
      <c r="AJ464">
        <f>IF(tbl_HR_Data[[#This Row],[OverTime]]=1,1,0)</f>
        <v>0</v>
      </c>
      <c r="AK464">
        <f>IF(tbl_HR_Data[[#This Row],[DistanceFromHome]]&gt;15,1,0)</f>
        <v>1</v>
      </c>
      <c r="AL464">
        <f>IF(tbl_HR_Data[[#This Row],[JobSatisfaction]]&lt;=2,1,0)</f>
        <v>0</v>
      </c>
      <c r="AM464">
        <f>IF(tbl_HR_Data[[#This Row],[MonthlyIncome]]&lt;$AT$2,1,0)</f>
        <v>0</v>
      </c>
      <c r="AN464">
        <f>IF(tbl_HR_Data[[#This Row],[Travel_Code]]=2,1,0)</f>
        <v>0</v>
      </c>
      <c r="AO464">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464" s="15">
        <f>tbl_HR_Data[[#This Row],[Risk_Score_Raw]] / SUM(Logic_Parameters!$B$2:$B$6)</f>
        <v>0.10908033267710357</v>
      </c>
      <c r="AQ464" s="16" t="str" cm="1">
        <f t="array" ref="AQ464">_xlfn.IFS(tbl_HR_Data[[#This Row],[Attrition_Risk_Percentage]] &gt;= 0.75, "Critical",tbl_HR_Data[ [#This Row],[Attrition_Risk_Percentage] ]&gt;= 0.5, "High",tbl_HR_Data[[#This Row],[Attrition_Risk_Percentage]] &gt;= 0.25, "Medium",TRUE, "Low")</f>
        <v>Low</v>
      </c>
      <c r="AR464" s="16" cm="1">
        <f t="array" ref="AR464">IFERROR(_xlfn.IFS(tbl_HR_Data[[#This Row],[Risk_Category]]="Critical",tbl_HR_Data[[#This Row],[MonthlyIncome]]*1.5,tbl_HR_Data[[#This Row],[Risk_Category]]="High",tbl_HR_Data[[#This Row],[MonthlyIncome]]*1.5),0)</f>
        <v>0</v>
      </c>
    </row>
    <row r="465" spans="1:44" x14ac:dyDescent="0.35">
      <c r="A465" t="s">
        <v>1187</v>
      </c>
      <c r="B465">
        <v>26</v>
      </c>
      <c r="C465" t="s">
        <v>31</v>
      </c>
      <c r="D465">
        <v>471</v>
      </c>
      <c r="E465" t="s">
        <v>38</v>
      </c>
      <c r="F465">
        <v>24</v>
      </c>
      <c r="G465">
        <v>3</v>
      </c>
      <c r="H465" t="s">
        <v>52</v>
      </c>
      <c r="I465">
        <v>3</v>
      </c>
      <c r="J465" t="s">
        <v>39</v>
      </c>
      <c r="K465">
        <v>66</v>
      </c>
      <c r="L465">
        <v>1</v>
      </c>
      <c r="M465">
        <v>1</v>
      </c>
      <c r="N465" t="s">
        <v>43</v>
      </c>
      <c r="O465">
        <v>4</v>
      </c>
      <c r="P465" t="s">
        <v>36</v>
      </c>
      <c r="Q465">
        <v>2340</v>
      </c>
      <c r="R465">
        <v>23213</v>
      </c>
      <c r="S465">
        <v>1</v>
      </c>
      <c r="T465">
        <v>1</v>
      </c>
      <c r="U465" s="17">
        <v>0.18</v>
      </c>
      <c r="V465">
        <v>3</v>
      </c>
      <c r="W465">
        <v>2</v>
      </c>
      <c r="X465">
        <v>0</v>
      </c>
      <c r="Y465">
        <v>1</v>
      </c>
      <c r="Z465">
        <v>3</v>
      </c>
      <c r="AA465">
        <v>1</v>
      </c>
      <c r="AB465">
        <v>1</v>
      </c>
      <c r="AC465">
        <v>0</v>
      </c>
      <c r="AD465">
        <v>0</v>
      </c>
      <c r="AE465">
        <v>0</v>
      </c>
      <c r="AF465">
        <v>1</v>
      </c>
      <c r="AG465">
        <f>IF(tbl_HR_Data[[#This Row],[Gender]]="Male",1,0)</f>
        <v>1</v>
      </c>
      <c r="AH465" cm="1">
        <f t="array" ref="AH465">_xlfn.SWITCH(tbl_HR_Data[[#This Row],[BusinessTravel]], "Non-Travel", 0, "Travel_Rarely", 1, "Travel_Frequently", 2)</f>
        <v>1</v>
      </c>
      <c r="AI465" cm="1">
        <f t="array" ref="AI465">_xlfn.SWITCH(tbl_HR_Data[[#This Row],[MaritalStatus]],"Single",0,"Married",1,"Divorced",2)</f>
        <v>0</v>
      </c>
      <c r="AJ465">
        <f>IF(tbl_HR_Data[[#This Row],[OverTime]]=1,1,0)</f>
        <v>1</v>
      </c>
      <c r="AK465">
        <f>IF(tbl_HR_Data[[#This Row],[DistanceFromHome]]&gt;15,1,0)</f>
        <v>1</v>
      </c>
      <c r="AL465">
        <f>IF(tbl_HR_Data[[#This Row],[JobSatisfaction]]&lt;=2,1,0)</f>
        <v>0</v>
      </c>
      <c r="AM465">
        <f>IF(tbl_HR_Data[[#This Row],[MonthlyIncome]]&lt;$AT$2,1,0)</f>
        <v>1</v>
      </c>
      <c r="AN465">
        <f>IF(tbl_HR_Data[[#This Row],[Travel_Code]]=2,1,0)</f>
        <v>0</v>
      </c>
      <c r="AO465">
        <f>(tbl_HR_Data[[#This Row],[Flag_OT]] * Logic_Parameters!$B$2) +
 (tbl_HR_Data[[#This Row],[Flag_Travel]] * Logic_Parameters!$B$3) +
 (tbl_HR_Data[[#This Row],[Flag_Satisfaction]] * Logic_Parameters!$B$4) +
 (tbl_HR_Data[[#This Row],[Flag_Distance]]* Logic_Parameters!$B$5) +
 (tbl_HR_Data[[#This Row],[Flag_Income]] * Logic_Parameters!$B$6)</f>
        <v>19.660535633296206</v>
      </c>
      <c r="AP465" s="15">
        <f>tbl_HR_Data[[#This Row],[Risk_Score_Raw]] / SUM(Logic_Parameters!$B$2:$B$6)</f>
        <v>0.67735486308273574</v>
      </c>
      <c r="AQ465" s="16" t="str" cm="1">
        <f t="array" ref="AQ465">_xlfn.IFS(tbl_HR_Data[[#This Row],[Attrition_Risk_Percentage]] &gt;= 0.75, "Critical",tbl_HR_Data[ [#This Row],[Attrition_Risk_Percentage] ]&gt;= 0.5, "High",tbl_HR_Data[[#This Row],[Attrition_Risk_Percentage]] &gt;= 0.25, "Medium",TRUE, "Low")</f>
        <v>High</v>
      </c>
      <c r="AR465" s="16" cm="1">
        <f t="array" ref="AR465">IFERROR(_xlfn.IFS(tbl_HR_Data[[#This Row],[Risk_Category]]="Critical",tbl_HR_Data[[#This Row],[MonthlyIncome]]*1.5,tbl_HR_Data[[#This Row],[Risk_Category]]="High",tbl_HR_Data[[#This Row],[MonthlyIncome]]*1.5),0)</f>
        <v>3510</v>
      </c>
    </row>
    <row r="466" spans="1:44" x14ac:dyDescent="0.35">
      <c r="A466" t="s">
        <v>476</v>
      </c>
      <c r="B466">
        <v>37</v>
      </c>
      <c r="C466" t="s">
        <v>31</v>
      </c>
      <c r="D466">
        <v>799</v>
      </c>
      <c r="E466" t="s">
        <v>38</v>
      </c>
      <c r="F466">
        <v>1</v>
      </c>
      <c r="G466">
        <v>3</v>
      </c>
      <c r="H466" t="s">
        <v>52</v>
      </c>
      <c r="I466">
        <v>2</v>
      </c>
      <c r="J466" t="s">
        <v>34</v>
      </c>
      <c r="K466">
        <v>59</v>
      </c>
      <c r="L466">
        <v>3</v>
      </c>
      <c r="M466">
        <v>3</v>
      </c>
      <c r="N466" t="s">
        <v>46</v>
      </c>
      <c r="O466">
        <v>4</v>
      </c>
      <c r="P466" t="s">
        <v>36</v>
      </c>
      <c r="Q466">
        <v>7491</v>
      </c>
      <c r="R466">
        <v>23848</v>
      </c>
      <c r="S466">
        <v>4</v>
      </c>
      <c r="T466">
        <v>0</v>
      </c>
      <c r="U466" s="17">
        <v>0.17</v>
      </c>
      <c r="V466">
        <v>3</v>
      </c>
      <c r="W466">
        <v>4</v>
      </c>
      <c r="X466">
        <v>0</v>
      </c>
      <c r="Y466">
        <v>12</v>
      </c>
      <c r="Z466">
        <v>3</v>
      </c>
      <c r="AA466">
        <v>4</v>
      </c>
      <c r="AB466">
        <v>6</v>
      </c>
      <c r="AC466">
        <v>5</v>
      </c>
      <c r="AD466">
        <v>1</v>
      </c>
      <c r="AE466">
        <v>2</v>
      </c>
      <c r="AF466">
        <v>0</v>
      </c>
      <c r="AG466">
        <f>IF(tbl_HR_Data[[#This Row],[Gender]]="Male",1,0)</f>
        <v>0</v>
      </c>
      <c r="AH466" cm="1">
        <f t="array" ref="AH466">_xlfn.SWITCH(tbl_HR_Data[[#This Row],[BusinessTravel]], "Non-Travel", 0, "Travel_Rarely", 1, "Travel_Frequently", 2)</f>
        <v>1</v>
      </c>
      <c r="AI466" cm="1">
        <f t="array" ref="AI466">_xlfn.SWITCH(tbl_HR_Data[[#This Row],[MaritalStatus]],"Single",0,"Married",1,"Divorced",2)</f>
        <v>0</v>
      </c>
      <c r="AJ466">
        <f>IF(tbl_HR_Data[[#This Row],[OverTime]]=1,1,0)</f>
        <v>0</v>
      </c>
      <c r="AK466">
        <f>IF(tbl_HR_Data[[#This Row],[DistanceFromHome]]&gt;15,1,0)</f>
        <v>0</v>
      </c>
      <c r="AL466">
        <f>IF(tbl_HR_Data[[#This Row],[JobSatisfaction]]&lt;=2,1,0)</f>
        <v>0</v>
      </c>
      <c r="AM466">
        <f>IF(tbl_HR_Data[[#This Row],[MonthlyIncome]]&lt;$AT$2,1,0)</f>
        <v>0</v>
      </c>
      <c r="AN466">
        <f>IF(tbl_HR_Data[[#This Row],[Travel_Code]]=2,1,0)</f>
        <v>0</v>
      </c>
      <c r="AO466">
        <f>(tbl_HR_Data[[#This Row],[Flag_OT]] * Logic_Parameters!$B$2) +
 (tbl_HR_Data[[#This Row],[Flag_Travel]] * Logic_Parameters!$B$3) +
 (tbl_HR_Data[[#This Row],[Flag_Satisfaction]] * Logic_Parameters!$B$4) +
 (tbl_HR_Data[[#This Row],[Flag_Distance]]* Logic_Parameters!$B$5) +
 (tbl_HR_Data[[#This Row],[Flag_Income]] * Logic_Parameters!$B$6)</f>
        <v>0</v>
      </c>
      <c r="AP466" s="15">
        <f>tbl_HR_Data[[#This Row],[Risk_Score_Raw]] / SUM(Logic_Parameters!$B$2:$B$6)</f>
        <v>0</v>
      </c>
      <c r="AQ466" s="16" t="str" cm="1">
        <f t="array" ref="AQ466">_xlfn.IFS(tbl_HR_Data[[#This Row],[Attrition_Risk_Percentage]] &gt;= 0.75, "Critical",tbl_HR_Data[ [#This Row],[Attrition_Risk_Percentage] ]&gt;= 0.5, "High",tbl_HR_Data[[#This Row],[Attrition_Risk_Percentage]] &gt;= 0.25, "Medium",TRUE, "Low")</f>
        <v>Low</v>
      </c>
      <c r="AR466" s="16" cm="1">
        <f t="array" ref="AR466">IFERROR(_xlfn.IFS(tbl_HR_Data[[#This Row],[Risk_Category]]="Critical",tbl_HR_Data[[#This Row],[MonthlyIncome]]*1.5,tbl_HR_Data[[#This Row],[Risk_Category]]="High",tbl_HR_Data[[#This Row],[MonthlyIncome]]*1.5),0)</f>
        <v>0</v>
      </c>
    </row>
    <row r="467" spans="1:44" x14ac:dyDescent="0.35">
      <c r="A467" t="s">
        <v>632</v>
      </c>
      <c r="B467">
        <v>46</v>
      </c>
      <c r="C467" t="s">
        <v>37</v>
      </c>
      <c r="D467">
        <v>1034</v>
      </c>
      <c r="E467" t="s">
        <v>38</v>
      </c>
      <c r="F467">
        <v>18</v>
      </c>
      <c r="G467">
        <v>1</v>
      </c>
      <c r="H467" t="s">
        <v>44</v>
      </c>
      <c r="I467">
        <v>1</v>
      </c>
      <c r="J467" t="s">
        <v>34</v>
      </c>
      <c r="K467">
        <v>86</v>
      </c>
      <c r="L467">
        <v>3</v>
      </c>
      <c r="M467">
        <v>3</v>
      </c>
      <c r="N467" t="s">
        <v>47</v>
      </c>
      <c r="O467">
        <v>3</v>
      </c>
      <c r="P467" t="s">
        <v>41</v>
      </c>
      <c r="Q467">
        <v>10527</v>
      </c>
      <c r="R467">
        <v>8984</v>
      </c>
      <c r="S467">
        <v>5</v>
      </c>
      <c r="T467">
        <v>0</v>
      </c>
      <c r="U467" s="17">
        <v>0.11</v>
      </c>
      <c r="V467">
        <v>3</v>
      </c>
      <c r="W467">
        <v>4</v>
      </c>
      <c r="X467">
        <v>0</v>
      </c>
      <c r="Y467">
        <v>28</v>
      </c>
      <c r="Z467">
        <v>3</v>
      </c>
      <c r="AA467">
        <v>2</v>
      </c>
      <c r="AB467">
        <v>2</v>
      </c>
      <c r="AC467">
        <v>2</v>
      </c>
      <c r="AD467">
        <v>1</v>
      </c>
      <c r="AE467">
        <v>2</v>
      </c>
      <c r="AF467">
        <v>0</v>
      </c>
      <c r="AG467">
        <f>IF(tbl_HR_Data[[#This Row],[Gender]]="Male",1,0)</f>
        <v>0</v>
      </c>
      <c r="AH467" cm="1">
        <f t="array" ref="AH467">_xlfn.SWITCH(tbl_HR_Data[[#This Row],[BusinessTravel]], "Non-Travel", 0, "Travel_Rarely", 1, "Travel_Frequently", 2)</f>
        <v>2</v>
      </c>
      <c r="AI467" cm="1">
        <f t="array" ref="AI467">_xlfn.SWITCH(tbl_HR_Data[[#This Row],[MaritalStatus]],"Single",0,"Married",1,"Divorced",2)</f>
        <v>1</v>
      </c>
      <c r="AJ467">
        <f>IF(tbl_HR_Data[[#This Row],[OverTime]]=1,1,0)</f>
        <v>0</v>
      </c>
      <c r="AK467">
        <f>IF(tbl_HR_Data[[#This Row],[DistanceFromHome]]&gt;15,1,0)</f>
        <v>1</v>
      </c>
      <c r="AL467">
        <f>IF(tbl_HR_Data[[#This Row],[JobSatisfaction]]&lt;=2,1,0)</f>
        <v>0</v>
      </c>
      <c r="AM467">
        <f>IF(tbl_HR_Data[[#This Row],[MonthlyIncome]]&lt;$AT$2,1,0)</f>
        <v>0</v>
      </c>
      <c r="AN467">
        <f>IF(tbl_HR_Data[[#This Row],[Travel_Code]]=2,1,0)</f>
        <v>1</v>
      </c>
      <c r="AO467">
        <f>(tbl_HR_Data[[#This Row],[Flag_OT]] * Logic_Parameters!$B$2) +
 (tbl_HR_Data[[#This Row],[Flag_Travel]] * Logic_Parameters!$B$3) +
 (tbl_HR_Data[[#This Row],[Flag_Satisfaction]] * Logic_Parameters!$B$4) +
 (tbl_HR_Data[[#This Row],[Flag_Distance]]* Logic_Parameters!$B$5) +
 (tbl_HR_Data[[#This Row],[Flag_Income]] * Logic_Parameters!$B$6)</f>
        <v>8.3264966763655544</v>
      </c>
      <c r="AP467" s="15">
        <f>tbl_HR_Data[[#This Row],[Risk_Score_Raw]] / SUM(Logic_Parameters!$B$2:$B$6)</f>
        <v>0.28686873650719891</v>
      </c>
      <c r="AQ467" s="16" t="str" cm="1">
        <f t="array" ref="AQ467">_xlfn.IFS(tbl_HR_Data[[#This Row],[Attrition_Risk_Percentage]] &gt;= 0.75, "Critical",tbl_HR_Data[ [#This Row],[Attrition_Risk_Percentage] ]&gt;= 0.5, "High",tbl_HR_Data[[#This Row],[Attrition_Risk_Percentage]] &gt;= 0.25, "Medium",TRUE, "Low")</f>
        <v>Medium</v>
      </c>
      <c r="AR467" s="16" cm="1">
        <f t="array" ref="AR467">IFERROR(_xlfn.IFS(tbl_HR_Data[[#This Row],[Risk_Category]]="Critical",tbl_HR_Data[[#This Row],[MonthlyIncome]]*1.5,tbl_HR_Data[[#This Row],[Risk_Category]]="High",tbl_HR_Data[[#This Row],[MonthlyIncome]]*1.5),0)</f>
        <v>0</v>
      </c>
    </row>
    <row r="468" spans="1:44" x14ac:dyDescent="0.35">
      <c r="A468" t="s">
        <v>261</v>
      </c>
      <c r="B468">
        <v>41</v>
      </c>
      <c r="C468" t="s">
        <v>31</v>
      </c>
      <c r="D468">
        <v>1276</v>
      </c>
      <c r="E468" t="s">
        <v>32</v>
      </c>
      <c r="F468">
        <v>2</v>
      </c>
      <c r="G468">
        <v>5</v>
      </c>
      <c r="H468" t="s">
        <v>33</v>
      </c>
      <c r="I468">
        <v>2</v>
      </c>
      <c r="J468" t="s">
        <v>34</v>
      </c>
      <c r="K468">
        <v>91</v>
      </c>
      <c r="L468">
        <v>3</v>
      </c>
      <c r="M468">
        <v>4</v>
      </c>
      <c r="N468" t="s">
        <v>48</v>
      </c>
      <c r="O468">
        <v>1</v>
      </c>
      <c r="P468" t="s">
        <v>41</v>
      </c>
      <c r="Q468">
        <v>16595</v>
      </c>
      <c r="R468">
        <v>5626</v>
      </c>
      <c r="S468">
        <v>7</v>
      </c>
      <c r="T468">
        <v>0</v>
      </c>
      <c r="U468" s="17">
        <v>0.16</v>
      </c>
      <c r="V468">
        <v>3</v>
      </c>
      <c r="W468">
        <v>2</v>
      </c>
      <c r="X468">
        <v>1</v>
      </c>
      <c r="Y468">
        <v>22</v>
      </c>
      <c r="Z468">
        <v>2</v>
      </c>
      <c r="AA468">
        <v>3</v>
      </c>
      <c r="AB468">
        <v>18</v>
      </c>
      <c r="AC468">
        <v>16</v>
      </c>
      <c r="AD468">
        <v>11</v>
      </c>
      <c r="AE468">
        <v>8</v>
      </c>
      <c r="AF468">
        <v>0</v>
      </c>
      <c r="AG468">
        <f>IF(tbl_HR_Data[[#This Row],[Gender]]="Male",1,0)</f>
        <v>0</v>
      </c>
      <c r="AH468" cm="1">
        <f t="array" ref="AH468">_xlfn.SWITCH(tbl_HR_Data[[#This Row],[BusinessTravel]], "Non-Travel", 0, "Travel_Rarely", 1, "Travel_Frequently", 2)</f>
        <v>1</v>
      </c>
      <c r="AI468" cm="1">
        <f t="array" ref="AI468">_xlfn.SWITCH(tbl_HR_Data[[#This Row],[MaritalStatus]],"Single",0,"Married",1,"Divorced",2)</f>
        <v>1</v>
      </c>
      <c r="AJ468">
        <f>IF(tbl_HR_Data[[#This Row],[OverTime]]=1,1,0)</f>
        <v>0</v>
      </c>
      <c r="AK468">
        <f>IF(tbl_HR_Data[[#This Row],[DistanceFromHome]]&gt;15,1,0)</f>
        <v>0</v>
      </c>
      <c r="AL468">
        <f>IF(tbl_HR_Data[[#This Row],[JobSatisfaction]]&lt;=2,1,0)</f>
        <v>1</v>
      </c>
      <c r="AM468">
        <f>IF(tbl_HR_Data[[#This Row],[MonthlyIncome]]&lt;$AT$2,1,0)</f>
        <v>0</v>
      </c>
      <c r="AN468">
        <f>IF(tbl_HR_Data[[#This Row],[Travel_Code]]=2,1,0)</f>
        <v>0</v>
      </c>
      <c r="AO468">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468" s="15">
        <f>tbl_HR_Data[[#This Row],[Risk_Score_Raw]] / SUM(Logic_Parameters!$B$2:$B$6)</f>
        <v>0.14485673308716898</v>
      </c>
      <c r="AQ468" s="16" t="str" cm="1">
        <f t="array" ref="AQ468">_xlfn.IFS(tbl_HR_Data[[#This Row],[Attrition_Risk_Percentage]] &gt;= 0.75, "Critical",tbl_HR_Data[ [#This Row],[Attrition_Risk_Percentage] ]&gt;= 0.5, "High",tbl_HR_Data[[#This Row],[Attrition_Risk_Percentage]] &gt;= 0.25, "Medium",TRUE, "Low")</f>
        <v>Low</v>
      </c>
      <c r="AR468" s="16" cm="1">
        <f t="array" ref="AR468">IFERROR(_xlfn.IFS(tbl_HR_Data[[#This Row],[Risk_Category]]="Critical",tbl_HR_Data[[#This Row],[MonthlyIncome]]*1.5,tbl_HR_Data[[#This Row],[Risk_Category]]="High",tbl_HR_Data[[#This Row],[MonthlyIncome]]*1.5),0)</f>
        <v>0</v>
      </c>
    </row>
    <row r="469" spans="1:44" x14ac:dyDescent="0.35">
      <c r="A469" t="s">
        <v>1111</v>
      </c>
      <c r="B469">
        <v>37</v>
      </c>
      <c r="C469" t="s">
        <v>1525</v>
      </c>
      <c r="D469">
        <v>142</v>
      </c>
      <c r="E469" t="s">
        <v>32</v>
      </c>
      <c r="F469">
        <v>9</v>
      </c>
      <c r="G469">
        <v>4</v>
      </c>
      <c r="H469" t="s">
        <v>44</v>
      </c>
      <c r="I469">
        <v>1</v>
      </c>
      <c r="J469" t="s">
        <v>39</v>
      </c>
      <c r="K469">
        <v>69</v>
      </c>
      <c r="L469">
        <v>3</v>
      </c>
      <c r="M469">
        <v>3</v>
      </c>
      <c r="N469" t="s">
        <v>35</v>
      </c>
      <c r="O469">
        <v>2</v>
      </c>
      <c r="P469" t="s">
        <v>45</v>
      </c>
      <c r="Q469">
        <v>8834</v>
      </c>
      <c r="R469">
        <v>24666</v>
      </c>
      <c r="S469">
        <v>1</v>
      </c>
      <c r="T469">
        <v>0</v>
      </c>
      <c r="U469" s="17">
        <v>0.13</v>
      </c>
      <c r="V469">
        <v>3</v>
      </c>
      <c r="W469">
        <v>4</v>
      </c>
      <c r="X469">
        <v>1</v>
      </c>
      <c r="Y469">
        <v>9</v>
      </c>
      <c r="Z469">
        <v>6</v>
      </c>
      <c r="AA469">
        <v>3</v>
      </c>
      <c r="AB469">
        <v>9</v>
      </c>
      <c r="AC469">
        <v>5</v>
      </c>
      <c r="AD469">
        <v>7</v>
      </c>
      <c r="AE469">
        <v>7</v>
      </c>
      <c r="AF469">
        <v>0</v>
      </c>
      <c r="AG469">
        <f>IF(tbl_HR_Data[[#This Row],[Gender]]="Male",1,0)</f>
        <v>1</v>
      </c>
      <c r="AH469" cm="1">
        <f t="array" ref="AH469">_xlfn.SWITCH(tbl_HR_Data[[#This Row],[BusinessTravel]], "Non-Travel", 0, "Travel_Rarely", 1, "Travel_Frequently", 2)</f>
        <v>0</v>
      </c>
      <c r="AI469" cm="1">
        <f t="array" ref="AI469">_xlfn.SWITCH(tbl_HR_Data[[#This Row],[MaritalStatus]],"Single",0,"Married",1,"Divorced",2)</f>
        <v>2</v>
      </c>
      <c r="AJ469">
        <f>IF(tbl_HR_Data[[#This Row],[OverTime]]=1,1,0)</f>
        <v>0</v>
      </c>
      <c r="AK469">
        <f>IF(tbl_HR_Data[[#This Row],[DistanceFromHome]]&gt;15,1,0)</f>
        <v>0</v>
      </c>
      <c r="AL469">
        <f>IF(tbl_HR_Data[[#This Row],[JobSatisfaction]]&lt;=2,1,0)</f>
        <v>1</v>
      </c>
      <c r="AM469">
        <f>IF(tbl_HR_Data[[#This Row],[MonthlyIncome]]&lt;$AT$2,1,0)</f>
        <v>0</v>
      </c>
      <c r="AN469">
        <f>IF(tbl_HR_Data[[#This Row],[Travel_Code]]=2,1,0)</f>
        <v>0</v>
      </c>
      <c r="AO469">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469" s="15">
        <f>tbl_HR_Data[[#This Row],[Risk_Score_Raw]] / SUM(Logic_Parameters!$B$2:$B$6)</f>
        <v>0.14485673308716898</v>
      </c>
      <c r="AQ469" s="16" t="str" cm="1">
        <f t="array" ref="AQ469">_xlfn.IFS(tbl_HR_Data[[#This Row],[Attrition_Risk_Percentage]] &gt;= 0.75, "Critical",tbl_HR_Data[ [#This Row],[Attrition_Risk_Percentage] ]&gt;= 0.5, "High",tbl_HR_Data[[#This Row],[Attrition_Risk_Percentage]] &gt;= 0.25, "Medium",TRUE, "Low")</f>
        <v>Low</v>
      </c>
      <c r="AR469" s="16" cm="1">
        <f t="array" ref="AR469">IFERROR(_xlfn.IFS(tbl_HR_Data[[#This Row],[Risk_Category]]="Critical",tbl_HR_Data[[#This Row],[MonthlyIncome]]*1.5,tbl_HR_Data[[#This Row],[Risk_Category]]="High",tbl_HR_Data[[#This Row],[MonthlyIncome]]*1.5),0)</f>
        <v>0</v>
      </c>
    </row>
    <row r="470" spans="1:44" x14ac:dyDescent="0.35">
      <c r="A470" t="s">
        <v>836</v>
      </c>
      <c r="B470">
        <v>52</v>
      </c>
      <c r="C470" t="s">
        <v>31</v>
      </c>
      <c r="D470">
        <v>956</v>
      </c>
      <c r="E470" t="s">
        <v>38</v>
      </c>
      <c r="F470">
        <v>6</v>
      </c>
      <c r="G470">
        <v>2</v>
      </c>
      <c r="H470" t="s">
        <v>52</v>
      </c>
      <c r="I470">
        <v>4</v>
      </c>
      <c r="J470" t="s">
        <v>39</v>
      </c>
      <c r="K470">
        <v>78</v>
      </c>
      <c r="L470">
        <v>3</v>
      </c>
      <c r="M470">
        <v>2</v>
      </c>
      <c r="N470" t="s">
        <v>40</v>
      </c>
      <c r="O470">
        <v>1</v>
      </c>
      <c r="P470" t="s">
        <v>45</v>
      </c>
      <c r="Q470">
        <v>5577</v>
      </c>
      <c r="R470">
        <v>22087</v>
      </c>
      <c r="S470">
        <v>3</v>
      </c>
      <c r="T470">
        <v>1</v>
      </c>
      <c r="U470" s="17">
        <v>0.12</v>
      </c>
      <c r="V470">
        <v>3</v>
      </c>
      <c r="W470">
        <v>2</v>
      </c>
      <c r="X470">
        <v>2</v>
      </c>
      <c r="Y470">
        <v>18</v>
      </c>
      <c r="Z470">
        <v>3</v>
      </c>
      <c r="AA470">
        <v>3</v>
      </c>
      <c r="AB470">
        <v>10</v>
      </c>
      <c r="AC470">
        <v>9</v>
      </c>
      <c r="AD470">
        <v>6</v>
      </c>
      <c r="AE470">
        <v>9</v>
      </c>
      <c r="AF470">
        <v>0</v>
      </c>
      <c r="AG470">
        <f>IF(tbl_HR_Data[[#This Row],[Gender]]="Male",1,0)</f>
        <v>1</v>
      </c>
      <c r="AH470" cm="1">
        <f t="array" ref="AH470">_xlfn.SWITCH(tbl_HR_Data[[#This Row],[BusinessTravel]], "Non-Travel", 0, "Travel_Rarely", 1, "Travel_Frequently", 2)</f>
        <v>1</v>
      </c>
      <c r="AI470" cm="1">
        <f t="array" ref="AI470">_xlfn.SWITCH(tbl_HR_Data[[#This Row],[MaritalStatus]],"Single",0,"Married",1,"Divorced",2)</f>
        <v>2</v>
      </c>
      <c r="AJ470">
        <f>IF(tbl_HR_Data[[#This Row],[OverTime]]=1,1,0)</f>
        <v>1</v>
      </c>
      <c r="AK470">
        <f>IF(tbl_HR_Data[[#This Row],[DistanceFromHome]]&gt;15,1,0)</f>
        <v>0</v>
      </c>
      <c r="AL470">
        <f>IF(tbl_HR_Data[[#This Row],[JobSatisfaction]]&lt;=2,1,0)</f>
        <v>1</v>
      </c>
      <c r="AM470">
        <f>IF(tbl_HR_Data[[#This Row],[MonthlyIncome]]&lt;$AT$2,1,0)</f>
        <v>0</v>
      </c>
      <c r="AN470">
        <f>IF(tbl_HR_Data[[#This Row],[Travel_Code]]=2,1,0)</f>
        <v>0</v>
      </c>
      <c r="AO470">
        <f>(tbl_HR_Data[[#This Row],[Flag_OT]] * Logic_Parameters!$B$2) +
 (tbl_HR_Data[[#This Row],[Flag_Travel]] * Logic_Parameters!$B$3) +
 (tbl_HR_Data[[#This Row],[Flag_Satisfaction]] * Logic_Parameters!$B$4) +
 (tbl_HR_Data[[#This Row],[Flag_Distance]]* Logic_Parameters!$B$5) +
 (tbl_HR_Data[[#This Row],[Flag_Income]] * Logic_Parameters!$B$6)</f>
        <v>14.204533129978131</v>
      </c>
      <c r="AP470" s="15">
        <f>tbl_HR_Data[[#This Row],[Risk_Score_Raw]] / SUM(Logic_Parameters!$B$2:$B$6)</f>
        <v>0.48938186491297625</v>
      </c>
      <c r="AQ470" s="16" t="str" cm="1">
        <f t="array" ref="AQ470">_xlfn.IFS(tbl_HR_Data[[#This Row],[Attrition_Risk_Percentage]] &gt;= 0.75, "Critical",tbl_HR_Data[ [#This Row],[Attrition_Risk_Percentage] ]&gt;= 0.5, "High",tbl_HR_Data[[#This Row],[Attrition_Risk_Percentage]] &gt;= 0.25, "Medium",TRUE, "Low")</f>
        <v>Medium</v>
      </c>
      <c r="AR470" s="16" cm="1">
        <f t="array" ref="AR470">IFERROR(_xlfn.IFS(tbl_HR_Data[[#This Row],[Risk_Category]]="Critical",tbl_HR_Data[[#This Row],[MonthlyIncome]]*1.5,tbl_HR_Data[[#This Row],[Risk_Category]]="High",tbl_HR_Data[[#This Row],[MonthlyIncome]]*1.5),0)</f>
        <v>0</v>
      </c>
    </row>
    <row r="471" spans="1:44" x14ac:dyDescent="0.35">
      <c r="A471" t="s">
        <v>259</v>
      </c>
      <c r="B471">
        <v>32</v>
      </c>
      <c r="C471" t="s">
        <v>1525</v>
      </c>
      <c r="D471">
        <v>1474</v>
      </c>
      <c r="E471" t="s">
        <v>32</v>
      </c>
      <c r="F471">
        <v>11</v>
      </c>
      <c r="G471">
        <v>4</v>
      </c>
      <c r="H471" t="s">
        <v>42</v>
      </c>
      <c r="I471">
        <v>4</v>
      </c>
      <c r="J471" t="s">
        <v>39</v>
      </c>
      <c r="K471">
        <v>60</v>
      </c>
      <c r="L471">
        <v>4</v>
      </c>
      <c r="M471">
        <v>2</v>
      </c>
      <c r="N471" t="s">
        <v>35</v>
      </c>
      <c r="O471">
        <v>3</v>
      </c>
      <c r="P471" t="s">
        <v>41</v>
      </c>
      <c r="Q471">
        <v>4707</v>
      </c>
      <c r="R471">
        <v>23914</v>
      </c>
      <c r="S471">
        <v>8</v>
      </c>
      <c r="T471">
        <v>0</v>
      </c>
      <c r="U471" s="17">
        <v>0.12</v>
      </c>
      <c r="V471">
        <v>3</v>
      </c>
      <c r="W471">
        <v>4</v>
      </c>
      <c r="X471">
        <v>0</v>
      </c>
      <c r="Y471">
        <v>6</v>
      </c>
      <c r="Z471">
        <v>2</v>
      </c>
      <c r="AA471">
        <v>3</v>
      </c>
      <c r="AB471">
        <v>4</v>
      </c>
      <c r="AC471">
        <v>2</v>
      </c>
      <c r="AD471">
        <v>1</v>
      </c>
      <c r="AE471">
        <v>2</v>
      </c>
      <c r="AF471">
        <v>1</v>
      </c>
      <c r="AG471">
        <f>IF(tbl_HR_Data[[#This Row],[Gender]]="Male",1,0)</f>
        <v>1</v>
      </c>
      <c r="AH471" cm="1">
        <f t="array" ref="AH471">_xlfn.SWITCH(tbl_HR_Data[[#This Row],[BusinessTravel]], "Non-Travel", 0, "Travel_Rarely", 1, "Travel_Frequently", 2)</f>
        <v>0</v>
      </c>
      <c r="AI471" cm="1">
        <f t="array" ref="AI471">_xlfn.SWITCH(tbl_HR_Data[[#This Row],[MaritalStatus]],"Single",0,"Married",1,"Divorced",2)</f>
        <v>1</v>
      </c>
      <c r="AJ471">
        <f>IF(tbl_HR_Data[[#This Row],[OverTime]]=1,1,0)</f>
        <v>0</v>
      </c>
      <c r="AK471">
        <f>IF(tbl_HR_Data[[#This Row],[DistanceFromHome]]&gt;15,1,0)</f>
        <v>0</v>
      </c>
      <c r="AL471">
        <f>IF(tbl_HR_Data[[#This Row],[JobSatisfaction]]&lt;=2,1,0)</f>
        <v>0</v>
      </c>
      <c r="AM471">
        <f>IF(tbl_HR_Data[[#This Row],[MonthlyIncome]]&lt;$AT$2,1,0)</f>
        <v>1</v>
      </c>
      <c r="AN471">
        <f>IF(tbl_HR_Data[[#This Row],[Travel_Code]]=2,1,0)</f>
        <v>0</v>
      </c>
      <c r="AO471">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471" s="15">
        <f>tbl_HR_Data[[#This Row],[Risk_Score_Raw]] / SUM(Logic_Parameters!$B$2:$B$6)</f>
        <v>0.22374939857982484</v>
      </c>
      <c r="AQ471" s="16" t="str" cm="1">
        <f t="array" ref="AQ471">_xlfn.IFS(tbl_HR_Data[[#This Row],[Attrition_Risk_Percentage]] &gt;= 0.75, "Critical",tbl_HR_Data[ [#This Row],[Attrition_Risk_Percentage] ]&gt;= 0.5, "High",tbl_HR_Data[[#This Row],[Attrition_Risk_Percentage]] &gt;= 0.25, "Medium",TRUE, "Low")</f>
        <v>Low</v>
      </c>
      <c r="AR471" s="16" cm="1">
        <f t="array" ref="AR471">IFERROR(_xlfn.IFS(tbl_HR_Data[[#This Row],[Risk_Category]]="Critical",tbl_HR_Data[[#This Row],[MonthlyIncome]]*1.5,tbl_HR_Data[[#This Row],[Risk_Category]]="High",tbl_HR_Data[[#This Row],[MonthlyIncome]]*1.5),0)</f>
        <v>0</v>
      </c>
    </row>
    <row r="472" spans="1:44" x14ac:dyDescent="0.35">
      <c r="A472" t="s">
        <v>217</v>
      </c>
      <c r="B472">
        <v>24</v>
      </c>
      <c r="C472" t="s">
        <v>37</v>
      </c>
      <c r="D472">
        <v>535</v>
      </c>
      <c r="E472" t="s">
        <v>32</v>
      </c>
      <c r="F472">
        <v>24</v>
      </c>
      <c r="G472">
        <v>3</v>
      </c>
      <c r="H472" t="s">
        <v>44</v>
      </c>
      <c r="I472">
        <v>4</v>
      </c>
      <c r="J472" t="s">
        <v>39</v>
      </c>
      <c r="K472">
        <v>38</v>
      </c>
      <c r="L472">
        <v>3</v>
      </c>
      <c r="M472">
        <v>1</v>
      </c>
      <c r="N472" t="s">
        <v>49</v>
      </c>
      <c r="O472">
        <v>4</v>
      </c>
      <c r="P472" t="s">
        <v>41</v>
      </c>
      <c r="Q472">
        <v>2400</v>
      </c>
      <c r="R472">
        <v>5530</v>
      </c>
      <c r="S472">
        <v>0</v>
      </c>
      <c r="T472">
        <v>0</v>
      </c>
      <c r="U472" s="17">
        <v>0.13</v>
      </c>
      <c r="V472">
        <v>3</v>
      </c>
      <c r="W472">
        <v>3</v>
      </c>
      <c r="X472">
        <v>2</v>
      </c>
      <c r="Y472">
        <v>3</v>
      </c>
      <c r="Z472">
        <v>3</v>
      </c>
      <c r="AA472">
        <v>3</v>
      </c>
      <c r="AB472">
        <v>2</v>
      </c>
      <c r="AC472">
        <v>2</v>
      </c>
      <c r="AD472">
        <v>2</v>
      </c>
      <c r="AE472">
        <v>1</v>
      </c>
      <c r="AF472">
        <v>0</v>
      </c>
      <c r="AG472">
        <f>IF(tbl_HR_Data[[#This Row],[Gender]]="Male",1,0)</f>
        <v>1</v>
      </c>
      <c r="AH472" cm="1">
        <f t="array" ref="AH472">_xlfn.SWITCH(tbl_HR_Data[[#This Row],[BusinessTravel]], "Non-Travel", 0, "Travel_Rarely", 1, "Travel_Frequently", 2)</f>
        <v>2</v>
      </c>
      <c r="AI472" cm="1">
        <f t="array" ref="AI472">_xlfn.SWITCH(tbl_HR_Data[[#This Row],[MaritalStatus]],"Single",0,"Married",1,"Divorced",2)</f>
        <v>1</v>
      </c>
      <c r="AJ472">
        <f>IF(tbl_HR_Data[[#This Row],[OverTime]]=1,1,0)</f>
        <v>0</v>
      </c>
      <c r="AK472">
        <f>IF(tbl_HR_Data[[#This Row],[DistanceFromHome]]&gt;15,1,0)</f>
        <v>1</v>
      </c>
      <c r="AL472">
        <f>IF(tbl_HR_Data[[#This Row],[JobSatisfaction]]&lt;=2,1,0)</f>
        <v>0</v>
      </c>
      <c r="AM472">
        <f>IF(tbl_HR_Data[[#This Row],[MonthlyIncome]]&lt;$AT$2,1,0)</f>
        <v>1</v>
      </c>
      <c r="AN472">
        <f>IF(tbl_HR_Data[[#This Row],[Travel_Code]]=2,1,0)</f>
        <v>1</v>
      </c>
      <c r="AO472">
        <f>(tbl_HR_Data[[#This Row],[Flag_OT]] * Logic_Parameters!$B$2) +
 (tbl_HR_Data[[#This Row],[Flag_Travel]] * Logic_Parameters!$B$3) +
 (tbl_HR_Data[[#This Row],[Flag_Satisfaction]] * Logic_Parameters!$B$4) +
 (tbl_HR_Data[[#This Row],[Flag_Distance]]* Logic_Parameters!$B$5) +
 (tbl_HR_Data[[#This Row],[Flag_Income]] * Logic_Parameters!$B$6)</f>
        <v>14.820925613786383</v>
      </c>
      <c r="AP472" s="15">
        <f>tbl_HR_Data[[#This Row],[Risk_Score_Raw]] / SUM(Logic_Parameters!$B$2:$B$6)</f>
        <v>0.51061813508702369</v>
      </c>
      <c r="AQ472" s="16" t="str" cm="1">
        <f t="array" ref="AQ472">_xlfn.IFS(tbl_HR_Data[[#This Row],[Attrition_Risk_Percentage]] &gt;= 0.75, "Critical",tbl_HR_Data[ [#This Row],[Attrition_Risk_Percentage] ]&gt;= 0.5, "High",tbl_HR_Data[[#This Row],[Attrition_Risk_Percentage]] &gt;= 0.25, "Medium",TRUE, "Low")</f>
        <v>High</v>
      </c>
      <c r="AR472" s="16" cm="1">
        <f t="array" ref="AR472">IFERROR(_xlfn.IFS(tbl_HR_Data[[#This Row],[Risk_Category]]="Critical",tbl_HR_Data[[#This Row],[MonthlyIncome]]*1.5,tbl_HR_Data[[#This Row],[Risk_Category]]="High",tbl_HR_Data[[#This Row],[MonthlyIncome]]*1.5),0)</f>
        <v>3600</v>
      </c>
    </row>
    <row r="473" spans="1:44" x14ac:dyDescent="0.35">
      <c r="A473" t="s">
        <v>1078</v>
      </c>
      <c r="B473">
        <v>38</v>
      </c>
      <c r="C473" t="s">
        <v>31</v>
      </c>
      <c r="D473">
        <v>1495</v>
      </c>
      <c r="E473" t="s">
        <v>38</v>
      </c>
      <c r="F473">
        <v>10</v>
      </c>
      <c r="G473">
        <v>3</v>
      </c>
      <c r="H473" t="s">
        <v>44</v>
      </c>
      <c r="I473">
        <v>3</v>
      </c>
      <c r="J473" t="s">
        <v>34</v>
      </c>
      <c r="K473">
        <v>76</v>
      </c>
      <c r="L473">
        <v>3</v>
      </c>
      <c r="M473">
        <v>2</v>
      </c>
      <c r="N473" t="s">
        <v>47</v>
      </c>
      <c r="O473">
        <v>3</v>
      </c>
      <c r="P473" t="s">
        <v>41</v>
      </c>
      <c r="Q473">
        <v>9824</v>
      </c>
      <c r="R473">
        <v>22174</v>
      </c>
      <c r="S473">
        <v>3</v>
      </c>
      <c r="T473">
        <v>0</v>
      </c>
      <c r="U473" s="17">
        <v>0.19</v>
      </c>
      <c r="V473">
        <v>3</v>
      </c>
      <c r="W473">
        <v>3</v>
      </c>
      <c r="X473">
        <v>1</v>
      </c>
      <c r="Y473">
        <v>18</v>
      </c>
      <c r="Z473">
        <v>4</v>
      </c>
      <c r="AA473">
        <v>3</v>
      </c>
      <c r="AB473">
        <v>1</v>
      </c>
      <c r="AC473">
        <v>0</v>
      </c>
      <c r="AD473">
        <v>0</v>
      </c>
      <c r="AE473">
        <v>0</v>
      </c>
      <c r="AF473">
        <v>0</v>
      </c>
      <c r="AG473">
        <f>IF(tbl_HR_Data[[#This Row],[Gender]]="Male",1,0)</f>
        <v>0</v>
      </c>
      <c r="AH473" cm="1">
        <f t="array" ref="AH473">_xlfn.SWITCH(tbl_HR_Data[[#This Row],[BusinessTravel]], "Non-Travel", 0, "Travel_Rarely", 1, "Travel_Frequently", 2)</f>
        <v>1</v>
      </c>
      <c r="AI473" cm="1">
        <f t="array" ref="AI473">_xlfn.SWITCH(tbl_HR_Data[[#This Row],[MaritalStatus]],"Single",0,"Married",1,"Divorced",2)</f>
        <v>1</v>
      </c>
      <c r="AJ473">
        <f>IF(tbl_HR_Data[[#This Row],[OverTime]]=1,1,0)</f>
        <v>0</v>
      </c>
      <c r="AK473">
        <f>IF(tbl_HR_Data[[#This Row],[DistanceFromHome]]&gt;15,1,0)</f>
        <v>0</v>
      </c>
      <c r="AL473">
        <f>IF(tbl_HR_Data[[#This Row],[JobSatisfaction]]&lt;=2,1,0)</f>
        <v>0</v>
      </c>
      <c r="AM473">
        <f>IF(tbl_HR_Data[[#This Row],[MonthlyIncome]]&lt;$AT$2,1,0)</f>
        <v>0</v>
      </c>
      <c r="AN473">
        <f>IF(tbl_HR_Data[[#This Row],[Travel_Code]]=2,1,0)</f>
        <v>0</v>
      </c>
      <c r="AO473">
        <f>(tbl_HR_Data[[#This Row],[Flag_OT]] * Logic_Parameters!$B$2) +
 (tbl_HR_Data[[#This Row],[Flag_Travel]] * Logic_Parameters!$B$3) +
 (tbl_HR_Data[[#This Row],[Flag_Satisfaction]] * Logic_Parameters!$B$4) +
 (tbl_HR_Data[[#This Row],[Flag_Distance]]* Logic_Parameters!$B$5) +
 (tbl_HR_Data[[#This Row],[Flag_Income]] * Logic_Parameters!$B$6)</f>
        <v>0</v>
      </c>
      <c r="AP473" s="15">
        <f>tbl_HR_Data[[#This Row],[Risk_Score_Raw]] / SUM(Logic_Parameters!$B$2:$B$6)</f>
        <v>0</v>
      </c>
      <c r="AQ473" s="16" t="str" cm="1">
        <f t="array" ref="AQ473">_xlfn.IFS(tbl_HR_Data[[#This Row],[Attrition_Risk_Percentage]] &gt;= 0.75, "Critical",tbl_HR_Data[ [#This Row],[Attrition_Risk_Percentage] ]&gt;= 0.5, "High",tbl_HR_Data[[#This Row],[Attrition_Risk_Percentage]] &gt;= 0.25, "Medium",TRUE, "Low")</f>
        <v>Low</v>
      </c>
      <c r="AR473" s="16" cm="1">
        <f t="array" ref="AR473">IFERROR(_xlfn.IFS(tbl_HR_Data[[#This Row],[Risk_Category]]="Critical",tbl_HR_Data[[#This Row],[MonthlyIncome]]*1.5,tbl_HR_Data[[#This Row],[Risk_Category]]="High",tbl_HR_Data[[#This Row],[MonthlyIncome]]*1.5),0)</f>
        <v>0</v>
      </c>
    </row>
    <row r="474" spans="1:44" x14ac:dyDescent="0.35">
      <c r="A474" t="s">
        <v>394</v>
      </c>
      <c r="B474">
        <v>37</v>
      </c>
      <c r="C474" t="s">
        <v>31</v>
      </c>
      <c r="D474">
        <v>446</v>
      </c>
      <c r="E474" t="s">
        <v>38</v>
      </c>
      <c r="F474">
        <v>1</v>
      </c>
      <c r="G474">
        <v>4</v>
      </c>
      <c r="H474" t="s">
        <v>33</v>
      </c>
      <c r="I474">
        <v>2</v>
      </c>
      <c r="J474" t="s">
        <v>34</v>
      </c>
      <c r="K474">
        <v>65</v>
      </c>
      <c r="L474">
        <v>3</v>
      </c>
      <c r="M474">
        <v>2</v>
      </c>
      <c r="N474" t="s">
        <v>46</v>
      </c>
      <c r="O474">
        <v>2</v>
      </c>
      <c r="P474" t="s">
        <v>41</v>
      </c>
      <c r="Q474">
        <v>6447</v>
      </c>
      <c r="R474">
        <v>15701</v>
      </c>
      <c r="S474">
        <v>6</v>
      </c>
      <c r="T474">
        <v>0</v>
      </c>
      <c r="U474" s="17">
        <v>0.12</v>
      </c>
      <c r="V474">
        <v>3</v>
      </c>
      <c r="W474">
        <v>2</v>
      </c>
      <c r="X474">
        <v>1</v>
      </c>
      <c r="Y474">
        <v>8</v>
      </c>
      <c r="Z474">
        <v>2</v>
      </c>
      <c r="AA474">
        <v>2</v>
      </c>
      <c r="AB474">
        <v>6</v>
      </c>
      <c r="AC474">
        <v>5</v>
      </c>
      <c r="AD474">
        <v>4</v>
      </c>
      <c r="AE474">
        <v>3</v>
      </c>
      <c r="AF474">
        <v>0</v>
      </c>
      <c r="AG474">
        <f>IF(tbl_HR_Data[[#This Row],[Gender]]="Male",1,0)</f>
        <v>0</v>
      </c>
      <c r="AH474" cm="1">
        <f t="array" ref="AH474">_xlfn.SWITCH(tbl_HR_Data[[#This Row],[BusinessTravel]], "Non-Travel", 0, "Travel_Rarely", 1, "Travel_Frequently", 2)</f>
        <v>1</v>
      </c>
      <c r="AI474" cm="1">
        <f t="array" ref="AI474">_xlfn.SWITCH(tbl_HR_Data[[#This Row],[MaritalStatus]],"Single",0,"Married",1,"Divorced",2)</f>
        <v>1</v>
      </c>
      <c r="AJ474">
        <f>IF(tbl_HR_Data[[#This Row],[OverTime]]=1,1,0)</f>
        <v>0</v>
      </c>
      <c r="AK474">
        <f>IF(tbl_HR_Data[[#This Row],[DistanceFromHome]]&gt;15,1,0)</f>
        <v>0</v>
      </c>
      <c r="AL474">
        <f>IF(tbl_HR_Data[[#This Row],[JobSatisfaction]]&lt;=2,1,0)</f>
        <v>1</v>
      </c>
      <c r="AM474">
        <f>IF(tbl_HR_Data[[#This Row],[MonthlyIncome]]&lt;$AT$2,1,0)</f>
        <v>0</v>
      </c>
      <c r="AN474">
        <f>IF(tbl_HR_Data[[#This Row],[Travel_Code]]=2,1,0)</f>
        <v>0</v>
      </c>
      <c r="AO474">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474" s="15">
        <f>tbl_HR_Data[[#This Row],[Risk_Score_Raw]] / SUM(Logic_Parameters!$B$2:$B$6)</f>
        <v>0.14485673308716898</v>
      </c>
      <c r="AQ474" s="16" t="str" cm="1">
        <f t="array" ref="AQ474">_xlfn.IFS(tbl_HR_Data[[#This Row],[Attrition_Risk_Percentage]] &gt;= 0.75, "Critical",tbl_HR_Data[ [#This Row],[Attrition_Risk_Percentage] ]&gt;= 0.5, "High",tbl_HR_Data[[#This Row],[Attrition_Risk_Percentage]] &gt;= 0.25, "Medium",TRUE, "Low")</f>
        <v>Low</v>
      </c>
      <c r="AR474" s="16" cm="1">
        <f t="array" ref="AR474">IFERROR(_xlfn.IFS(tbl_HR_Data[[#This Row],[Risk_Category]]="Critical",tbl_HR_Data[[#This Row],[MonthlyIncome]]*1.5,tbl_HR_Data[[#This Row],[Risk_Category]]="High",tbl_HR_Data[[#This Row],[MonthlyIncome]]*1.5),0)</f>
        <v>0</v>
      </c>
    </row>
    <row r="475" spans="1:44" x14ac:dyDescent="0.35">
      <c r="A475" t="s">
        <v>1282</v>
      </c>
      <c r="B475">
        <v>49</v>
      </c>
      <c r="C475" t="s">
        <v>31</v>
      </c>
      <c r="D475">
        <v>1245</v>
      </c>
      <c r="E475" t="s">
        <v>38</v>
      </c>
      <c r="F475">
        <v>18</v>
      </c>
      <c r="G475">
        <v>4</v>
      </c>
      <c r="H475" t="s">
        <v>33</v>
      </c>
      <c r="I475">
        <v>4</v>
      </c>
      <c r="J475" t="s">
        <v>39</v>
      </c>
      <c r="K475">
        <v>58</v>
      </c>
      <c r="L475">
        <v>2</v>
      </c>
      <c r="M475">
        <v>5</v>
      </c>
      <c r="N475" t="s">
        <v>50</v>
      </c>
      <c r="O475">
        <v>3</v>
      </c>
      <c r="P475" t="s">
        <v>45</v>
      </c>
      <c r="Q475">
        <v>19502</v>
      </c>
      <c r="R475">
        <v>2125</v>
      </c>
      <c r="S475">
        <v>1</v>
      </c>
      <c r="T475">
        <v>1</v>
      </c>
      <c r="U475" s="17">
        <v>0.17</v>
      </c>
      <c r="V475">
        <v>3</v>
      </c>
      <c r="W475">
        <v>3</v>
      </c>
      <c r="X475">
        <v>1</v>
      </c>
      <c r="Y475">
        <v>31</v>
      </c>
      <c r="Z475">
        <v>5</v>
      </c>
      <c r="AA475">
        <v>3</v>
      </c>
      <c r="AB475">
        <v>31</v>
      </c>
      <c r="AC475">
        <v>9</v>
      </c>
      <c r="AD475">
        <v>0</v>
      </c>
      <c r="AE475">
        <v>9</v>
      </c>
      <c r="AF475">
        <v>0</v>
      </c>
      <c r="AG475">
        <f>IF(tbl_HR_Data[[#This Row],[Gender]]="Male",1,0)</f>
        <v>1</v>
      </c>
      <c r="AH475" cm="1">
        <f t="array" ref="AH475">_xlfn.SWITCH(tbl_HR_Data[[#This Row],[BusinessTravel]], "Non-Travel", 0, "Travel_Rarely", 1, "Travel_Frequently", 2)</f>
        <v>1</v>
      </c>
      <c r="AI475" cm="1">
        <f t="array" ref="AI475">_xlfn.SWITCH(tbl_HR_Data[[#This Row],[MaritalStatus]],"Single",0,"Married",1,"Divorced",2)</f>
        <v>2</v>
      </c>
      <c r="AJ475">
        <f>IF(tbl_HR_Data[[#This Row],[OverTime]]=1,1,0)</f>
        <v>1</v>
      </c>
      <c r="AK475">
        <f>IF(tbl_HR_Data[[#This Row],[DistanceFromHome]]&gt;15,1,0)</f>
        <v>1</v>
      </c>
      <c r="AL475">
        <f>IF(tbl_HR_Data[[#This Row],[JobSatisfaction]]&lt;=2,1,0)</f>
        <v>0</v>
      </c>
      <c r="AM475">
        <f>IF(tbl_HR_Data[[#This Row],[MonthlyIncome]]&lt;$AT$2,1,0)</f>
        <v>0</v>
      </c>
      <c r="AN475">
        <f>IF(tbl_HR_Data[[#This Row],[Travel_Code]]=2,1,0)</f>
        <v>0</v>
      </c>
      <c r="AO475">
        <f>(tbl_HR_Data[[#This Row],[Flag_OT]] * Logic_Parameters!$B$2) +
 (tbl_HR_Data[[#This Row],[Flag_Travel]] * Logic_Parameters!$B$3) +
 (tbl_HR_Data[[#This Row],[Flag_Satisfaction]] * Logic_Parameters!$B$4) +
 (tbl_HR_Data[[#This Row],[Flag_Distance]]* Logic_Parameters!$B$5) +
 (tbl_HR_Data[[#This Row],[Flag_Income]] * Logic_Parameters!$B$6)</f>
        <v>13.166106695875378</v>
      </c>
      <c r="AP475" s="15">
        <f>tbl_HR_Data[[#This Row],[Risk_Score_Raw]] / SUM(Logic_Parameters!$B$2:$B$6)</f>
        <v>0.45360546450291089</v>
      </c>
      <c r="AQ475" s="16" t="str" cm="1">
        <f t="array" ref="AQ475">_xlfn.IFS(tbl_HR_Data[[#This Row],[Attrition_Risk_Percentage]] &gt;= 0.75, "Critical",tbl_HR_Data[ [#This Row],[Attrition_Risk_Percentage] ]&gt;= 0.5, "High",tbl_HR_Data[[#This Row],[Attrition_Risk_Percentage]] &gt;= 0.25, "Medium",TRUE, "Low")</f>
        <v>Medium</v>
      </c>
      <c r="AR475" s="16" cm="1">
        <f t="array" ref="AR475">IFERROR(_xlfn.IFS(tbl_HR_Data[[#This Row],[Risk_Category]]="Critical",tbl_HR_Data[[#This Row],[MonthlyIncome]]*1.5,tbl_HR_Data[[#This Row],[Risk_Category]]="High",tbl_HR_Data[[#This Row],[MonthlyIncome]]*1.5),0)</f>
        <v>0</v>
      </c>
    </row>
    <row r="476" spans="1:44" x14ac:dyDescent="0.35">
      <c r="A476" t="s">
        <v>152</v>
      </c>
      <c r="B476">
        <v>24</v>
      </c>
      <c r="C476" t="s">
        <v>31</v>
      </c>
      <c r="D476">
        <v>691</v>
      </c>
      <c r="E476" t="s">
        <v>38</v>
      </c>
      <c r="F476">
        <v>23</v>
      </c>
      <c r="G476">
        <v>3</v>
      </c>
      <c r="H476" t="s">
        <v>44</v>
      </c>
      <c r="I476">
        <v>2</v>
      </c>
      <c r="J476" t="s">
        <v>39</v>
      </c>
      <c r="K476">
        <v>89</v>
      </c>
      <c r="L476">
        <v>4</v>
      </c>
      <c r="M476">
        <v>1</v>
      </c>
      <c r="N476" t="s">
        <v>40</v>
      </c>
      <c r="O476">
        <v>4</v>
      </c>
      <c r="P476" t="s">
        <v>41</v>
      </c>
      <c r="Q476">
        <v>2725</v>
      </c>
      <c r="R476">
        <v>21630</v>
      </c>
      <c r="S476">
        <v>1</v>
      </c>
      <c r="T476">
        <v>1</v>
      </c>
      <c r="U476" s="17">
        <v>0.11</v>
      </c>
      <c r="V476">
        <v>3</v>
      </c>
      <c r="W476">
        <v>2</v>
      </c>
      <c r="X476">
        <v>2</v>
      </c>
      <c r="Y476">
        <v>6</v>
      </c>
      <c r="Z476">
        <v>3</v>
      </c>
      <c r="AA476">
        <v>3</v>
      </c>
      <c r="AB476">
        <v>6</v>
      </c>
      <c r="AC476">
        <v>5</v>
      </c>
      <c r="AD476">
        <v>1</v>
      </c>
      <c r="AE476">
        <v>4</v>
      </c>
      <c r="AF476">
        <v>0</v>
      </c>
      <c r="AG476">
        <f>IF(tbl_HR_Data[[#This Row],[Gender]]="Male",1,0)</f>
        <v>1</v>
      </c>
      <c r="AH476" cm="1">
        <f t="array" ref="AH476">_xlfn.SWITCH(tbl_HR_Data[[#This Row],[BusinessTravel]], "Non-Travel", 0, "Travel_Rarely", 1, "Travel_Frequently", 2)</f>
        <v>1</v>
      </c>
      <c r="AI476" cm="1">
        <f t="array" ref="AI476">_xlfn.SWITCH(tbl_HR_Data[[#This Row],[MaritalStatus]],"Single",0,"Married",1,"Divorced",2)</f>
        <v>1</v>
      </c>
      <c r="AJ476">
        <f>IF(tbl_HR_Data[[#This Row],[OverTime]]=1,1,0)</f>
        <v>1</v>
      </c>
      <c r="AK476">
        <f>IF(tbl_HR_Data[[#This Row],[DistanceFromHome]]&gt;15,1,0)</f>
        <v>1</v>
      </c>
      <c r="AL476">
        <f>IF(tbl_HR_Data[[#This Row],[JobSatisfaction]]&lt;=2,1,0)</f>
        <v>0</v>
      </c>
      <c r="AM476">
        <f>IF(tbl_HR_Data[[#This Row],[MonthlyIncome]]&lt;$AT$2,1,0)</f>
        <v>1</v>
      </c>
      <c r="AN476">
        <f>IF(tbl_HR_Data[[#This Row],[Travel_Code]]=2,1,0)</f>
        <v>0</v>
      </c>
      <c r="AO476">
        <f>(tbl_HR_Data[[#This Row],[Flag_OT]] * Logic_Parameters!$B$2) +
 (tbl_HR_Data[[#This Row],[Flag_Travel]] * Logic_Parameters!$B$3) +
 (tbl_HR_Data[[#This Row],[Flag_Satisfaction]] * Logic_Parameters!$B$4) +
 (tbl_HR_Data[[#This Row],[Flag_Distance]]* Logic_Parameters!$B$5) +
 (tbl_HR_Data[[#This Row],[Flag_Income]] * Logic_Parameters!$B$6)</f>
        <v>19.660535633296206</v>
      </c>
      <c r="AP476" s="15">
        <f>tbl_HR_Data[[#This Row],[Risk_Score_Raw]] / SUM(Logic_Parameters!$B$2:$B$6)</f>
        <v>0.67735486308273574</v>
      </c>
      <c r="AQ476" s="16" t="str" cm="1">
        <f t="array" ref="AQ476">_xlfn.IFS(tbl_HR_Data[[#This Row],[Attrition_Risk_Percentage]] &gt;= 0.75, "Critical",tbl_HR_Data[ [#This Row],[Attrition_Risk_Percentage] ]&gt;= 0.5, "High",tbl_HR_Data[[#This Row],[Attrition_Risk_Percentage]] &gt;= 0.25, "Medium",TRUE, "Low")</f>
        <v>High</v>
      </c>
      <c r="AR476" s="16" cm="1">
        <f t="array" ref="AR476">IFERROR(_xlfn.IFS(tbl_HR_Data[[#This Row],[Risk_Category]]="Critical",tbl_HR_Data[[#This Row],[MonthlyIncome]]*1.5,tbl_HR_Data[[#This Row],[Risk_Category]]="High",tbl_HR_Data[[#This Row],[MonthlyIncome]]*1.5),0)</f>
        <v>4087.5</v>
      </c>
    </row>
    <row r="477" spans="1:44" x14ac:dyDescent="0.35">
      <c r="A477" t="s">
        <v>1219</v>
      </c>
      <c r="B477">
        <v>26</v>
      </c>
      <c r="C477" t="s">
        <v>31</v>
      </c>
      <c r="D477">
        <v>703</v>
      </c>
      <c r="E477" t="s">
        <v>32</v>
      </c>
      <c r="F477">
        <v>28</v>
      </c>
      <c r="G477">
        <v>2</v>
      </c>
      <c r="H477" t="s">
        <v>51</v>
      </c>
      <c r="I477">
        <v>1</v>
      </c>
      <c r="J477" t="s">
        <v>39</v>
      </c>
      <c r="K477">
        <v>66</v>
      </c>
      <c r="L477">
        <v>3</v>
      </c>
      <c r="M477">
        <v>2</v>
      </c>
      <c r="N477" t="s">
        <v>35</v>
      </c>
      <c r="O477">
        <v>2</v>
      </c>
      <c r="P477" t="s">
        <v>41</v>
      </c>
      <c r="Q477">
        <v>6272</v>
      </c>
      <c r="R477">
        <v>7428</v>
      </c>
      <c r="S477">
        <v>1</v>
      </c>
      <c r="T477">
        <v>0</v>
      </c>
      <c r="U477" s="17">
        <v>0.2</v>
      </c>
      <c r="V477">
        <v>4</v>
      </c>
      <c r="W477">
        <v>4</v>
      </c>
      <c r="X477">
        <v>2</v>
      </c>
      <c r="Y477">
        <v>6</v>
      </c>
      <c r="Z477">
        <v>5</v>
      </c>
      <c r="AA477">
        <v>4</v>
      </c>
      <c r="AB477">
        <v>5</v>
      </c>
      <c r="AC477">
        <v>3</v>
      </c>
      <c r="AD477">
        <v>1</v>
      </c>
      <c r="AE477">
        <v>4</v>
      </c>
      <c r="AF477">
        <v>0</v>
      </c>
      <c r="AG477">
        <f>IF(tbl_HR_Data[[#This Row],[Gender]]="Male",1,0)</f>
        <v>1</v>
      </c>
      <c r="AH477" cm="1">
        <f t="array" ref="AH477">_xlfn.SWITCH(tbl_HR_Data[[#This Row],[BusinessTravel]], "Non-Travel", 0, "Travel_Rarely", 1, "Travel_Frequently", 2)</f>
        <v>1</v>
      </c>
      <c r="AI477" cm="1">
        <f t="array" ref="AI477">_xlfn.SWITCH(tbl_HR_Data[[#This Row],[MaritalStatus]],"Single",0,"Married",1,"Divorced",2)</f>
        <v>1</v>
      </c>
      <c r="AJ477">
        <f>IF(tbl_HR_Data[[#This Row],[OverTime]]=1,1,0)</f>
        <v>0</v>
      </c>
      <c r="AK477">
        <f>IF(tbl_HR_Data[[#This Row],[DistanceFromHome]]&gt;15,1,0)</f>
        <v>1</v>
      </c>
      <c r="AL477">
        <f>IF(tbl_HR_Data[[#This Row],[JobSatisfaction]]&lt;=2,1,0)</f>
        <v>1</v>
      </c>
      <c r="AM477">
        <f>IF(tbl_HR_Data[[#This Row],[MonthlyIncome]]&lt;$AT$2,1,0)</f>
        <v>0</v>
      </c>
      <c r="AN477">
        <f>IF(tbl_HR_Data[[#This Row],[Travel_Code]]=2,1,0)</f>
        <v>0</v>
      </c>
      <c r="AO477">
        <f>(tbl_HR_Data[[#This Row],[Flag_OT]] * Logic_Parameters!$B$2) +
 (tbl_HR_Data[[#This Row],[Flag_Travel]] * Logic_Parameters!$B$3) +
 (tbl_HR_Data[[#This Row],[Flag_Satisfaction]] * Logic_Parameters!$B$4) +
 (tbl_HR_Data[[#This Row],[Flag_Distance]]* Logic_Parameters!$B$5) +
 (tbl_HR_Data[[#This Row],[Flag_Income]] * Logic_Parameters!$B$6)</f>
        <v>7.3706398258535089</v>
      </c>
      <c r="AP477" s="15">
        <f>tbl_HR_Data[[#This Row],[Risk_Score_Raw]] / SUM(Logic_Parameters!$B$2:$B$6)</f>
        <v>0.25393706576427255</v>
      </c>
      <c r="AQ477" s="16" t="str" cm="1">
        <f t="array" ref="AQ477">_xlfn.IFS(tbl_HR_Data[[#This Row],[Attrition_Risk_Percentage]] &gt;= 0.75, "Critical",tbl_HR_Data[ [#This Row],[Attrition_Risk_Percentage] ]&gt;= 0.5, "High",tbl_HR_Data[[#This Row],[Attrition_Risk_Percentage]] &gt;= 0.25, "Medium",TRUE, "Low")</f>
        <v>Medium</v>
      </c>
      <c r="AR477" s="16" cm="1">
        <f t="array" ref="AR477">IFERROR(_xlfn.IFS(tbl_HR_Data[[#This Row],[Risk_Category]]="Critical",tbl_HR_Data[[#This Row],[MonthlyIncome]]*1.5,tbl_HR_Data[[#This Row],[Risk_Category]]="High",tbl_HR_Data[[#This Row],[MonthlyIncome]]*1.5),0)</f>
        <v>0</v>
      </c>
    </row>
    <row r="478" spans="1:44" x14ac:dyDescent="0.35">
      <c r="A478" t="s">
        <v>585</v>
      </c>
      <c r="B478">
        <v>24</v>
      </c>
      <c r="C478" t="s">
        <v>31</v>
      </c>
      <c r="D478">
        <v>823</v>
      </c>
      <c r="E478" t="s">
        <v>38</v>
      </c>
      <c r="F478">
        <v>17</v>
      </c>
      <c r="G478">
        <v>2</v>
      </c>
      <c r="H478" t="s">
        <v>42</v>
      </c>
      <c r="I478">
        <v>4</v>
      </c>
      <c r="J478" t="s">
        <v>39</v>
      </c>
      <c r="K478">
        <v>94</v>
      </c>
      <c r="L478">
        <v>2</v>
      </c>
      <c r="M478">
        <v>1</v>
      </c>
      <c r="N478" t="s">
        <v>43</v>
      </c>
      <c r="O478">
        <v>2</v>
      </c>
      <c r="P478" t="s">
        <v>41</v>
      </c>
      <c r="Q478">
        <v>2127</v>
      </c>
      <c r="R478">
        <v>9100</v>
      </c>
      <c r="S478">
        <v>1</v>
      </c>
      <c r="T478">
        <v>0</v>
      </c>
      <c r="U478" s="17">
        <v>0.21</v>
      </c>
      <c r="V478">
        <v>4</v>
      </c>
      <c r="W478">
        <v>4</v>
      </c>
      <c r="X478">
        <v>1</v>
      </c>
      <c r="Y478">
        <v>1</v>
      </c>
      <c r="Z478">
        <v>2</v>
      </c>
      <c r="AA478">
        <v>3</v>
      </c>
      <c r="AB478">
        <v>1</v>
      </c>
      <c r="AC478">
        <v>0</v>
      </c>
      <c r="AD478">
        <v>0</v>
      </c>
      <c r="AE478">
        <v>0</v>
      </c>
      <c r="AF478">
        <v>0</v>
      </c>
      <c r="AG478">
        <f>IF(tbl_HR_Data[[#This Row],[Gender]]="Male",1,0)</f>
        <v>1</v>
      </c>
      <c r="AH478" cm="1">
        <f t="array" ref="AH478">_xlfn.SWITCH(tbl_HR_Data[[#This Row],[BusinessTravel]], "Non-Travel", 0, "Travel_Rarely", 1, "Travel_Frequently", 2)</f>
        <v>1</v>
      </c>
      <c r="AI478" cm="1">
        <f t="array" ref="AI478">_xlfn.SWITCH(tbl_HR_Data[[#This Row],[MaritalStatus]],"Single",0,"Married",1,"Divorced",2)</f>
        <v>1</v>
      </c>
      <c r="AJ478">
        <f>IF(tbl_HR_Data[[#This Row],[OverTime]]=1,1,0)</f>
        <v>0</v>
      </c>
      <c r="AK478">
        <f>IF(tbl_HR_Data[[#This Row],[DistanceFromHome]]&gt;15,1,0)</f>
        <v>1</v>
      </c>
      <c r="AL478">
        <f>IF(tbl_HR_Data[[#This Row],[JobSatisfaction]]&lt;=2,1,0)</f>
        <v>1</v>
      </c>
      <c r="AM478">
        <f>IF(tbl_HR_Data[[#This Row],[MonthlyIncome]]&lt;$AT$2,1,0)</f>
        <v>1</v>
      </c>
      <c r="AN478">
        <f>IF(tbl_HR_Data[[#This Row],[Travel_Code]]=2,1,0)</f>
        <v>0</v>
      </c>
      <c r="AO478">
        <f>(tbl_HR_Data[[#This Row],[Flag_OT]] * Logic_Parameters!$B$2) +
 (tbl_HR_Data[[#This Row],[Flag_Travel]] * Logic_Parameters!$B$3) +
 (tbl_HR_Data[[#This Row],[Flag_Satisfaction]] * Logic_Parameters!$B$4) +
 (tbl_HR_Data[[#This Row],[Flag_Distance]]* Logic_Parameters!$B$5) +
 (tbl_HR_Data[[#This Row],[Flag_Income]] * Logic_Parameters!$B$6)</f>
        <v>13.865068763274337</v>
      </c>
      <c r="AP478" s="15">
        <f>tbl_HR_Data[[#This Row],[Risk_Score_Raw]] / SUM(Logic_Parameters!$B$2:$B$6)</f>
        <v>0.47768646434409739</v>
      </c>
      <c r="AQ478" s="16" t="str" cm="1">
        <f t="array" ref="AQ478">_xlfn.IFS(tbl_HR_Data[[#This Row],[Attrition_Risk_Percentage]] &gt;= 0.75, "Critical",tbl_HR_Data[ [#This Row],[Attrition_Risk_Percentage] ]&gt;= 0.5, "High",tbl_HR_Data[[#This Row],[Attrition_Risk_Percentage]] &gt;= 0.25, "Medium",TRUE, "Low")</f>
        <v>Medium</v>
      </c>
      <c r="AR478" s="16" cm="1">
        <f t="array" ref="AR478">IFERROR(_xlfn.IFS(tbl_HR_Data[[#This Row],[Risk_Category]]="Critical",tbl_HR_Data[[#This Row],[MonthlyIncome]]*1.5,tbl_HR_Data[[#This Row],[Risk_Category]]="High",tbl_HR_Data[[#This Row],[MonthlyIncome]]*1.5),0)</f>
        <v>0</v>
      </c>
    </row>
    <row r="479" spans="1:44" x14ac:dyDescent="0.35">
      <c r="A479" t="s">
        <v>73</v>
      </c>
      <c r="B479">
        <v>50</v>
      </c>
      <c r="C479" t="s">
        <v>37</v>
      </c>
      <c r="D479">
        <v>1246</v>
      </c>
      <c r="E479" t="s">
        <v>53</v>
      </c>
      <c r="F479">
        <v>3</v>
      </c>
      <c r="G479">
        <v>3</v>
      </c>
      <c r="H479" t="s">
        <v>44</v>
      </c>
      <c r="I479">
        <v>1</v>
      </c>
      <c r="J479" t="s">
        <v>39</v>
      </c>
      <c r="K479">
        <v>99</v>
      </c>
      <c r="L479">
        <v>3</v>
      </c>
      <c r="M479">
        <v>5</v>
      </c>
      <c r="N479" t="s">
        <v>48</v>
      </c>
      <c r="O479">
        <v>2</v>
      </c>
      <c r="P479" t="s">
        <v>41</v>
      </c>
      <c r="Q479">
        <v>18200</v>
      </c>
      <c r="R479">
        <v>7999</v>
      </c>
      <c r="S479">
        <v>1</v>
      </c>
      <c r="T479">
        <v>0</v>
      </c>
      <c r="U479" s="17">
        <v>0.11</v>
      </c>
      <c r="V479">
        <v>3</v>
      </c>
      <c r="W479">
        <v>3</v>
      </c>
      <c r="X479">
        <v>1</v>
      </c>
      <c r="Y479">
        <v>32</v>
      </c>
      <c r="Z479">
        <v>2</v>
      </c>
      <c r="AA479">
        <v>3</v>
      </c>
      <c r="AB479">
        <v>32</v>
      </c>
      <c r="AC479">
        <v>5</v>
      </c>
      <c r="AD479">
        <v>10</v>
      </c>
      <c r="AE479">
        <v>7</v>
      </c>
      <c r="AF479">
        <v>0</v>
      </c>
      <c r="AG479">
        <f>IF(tbl_HR_Data[[#This Row],[Gender]]="Male",1,0)</f>
        <v>1</v>
      </c>
      <c r="AH479" cm="1">
        <f t="array" ref="AH479">_xlfn.SWITCH(tbl_HR_Data[[#This Row],[BusinessTravel]], "Non-Travel", 0, "Travel_Rarely", 1, "Travel_Frequently", 2)</f>
        <v>2</v>
      </c>
      <c r="AI479" cm="1">
        <f t="array" ref="AI479">_xlfn.SWITCH(tbl_HR_Data[[#This Row],[MaritalStatus]],"Single",0,"Married",1,"Divorced",2)</f>
        <v>1</v>
      </c>
      <c r="AJ479">
        <f>IF(tbl_HR_Data[[#This Row],[OverTime]]=1,1,0)</f>
        <v>0</v>
      </c>
      <c r="AK479">
        <f>IF(tbl_HR_Data[[#This Row],[DistanceFromHome]]&gt;15,1,0)</f>
        <v>0</v>
      </c>
      <c r="AL479">
        <f>IF(tbl_HR_Data[[#This Row],[JobSatisfaction]]&lt;=2,1,0)</f>
        <v>1</v>
      </c>
      <c r="AM479">
        <f>IF(tbl_HR_Data[[#This Row],[MonthlyIncome]]&lt;$AT$2,1,0)</f>
        <v>0</v>
      </c>
      <c r="AN479">
        <f>IF(tbl_HR_Data[[#This Row],[Travel_Code]]=2,1,0)</f>
        <v>1</v>
      </c>
      <c r="AO479">
        <f>(tbl_HR_Data[[#This Row],[Flag_OT]] * Logic_Parameters!$B$2) +
 (tbl_HR_Data[[#This Row],[Flag_Travel]] * Logic_Parameters!$B$3) +
 (tbl_HR_Data[[#This Row],[Flag_Satisfaction]] * Logic_Parameters!$B$4) +
 (tbl_HR_Data[[#This Row],[Flag_Distance]]* Logic_Parameters!$B$5) +
 (tbl_HR_Data[[#This Row],[Flag_Income]] * Logic_Parameters!$B$6)</f>
        <v>9.3649231104683075</v>
      </c>
      <c r="AP479" s="15">
        <f>tbl_HR_Data[[#This Row],[Risk_Score_Raw]] / SUM(Logic_Parameters!$B$2:$B$6)</f>
        <v>0.32264513691726432</v>
      </c>
      <c r="AQ479" s="16" t="str" cm="1">
        <f t="array" ref="AQ479">_xlfn.IFS(tbl_HR_Data[[#This Row],[Attrition_Risk_Percentage]] &gt;= 0.75, "Critical",tbl_HR_Data[ [#This Row],[Attrition_Risk_Percentage] ]&gt;= 0.5, "High",tbl_HR_Data[[#This Row],[Attrition_Risk_Percentage]] &gt;= 0.25, "Medium",TRUE, "Low")</f>
        <v>Medium</v>
      </c>
      <c r="AR479" s="16" cm="1">
        <f t="array" ref="AR479">IFERROR(_xlfn.IFS(tbl_HR_Data[[#This Row],[Risk_Category]]="Critical",tbl_HR_Data[[#This Row],[MonthlyIncome]]*1.5,tbl_HR_Data[[#This Row],[Risk_Category]]="High",tbl_HR_Data[[#This Row],[MonthlyIncome]]*1.5),0)</f>
        <v>0</v>
      </c>
    </row>
    <row r="480" spans="1:44" x14ac:dyDescent="0.35">
      <c r="A480" t="s">
        <v>633</v>
      </c>
      <c r="B480">
        <v>25</v>
      </c>
      <c r="C480" t="s">
        <v>31</v>
      </c>
      <c r="D480">
        <v>622</v>
      </c>
      <c r="E480" t="s">
        <v>32</v>
      </c>
      <c r="F480">
        <v>13</v>
      </c>
      <c r="G480">
        <v>1</v>
      </c>
      <c r="H480" t="s">
        <v>44</v>
      </c>
      <c r="I480">
        <v>2</v>
      </c>
      <c r="J480" t="s">
        <v>39</v>
      </c>
      <c r="K480">
        <v>40</v>
      </c>
      <c r="L480">
        <v>3</v>
      </c>
      <c r="M480">
        <v>1</v>
      </c>
      <c r="N480" t="s">
        <v>49</v>
      </c>
      <c r="O480">
        <v>3</v>
      </c>
      <c r="P480" t="s">
        <v>41</v>
      </c>
      <c r="Q480">
        <v>2096</v>
      </c>
      <c r="R480">
        <v>26376</v>
      </c>
      <c r="S480">
        <v>1</v>
      </c>
      <c r="T480">
        <v>0</v>
      </c>
      <c r="U480" s="17">
        <v>0.11</v>
      </c>
      <c r="V480">
        <v>3</v>
      </c>
      <c r="W480">
        <v>3</v>
      </c>
      <c r="X480">
        <v>0</v>
      </c>
      <c r="Y480">
        <v>7</v>
      </c>
      <c r="Z480">
        <v>1</v>
      </c>
      <c r="AA480">
        <v>3</v>
      </c>
      <c r="AB480">
        <v>7</v>
      </c>
      <c r="AC480">
        <v>4</v>
      </c>
      <c r="AD480">
        <v>0</v>
      </c>
      <c r="AE480">
        <v>6</v>
      </c>
      <c r="AF480">
        <v>0</v>
      </c>
      <c r="AG480">
        <f>IF(tbl_HR_Data[[#This Row],[Gender]]="Male",1,0)</f>
        <v>1</v>
      </c>
      <c r="AH480" cm="1">
        <f t="array" ref="AH480">_xlfn.SWITCH(tbl_HR_Data[[#This Row],[BusinessTravel]], "Non-Travel", 0, "Travel_Rarely", 1, "Travel_Frequently", 2)</f>
        <v>1</v>
      </c>
      <c r="AI480" cm="1">
        <f t="array" ref="AI480">_xlfn.SWITCH(tbl_HR_Data[[#This Row],[MaritalStatus]],"Single",0,"Married",1,"Divorced",2)</f>
        <v>1</v>
      </c>
      <c r="AJ480">
        <f>IF(tbl_HR_Data[[#This Row],[OverTime]]=1,1,0)</f>
        <v>0</v>
      </c>
      <c r="AK480">
        <f>IF(tbl_HR_Data[[#This Row],[DistanceFromHome]]&gt;15,1,0)</f>
        <v>0</v>
      </c>
      <c r="AL480">
        <f>IF(tbl_HR_Data[[#This Row],[JobSatisfaction]]&lt;=2,1,0)</f>
        <v>0</v>
      </c>
      <c r="AM480">
        <f>IF(tbl_HR_Data[[#This Row],[MonthlyIncome]]&lt;$AT$2,1,0)</f>
        <v>1</v>
      </c>
      <c r="AN480">
        <f>IF(tbl_HR_Data[[#This Row],[Travel_Code]]=2,1,0)</f>
        <v>0</v>
      </c>
      <c r="AO480">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480" s="15">
        <f>tbl_HR_Data[[#This Row],[Risk_Score_Raw]] / SUM(Logic_Parameters!$B$2:$B$6)</f>
        <v>0.22374939857982484</v>
      </c>
      <c r="AQ480" s="16" t="str" cm="1">
        <f t="array" ref="AQ480">_xlfn.IFS(tbl_HR_Data[[#This Row],[Attrition_Risk_Percentage]] &gt;= 0.75, "Critical",tbl_HR_Data[ [#This Row],[Attrition_Risk_Percentage] ]&gt;= 0.5, "High",tbl_HR_Data[[#This Row],[Attrition_Risk_Percentage]] &gt;= 0.25, "Medium",TRUE, "Low")</f>
        <v>Low</v>
      </c>
      <c r="AR480" s="16" cm="1">
        <f t="array" ref="AR480">IFERROR(_xlfn.IFS(tbl_HR_Data[[#This Row],[Risk_Category]]="Critical",tbl_HR_Data[[#This Row],[MonthlyIncome]]*1.5,tbl_HR_Data[[#This Row],[Risk_Category]]="High",tbl_HR_Data[[#This Row],[MonthlyIncome]]*1.5),0)</f>
        <v>0</v>
      </c>
    </row>
    <row r="481" spans="1:44" x14ac:dyDescent="0.35">
      <c r="A481" t="s">
        <v>1155</v>
      </c>
      <c r="B481">
        <v>24</v>
      </c>
      <c r="C481" t="s">
        <v>37</v>
      </c>
      <c r="D481">
        <v>1287</v>
      </c>
      <c r="E481" t="s">
        <v>38</v>
      </c>
      <c r="F481">
        <v>7</v>
      </c>
      <c r="G481">
        <v>3</v>
      </c>
      <c r="H481" t="s">
        <v>33</v>
      </c>
      <c r="I481">
        <v>1</v>
      </c>
      <c r="J481" t="s">
        <v>34</v>
      </c>
      <c r="K481">
        <v>55</v>
      </c>
      <c r="L481">
        <v>3</v>
      </c>
      <c r="M481">
        <v>1</v>
      </c>
      <c r="N481" t="s">
        <v>43</v>
      </c>
      <c r="O481">
        <v>3</v>
      </c>
      <c r="P481" t="s">
        <v>41</v>
      </c>
      <c r="Q481">
        <v>2886</v>
      </c>
      <c r="R481">
        <v>14168</v>
      </c>
      <c r="S481">
        <v>1</v>
      </c>
      <c r="T481">
        <v>1</v>
      </c>
      <c r="U481" s="17">
        <v>0.16</v>
      </c>
      <c r="V481">
        <v>3</v>
      </c>
      <c r="W481">
        <v>4</v>
      </c>
      <c r="X481">
        <v>1</v>
      </c>
      <c r="Y481">
        <v>6</v>
      </c>
      <c r="Z481">
        <v>4</v>
      </c>
      <c r="AA481">
        <v>3</v>
      </c>
      <c r="AB481">
        <v>6</v>
      </c>
      <c r="AC481">
        <v>3</v>
      </c>
      <c r="AD481">
        <v>1</v>
      </c>
      <c r="AE481">
        <v>2</v>
      </c>
      <c r="AF481">
        <v>1</v>
      </c>
      <c r="AG481">
        <f>IF(tbl_HR_Data[[#This Row],[Gender]]="Male",1,0)</f>
        <v>0</v>
      </c>
      <c r="AH481" cm="1">
        <f t="array" ref="AH481">_xlfn.SWITCH(tbl_HR_Data[[#This Row],[BusinessTravel]], "Non-Travel", 0, "Travel_Rarely", 1, "Travel_Frequently", 2)</f>
        <v>2</v>
      </c>
      <c r="AI481" cm="1">
        <f t="array" ref="AI481">_xlfn.SWITCH(tbl_HR_Data[[#This Row],[MaritalStatus]],"Single",0,"Married",1,"Divorced",2)</f>
        <v>1</v>
      </c>
      <c r="AJ481">
        <f>IF(tbl_HR_Data[[#This Row],[OverTime]]=1,1,0)</f>
        <v>1</v>
      </c>
      <c r="AK481">
        <f>IF(tbl_HR_Data[[#This Row],[DistanceFromHome]]&gt;15,1,0)</f>
        <v>0</v>
      </c>
      <c r="AL481">
        <f>IF(tbl_HR_Data[[#This Row],[JobSatisfaction]]&lt;=2,1,0)</f>
        <v>0</v>
      </c>
      <c r="AM481">
        <f>IF(tbl_HR_Data[[#This Row],[MonthlyIncome]]&lt;$AT$2,1,0)</f>
        <v>1</v>
      </c>
      <c r="AN481">
        <f>IF(tbl_HR_Data[[#This Row],[Travel_Code]]=2,1,0)</f>
        <v>1</v>
      </c>
      <c r="AO481">
        <f>(tbl_HR_Data[[#This Row],[Flag_OT]] * Logic_Parameters!$B$2) +
 (tbl_HR_Data[[#This Row],[Flag_Travel]] * Logic_Parameters!$B$3) +
 (tbl_HR_Data[[#This Row],[Flag_Satisfaction]] * Logic_Parameters!$B$4) +
 (tbl_HR_Data[[#This Row],[Flag_Distance]]* Logic_Parameters!$B$5) +
 (tbl_HR_Data[[#This Row],[Flag_Income]] * Logic_Parameters!$B$6)</f>
        <v>21.654818917911005</v>
      </c>
      <c r="AP481" s="15">
        <f>tbl_HR_Data[[#This Row],[Risk_Score_Raw]] / SUM(Logic_Parameters!$B$2:$B$6)</f>
        <v>0.74606293423572745</v>
      </c>
      <c r="AQ481" s="16" t="str" cm="1">
        <f t="array" ref="AQ481">_xlfn.IFS(tbl_HR_Data[[#This Row],[Attrition_Risk_Percentage]] &gt;= 0.75, "Critical",tbl_HR_Data[ [#This Row],[Attrition_Risk_Percentage] ]&gt;= 0.5, "High",tbl_HR_Data[[#This Row],[Attrition_Risk_Percentage]] &gt;= 0.25, "Medium",TRUE, "Low")</f>
        <v>High</v>
      </c>
      <c r="AR481" s="16" cm="1">
        <f t="array" ref="AR481">IFERROR(_xlfn.IFS(tbl_HR_Data[[#This Row],[Risk_Category]]="Critical",tbl_HR_Data[[#This Row],[MonthlyIncome]]*1.5,tbl_HR_Data[[#This Row],[Risk_Category]]="High",tbl_HR_Data[[#This Row],[MonthlyIncome]]*1.5),0)</f>
        <v>4329</v>
      </c>
    </row>
    <row r="482" spans="1:44" x14ac:dyDescent="0.35">
      <c r="A482" t="s">
        <v>1248</v>
      </c>
      <c r="B482">
        <v>30</v>
      </c>
      <c r="C482" t="s">
        <v>37</v>
      </c>
      <c r="D482">
        <v>448</v>
      </c>
      <c r="E482" t="s">
        <v>32</v>
      </c>
      <c r="F482">
        <v>12</v>
      </c>
      <c r="G482">
        <v>4</v>
      </c>
      <c r="H482" t="s">
        <v>33</v>
      </c>
      <c r="I482">
        <v>2</v>
      </c>
      <c r="J482" t="s">
        <v>39</v>
      </c>
      <c r="K482">
        <v>74</v>
      </c>
      <c r="L482">
        <v>2</v>
      </c>
      <c r="M482">
        <v>1</v>
      </c>
      <c r="N482" t="s">
        <v>49</v>
      </c>
      <c r="O482">
        <v>1</v>
      </c>
      <c r="P482" t="s">
        <v>41</v>
      </c>
      <c r="Q482">
        <v>2033</v>
      </c>
      <c r="R482">
        <v>14470</v>
      </c>
      <c r="S482">
        <v>1</v>
      </c>
      <c r="T482">
        <v>0</v>
      </c>
      <c r="U482" s="17">
        <v>0.18</v>
      </c>
      <c r="V482">
        <v>3</v>
      </c>
      <c r="W482">
        <v>3</v>
      </c>
      <c r="X482">
        <v>1</v>
      </c>
      <c r="Y482">
        <v>1</v>
      </c>
      <c r="Z482">
        <v>2</v>
      </c>
      <c r="AA482">
        <v>4</v>
      </c>
      <c r="AB482">
        <v>1</v>
      </c>
      <c r="AC482">
        <v>0</v>
      </c>
      <c r="AD482">
        <v>0</v>
      </c>
      <c r="AE482">
        <v>0</v>
      </c>
      <c r="AF482">
        <v>1</v>
      </c>
      <c r="AG482">
        <f>IF(tbl_HR_Data[[#This Row],[Gender]]="Male",1,0)</f>
        <v>1</v>
      </c>
      <c r="AH482" cm="1">
        <f t="array" ref="AH482">_xlfn.SWITCH(tbl_HR_Data[[#This Row],[BusinessTravel]], "Non-Travel", 0, "Travel_Rarely", 1, "Travel_Frequently", 2)</f>
        <v>2</v>
      </c>
      <c r="AI482" cm="1">
        <f t="array" ref="AI482">_xlfn.SWITCH(tbl_HR_Data[[#This Row],[MaritalStatus]],"Single",0,"Married",1,"Divorced",2)</f>
        <v>1</v>
      </c>
      <c r="AJ482">
        <f>IF(tbl_HR_Data[[#This Row],[OverTime]]=1,1,0)</f>
        <v>0</v>
      </c>
      <c r="AK482">
        <f>IF(tbl_HR_Data[[#This Row],[DistanceFromHome]]&gt;15,1,0)</f>
        <v>0</v>
      </c>
      <c r="AL482">
        <f>IF(tbl_HR_Data[[#This Row],[JobSatisfaction]]&lt;=2,1,0)</f>
        <v>1</v>
      </c>
      <c r="AM482">
        <f>IF(tbl_HR_Data[[#This Row],[MonthlyIncome]]&lt;$AT$2,1,0)</f>
        <v>1</v>
      </c>
      <c r="AN482">
        <f>IF(tbl_HR_Data[[#This Row],[Travel_Code]]=2,1,0)</f>
        <v>1</v>
      </c>
      <c r="AO482">
        <f>(tbl_HR_Data[[#This Row],[Flag_OT]] * Logic_Parameters!$B$2) +
 (tbl_HR_Data[[#This Row],[Flag_Travel]] * Logic_Parameters!$B$3) +
 (tbl_HR_Data[[#This Row],[Flag_Satisfaction]] * Logic_Parameters!$B$4) +
 (tbl_HR_Data[[#This Row],[Flag_Distance]]* Logic_Parameters!$B$5) +
 (tbl_HR_Data[[#This Row],[Flag_Income]] * Logic_Parameters!$B$6)</f>
        <v>15.859352047889136</v>
      </c>
      <c r="AP482" s="15">
        <f>tbl_HR_Data[[#This Row],[Risk_Score_Raw]] / SUM(Logic_Parameters!$B$2:$B$6)</f>
        <v>0.54639453549708916</v>
      </c>
      <c r="AQ482" s="16" t="str" cm="1">
        <f t="array" ref="AQ482">_xlfn.IFS(tbl_HR_Data[[#This Row],[Attrition_Risk_Percentage]] &gt;= 0.75, "Critical",tbl_HR_Data[ [#This Row],[Attrition_Risk_Percentage] ]&gt;= 0.5, "High",tbl_HR_Data[[#This Row],[Attrition_Risk_Percentage]] &gt;= 0.25, "Medium",TRUE, "Low")</f>
        <v>High</v>
      </c>
      <c r="AR482" s="16" cm="1">
        <f t="array" ref="AR482">IFERROR(_xlfn.IFS(tbl_HR_Data[[#This Row],[Risk_Category]]="Critical",tbl_HR_Data[[#This Row],[MonthlyIncome]]*1.5,tbl_HR_Data[[#This Row],[Risk_Category]]="High",tbl_HR_Data[[#This Row],[MonthlyIncome]]*1.5),0)</f>
        <v>3049.5</v>
      </c>
    </row>
    <row r="483" spans="1:44" x14ac:dyDescent="0.35">
      <c r="A483" t="s">
        <v>484</v>
      </c>
      <c r="B483">
        <v>34</v>
      </c>
      <c r="C483" t="s">
        <v>31</v>
      </c>
      <c r="D483">
        <v>254</v>
      </c>
      <c r="E483" t="s">
        <v>38</v>
      </c>
      <c r="F483">
        <v>1</v>
      </c>
      <c r="G483">
        <v>2</v>
      </c>
      <c r="H483" t="s">
        <v>33</v>
      </c>
      <c r="I483">
        <v>2</v>
      </c>
      <c r="J483" t="s">
        <v>39</v>
      </c>
      <c r="K483">
        <v>83</v>
      </c>
      <c r="L483">
        <v>2</v>
      </c>
      <c r="M483">
        <v>1</v>
      </c>
      <c r="N483" t="s">
        <v>40</v>
      </c>
      <c r="O483">
        <v>4</v>
      </c>
      <c r="P483" t="s">
        <v>41</v>
      </c>
      <c r="Q483">
        <v>3622</v>
      </c>
      <c r="R483">
        <v>22794</v>
      </c>
      <c r="S483">
        <v>1</v>
      </c>
      <c r="T483">
        <v>1</v>
      </c>
      <c r="U483" s="17">
        <v>0.13</v>
      </c>
      <c r="V483">
        <v>3</v>
      </c>
      <c r="W483">
        <v>4</v>
      </c>
      <c r="X483">
        <v>1</v>
      </c>
      <c r="Y483">
        <v>6</v>
      </c>
      <c r="Z483">
        <v>3</v>
      </c>
      <c r="AA483">
        <v>3</v>
      </c>
      <c r="AB483">
        <v>6</v>
      </c>
      <c r="AC483">
        <v>5</v>
      </c>
      <c r="AD483">
        <v>1</v>
      </c>
      <c r="AE483">
        <v>3</v>
      </c>
      <c r="AF483">
        <v>0</v>
      </c>
      <c r="AG483">
        <f>IF(tbl_HR_Data[[#This Row],[Gender]]="Male",1,0)</f>
        <v>1</v>
      </c>
      <c r="AH483" cm="1">
        <f t="array" ref="AH483">_xlfn.SWITCH(tbl_HR_Data[[#This Row],[BusinessTravel]], "Non-Travel", 0, "Travel_Rarely", 1, "Travel_Frequently", 2)</f>
        <v>1</v>
      </c>
      <c r="AI483" cm="1">
        <f t="array" ref="AI483">_xlfn.SWITCH(tbl_HR_Data[[#This Row],[MaritalStatus]],"Single",0,"Married",1,"Divorced",2)</f>
        <v>1</v>
      </c>
      <c r="AJ483">
        <f>IF(tbl_HR_Data[[#This Row],[OverTime]]=1,1,0)</f>
        <v>1</v>
      </c>
      <c r="AK483">
        <f>IF(tbl_HR_Data[[#This Row],[DistanceFromHome]]&gt;15,1,0)</f>
        <v>0</v>
      </c>
      <c r="AL483">
        <f>IF(tbl_HR_Data[[#This Row],[JobSatisfaction]]&lt;=2,1,0)</f>
        <v>0</v>
      </c>
      <c r="AM483">
        <f>IF(tbl_HR_Data[[#This Row],[MonthlyIncome]]&lt;$AT$2,1,0)</f>
        <v>1</v>
      </c>
      <c r="AN483">
        <f>IF(tbl_HR_Data[[#This Row],[Travel_Code]]=2,1,0)</f>
        <v>0</v>
      </c>
      <c r="AO483">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483" s="15">
        <f>tbl_HR_Data[[#This Row],[Risk_Score_Raw]] / SUM(Logic_Parameters!$B$2:$B$6)</f>
        <v>0.56827453040563214</v>
      </c>
      <c r="AQ483" s="16" t="str" cm="1">
        <f t="array" ref="AQ483">_xlfn.IFS(tbl_HR_Data[[#This Row],[Attrition_Risk_Percentage]] &gt;= 0.75, "Critical",tbl_HR_Data[ [#This Row],[Attrition_Risk_Percentage] ]&gt;= 0.5, "High",tbl_HR_Data[[#This Row],[Attrition_Risk_Percentage]] &gt;= 0.25, "Medium",TRUE, "Low")</f>
        <v>High</v>
      </c>
      <c r="AR483" s="16" cm="1">
        <f t="array" ref="AR483">IFERROR(_xlfn.IFS(tbl_HR_Data[[#This Row],[Risk_Category]]="Critical",tbl_HR_Data[[#This Row],[MonthlyIncome]]*1.5,tbl_HR_Data[[#This Row],[Risk_Category]]="High",tbl_HR_Data[[#This Row],[MonthlyIncome]]*1.5),0)</f>
        <v>5433</v>
      </c>
    </row>
    <row r="484" spans="1:44" x14ac:dyDescent="0.35">
      <c r="A484" t="s">
        <v>1493</v>
      </c>
      <c r="B484">
        <v>31</v>
      </c>
      <c r="C484" t="s">
        <v>31</v>
      </c>
      <c r="D484">
        <v>1365</v>
      </c>
      <c r="E484" t="s">
        <v>32</v>
      </c>
      <c r="F484">
        <v>13</v>
      </c>
      <c r="G484">
        <v>4</v>
      </c>
      <c r="H484" t="s">
        <v>44</v>
      </c>
      <c r="I484">
        <v>2</v>
      </c>
      <c r="J484" t="s">
        <v>39</v>
      </c>
      <c r="K484">
        <v>46</v>
      </c>
      <c r="L484">
        <v>3</v>
      </c>
      <c r="M484">
        <v>2</v>
      </c>
      <c r="N484" t="s">
        <v>35</v>
      </c>
      <c r="O484">
        <v>1</v>
      </c>
      <c r="P484" t="s">
        <v>45</v>
      </c>
      <c r="Q484">
        <v>4233</v>
      </c>
      <c r="R484">
        <v>11512</v>
      </c>
      <c r="S484">
        <v>2</v>
      </c>
      <c r="T484">
        <v>0</v>
      </c>
      <c r="U484" s="17">
        <v>0.17</v>
      </c>
      <c r="V484">
        <v>3</v>
      </c>
      <c r="W484">
        <v>3</v>
      </c>
      <c r="X484">
        <v>0</v>
      </c>
      <c r="Y484">
        <v>9</v>
      </c>
      <c r="Z484">
        <v>2</v>
      </c>
      <c r="AA484">
        <v>1</v>
      </c>
      <c r="AB484">
        <v>3</v>
      </c>
      <c r="AC484">
        <v>1</v>
      </c>
      <c r="AD484">
        <v>1</v>
      </c>
      <c r="AE484">
        <v>2</v>
      </c>
      <c r="AF484">
        <v>1</v>
      </c>
      <c r="AG484">
        <f>IF(tbl_HR_Data[[#This Row],[Gender]]="Male",1,0)</f>
        <v>1</v>
      </c>
      <c r="AH484" cm="1">
        <f t="array" ref="AH484">_xlfn.SWITCH(tbl_HR_Data[[#This Row],[BusinessTravel]], "Non-Travel", 0, "Travel_Rarely", 1, "Travel_Frequently", 2)</f>
        <v>1</v>
      </c>
      <c r="AI484" cm="1">
        <f t="array" ref="AI484">_xlfn.SWITCH(tbl_HR_Data[[#This Row],[MaritalStatus]],"Single",0,"Married",1,"Divorced",2)</f>
        <v>2</v>
      </c>
      <c r="AJ484">
        <f>IF(tbl_HR_Data[[#This Row],[OverTime]]=1,1,0)</f>
        <v>0</v>
      </c>
      <c r="AK484">
        <f>IF(tbl_HR_Data[[#This Row],[DistanceFromHome]]&gt;15,1,0)</f>
        <v>0</v>
      </c>
      <c r="AL484">
        <f>IF(tbl_HR_Data[[#This Row],[JobSatisfaction]]&lt;=2,1,0)</f>
        <v>1</v>
      </c>
      <c r="AM484">
        <f>IF(tbl_HR_Data[[#This Row],[MonthlyIncome]]&lt;$AT$2,1,0)</f>
        <v>1</v>
      </c>
      <c r="AN484">
        <f>IF(tbl_HR_Data[[#This Row],[Travel_Code]]=2,1,0)</f>
        <v>0</v>
      </c>
      <c r="AO484">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484" s="15">
        <f>tbl_HR_Data[[#This Row],[Risk_Score_Raw]] / SUM(Logic_Parameters!$B$2:$B$6)</f>
        <v>0.3686061316669938</v>
      </c>
      <c r="AQ484" s="16" t="str" cm="1">
        <f t="array" ref="AQ484">_xlfn.IFS(tbl_HR_Data[[#This Row],[Attrition_Risk_Percentage]] &gt;= 0.75, "Critical",tbl_HR_Data[ [#This Row],[Attrition_Risk_Percentage] ]&gt;= 0.5, "High",tbl_HR_Data[[#This Row],[Attrition_Risk_Percentage]] &gt;= 0.25, "Medium",TRUE, "Low")</f>
        <v>Medium</v>
      </c>
      <c r="AR484" s="16" cm="1">
        <f t="array" ref="AR484">IFERROR(_xlfn.IFS(tbl_HR_Data[[#This Row],[Risk_Category]]="Critical",tbl_HR_Data[[#This Row],[MonthlyIncome]]*1.5,tbl_HR_Data[[#This Row],[Risk_Category]]="High",tbl_HR_Data[[#This Row],[MonthlyIncome]]*1.5),0)</f>
        <v>0</v>
      </c>
    </row>
    <row r="485" spans="1:44" x14ac:dyDescent="0.35">
      <c r="A485" t="s">
        <v>331</v>
      </c>
      <c r="B485">
        <v>35</v>
      </c>
      <c r="C485" t="s">
        <v>31</v>
      </c>
      <c r="D485">
        <v>538</v>
      </c>
      <c r="E485" t="s">
        <v>38</v>
      </c>
      <c r="F485">
        <v>25</v>
      </c>
      <c r="G485">
        <v>2</v>
      </c>
      <c r="H485" t="s">
        <v>42</v>
      </c>
      <c r="I485">
        <v>1</v>
      </c>
      <c r="J485" t="s">
        <v>39</v>
      </c>
      <c r="K485">
        <v>54</v>
      </c>
      <c r="L485">
        <v>2</v>
      </c>
      <c r="M485">
        <v>2</v>
      </c>
      <c r="N485" t="s">
        <v>43</v>
      </c>
      <c r="O485">
        <v>4</v>
      </c>
      <c r="P485" t="s">
        <v>36</v>
      </c>
      <c r="Q485">
        <v>3681</v>
      </c>
      <c r="R485">
        <v>14004</v>
      </c>
      <c r="S485">
        <v>4</v>
      </c>
      <c r="T485">
        <v>0</v>
      </c>
      <c r="U485" s="17">
        <v>0.14000000000000001</v>
      </c>
      <c r="V485">
        <v>3</v>
      </c>
      <c r="W485">
        <v>4</v>
      </c>
      <c r="X485">
        <v>0</v>
      </c>
      <c r="Y485">
        <v>9</v>
      </c>
      <c r="Z485">
        <v>3</v>
      </c>
      <c r="AA485">
        <v>3</v>
      </c>
      <c r="AB485">
        <v>3</v>
      </c>
      <c r="AC485">
        <v>2</v>
      </c>
      <c r="AD485">
        <v>0</v>
      </c>
      <c r="AE485">
        <v>2</v>
      </c>
      <c r="AF485">
        <v>0</v>
      </c>
      <c r="AG485">
        <f>IF(tbl_HR_Data[[#This Row],[Gender]]="Male",1,0)</f>
        <v>1</v>
      </c>
      <c r="AH485" cm="1">
        <f t="array" ref="AH485">_xlfn.SWITCH(tbl_HR_Data[[#This Row],[BusinessTravel]], "Non-Travel", 0, "Travel_Rarely", 1, "Travel_Frequently", 2)</f>
        <v>1</v>
      </c>
      <c r="AI485" cm="1">
        <f t="array" ref="AI485">_xlfn.SWITCH(tbl_HR_Data[[#This Row],[MaritalStatus]],"Single",0,"Married",1,"Divorced",2)</f>
        <v>0</v>
      </c>
      <c r="AJ485">
        <f>IF(tbl_HR_Data[[#This Row],[OverTime]]=1,1,0)</f>
        <v>0</v>
      </c>
      <c r="AK485">
        <f>IF(tbl_HR_Data[[#This Row],[DistanceFromHome]]&gt;15,1,0)</f>
        <v>1</v>
      </c>
      <c r="AL485">
        <f>IF(tbl_HR_Data[[#This Row],[JobSatisfaction]]&lt;=2,1,0)</f>
        <v>0</v>
      </c>
      <c r="AM485">
        <f>IF(tbl_HR_Data[[#This Row],[MonthlyIncome]]&lt;$AT$2,1,0)</f>
        <v>1</v>
      </c>
      <c r="AN485">
        <f>IF(tbl_HR_Data[[#This Row],[Travel_Code]]=2,1,0)</f>
        <v>0</v>
      </c>
      <c r="AO485">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485" s="15">
        <f>tbl_HR_Data[[#This Row],[Risk_Score_Raw]] / SUM(Logic_Parameters!$B$2:$B$6)</f>
        <v>0.33282973125692844</v>
      </c>
      <c r="AQ485" s="16" t="str" cm="1">
        <f t="array" ref="AQ485">_xlfn.IFS(tbl_HR_Data[[#This Row],[Attrition_Risk_Percentage]] &gt;= 0.75, "Critical",tbl_HR_Data[ [#This Row],[Attrition_Risk_Percentage] ]&gt;= 0.5, "High",tbl_HR_Data[[#This Row],[Attrition_Risk_Percentage]] &gt;= 0.25, "Medium",TRUE, "Low")</f>
        <v>Medium</v>
      </c>
      <c r="AR485" s="16" cm="1">
        <f t="array" ref="AR485">IFERROR(_xlfn.IFS(tbl_HR_Data[[#This Row],[Risk_Category]]="Critical",tbl_HR_Data[[#This Row],[MonthlyIncome]]*1.5,tbl_HR_Data[[#This Row],[Risk_Category]]="High",tbl_HR_Data[[#This Row],[MonthlyIncome]]*1.5),0)</f>
        <v>0</v>
      </c>
    </row>
    <row r="486" spans="1:44" x14ac:dyDescent="0.35">
      <c r="A486" t="s">
        <v>971</v>
      </c>
      <c r="B486">
        <v>31</v>
      </c>
      <c r="C486" t="s">
        <v>31</v>
      </c>
      <c r="D486">
        <v>525</v>
      </c>
      <c r="E486" t="s">
        <v>32</v>
      </c>
      <c r="F486">
        <v>6</v>
      </c>
      <c r="G486">
        <v>4</v>
      </c>
      <c r="H486" t="s">
        <v>44</v>
      </c>
      <c r="I486">
        <v>1</v>
      </c>
      <c r="J486" t="s">
        <v>39</v>
      </c>
      <c r="K486">
        <v>66</v>
      </c>
      <c r="L486">
        <v>4</v>
      </c>
      <c r="M486">
        <v>2</v>
      </c>
      <c r="N486" t="s">
        <v>35</v>
      </c>
      <c r="O486">
        <v>4</v>
      </c>
      <c r="P486" t="s">
        <v>45</v>
      </c>
      <c r="Q486">
        <v>5460</v>
      </c>
      <c r="R486">
        <v>6219</v>
      </c>
      <c r="S486">
        <v>4</v>
      </c>
      <c r="T486">
        <v>0</v>
      </c>
      <c r="U486" s="17">
        <v>0.22</v>
      </c>
      <c r="V486">
        <v>4</v>
      </c>
      <c r="W486">
        <v>4</v>
      </c>
      <c r="X486">
        <v>2</v>
      </c>
      <c r="Y486">
        <v>13</v>
      </c>
      <c r="Z486">
        <v>4</v>
      </c>
      <c r="AA486">
        <v>4</v>
      </c>
      <c r="AB486">
        <v>7</v>
      </c>
      <c r="AC486">
        <v>7</v>
      </c>
      <c r="AD486">
        <v>5</v>
      </c>
      <c r="AE486">
        <v>7</v>
      </c>
      <c r="AF486">
        <v>0</v>
      </c>
      <c r="AG486">
        <f>IF(tbl_HR_Data[[#This Row],[Gender]]="Male",1,0)</f>
        <v>1</v>
      </c>
      <c r="AH486" cm="1">
        <f t="array" ref="AH486">_xlfn.SWITCH(tbl_HR_Data[[#This Row],[BusinessTravel]], "Non-Travel", 0, "Travel_Rarely", 1, "Travel_Frequently", 2)</f>
        <v>1</v>
      </c>
      <c r="AI486" cm="1">
        <f t="array" ref="AI486">_xlfn.SWITCH(tbl_HR_Data[[#This Row],[MaritalStatus]],"Single",0,"Married",1,"Divorced",2)</f>
        <v>2</v>
      </c>
      <c r="AJ486">
        <f>IF(tbl_HR_Data[[#This Row],[OverTime]]=1,1,0)</f>
        <v>0</v>
      </c>
      <c r="AK486">
        <f>IF(tbl_HR_Data[[#This Row],[DistanceFromHome]]&gt;15,1,0)</f>
        <v>0</v>
      </c>
      <c r="AL486">
        <f>IF(tbl_HR_Data[[#This Row],[JobSatisfaction]]&lt;=2,1,0)</f>
        <v>0</v>
      </c>
      <c r="AM486">
        <f>IF(tbl_HR_Data[[#This Row],[MonthlyIncome]]&lt;$AT$2,1,0)</f>
        <v>0</v>
      </c>
      <c r="AN486">
        <f>IF(tbl_HR_Data[[#This Row],[Travel_Code]]=2,1,0)</f>
        <v>0</v>
      </c>
      <c r="AO486">
        <f>(tbl_HR_Data[[#This Row],[Flag_OT]] * Logic_Parameters!$B$2) +
 (tbl_HR_Data[[#This Row],[Flag_Travel]] * Logic_Parameters!$B$3) +
 (tbl_HR_Data[[#This Row],[Flag_Satisfaction]] * Logic_Parameters!$B$4) +
 (tbl_HR_Data[[#This Row],[Flag_Distance]]* Logic_Parameters!$B$5) +
 (tbl_HR_Data[[#This Row],[Flag_Income]] * Logic_Parameters!$B$6)</f>
        <v>0</v>
      </c>
      <c r="AP486" s="15">
        <f>tbl_HR_Data[[#This Row],[Risk_Score_Raw]] / SUM(Logic_Parameters!$B$2:$B$6)</f>
        <v>0</v>
      </c>
      <c r="AQ486" s="16" t="str" cm="1">
        <f t="array" ref="AQ486">_xlfn.IFS(tbl_HR_Data[[#This Row],[Attrition_Risk_Percentage]] &gt;= 0.75, "Critical",tbl_HR_Data[ [#This Row],[Attrition_Risk_Percentage] ]&gt;= 0.5, "High",tbl_HR_Data[[#This Row],[Attrition_Risk_Percentage]] &gt;= 0.25, "Medium",TRUE, "Low")</f>
        <v>Low</v>
      </c>
      <c r="AR486" s="16" cm="1">
        <f t="array" ref="AR486">IFERROR(_xlfn.IFS(tbl_HR_Data[[#This Row],[Risk_Category]]="Critical",tbl_HR_Data[[#This Row],[MonthlyIncome]]*1.5,tbl_HR_Data[[#This Row],[Risk_Category]]="High",tbl_HR_Data[[#This Row],[MonthlyIncome]]*1.5),0)</f>
        <v>0</v>
      </c>
    </row>
    <row r="487" spans="1:44" x14ac:dyDescent="0.35">
      <c r="A487" t="s">
        <v>310</v>
      </c>
      <c r="B487">
        <v>27</v>
      </c>
      <c r="C487" t="s">
        <v>31</v>
      </c>
      <c r="D487">
        <v>798</v>
      </c>
      <c r="E487" t="s">
        <v>38</v>
      </c>
      <c r="F487">
        <v>6</v>
      </c>
      <c r="G487">
        <v>4</v>
      </c>
      <c r="H487" t="s">
        <v>44</v>
      </c>
      <c r="I487">
        <v>1</v>
      </c>
      <c r="J487" t="s">
        <v>34</v>
      </c>
      <c r="K487">
        <v>66</v>
      </c>
      <c r="L487">
        <v>2</v>
      </c>
      <c r="M487">
        <v>1</v>
      </c>
      <c r="N487" t="s">
        <v>40</v>
      </c>
      <c r="O487">
        <v>3</v>
      </c>
      <c r="P487" t="s">
        <v>45</v>
      </c>
      <c r="Q487">
        <v>2187</v>
      </c>
      <c r="R487">
        <v>5013</v>
      </c>
      <c r="S487">
        <v>0</v>
      </c>
      <c r="T487">
        <v>0</v>
      </c>
      <c r="U487" s="17">
        <v>0.12</v>
      </c>
      <c r="V487">
        <v>3</v>
      </c>
      <c r="W487">
        <v>3</v>
      </c>
      <c r="X487">
        <v>2</v>
      </c>
      <c r="Y487">
        <v>6</v>
      </c>
      <c r="Z487">
        <v>5</v>
      </c>
      <c r="AA487">
        <v>2</v>
      </c>
      <c r="AB487">
        <v>5</v>
      </c>
      <c r="AC487">
        <v>3</v>
      </c>
      <c r="AD487">
        <v>0</v>
      </c>
      <c r="AE487">
        <v>3</v>
      </c>
      <c r="AF487">
        <v>0</v>
      </c>
      <c r="AG487">
        <f>IF(tbl_HR_Data[[#This Row],[Gender]]="Male",1,0)</f>
        <v>0</v>
      </c>
      <c r="AH487" cm="1">
        <f t="array" ref="AH487">_xlfn.SWITCH(tbl_HR_Data[[#This Row],[BusinessTravel]], "Non-Travel", 0, "Travel_Rarely", 1, "Travel_Frequently", 2)</f>
        <v>1</v>
      </c>
      <c r="AI487" cm="1">
        <f t="array" ref="AI487">_xlfn.SWITCH(tbl_HR_Data[[#This Row],[MaritalStatus]],"Single",0,"Married",1,"Divorced",2)</f>
        <v>2</v>
      </c>
      <c r="AJ487">
        <f>IF(tbl_HR_Data[[#This Row],[OverTime]]=1,1,0)</f>
        <v>0</v>
      </c>
      <c r="AK487">
        <f>IF(tbl_HR_Data[[#This Row],[DistanceFromHome]]&gt;15,1,0)</f>
        <v>0</v>
      </c>
      <c r="AL487">
        <f>IF(tbl_HR_Data[[#This Row],[JobSatisfaction]]&lt;=2,1,0)</f>
        <v>0</v>
      </c>
      <c r="AM487">
        <f>IF(tbl_HR_Data[[#This Row],[MonthlyIncome]]&lt;$AT$2,1,0)</f>
        <v>1</v>
      </c>
      <c r="AN487">
        <f>IF(tbl_HR_Data[[#This Row],[Travel_Code]]=2,1,0)</f>
        <v>0</v>
      </c>
      <c r="AO487">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487" s="15">
        <f>tbl_HR_Data[[#This Row],[Risk_Score_Raw]] / SUM(Logic_Parameters!$B$2:$B$6)</f>
        <v>0.22374939857982484</v>
      </c>
      <c r="AQ487" s="16" t="str" cm="1">
        <f t="array" ref="AQ487">_xlfn.IFS(tbl_HR_Data[[#This Row],[Attrition_Risk_Percentage]] &gt;= 0.75, "Critical",tbl_HR_Data[ [#This Row],[Attrition_Risk_Percentage] ]&gt;= 0.5, "High",tbl_HR_Data[[#This Row],[Attrition_Risk_Percentage]] &gt;= 0.25, "Medium",TRUE, "Low")</f>
        <v>Low</v>
      </c>
      <c r="AR487" s="16" cm="1">
        <f t="array" ref="AR487">IFERROR(_xlfn.IFS(tbl_HR_Data[[#This Row],[Risk_Category]]="Critical",tbl_HR_Data[[#This Row],[MonthlyIncome]]*1.5,tbl_HR_Data[[#This Row],[Risk_Category]]="High",tbl_HR_Data[[#This Row],[MonthlyIncome]]*1.5),0)</f>
        <v>0</v>
      </c>
    </row>
    <row r="488" spans="1:44" x14ac:dyDescent="0.35">
      <c r="A488" t="s">
        <v>977</v>
      </c>
      <c r="B488">
        <v>37</v>
      </c>
      <c r="C488" t="s">
        <v>31</v>
      </c>
      <c r="D488">
        <v>558</v>
      </c>
      <c r="E488" t="s">
        <v>32</v>
      </c>
      <c r="F488">
        <v>2</v>
      </c>
      <c r="G488">
        <v>3</v>
      </c>
      <c r="H488" t="s">
        <v>51</v>
      </c>
      <c r="I488">
        <v>4</v>
      </c>
      <c r="J488" t="s">
        <v>39</v>
      </c>
      <c r="K488">
        <v>75</v>
      </c>
      <c r="L488">
        <v>3</v>
      </c>
      <c r="M488">
        <v>2</v>
      </c>
      <c r="N488" t="s">
        <v>35</v>
      </c>
      <c r="O488">
        <v>3</v>
      </c>
      <c r="P488" t="s">
        <v>41</v>
      </c>
      <c r="Q488">
        <v>9602</v>
      </c>
      <c r="R488">
        <v>3010</v>
      </c>
      <c r="S488">
        <v>4</v>
      </c>
      <c r="T488">
        <v>1</v>
      </c>
      <c r="U488" s="17">
        <v>0.11</v>
      </c>
      <c r="V488">
        <v>3</v>
      </c>
      <c r="W488">
        <v>3</v>
      </c>
      <c r="X488">
        <v>1</v>
      </c>
      <c r="Y488">
        <v>17</v>
      </c>
      <c r="Z488">
        <v>3</v>
      </c>
      <c r="AA488">
        <v>2</v>
      </c>
      <c r="AB488">
        <v>3</v>
      </c>
      <c r="AC488">
        <v>0</v>
      </c>
      <c r="AD488">
        <v>1</v>
      </c>
      <c r="AE488">
        <v>0</v>
      </c>
      <c r="AF488">
        <v>0</v>
      </c>
      <c r="AG488">
        <f>IF(tbl_HR_Data[[#This Row],[Gender]]="Male",1,0)</f>
        <v>1</v>
      </c>
      <c r="AH488" cm="1">
        <f t="array" ref="AH488">_xlfn.SWITCH(tbl_HR_Data[[#This Row],[BusinessTravel]], "Non-Travel", 0, "Travel_Rarely", 1, "Travel_Frequently", 2)</f>
        <v>1</v>
      </c>
      <c r="AI488" cm="1">
        <f t="array" ref="AI488">_xlfn.SWITCH(tbl_HR_Data[[#This Row],[MaritalStatus]],"Single",0,"Married",1,"Divorced",2)</f>
        <v>1</v>
      </c>
      <c r="AJ488">
        <f>IF(tbl_HR_Data[[#This Row],[OverTime]]=1,1,0)</f>
        <v>1</v>
      </c>
      <c r="AK488">
        <f>IF(tbl_HR_Data[[#This Row],[DistanceFromHome]]&gt;15,1,0)</f>
        <v>0</v>
      </c>
      <c r="AL488">
        <f>IF(tbl_HR_Data[[#This Row],[JobSatisfaction]]&lt;=2,1,0)</f>
        <v>0</v>
      </c>
      <c r="AM488">
        <f>IF(tbl_HR_Data[[#This Row],[MonthlyIncome]]&lt;$AT$2,1,0)</f>
        <v>0</v>
      </c>
      <c r="AN488">
        <f>IF(tbl_HR_Data[[#This Row],[Travel_Code]]=2,1,0)</f>
        <v>0</v>
      </c>
      <c r="AO488">
        <f>(tbl_HR_Data[[#This Row],[Flag_OT]] * Logic_Parameters!$B$2) +
 (tbl_HR_Data[[#This Row],[Flag_Travel]] * Logic_Parameters!$B$3) +
 (tbl_HR_Data[[#This Row],[Flag_Satisfaction]] * Logic_Parameters!$B$4) +
 (tbl_HR_Data[[#This Row],[Flag_Distance]]* Logic_Parameters!$B$5) +
 (tbl_HR_Data[[#This Row],[Flag_Income]] * Logic_Parameters!$B$6)</f>
        <v>10</v>
      </c>
      <c r="AP488" s="15">
        <f>tbl_HR_Data[[#This Row],[Risk_Score_Raw]] / SUM(Logic_Parameters!$B$2:$B$6)</f>
        <v>0.3445251318258073</v>
      </c>
      <c r="AQ488" s="16" t="str" cm="1">
        <f t="array" ref="AQ488">_xlfn.IFS(tbl_HR_Data[[#This Row],[Attrition_Risk_Percentage]] &gt;= 0.75, "Critical",tbl_HR_Data[ [#This Row],[Attrition_Risk_Percentage] ]&gt;= 0.5, "High",tbl_HR_Data[[#This Row],[Attrition_Risk_Percentage]] &gt;= 0.25, "Medium",TRUE, "Low")</f>
        <v>Medium</v>
      </c>
      <c r="AR488" s="16" cm="1">
        <f t="array" ref="AR488">IFERROR(_xlfn.IFS(tbl_HR_Data[[#This Row],[Risk_Category]]="Critical",tbl_HR_Data[[#This Row],[MonthlyIncome]]*1.5,tbl_HR_Data[[#This Row],[Risk_Category]]="High",tbl_HR_Data[[#This Row],[MonthlyIncome]]*1.5),0)</f>
        <v>0</v>
      </c>
    </row>
    <row r="489" spans="1:44" x14ac:dyDescent="0.35">
      <c r="A489" t="s">
        <v>1438</v>
      </c>
      <c r="B489">
        <v>20</v>
      </c>
      <c r="C489" t="s">
        <v>31</v>
      </c>
      <c r="D489">
        <v>959</v>
      </c>
      <c r="E489" t="s">
        <v>38</v>
      </c>
      <c r="F489">
        <v>1</v>
      </c>
      <c r="G489">
        <v>3</v>
      </c>
      <c r="H489" t="s">
        <v>33</v>
      </c>
      <c r="I489">
        <v>4</v>
      </c>
      <c r="J489" t="s">
        <v>34</v>
      </c>
      <c r="K489">
        <v>83</v>
      </c>
      <c r="L489">
        <v>2</v>
      </c>
      <c r="M489">
        <v>1</v>
      </c>
      <c r="N489" t="s">
        <v>40</v>
      </c>
      <c r="O489">
        <v>2</v>
      </c>
      <c r="P489" t="s">
        <v>36</v>
      </c>
      <c r="Q489">
        <v>2836</v>
      </c>
      <c r="R489">
        <v>11757</v>
      </c>
      <c r="S489">
        <v>1</v>
      </c>
      <c r="T489">
        <v>0</v>
      </c>
      <c r="U489" s="17">
        <v>0.13</v>
      </c>
      <c r="V489">
        <v>3</v>
      </c>
      <c r="W489">
        <v>4</v>
      </c>
      <c r="X489">
        <v>0</v>
      </c>
      <c r="Y489">
        <v>1</v>
      </c>
      <c r="Z489">
        <v>0</v>
      </c>
      <c r="AA489">
        <v>4</v>
      </c>
      <c r="AB489">
        <v>1</v>
      </c>
      <c r="AC489">
        <v>0</v>
      </c>
      <c r="AD489">
        <v>0</v>
      </c>
      <c r="AE489">
        <v>0</v>
      </c>
      <c r="AF489">
        <v>0</v>
      </c>
      <c r="AG489">
        <f>IF(tbl_HR_Data[[#This Row],[Gender]]="Male",1,0)</f>
        <v>0</v>
      </c>
      <c r="AH489" cm="1">
        <f t="array" ref="AH489">_xlfn.SWITCH(tbl_HR_Data[[#This Row],[BusinessTravel]], "Non-Travel", 0, "Travel_Rarely", 1, "Travel_Frequently", 2)</f>
        <v>1</v>
      </c>
      <c r="AI489" cm="1">
        <f t="array" ref="AI489">_xlfn.SWITCH(tbl_HR_Data[[#This Row],[MaritalStatus]],"Single",0,"Married",1,"Divorced",2)</f>
        <v>0</v>
      </c>
      <c r="AJ489">
        <f>IF(tbl_HR_Data[[#This Row],[OverTime]]=1,1,0)</f>
        <v>0</v>
      </c>
      <c r="AK489">
        <f>IF(tbl_HR_Data[[#This Row],[DistanceFromHome]]&gt;15,1,0)</f>
        <v>0</v>
      </c>
      <c r="AL489">
        <f>IF(tbl_HR_Data[[#This Row],[JobSatisfaction]]&lt;=2,1,0)</f>
        <v>1</v>
      </c>
      <c r="AM489">
        <f>IF(tbl_HR_Data[[#This Row],[MonthlyIncome]]&lt;$AT$2,1,0)</f>
        <v>1</v>
      </c>
      <c r="AN489">
        <f>IF(tbl_HR_Data[[#This Row],[Travel_Code]]=2,1,0)</f>
        <v>0</v>
      </c>
      <c r="AO489">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489" s="15">
        <f>tbl_HR_Data[[#This Row],[Risk_Score_Raw]] / SUM(Logic_Parameters!$B$2:$B$6)</f>
        <v>0.3686061316669938</v>
      </c>
      <c r="AQ489" s="16" t="str" cm="1">
        <f t="array" ref="AQ489">_xlfn.IFS(tbl_HR_Data[[#This Row],[Attrition_Risk_Percentage]] &gt;= 0.75, "Critical",tbl_HR_Data[ [#This Row],[Attrition_Risk_Percentage] ]&gt;= 0.5, "High",tbl_HR_Data[[#This Row],[Attrition_Risk_Percentage]] &gt;= 0.25, "Medium",TRUE, "Low")</f>
        <v>Medium</v>
      </c>
      <c r="AR489" s="16" cm="1">
        <f t="array" ref="AR489">IFERROR(_xlfn.IFS(tbl_HR_Data[[#This Row],[Risk_Category]]="Critical",tbl_HR_Data[[#This Row],[MonthlyIncome]]*1.5,tbl_HR_Data[[#This Row],[Risk_Category]]="High",tbl_HR_Data[[#This Row],[MonthlyIncome]]*1.5),0)</f>
        <v>0</v>
      </c>
    </row>
    <row r="490" spans="1:44" x14ac:dyDescent="0.35">
      <c r="A490" t="s">
        <v>364</v>
      </c>
      <c r="B490">
        <v>42</v>
      </c>
      <c r="C490" t="s">
        <v>31</v>
      </c>
      <c r="D490">
        <v>622</v>
      </c>
      <c r="E490" t="s">
        <v>38</v>
      </c>
      <c r="F490">
        <v>2</v>
      </c>
      <c r="G490">
        <v>4</v>
      </c>
      <c r="H490" t="s">
        <v>33</v>
      </c>
      <c r="I490">
        <v>3</v>
      </c>
      <c r="J490" t="s">
        <v>34</v>
      </c>
      <c r="K490">
        <v>81</v>
      </c>
      <c r="L490">
        <v>3</v>
      </c>
      <c r="M490">
        <v>2</v>
      </c>
      <c r="N490" t="s">
        <v>47</v>
      </c>
      <c r="O490">
        <v>4</v>
      </c>
      <c r="P490" t="s">
        <v>41</v>
      </c>
      <c r="Q490">
        <v>4089</v>
      </c>
      <c r="R490">
        <v>5718</v>
      </c>
      <c r="S490">
        <v>1</v>
      </c>
      <c r="T490">
        <v>0</v>
      </c>
      <c r="U490" s="17">
        <v>0.13</v>
      </c>
      <c r="V490">
        <v>3</v>
      </c>
      <c r="W490">
        <v>2</v>
      </c>
      <c r="X490">
        <v>2</v>
      </c>
      <c r="Y490">
        <v>10</v>
      </c>
      <c r="Z490">
        <v>4</v>
      </c>
      <c r="AA490">
        <v>3</v>
      </c>
      <c r="AB490">
        <v>10</v>
      </c>
      <c r="AC490">
        <v>2</v>
      </c>
      <c r="AD490">
        <v>2</v>
      </c>
      <c r="AE490">
        <v>2</v>
      </c>
      <c r="AF490">
        <v>0</v>
      </c>
      <c r="AG490">
        <f>IF(tbl_HR_Data[[#This Row],[Gender]]="Male",1,0)</f>
        <v>0</v>
      </c>
      <c r="AH490" cm="1">
        <f t="array" ref="AH490">_xlfn.SWITCH(tbl_HR_Data[[#This Row],[BusinessTravel]], "Non-Travel", 0, "Travel_Rarely", 1, "Travel_Frequently", 2)</f>
        <v>1</v>
      </c>
      <c r="AI490" cm="1">
        <f t="array" ref="AI490">_xlfn.SWITCH(tbl_HR_Data[[#This Row],[MaritalStatus]],"Single",0,"Married",1,"Divorced",2)</f>
        <v>1</v>
      </c>
      <c r="AJ490">
        <f>IF(tbl_HR_Data[[#This Row],[OverTime]]=1,1,0)</f>
        <v>0</v>
      </c>
      <c r="AK490">
        <f>IF(tbl_HR_Data[[#This Row],[DistanceFromHome]]&gt;15,1,0)</f>
        <v>0</v>
      </c>
      <c r="AL490">
        <f>IF(tbl_HR_Data[[#This Row],[JobSatisfaction]]&lt;=2,1,0)</f>
        <v>0</v>
      </c>
      <c r="AM490">
        <f>IF(tbl_HR_Data[[#This Row],[MonthlyIncome]]&lt;$AT$2,1,0)</f>
        <v>1</v>
      </c>
      <c r="AN490">
        <f>IF(tbl_HR_Data[[#This Row],[Travel_Code]]=2,1,0)</f>
        <v>0</v>
      </c>
      <c r="AO490">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490" s="15">
        <f>tbl_HR_Data[[#This Row],[Risk_Score_Raw]] / SUM(Logic_Parameters!$B$2:$B$6)</f>
        <v>0.22374939857982484</v>
      </c>
      <c r="AQ490" s="16" t="str" cm="1">
        <f t="array" ref="AQ490">_xlfn.IFS(tbl_HR_Data[[#This Row],[Attrition_Risk_Percentage]] &gt;= 0.75, "Critical",tbl_HR_Data[ [#This Row],[Attrition_Risk_Percentage] ]&gt;= 0.5, "High",tbl_HR_Data[[#This Row],[Attrition_Risk_Percentage]] &gt;= 0.25, "Medium",TRUE, "Low")</f>
        <v>Low</v>
      </c>
      <c r="AR490" s="16" cm="1">
        <f t="array" ref="AR490">IFERROR(_xlfn.IFS(tbl_HR_Data[[#This Row],[Risk_Category]]="Critical",tbl_HR_Data[[#This Row],[MonthlyIncome]]*1.5,tbl_HR_Data[[#This Row],[Risk_Category]]="High",tbl_HR_Data[[#This Row],[MonthlyIncome]]*1.5),0)</f>
        <v>0</v>
      </c>
    </row>
    <row r="491" spans="1:44" x14ac:dyDescent="0.35">
      <c r="A491" t="s">
        <v>625</v>
      </c>
      <c r="B491">
        <v>43</v>
      </c>
      <c r="C491" t="s">
        <v>31</v>
      </c>
      <c r="D491">
        <v>782</v>
      </c>
      <c r="E491" t="s">
        <v>38</v>
      </c>
      <c r="F491">
        <v>6</v>
      </c>
      <c r="G491">
        <v>4</v>
      </c>
      <c r="H491" t="s">
        <v>42</v>
      </c>
      <c r="I491">
        <v>2</v>
      </c>
      <c r="J491" t="s">
        <v>39</v>
      </c>
      <c r="K491">
        <v>50</v>
      </c>
      <c r="L491">
        <v>2</v>
      </c>
      <c r="M491">
        <v>4</v>
      </c>
      <c r="N491" t="s">
        <v>50</v>
      </c>
      <c r="O491">
        <v>4</v>
      </c>
      <c r="P491" t="s">
        <v>45</v>
      </c>
      <c r="Q491">
        <v>16627</v>
      </c>
      <c r="R491">
        <v>2671</v>
      </c>
      <c r="S491">
        <v>4</v>
      </c>
      <c r="T491">
        <v>1</v>
      </c>
      <c r="U491" s="17">
        <v>0.14000000000000001</v>
      </c>
      <c r="V491">
        <v>3</v>
      </c>
      <c r="W491">
        <v>3</v>
      </c>
      <c r="X491">
        <v>1</v>
      </c>
      <c r="Y491">
        <v>21</v>
      </c>
      <c r="Z491">
        <v>3</v>
      </c>
      <c r="AA491">
        <v>2</v>
      </c>
      <c r="AB491">
        <v>1</v>
      </c>
      <c r="AC491">
        <v>0</v>
      </c>
      <c r="AD491">
        <v>0</v>
      </c>
      <c r="AE491">
        <v>0</v>
      </c>
      <c r="AF491">
        <v>0</v>
      </c>
      <c r="AG491">
        <f>IF(tbl_HR_Data[[#This Row],[Gender]]="Male",1,0)</f>
        <v>1</v>
      </c>
      <c r="AH491" cm="1">
        <f t="array" ref="AH491">_xlfn.SWITCH(tbl_HR_Data[[#This Row],[BusinessTravel]], "Non-Travel", 0, "Travel_Rarely", 1, "Travel_Frequently", 2)</f>
        <v>1</v>
      </c>
      <c r="AI491" cm="1">
        <f t="array" ref="AI491">_xlfn.SWITCH(tbl_HR_Data[[#This Row],[MaritalStatus]],"Single",0,"Married",1,"Divorced",2)</f>
        <v>2</v>
      </c>
      <c r="AJ491">
        <f>IF(tbl_HR_Data[[#This Row],[OverTime]]=1,1,0)</f>
        <v>1</v>
      </c>
      <c r="AK491">
        <f>IF(tbl_HR_Data[[#This Row],[DistanceFromHome]]&gt;15,1,0)</f>
        <v>0</v>
      </c>
      <c r="AL491">
        <f>IF(tbl_HR_Data[[#This Row],[JobSatisfaction]]&lt;=2,1,0)</f>
        <v>0</v>
      </c>
      <c r="AM491">
        <f>IF(tbl_HR_Data[[#This Row],[MonthlyIncome]]&lt;$AT$2,1,0)</f>
        <v>0</v>
      </c>
      <c r="AN491">
        <f>IF(tbl_HR_Data[[#This Row],[Travel_Code]]=2,1,0)</f>
        <v>0</v>
      </c>
      <c r="AO491">
        <f>(tbl_HR_Data[[#This Row],[Flag_OT]] * Logic_Parameters!$B$2) +
 (tbl_HR_Data[[#This Row],[Flag_Travel]] * Logic_Parameters!$B$3) +
 (tbl_HR_Data[[#This Row],[Flag_Satisfaction]] * Logic_Parameters!$B$4) +
 (tbl_HR_Data[[#This Row],[Flag_Distance]]* Logic_Parameters!$B$5) +
 (tbl_HR_Data[[#This Row],[Flag_Income]] * Logic_Parameters!$B$6)</f>
        <v>10</v>
      </c>
      <c r="AP491" s="15">
        <f>tbl_HR_Data[[#This Row],[Risk_Score_Raw]] / SUM(Logic_Parameters!$B$2:$B$6)</f>
        <v>0.3445251318258073</v>
      </c>
      <c r="AQ491" s="16" t="str" cm="1">
        <f t="array" ref="AQ491">_xlfn.IFS(tbl_HR_Data[[#This Row],[Attrition_Risk_Percentage]] &gt;= 0.75, "Critical",tbl_HR_Data[ [#This Row],[Attrition_Risk_Percentage] ]&gt;= 0.5, "High",tbl_HR_Data[[#This Row],[Attrition_Risk_Percentage]] &gt;= 0.25, "Medium",TRUE, "Low")</f>
        <v>Medium</v>
      </c>
      <c r="AR491" s="16" cm="1">
        <f t="array" ref="AR491">IFERROR(_xlfn.IFS(tbl_HR_Data[[#This Row],[Risk_Category]]="Critical",tbl_HR_Data[[#This Row],[MonthlyIncome]]*1.5,tbl_HR_Data[[#This Row],[Risk_Category]]="High",tbl_HR_Data[[#This Row],[MonthlyIncome]]*1.5),0)</f>
        <v>0</v>
      </c>
    </row>
    <row r="492" spans="1:44" x14ac:dyDescent="0.35">
      <c r="A492" t="s">
        <v>816</v>
      </c>
      <c r="B492">
        <v>38</v>
      </c>
      <c r="C492" t="s">
        <v>31</v>
      </c>
      <c r="D492">
        <v>362</v>
      </c>
      <c r="E492" t="s">
        <v>38</v>
      </c>
      <c r="F492">
        <v>1</v>
      </c>
      <c r="G492">
        <v>1</v>
      </c>
      <c r="H492" t="s">
        <v>33</v>
      </c>
      <c r="I492">
        <v>3</v>
      </c>
      <c r="J492" t="s">
        <v>34</v>
      </c>
      <c r="K492">
        <v>43</v>
      </c>
      <c r="L492">
        <v>3</v>
      </c>
      <c r="M492">
        <v>1</v>
      </c>
      <c r="N492" t="s">
        <v>40</v>
      </c>
      <c r="O492">
        <v>1</v>
      </c>
      <c r="P492" t="s">
        <v>36</v>
      </c>
      <c r="Q492">
        <v>2619</v>
      </c>
      <c r="R492">
        <v>14561</v>
      </c>
      <c r="S492">
        <v>3</v>
      </c>
      <c r="T492">
        <v>0</v>
      </c>
      <c r="U492" s="17">
        <v>0.17</v>
      </c>
      <c r="V492">
        <v>3</v>
      </c>
      <c r="W492">
        <v>4</v>
      </c>
      <c r="X492">
        <v>0</v>
      </c>
      <c r="Y492">
        <v>8</v>
      </c>
      <c r="Z492">
        <v>3</v>
      </c>
      <c r="AA492">
        <v>2</v>
      </c>
      <c r="AB492">
        <v>0</v>
      </c>
      <c r="AC492">
        <v>0</v>
      </c>
      <c r="AD492">
        <v>0</v>
      </c>
      <c r="AE492">
        <v>0</v>
      </c>
      <c r="AF492">
        <v>0</v>
      </c>
      <c r="AG492">
        <f>IF(tbl_HR_Data[[#This Row],[Gender]]="Male",1,0)</f>
        <v>0</v>
      </c>
      <c r="AH492" cm="1">
        <f t="array" ref="AH492">_xlfn.SWITCH(tbl_HR_Data[[#This Row],[BusinessTravel]], "Non-Travel", 0, "Travel_Rarely", 1, "Travel_Frequently", 2)</f>
        <v>1</v>
      </c>
      <c r="AI492" cm="1">
        <f t="array" ref="AI492">_xlfn.SWITCH(tbl_HR_Data[[#This Row],[MaritalStatus]],"Single",0,"Married",1,"Divorced",2)</f>
        <v>0</v>
      </c>
      <c r="AJ492">
        <f>IF(tbl_HR_Data[[#This Row],[OverTime]]=1,1,0)</f>
        <v>0</v>
      </c>
      <c r="AK492">
        <f>IF(tbl_HR_Data[[#This Row],[DistanceFromHome]]&gt;15,1,0)</f>
        <v>0</v>
      </c>
      <c r="AL492">
        <f>IF(tbl_HR_Data[[#This Row],[JobSatisfaction]]&lt;=2,1,0)</f>
        <v>1</v>
      </c>
      <c r="AM492">
        <f>IF(tbl_HR_Data[[#This Row],[MonthlyIncome]]&lt;$AT$2,1,0)</f>
        <v>1</v>
      </c>
      <c r="AN492">
        <f>IF(tbl_HR_Data[[#This Row],[Travel_Code]]=2,1,0)</f>
        <v>0</v>
      </c>
      <c r="AO492">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492" s="15">
        <f>tbl_HR_Data[[#This Row],[Risk_Score_Raw]] / SUM(Logic_Parameters!$B$2:$B$6)</f>
        <v>0.3686061316669938</v>
      </c>
      <c r="AQ492" s="16" t="str" cm="1">
        <f t="array" ref="AQ492">_xlfn.IFS(tbl_HR_Data[[#This Row],[Attrition_Risk_Percentage]] &gt;= 0.75, "Critical",tbl_HR_Data[ [#This Row],[Attrition_Risk_Percentage] ]&gt;= 0.5, "High",tbl_HR_Data[[#This Row],[Attrition_Risk_Percentage]] &gt;= 0.25, "Medium",TRUE, "Low")</f>
        <v>Medium</v>
      </c>
      <c r="AR492" s="16" cm="1">
        <f t="array" ref="AR492">IFERROR(_xlfn.IFS(tbl_HR_Data[[#This Row],[Risk_Category]]="Critical",tbl_HR_Data[[#This Row],[MonthlyIncome]]*1.5,tbl_HR_Data[[#This Row],[Risk_Category]]="High",tbl_HR_Data[[#This Row],[MonthlyIncome]]*1.5),0)</f>
        <v>0</v>
      </c>
    </row>
    <row r="493" spans="1:44" x14ac:dyDescent="0.35">
      <c r="A493" t="s">
        <v>296</v>
      </c>
      <c r="B493">
        <v>43</v>
      </c>
      <c r="C493" t="s">
        <v>37</v>
      </c>
      <c r="D493">
        <v>1001</v>
      </c>
      <c r="E493" t="s">
        <v>38</v>
      </c>
      <c r="F493">
        <v>9</v>
      </c>
      <c r="G493">
        <v>5</v>
      </c>
      <c r="H493" t="s">
        <v>44</v>
      </c>
      <c r="I493">
        <v>4</v>
      </c>
      <c r="J493" t="s">
        <v>39</v>
      </c>
      <c r="K493">
        <v>72</v>
      </c>
      <c r="L493">
        <v>3</v>
      </c>
      <c r="M493">
        <v>2</v>
      </c>
      <c r="N493" t="s">
        <v>43</v>
      </c>
      <c r="O493">
        <v>3</v>
      </c>
      <c r="P493" t="s">
        <v>45</v>
      </c>
      <c r="Q493">
        <v>5679</v>
      </c>
      <c r="R493">
        <v>19627</v>
      </c>
      <c r="S493">
        <v>3</v>
      </c>
      <c r="T493">
        <v>1</v>
      </c>
      <c r="U493" s="17">
        <v>0.13</v>
      </c>
      <c r="V493">
        <v>3</v>
      </c>
      <c r="W493">
        <v>2</v>
      </c>
      <c r="X493">
        <v>1</v>
      </c>
      <c r="Y493">
        <v>10</v>
      </c>
      <c r="Z493">
        <v>3</v>
      </c>
      <c r="AA493">
        <v>3</v>
      </c>
      <c r="AB493">
        <v>8</v>
      </c>
      <c r="AC493">
        <v>7</v>
      </c>
      <c r="AD493">
        <v>4</v>
      </c>
      <c r="AE493">
        <v>7</v>
      </c>
      <c r="AF493">
        <v>0</v>
      </c>
      <c r="AG493">
        <f>IF(tbl_HR_Data[[#This Row],[Gender]]="Male",1,0)</f>
        <v>1</v>
      </c>
      <c r="AH493" cm="1">
        <f t="array" ref="AH493">_xlfn.SWITCH(tbl_HR_Data[[#This Row],[BusinessTravel]], "Non-Travel", 0, "Travel_Rarely", 1, "Travel_Frequently", 2)</f>
        <v>2</v>
      </c>
      <c r="AI493" cm="1">
        <f t="array" ref="AI493">_xlfn.SWITCH(tbl_HR_Data[[#This Row],[MaritalStatus]],"Single",0,"Married",1,"Divorced",2)</f>
        <v>2</v>
      </c>
      <c r="AJ493">
        <f>IF(tbl_HR_Data[[#This Row],[OverTime]]=1,1,0)</f>
        <v>1</v>
      </c>
      <c r="AK493">
        <f>IF(tbl_HR_Data[[#This Row],[DistanceFromHome]]&gt;15,1,0)</f>
        <v>0</v>
      </c>
      <c r="AL493">
        <f>IF(tbl_HR_Data[[#This Row],[JobSatisfaction]]&lt;=2,1,0)</f>
        <v>0</v>
      </c>
      <c r="AM493">
        <f>IF(tbl_HR_Data[[#This Row],[MonthlyIncome]]&lt;$AT$2,1,0)</f>
        <v>0</v>
      </c>
      <c r="AN493">
        <f>IF(tbl_HR_Data[[#This Row],[Travel_Code]]=2,1,0)</f>
        <v>1</v>
      </c>
      <c r="AO493">
        <f>(tbl_HR_Data[[#This Row],[Flag_OT]] * Logic_Parameters!$B$2) +
 (tbl_HR_Data[[#This Row],[Flag_Travel]] * Logic_Parameters!$B$3) +
 (tbl_HR_Data[[#This Row],[Flag_Satisfaction]] * Logic_Parameters!$B$4) +
 (tbl_HR_Data[[#This Row],[Flag_Distance]]* Logic_Parameters!$B$5) +
 (tbl_HR_Data[[#This Row],[Flag_Income]] * Logic_Parameters!$B$6)</f>
        <v>15.160389980490176</v>
      </c>
      <c r="AP493" s="15">
        <f>tbl_HR_Data[[#This Row],[Risk_Score_Raw]] / SUM(Logic_Parameters!$B$2:$B$6)</f>
        <v>0.52231353565590266</v>
      </c>
      <c r="AQ493" s="16" t="str" cm="1">
        <f t="array" ref="AQ493">_xlfn.IFS(tbl_HR_Data[[#This Row],[Attrition_Risk_Percentage]] &gt;= 0.75, "Critical",tbl_HR_Data[ [#This Row],[Attrition_Risk_Percentage] ]&gt;= 0.5, "High",tbl_HR_Data[[#This Row],[Attrition_Risk_Percentage]] &gt;= 0.25, "Medium",TRUE, "Low")</f>
        <v>High</v>
      </c>
      <c r="AR493" s="16" cm="1">
        <f t="array" ref="AR493">IFERROR(_xlfn.IFS(tbl_HR_Data[[#This Row],[Risk_Category]]="Critical",tbl_HR_Data[[#This Row],[MonthlyIncome]]*1.5,tbl_HR_Data[[#This Row],[Risk_Category]]="High",tbl_HR_Data[[#This Row],[MonthlyIncome]]*1.5),0)</f>
        <v>8518.5</v>
      </c>
    </row>
    <row r="494" spans="1:44" x14ac:dyDescent="0.35">
      <c r="A494" t="s">
        <v>1286</v>
      </c>
      <c r="B494">
        <v>48</v>
      </c>
      <c r="C494" t="s">
        <v>31</v>
      </c>
      <c r="D494">
        <v>1236</v>
      </c>
      <c r="E494" t="s">
        <v>38</v>
      </c>
      <c r="F494">
        <v>1</v>
      </c>
      <c r="G494">
        <v>4</v>
      </c>
      <c r="H494" t="s">
        <v>33</v>
      </c>
      <c r="I494">
        <v>4</v>
      </c>
      <c r="J494" t="s">
        <v>34</v>
      </c>
      <c r="K494">
        <v>40</v>
      </c>
      <c r="L494">
        <v>2</v>
      </c>
      <c r="M494">
        <v>4</v>
      </c>
      <c r="N494" t="s">
        <v>48</v>
      </c>
      <c r="O494">
        <v>1</v>
      </c>
      <c r="P494" t="s">
        <v>41</v>
      </c>
      <c r="Q494">
        <v>15402</v>
      </c>
      <c r="R494">
        <v>17997</v>
      </c>
      <c r="S494">
        <v>7</v>
      </c>
      <c r="T494">
        <v>0</v>
      </c>
      <c r="U494" s="17">
        <v>0.11</v>
      </c>
      <c r="V494">
        <v>3</v>
      </c>
      <c r="W494">
        <v>1</v>
      </c>
      <c r="X494">
        <v>1</v>
      </c>
      <c r="Y494">
        <v>21</v>
      </c>
      <c r="Z494">
        <v>3</v>
      </c>
      <c r="AA494">
        <v>1</v>
      </c>
      <c r="AB494">
        <v>3</v>
      </c>
      <c r="AC494">
        <v>2</v>
      </c>
      <c r="AD494">
        <v>0</v>
      </c>
      <c r="AE494">
        <v>2</v>
      </c>
      <c r="AF494">
        <v>0</v>
      </c>
      <c r="AG494">
        <f>IF(tbl_HR_Data[[#This Row],[Gender]]="Male",1,0)</f>
        <v>0</v>
      </c>
      <c r="AH494" cm="1">
        <f t="array" ref="AH494">_xlfn.SWITCH(tbl_HR_Data[[#This Row],[BusinessTravel]], "Non-Travel", 0, "Travel_Rarely", 1, "Travel_Frequently", 2)</f>
        <v>1</v>
      </c>
      <c r="AI494" cm="1">
        <f t="array" ref="AI494">_xlfn.SWITCH(tbl_HR_Data[[#This Row],[MaritalStatus]],"Single",0,"Married",1,"Divorced",2)</f>
        <v>1</v>
      </c>
      <c r="AJ494">
        <f>IF(tbl_HR_Data[[#This Row],[OverTime]]=1,1,0)</f>
        <v>0</v>
      </c>
      <c r="AK494">
        <f>IF(tbl_HR_Data[[#This Row],[DistanceFromHome]]&gt;15,1,0)</f>
        <v>0</v>
      </c>
      <c r="AL494">
        <f>IF(tbl_HR_Data[[#This Row],[JobSatisfaction]]&lt;=2,1,0)</f>
        <v>1</v>
      </c>
      <c r="AM494">
        <f>IF(tbl_HR_Data[[#This Row],[MonthlyIncome]]&lt;$AT$2,1,0)</f>
        <v>0</v>
      </c>
      <c r="AN494">
        <f>IF(tbl_HR_Data[[#This Row],[Travel_Code]]=2,1,0)</f>
        <v>0</v>
      </c>
      <c r="AO494">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494" s="15">
        <f>tbl_HR_Data[[#This Row],[Risk_Score_Raw]] / SUM(Logic_Parameters!$B$2:$B$6)</f>
        <v>0.14485673308716898</v>
      </c>
      <c r="AQ494" s="16" t="str" cm="1">
        <f t="array" ref="AQ494">_xlfn.IFS(tbl_HR_Data[[#This Row],[Attrition_Risk_Percentage]] &gt;= 0.75, "Critical",tbl_HR_Data[ [#This Row],[Attrition_Risk_Percentage] ]&gt;= 0.5, "High",tbl_HR_Data[[#This Row],[Attrition_Risk_Percentage]] &gt;= 0.25, "Medium",TRUE, "Low")</f>
        <v>Low</v>
      </c>
      <c r="AR494" s="16" cm="1">
        <f t="array" ref="AR494">IFERROR(_xlfn.IFS(tbl_HR_Data[[#This Row],[Risk_Category]]="Critical",tbl_HR_Data[[#This Row],[MonthlyIncome]]*1.5,tbl_HR_Data[[#This Row],[Risk_Category]]="High",tbl_HR_Data[[#This Row],[MonthlyIncome]]*1.5),0)</f>
        <v>0</v>
      </c>
    </row>
    <row r="495" spans="1:44" x14ac:dyDescent="0.35">
      <c r="A495" t="s">
        <v>204</v>
      </c>
      <c r="B495">
        <v>44</v>
      </c>
      <c r="C495" t="s">
        <v>31</v>
      </c>
      <c r="D495">
        <v>1112</v>
      </c>
      <c r="E495" t="s">
        <v>53</v>
      </c>
      <c r="F495">
        <v>1</v>
      </c>
      <c r="G495">
        <v>4</v>
      </c>
      <c r="H495" t="s">
        <v>33</v>
      </c>
      <c r="I495">
        <v>1</v>
      </c>
      <c r="J495" t="s">
        <v>34</v>
      </c>
      <c r="K495">
        <v>50</v>
      </c>
      <c r="L495">
        <v>2</v>
      </c>
      <c r="M495">
        <v>2</v>
      </c>
      <c r="N495" t="s">
        <v>53</v>
      </c>
      <c r="O495">
        <v>3</v>
      </c>
      <c r="P495" t="s">
        <v>36</v>
      </c>
      <c r="Q495">
        <v>5985</v>
      </c>
      <c r="R495">
        <v>26894</v>
      </c>
      <c r="S495">
        <v>4</v>
      </c>
      <c r="T495">
        <v>0</v>
      </c>
      <c r="U495" s="17">
        <v>0.11</v>
      </c>
      <c r="V495">
        <v>3</v>
      </c>
      <c r="W495">
        <v>2</v>
      </c>
      <c r="X495">
        <v>0</v>
      </c>
      <c r="Y495">
        <v>10</v>
      </c>
      <c r="Z495">
        <v>1</v>
      </c>
      <c r="AA495">
        <v>4</v>
      </c>
      <c r="AB495">
        <v>2</v>
      </c>
      <c r="AC495">
        <v>2</v>
      </c>
      <c r="AD495">
        <v>0</v>
      </c>
      <c r="AE495">
        <v>2</v>
      </c>
      <c r="AF495">
        <v>0</v>
      </c>
      <c r="AG495">
        <f>IF(tbl_HR_Data[[#This Row],[Gender]]="Male",1,0)</f>
        <v>0</v>
      </c>
      <c r="AH495" cm="1">
        <f t="array" ref="AH495">_xlfn.SWITCH(tbl_HR_Data[[#This Row],[BusinessTravel]], "Non-Travel", 0, "Travel_Rarely", 1, "Travel_Frequently", 2)</f>
        <v>1</v>
      </c>
      <c r="AI495" cm="1">
        <f t="array" ref="AI495">_xlfn.SWITCH(tbl_HR_Data[[#This Row],[MaritalStatus]],"Single",0,"Married",1,"Divorced",2)</f>
        <v>0</v>
      </c>
      <c r="AJ495">
        <f>IF(tbl_HR_Data[[#This Row],[OverTime]]=1,1,0)</f>
        <v>0</v>
      </c>
      <c r="AK495">
        <f>IF(tbl_HR_Data[[#This Row],[DistanceFromHome]]&gt;15,1,0)</f>
        <v>0</v>
      </c>
      <c r="AL495">
        <f>IF(tbl_HR_Data[[#This Row],[JobSatisfaction]]&lt;=2,1,0)</f>
        <v>0</v>
      </c>
      <c r="AM495">
        <f>IF(tbl_HR_Data[[#This Row],[MonthlyIncome]]&lt;$AT$2,1,0)</f>
        <v>0</v>
      </c>
      <c r="AN495">
        <f>IF(tbl_HR_Data[[#This Row],[Travel_Code]]=2,1,0)</f>
        <v>0</v>
      </c>
      <c r="AO495">
        <f>(tbl_HR_Data[[#This Row],[Flag_OT]] * Logic_Parameters!$B$2) +
 (tbl_HR_Data[[#This Row],[Flag_Travel]] * Logic_Parameters!$B$3) +
 (tbl_HR_Data[[#This Row],[Flag_Satisfaction]] * Logic_Parameters!$B$4) +
 (tbl_HR_Data[[#This Row],[Flag_Distance]]* Logic_Parameters!$B$5) +
 (tbl_HR_Data[[#This Row],[Flag_Income]] * Logic_Parameters!$B$6)</f>
        <v>0</v>
      </c>
      <c r="AP495" s="15">
        <f>tbl_HR_Data[[#This Row],[Risk_Score_Raw]] / SUM(Logic_Parameters!$B$2:$B$6)</f>
        <v>0</v>
      </c>
      <c r="AQ495" s="16" t="str" cm="1">
        <f t="array" ref="AQ495">_xlfn.IFS(tbl_HR_Data[[#This Row],[Attrition_Risk_Percentage]] &gt;= 0.75, "Critical",tbl_HR_Data[ [#This Row],[Attrition_Risk_Percentage] ]&gt;= 0.5, "High",tbl_HR_Data[[#This Row],[Attrition_Risk_Percentage]] &gt;= 0.25, "Medium",TRUE, "Low")</f>
        <v>Low</v>
      </c>
      <c r="AR495" s="16" cm="1">
        <f t="array" ref="AR495">IFERROR(_xlfn.IFS(tbl_HR_Data[[#This Row],[Risk_Category]]="Critical",tbl_HR_Data[[#This Row],[MonthlyIncome]]*1.5,tbl_HR_Data[[#This Row],[Risk_Category]]="High",tbl_HR_Data[[#This Row],[MonthlyIncome]]*1.5),0)</f>
        <v>0</v>
      </c>
    </row>
    <row r="496" spans="1:44" x14ac:dyDescent="0.35">
      <c r="A496" t="s">
        <v>1076</v>
      </c>
      <c r="B496">
        <v>34</v>
      </c>
      <c r="C496" t="s">
        <v>31</v>
      </c>
      <c r="D496">
        <v>204</v>
      </c>
      <c r="E496" t="s">
        <v>32</v>
      </c>
      <c r="F496">
        <v>14</v>
      </c>
      <c r="G496">
        <v>3</v>
      </c>
      <c r="H496" t="s">
        <v>52</v>
      </c>
      <c r="I496">
        <v>3</v>
      </c>
      <c r="J496" t="s">
        <v>34</v>
      </c>
      <c r="K496">
        <v>31</v>
      </c>
      <c r="L496">
        <v>3</v>
      </c>
      <c r="M496">
        <v>1</v>
      </c>
      <c r="N496" t="s">
        <v>49</v>
      </c>
      <c r="O496">
        <v>3</v>
      </c>
      <c r="P496" t="s">
        <v>45</v>
      </c>
      <c r="Q496">
        <v>2579</v>
      </c>
      <c r="R496">
        <v>2912</v>
      </c>
      <c r="S496">
        <v>1</v>
      </c>
      <c r="T496">
        <v>1</v>
      </c>
      <c r="U496" s="17">
        <v>0.18</v>
      </c>
      <c r="V496">
        <v>3</v>
      </c>
      <c r="W496">
        <v>4</v>
      </c>
      <c r="X496">
        <v>2</v>
      </c>
      <c r="Y496">
        <v>8</v>
      </c>
      <c r="Z496">
        <v>3</v>
      </c>
      <c r="AA496">
        <v>3</v>
      </c>
      <c r="AB496">
        <v>8</v>
      </c>
      <c r="AC496">
        <v>2</v>
      </c>
      <c r="AD496">
        <v>0</v>
      </c>
      <c r="AE496">
        <v>6</v>
      </c>
      <c r="AF496">
        <v>0</v>
      </c>
      <c r="AG496">
        <f>IF(tbl_HR_Data[[#This Row],[Gender]]="Male",1,0)</f>
        <v>0</v>
      </c>
      <c r="AH496" cm="1">
        <f t="array" ref="AH496">_xlfn.SWITCH(tbl_HR_Data[[#This Row],[BusinessTravel]], "Non-Travel", 0, "Travel_Rarely", 1, "Travel_Frequently", 2)</f>
        <v>1</v>
      </c>
      <c r="AI496" cm="1">
        <f t="array" ref="AI496">_xlfn.SWITCH(tbl_HR_Data[[#This Row],[MaritalStatus]],"Single",0,"Married",1,"Divorced",2)</f>
        <v>2</v>
      </c>
      <c r="AJ496">
        <f>IF(tbl_HR_Data[[#This Row],[OverTime]]=1,1,0)</f>
        <v>1</v>
      </c>
      <c r="AK496">
        <f>IF(tbl_HR_Data[[#This Row],[DistanceFromHome]]&gt;15,1,0)</f>
        <v>0</v>
      </c>
      <c r="AL496">
        <f>IF(tbl_HR_Data[[#This Row],[JobSatisfaction]]&lt;=2,1,0)</f>
        <v>0</v>
      </c>
      <c r="AM496">
        <f>IF(tbl_HR_Data[[#This Row],[MonthlyIncome]]&lt;$AT$2,1,0)</f>
        <v>1</v>
      </c>
      <c r="AN496">
        <f>IF(tbl_HR_Data[[#This Row],[Travel_Code]]=2,1,0)</f>
        <v>0</v>
      </c>
      <c r="AO496">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496" s="15">
        <f>tbl_HR_Data[[#This Row],[Risk_Score_Raw]] / SUM(Logic_Parameters!$B$2:$B$6)</f>
        <v>0.56827453040563214</v>
      </c>
      <c r="AQ496" s="16" t="str" cm="1">
        <f t="array" ref="AQ496">_xlfn.IFS(tbl_HR_Data[[#This Row],[Attrition_Risk_Percentage]] &gt;= 0.75, "Critical",tbl_HR_Data[ [#This Row],[Attrition_Risk_Percentage] ]&gt;= 0.5, "High",tbl_HR_Data[[#This Row],[Attrition_Risk_Percentage]] &gt;= 0.25, "Medium",TRUE, "Low")</f>
        <v>High</v>
      </c>
      <c r="AR496" s="16" cm="1">
        <f t="array" ref="AR496">IFERROR(_xlfn.IFS(tbl_HR_Data[[#This Row],[Risk_Category]]="Critical",tbl_HR_Data[[#This Row],[MonthlyIncome]]*1.5,tbl_HR_Data[[#This Row],[Risk_Category]]="High",tbl_HR_Data[[#This Row],[MonthlyIncome]]*1.5),0)</f>
        <v>3868.5</v>
      </c>
    </row>
    <row r="497" spans="1:44" x14ac:dyDescent="0.35">
      <c r="A497" t="s">
        <v>404</v>
      </c>
      <c r="B497">
        <v>27</v>
      </c>
      <c r="C497" t="s">
        <v>31</v>
      </c>
      <c r="D497">
        <v>1420</v>
      </c>
      <c r="E497" t="s">
        <v>32</v>
      </c>
      <c r="F497">
        <v>2</v>
      </c>
      <c r="G497">
        <v>1</v>
      </c>
      <c r="H497" t="s">
        <v>51</v>
      </c>
      <c r="I497">
        <v>3</v>
      </c>
      <c r="J497" t="s">
        <v>39</v>
      </c>
      <c r="K497">
        <v>85</v>
      </c>
      <c r="L497">
        <v>3</v>
      </c>
      <c r="M497">
        <v>1</v>
      </c>
      <c r="N497" t="s">
        <v>49</v>
      </c>
      <c r="O497">
        <v>1</v>
      </c>
      <c r="P497" t="s">
        <v>45</v>
      </c>
      <c r="Q497">
        <v>3041</v>
      </c>
      <c r="R497">
        <v>16346</v>
      </c>
      <c r="S497">
        <v>0</v>
      </c>
      <c r="T497">
        <v>0</v>
      </c>
      <c r="U497" s="17">
        <v>0.11</v>
      </c>
      <c r="V497">
        <v>3</v>
      </c>
      <c r="W497">
        <v>2</v>
      </c>
      <c r="X497">
        <v>1</v>
      </c>
      <c r="Y497">
        <v>5</v>
      </c>
      <c r="Z497">
        <v>3</v>
      </c>
      <c r="AA497">
        <v>3</v>
      </c>
      <c r="AB497">
        <v>4</v>
      </c>
      <c r="AC497">
        <v>3</v>
      </c>
      <c r="AD497">
        <v>0</v>
      </c>
      <c r="AE497">
        <v>2</v>
      </c>
      <c r="AF497">
        <v>1</v>
      </c>
      <c r="AG497">
        <f>IF(tbl_HR_Data[[#This Row],[Gender]]="Male",1,0)</f>
        <v>1</v>
      </c>
      <c r="AH497" cm="1">
        <f t="array" ref="AH497">_xlfn.SWITCH(tbl_HR_Data[[#This Row],[BusinessTravel]], "Non-Travel", 0, "Travel_Rarely", 1, "Travel_Frequently", 2)</f>
        <v>1</v>
      </c>
      <c r="AI497" cm="1">
        <f t="array" ref="AI497">_xlfn.SWITCH(tbl_HR_Data[[#This Row],[MaritalStatus]],"Single",0,"Married",1,"Divorced",2)</f>
        <v>2</v>
      </c>
      <c r="AJ497">
        <f>IF(tbl_HR_Data[[#This Row],[OverTime]]=1,1,0)</f>
        <v>0</v>
      </c>
      <c r="AK497">
        <f>IF(tbl_HR_Data[[#This Row],[DistanceFromHome]]&gt;15,1,0)</f>
        <v>0</v>
      </c>
      <c r="AL497">
        <f>IF(tbl_HR_Data[[#This Row],[JobSatisfaction]]&lt;=2,1,0)</f>
        <v>1</v>
      </c>
      <c r="AM497">
        <f>IF(tbl_HR_Data[[#This Row],[MonthlyIncome]]&lt;$AT$2,1,0)</f>
        <v>1</v>
      </c>
      <c r="AN497">
        <f>IF(tbl_HR_Data[[#This Row],[Travel_Code]]=2,1,0)</f>
        <v>0</v>
      </c>
      <c r="AO497">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497" s="15">
        <f>tbl_HR_Data[[#This Row],[Risk_Score_Raw]] / SUM(Logic_Parameters!$B$2:$B$6)</f>
        <v>0.3686061316669938</v>
      </c>
      <c r="AQ497" s="16" t="str" cm="1">
        <f t="array" ref="AQ497">_xlfn.IFS(tbl_HR_Data[[#This Row],[Attrition_Risk_Percentage]] &gt;= 0.75, "Critical",tbl_HR_Data[ [#This Row],[Attrition_Risk_Percentage] ]&gt;= 0.5, "High",tbl_HR_Data[[#This Row],[Attrition_Risk_Percentage]] &gt;= 0.25, "Medium",TRUE, "Low")</f>
        <v>Medium</v>
      </c>
      <c r="AR497" s="16" cm="1">
        <f t="array" ref="AR497">IFERROR(_xlfn.IFS(tbl_HR_Data[[#This Row],[Risk_Category]]="Critical",tbl_HR_Data[[#This Row],[MonthlyIncome]]*1.5,tbl_HR_Data[[#This Row],[Risk_Category]]="High",tbl_HR_Data[[#This Row],[MonthlyIncome]]*1.5),0)</f>
        <v>0</v>
      </c>
    </row>
    <row r="498" spans="1:44" x14ac:dyDescent="0.35">
      <c r="A498" t="s">
        <v>539</v>
      </c>
      <c r="B498">
        <v>21</v>
      </c>
      <c r="C498" t="s">
        <v>31</v>
      </c>
      <c r="D498">
        <v>1343</v>
      </c>
      <c r="E498" t="s">
        <v>32</v>
      </c>
      <c r="F498">
        <v>22</v>
      </c>
      <c r="G498">
        <v>1</v>
      </c>
      <c r="H498" t="s">
        <v>52</v>
      </c>
      <c r="I498">
        <v>3</v>
      </c>
      <c r="J498" t="s">
        <v>39</v>
      </c>
      <c r="K498">
        <v>49</v>
      </c>
      <c r="L498">
        <v>3</v>
      </c>
      <c r="M498">
        <v>1</v>
      </c>
      <c r="N498" t="s">
        <v>49</v>
      </c>
      <c r="O498">
        <v>3</v>
      </c>
      <c r="P498" t="s">
        <v>36</v>
      </c>
      <c r="Q498">
        <v>3447</v>
      </c>
      <c r="R498">
        <v>24444</v>
      </c>
      <c r="S498">
        <v>1</v>
      </c>
      <c r="T498">
        <v>0</v>
      </c>
      <c r="U498" s="17">
        <v>0.11</v>
      </c>
      <c r="V498">
        <v>3</v>
      </c>
      <c r="W498">
        <v>3</v>
      </c>
      <c r="X498">
        <v>0</v>
      </c>
      <c r="Y498">
        <v>3</v>
      </c>
      <c r="Z498">
        <v>2</v>
      </c>
      <c r="AA498">
        <v>3</v>
      </c>
      <c r="AB498">
        <v>3</v>
      </c>
      <c r="AC498">
        <v>2</v>
      </c>
      <c r="AD498">
        <v>1</v>
      </c>
      <c r="AE498">
        <v>2</v>
      </c>
      <c r="AF498">
        <v>0</v>
      </c>
      <c r="AG498">
        <f>IF(tbl_HR_Data[[#This Row],[Gender]]="Male",1,0)</f>
        <v>1</v>
      </c>
      <c r="AH498" cm="1">
        <f t="array" ref="AH498">_xlfn.SWITCH(tbl_HR_Data[[#This Row],[BusinessTravel]], "Non-Travel", 0, "Travel_Rarely", 1, "Travel_Frequently", 2)</f>
        <v>1</v>
      </c>
      <c r="AI498" cm="1">
        <f t="array" ref="AI498">_xlfn.SWITCH(tbl_HR_Data[[#This Row],[MaritalStatus]],"Single",0,"Married",1,"Divorced",2)</f>
        <v>0</v>
      </c>
      <c r="AJ498">
        <f>IF(tbl_HR_Data[[#This Row],[OverTime]]=1,1,0)</f>
        <v>0</v>
      </c>
      <c r="AK498">
        <f>IF(tbl_HR_Data[[#This Row],[DistanceFromHome]]&gt;15,1,0)</f>
        <v>1</v>
      </c>
      <c r="AL498">
        <f>IF(tbl_HR_Data[[#This Row],[JobSatisfaction]]&lt;=2,1,0)</f>
        <v>0</v>
      </c>
      <c r="AM498">
        <f>IF(tbl_HR_Data[[#This Row],[MonthlyIncome]]&lt;$AT$2,1,0)</f>
        <v>1</v>
      </c>
      <c r="AN498">
        <f>IF(tbl_HR_Data[[#This Row],[Travel_Code]]=2,1,0)</f>
        <v>0</v>
      </c>
      <c r="AO498">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498" s="15">
        <f>tbl_HR_Data[[#This Row],[Risk_Score_Raw]] / SUM(Logic_Parameters!$B$2:$B$6)</f>
        <v>0.33282973125692844</v>
      </c>
      <c r="AQ498" s="16" t="str" cm="1">
        <f t="array" ref="AQ498">_xlfn.IFS(tbl_HR_Data[[#This Row],[Attrition_Risk_Percentage]] &gt;= 0.75, "Critical",tbl_HR_Data[ [#This Row],[Attrition_Risk_Percentage] ]&gt;= 0.5, "High",tbl_HR_Data[[#This Row],[Attrition_Risk_Percentage]] &gt;= 0.25, "Medium",TRUE, "Low")</f>
        <v>Medium</v>
      </c>
      <c r="AR498" s="16" cm="1">
        <f t="array" ref="AR498">IFERROR(_xlfn.IFS(tbl_HR_Data[[#This Row],[Risk_Category]]="Critical",tbl_HR_Data[[#This Row],[MonthlyIncome]]*1.5,tbl_HR_Data[[#This Row],[Risk_Category]]="High",tbl_HR_Data[[#This Row],[MonthlyIncome]]*1.5),0)</f>
        <v>0</v>
      </c>
    </row>
    <row r="499" spans="1:44" x14ac:dyDescent="0.35">
      <c r="A499" t="s">
        <v>1068</v>
      </c>
      <c r="B499">
        <v>44</v>
      </c>
      <c r="C499" t="s">
        <v>31</v>
      </c>
      <c r="D499">
        <v>1315</v>
      </c>
      <c r="E499" t="s">
        <v>38</v>
      </c>
      <c r="F499">
        <v>3</v>
      </c>
      <c r="G499">
        <v>4</v>
      </c>
      <c r="H499" t="s">
        <v>42</v>
      </c>
      <c r="I499">
        <v>4</v>
      </c>
      <c r="J499" t="s">
        <v>39</v>
      </c>
      <c r="K499">
        <v>35</v>
      </c>
      <c r="L499">
        <v>3</v>
      </c>
      <c r="M499">
        <v>5</v>
      </c>
      <c r="N499" t="s">
        <v>48</v>
      </c>
      <c r="O499">
        <v>4</v>
      </c>
      <c r="P499" t="s">
        <v>41</v>
      </c>
      <c r="Q499">
        <v>19513</v>
      </c>
      <c r="R499">
        <v>9358</v>
      </c>
      <c r="S499">
        <v>4</v>
      </c>
      <c r="T499">
        <v>1</v>
      </c>
      <c r="U499" s="17">
        <v>0.12</v>
      </c>
      <c r="V499">
        <v>3</v>
      </c>
      <c r="W499">
        <v>1</v>
      </c>
      <c r="X499">
        <v>1</v>
      </c>
      <c r="Y499">
        <v>26</v>
      </c>
      <c r="Z499">
        <v>2</v>
      </c>
      <c r="AA499">
        <v>4</v>
      </c>
      <c r="AB499">
        <v>2</v>
      </c>
      <c r="AC499">
        <v>2</v>
      </c>
      <c r="AD499">
        <v>0</v>
      </c>
      <c r="AE499">
        <v>1</v>
      </c>
      <c r="AF499">
        <v>0</v>
      </c>
      <c r="AG499">
        <f>IF(tbl_HR_Data[[#This Row],[Gender]]="Male",1,0)</f>
        <v>1</v>
      </c>
      <c r="AH499" cm="1">
        <f t="array" ref="AH499">_xlfn.SWITCH(tbl_HR_Data[[#This Row],[BusinessTravel]], "Non-Travel", 0, "Travel_Rarely", 1, "Travel_Frequently", 2)</f>
        <v>1</v>
      </c>
      <c r="AI499" cm="1">
        <f t="array" ref="AI499">_xlfn.SWITCH(tbl_HR_Data[[#This Row],[MaritalStatus]],"Single",0,"Married",1,"Divorced",2)</f>
        <v>1</v>
      </c>
      <c r="AJ499">
        <f>IF(tbl_HR_Data[[#This Row],[OverTime]]=1,1,0)</f>
        <v>1</v>
      </c>
      <c r="AK499">
        <f>IF(tbl_HR_Data[[#This Row],[DistanceFromHome]]&gt;15,1,0)</f>
        <v>0</v>
      </c>
      <c r="AL499">
        <f>IF(tbl_HR_Data[[#This Row],[JobSatisfaction]]&lt;=2,1,0)</f>
        <v>0</v>
      </c>
      <c r="AM499">
        <f>IF(tbl_HR_Data[[#This Row],[MonthlyIncome]]&lt;$AT$2,1,0)</f>
        <v>0</v>
      </c>
      <c r="AN499">
        <f>IF(tbl_HR_Data[[#This Row],[Travel_Code]]=2,1,0)</f>
        <v>0</v>
      </c>
      <c r="AO499">
        <f>(tbl_HR_Data[[#This Row],[Flag_OT]] * Logic_Parameters!$B$2) +
 (tbl_HR_Data[[#This Row],[Flag_Travel]] * Logic_Parameters!$B$3) +
 (tbl_HR_Data[[#This Row],[Flag_Satisfaction]] * Logic_Parameters!$B$4) +
 (tbl_HR_Data[[#This Row],[Flag_Distance]]* Logic_Parameters!$B$5) +
 (tbl_HR_Data[[#This Row],[Flag_Income]] * Logic_Parameters!$B$6)</f>
        <v>10</v>
      </c>
      <c r="AP499" s="15">
        <f>tbl_HR_Data[[#This Row],[Risk_Score_Raw]] / SUM(Logic_Parameters!$B$2:$B$6)</f>
        <v>0.3445251318258073</v>
      </c>
      <c r="AQ499" s="16" t="str" cm="1">
        <f t="array" ref="AQ499">_xlfn.IFS(tbl_HR_Data[[#This Row],[Attrition_Risk_Percentage]] &gt;= 0.75, "Critical",tbl_HR_Data[ [#This Row],[Attrition_Risk_Percentage] ]&gt;= 0.5, "High",tbl_HR_Data[[#This Row],[Attrition_Risk_Percentage]] &gt;= 0.25, "Medium",TRUE, "Low")</f>
        <v>Medium</v>
      </c>
      <c r="AR499" s="16" cm="1">
        <f t="array" ref="AR499">IFERROR(_xlfn.IFS(tbl_HR_Data[[#This Row],[Risk_Category]]="Critical",tbl_HR_Data[[#This Row],[MonthlyIncome]]*1.5,tbl_HR_Data[[#This Row],[Risk_Category]]="High",tbl_HR_Data[[#This Row],[MonthlyIncome]]*1.5),0)</f>
        <v>0</v>
      </c>
    </row>
    <row r="500" spans="1:44" x14ac:dyDescent="0.35">
      <c r="A500" t="s">
        <v>512</v>
      </c>
      <c r="B500">
        <v>22</v>
      </c>
      <c r="C500" t="s">
        <v>31</v>
      </c>
      <c r="D500">
        <v>604</v>
      </c>
      <c r="E500" t="s">
        <v>38</v>
      </c>
      <c r="F500">
        <v>6</v>
      </c>
      <c r="G500">
        <v>1</v>
      </c>
      <c r="H500" t="s">
        <v>44</v>
      </c>
      <c r="I500">
        <v>1</v>
      </c>
      <c r="J500" t="s">
        <v>39</v>
      </c>
      <c r="K500">
        <v>69</v>
      </c>
      <c r="L500">
        <v>3</v>
      </c>
      <c r="M500">
        <v>1</v>
      </c>
      <c r="N500" t="s">
        <v>40</v>
      </c>
      <c r="O500">
        <v>3</v>
      </c>
      <c r="P500" t="s">
        <v>41</v>
      </c>
      <c r="Q500">
        <v>2773</v>
      </c>
      <c r="R500">
        <v>12145</v>
      </c>
      <c r="S500">
        <v>0</v>
      </c>
      <c r="T500">
        <v>0</v>
      </c>
      <c r="U500" s="17">
        <v>0.2</v>
      </c>
      <c r="V500">
        <v>4</v>
      </c>
      <c r="W500">
        <v>4</v>
      </c>
      <c r="X500">
        <v>0</v>
      </c>
      <c r="Y500">
        <v>3</v>
      </c>
      <c r="Z500">
        <v>3</v>
      </c>
      <c r="AA500">
        <v>3</v>
      </c>
      <c r="AB500">
        <v>2</v>
      </c>
      <c r="AC500">
        <v>2</v>
      </c>
      <c r="AD500">
        <v>2</v>
      </c>
      <c r="AE500">
        <v>2</v>
      </c>
      <c r="AF500">
        <v>0</v>
      </c>
      <c r="AG500">
        <f>IF(tbl_HR_Data[[#This Row],[Gender]]="Male",1,0)</f>
        <v>1</v>
      </c>
      <c r="AH500" cm="1">
        <f t="array" ref="AH500">_xlfn.SWITCH(tbl_HR_Data[[#This Row],[BusinessTravel]], "Non-Travel", 0, "Travel_Rarely", 1, "Travel_Frequently", 2)</f>
        <v>1</v>
      </c>
      <c r="AI500" cm="1">
        <f t="array" ref="AI500">_xlfn.SWITCH(tbl_HR_Data[[#This Row],[MaritalStatus]],"Single",0,"Married",1,"Divorced",2)</f>
        <v>1</v>
      </c>
      <c r="AJ500">
        <f>IF(tbl_HR_Data[[#This Row],[OverTime]]=1,1,0)</f>
        <v>0</v>
      </c>
      <c r="AK500">
        <f>IF(tbl_HR_Data[[#This Row],[DistanceFromHome]]&gt;15,1,0)</f>
        <v>0</v>
      </c>
      <c r="AL500">
        <f>IF(tbl_HR_Data[[#This Row],[JobSatisfaction]]&lt;=2,1,0)</f>
        <v>0</v>
      </c>
      <c r="AM500">
        <f>IF(tbl_HR_Data[[#This Row],[MonthlyIncome]]&lt;$AT$2,1,0)</f>
        <v>1</v>
      </c>
      <c r="AN500">
        <f>IF(tbl_HR_Data[[#This Row],[Travel_Code]]=2,1,0)</f>
        <v>0</v>
      </c>
      <c r="AO500">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500" s="15">
        <f>tbl_HR_Data[[#This Row],[Risk_Score_Raw]] / SUM(Logic_Parameters!$B$2:$B$6)</f>
        <v>0.22374939857982484</v>
      </c>
      <c r="AQ500" s="16" t="str" cm="1">
        <f t="array" ref="AQ500">_xlfn.IFS(tbl_HR_Data[[#This Row],[Attrition_Risk_Percentage]] &gt;= 0.75, "Critical",tbl_HR_Data[ [#This Row],[Attrition_Risk_Percentage] ]&gt;= 0.5, "High",tbl_HR_Data[[#This Row],[Attrition_Risk_Percentage]] &gt;= 0.25, "Medium",TRUE, "Low")</f>
        <v>Low</v>
      </c>
      <c r="AR500" s="16" cm="1">
        <f t="array" ref="AR500">IFERROR(_xlfn.IFS(tbl_HR_Data[[#This Row],[Risk_Category]]="Critical",tbl_HR_Data[[#This Row],[MonthlyIncome]]*1.5,tbl_HR_Data[[#This Row],[Risk_Category]]="High",tbl_HR_Data[[#This Row],[MonthlyIncome]]*1.5),0)</f>
        <v>0</v>
      </c>
    </row>
    <row r="501" spans="1:44" x14ac:dyDescent="0.35">
      <c r="A501" t="s">
        <v>1105</v>
      </c>
      <c r="B501">
        <v>33</v>
      </c>
      <c r="C501" t="s">
        <v>31</v>
      </c>
      <c r="D501">
        <v>1216</v>
      </c>
      <c r="E501" t="s">
        <v>32</v>
      </c>
      <c r="F501">
        <v>8</v>
      </c>
      <c r="G501">
        <v>4</v>
      </c>
      <c r="H501" t="s">
        <v>51</v>
      </c>
      <c r="I501">
        <v>3</v>
      </c>
      <c r="J501" t="s">
        <v>39</v>
      </c>
      <c r="K501">
        <v>39</v>
      </c>
      <c r="L501">
        <v>3</v>
      </c>
      <c r="M501">
        <v>2</v>
      </c>
      <c r="N501" t="s">
        <v>35</v>
      </c>
      <c r="O501">
        <v>3</v>
      </c>
      <c r="P501" t="s">
        <v>45</v>
      </c>
      <c r="Q501">
        <v>7104</v>
      </c>
      <c r="R501">
        <v>20431</v>
      </c>
      <c r="S501">
        <v>0</v>
      </c>
      <c r="T501">
        <v>0</v>
      </c>
      <c r="U501" s="17">
        <v>0.12</v>
      </c>
      <c r="V501">
        <v>3</v>
      </c>
      <c r="W501">
        <v>4</v>
      </c>
      <c r="X501">
        <v>0</v>
      </c>
      <c r="Y501">
        <v>6</v>
      </c>
      <c r="Z501">
        <v>3</v>
      </c>
      <c r="AA501">
        <v>3</v>
      </c>
      <c r="AB501">
        <v>5</v>
      </c>
      <c r="AC501">
        <v>0</v>
      </c>
      <c r="AD501">
        <v>1</v>
      </c>
      <c r="AE501">
        <v>2</v>
      </c>
      <c r="AF501">
        <v>0</v>
      </c>
      <c r="AG501">
        <f>IF(tbl_HR_Data[[#This Row],[Gender]]="Male",1,0)</f>
        <v>1</v>
      </c>
      <c r="AH501" cm="1">
        <f t="array" ref="AH501">_xlfn.SWITCH(tbl_HR_Data[[#This Row],[BusinessTravel]], "Non-Travel", 0, "Travel_Rarely", 1, "Travel_Frequently", 2)</f>
        <v>1</v>
      </c>
      <c r="AI501" cm="1">
        <f t="array" ref="AI501">_xlfn.SWITCH(tbl_HR_Data[[#This Row],[MaritalStatus]],"Single",0,"Married",1,"Divorced",2)</f>
        <v>2</v>
      </c>
      <c r="AJ501">
        <f>IF(tbl_HR_Data[[#This Row],[OverTime]]=1,1,0)</f>
        <v>0</v>
      </c>
      <c r="AK501">
        <f>IF(tbl_HR_Data[[#This Row],[DistanceFromHome]]&gt;15,1,0)</f>
        <v>0</v>
      </c>
      <c r="AL501">
        <f>IF(tbl_HR_Data[[#This Row],[JobSatisfaction]]&lt;=2,1,0)</f>
        <v>0</v>
      </c>
      <c r="AM501">
        <f>IF(tbl_HR_Data[[#This Row],[MonthlyIncome]]&lt;$AT$2,1,0)</f>
        <v>0</v>
      </c>
      <c r="AN501">
        <f>IF(tbl_HR_Data[[#This Row],[Travel_Code]]=2,1,0)</f>
        <v>0</v>
      </c>
      <c r="AO501">
        <f>(tbl_HR_Data[[#This Row],[Flag_OT]] * Logic_Parameters!$B$2) +
 (tbl_HR_Data[[#This Row],[Flag_Travel]] * Logic_Parameters!$B$3) +
 (tbl_HR_Data[[#This Row],[Flag_Satisfaction]] * Logic_Parameters!$B$4) +
 (tbl_HR_Data[[#This Row],[Flag_Distance]]* Logic_Parameters!$B$5) +
 (tbl_HR_Data[[#This Row],[Flag_Income]] * Logic_Parameters!$B$6)</f>
        <v>0</v>
      </c>
      <c r="AP501" s="15">
        <f>tbl_HR_Data[[#This Row],[Risk_Score_Raw]] / SUM(Logic_Parameters!$B$2:$B$6)</f>
        <v>0</v>
      </c>
      <c r="AQ501" s="16" t="str" cm="1">
        <f t="array" ref="AQ501">_xlfn.IFS(tbl_HR_Data[[#This Row],[Attrition_Risk_Percentage]] &gt;= 0.75, "Critical",tbl_HR_Data[ [#This Row],[Attrition_Risk_Percentage] ]&gt;= 0.5, "High",tbl_HR_Data[[#This Row],[Attrition_Risk_Percentage]] &gt;= 0.25, "Medium",TRUE, "Low")</f>
        <v>Low</v>
      </c>
      <c r="AR501" s="16" cm="1">
        <f t="array" ref="AR501">IFERROR(_xlfn.IFS(tbl_HR_Data[[#This Row],[Risk_Category]]="Critical",tbl_HR_Data[[#This Row],[MonthlyIncome]]*1.5,tbl_HR_Data[[#This Row],[Risk_Category]]="High",tbl_HR_Data[[#This Row],[MonthlyIncome]]*1.5),0)</f>
        <v>0</v>
      </c>
    </row>
    <row r="502" spans="1:44" x14ac:dyDescent="0.35">
      <c r="A502" t="s">
        <v>1031</v>
      </c>
      <c r="B502">
        <v>32</v>
      </c>
      <c r="C502" t="s">
        <v>31</v>
      </c>
      <c r="D502">
        <v>646</v>
      </c>
      <c r="E502" t="s">
        <v>38</v>
      </c>
      <c r="F502">
        <v>9</v>
      </c>
      <c r="G502">
        <v>4</v>
      </c>
      <c r="H502" t="s">
        <v>33</v>
      </c>
      <c r="I502">
        <v>1</v>
      </c>
      <c r="J502" t="s">
        <v>34</v>
      </c>
      <c r="K502">
        <v>92</v>
      </c>
      <c r="L502">
        <v>3</v>
      </c>
      <c r="M502">
        <v>2</v>
      </c>
      <c r="N502" t="s">
        <v>40</v>
      </c>
      <c r="O502">
        <v>4</v>
      </c>
      <c r="P502" t="s">
        <v>41</v>
      </c>
      <c r="Q502">
        <v>6322</v>
      </c>
      <c r="R502">
        <v>18089</v>
      </c>
      <c r="S502">
        <v>1</v>
      </c>
      <c r="T502">
        <v>1</v>
      </c>
      <c r="U502" s="17">
        <v>0.12</v>
      </c>
      <c r="V502">
        <v>3</v>
      </c>
      <c r="W502">
        <v>4</v>
      </c>
      <c r="X502">
        <v>1</v>
      </c>
      <c r="Y502">
        <v>6</v>
      </c>
      <c r="Z502">
        <v>2</v>
      </c>
      <c r="AA502">
        <v>2</v>
      </c>
      <c r="AB502">
        <v>6</v>
      </c>
      <c r="AC502">
        <v>4</v>
      </c>
      <c r="AD502">
        <v>0</v>
      </c>
      <c r="AE502">
        <v>5</v>
      </c>
      <c r="AF502">
        <v>0</v>
      </c>
      <c r="AG502">
        <f>IF(tbl_HR_Data[[#This Row],[Gender]]="Male",1,0)</f>
        <v>0</v>
      </c>
      <c r="AH502" cm="1">
        <f t="array" ref="AH502">_xlfn.SWITCH(tbl_HR_Data[[#This Row],[BusinessTravel]], "Non-Travel", 0, "Travel_Rarely", 1, "Travel_Frequently", 2)</f>
        <v>1</v>
      </c>
      <c r="AI502" cm="1">
        <f t="array" ref="AI502">_xlfn.SWITCH(tbl_HR_Data[[#This Row],[MaritalStatus]],"Single",0,"Married",1,"Divorced",2)</f>
        <v>1</v>
      </c>
      <c r="AJ502">
        <f>IF(tbl_HR_Data[[#This Row],[OverTime]]=1,1,0)</f>
        <v>1</v>
      </c>
      <c r="AK502">
        <f>IF(tbl_HR_Data[[#This Row],[DistanceFromHome]]&gt;15,1,0)</f>
        <v>0</v>
      </c>
      <c r="AL502">
        <f>IF(tbl_HR_Data[[#This Row],[JobSatisfaction]]&lt;=2,1,0)</f>
        <v>0</v>
      </c>
      <c r="AM502">
        <f>IF(tbl_HR_Data[[#This Row],[MonthlyIncome]]&lt;$AT$2,1,0)</f>
        <v>0</v>
      </c>
      <c r="AN502">
        <f>IF(tbl_HR_Data[[#This Row],[Travel_Code]]=2,1,0)</f>
        <v>0</v>
      </c>
      <c r="AO502">
        <f>(tbl_HR_Data[[#This Row],[Flag_OT]] * Logic_Parameters!$B$2) +
 (tbl_HR_Data[[#This Row],[Flag_Travel]] * Logic_Parameters!$B$3) +
 (tbl_HR_Data[[#This Row],[Flag_Satisfaction]] * Logic_Parameters!$B$4) +
 (tbl_HR_Data[[#This Row],[Flag_Distance]]* Logic_Parameters!$B$5) +
 (tbl_HR_Data[[#This Row],[Flag_Income]] * Logic_Parameters!$B$6)</f>
        <v>10</v>
      </c>
      <c r="AP502" s="15">
        <f>tbl_HR_Data[[#This Row],[Risk_Score_Raw]] / SUM(Logic_Parameters!$B$2:$B$6)</f>
        <v>0.3445251318258073</v>
      </c>
      <c r="AQ502" s="16" t="str" cm="1">
        <f t="array" ref="AQ502">_xlfn.IFS(tbl_HR_Data[[#This Row],[Attrition_Risk_Percentage]] &gt;= 0.75, "Critical",tbl_HR_Data[ [#This Row],[Attrition_Risk_Percentage] ]&gt;= 0.5, "High",tbl_HR_Data[[#This Row],[Attrition_Risk_Percentage]] &gt;= 0.25, "Medium",TRUE, "Low")</f>
        <v>Medium</v>
      </c>
      <c r="AR502" s="16" cm="1">
        <f t="array" ref="AR502">IFERROR(_xlfn.IFS(tbl_HR_Data[[#This Row],[Risk_Category]]="Critical",tbl_HR_Data[[#This Row],[MonthlyIncome]]*1.5,tbl_HR_Data[[#This Row],[Risk_Category]]="High",tbl_HR_Data[[#This Row],[MonthlyIncome]]*1.5),0)</f>
        <v>0</v>
      </c>
    </row>
    <row r="503" spans="1:44" x14ac:dyDescent="0.35">
      <c r="A503" t="s">
        <v>386</v>
      </c>
      <c r="B503">
        <v>30</v>
      </c>
      <c r="C503" t="s">
        <v>37</v>
      </c>
      <c r="D503">
        <v>160</v>
      </c>
      <c r="E503" t="s">
        <v>38</v>
      </c>
      <c r="F503">
        <v>3</v>
      </c>
      <c r="G503">
        <v>3</v>
      </c>
      <c r="H503" t="s">
        <v>44</v>
      </c>
      <c r="I503">
        <v>3</v>
      </c>
      <c r="J503" t="s">
        <v>34</v>
      </c>
      <c r="K503">
        <v>71</v>
      </c>
      <c r="L503">
        <v>3</v>
      </c>
      <c r="M503">
        <v>1</v>
      </c>
      <c r="N503" t="s">
        <v>40</v>
      </c>
      <c r="O503">
        <v>3</v>
      </c>
      <c r="P503" t="s">
        <v>45</v>
      </c>
      <c r="Q503">
        <v>2083</v>
      </c>
      <c r="R503">
        <v>22653</v>
      </c>
      <c r="S503">
        <v>1</v>
      </c>
      <c r="T503">
        <v>0</v>
      </c>
      <c r="U503" s="17">
        <v>0.2</v>
      </c>
      <c r="V503">
        <v>4</v>
      </c>
      <c r="W503">
        <v>3</v>
      </c>
      <c r="X503">
        <v>1</v>
      </c>
      <c r="Y503">
        <v>1</v>
      </c>
      <c r="Z503">
        <v>2</v>
      </c>
      <c r="AA503">
        <v>3</v>
      </c>
      <c r="AB503">
        <v>1</v>
      </c>
      <c r="AC503">
        <v>0</v>
      </c>
      <c r="AD503">
        <v>0</v>
      </c>
      <c r="AE503">
        <v>0</v>
      </c>
      <c r="AF503">
        <v>0</v>
      </c>
      <c r="AG503">
        <f>IF(tbl_HR_Data[[#This Row],[Gender]]="Male",1,0)</f>
        <v>0</v>
      </c>
      <c r="AH503" cm="1">
        <f t="array" ref="AH503">_xlfn.SWITCH(tbl_HR_Data[[#This Row],[BusinessTravel]], "Non-Travel", 0, "Travel_Rarely", 1, "Travel_Frequently", 2)</f>
        <v>2</v>
      </c>
      <c r="AI503" cm="1">
        <f t="array" ref="AI503">_xlfn.SWITCH(tbl_HR_Data[[#This Row],[MaritalStatus]],"Single",0,"Married",1,"Divorced",2)</f>
        <v>2</v>
      </c>
      <c r="AJ503">
        <f>IF(tbl_HR_Data[[#This Row],[OverTime]]=1,1,0)</f>
        <v>0</v>
      </c>
      <c r="AK503">
        <f>IF(tbl_HR_Data[[#This Row],[DistanceFromHome]]&gt;15,1,0)</f>
        <v>0</v>
      </c>
      <c r="AL503">
        <f>IF(tbl_HR_Data[[#This Row],[JobSatisfaction]]&lt;=2,1,0)</f>
        <v>0</v>
      </c>
      <c r="AM503">
        <f>IF(tbl_HR_Data[[#This Row],[MonthlyIncome]]&lt;$AT$2,1,0)</f>
        <v>1</v>
      </c>
      <c r="AN503">
        <f>IF(tbl_HR_Data[[#This Row],[Travel_Code]]=2,1,0)</f>
        <v>1</v>
      </c>
      <c r="AO503">
        <f>(tbl_HR_Data[[#This Row],[Flag_OT]] * Logic_Parameters!$B$2) +
 (tbl_HR_Data[[#This Row],[Flag_Travel]] * Logic_Parameters!$B$3) +
 (tbl_HR_Data[[#This Row],[Flag_Satisfaction]] * Logic_Parameters!$B$4) +
 (tbl_HR_Data[[#This Row],[Flag_Distance]]* Logic_Parameters!$B$5) +
 (tbl_HR_Data[[#This Row],[Flag_Income]] * Logic_Parameters!$B$6)</f>
        <v>11.654818917911005</v>
      </c>
      <c r="AP503" s="15">
        <f>tbl_HR_Data[[#This Row],[Risk_Score_Raw]] / SUM(Logic_Parameters!$B$2:$B$6)</f>
        <v>0.40153780240992015</v>
      </c>
      <c r="AQ503" s="16" t="str" cm="1">
        <f t="array" ref="AQ503">_xlfn.IFS(tbl_HR_Data[[#This Row],[Attrition_Risk_Percentage]] &gt;= 0.75, "Critical",tbl_HR_Data[ [#This Row],[Attrition_Risk_Percentage] ]&gt;= 0.5, "High",tbl_HR_Data[[#This Row],[Attrition_Risk_Percentage]] &gt;= 0.25, "Medium",TRUE, "Low")</f>
        <v>Medium</v>
      </c>
      <c r="AR503" s="16" cm="1">
        <f t="array" ref="AR503">IFERROR(_xlfn.IFS(tbl_HR_Data[[#This Row],[Risk_Category]]="Critical",tbl_HR_Data[[#This Row],[MonthlyIncome]]*1.5,tbl_HR_Data[[#This Row],[Risk_Category]]="High",tbl_HR_Data[[#This Row],[MonthlyIncome]]*1.5),0)</f>
        <v>0</v>
      </c>
    </row>
    <row r="504" spans="1:44" x14ac:dyDescent="0.35">
      <c r="A504" t="s">
        <v>282</v>
      </c>
      <c r="B504">
        <v>53</v>
      </c>
      <c r="C504" t="s">
        <v>31</v>
      </c>
      <c r="D504">
        <v>238</v>
      </c>
      <c r="E504" t="s">
        <v>32</v>
      </c>
      <c r="F504">
        <v>1</v>
      </c>
      <c r="G504">
        <v>1</v>
      </c>
      <c r="H504" t="s">
        <v>44</v>
      </c>
      <c r="I504">
        <v>4</v>
      </c>
      <c r="J504" t="s">
        <v>34</v>
      </c>
      <c r="K504">
        <v>34</v>
      </c>
      <c r="L504">
        <v>3</v>
      </c>
      <c r="M504">
        <v>2</v>
      </c>
      <c r="N504" t="s">
        <v>35</v>
      </c>
      <c r="O504">
        <v>1</v>
      </c>
      <c r="P504" t="s">
        <v>36</v>
      </c>
      <c r="Q504">
        <v>8381</v>
      </c>
      <c r="R504">
        <v>7507</v>
      </c>
      <c r="S504">
        <v>7</v>
      </c>
      <c r="T504">
        <v>0</v>
      </c>
      <c r="U504" s="17">
        <v>0.2</v>
      </c>
      <c r="V504">
        <v>4</v>
      </c>
      <c r="W504">
        <v>4</v>
      </c>
      <c r="X504">
        <v>0</v>
      </c>
      <c r="Y504">
        <v>18</v>
      </c>
      <c r="Z504">
        <v>2</v>
      </c>
      <c r="AA504">
        <v>4</v>
      </c>
      <c r="AB504">
        <v>14</v>
      </c>
      <c r="AC504">
        <v>7</v>
      </c>
      <c r="AD504">
        <v>8</v>
      </c>
      <c r="AE504">
        <v>10</v>
      </c>
      <c r="AF504">
        <v>0</v>
      </c>
      <c r="AG504">
        <f>IF(tbl_HR_Data[[#This Row],[Gender]]="Male",1,0)</f>
        <v>0</v>
      </c>
      <c r="AH504" cm="1">
        <f t="array" ref="AH504">_xlfn.SWITCH(tbl_HR_Data[[#This Row],[BusinessTravel]], "Non-Travel", 0, "Travel_Rarely", 1, "Travel_Frequently", 2)</f>
        <v>1</v>
      </c>
      <c r="AI504" cm="1">
        <f t="array" ref="AI504">_xlfn.SWITCH(tbl_HR_Data[[#This Row],[MaritalStatus]],"Single",0,"Married",1,"Divorced",2)</f>
        <v>0</v>
      </c>
      <c r="AJ504">
        <f>IF(tbl_HR_Data[[#This Row],[OverTime]]=1,1,0)</f>
        <v>0</v>
      </c>
      <c r="AK504">
        <f>IF(tbl_HR_Data[[#This Row],[DistanceFromHome]]&gt;15,1,0)</f>
        <v>0</v>
      </c>
      <c r="AL504">
        <f>IF(tbl_HR_Data[[#This Row],[JobSatisfaction]]&lt;=2,1,0)</f>
        <v>1</v>
      </c>
      <c r="AM504">
        <f>IF(tbl_HR_Data[[#This Row],[MonthlyIncome]]&lt;$AT$2,1,0)</f>
        <v>0</v>
      </c>
      <c r="AN504">
        <f>IF(tbl_HR_Data[[#This Row],[Travel_Code]]=2,1,0)</f>
        <v>0</v>
      </c>
      <c r="AO504">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504" s="15">
        <f>tbl_HR_Data[[#This Row],[Risk_Score_Raw]] / SUM(Logic_Parameters!$B$2:$B$6)</f>
        <v>0.14485673308716898</v>
      </c>
      <c r="AQ504" s="16" t="str" cm="1">
        <f t="array" ref="AQ504">_xlfn.IFS(tbl_HR_Data[[#This Row],[Attrition_Risk_Percentage]] &gt;= 0.75, "Critical",tbl_HR_Data[ [#This Row],[Attrition_Risk_Percentage] ]&gt;= 0.5, "High",tbl_HR_Data[[#This Row],[Attrition_Risk_Percentage]] &gt;= 0.25, "Medium",TRUE, "Low")</f>
        <v>Low</v>
      </c>
      <c r="AR504" s="16" cm="1">
        <f t="array" ref="AR504">IFERROR(_xlfn.IFS(tbl_HR_Data[[#This Row],[Risk_Category]]="Critical",tbl_HR_Data[[#This Row],[MonthlyIncome]]*1.5,tbl_HR_Data[[#This Row],[Risk_Category]]="High",tbl_HR_Data[[#This Row],[MonthlyIncome]]*1.5),0)</f>
        <v>0</v>
      </c>
    </row>
    <row r="505" spans="1:44" x14ac:dyDescent="0.35">
      <c r="A505" t="s">
        <v>662</v>
      </c>
      <c r="B505">
        <v>34</v>
      </c>
      <c r="C505" t="s">
        <v>31</v>
      </c>
      <c r="D505">
        <v>1397</v>
      </c>
      <c r="E505" t="s">
        <v>38</v>
      </c>
      <c r="F505">
        <v>1</v>
      </c>
      <c r="G505">
        <v>5</v>
      </c>
      <c r="H505" t="s">
        <v>33</v>
      </c>
      <c r="I505">
        <v>2</v>
      </c>
      <c r="J505" t="s">
        <v>39</v>
      </c>
      <c r="K505">
        <v>42</v>
      </c>
      <c r="L505">
        <v>3</v>
      </c>
      <c r="M505">
        <v>1</v>
      </c>
      <c r="N505" t="s">
        <v>40</v>
      </c>
      <c r="O505">
        <v>4</v>
      </c>
      <c r="P505" t="s">
        <v>41</v>
      </c>
      <c r="Q505">
        <v>2691</v>
      </c>
      <c r="R505">
        <v>7660</v>
      </c>
      <c r="S505">
        <v>1</v>
      </c>
      <c r="T505">
        <v>0</v>
      </c>
      <c r="U505" s="17">
        <v>0.12</v>
      </c>
      <c r="V505">
        <v>3</v>
      </c>
      <c r="W505">
        <v>4</v>
      </c>
      <c r="X505">
        <v>1</v>
      </c>
      <c r="Y505">
        <v>10</v>
      </c>
      <c r="Z505">
        <v>4</v>
      </c>
      <c r="AA505">
        <v>2</v>
      </c>
      <c r="AB505">
        <v>10</v>
      </c>
      <c r="AC505">
        <v>9</v>
      </c>
      <c r="AD505">
        <v>8</v>
      </c>
      <c r="AE505">
        <v>8</v>
      </c>
      <c r="AF505">
        <v>0</v>
      </c>
      <c r="AG505">
        <f>IF(tbl_HR_Data[[#This Row],[Gender]]="Male",1,0)</f>
        <v>1</v>
      </c>
      <c r="AH505" cm="1">
        <f t="array" ref="AH505">_xlfn.SWITCH(tbl_HR_Data[[#This Row],[BusinessTravel]], "Non-Travel", 0, "Travel_Rarely", 1, "Travel_Frequently", 2)</f>
        <v>1</v>
      </c>
      <c r="AI505" cm="1">
        <f t="array" ref="AI505">_xlfn.SWITCH(tbl_HR_Data[[#This Row],[MaritalStatus]],"Single",0,"Married",1,"Divorced",2)</f>
        <v>1</v>
      </c>
      <c r="AJ505">
        <f>IF(tbl_HR_Data[[#This Row],[OverTime]]=1,1,0)</f>
        <v>0</v>
      </c>
      <c r="AK505">
        <f>IF(tbl_HR_Data[[#This Row],[DistanceFromHome]]&gt;15,1,0)</f>
        <v>0</v>
      </c>
      <c r="AL505">
        <f>IF(tbl_HR_Data[[#This Row],[JobSatisfaction]]&lt;=2,1,0)</f>
        <v>0</v>
      </c>
      <c r="AM505">
        <f>IF(tbl_HR_Data[[#This Row],[MonthlyIncome]]&lt;$AT$2,1,0)</f>
        <v>1</v>
      </c>
      <c r="AN505">
        <f>IF(tbl_HR_Data[[#This Row],[Travel_Code]]=2,1,0)</f>
        <v>0</v>
      </c>
      <c r="AO505">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505" s="15">
        <f>tbl_HR_Data[[#This Row],[Risk_Score_Raw]] / SUM(Logic_Parameters!$B$2:$B$6)</f>
        <v>0.22374939857982484</v>
      </c>
      <c r="AQ505" s="16" t="str" cm="1">
        <f t="array" ref="AQ505">_xlfn.IFS(tbl_HR_Data[[#This Row],[Attrition_Risk_Percentage]] &gt;= 0.75, "Critical",tbl_HR_Data[ [#This Row],[Attrition_Risk_Percentage] ]&gt;= 0.5, "High",tbl_HR_Data[[#This Row],[Attrition_Risk_Percentage]] &gt;= 0.25, "Medium",TRUE, "Low")</f>
        <v>Low</v>
      </c>
      <c r="AR505" s="16" cm="1">
        <f t="array" ref="AR505">IFERROR(_xlfn.IFS(tbl_HR_Data[[#This Row],[Risk_Category]]="Critical",tbl_HR_Data[[#This Row],[MonthlyIncome]]*1.5,tbl_HR_Data[[#This Row],[Risk_Category]]="High",tbl_HR_Data[[#This Row],[MonthlyIncome]]*1.5),0)</f>
        <v>0</v>
      </c>
    </row>
    <row r="506" spans="1:44" x14ac:dyDescent="0.35">
      <c r="A506" t="s">
        <v>982</v>
      </c>
      <c r="B506">
        <v>45</v>
      </c>
      <c r="C506" t="s">
        <v>37</v>
      </c>
      <c r="D506">
        <v>306</v>
      </c>
      <c r="E506" t="s">
        <v>32</v>
      </c>
      <c r="F506">
        <v>26</v>
      </c>
      <c r="G506">
        <v>4</v>
      </c>
      <c r="H506" t="s">
        <v>33</v>
      </c>
      <c r="I506">
        <v>1</v>
      </c>
      <c r="J506" t="s">
        <v>34</v>
      </c>
      <c r="K506">
        <v>100</v>
      </c>
      <c r="L506">
        <v>3</v>
      </c>
      <c r="M506">
        <v>2</v>
      </c>
      <c r="N506" t="s">
        <v>35</v>
      </c>
      <c r="O506">
        <v>1</v>
      </c>
      <c r="P506" t="s">
        <v>41</v>
      </c>
      <c r="Q506">
        <v>4286</v>
      </c>
      <c r="R506">
        <v>5630</v>
      </c>
      <c r="S506">
        <v>2</v>
      </c>
      <c r="T506">
        <v>0</v>
      </c>
      <c r="U506" s="17">
        <v>0.14000000000000001</v>
      </c>
      <c r="V506">
        <v>3</v>
      </c>
      <c r="W506">
        <v>4</v>
      </c>
      <c r="X506">
        <v>2</v>
      </c>
      <c r="Y506">
        <v>5</v>
      </c>
      <c r="Z506">
        <v>4</v>
      </c>
      <c r="AA506">
        <v>3</v>
      </c>
      <c r="AB506">
        <v>1</v>
      </c>
      <c r="AC506">
        <v>1</v>
      </c>
      <c r="AD506">
        <v>0</v>
      </c>
      <c r="AE506">
        <v>0</v>
      </c>
      <c r="AF506">
        <v>1</v>
      </c>
      <c r="AG506">
        <f>IF(tbl_HR_Data[[#This Row],[Gender]]="Male",1,0)</f>
        <v>0</v>
      </c>
      <c r="AH506" cm="1">
        <f t="array" ref="AH506">_xlfn.SWITCH(tbl_HR_Data[[#This Row],[BusinessTravel]], "Non-Travel", 0, "Travel_Rarely", 1, "Travel_Frequently", 2)</f>
        <v>2</v>
      </c>
      <c r="AI506" cm="1">
        <f t="array" ref="AI506">_xlfn.SWITCH(tbl_HR_Data[[#This Row],[MaritalStatus]],"Single",0,"Married",1,"Divorced",2)</f>
        <v>1</v>
      </c>
      <c r="AJ506">
        <f>IF(tbl_HR_Data[[#This Row],[OverTime]]=1,1,0)</f>
        <v>0</v>
      </c>
      <c r="AK506">
        <f>IF(tbl_HR_Data[[#This Row],[DistanceFromHome]]&gt;15,1,0)</f>
        <v>1</v>
      </c>
      <c r="AL506">
        <f>IF(tbl_HR_Data[[#This Row],[JobSatisfaction]]&lt;=2,1,0)</f>
        <v>1</v>
      </c>
      <c r="AM506">
        <f>IF(tbl_HR_Data[[#This Row],[MonthlyIncome]]&lt;$AT$2,1,0)</f>
        <v>1</v>
      </c>
      <c r="AN506">
        <f>IF(tbl_HR_Data[[#This Row],[Travel_Code]]=2,1,0)</f>
        <v>1</v>
      </c>
      <c r="AO506">
        <f>(tbl_HR_Data[[#This Row],[Flag_OT]] * Logic_Parameters!$B$2) +
 (tbl_HR_Data[[#This Row],[Flag_Travel]] * Logic_Parameters!$B$3) +
 (tbl_HR_Data[[#This Row],[Flag_Satisfaction]] * Logic_Parameters!$B$4) +
 (tbl_HR_Data[[#This Row],[Flag_Distance]]* Logic_Parameters!$B$5) +
 (tbl_HR_Data[[#This Row],[Flag_Income]] * Logic_Parameters!$B$6)</f>
        <v>19.025458743764514</v>
      </c>
      <c r="AP506" s="15">
        <f>tbl_HR_Data[[#This Row],[Risk_Score_Raw]] / SUM(Logic_Parameters!$B$2:$B$6)</f>
        <v>0.65547486817419276</v>
      </c>
      <c r="AQ506" s="16" t="str" cm="1">
        <f t="array" ref="AQ506">_xlfn.IFS(tbl_HR_Data[[#This Row],[Attrition_Risk_Percentage]] &gt;= 0.75, "Critical",tbl_HR_Data[ [#This Row],[Attrition_Risk_Percentage] ]&gt;= 0.5, "High",tbl_HR_Data[[#This Row],[Attrition_Risk_Percentage]] &gt;= 0.25, "Medium",TRUE, "Low")</f>
        <v>High</v>
      </c>
      <c r="AR506" s="16" cm="1">
        <f t="array" ref="AR506">IFERROR(_xlfn.IFS(tbl_HR_Data[[#This Row],[Risk_Category]]="Critical",tbl_HR_Data[[#This Row],[MonthlyIncome]]*1.5,tbl_HR_Data[[#This Row],[Risk_Category]]="High",tbl_HR_Data[[#This Row],[MonthlyIncome]]*1.5),0)</f>
        <v>6429</v>
      </c>
    </row>
    <row r="507" spans="1:44" x14ac:dyDescent="0.35">
      <c r="A507" t="s">
        <v>114</v>
      </c>
      <c r="B507">
        <v>26</v>
      </c>
      <c r="C507" t="s">
        <v>31</v>
      </c>
      <c r="D507">
        <v>991</v>
      </c>
      <c r="E507" t="s">
        <v>38</v>
      </c>
      <c r="F507">
        <v>6</v>
      </c>
      <c r="G507">
        <v>3</v>
      </c>
      <c r="H507" t="s">
        <v>33</v>
      </c>
      <c r="I507">
        <v>3</v>
      </c>
      <c r="J507" t="s">
        <v>34</v>
      </c>
      <c r="K507">
        <v>71</v>
      </c>
      <c r="L507">
        <v>3</v>
      </c>
      <c r="M507">
        <v>1</v>
      </c>
      <c r="N507" t="s">
        <v>43</v>
      </c>
      <c r="O507">
        <v>4</v>
      </c>
      <c r="P507" t="s">
        <v>41</v>
      </c>
      <c r="Q507">
        <v>2659</v>
      </c>
      <c r="R507">
        <v>17759</v>
      </c>
      <c r="S507">
        <v>1</v>
      </c>
      <c r="T507">
        <v>1</v>
      </c>
      <c r="U507" s="17">
        <v>0.13</v>
      </c>
      <c r="V507">
        <v>3</v>
      </c>
      <c r="W507">
        <v>3</v>
      </c>
      <c r="X507">
        <v>1</v>
      </c>
      <c r="Y507">
        <v>3</v>
      </c>
      <c r="Z507">
        <v>2</v>
      </c>
      <c r="AA507">
        <v>3</v>
      </c>
      <c r="AB507">
        <v>3</v>
      </c>
      <c r="AC507">
        <v>2</v>
      </c>
      <c r="AD507">
        <v>0</v>
      </c>
      <c r="AE507">
        <v>2</v>
      </c>
      <c r="AF507">
        <v>0</v>
      </c>
      <c r="AG507">
        <f>IF(tbl_HR_Data[[#This Row],[Gender]]="Male",1,0)</f>
        <v>0</v>
      </c>
      <c r="AH507" cm="1">
        <f t="array" ref="AH507">_xlfn.SWITCH(tbl_HR_Data[[#This Row],[BusinessTravel]], "Non-Travel", 0, "Travel_Rarely", 1, "Travel_Frequently", 2)</f>
        <v>1</v>
      </c>
      <c r="AI507" cm="1">
        <f t="array" ref="AI507">_xlfn.SWITCH(tbl_HR_Data[[#This Row],[MaritalStatus]],"Single",0,"Married",1,"Divorced",2)</f>
        <v>1</v>
      </c>
      <c r="AJ507">
        <f>IF(tbl_HR_Data[[#This Row],[OverTime]]=1,1,0)</f>
        <v>1</v>
      </c>
      <c r="AK507">
        <f>IF(tbl_HR_Data[[#This Row],[DistanceFromHome]]&gt;15,1,0)</f>
        <v>0</v>
      </c>
      <c r="AL507">
        <f>IF(tbl_HR_Data[[#This Row],[JobSatisfaction]]&lt;=2,1,0)</f>
        <v>0</v>
      </c>
      <c r="AM507">
        <f>IF(tbl_HR_Data[[#This Row],[MonthlyIncome]]&lt;$AT$2,1,0)</f>
        <v>1</v>
      </c>
      <c r="AN507">
        <f>IF(tbl_HR_Data[[#This Row],[Travel_Code]]=2,1,0)</f>
        <v>0</v>
      </c>
      <c r="AO507">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507" s="15">
        <f>tbl_HR_Data[[#This Row],[Risk_Score_Raw]] / SUM(Logic_Parameters!$B$2:$B$6)</f>
        <v>0.56827453040563214</v>
      </c>
      <c r="AQ507" s="16" t="str" cm="1">
        <f t="array" ref="AQ507">_xlfn.IFS(tbl_HR_Data[[#This Row],[Attrition_Risk_Percentage]] &gt;= 0.75, "Critical",tbl_HR_Data[ [#This Row],[Attrition_Risk_Percentage] ]&gt;= 0.5, "High",tbl_HR_Data[[#This Row],[Attrition_Risk_Percentage]] &gt;= 0.25, "Medium",TRUE, "Low")</f>
        <v>High</v>
      </c>
      <c r="AR507" s="16" cm="1">
        <f t="array" ref="AR507">IFERROR(_xlfn.IFS(tbl_HR_Data[[#This Row],[Risk_Category]]="Critical",tbl_HR_Data[[#This Row],[MonthlyIncome]]*1.5,tbl_HR_Data[[#This Row],[Risk_Category]]="High",tbl_HR_Data[[#This Row],[MonthlyIncome]]*1.5),0)</f>
        <v>3988.5</v>
      </c>
    </row>
    <row r="508" spans="1:44" x14ac:dyDescent="0.35">
      <c r="A508" t="s">
        <v>862</v>
      </c>
      <c r="B508">
        <v>37</v>
      </c>
      <c r="C508" t="s">
        <v>31</v>
      </c>
      <c r="D508">
        <v>482</v>
      </c>
      <c r="E508" t="s">
        <v>38</v>
      </c>
      <c r="F508">
        <v>3</v>
      </c>
      <c r="G508">
        <v>3</v>
      </c>
      <c r="H508" t="s">
        <v>42</v>
      </c>
      <c r="I508">
        <v>3</v>
      </c>
      <c r="J508" t="s">
        <v>39</v>
      </c>
      <c r="K508">
        <v>36</v>
      </c>
      <c r="L508">
        <v>3</v>
      </c>
      <c r="M508">
        <v>3</v>
      </c>
      <c r="N508" t="s">
        <v>46</v>
      </c>
      <c r="O508">
        <v>3</v>
      </c>
      <c r="P508" t="s">
        <v>41</v>
      </c>
      <c r="Q508">
        <v>9434</v>
      </c>
      <c r="R508">
        <v>9606</v>
      </c>
      <c r="S508">
        <v>1</v>
      </c>
      <c r="T508">
        <v>0</v>
      </c>
      <c r="U508" s="17">
        <v>0.15</v>
      </c>
      <c r="V508">
        <v>3</v>
      </c>
      <c r="W508">
        <v>3</v>
      </c>
      <c r="X508">
        <v>1</v>
      </c>
      <c r="Y508">
        <v>10</v>
      </c>
      <c r="Z508">
        <v>2</v>
      </c>
      <c r="AA508">
        <v>3</v>
      </c>
      <c r="AB508">
        <v>10</v>
      </c>
      <c r="AC508">
        <v>7</v>
      </c>
      <c r="AD508">
        <v>7</v>
      </c>
      <c r="AE508">
        <v>8</v>
      </c>
      <c r="AF508">
        <v>0</v>
      </c>
      <c r="AG508">
        <f>IF(tbl_HR_Data[[#This Row],[Gender]]="Male",1,0)</f>
        <v>1</v>
      </c>
      <c r="AH508" cm="1">
        <f t="array" ref="AH508">_xlfn.SWITCH(tbl_HR_Data[[#This Row],[BusinessTravel]], "Non-Travel", 0, "Travel_Rarely", 1, "Travel_Frequently", 2)</f>
        <v>1</v>
      </c>
      <c r="AI508" cm="1">
        <f t="array" ref="AI508">_xlfn.SWITCH(tbl_HR_Data[[#This Row],[MaritalStatus]],"Single",0,"Married",1,"Divorced",2)</f>
        <v>1</v>
      </c>
      <c r="AJ508">
        <f>IF(tbl_HR_Data[[#This Row],[OverTime]]=1,1,0)</f>
        <v>0</v>
      </c>
      <c r="AK508">
        <f>IF(tbl_HR_Data[[#This Row],[DistanceFromHome]]&gt;15,1,0)</f>
        <v>0</v>
      </c>
      <c r="AL508">
        <f>IF(tbl_HR_Data[[#This Row],[JobSatisfaction]]&lt;=2,1,0)</f>
        <v>0</v>
      </c>
      <c r="AM508">
        <f>IF(tbl_HR_Data[[#This Row],[MonthlyIncome]]&lt;$AT$2,1,0)</f>
        <v>0</v>
      </c>
      <c r="AN508">
        <f>IF(tbl_HR_Data[[#This Row],[Travel_Code]]=2,1,0)</f>
        <v>0</v>
      </c>
      <c r="AO508">
        <f>(tbl_HR_Data[[#This Row],[Flag_OT]] * Logic_Parameters!$B$2) +
 (tbl_HR_Data[[#This Row],[Flag_Travel]] * Logic_Parameters!$B$3) +
 (tbl_HR_Data[[#This Row],[Flag_Satisfaction]] * Logic_Parameters!$B$4) +
 (tbl_HR_Data[[#This Row],[Flag_Distance]]* Logic_Parameters!$B$5) +
 (tbl_HR_Data[[#This Row],[Flag_Income]] * Logic_Parameters!$B$6)</f>
        <v>0</v>
      </c>
      <c r="AP508" s="15">
        <f>tbl_HR_Data[[#This Row],[Risk_Score_Raw]] / SUM(Logic_Parameters!$B$2:$B$6)</f>
        <v>0</v>
      </c>
      <c r="AQ508" s="16" t="str" cm="1">
        <f t="array" ref="AQ508">_xlfn.IFS(tbl_HR_Data[[#This Row],[Attrition_Risk_Percentage]] &gt;= 0.75, "Critical",tbl_HR_Data[ [#This Row],[Attrition_Risk_Percentage] ]&gt;= 0.5, "High",tbl_HR_Data[[#This Row],[Attrition_Risk_Percentage]] &gt;= 0.25, "Medium",TRUE, "Low")</f>
        <v>Low</v>
      </c>
      <c r="AR508" s="16" cm="1">
        <f t="array" ref="AR508">IFERROR(_xlfn.IFS(tbl_HR_Data[[#This Row],[Risk_Category]]="Critical",tbl_HR_Data[[#This Row],[MonthlyIncome]]*1.5,tbl_HR_Data[[#This Row],[Risk_Category]]="High",tbl_HR_Data[[#This Row],[MonthlyIncome]]*1.5),0)</f>
        <v>0</v>
      </c>
    </row>
    <row r="509" spans="1:44" x14ac:dyDescent="0.35">
      <c r="A509" t="s">
        <v>1361</v>
      </c>
      <c r="B509">
        <v>29</v>
      </c>
      <c r="C509" t="s">
        <v>31</v>
      </c>
      <c r="D509">
        <v>1176</v>
      </c>
      <c r="E509" t="s">
        <v>32</v>
      </c>
      <c r="F509">
        <v>3</v>
      </c>
      <c r="G509">
        <v>2</v>
      </c>
      <c r="H509" t="s">
        <v>44</v>
      </c>
      <c r="I509">
        <v>2</v>
      </c>
      <c r="J509" t="s">
        <v>34</v>
      </c>
      <c r="K509">
        <v>62</v>
      </c>
      <c r="L509">
        <v>3</v>
      </c>
      <c r="M509">
        <v>2</v>
      </c>
      <c r="N509" t="s">
        <v>35</v>
      </c>
      <c r="O509">
        <v>3</v>
      </c>
      <c r="P509" t="s">
        <v>41</v>
      </c>
      <c r="Q509">
        <v>5561</v>
      </c>
      <c r="R509">
        <v>3487</v>
      </c>
      <c r="S509">
        <v>1</v>
      </c>
      <c r="T509">
        <v>0</v>
      </c>
      <c r="U509" s="17">
        <v>0.14000000000000001</v>
      </c>
      <c r="V509">
        <v>3</v>
      </c>
      <c r="W509">
        <v>1</v>
      </c>
      <c r="X509">
        <v>1</v>
      </c>
      <c r="Y509">
        <v>6</v>
      </c>
      <c r="Z509">
        <v>5</v>
      </c>
      <c r="AA509">
        <v>2</v>
      </c>
      <c r="AB509">
        <v>6</v>
      </c>
      <c r="AC509">
        <v>0</v>
      </c>
      <c r="AD509">
        <v>1</v>
      </c>
      <c r="AE509">
        <v>2</v>
      </c>
      <c r="AF509">
        <v>0</v>
      </c>
      <c r="AG509">
        <f>IF(tbl_HR_Data[[#This Row],[Gender]]="Male",1,0)</f>
        <v>0</v>
      </c>
      <c r="AH509" cm="1">
        <f t="array" ref="AH509">_xlfn.SWITCH(tbl_HR_Data[[#This Row],[BusinessTravel]], "Non-Travel", 0, "Travel_Rarely", 1, "Travel_Frequently", 2)</f>
        <v>1</v>
      </c>
      <c r="AI509" cm="1">
        <f t="array" ref="AI509">_xlfn.SWITCH(tbl_HR_Data[[#This Row],[MaritalStatus]],"Single",0,"Married",1,"Divorced",2)</f>
        <v>1</v>
      </c>
      <c r="AJ509">
        <f>IF(tbl_HR_Data[[#This Row],[OverTime]]=1,1,0)</f>
        <v>0</v>
      </c>
      <c r="AK509">
        <f>IF(tbl_HR_Data[[#This Row],[DistanceFromHome]]&gt;15,1,0)</f>
        <v>0</v>
      </c>
      <c r="AL509">
        <f>IF(tbl_HR_Data[[#This Row],[JobSatisfaction]]&lt;=2,1,0)</f>
        <v>0</v>
      </c>
      <c r="AM509">
        <f>IF(tbl_HR_Data[[#This Row],[MonthlyIncome]]&lt;$AT$2,1,0)</f>
        <v>0</v>
      </c>
      <c r="AN509">
        <f>IF(tbl_HR_Data[[#This Row],[Travel_Code]]=2,1,0)</f>
        <v>0</v>
      </c>
      <c r="AO509">
        <f>(tbl_HR_Data[[#This Row],[Flag_OT]] * Logic_Parameters!$B$2) +
 (tbl_HR_Data[[#This Row],[Flag_Travel]] * Logic_Parameters!$B$3) +
 (tbl_HR_Data[[#This Row],[Flag_Satisfaction]] * Logic_Parameters!$B$4) +
 (tbl_HR_Data[[#This Row],[Flag_Distance]]* Logic_Parameters!$B$5) +
 (tbl_HR_Data[[#This Row],[Flag_Income]] * Logic_Parameters!$B$6)</f>
        <v>0</v>
      </c>
      <c r="AP509" s="15">
        <f>tbl_HR_Data[[#This Row],[Risk_Score_Raw]] / SUM(Logic_Parameters!$B$2:$B$6)</f>
        <v>0</v>
      </c>
      <c r="AQ509" s="16" t="str" cm="1">
        <f t="array" ref="AQ509">_xlfn.IFS(tbl_HR_Data[[#This Row],[Attrition_Risk_Percentage]] &gt;= 0.75, "Critical",tbl_HR_Data[ [#This Row],[Attrition_Risk_Percentage] ]&gt;= 0.5, "High",tbl_HR_Data[[#This Row],[Attrition_Risk_Percentage]] &gt;= 0.25, "Medium",TRUE, "Low")</f>
        <v>Low</v>
      </c>
      <c r="AR509" s="16" cm="1">
        <f t="array" ref="AR509">IFERROR(_xlfn.IFS(tbl_HR_Data[[#This Row],[Risk_Category]]="Critical",tbl_HR_Data[[#This Row],[MonthlyIncome]]*1.5,tbl_HR_Data[[#This Row],[Risk_Category]]="High",tbl_HR_Data[[#This Row],[MonthlyIncome]]*1.5),0)</f>
        <v>0</v>
      </c>
    </row>
    <row r="510" spans="1:44" x14ac:dyDescent="0.35">
      <c r="A510" t="s">
        <v>452</v>
      </c>
      <c r="B510">
        <v>35</v>
      </c>
      <c r="C510" t="s">
        <v>31</v>
      </c>
      <c r="D510">
        <v>1017</v>
      </c>
      <c r="E510" t="s">
        <v>38</v>
      </c>
      <c r="F510">
        <v>6</v>
      </c>
      <c r="G510">
        <v>4</v>
      </c>
      <c r="H510" t="s">
        <v>33</v>
      </c>
      <c r="I510">
        <v>2</v>
      </c>
      <c r="J510" t="s">
        <v>39</v>
      </c>
      <c r="K510">
        <v>82</v>
      </c>
      <c r="L510">
        <v>1</v>
      </c>
      <c r="M510">
        <v>2</v>
      </c>
      <c r="N510" t="s">
        <v>40</v>
      </c>
      <c r="O510">
        <v>4</v>
      </c>
      <c r="P510" t="s">
        <v>36</v>
      </c>
      <c r="Q510">
        <v>6646</v>
      </c>
      <c r="R510">
        <v>19368</v>
      </c>
      <c r="S510">
        <v>1</v>
      </c>
      <c r="T510">
        <v>0</v>
      </c>
      <c r="U510" s="17">
        <v>0.13</v>
      </c>
      <c r="V510">
        <v>3</v>
      </c>
      <c r="W510">
        <v>2</v>
      </c>
      <c r="X510">
        <v>0</v>
      </c>
      <c r="Y510">
        <v>17</v>
      </c>
      <c r="Z510">
        <v>3</v>
      </c>
      <c r="AA510">
        <v>3</v>
      </c>
      <c r="AB510">
        <v>17</v>
      </c>
      <c r="AC510">
        <v>11</v>
      </c>
      <c r="AD510">
        <v>11</v>
      </c>
      <c r="AE510">
        <v>8</v>
      </c>
      <c r="AF510">
        <v>0</v>
      </c>
      <c r="AG510">
        <f>IF(tbl_HR_Data[[#This Row],[Gender]]="Male",1,0)</f>
        <v>1</v>
      </c>
      <c r="AH510" cm="1">
        <f t="array" ref="AH510">_xlfn.SWITCH(tbl_HR_Data[[#This Row],[BusinessTravel]], "Non-Travel", 0, "Travel_Rarely", 1, "Travel_Frequently", 2)</f>
        <v>1</v>
      </c>
      <c r="AI510" cm="1">
        <f t="array" ref="AI510">_xlfn.SWITCH(tbl_HR_Data[[#This Row],[MaritalStatus]],"Single",0,"Married",1,"Divorced",2)</f>
        <v>0</v>
      </c>
      <c r="AJ510">
        <f>IF(tbl_HR_Data[[#This Row],[OverTime]]=1,1,0)</f>
        <v>0</v>
      </c>
      <c r="AK510">
        <f>IF(tbl_HR_Data[[#This Row],[DistanceFromHome]]&gt;15,1,0)</f>
        <v>0</v>
      </c>
      <c r="AL510">
        <f>IF(tbl_HR_Data[[#This Row],[JobSatisfaction]]&lt;=2,1,0)</f>
        <v>0</v>
      </c>
      <c r="AM510">
        <f>IF(tbl_HR_Data[[#This Row],[MonthlyIncome]]&lt;$AT$2,1,0)</f>
        <v>0</v>
      </c>
      <c r="AN510">
        <f>IF(tbl_HR_Data[[#This Row],[Travel_Code]]=2,1,0)</f>
        <v>0</v>
      </c>
      <c r="AO510">
        <f>(tbl_HR_Data[[#This Row],[Flag_OT]] * Logic_Parameters!$B$2) +
 (tbl_HR_Data[[#This Row],[Flag_Travel]] * Logic_Parameters!$B$3) +
 (tbl_HR_Data[[#This Row],[Flag_Satisfaction]] * Logic_Parameters!$B$4) +
 (tbl_HR_Data[[#This Row],[Flag_Distance]]* Logic_Parameters!$B$5) +
 (tbl_HR_Data[[#This Row],[Flag_Income]] * Logic_Parameters!$B$6)</f>
        <v>0</v>
      </c>
      <c r="AP510" s="15">
        <f>tbl_HR_Data[[#This Row],[Risk_Score_Raw]] / SUM(Logic_Parameters!$B$2:$B$6)</f>
        <v>0</v>
      </c>
      <c r="AQ510" s="16" t="str" cm="1">
        <f t="array" ref="AQ510">_xlfn.IFS(tbl_HR_Data[[#This Row],[Attrition_Risk_Percentage]] &gt;= 0.75, "Critical",tbl_HR_Data[ [#This Row],[Attrition_Risk_Percentage] ]&gt;= 0.5, "High",tbl_HR_Data[[#This Row],[Attrition_Risk_Percentage]] &gt;= 0.25, "Medium",TRUE, "Low")</f>
        <v>Low</v>
      </c>
      <c r="AR510" s="16" cm="1">
        <f t="array" ref="AR510">IFERROR(_xlfn.IFS(tbl_HR_Data[[#This Row],[Risk_Category]]="Critical",tbl_HR_Data[[#This Row],[MonthlyIncome]]*1.5,tbl_HR_Data[[#This Row],[Risk_Category]]="High",tbl_HR_Data[[#This Row],[MonthlyIncome]]*1.5),0)</f>
        <v>0</v>
      </c>
    </row>
    <row r="511" spans="1:44" x14ac:dyDescent="0.35">
      <c r="A511" t="s">
        <v>506</v>
      </c>
      <c r="B511">
        <v>33</v>
      </c>
      <c r="C511" t="s">
        <v>37</v>
      </c>
      <c r="D511">
        <v>1296</v>
      </c>
      <c r="E511" t="s">
        <v>38</v>
      </c>
      <c r="F511">
        <v>6</v>
      </c>
      <c r="G511">
        <v>3</v>
      </c>
      <c r="H511" t="s">
        <v>33</v>
      </c>
      <c r="I511">
        <v>3</v>
      </c>
      <c r="J511" t="s">
        <v>39</v>
      </c>
      <c r="K511">
        <v>30</v>
      </c>
      <c r="L511">
        <v>3</v>
      </c>
      <c r="M511">
        <v>2</v>
      </c>
      <c r="N511" t="s">
        <v>47</v>
      </c>
      <c r="O511">
        <v>4</v>
      </c>
      <c r="P511" t="s">
        <v>45</v>
      </c>
      <c r="Q511">
        <v>7725</v>
      </c>
      <c r="R511">
        <v>5335</v>
      </c>
      <c r="S511">
        <v>3</v>
      </c>
      <c r="T511">
        <v>0</v>
      </c>
      <c r="U511" s="17">
        <v>0.23</v>
      </c>
      <c r="V511">
        <v>4</v>
      </c>
      <c r="W511">
        <v>3</v>
      </c>
      <c r="X511">
        <v>1</v>
      </c>
      <c r="Y511">
        <v>15</v>
      </c>
      <c r="Z511">
        <v>2</v>
      </c>
      <c r="AA511">
        <v>1</v>
      </c>
      <c r="AB511">
        <v>13</v>
      </c>
      <c r="AC511">
        <v>11</v>
      </c>
      <c r="AD511">
        <v>4</v>
      </c>
      <c r="AE511">
        <v>7</v>
      </c>
      <c r="AF511">
        <v>0</v>
      </c>
      <c r="AG511">
        <f>IF(tbl_HR_Data[[#This Row],[Gender]]="Male",1,0)</f>
        <v>1</v>
      </c>
      <c r="AH511" cm="1">
        <f t="array" ref="AH511">_xlfn.SWITCH(tbl_HR_Data[[#This Row],[BusinessTravel]], "Non-Travel", 0, "Travel_Rarely", 1, "Travel_Frequently", 2)</f>
        <v>2</v>
      </c>
      <c r="AI511" cm="1">
        <f t="array" ref="AI511">_xlfn.SWITCH(tbl_HR_Data[[#This Row],[MaritalStatus]],"Single",0,"Married",1,"Divorced",2)</f>
        <v>2</v>
      </c>
      <c r="AJ511">
        <f>IF(tbl_HR_Data[[#This Row],[OverTime]]=1,1,0)</f>
        <v>0</v>
      </c>
      <c r="AK511">
        <f>IF(tbl_HR_Data[[#This Row],[DistanceFromHome]]&gt;15,1,0)</f>
        <v>0</v>
      </c>
      <c r="AL511">
        <f>IF(tbl_HR_Data[[#This Row],[JobSatisfaction]]&lt;=2,1,0)</f>
        <v>0</v>
      </c>
      <c r="AM511">
        <f>IF(tbl_HR_Data[[#This Row],[MonthlyIncome]]&lt;$AT$2,1,0)</f>
        <v>0</v>
      </c>
      <c r="AN511">
        <f>IF(tbl_HR_Data[[#This Row],[Travel_Code]]=2,1,0)</f>
        <v>1</v>
      </c>
      <c r="AO511">
        <f>(tbl_HR_Data[[#This Row],[Flag_OT]] * Logic_Parameters!$B$2) +
 (tbl_HR_Data[[#This Row],[Flag_Travel]] * Logic_Parameters!$B$3) +
 (tbl_HR_Data[[#This Row],[Flag_Satisfaction]] * Logic_Parameters!$B$4) +
 (tbl_HR_Data[[#This Row],[Flag_Distance]]* Logic_Parameters!$B$5) +
 (tbl_HR_Data[[#This Row],[Flag_Income]] * Logic_Parameters!$B$6)</f>
        <v>5.1603899804901765</v>
      </c>
      <c r="AP511" s="15">
        <f>tbl_HR_Data[[#This Row],[Risk_Score_Raw]] / SUM(Logic_Parameters!$B$2:$B$6)</f>
        <v>0.17778840383009531</v>
      </c>
      <c r="AQ511" s="16" t="str" cm="1">
        <f t="array" ref="AQ511">_xlfn.IFS(tbl_HR_Data[[#This Row],[Attrition_Risk_Percentage]] &gt;= 0.75, "Critical",tbl_HR_Data[ [#This Row],[Attrition_Risk_Percentage] ]&gt;= 0.5, "High",tbl_HR_Data[[#This Row],[Attrition_Risk_Percentage]] &gt;= 0.25, "Medium",TRUE, "Low")</f>
        <v>Low</v>
      </c>
      <c r="AR511" s="16" cm="1">
        <f t="array" ref="AR511">IFERROR(_xlfn.IFS(tbl_HR_Data[[#This Row],[Risk_Category]]="Critical",tbl_HR_Data[[#This Row],[MonthlyIncome]]*1.5,tbl_HR_Data[[#This Row],[Risk_Category]]="High",tbl_HR_Data[[#This Row],[MonthlyIncome]]*1.5),0)</f>
        <v>0</v>
      </c>
    </row>
    <row r="512" spans="1:44" x14ac:dyDescent="0.35">
      <c r="A512" t="s">
        <v>936</v>
      </c>
      <c r="B512">
        <v>54</v>
      </c>
      <c r="C512" t="s">
        <v>31</v>
      </c>
      <c r="D512">
        <v>397</v>
      </c>
      <c r="E512" t="s">
        <v>53</v>
      </c>
      <c r="F512">
        <v>19</v>
      </c>
      <c r="G512">
        <v>4</v>
      </c>
      <c r="H512" t="s">
        <v>44</v>
      </c>
      <c r="I512">
        <v>3</v>
      </c>
      <c r="J512" t="s">
        <v>39</v>
      </c>
      <c r="K512">
        <v>88</v>
      </c>
      <c r="L512">
        <v>3</v>
      </c>
      <c r="M512">
        <v>3</v>
      </c>
      <c r="N512" t="s">
        <v>53</v>
      </c>
      <c r="O512">
        <v>2</v>
      </c>
      <c r="P512" t="s">
        <v>41</v>
      </c>
      <c r="Q512">
        <v>10725</v>
      </c>
      <c r="R512">
        <v>6729</v>
      </c>
      <c r="S512">
        <v>2</v>
      </c>
      <c r="T512">
        <v>0</v>
      </c>
      <c r="U512" s="17">
        <v>0.15</v>
      </c>
      <c r="V512">
        <v>3</v>
      </c>
      <c r="W512">
        <v>3</v>
      </c>
      <c r="X512">
        <v>1</v>
      </c>
      <c r="Y512">
        <v>16</v>
      </c>
      <c r="Z512">
        <v>1</v>
      </c>
      <c r="AA512">
        <v>4</v>
      </c>
      <c r="AB512">
        <v>9</v>
      </c>
      <c r="AC512">
        <v>7</v>
      </c>
      <c r="AD512">
        <v>7</v>
      </c>
      <c r="AE512">
        <v>1</v>
      </c>
      <c r="AF512">
        <v>0</v>
      </c>
      <c r="AG512">
        <f>IF(tbl_HR_Data[[#This Row],[Gender]]="Male",1,0)</f>
        <v>1</v>
      </c>
      <c r="AH512" cm="1">
        <f t="array" ref="AH512">_xlfn.SWITCH(tbl_HR_Data[[#This Row],[BusinessTravel]], "Non-Travel", 0, "Travel_Rarely", 1, "Travel_Frequently", 2)</f>
        <v>1</v>
      </c>
      <c r="AI512" cm="1">
        <f t="array" ref="AI512">_xlfn.SWITCH(tbl_HR_Data[[#This Row],[MaritalStatus]],"Single",0,"Married",1,"Divorced",2)</f>
        <v>1</v>
      </c>
      <c r="AJ512">
        <f>IF(tbl_HR_Data[[#This Row],[OverTime]]=1,1,0)</f>
        <v>0</v>
      </c>
      <c r="AK512">
        <f>IF(tbl_HR_Data[[#This Row],[DistanceFromHome]]&gt;15,1,0)</f>
        <v>1</v>
      </c>
      <c r="AL512">
        <f>IF(tbl_HR_Data[[#This Row],[JobSatisfaction]]&lt;=2,1,0)</f>
        <v>1</v>
      </c>
      <c r="AM512">
        <f>IF(tbl_HR_Data[[#This Row],[MonthlyIncome]]&lt;$AT$2,1,0)</f>
        <v>0</v>
      </c>
      <c r="AN512">
        <f>IF(tbl_HR_Data[[#This Row],[Travel_Code]]=2,1,0)</f>
        <v>0</v>
      </c>
      <c r="AO512">
        <f>(tbl_HR_Data[[#This Row],[Flag_OT]] * Logic_Parameters!$B$2) +
 (tbl_HR_Data[[#This Row],[Flag_Travel]] * Logic_Parameters!$B$3) +
 (tbl_HR_Data[[#This Row],[Flag_Satisfaction]] * Logic_Parameters!$B$4) +
 (tbl_HR_Data[[#This Row],[Flag_Distance]]* Logic_Parameters!$B$5) +
 (tbl_HR_Data[[#This Row],[Flag_Income]] * Logic_Parameters!$B$6)</f>
        <v>7.3706398258535089</v>
      </c>
      <c r="AP512" s="15">
        <f>tbl_HR_Data[[#This Row],[Risk_Score_Raw]] / SUM(Logic_Parameters!$B$2:$B$6)</f>
        <v>0.25393706576427255</v>
      </c>
      <c r="AQ512" s="16" t="str" cm="1">
        <f t="array" ref="AQ512">_xlfn.IFS(tbl_HR_Data[[#This Row],[Attrition_Risk_Percentage]] &gt;= 0.75, "Critical",tbl_HR_Data[ [#This Row],[Attrition_Risk_Percentage] ]&gt;= 0.5, "High",tbl_HR_Data[[#This Row],[Attrition_Risk_Percentage]] &gt;= 0.25, "Medium",TRUE, "Low")</f>
        <v>Medium</v>
      </c>
      <c r="AR512" s="16" cm="1">
        <f t="array" ref="AR512">IFERROR(_xlfn.IFS(tbl_HR_Data[[#This Row],[Risk_Category]]="Critical",tbl_HR_Data[[#This Row],[MonthlyIncome]]*1.5,tbl_HR_Data[[#This Row],[Risk_Category]]="High",tbl_HR_Data[[#This Row],[MonthlyIncome]]*1.5),0)</f>
        <v>0</v>
      </c>
    </row>
    <row r="513" spans="1:44" x14ac:dyDescent="0.35">
      <c r="A513" t="s">
        <v>1440</v>
      </c>
      <c r="B513">
        <v>36</v>
      </c>
      <c r="C513" t="s">
        <v>31</v>
      </c>
      <c r="D513">
        <v>913</v>
      </c>
      <c r="E513" t="s">
        <v>38</v>
      </c>
      <c r="F513">
        <v>9</v>
      </c>
      <c r="G513">
        <v>2</v>
      </c>
      <c r="H513" t="s">
        <v>44</v>
      </c>
      <c r="I513">
        <v>2</v>
      </c>
      <c r="J513" t="s">
        <v>39</v>
      </c>
      <c r="K513">
        <v>48</v>
      </c>
      <c r="L513">
        <v>2</v>
      </c>
      <c r="M513">
        <v>2</v>
      </c>
      <c r="N513" t="s">
        <v>46</v>
      </c>
      <c r="O513">
        <v>2</v>
      </c>
      <c r="P513" t="s">
        <v>45</v>
      </c>
      <c r="Q513">
        <v>8847</v>
      </c>
      <c r="R513">
        <v>13934</v>
      </c>
      <c r="S513">
        <v>2</v>
      </c>
      <c r="T513">
        <v>1</v>
      </c>
      <c r="U513" s="17">
        <v>0.11</v>
      </c>
      <c r="V513">
        <v>3</v>
      </c>
      <c r="W513">
        <v>3</v>
      </c>
      <c r="X513">
        <v>1</v>
      </c>
      <c r="Y513">
        <v>13</v>
      </c>
      <c r="Z513">
        <v>2</v>
      </c>
      <c r="AA513">
        <v>3</v>
      </c>
      <c r="AB513">
        <v>3</v>
      </c>
      <c r="AC513">
        <v>2</v>
      </c>
      <c r="AD513">
        <v>0</v>
      </c>
      <c r="AE513">
        <v>2</v>
      </c>
      <c r="AF513">
        <v>0</v>
      </c>
      <c r="AG513">
        <f>IF(tbl_HR_Data[[#This Row],[Gender]]="Male",1,0)</f>
        <v>1</v>
      </c>
      <c r="AH513" cm="1">
        <f t="array" ref="AH513">_xlfn.SWITCH(tbl_HR_Data[[#This Row],[BusinessTravel]], "Non-Travel", 0, "Travel_Rarely", 1, "Travel_Frequently", 2)</f>
        <v>1</v>
      </c>
      <c r="AI513" cm="1">
        <f t="array" ref="AI513">_xlfn.SWITCH(tbl_HR_Data[[#This Row],[MaritalStatus]],"Single",0,"Married",1,"Divorced",2)</f>
        <v>2</v>
      </c>
      <c r="AJ513">
        <f>IF(tbl_HR_Data[[#This Row],[OverTime]]=1,1,0)</f>
        <v>1</v>
      </c>
      <c r="AK513">
        <f>IF(tbl_HR_Data[[#This Row],[DistanceFromHome]]&gt;15,1,0)</f>
        <v>0</v>
      </c>
      <c r="AL513">
        <f>IF(tbl_HR_Data[[#This Row],[JobSatisfaction]]&lt;=2,1,0)</f>
        <v>1</v>
      </c>
      <c r="AM513">
        <f>IF(tbl_HR_Data[[#This Row],[MonthlyIncome]]&lt;$AT$2,1,0)</f>
        <v>0</v>
      </c>
      <c r="AN513">
        <f>IF(tbl_HR_Data[[#This Row],[Travel_Code]]=2,1,0)</f>
        <v>0</v>
      </c>
      <c r="AO513">
        <f>(tbl_HR_Data[[#This Row],[Flag_OT]] * Logic_Parameters!$B$2) +
 (tbl_HR_Data[[#This Row],[Flag_Travel]] * Logic_Parameters!$B$3) +
 (tbl_HR_Data[[#This Row],[Flag_Satisfaction]] * Logic_Parameters!$B$4) +
 (tbl_HR_Data[[#This Row],[Flag_Distance]]* Logic_Parameters!$B$5) +
 (tbl_HR_Data[[#This Row],[Flag_Income]] * Logic_Parameters!$B$6)</f>
        <v>14.204533129978131</v>
      </c>
      <c r="AP513" s="15">
        <f>tbl_HR_Data[[#This Row],[Risk_Score_Raw]] / SUM(Logic_Parameters!$B$2:$B$6)</f>
        <v>0.48938186491297625</v>
      </c>
      <c r="AQ513" s="16" t="str" cm="1">
        <f t="array" ref="AQ513">_xlfn.IFS(tbl_HR_Data[[#This Row],[Attrition_Risk_Percentage]] &gt;= 0.75, "Critical",tbl_HR_Data[ [#This Row],[Attrition_Risk_Percentage] ]&gt;= 0.5, "High",tbl_HR_Data[[#This Row],[Attrition_Risk_Percentage]] &gt;= 0.25, "Medium",TRUE, "Low")</f>
        <v>Medium</v>
      </c>
      <c r="AR513" s="16" cm="1">
        <f t="array" ref="AR513">IFERROR(_xlfn.IFS(tbl_HR_Data[[#This Row],[Risk_Category]]="Critical",tbl_HR_Data[[#This Row],[MonthlyIncome]]*1.5,tbl_HR_Data[[#This Row],[Risk_Category]]="High",tbl_HR_Data[[#This Row],[MonthlyIncome]]*1.5),0)</f>
        <v>0</v>
      </c>
    </row>
    <row r="514" spans="1:44" x14ac:dyDescent="0.35">
      <c r="A514" t="s">
        <v>90</v>
      </c>
      <c r="B514">
        <v>27</v>
      </c>
      <c r="C514" t="s">
        <v>31</v>
      </c>
      <c r="D514">
        <v>1115</v>
      </c>
      <c r="E514" t="s">
        <v>38</v>
      </c>
      <c r="F514">
        <v>3</v>
      </c>
      <c r="G514">
        <v>4</v>
      </c>
      <c r="H514" t="s">
        <v>44</v>
      </c>
      <c r="I514">
        <v>1</v>
      </c>
      <c r="J514" t="s">
        <v>39</v>
      </c>
      <c r="K514">
        <v>54</v>
      </c>
      <c r="L514">
        <v>2</v>
      </c>
      <c r="M514">
        <v>1</v>
      </c>
      <c r="N514" t="s">
        <v>40</v>
      </c>
      <c r="O514">
        <v>4</v>
      </c>
      <c r="P514" t="s">
        <v>36</v>
      </c>
      <c r="Q514">
        <v>2045</v>
      </c>
      <c r="R514">
        <v>15174</v>
      </c>
      <c r="S514">
        <v>0</v>
      </c>
      <c r="T514">
        <v>0</v>
      </c>
      <c r="U514" s="17">
        <v>0.13</v>
      </c>
      <c r="V514">
        <v>3</v>
      </c>
      <c r="W514">
        <v>4</v>
      </c>
      <c r="X514">
        <v>0</v>
      </c>
      <c r="Y514">
        <v>5</v>
      </c>
      <c r="Z514">
        <v>0</v>
      </c>
      <c r="AA514">
        <v>3</v>
      </c>
      <c r="AB514">
        <v>4</v>
      </c>
      <c r="AC514">
        <v>2</v>
      </c>
      <c r="AD514">
        <v>1</v>
      </c>
      <c r="AE514">
        <v>1</v>
      </c>
      <c r="AF514">
        <v>0</v>
      </c>
      <c r="AG514">
        <f>IF(tbl_HR_Data[[#This Row],[Gender]]="Male",1,0)</f>
        <v>1</v>
      </c>
      <c r="AH514" cm="1">
        <f t="array" ref="AH514">_xlfn.SWITCH(tbl_HR_Data[[#This Row],[BusinessTravel]], "Non-Travel", 0, "Travel_Rarely", 1, "Travel_Frequently", 2)</f>
        <v>1</v>
      </c>
      <c r="AI514" cm="1">
        <f t="array" ref="AI514">_xlfn.SWITCH(tbl_HR_Data[[#This Row],[MaritalStatus]],"Single",0,"Married",1,"Divorced",2)</f>
        <v>0</v>
      </c>
      <c r="AJ514">
        <f>IF(tbl_HR_Data[[#This Row],[OverTime]]=1,1,0)</f>
        <v>0</v>
      </c>
      <c r="AK514">
        <f>IF(tbl_HR_Data[[#This Row],[DistanceFromHome]]&gt;15,1,0)</f>
        <v>0</v>
      </c>
      <c r="AL514">
        <f>IF(tbl_HR_Data[[#This Row],[JobSatisfaction]]&lt;=2,1,0)</f>
        <v>0</v>
      </c>
      <c r="AM514">
        <f>IF(tbl_HR_Data[[#This Row],[MonthlyIncome]]&lt;$AT$2,1,0)</f>
        <v>1</v>
      </c>
      <c r="AN514">
        <f>IF(tbl_HR_Data[[#This Row],[Travel_Code]]=2,1,0)</f>
        <v>0</v>
      </c>
      <c r="AO514">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514" s="15">
        <f>tbl_HR_Data[[#This Row],[Risk_Score_Raw]] / SUM(Logic_Parameters!$B$2:$B$6)</f>
        <v>0.22374939857982484</v>
      </c>
      <c r="AQ514" s="16" t="str" cm="1">
        <f t="array" ref="AQ514">_xlfn.IFS(tbl_HR_Data[[#This Row],[Attrition_Risk_Percentage]] &gt;= 0.75, "Critical",tbl_HR_Data[ [#This Row],[Attrition_Risk_Percentage] ]&gt;= 0.5, "High",tbl_HR_Data[[#This Row],[Attrition_Risk_Percentage]] &gt;= 0.25, "Medium",TRUE, "Low")</f>
        <v>Low</v>
      </c>
      <c r="AR514" s="16" cm="1">
        <f t="array" ref="AR514">IFERROR(_xlfn.IFS(tbl_HR_Data[[#This Row],[Risk_Category]]="Critical",tbl_HR_Data[[#This Row],[MonthlyIncome]]*1.5,tbl_HR_Data[[#This Row],[Risk_Category]]="High",tbl_HR_Data[[#This Row],[MonthlyIncome]]*1.5),0)</f>
        <v>0</v>
      </c>
    </row>
    <row r="515" spans="1:44" x14ac:dyDescent="0.35">
      <c r="A515" t="s">
        <v>1154</v>
      </c>
      <c r="B515">
        <v>20</v>
      </c>
      <c r="C515" t="s">
        <v>31</v>
      </c>
      <c r="D515">
        <v>1362</v>
      </c>
      <c r="E515" t="s">
        <v>38</v>
      </c>
      <c r="F515">
        <v>10</v>
      </c>
      <c r="G515">
        <v>1</v>
      </c>
      <c r="H515" t="s">
        <v>44</v>
      </c>
      <c r="I515">
        <v>4</v>
      </c>
      <c r="J515" t="s">
        <v>39</v>
      </c>
      <c r="K515">
        <v>32</v>
      </c>
      <c r="L515">
        <v>3</v>
      </c>
      <c r="M515">
        <v>1</v>
      </c>
      <c r="N515" t="s">
        <v>40</v>
      </c>
      <c r="O515">
        <v>3</v>
      </c>
      <c r="P515" t="s">
        <v>36</v>
      </c>
      <c r="Q515">
        <v>1009</v>
      </c>
      <c r="R515">
        <v>26999</v>
      </c>
      <c r="S515">
        <v>1</v>
      </c>
      <c r="T515">
        <v>1</v>
      </c>
      <c r="U515" s="17">
        <v>0.11</v>
      </c>
      <c r="V515">
        <v>3</v>
      </c>
      <c r="W515">
        <v>4</v>
      </c>
      <c r="X515">
        <v>0</v>
      </c>
      <c r="Y515">
        <v>1</v>
      </c>
      <c r="Z515">
        <v>5</v>
      </c>
      <c r="AA515">
        <v>3</v>
      </c>
      <c r="AB515">
        <v>1</v>
      </c>
      <c r="AC515">
        <v>0</v>
      </c>
      <c r="AD515">
        <v>1</v>
      </c>
      <c r="AE515">
        <v>1</v>
      </c>
      <c r="AF515">
        <v>1</v>
      </c>
      <c r="AG515">
        <f>IF(tbl_HR_Data[[#This Row],[Gender]]="Male",1,0)</f>
        <v>1</v>
      </c>
      <c r="AH515" cm="1">
        <f t="array" ref="AH515">_xlfn.SWITCH(tbl_HR_Data[[#This Row],[BusinessTravel]], "Non-Travel", 0, "Travel_Rarely", 1, "Travel_Frequently", 2)</f>
        <v>1</v>
      </c>
      <c r="AI515" cm="1">
        <f t="array" ref="AI515">_xlfn.SWITCH(tbl_HR_Data[[#This Row],[MaritalStatus]],"Single",0,"Married",1,"Divorced",2)</f>
        <v>0</v>
      </c>
      <c r="AJ515">
        <f>IF(tbl_HR_Data[[#This Row],[OverTime]]=1,1,0)</f>
        <v>1</v>
      </c>
      <c r="AK515">
        <f>IF(tbl_HR_Data[[#This Row],[DistanceFromHome]]&gt;15,1,0)</f>
        <v>0</v>
      </c>
      <c r="AL515">
        <f>IF(tbl_HR_Data[[#This Row],[JobSatisfaction]]&lt;=2,1,0)</f>
        <v>0</v>
      </c>
      <c r="AM515">
        <f>IF(tbl_HR_Data[[#This Row],[MonthlyIncome]]&lt;$AT$2,1,0)</f>
        <v>1</v>
      </c>
      <c r="AN515">
        <f>IF(tbl_HR_Data[[#This Row],[Travel_Code]]=2,1,0)</f>
        <v>0</v>
      </c>
      <c r="AO515">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515" s="15">
        <f>tbl_HR_Data[[#This Row],[Risk_Score_Raw]] / SUM(Logic_Parameters!$B$2:$B$6)</f>
        <v>0.56827453040563214</v>
      </c>
      <c r="AQ515" s="16" t="str" cm="1">
        <f t="array" ref="AQ515">_xlfn.IFS(tbl_HR_Data[[#This Row],[Attrition_Risk_Percentage]] &gt;= 0.75, "Critical",tbl_HR_Data[ [#This Row],[Attrition_Risk_Percentage] ]&gt;= 0.5, "High",tbl_HR_Data[[#This Row],[Attrition_Risk_Percentage]] &gt;= 0.25, "Medium",TRUE, "Low")</f>
        <v>High</v>
      </c>
      <c r="AR515" s="16" cm="1">
        <f t="array" ref="AR515">IFERROR(_xlfn.IFS(tbl_HR_Data[[#This Row],[Risk_Category]]="Critical",tbl_HR_Data[[#This Row],[MonthlyIncome]]*1.5,tbl_HR_Data[[#This Row],[Risk_Category]]="High",tbl_HR_Data[[#This Row],[MonthlyIncome]]*1.5),0)</f>
        <v>1513.5</v>
      </c>
    </row>
    <row r="516" spans="1:44" x14ac:dyDescent="0.35">
      <c r="A516" t="s">
        <v>860</v>
      </c>
      <c r="B516">
        <v>33</v>
      </c>
      <c r="C516" t="s">
        <v>37</v>
      </c>
      <c r="D516">
        <v>1076</v>
      </c>
      <c r="E516" t="s">
        <v>38</v>
      </c>
      <c r="F516">
        <v>3</v>
      </c>
      <c r="G516">
        <v>3</v>
      </c>
      <c r="H516" t="s">
        <v>33</v>
      </c>
      <c r="I516">
        <v>1</v>
      </c>
      <c r="J516" t="s">
        <v>39</v>
      </c>
      <c r="K516">
        <v>70</v>
      </c>
      <c r="L516">
        <v>3</v>
      </c>
      <c r="M516">
        <v>1</v>
      </c>
      <c r="N516" t="s">
        <v>40</v>
      </c>
      <c r="O516">
        <v>1</v>
      </c>
      <c r="P516" t="s">
        <v>36</v>
      </c>
      <c r="Q516">
        <v>3348</v>
      </c>
      <c r="R516">
        <v>3164</v>
      </c>
      <c r="S516">
        <v>1</v>
      </c>
      <c r="T516">
        <v>1</v>
      </c>
      <c r="U516" s="17">
        <v>0.11</v>
      </c>
      <c r="V516">
        <v>3</v>
      </c>
      <c r="W516">
        <v>1</v>
      </c>
      <c r="X516">
        <v>0</v>
      </c>
      <c r="Y516">
        <v>10</v>
      </c>
      <c r="Z516">
        <v>3</v>
      </c>
      <c r="AA516">
        <v>3</v>
      </c>
      <c r="AB516">
        <v>10</v>
      </c>
      <c r="AC516">
        <v>8</v>
      </c>
      <c r="AD516">
        <v>9</v>
      </c>
      <c r="AE516">
        <v>7</v>
      </c>
      <c r="AF516">
        <v>1</v>
      </c>
      <c r="AG516">
        <f>IF(tbl_HR_Data[[#This Row],[Gender]]="Male",1,0)</f>
        <v>1</v>
      </c>
      <c r="AH516" cm="1">
        <f t="array" ref="AH516">_xlfn.SWITCH(tbl_HR_Data[[#This Row],[BusinessTravel]], "Non-Travel", 0, "Travel_Rarely", 1, "Travel_Frequently", 2)</f>
        <v>2</v>
      </c>
      <c r="AI516" cm="1">
        <f t="array" ref="AI516">_xlfn.SWITCH(tbl_HR_Data[[#This Row],[MaritalStatus]],"Single",0,"Married",1,"Divorced",2)</f>
        <v>0</v>
      </c>
      <c r="AJ516">
        <f>IF(tbl_HR_Data[[#This Row],[OverTime]]=1,1,0)</f>
        <v>1</v>
      </c>
      <c r="AK516">
        <f>IF(tbl_HR_Data[[#This Row],[DistanceFromHome]]&gt;15,1,0)</f>
        <v>0</v>
      </c>
      <c r="AL516">
        <f>IF(tbl_HR_Data[[#This Row],[JobSatisfaction]]&lt;=2,1,0)</f>
        <v>1</v>
      </c>
      <c r="AM516">
        <f>IF(tbl_HR_Data[[#This Row],[MonthlyIncome]]&lt;$AT$2,1,0)</f>
        <v>1</v>
      </c>
      <c r="AN516">
        <f>IF(tbl_HR_Data[[#This Row],[Travel_Code]]=2,1,0)</f>
        <v>1</v>
      </c>
      <c r="AO516">
        <f>(tbl_HR_Data[[#This Row],[Flag_OT]] * Logic_Parameters!$B$2) +
 (tbl_HR_Data[[#This Row],[Flag_Travel]] * Logic_Parameters!$B$3) +
 (tbl_HR_Data[[#This Row],[Flag_Satisfaction]] * Logic_Parameters!$B$4) +
 (tbl_HR_Data[[#This Row],[Flag_Distance]]* Logic_Parameters!$B$5) +
 (tbl_HR_Data[[#This Row],[Flag_Income]] * Logic_Parameters!$B$6)</f>
        <v>25.859352047889136</v>
      </c>
      <c r="AP516" s="15">
        <f>tbl_HR_Data[[#This Row],[Risk_Score_Raw]] / SUM(Logic_Parameters!$B$2:$B$6)</f>
        <v>0.8909196673228964</v>
      </c>
      <c r="AQ516" s="16" t="str" cm="1">
        <f t="array" ref="AQ516">_xlfn.IFS(tbl_HR_Data[[#This Row],[Attrition_Risk_Percentage]] &gt;= 0.75, "Critical",tbl_HR_Data[ [#This Row],[Attrition_Risk_Percentage] ]&gt;= 0.5, "High",tbl_HR_Data[[#This Row],[Attrition_Risk_Percentage]] &gt;= 0.25, "Medium",TRUE, "Low")</f>
        <v>Critical</v>
      </c>
      <c r="AR516" s="16" cm="1">
        <f t="array" ref="AR516">IFERROR(_xlfn.IFS(tbl_HR_Data[[#This Row],[Risk_Category]]="Critical",tbl_HR_Data[[#This Row],[MonthlyIncome]]*1.5,tbl_HR_Data[[#This Row],[Risk_Category]]="High",tbl_HR_Data[[#This Row],[MonthlyIncome]]*1.5),0)</f>
        <v>5022</v>
      </c>
    </row>
    <row r="517" spans="1:44" x14ac:dyDescent="0.35">
      <c r="A517" t="s">
        <v>1081</v>
      </c>
      <c r="B517">
        <v>35</v>
      </c>
      <c r="C517" t="s">
        <v>1525</v>
      </c>
      <c r="D517">
        <v>727</v>
      </c>
      <c r="E517" t="s">
        <v>38</v>
      </c>
      <c r="F517">
        <v>3</v>
      </c>
      <c r="G517">
        <v>3</v>
      </c>
      <c r="H517" t="s">
        <v>33</v>
      </c>
      <c r="I517">
        <v>3</v>
      </c>
      <c r="J517" t="s">
        <v>39</v>
      </c>
      <c r="K517">
        <v>41</v>
      </c>
      <c r="L517">
        <v>2</v>
      </c>
      <c r="M517">
        <v>1</v>
      </c>
      <c r="N517" t="s">
        <v>43</v>
      </c>
      <c r="O517">
        <v>3</v>
      </c>
      <c r="P517" t="s">
        <v>41</v>
      </c>
      <c r="Q517">
        <v>1281</v>
      </c>
      <c r="R517">
        <v>16900</v>
      </c>
      <c r="S517">
        <v>1</v>
      </c>
      <c r="T517">
        <v>0</v>
      </c>
      <c r="U517" s="17">
        <v>0.18</v>
      </c>
      <c r="V517">
        <v>3</v>
      </c>
      <c r="W517">
        <v>3</v>
      </c>
      <c r="X517">
        <v>2</v>
      </c>
      <c r="Y517">
        <v>1</v>
      </c>
      <c r="Z517">
        <v>3</v>
      </c>
      <c r="AA517">
        <v>3</v>
      </c>
      <c r="AB517">
        <v>1</v>
      </c>
      <c r="AC517">
        <v>0</v>
      </c>
      <c r="AD517">
        <v>0</v>
      </c>
      <c r="AE517">
        <v>0</v>
      </c>
      <c r="AF517">
        <v>0</v>
      </c>
      <c r="AG517">
        <f>IF(tbl_HR_Data[[#This Row],[Gender]]="Male",1,0)</f>
        <v>1</v>
      </c>
      <c r="AH517" cm="1">
        <f t="array" ref="AH517">_xlfn.SWITCH(tbl_HR_Data[[#This Row],[BusinessTravel]], "Non-Travel", 0, "Travel_Rarely", 1, "Travel_Frequently", 2)</f>
        <v>0</v>
      </c>
      <c r="AI517" cm="1">
        <f t="array" ref="AI517">_xlfn.SWITCH(tbl_HR_Data[[#This Row],[MaritalStatus]],"Single",0,"Married",1,"Divorced",2)</f>
        <v>1</v>
      </c>
      <c r="AJ517">
        <f>IF(tbl_HR_Data[[#This Row],[OverTime]]=1,1,0)</f>
        <v>0</v>
      </c>
      <c r="AK517">
        <f>IF(tbl_HR_Data[[#This Row],[DistanceFromHome]]&gt;15,1,0)</f>
        <v>0</v>
      </c>
      <c r="AL517">
        <f>IF(tbl_HR_Data[[#This Row],[JobSatisfaction]]&lt;=2,1,0)</f>
        <v>0</v>
      </c>
      <c r="AM517">
        <f>IF(tbl_HR_Data[[#This Row],[MonthlyIncome]]&lt;$AT$2,1,0)</f>
        <v>1</v>
      </c>
      <c r="AN517">
        <f>IF(tbl_HR_Data[[#This Row],[Travel_Code]]=2,1,0)</f>
        <v>0</v>
      </c>
      <c r="AO517">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517" s="15">
        <f>tbl_HR_Data[[#This Row],[Risk_Score_Raw]] / SUM(Logic_Parameters!$B$2:$B$6)</f>
        <v>0.22374939857982484</v>
      </c>
      <c r="AQ517" s="16" t="str" cm="1">
        <f t="array" ref="AQ517">_xlfn.IFS(tbl_HR_Data[[#This Row],[Attrition_Risk_Percentage]] &gt;= 0.75, "Critical",tbl_HR_Data[ [#This Row],[Attrition_Risk_Percentage] ]&gt;= 0.5, "High",tbl_HR_Data[[#This Row],[Attrition_Risk_Percentage]] &gt;= 0.25, "Medium",TRUE, "Low")</f>
        <v>Low</v>
      </c>
      <c r="AR517" s="16" cm="1">
        <f t="array" ref="AR517">IFERROR(_xlfn.IFS(tbl_HR_Data[[#This Row],[Risk_Category]]="Critical",tbl_HR_Data[[#This Row],[MonthlyIncome]]*1.5,tbl_HR_Data[[#This Row],[Risk_Category]]="High",tbl_HR_Data[[#This Row],[MonthlyIncome]]*1.5),0)</f>
        <v>0</v>
      </c>
    </row>
    <row r="518" spans="1:44" x14ac:dyDescent="0.35">
      <c r="A518" t="s">
        <v>1258</v>
      </c>
      <c r="B518">
        <v>23</v>
      </c>
      <c r="C518" t="s">
        <v>31</v>
      </c>
      <c r="D518">
        <v>885</v>
      </c>
      <c r="E518" t="s">
        <v>38</v>
      </c>
      <c r="F518">
        <v>4</v>
      </c>
      <c r="G518">
        <v>3</v>
      </c>
      <c r="H518" t="s">
        <v>44</v>
      </c>
      <c r="I518">
        <v>1</v>
      </c>
      <c r="J518" t="s">
        <v>39</v>
      </c>
      <c r="K518">
        <v>58</v>
      </c>
      <c r="L518">
        <v>4</v>
      </c>
      <c r="M518">
        <v>1</v>
      </c>
      <c r="N518" t="s">
        <v>40</v>
      </c>
      <c r="O518">
        <v>1</v>
      </c>
      <c r="P518" t="s">
        <v>41</v>
      </c>
      <c r="Q518">
        <v>2819</v>
      </c>
      <c r="R518">
        <v>8544</v>
      </c>
      <c r="S518">
        <v>2</v>
      </c>
      <c r="T518">
        <v>0</v>
      </c>
      <c r="U518" s="17">
        <v>0.16</v>
      </c>
      <c r="V518">
        <v>3</v>
      </c>
      <c r="W518">
        <v>1</v>
      </c>
      <c r="X518">
        <v>1</v>
      </c>
      <c r="Y518">
        <v>5</v>
      </c>
      <c r="Z518">
        <v>3</v>
      </c>
      <c r="AA518">
        <v>4</v>
      </c>
      <c r="AB518">
        <v>3</v>
      </c>
      <c r="AC518">
        <v>2</v>
      </c>
      <c r="AD518">
        <v>0</v>
      </c>
      <c r="AE518">
        <v>2</v>
      </c>
      <c r="AF518">
        <v>0</v>
      </c>
      <c r="AG518">
        <f>IF(tbl_HR_Data[[#This Row],[Gender]]="Male",1,0)</f>
        <v>1</v>
      </c>
      <c r="AH518" cm="1">
        <f t="array" ref="AH518">_xlfn.SWITCH(tbl_HR_Data[[#This Row],[BusinessTravel]], "Non-Travel", 0, "Travel_Rarely", 1, "Travel_Frequently", 2)</f>
        <v>1</v>
      </c>
      <c r="AI518" cm="1">
        <f t="array" ref="AI518">_xlfn.SWITCH(tbl_HR_Data[[#This Row],[MaritalStatus]],"Single",0,"Married",1,"Divorced",2)</f>
        <v>1</v>
      </c>
      <c r="AJ518">
        <f>IF(tbl_HR_Data[[#This Row],[OverTime]]=1,1,0)</f>
        <v>0</v>
      </c>
      <c r="AK518">
        <f>IF(tbl_HR_Data[[#This Row],[DistanceFromHome]]&gt;15,1,0)</f>
        <v>0</v>
      </c>
      <c r="AL518">
        <f>IF(tbl_HR_Data[[#This Row],[JobSatisfaction]]&lt;=2,1,0)</f>
        <v>1</v>
      </c>
      <c r="AM518">
        <f>IF(tbl_HR_Data[[#This Row],[MonthlyIncome]]&lt;$AT$2,1,0)</f>
        <v>1</v>
      </c>
      <c r="AN518">
        <f>IF(tbl_HR_Data[[#This Row],[Travel_Code]]=2,1,0)</f>
        <v>0</v>
      </c>
      <c r="AO518">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518" s="15">
        <f>tbl_HR_Data[[#This Row],[Risk_Score_Raw]] / SUM(Logic_Parameters!$B$2:$B$6)</f>
        <v>0.3686061316669938</v>
      </c>
      <c r="AQ518" s="16" t="str" cm="1">
        <f t="array" ref="AQ518">_xlfn.IFS(tbl_HR_Data[[#This Row],[Attrition_Risk_Percentage]] &gt;= 0.75, "Critical",tbl_HR_Data[ [#This Row],[Attrition_Risk_Percentage] ]&gt;= 0.5, "High",tbl_HR_Data[[#This Row],[Attrition_Risk_Percentage]] &gt;= 0.25, "Medium",TRUE, "Low")</f>
        <v>Medium</v>
      </c>
      <c r="AR518" s="16" cm="1">
        <f t="array" ref="AR518">IFERROR(_xlfn.IFS(tbl_HR_Data[[#This Row],[Risk_Category]]="Critical",tbl_HR_Data[[#This Row],[MonthlyIncome]]*1.5,tbl_HR_Data[[#This Row],[Risk_Category]]="High",tbl_HR_Data[[#This Row],[MonthlyIncome]]*1.5),0)</f>
        <v>0</v>
      </c>
    </row>
    <row r="519" spans="1:44" x14ac:dyDescent="0.35">
      <c r="A519" t="s">
        <v>973</v>
      </c>
      <c r="B519">
        <v>25</v>
      </c>
      <c r="C519" t="s">
        <v>31</v>
      </c>
      <c r="D519">
        <v>810</v>
      </c>
      <c r="E519" t="s">
        <v>32</v>
      </c>
      <c r="F519">
        <v>8</v>
      </c>
      <c r="G519">
        <v>3</v>
      </c>
      <c r="H519" t="s">
        <v>33</v>
      </c>
      <c r="I519">
        <v>4</v>
      </c>
      <c r="J519" t="s">
        <v>39</v>
      </c>
      <c r="K519">
        <v>57</v>
      </c>
      <c r="L519">
        <v>4</v>
      </c>
      <c r="M519">
        <v>2</v>
      </c>
      <c r="N519" t="s">
        <v>35</v>
      </c>
      <c r="O519">
        <v>2</v>
      </c>
      <c r="P519" t="s">
        <v>41</v>
      </c>
      <c r="Q519">
        <v>4851</v>
      </c>
      <c r="R519">
        <v>15678</v>
      </c>
      <c r="S519">
        <v>0</v>
      </c>
      <c r="T519">
        <v>0</v>
      </c>
      <c r="U519" s="17">
        <v>0.22</v>
      </c>
      <c r="V519">
        <v>4</v>
      </c>
      <c r="W519">
        <v>3</v>
      </c>
      <c r="X519">
        <v>1</v>
      </c>
      <c r="Y519">
        <v>4</v>
      </c>
      <c r="Z519">
        <v>4</v>
      </c>
      <c r="AA519">
        <v>3</v>
      </c>
      <c r="AB519">
        <v>3</v>
      </c>
      <c r="AC519">
        <v>2</v>
      </c>
      <c r="AD519">
        <v>1</v>
      </c>
      <c r="AE519">
        <v>2</v>
      </c>
      <c r="AF519">
        <v>0</v>
      </c>
      <c r="AG519">
        <f>IF(tbl_HR_Data[[#This Row],[Gender]]="Male",1,0)</f>
        <v>1</v>
      </c>
      <c r="AH519" cm="1">
        <f t="array" ref="AH519">_xlfn.SWITCH(tbl_HR_Data[[#This Row],[BusinessTravel]], "Non-Travel", 0, "Travel_Rarely", 1, "Travel_Frequently", 2)</f>
        <v>1</v>
      </c>
      <c r="AI519" cm="1">
        <f t="array" ref="AI519">_xlfn.SWITCH(tbl_HR_Data[[#This Row],[MaritalStatus]],"Single",0,"Married",1,"Divorced",2)</f>
        <v>1</v>
      </c>
      <c r="AJ519">
        <f>IF(tbl_HR_Data[[#This Row],[OverTime]]=1,1,0)</f>
        <v>0</v>
      </c>
      <c r="AK519">
        <f>IF(tbl_HR_Data[[#This Row],[DistanceFromHome]]&gt;15,1,0)</f>
        <v>0</v>
      </c>
      <c r="AL519">
        <f>IF(tbl_HR_Data[[#This Row],[JobSatisfaction]]&lt;=2,1,0)</f>
        <v>1</v>
      </c>
      <c r="AM519">
        <f>IF(tbl_HR_Data[[#This Row],[MonthlyIncome]]&lt;$AT$2,1,0)</f>
        <v>1</v>
      </c>
      <c r="AN519">
        <f>IF(tbl_HR_Data[[#This Row],[Travel_Code]]=2,1,0)</f>
        <v>0</v>
      </c>
      <c r="AO519">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519" s="15">
        <f>tbl_HR_Data[[#This Row],[Risk_Score_Raw]] / SUM(Logic_Parameters!$B$2:$B$6)</f>
        <v>0.3686061316669938</v>
      </c>
      <c r="AQ519" s="16" t="str" cm="1">
        <f t="array" ref="AQ519">_xlfn.IFS(tbl_HR_Data[[#This Row],[Attrition_Risk_Percentage]] &gt;= 0.75, "Critical",tbl_HR_Data[ [#This Row],[Attrition_Risk_Percentage] ]&gt;= 0.5, "High",tbl_HR_Data[[#This Row],[Attrition_Risk_Percentage]] &gt;= 0.25, "Medium",TRUE, "Low")</f>
        <v>Medium</v>
      </c>
      <c r="AR519" s="16" cm="1">
        <f t="array" ref="AR519">IFERROR(_xlfn.IFS(tbl_HR_Data[[#This Row],[Risk_Category]]="Critical",tbl_HR_Data[[#This Row],[MonthlyIncome]]*1.5,tbl_HR_Data[[#This Row],[Risk_Category]]="High",tbl_HR_Data[[#This Row],[MonthlyIncome]]*1.5),0)</f>
        <v>0</v>
      </c>
    </row>
    <row r="520" spans="1:44" x14ac:dyDescent="0.35">
      <c r="A520" t="s">
        <v>91</v>
      </c>
      <c r="B520">
        <v>38</v>
      </c>
      <c r="C520" t="s">
        <v>31</v>
      </c>
      <c r="D520">
        <v>243</v>
      </c>
      <c r="E520" t="s">
        <v>32</v>
      </c>
      <c r="F520">
        <v>7</v>
      </c>
      <c r="G520">
        <v>4</v>
      </c>
      <c r="H520" t="s">
        <v>51</v>
      </c>
      <c r="I520">
        <v>4</v>
      </c>
      <c r="J520" t="s">
        <v>34</v>
      </c>
      <c r="K520">
        <v>46</v>
      </c>
      <c r="L520">
        <v>2</v>
      </c>
      <c r="M520">
        <v>2</v>
      </c>
      <c r="N520" t="s">
        <v>35</v>
      </c>
      <c r="O520">
        <v>4</v>
      </c>
      <c r="P520" t="s">
        <v>36</v>
      </c>
      <c r="Q520">
        <v>4028</v>
      </c>
      <c r="R520">
        <v>7791</v>
      </c>
      <c r="S520">
        <v>0</v>
      </c>
      <c r="T520">
        <v>0</v>
      </c>
      <c r="U520" s="17">
        <v>0.2</v>
      </c>
      <c r="V520">
        <v>4</v>
      </c>
      <c r="W520">
        <v>1</v>
      </c>
      <c r="X520">
        <v>0</v>
      </c>
      <c r="Y520">
        <v>8</v>
      </c>
      <c r="Z520">
        <v>2</v>
      </c>
      <c r="AA520">
        <v>3</v>
      </c>
      <c r="AB520">
        <v>7</v>
      </c>
      <c r="AC520">
        <v>7</v>
      </c>
      <c r="AD520">
        <v>0</v>
      </c>
      <c r="AE520">
        <v>5</v>
      </c>
      <c r="AF520">
        <v>0</v>
      </c>
      <c r="AG520">
        <f>IF(tbl_HR_Data[[#This Row],[Gender]]="Male",1,0)</f>
        <v>0</v>
      </c>
      <c r="AH520" cm="1">
        <f t="array" ref="AH520">_xlfn.SWITCH(tbl_HR_Data[[#This Row],[BusinessTravel]], "Non-Travel", 0, "Travel_Rarely", 1, "Travel_Frequently", 2)</f>
        <v>1</v>
      </c>
      <c r="AI520" cm="1">
        <f t="array" ref="AI520">_xlfn.SWITCH(tbl_HR_Data[[#This Row],[MaritalStatus]],"Single",0,"Married",1,"Divorced",2)</f>
        <v>0</v>
      </c>
      <c r="AJ520">
        <f>IF(tbl_HR_Data[[#This Row],[OverTime]]=1,1,0)</f>
        <v>0</v>
      </c>
      <c r="AK520">
        <f>IF(tbl_HR_Data[[#This Row],[DistanceFromHome]]&gt;15,1,0)</f>
        <v>0</v>
      </c>
      <c r="AL520">
        <f>IF(tbl_HR_Data[[#This Row],[JobSatisfaction]]&lt;=2,1,0)</f>
        <v>0</v>
      </c>
      <c r="AM520">
        <f>IF(tbl_HR_Data[[#This Row],[MonthlyIncome]]&lt;$AT$2,1,0)</f>
        <v>1</v>
      </c>
      <c r="AN520">
        <f>IF(tbl_HR_Data[[#This Row],[Travel_Code]]=2,1,0)</f>
        <v>0</v>
      </c>
      <c r="AO520">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520" s="15">
        <f>tbl_HR_Data[[#This Row],[Risk_Score_Raw]] / SUM(Logic_Parameters!$B$2:$B$6)</f>
        <v>0.22374939857982484</v>
      </c>
      <c r="AQ520" s="16" t="str" cm="1">
        <f t="array" ref="AQ520">_xlfn.IFS(tbl_HR_Data[[#This Row],[Attrition_Risk_Percentage]] &gt;= 0.75, "Critical",tbl_HR_Data[ [#This Row],[Attrition_Risk_Percentage] ]&gt;= 0.5, "High",tbl_HR_Data[[#This Row],[Attrition_Risk_Percentage]] &gt;= 0.25, "Medium",TRUE, "Low")</f>
        <v>Low</v>
      </c>
      <c r="AR520" s="16" cm="1">
        <f t="array" ref="AR520">IFERROR(_xlfn.IFS(tbl_HR_Data[[#This Row],[Risk_Category]]="Critical",tbl_HR_Data[[#This Row],[MonthlyIncome]]*1.5,tbl_HR_Data[[#This Row],[Risk_Category]]="High",tbl_HR_Data[[#This Row],[MonthlyIncome]]*1.5),0)</f>
        <v>0</v>
      </c>
    </row>
    <row r="521" spans="1:44" x14ac:dyDescent="0.35">
      <c r="A521" t="s">
        <v>433</v>
      </c>
      <c r="B521">
        <v>29</v>
      </c>
      <c r="C521" t="s">
        <v>37</v>
      </c>
      <c r="D521">
        <v>806</v>
      </c>
      <c r="E521" t="s">
        <v>38</v>
      </c>
      <c r="F521">
        <v>1</v>
      </c>
      <c r="G521">
        <v>4</v>
      </c>
      <c r="H521" t="s">
        <v>33</v>
      </c>
      <c r="I521">
        <v>2</v>
      </c>
      <c r="J521" t="s">
        <v>39</v>
      </c>
      <c r="K521">
        <v>76</v>
      </c>
      <c r="L521">
        <v>1</v>
      </c>
      <c r="M521">
        <v>1</v>
      </c>
      <c r="N521" t="s">
        <v>40</v>
      </c>
      <c r="O521">
        <v>4</v>
      </c>
      <c r="P521" t="s">
        <v>45</v>
      </c>
      <c r="Q521">
        <v>2720</v>
      </c>
      <c r="R521">
        <v>18959</v>
      </c>
      <c r="S521">
        <v>1</v>
      </c>
      <c r="T521">
        <v>0</v>
      </c>
      <c r="U521" s="17">
        <v>0.18</v>
      </c>
      <c r="V521">
        <v>3</v>
      </c>
      <c r="W521">
        <v>4</v>
      </c>
      <c r="X521">
        <v>1</v>
      </c>
      <c r="Y521">
        <v>10</v>
      </c>
      <c r="Z521">
        <v>5</v>
      </c>
      <c r="AA521">
        <v>3</v>
      </c>
      <c r="AB521">
        <v>10</v>
      </c>
      <c r="AC521">
        <v>7</v>
      </c>
      <c r="AD521">
        <v>2</v>
      </c>
      <c r="AE521">
        <v>8</v>
      </c>
      <c r="AF521">
        <v>0</v>
      </c>
      <c r="AG521">
        <f>IF(tbl_HR_Data[[#This Row],[Gender]]="Male",1,0)</f>
        <v>1</v>
      </c>
      <c r="AH521" cm="1">
        <f t="array" ref="AH521">_xlfn.SWITCH(tbl_HR_Data[[#This Row],[BusinessTravel]], "Non-Travel", 0, "Travel_Rarely", 1, "Travel_Frequently", 2)</f>
        <v>2</v>
      </c>
      <c r="AI521" cm="1">
        <f t="array" ref="AI521">_xlfn.SWITCH(tbl_HR_Data[[#This Row],[MaritalStatus]],"Single",0,"Married",1,"Divorced",2)</f>
        <v>2</v>
      </c>
      <c r="AJ521">
        <f>IF(tbl_HR_Data[[#This Row],[OverTime]]=1,1,0)</f>
        <v>0</v>
      </c>
      <c r="AK521">
        <f>IF(tbl_HR_Data[[#This Row],[DistanceFromHome]]&gt;15,1,0)</f>
        <v>0</v>
      </c>
      <c r="AL521">
        <f>IF(tbl_HR_Data[[#This Row],[JobSatisfaction]]&lt;=2,1,0)</f>
        <v>0</v>
      </c>
      <c r="AM521">
        <f>IF(tbl_HR_Data[[#This Row],[MonthlyIncome]]&lt;$AT$2,1,0)</f>
        <v>1</v>
      </c>
      <c r="AN521">
        <f>IF(tbl_HR_Data[[#This Row],[Travel_Code]]=2,1,0)</f>
        <v>1</v>
      </c>
      <c r="AO521">
        <f>(tbl_HR_Data[[#This Row],[Flag_OT]] * Logic_Parameters!$B$2) +
 (tbl_HR_Data[[#This Row],[Flag_Travel]] * Logic_Parameters!$B$3) +
 (tbl_HR_Data[[#This Row],[Flag_Satisfaction]] * Logic_Parameters!$B$4) +
 (tbl_HR_Data[[#This Row],[Flag_Distance]]* Logic_Parameters!$B$5) +
 (tbl_HR_Data[[#This Row],[Flag_Income]] * Logic_Parameters!$B$6)</f>
        <v>11.654818917911005</v>
      </c>
      <c r="AP521" s="15">
        <f>tbl_HR_Data[[#This Row],[Risk_Score_Raw]] / SUM(Logic_Parameters!$B$2:$B$6)</f>
        <v>0.40153780240992015</v>
      </c>
      <c r="AQ521" s="16" t="str" cm="1">
        <f t="array" ref="AQ521">_xlfn.IFS(tbl_HR_Data[[#This Row],[Attrition_Risk_Percentage]] &gt;= 0.75, "Critical",tbl_HR_Data[ [#This Row],[Attrition_Risk_Percentage] ]&gt;= 0.5, "High",tbl_HR_Data[[#This Row],[Attrition_Risk_Percentage]] &gt;= 0.25, "Medium",TRUE, "Low")</f>
        <v>Medium</v>
      </c>
      <c r="AR521" s="16" cm="1">
        <f t="array" ref="AR521">IFERROR(_xlfn.IFS(tbl_HR_Data[[#This Row],[Risk_Category]]="Critical",tbl_HR_Data[[#This Row],[MonthlyIncome]]*1.5,tbl_HR_Data[[#This Row],[Risk_Category]]="High",tbl_HR_Data[[#This Row],[MonthlyIncome]]*1.5),0)</f>
        <v>0</v>
      </c>
    </row>
    <row r="522" spans="1:44" x14ac:dyDescent="0.35">
      <c r="A522" t="s">
        <v>544</v>
      </c>
      <c r="B522">
        <v>48</v>
      </c>
      <c r="C522" t="s">
        <v>31</v>
      </c>
      <c r="D522">
        <v>817</v>
      </c>
      <c r="E522" t="s">
        <v>32</v>
      </c>
      <c r="F522">
        <v>2</v>
      </c>
      <c r="G522">
        <v>1</v>
      </c>
      <c r="H522" t="s">
        <v>51</v>
      </c>
      <c r="I522">
        <v>2</v>
      </c>
      <c r="J522" t="s">
        <v>39</v>
      </c>
      <c r="K522">
        <v>56</v>
      </c>
      <c r="L522">
        <v>4</v>
      </c>
      <c r="M522">
        <v>2</v>
      </c>
      <c r="N522" t="s">
        <v>35</v>
      </c>
      <c r="O522">
        <v>2</v>
      </c>
      <c r="P522" t="s">
        <v>41</v>
      </c>
      <c r="Q522">
        <v>8120</v>
      </c>
      <c r="R522">
        <v>18597</v>
      </c>
      <c r="S522">
        <v>3</v>
      </c>
      <c r="T522">
        <v>0</v>
      </c>
      <c r="U522" s="17">
        <v>0.12</v>
      </c>
      <c r="V522">
        <v>3</v>
      </c>
      <c r="W522">
        <v>4</v>
      </c>
      <c r="X522">
        <v>0</v>
      </c>
      <c r="Y522">
        <v>12</v>
      </c>
      <c r="Z522">
        <v>3</v>
      </c>
      <c r="AA522">
        <v>3</v>
      </c>
      <c r="AB522">
        <v>2</v>
      </c>
      <c r="AC522">
        <v>2</v>
      </c>
      <c r="AD522">
        <v>2</v>
      </c>
      <c r="AE522">
        <v>2</v>
      </c>
      <c r="AF522">
        <v>0</v>
      </c>
      <c r="AG522">
        <f>IF(tbl_HR_Data[[#This Row],[Gender]]="Male",1,0)</f>
        <v>1</v>
      </c>
      <c r="AH522" cm="1">
        <f t="array" ref="AH522">_xlfn.SWITCH(tbl_HR_Data[[#This Row],[BusinessTravel]], "Non-Travel", 0, "Travel_Rarely", 1, "Travel_Frequently", 2)</f>
        <v>1</v>
      </c>
      <c r="AI522" cm="1">
        <f t="array" ref="AI522">_xlfn.SWITCH(tbl_HR_Data[[#This Row],[MaritalStatus]],"Single",0,"Married",1,"Divorced",2)</f>
        <v>1</v>
      </c>
      <c r="AJ522">
        <f>IF(tbl_HR_Data[[#This Row],[OverTime]]=1,1,0)</f>
        <v>0</v>
      </c>
      <c r="AK522">
        <f>IF(tbl_HR_Data[[#This Row],[DistanceFromHome]]&gt;15,1,0)</f>
        <v>0</v>
      </c>
      <c r="AL522">
        <f>IF(tbl_HR_Data[[#This Row],[JobSatisfaction]]&lt;=2,1,0)</f>
        <v>1</v>
      </c>
      <c r="AM522">
        <f>IF(tbl_HR_Data[[#This Row],[MonthlyIncome]]&lt;$AT$2,1,0)</f>
        <v>0</v>
      </c>
      <c r="AN522">
        <f>IF(tbl_HR_Data[[#This Row],[Travel_Code]]=2,1,0)</f>
        <v>0</v>
      </c>
      <c r="AO522">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522" s="15">
        <f>tbl_HR_Data[[#This Row],[Risk_Score_Raw]] / SUM(Logic_Parameters!$B$2:$B$6)</f>
        <v>0.14485673308716898</v>
      </c>
      <c r="AQ522" s="16" t="str" cm="1">
        <f t="array" ref="AQ522">_xlfn.IFS(tbl_HR_Data[[#This Row],[Attrition_Risk_Percentage]] &gt;= 0.75, "Critical",tbl_HR_Data[ [#This Row],[Attrition_Risk_Percentage] ]&gt;= 0.5, "High",tbl_HR_Data[[#This Row],[Attrition_Risk_Percentage]] &gt;= 0.25, "Medium",TRUE, "Low")</f>
        <v>Low</v>
      </c>
      <c r="AR522" s="16" cm="1">
        <f t="array" ref="AR522">IFERROR(_xlfn.IFS(tbl_HR_Data[[#This Row],[Risk_Category]]="Critical",tbl_HR_Data[[#This Row],[MonthlyIncome]]*1.5,tbl_HR_Data[[#This Row],[Risk_Category]]="High",tbl_HR_Data[[#This Row],[MonthlyIncome]]*1.5),0)</f>
        <v>0</v>
      </c>
    </row>
    <row r="523" spans="1:44" x14ac:dyDescent="0.35">
      <c r="A523" t="s">
        <v>1456</v>
      </c>
      <c r="B523">
        <v>27</v>
      </c>
      <c r="C523" t="s">
        <v>37</v>
      </c>
      <c r="D523">
        <v>1410</v>
      </c>
      <c r="E523" t="s">
        <v>32</v>
      </c>
      <c r="F523">
        <v>3</v>
      </c>
      <c r="G523">
        <v>1</v>
      </c>
      <c r="H523" t="s">
        <v>44</v>
      </c>
      <c r="I523">
        <v>4</v>
      </c>
      <c r="J523" t="s">
        <v>34</v>
      </c>
      <c r="K523">
        <v>71</v>
      </c>
      <c r="L523">
        <v>4</v>
      </c>
      <c r="M523">
        <v>2</v>
      </c>
      <c r="N523" t="s">
        <v>35</v>
      </c>
      <c r="O523">
        <v>4</v>
      </c>
      <c r="P523" t="s">
        <v>45</v>
      </c>
      <c r="Q523">
        <v>4647</v>
      </c>
      <c r="R523">
        <v>16673</v>
      </c>
      <c r="S523">
        <v>1</v>
      </c>
      <c r="T523">
        <v>1</v>
      </c>
      <c r="U523" s="17">
        <v>0.2</v>
      </c>
      <c r="V523">
        <v>4</v>
      </c>
      <c r="W523">
        <v>2</v>
      </c>
      <c r="X523">
        <v>2</v>
      </c>
      <c r="Y523">
        <v>6</v>
      </c>
      <c r="Z523">
        <v>3</v>
      </c>
      <c r="AA523">
        <v>3</v>
      </c>
      <c r="AB523">
        <v>6</v>
      </c>
      <c r="AC523">
        <v>5</v>
      </c>
      <c r="AD523">
        <v>0</v>
      </c>
      <c r="AE523">
        <v>4</v>
      </c>
      <c r="AF523">
        <v>0</v>
      </c>
      <c r="AG523">
        <f>IF(tbl_HR_Data[[#This Row],[Gender]]="Male",1,0)</f>
        <v>0</v>
      </c>
      <c r="AH523" cm="1">
        <f t="array" ref="AH523">_xlfn.SWITCH(tbl_HR_Data[[#This Row],[BusinessTravel]], "Non-Travel", 0, "Travel_Rarely", 1, "Travel_Frequently", 2)</f>
        <v>2</v>
      </c>
      <c r="AI523" cm="1">
        <f t="array" ref="AI523">_xlfn.SWITCH(tbl_HR_Data[[#This Row],[MaritalStatus]],"Single",0,"Married",1,"Divorced",2)</f>
        <v>2</v>
      </c>
      <c r="AJ523">
        <f>IF(tbl_HR_Data[[#This Row],[OverTime]]=1,1,0)</f>
        <v>1</v>
      </c>
      <c r="AK523">
        <f>IF(tbl_HR_Data[[#This Row],[DistanceFromHome]]&gt;15,1,0)</f>
        <v>0</v>
      </c>
      <c r="AL523">
        <f>IF(tbl_HR_Data[[#This Row],[JobSatisfaction]]&lt;=2,1,0)</f>
        <v>0</v>
      </c>
      <c r="AM523">
        <f>IF(tbl_HR_Data[[#This Row],[MonthlyIncome]]&lt;$AT$2,1,0)</f>
        <v>1</v>
      </c>
      <c r="AN523">
        <f>IF(tbl_HR_Data[[#This Row],[Travel_Code]]=2,1,0)</f>
        <v>1</v>
      </c>
      <c r="AO523">
        <f>(tbl_HR_Data[[#This Row],[Flag_OT]] * Logic_Parameters!$B$2) +
 (tbl_HR_Data[[#This Row],[Flag_Travel]] * Logic_Parameters!$B$3) +
 (tbl_HR_Data[[#This Row],[Flag_Satisfaction]] * Logic_Parameters!$B$4) +
 (tbl_HR_Data[[#This Row],[Flag_Distance]]* Logic_Parameters!$B$5) +
 (tbl_HR_Data[[#This Row],[Flag_Income]] * Logic_Parameters!$B$6)</f>
        <v>21.654818917911005</v>
      </c>
      <c r="AP523" s="15">
        <f>tbl_HR_Data[[#This Row],[Risk_Score_Raw]] / SUM(Logic_Parameters!$B$2:$B$6)</f>
        <v>0.74606293423572745</v>
      </c>
      <c r="AQ523" s="16" t="str" cm="1">
        <f t="array" ref="AQ523">_xlfn.IFS(tbl_HR_Data[[#This Row],[Attrition_Risk_Percentage]] &gt;= 0.75, "Critical",tbl_HR_Data[ [#This Row],[Attrition_Risk_Percentage] ]&gt;= 0.5, "High",tbl_HR_Data[[#This Row],[Attrition_Risk_Percentage]] &gt;= 0.25, "Medium",TRUE, "Low")</f>
        <v>High</v>
      </c>
      <c r="AR523" s="16" cm="1">
        <f t="array" ref="AR523">IFERROR(_xlfn.IFS(tbl_HR_Data[[#This Row],[Risk_Category]]="Critical",tbl_HR_Data[[#This Row],[MonthlyIncome]]*1.5,tbl_HR_Data[[#This Row],[Risk_Category]]="High",tbl_HR_Data[[#This Row],[MonthlyIncome]]*1.5),0)</f>
        <v>6970.5</v>
      </c>
    </row>
    <row r="524" spans="1:44" x14ac:dyDescent="0.35">
      <c r="A524" t="s">
        <v>600</v>
      </c>
      <c r="B524">
        <v>37</v>
      </c>
      <c r="C524" t="s">
        <v>31</v>
      </c>
      <c r="D524">
        <v>1225</v>
      </c>
      <c r="E524" t="s">
        <v>38</v>
      </c>
      <c r="F524">
        <v>10</v>
      </c>
      <c r="G524">
        <v>2</v>
      </c>
      <c r="H524" t="s">
        <v>33</v>
      </c>
      <c r="I524">
        <v>4</v>
      </c>
      <c r="J524" t="s">
        <v>39</v>
      </c>
      <c r="K524">
        <v>80</v>
      </c>
      <c r="L524">
        <v>4</v>
      </c>
      <c r="M524">
        <v>1</v>
      </c>
      <c r="N524" t="s">
        <v>40</v>
      </c>
      <c r="O524">
        <v>4</v>
      </c>
      <c r="P524" t="s">
        <v>36</v>
      </c>
      <c r="Q524">
        <v>4680</v>
      </c>
      <c r="R524">
        <v>15232</v>
      </c>
      <c r="S524">
        <v>3</v>
      </c>
      <c r="T524">
        <v>0</v>
      </c>
      <c r="U524" s="17">
        <v>0.17</v>
      </c>
      <c r="V524">
        <v>3</v>
      </c>
      <c r="W524">
        <v>1</v>
      </c>
      <c r="X524">
        <v>0</v>
      </c>
      <c r="Y524">
        <v>4</v>
      </c>
      <c r="Z524">
        <v>2</v>
      </c>
      <c r="AA524">
        <v>3</v>
      </c>
      <c r="AB524">
        <v>1</v>
      </c>
      <c r="AC524">
        <v>0</v>
      </c>
      <c r="AD524">
        <v>0</v>
      </c>
      <c r="AE524">
        <v>0</v>
      </c>
      <c r="AF524">
        <v>0</v>
      </c>
      <c r="AG524">
        <f>IF(tbl_HR_Data[[#This Row],[Gender]]="Male",1,0)</f>
        <v>1</v>
      </c>
      <c r="AH524" cm="1">
        <f t="array" ref="AH524">_xlfn.SWITCH(tbl_HR_Data[[#This Row],[BusinessTravel]], "Non-Travel", 0, "Travel_Rarely", 1, "Travel_Frequently", 2)</f>
        <v>1</v>
      </c>
      <c r="AI524" cm="1">
        <f t="array" ref="AI524">_xlfn.SWITCH(tbl_HR_Data[[#This Row],[MaritalStatus]],"Single",0,"Married",1,"Divorced",2)</f>
        <v>0</v>
      </c>
      <c r="AJ524">
        <f>IF(tbl_HR_Data[[#This Row],[OverTime]]=1,1,0)</f>
        <v>0</v>
      </c>
      <c r="AK524">
        <f>IF(tbl_HR_Data[[#This Row],[DistanceFromHome]]&gt;15,1,0)</f>
        <v>0</v>
      </c>
      <c r="AL524">
        <f>IF(tbl_HR_Data[[#This Row],[JobSatisfaction]]&lt;=2,1,0)</f>
        <v>0</v>
      </c>
      <c r="AM524">
        <f>IF(tbl_HR_Data[[#This Row],[MonthlyIncome]]&lt;$AT$2,1,0)</f>
        <v>1</v>
      </c>
      <c r="AN524">
        <f>IF(tbl_HR_Data[[#This Row],[Travel_Code]]=2,1,0)</f>
        <v>0</v>
      </c>
      <c r="AO524">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524" s="15">
        <f>tbl_HR_Data[[#This Row],[Risk_Score_Raw]] / SUM(Logic_Parameters!$B$2:$B$6)</f>
        <v>0.22374939857982484</v>
      </c>
      <c r="AQ524" s="16" t="str" cm="1">
        <f t="array" ref="AQ524">_xlfn.IFS(tbl_HR_Data[[#This Row],[Attrition_Risk_Percentage]] &gt;= 0.75, "Critical",tbl_HR_Data[ [#This Row],[Attrition_Risk_Percentage] ]&gt;= 0.5, "High",tbl_HR_Data[[#This Row],[Attrition_Risk_Percentage]] &gt;= 0.25, "Medium",TRUE, "Low")</f>
        <v>Low</v>
      </c>
      <c r="AR524" s="16" cm="1">
        <f t="array" ref="AR524">IFERROR(_xlfn.IFS(tbl_HR_Data[[#This Row],[Risk_Category]]="Critical",tbl_HR_Data[[#This Row],[MonthlyIncome]]*1.5,tbl_HR_Data[[#This Row],[Risk_Category]]="High",tbl_HR_Data[[#This Row],[MonthlyIncome]]*1.5),0)</f>
        <v>0</v>
      </c>
    </row>
    <row r="525" spans="1:44" x14ac:dyDescent="0.35">
      <c r="A525" t="s">
        <v>1464</v>
      </c>
      <c r="B525">
        <v>50</v>
      </c>
      <c r="C525" t="s">
        <v>31</v>
      </c>
      <c r="D525">
        <v>1207</v>
      </c>
      <c r="E525" t="s">
        <v>38</v>
      </c>
      <c r="F525">
        <v>28</v>
      </c>
      <c r="G525">
        <v>1</v>
      </c>
      <c r="H525" t="s">
        <v>44</v>
      </c>
      <c r="I525">
        <v>4</v>
      </c>
      <c r="J525" t="s">
        <v>39</v>
      </c>
      <c r="K525">
        <v>74</v>
      </c>
      <c r="L525">
        <v>4</v>
      </c>
      <c r="M525">
        <v>1</v>
      </c>
      <c r="N525" t="s">
        <v>43</v>
      </c>
      <c r="O525">
        <v>3</v>
      </c>
      <c r="P525" t="s">
        <v>41</v>
      </c>
      <c r="Q525">
        <v>3221</v>
      </c>
      <c r="R525">
        <v>3297</v>
      </c>
      <c r="S525">
        <v>1</v>
      </c>
      <c r="T525">
        <v>1</v>
      </c>
      <c r="U525" s="17">
        <v>0.11</v>
      </c>
      <c r="V525">
        <v>3</v>
      </c>
      <c r="W525">
        <v>3</v>
      </c>
      <c r="X525">
        <v>3</v>
      </c>
      <c r="Y525">
        <v>20</v>
      </c>
      <c r="Z525">
        <v>3</v>
      </c>
      <c r="AA525">
        <v>3</v>
      </c>
      <c r="AB525">
        <v>20</v>
      </c>
      <c r="AC525">
        <v>8</v>
      </c>
      <c r="AD525">
        <v>3</v>
      </c>
      <c r="AE525">
        <v>8</v>
      </c>
      <c r="AF525">
        <v>0</v>
      </c>
      <c r="AG525">
        <f>IF(tbl_HR_Data[[#This Row],[Gender]]="Male",1,0)</f>
        <v>1</v>
      </c>
      <c r="AH525" cm="1">
        <f t="array" ref="AH525">_xlfn.SWITCH(tbl_HR_Data[[#This Row],[BusinessTravel]], "Non-Travel", 0, "Travel_Rarely", 1, "Travel_Frequently", 2)</f>
        <v>1</v>
      </c>
      <c r="AI525" cm="1">
        <f t="array" ref="AI525">_xlfn.SWITCH(tbl_HR_Data[[#This Row],[MaritalStatus]],"Single",0,"Married",1,"Divorced",2)</f>
        <v>1</v>
      </c>
      <c r="AJ525">
        <f>IF(tbl_HR_Data[[#This Row],[OverTime]]=1,1,0)</f>
        <v>1</v>
      </c>
      <c r="AK525">
        <f>IF(tbl_HR_Data[[#This Row],[DistanceFromHome]]&gt;15,1,0)</f>
        <v>1</v>
      </c>
      <c r="AL525">
        <f>IF(tbl_HR_Data[[#This Row],[JobSatisfaction]]&lt;=2,1,0)</f>
        <v>0</v>
      </c>
      <c r="AM525">
        <f>IF(tbl_HR_Data[[#This Row],[MonthlyIncome]]&lt;$AT$2,1,0)</f>
        <v>1</v>
      </c>
      <c r="AN525">
        <f>IF(tbl_HR_Data[[#This Row],[Travel_Code]]=2,1,0)</f>
        <v>0</v>
      </c>
      <c r="AO525">
        <f>(tbl_HR_Data[[#This Row],[Flag_OT]] * Logic_Parameters!$B$2) +
 (tbl_HR_Data[[#This Row],[Flag_Travel]] * Logic_Parameters!$B$3) +
 (tbl_HR_Data[[#This Row],[Flag_Satisfaction]] * Logic_Parameters!$B$4) +
 (tbl_HR_Data[[#This Row],[Flag_Distance]]* Logic_Parameters!$B$5) +
 (tbl_HR_Data[[#This Row],[Flag_Income]] * Logic_Parameters!$B$6)</f>
        <v>19.660535633296206</v>
      </c>
      <c r="AP525" s="15">
        <f>tbl_HR_Data[[#This Row],[Risk_Score_Raw]] / SUM(Logic_Parameters!$B$2:$B$6)</f>
        <v>0.67735486308273574</v>
      </c>
      <c r="AQ525" s="16" t="str" cm="1">
        <f t="array" ref="AQ525">_xlfn.IFS(tbl_HR_Data[[#This Row],[Attrition_Risk_Percentage]] &gt;= 0.75, "Critical",tbl_HR_Data[ [#This Row],[Attrition_Risk_Percentage] ]&gt;= 0.5, "High",tbl_HR_Data[[#This Row],[Attrition_Risk_Percentage]] &gt;= 0.25, "Medium",TRUE, "Low")</f>
        <v>High</v>
      </c>
      <c r="AR525" s="16" cm="1">
        <f t="array" ref="AR525">IFERROR(_xlfn.IFS(tbl_HR_Data[[#This Row],[Risk_Category]]="Critical",tbl_HR_Data[[#This Row],[MonthlyIncome]]*1.5,tbl_HR_Data[[#This Row],[Risk_Category]]="High",tbl_HR_Data[[#This Row],[MonthlyIncome]]*1.5),0)</f>
        <v>4831.5</v>
      </c>
    </row>
    <row r="526" spans="1:44" x14ac:dyDescent="0.35">
      <c r="A526" t="s">
        <v>1233</v>
      </c>
      <c r="B526">
        <v>34</v>
      </c>
      <c r="C526" t="s">
        <v>31</v>
      </c>
      <c r="D526">
        <v>1442</v>
      </c>
      <c r="E526" t="s">
        <v>38</v>
      </c>
      <c r="F526">
        <v>9</v>
      </c>
      <c r="G526">
        <v>3</v>
      </c>
      <c r="H526" t="s">
        <v>44</v>
      </c>
      <c r="I526">
        <v>4</v>
      </c>
      <c r="J526" t="s">
        <v>34</v>
      </c>
      <c r="K526">
        <v>46</v>
      </c>
      <c r="L526">
        <v>2</v>
      </c>
      <c r="M526">
        <v>3</v>
      </c>
      <c r="N526" t="s">
        <v>47</v>
      </c>
      <c r="O526">
        <v>2</v>
      </c>
      <c r="P526" t="s">
        <v>36</v>
      </c>
      <c r="Q526">
        <v>8621</v>
      </c>
      <c r="R526">
        <v>17654</v>
      </c>
      <c r="S526">
        <v>1</v>
      </c>
      <c r="T526">
        <v>0</v>
      </c>
      <c r="U526" s="17">
        <v>0.14000000000000001</v>
      </c>
      <c r="V526">
        <v>3</v>
      </c>
      <c r="W526">
        <v>2</v>
      </c>
      <c r="X526">
        <v>0</v>
      </c>
      <c r="Y526">
        <v>9</v>
      </c>
      <c r="Z526">
        <v>3</v>
      </c>
      <c r="AA526">
        <v>4</v>
      </c>
      <c r="AB526">
        <v>8</v>
      </c>
      <c r="AC526">
        <v>7</v>
      </c>
      <c r="AD526">
        <v>7</v>
      </c>
      <c r="AE526">
        <v>7</v>
      </c>
      <c r="AF526">
        <v>0</v>
      </c>
      <c r="AG526">
        <f>IF(tbl_HR_Data[[#This Row],[Gender]]="Male",1,0)</f>
        <v>0</v>
      </c>
      <c r="AH526" cm="1">
        <f t="array" ref="AH526">_xlfn.SWITCH(tbl_HR_Data[[#This Row],[BusinessTravel]], "Non-Travel", 0, "Travel_Rarely", 1, "Travel_Frequently", 2)</f>
        <v>1</v>
      </c>
      <c r="AI526" cm="1">
        <f t="array" ref="AI526">_xlfn.SWITCH(tbl_HR_Data[[#This Row],[MaritalStatus]],"Single",0,"Married",1,"Divorced",2)</f>
        <v>0</v>
      </c>
      <c r="AJ526">
        <f>IF(tbl_HR_Data[[#This Row],[OverTime]]=1,1,0)</f>
        <v>0</v>
      </c>
      <c r="AK526">
        <f>IF(tbl_HR_Data[[#This Row],[DistanceFromHome]]&gt;15,1,0)</f>
        <v>0</v>
      </c>
      <c r="AL526">
        <f>IF(tbl_HR_Data[[#This Row],[JobSatisfaction]]&lt;=2,1,0)</f>
        <v>1</v>
      </c>
      <c r="AM526">
        <f>IF(tbl_HR_Data[[#This Row],[MonthlyIncome]]&lt;$AT$2,1,0)</f>
        <v>0</v>
      </c>
      <c r="AN526">
        <f>IF(tbl_HR_Data[[#This Row],[Travel_Code]]=2,1,0)</f>
        <v>0</v>
      </c>
      <c r="AO526">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526" s="15">
        <f>tbl_HR_Data[[#This Row],[Risk_Score_Raw]] / SUM(Logic_Parameters!$B$2:$B$6)</f>
        <v>0.14485673308716898</v>
      </c>
      <c r="AQ526" s="16" t="str" cm="1">
        <f t="array" ref="AQ526">_xlfn.IFS(tbl_HR_Data[[#This Row],[Attrition_Risk_Percentage]] &gt;= 0.75, "Critical",tbl_HR_Data[ [#This Row],[Attrition_Risk_Percentage] ]&gt;= 0.5, "High",tbl_HR_Data[[#This Row],[Attrition_Risk_Percentage]] &gt;= 0.25, "Medium",TRUE, "Low")</f>
        <v>Low</v>
      </c>
      <c r="AR526" s="16" cm="1">
        <f t="array" ref="AR526">IFERROR(_xlfn.IFS(tbl_HR_Data[[#This Row],[Risk_Category]]="Critical",tbl_HR_Data[[#This Row],[MonthlyIncome]]*1.5,tbl_HR_Data[[#This Row],[Risk_Category]]="High",tbl_HR_Data[[#This Row],[MonthlyIncome]]*1.5),0)</f>
        <v>0</v>
      </c>
    </row>
    <row r="527" spans="1:44" x14ac:dyDescent="0.35">
      <c r="A527" t="s">
        <v>1436</v>
      </c>
      <c r="B527">
        <v>24</v>
      </c>
      <c r="C527" t="s">
        <v>31</v>
      </c>
      <c r="D527">
        <v>693</v>
      </c>
      <c r="E527" t="s">
        <v>32</v>
      </c>
      <c r="F527">
        <v>3</v>
      </c>
      <c r="G527">
        <v>2</v>
      </c>
      <c r="H527" t="s">
        <v>33</v>
      </c>
      <c r="I527">
        <v>1</v>
      </c>
      <c r="J527" t="s">
        <v>34</v>
      </c>
      <c r="K527">
        <v>65</v>
      </c>
      <c r="L527">
        <v>3</v>
      </c>
      <c r="M527">
        <v>2</v>
      </c>
      <c r="N527" t="s">
        <v>35</v>
      </c>
      <c r="O527">
        <v>3</v>
      </c>
      <c r="P527" t="s">
        <v>36</v>
      </c>
      <c r="Q527">
        <v>4577</v>
      </c>
      <c r="R527">
        <v>24785</v>
      </c>
      <c r="S527">
        <v>9</v>
      </c>
      <c r="T527">
        <v>0</v>
      </c>
      <c r="U527" s="17">
        <v>0.14000000000000001</v>
      </c>
      <c r="V527">
        <v>3</v>
      </c>
      <c r="W527">
        <v>1</v>
      </c>
      <c r="X527">
        <v>0</v>
      </c>
      <c r="Y527">
        <v>4</v>
      </c>
      <c r="Z527">
        <v>3</v>
      </c>
      <c r="AA527">
        <v>3</v>
      </c>
      <c r="AB527">
        <v>2</v>
      </c>
      <c r="AC527">
        <v>2</v>
      </c>
      <c r="AD527">
        <v>2</v>
      </c>
      <c r="AE527">
        <v>0</v>
      </c>
      <c r="AF527">
        <v>1</v>
      </c>
      <c r="AG527">
        <f>IF(tbl_HR_Data[[#This Row],[Gender]]="Male",1,0)</f>
        <v>0</v>
      </c>
      <c r="AH527" cm="1">
        <f t="array" ref="AH527">_xlfn.SWITCH(tbl_HR_Data[[#This Row],[BusinessTravel]], "Non-Travel", 0, "Travel_Rarely", 1, "Travel_Frequently", 2)</f>
        <v>1</v>
      </c>
      <c r="AI527" cm="1">
        <f t="array" ref="AI527">_xlfn.SWITCH(tbl_HR_Data[[#This Row],[MaritalStatus]],"Single",0,"Married",1,"Divorced",2)</f>
        <v>0</v>
      </c>
      <c r="AJ527">
        <f>IF(tbl_HR_Data[[#This Row],[OverTime]]=1,1,0)</f>
        <v>0</v>
      </c>
      <c r="AK527">
        <f>IF(tbl_HR_Data[[#This Row],[DistanceFromHome]]&gt;15,1,0)</f>
        <v>0</v>
      </c>
      <c r="AL527">
        <f>IF(tbl_HR_Data[[#This Row],[JobSatisfaction]]&lt;=2,1,0)</f>
        <v>0</v>
      </c>
      <c r="AM527">
        <f>IF(tbl_HR_Data[[#This Row],[MonthlyIncome]]&lt;$AT$2,1,0)</f>
        <v>1</v>
      </c>
      <c r="AN527">
        <f>IF(tbl_HR_Data[[#This Row],[Travel_Code]]=2,1,0)</f>
        <v>0</v>
      </c>
      <c r="AO527">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527" s="15">
        <f>tbl_HR_Data[[#This Row],[Risk_Score_Raw]] / SUM(Logic_Parameters!$B$2:$B$6)</f>
        <v>0.22374939857982484</v>
      </c>
      <c r="AQ527" s="16" t="str" cm="1">
        <f t="array" ref="AQ527">_xlfn.IFS(tbl_HR_Data[[#This Row],[Attrition_Risk_Percentage]] &gt;= 0.75, "Critical",tbl_HR_Data[ [#This Row],[Attrition_Risk_Percentage] ]&gt;= 0.5, "High",tbl_HR_Data[[#This Row],[Attrition_Risk_Percentage]] &gt;= 0.25, "Medium",TRUE, "Low")</f>
        <v>Low</v>
      </c>
      <c r="AR527" s="16" cm="1">
        <f t="array" ref="AR527">IFERROR(_xlfn.IFS(tbl_HR_Data[[#This Row],[Risk_Category]]="Critical",tbl_HR_Data[[#This Row],[MonthlyIncome]]*1.5,tbl_HR_Data[[#This Row],[Risk_Category]]="High",tbl_HR_Data[[#This Row],[MonthlyIncome]]*1.5),0)</f>
        <v>0</v>
      </c>
    </row>
    <row r="528" spans="1:44" x14ac:dyDescent="0.35">
      <c r="A528" t="s">
        <v>368</v>
      </c>
      <c r="B528">
        <v>39</v>
      </c>
      <c r="C528" t="s">
        <v>31</v>
      </c>
      <c r="D528">
        <v>408</v>
      </c>
      <c r="E528" t="s">
        <v>38</v>
      </c>
      <c r="F528">
        <v>2</v>
      </c>
      <c r="G528">
        <v>4</v>
      </c>
      <c r="H528" t="s">
        <v>52</v>
      </c>
      <c r="I528">
        <v>4</v>
      </c>
      <c r="J528" t="s">
        <v>34</v>
      </c>
      <c r="K528">
        <v>80</v>
      </c>
      <c r="L528">
        <v>2</v>
      </c>
      <c r="M528">
        <v>2</v>
      </c>
      <c r="N528" t="s">
        <v>47</v>
      </c>
      <c r="O528">
        <v>3</v>
      </c>
      <c r="P528" t="s">
        <v>36</v>
      </c>
      <c r="Q528">
        <v>4553</v>
      </c>
      <c r="R528">
        <v>20978</v>
      </c>
      <c r="S528">
        <v>1</v>
      </c>
      <c r="T528">
        <v>0</v>
      </c>
      <c r="U528" s="17">
        <v>0.11</v>
      </c>
      <c r="V528">
        <v>3</v>
      </c>
      <c r="W528">
        <v>1</v>
      </c>
      <c r="X528">
        <v>0</v>
      </c>
      <c r="Y528">
        <v>20</v>
      </c>
      <c r="Z528">
        <v>4</v>
      </c>
      <c r="AA528">
        <v>3</v>
      </c>
      <c r="AB528">
        <v>20</v>
      </c>
      <c r="AC528">
        <v>7</v>
      </c>
      <c r="AD528">
        <v>11</v>
      </c>
      <c r="AE528">
        <v>10</v>
      </c>
      <c r="AF528">
        <v>0</v>
      </c>
      <c r="AG528">
        <f>IF(tbl_HR_Data[[#This Row],[Gender]]="Male",1,0)</f>
        <v>0</v>
      </c>
      <c r="AH528" cm="1">
        <f t="array" ref="AH528">_xlfn.SWITCH(tbl_HR_Data[[#This Row],[BusinessTravel]], "Non-Travel", 0, "Travel_Rarely", 1, "Travel_Frequently", 2)</f>
        <v>1</v>
      </c>
      <c r="AI528" cm="1">
        <f t="array" ref="AI528">_xlfn.SWITCH(tbl_HR_Data[[#This Row],[MaritalStatus]],"Single",0,"Married",1,"Divorced",2)</f>
        <v>0</v>
      </c>
      <c r="AJ528">
        <f>IF(tbl_HR_Data[[#This Row],[OverTime]]=1,1,0)</f>
        <v>0</v>
      </c>
      <c r="AK528">
        <f>IF(tbl_HR_Data[[#This Row],[DistanceFromHome]]&gt;15,1,0)</f>
        <v>0</v>
      </c>
      <c r="AL528">
        <f>IF(tbl_HR_Data[[#This Row],[JobSatisfaction]]&lt;=2,1,0)</f>
        <v>0</v>
      </c>
      <c r="AM528">
        <f>IF(tbl_HR_Data[[#This Row],[MonthlyIncome]]&lt;$AT$2,1,0)</f>
        <v>1</v>
      </c>
      <c r="AN528">
        <f>IF(tbl_HR_Data[[#This Row],[Travel_Code]]=2,1,0)</f>
        <v>0</v>
      </c>
      <c r="AO528">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528" s="15">
        <f>tbl_HR_Data[[#This Row],[Risk_Score_Raw]] / SUM(Logic_Parameters!$B$2:$B$6)</f>
        <v>0.22374939857982484</v>
      </c>
      <c r="AQ528" s="16" t="str" cm="1">
        <f t="array" ref="AQ528">_xlfn.IFS(tbl_HR_Data[[#This Row],[Attrition_Risk_Percentage]] &gt;= 0.75, "Critical",tbl_HR_Data[ [#This Row],[Attrition_Risk_Percentage] ]&gt;= 0.5, "High",tbl_HR_Data[[#This Row],[Attrition_Risk_Percentage]] &gt;= 0.25, "Medium",TRUE, "Low")</f>
        <v>Low</v>
      </c>
      <c r="AR528" s="16" cm="1">
        <f t="array" ref="AR528">IFERROR(_xlfn.IFS(tbl_HR_Data[[#This Row],[Risk_Category]]="Critical",tbl_HR_Data[[#This Row],[MonthlyIncome]]*1.5,tbl_HR_Data[[#This Row],[Risk_Category]]="High",tbl_HR_Data[[#This Row],[MonthlyIncome]]*1.5),0)</f>
        <v>0</v>
      </c>
    </row>
    <row r="529" spans="1:44" x14ac:dyDescent="0.35">
      <c r="A529" t="s">
        <v>1108</v>
      </c>
      <c r="B529">
        <v>32</v>
      </c>
      <c r="C529" t="s">
        <v>31</v>
      </c>
      <c r="D529">
        <v>929</v>
      </c>
      <c r="E529" t="s">
        <v>32</v>
      </c>
      <c r="F529">
        <v>10</v>
      </c>
      <c r="G529">
        <v>3</v>
      </c>
      <c r="H529" t="s">
        <v>51</v>
      </c>
      <c r="I529">
        <v>4</v>
      </c>
      <c r="J529" t="s">
        <v>39</v>
      </c>
      <c r="K529">
        <v>55</v>
      </c>
      <c r="L529">
        <v>3</v>
      </c>
      <c r="M529">
        <v>2</v>
      </c>
      <c r="N529" t="s">
        <v>35</v>
      </c>
      <c r="O529">
        <v>4</v>
      </c>
      <c r="P529" t="s">
        <v>36</v>
      </c>
      <c r="Q529">
        <v>5396</v>
      </c>
      <c r="R529">
        <v>21703</v>
      </c>
      <c r="S529">
        <v>1</v>
      </c>
      <c r="T529">
        <v>0</v>
      </c>
      <c r="U529" s="17">
        <v>0.12</v>
      </c>
      <c r="V529">
        <v>3</v>
      </c>
      <c r="W529">
        <v>4</v>
      </c>
      <c r="X529">
        <v>0</v>
      </c>
      <c r="Y529">
        <v>10</v>
      </c>
      <c r="Z529">
        <v>2</v>
      </c>
      <c r="AA529">
        <v>2</v>
      </c>
      <c r="AB529">
        <v>10</v>
      </c>
      <c r="AC529">
        <v>7</v>
      </c>
      <c r="AD529">
        <v>0</v>
      </c>
      <c r="AE529">
        <v>8</v>
      </c>
      <c r="AF529">
        <v>0</v>
      </c>
      <c r="AG529">
        <f>IF(tbl_HR_Data[[#This Row],[Gender]]="Male",1,0)</f>
        <v>1</v>
      </c>
      <c r="AH529" cm="1">
        <f t="array" ref="AH529">_xlfn.SWITCH(tbl_HR_Data[[#This Row],[BusinessTravel]], "Non-Travel", 0, "Travel_Rarely", 1, "Travel_Frequently", 2)</f>
        <v>1</v>
      </c>
      <c r="AI529" cm="1">
        <f t="array" ref="AI529">_xlfn.SWITCH(tbl_HR_Data[[#This Row],[MaritalStatus]],"Single",0,"Married",1,"Divorced",2)</f>
        <v>0</v>
      </c>
      <c r="AJ529">
        <f>IF(tbl_HR_Data[[#This Row],[OverTime]]=1,1,0)</f>
        <v>0</v>
      </c>
      <c r="AK529">
        <f>IF(tbl_HR_Data[[#This Row],[DistanceFromHome]]&gt;15,1,0)</f>
        <v>0</v>
      </c>
      <c r="AL529">
        <f>IF(tbl_HR_Data[[#This Row],[JobSatisfaction]]&lt;=2,1,0)</f>
        <v>0</v>
      </c>
      <c r="AM529">
        <f>IF(tbl_HR_Data[[#This Row],[MonthlyIncome]]&lt;$AT$2,1,0)</f>
        <v>0</v>
      </c>
      <c r="AN529">
        <f>IF(tbl_HR_Data[[#This Row],[Travel_Code]]=2,1,0)</f>
        <v>0</v>
      </c>
      <c r="AO529">
        <f>(tbl_HR_Data[[#This Row],[Flag_OT]] * Logic_Parameters!$B$2) +
 (tbl_HR_Data[[#This Row],[Flag_Travel]] * Logic_Parameters!$B$3) +
 (tbl_HR_Data[[#This Row],[Flag_Satisfaction]] * Logic_Parameters!$B$4) +
 (tbl_HR_Data[[#This Row],[Flag_Distance]]* Logic_Parameters!$B$5) +
 (tbl_HR_Data[[#This Row],[Flag_Income]] * Logic_Parameters!$B$6)</f>
        <v>0</v>
      </c>
      <c r="AP529" s="15">
        <f>tbl_HR_Data[[#This Row],[Risk_Score_Raw]] / SUM(Logic_Parameters!$B$2:$B$6)</f>
        <v>0</v>
      </c>
      <c r="AQ529" s="16" t="str" cm="1">
        <f t="array" ref="AQ529">_xlfn.IFS(tbl_HR_Data[[#This Row],[Attrition_Risk_Percentage]] &gt;= 0.75, "Critical",tbl_HR_Data[ [#This Row],[Attrition_Risk_Percentage] ]&gt;= 0.5, "High",tbl_HR_Data[[#This Row],[Attrition_Risk_Percentage]] &gt;= 0.25, "Medium",TRUE, "Low")</f>
        <v>Low</v>
      </c>
      <c r="AR529" s="16" cm="1">
        <f t="array" ref="AR529">IFERROR(_xlfn.IFS(tbl_HR_Data[[#This Row],[Risk_Category]]="Critical",tbl_HR_Data[[#This Row],[MonthlyIncome]]*1.5,tbl_HR_Data[[#This Row],[Risk_Category]]="High",tbl_HR_Data[[#This Row],[MonthlyIncome]]*1.5),0)</f>
        <v>0</v>
      </c>
    </row>
    <row r="530" spans="1:44" x14ac:dyDescent="0.35">
      <c r="A530" t="s">
        <v>558</v>
      </c>
      <c r="B530">
        <v>50</v>
      </c>
      <c r="C530" t="s">
        <v>37</v>
      </c>
      <c r="D530">
        <v>562</v>
      </c>
      <c r="E530" t="s">
        <v>32</v>
      </c>
      <c r="F530">
        <v>8</v>
      </c>
      <c r="G530">
        <v>2</v>
      </c>
      <c r="H530" t="s">
        <v>52</v>
      </c>
      <c r="I530">
        <v>2</v>
      </c>
      <c r="J530" t="s">
        <v>39</v>
      </c>
      <c r="K530">
        <v>50</v>
      </c>
      <c r="L530">
        <v>3</v>
      </c>
      <c r="M530">
        <v>2</v>
      </c>
      <c r="N530" t="s">
        <v>35</v>
      </c>
      <c r="O530">
        <v>3</v>
      </c>
      <c r="P530" t="s">
        <v>41</v>
      </c>
      <c r="Q530">
        <v>6796</v>
      </c>
      <c r="R530">
        <v>23452</v>
      </c>
      <c r="S530">
        <v>3</v>
      </c>
      <c r="T530">
        <v>1</v>
      </c>
      <c r="U530" s="17">
        <v>0.14000000000000001</v>
      </c>
      <c r="V530">
        <v>3</v>
      </c>
      <c r="W530">
        <v>1</v>
      </c>
      <c r="X530">
        <v>1</v>
      </c>
      <c r="Y530">
        <v>18</v>
      </c>
      <c r="Z530">
        <v>4</v>
      </c>
      <c r="AA530">
        <v>3</v>
      </c>
      <c r="AB530">
        <v>4</v>
      </c>
      <c r="AC530">
        <v>3</v>
      </c>
      <c r="AD530">
        <v>1</v>
      </c>
      <c r="AE530">
        <v>3</v>
      </c>
      <c r="AF530">
        <v>1</v>
      </c>
      <c r="AG530">
        <f>IF(tbl_HR_Data[[#This Row],[Gender]]="Male",1,0)</f>
        <v>1</v>
      </c>
      <c r="AH530" cm="1">
        <f t="array" ref="AH530">_xlfn.SWITCH(tbl_HR_Data[[#This Row],[BusinessTravel]], "Non-Travel", 0, "Travel_Rarely", 1, "Travel_Frequently", 2)</f>
        <v>2</v>
      </c>
      <c r="AI530" cm="1">
        <f t="array" ref="AI530">_xlfn.SWITCH(tbl_HR_Data[[#This Row],[MaritalStatus]],"Single",0,"Married",1,"Divorced",2)</f>
        <v>1</v>
      </c>
      <c r="AJ530">
        <f>IF(tbl_HR_Data[[#This Row],[OverTime]]=1,1,0)</f>
        <v>1</v>
      </c>
      <c r="AK530">
        <f>IF(tbl_HR_Data[[#This Row],[DistanceFromHome]]&gt;15,1,0)</f>
        <v>0</v>
      </c>
      <c r="AL530">
        <f>IF(tbl_HR_Data[[#This Row],[JobSatisfaction]]&lt;=2,1,0)</f>
        <v>0</v>
      </c>
      <c r="AM530">
        <f>IF(tbl_HR_Data[[#This Row],[MonthlyIncome]]&lt;$AT$2,1,0)</f>
        <v>0</v>
      </c>
      <c r="AN530">
        <f>IF(tbl_HR_Data[[#This Row],[Travel_Code]]=2,1,0)</f>
        <v>1</v>
      </c>
      <c r="AO530">
        <f>(tbl_HR_Data[[#This Row],[Flag_OT]] * Logic_Parameters!$B$2) +
 (tbl_HR_Data[[#This Row],[Flag_Travel]] * Logic_Parameters!$B$3) +
 (tbl_HR_Data[[#This Row],[Flag_Satisfaction]] * Logic_Parameters!$B$4) +
 (tbl_HR_Data[[#This Row],[Flag_Distance]]* Logic_Parameters!$B$5) +
 (tbl_HR_Data[[#This Row],[Flag_Income]] * Logic_Parameters!$B$6)</f>
        <v>15.160389980490176</v>
      </c>
      <c r="AP530" s="15">
        <f>tbl_HR_Data[[#This Row],[Risk_Score_Raw]] / SUM(Logic_Parameters!$B$2:$B$6)</f>
        <v>0.52231353565590266</v>
      </c>
      <c r="AQ530" s="16" t="str" cm="1">
        <f t="array" ref="AQ530">_xlfn.IFS(tbl_HR_Data[[#This Row],[Attrition_Risk_Percentage]] &gt;= 0.75, "Critical",tbl_HR_Data[ [#This Row],[Attrition_Risk_Percentage] ]&gt;= 0.5, "High",tbl_HR_Data[[#This Row],[Attrition_Risk_Percentage]] &gt;= 0.25, "Medium",TRUE, "Low")</f>
        <v>High</v>
      </c>
      <c r="AR530" s="16" cm="1">
        <f t="array" ref="AR530">IFERROR(_xlfn.IFS(tbl_HR_Data[[#This Row],[Risk_Category]]="Critical",tbl_HR_Data[[#This Row],[MonthlyIncome]]*1.5,tbl_HR_Data[[#This Row],[Risk_Category]]="High",tbl_HR_Data[[#This Row],[MonthlyIncome]]*1.5),0)</f>
        <v>10194</v>
      </c>
    </row>
    <row r="531" spans="1:44" x14ac:dyDescent="0.35">
      <c r="A531" t="s">
        <v>226</v>
      </c>
      <c r="B531">
        <v>38</v>
      </c>
      <c r="C531" t="s">
        <v>31</v>
      </c>
      <c r="D531">
        <v>827</v>
      </c>
      <c r="E531" t="s">
        <v>38</v>
      </c>
      <c r="F531">
        <v>1</v>
      </c>
      <c r="G531">
        <v>4</v>
      </c>
      <c r="H531" t="s">
        <v>33</v>
      </c>
      <c r="I531">
        <v>2</v>
      </c>
      <c r="J531" t="s">
        <v>34</v>
      </c>
      <c r="K531">
        <v>33</v>
      </c>
      <c r="L531">
        <v>4</v>
      </c>
      <c r="M531">
        <v>2</v>
      </c>
      <c r="N531" t="s">
        <v>47</v>
      </c>
      <c r="O531">
        <v>4</v>
      </c>
      <c r="P531" t="s">
        <v>36</v>
      </c>
      <c r="Q531">
        <v>7625</v>
      </c>
      <c r="R531">
        <v>19383</v>
      </c>
      <c r="S531">
        <v>0</v>
      </c>
      <c r="T531">
        <v>0</v>
      </c>
      <c r="U531" s="17">
        <v>0.13</v>
      </c>
      <c r="V531">
        <v>3</v>
      </c>
      <c r="W531">
        <v>3</v>
      </c>
      <c r="X531">
        <v>0</v>
      </c>
      <c r="Y531">
        <v>10</v>
      </c>
      <c r="Z531">
        <v>4</v>
      </c>
      <c r="AA531">
        <v>2</v>
      </c>
      <c r="AB531">
        <v>9</v>
      </c>
      <c r="AC531">
        <v>7</v>
      </c>
      <c r="AD531">
        <v>1</v>
      </c>
      <c r="AE531">
        <v>8</v>
      </c>
      <c r="AF531">
        <v>0</v>
      </c>
      <c r="AG531">
        <f>IF(tbl_HR_Data[[#This Row],[Gender]]="Male",1,0)</f>
        <v>0</v>
      </c>
      <c r="AH531" cm="1">
        <f t="array" ref="AH531">_xlfn.SWITCH(tbl_HR_Data[[#This Row],[BusinessTravel]], "Non-Travel", 0, "Travel_Rarely", 1, "Travel_Frequently", 2)</f>
        <v>1</v>
      </c>
      <c r="AI531" cm="1">
        <f t="array" ref="AI531">_xlfn.SWITCH(tbl_HR_Data[[#This Row],[MaritalStatus]],"Single",0,"Married",1,"Divorced",2)</f>
        <v>0</v>
      </c>
      <c r="AJ531">
        <f>IF(tbl_HR_Data[[#This Row],[OverTime]]=1,1,0)</f>
        <v>0</v>
      </c>
      <c r="AK531">
        <f>IF(tbl_HR_Data[[#This Row],[DistanceFromHome]]&gt;15,1,0)</f>
        <v>0</v>
      </c>
      <c r="AL531">
        <f>IF(tbl_HR_Data[[#This Row],[JobSatisfaction]]&lt;=2,1,0)</f>
        <v>0</v>
      </c>
      <c r="AM531">
        <f>IF(tbl_HR_Data[[#This Row],[MonthlyIncome]]&lt;$AT$2,1,0)</f>
        <v>0</v>
      </c>
      <c r="AN531">
        <f>IF(tbl_HR_Data[[#This Row],[Travel_Code]]=2,1,0)</f>
        <v>0</v>
      </c>
      <c r="AO531">
        <f>(tbl_HR_Data[[#This Row],[Flag_OT]] * Logic_Parameters!$B$2) +
 (tbl_HR_Data[[#This Row],[Flag_Travel]] * Logic_Parameters!$B$3) +
 (tbl_HR_Data[[#This Row],[Flag_Satisfaction]] * Logic_Parameters!$B$4) +
 (tbl_HR_Data[[#This Row],[Flag_Distance]]* Logic_Parameters!$B$5) +
 (tbl_HR_Data[[#This Row],[Flag_Income]] * Logic_Parameters!$B$6)</f>
        <v>0</v>
      </c>
      <c r="AP531" s="15">
        <f>tbl_HR_Data[[#This Row],[Risk_Score_Raw]] / SUM(Logic_Parameters!$B$2:$B$6)</f>
        <v>0</v>
      </c>
      <c r="AQ531" s="16" t="str" cm="1">
        <f t="array" ref="AQ531">_xlfn.IFS(tbl_HR_Data[[#This Row],[Attrition_Risk_Percentage]] &gt;= 0.75, "Critical",tbl_HR_Data[ [#This Row],[Attrition_Risk_Percentage] ]&gt;= 0.5, "High",tbl_HR_Data[[#This Row],[Attrition_Risk_Percentage]] &gt;= 0.25, "Medium",TRUE, "Low")</f>
        <v>Low</v>
      </c>
      <c r="AR531" s="16" cm="1">
        <f t="array" ref="AR531">IFERROR(_xlfn.IFS(tbl_HR_Data[[#This Row],[Risk_Category]]="Critical",tbl_HR_Data[[#This Row],[MonthlyIncome]]*1.5,tbl_HR_Data[[#This Row],[Risk_Category]]="High",tbl_HR_Data[[#This Row],[MonthlyIncome]]*1.5),0)</f>
        <v>0</v>
      </c>
    </row>
    <row r="532" spans="1:44" x14ac:dyDescent="0.35">
      <c r="A532" t="s">
        <v>1228</v>
      </c>
      <c r="B532">
        <v>27</v>
      </c>
      <c r="C532" t="s">
        <v>31</v>
      </c>
      <c r="D532">
        <v>608</v>
      </c>
      <c r="E532" t="s">
        <v>38</v>
      </c>
      <c r="F532">
        <v>1</v>
      </c>
      <c r="G532">
        <v>2</v>
      </c>
      <c r="H532" t="s">
        <v>33</v>
      </c>
      <c r="I532">
        <v>3</v>
      </c>
      <c r="J532" t="s">
        <v>34</v>
      </c>
      <c r="K532">
        <v>68</v>
      </c>
      <c r="L532">
        <v>3</v>
      </c>
      <c r="M532">
        <v>3</v>
      </c>
      <c r="N532" t="s">
        <v>46</v>
      </c>
      <c r="O532">
        <v>1</v>
      </c>
      <c r="P532" t="s">
        <v>41</v>
      </c>
      <c r="Q532">
        <v>7412</v>
      </c>
      <c r="R532">
        <v>6009</v>
      </c>
      <c r="S532">
        <v>1</v>
      </c>
      <c r="T532">
        <v>0</v>
      </c>
      <c r="U532" s="17">
        <v>0.11</v>
      </c>
      <c r="V532">
        <v>3</v>
      </c>
      <c r="W532">
        <v>4</v>
      </c>
      <c r="X532">
        <v>0</v>
      </c>
      <c r="Y532">
        <v>9</v>
      </c>
      <c r="Z532">
        <v>3</v>
      </c>
      <c r="AA532">
        <v>3</v>
      </c>
      <c r="AB532">
        <v>9</v>
      </c>
      <c r="AC532">
        <v>7</v>
      </c>
      <c r="AD532">
        <v>0</v>
      </c>
      <c r="AE532">
        <v>7</v>
      </c>
      <c r="AF532">
        <v>0</v>
      </c>
      <c r="AG532">
        <f>IF(tbl_HR_Data[[#This Row],[Gender]]="Male",1,0)</f>
        <v>0</v>
      </c>
      <c r="AH532" cm="1">
        <f t="array" ref="AH532">_xlfn.SWITCH(tbl_HR_Data[[#This Row],[BusinessTravel]], "Non-Travel", 0, "Travel_Rarely", 1, "Travel_Frequently", 2)</f>
        <v>1</v>
      </c>
      <c r="AI532" cm="1">
        <f t="array" ref="AI532">_xlfn.SWITCH(tbl_HR_Data[[#This Row],[MaritalStatus]],"Single",0,"Married",1,"Divorced",2)</f>
        <v>1</v>
      </c>
      <c r="AJ532">
        <f>IF(tbl_HR_Data[[#This Row],[OverTime]]=1,1,0)</f>
        <v>0</v>
      </c>
      <c r="AK532">
        <f>IF(tbl_HR_Data[[#This Row],[DistanceFromHome]]&gt;15,1,0)</f>
        <v>0</v>
      </c>
      <c r="AL532">
        <f>IF(tbl_HR_Data[[#This Row],[JobSatisfaction]]&lt;=2,1,0)</f>
        <v>1</v>
      </c>
      <c r="AM532">
        <f>IF(tbl_HR_Data[[#This Row],[MonthlyIncome]]&lt;$AT$2,1,0)</f>
        <v>0</v>
      </c>
      <c r="AN532">
        <f>IF(tbl_HR_Data[[#This Row],[Travel_Code]]=2,1,0)</f>
        <v>0</v>
      </c>
      <c r="AO532">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532" s="15">
        <f>tbl_HR_Data[[#This Row],[Risk_Score_Raw]] / SUM(Logic_Parameters!$B$2:$B$6)</f>
        <v>0.14485673308716898</v>
      </c>
      <c r="AQ532" s="16" t="str" cm="1">
        <f t="array" ref="AQ532">_xlfn.IFS(tbl_HR_Data[[#This Row],[Attrition_Risk_Percentage]] &gt;= 0.75, "Critical",tbl_HR_Data[ [#This Row],[Attrition_Risk_Percentage] ]&gt;= 0.5, "High",tbl_HR_Data[[#This Row],[Attrition_Risk_Percentage]] &gt;= 0.25, "Medium",TRUE, "Low")</f>
        <v>Low</v>
      </c>
      <c r="AR532" s="16" cm="1">
        <f t="array" ref="AR532">IFERROR(_xlfn.IFS(tbl_HR_Data[[#This Row],[Risk_Category]]="Critical",tbl_HR_Data[[#This Row],[MonthlyIncome]]*1.5,tbl_HR_Data[[#This Row],[Risk_Category]]="High",tbl_HR_Data[[#This Row],[MonthlyIncome]]*1.5),0)</f>
        <v>0</v>
      </c>
    </row>
    <row r="533" spans="1:44" x14ac:dyDescent="0.35">
      <c r="A533" t="s">
        <v>463</v>
      </c>
      <c r="B533">
        <v>32</v>
      </c>
      <c r="C533" t="s">
        <v>31</v>
      </c>
      <c r="D533">
        <v>1018</v>
      </c>
      <c r="E533" t="s">
        <v>38</v>
      </c>
      <c r="F533">
        <v>3</v>
      </c>
      <c r="G533">
        <v>2</v>
      </c>
      <c r="H533" t="s">
        <v>33</v>
      </c>
      <c r="I533">
        <v>3</v>
      </c>
      <c r="J533" t="s">
        <v>34</v>
      </c>
      <c r="K533">
        <v>39</v>
      </c>
      <c r="L533">
        <v>3</v>
      </c>
      <c r="M533">
        <v>3</v>
      </c>
      <c r="N533" t="s">
        <v>50</v>
      </c>
      <c r="O533">
        <v>4</v>
      </c>
      <c r="P533" t="s">
        <v>36</v>
      </c>
      <c r="Q533">
        <v>11159</v>
      </c>
      <c r="R533">
        <v>19373</v>
      </c>
      <c r="S533">
        <v>3</v>
      </c>
      <c r="T533">
        <v>0</v>
      </c>
      <c r="U533" s="17">
        <v>0.15</v>
      </c>
      <c r="V533">
        <v>3</v>
      </c>
      <c r="W533">
        <v>4</v>
      </c>
      <c r="X533">
        <v>0</v>
      </c>
      <c r="Y533">
        <v>10</v>
      </c>
      <c r="Z533">
        <v>6</v>
      </c>
      <c r="AA533">
        <v>3</v>
      </c>
      <c r="AB533">
        <v>7</v>
      </c>
      <c r="AC533">
        <v>7</v>
      </c>
      <c r="AD533">
        <v>7</v>
      </c>
      <c r="AE533">
        <v>7</v>
      </c>
      <c r="AF533">
        <v>0</v>
      </c>
      <c r="AG533">
        <f>IF(tbl_HR_Data[[#This Row],[Gender]]="Male",1,0)</f>
        <v>0</v>
      </c>
      <c r="AH533" cm="1">
        <f t="array" ref="AH533">_xlfn.SWITCH(tbl_HR_Data[[#This Row],[BusinessTravel]], "Non-Travel", 0, "Travel_Rarely", 1, "Travel_Frequently", 2)</f>
        <v>1</v>
      </c>
      <c r="AI533" cm="1">
        <f t="array" ref="AI533">_xlfn.SWITCH(tbl_HR_Data[[#This Row],[MaritalStatus]],"Single",0,"Married",1,"Divorced",2)</f>
        <v>0</v>
      </c>
      <c r="AJ533">
        <f>IF(tbl_HR_Data[[#This Row],[OverTime]]=1,1,0)</f>
        <v>0</v>
      </c>
      <c r="AK533">
        <f>IF(tbl_HR_Data[[#This Row],[DistanceFromHome]]&gt;15,1,0)</f>
        <v>0</v>
      </c>
      <c r="AL533">
        <f>IF(tbl_HR_Data[[#This Row],[JobSatisfaction]]&lt;=2,1,0)</f>
        <v>0</v>
      </c>
      <c r="AM533">
        <f>IF(tbl_HR_Data[[#This Row],[MonthlyIncome]]&lt;$AT$2,1,0)</f>
        <v>0</v>
      </c>
      <c r="AN533">
        <f>IF(tbl_HR_Data[[#This Row],[Travel_Code]]=2,1,0)</f>
        <v>0</v>
      </c>
      <c r="AO533">
        <f>(tbl_HR_Data[[#This Row],[Flag_OT]] * Logic_Parameters!$B$2) +
 (tbl_HR_Data[[#This Row],[Flag_Travel]] * Logic_Parameters!$B$3) +
 (tbl_HR_Data[[#This Row],[Flag_Satisfaction]] * Logic_Parameters!$B$4) +
 (tbl_HR_Data[[#This Row],[Flag_Distance]]* Logic_Parameters!$B$5) +
 (tbl_HR_Data[[#This Row],[Flag_Income]] * Logic_Parameters!$B$6)</f>
        <v>0</v>
      </c>
      <c r="AP533" s="15">
        <f>tbl_HR_Data[[#This Row],[Risk_Score_Raw]] / SUM(Logic_Parameters!$B$2:$B$6)</f>
        <v>0</v>
      </c>
      <c r="AQ533" s="16" t="str" cm="1">
        <f t="array" ref="AQ533">_xlfn.IFS(tbl_HR_Data[[#This Row],[Attrition_Risk_Percentage]] &gt;= 0.75, "Critical",tbl_HR_Data[ [#This Row],[Attrition_Risk_Percentage] ]&gt;= 0.5, "High",tbl_HR_Data[[#This Row],[Attrition_Risk_Percentage]] &gt;= 0.25, "Medium",TRUE, "Low")</f>
        <v>Low</v>
      </c>
      <c r="AR533" s="16" cm="1">
        <f t="array" ref="AR533">IFERROR(_xlfn.IFS(tbl_HR_Data[[#This Row],[Risk_Category]]="Critical",tbl_HR_Data[[#This Row],[MonthlyIncome]]*1.5,tbl_HR_Data[[#This Row],[Risk_Category]]="High",tbl_HR_Data[[#This Row],[MonthlyIncome]]*1.5),0)</f>
        <v>0</v>
      </c>
    </row>
    <row r="534" spans="1:44" x14ac:dyDescent="0.35">
      <c r="A534" t="s">
        <v>145</v>
      </c>
      <c r="B534">
        <v>47</v>
      </c>
      <c r="C534" t="s">
        <v>31</v>
      </c>
      <c r="D534">
        <v>703</v>
      </c>
      <c r="E534" t="s">
        <v>32</v>
      </c>
      <c r="F534">
        <v>14</v>
      </c>
      <c r="G534">
        <v>4</v>
      </c>
      <c r="H534" t="s">
        <v>51</v>
      </c>
      <c r="I534">
        <v>4</v>
      </c>
      <c r="J534" t="s">
        <v>39</v>
      </c>
      <c r="K534">
        <v>42</v>
      </c>
      <c r="L534">
        <v>3</v>
      </c>
      <c r="M534">
        <v>2</v>
      </c>
      <c r="N534" t="s">
        <v>35</v>
      </c>
      <c r="O534">
        <v>1</v>
      </c>
      <c r="P534" t="s">
        <v>36</v>
      </c>
      <c r="Q534">
        <v>4960</v>
      </c>
      <c r="R534">
        <v>11825</v>
      </c>
      <c r="S534">
        <v>2</v>
      </c>
      <c r="T534">
        <v>0</v>
      </c>
      <c r="U534" s="17">
        <v>0.12</v>
      </c>
      <c r="V534">
        <v>3</v>
      </c>
      <c r="W534">
        <v>4</v>
      </c>
      <c r="X534">
        <v>0</v>
      </c>
      <c r="Y534">
        <v>20</v>
      </c>
      <c r="Z534">
        <v>2</v>
      </c>
      <c r="AA534">
        <v>3</v>
      </c>
      <c r="AB534">
        <v>7</v>
      </c>
      <c r="AC534">
        <v>7</v>
      </c>
      <c r="AD534">
        <v>1</v>
      </c>
      <c r="AE534">
        <v>7</v>
      </c>
      <c r="AF534">
        <v>0</v>
      </c>
      <c r="AG534">
        <f>IF(tbl_HR_Data[[#This Row],[Gender]]="Male",1,0)</f>
        <v>1</v>
      </c>
      <c r="AH534" cm="1">
        <f t="array" ref="AH534">_xlfn.SWITCH(tbl_HR_Data[[#This Row],[BusinessTravel]], "Non-Travel", 0, "Travel_Rarely", 1, "Travel_Frequently", 2)</f>
        <v>1</v>
      </c>
      <c r="AI534" cm="1">
        <f t="array" ref="AI534">_xlfn.SWITCH(tbl_HR_Data[[#This Row],[MaritalStatus]],"Single",0,"Married",1,"Divorced",2)</f>
        <v>0</v>
      </c>
      <c r="AJ534">
        <f>IF(tbl_HR_Data[[#This Row],[OverTime]]=1,1,0)</f>
        <v>0</v>
      </c>
      <c r="AK534">
        <f>IF(tbl_HR_Data[[#This Row],[DistanceFromHome]]&gt;15,1,0)</f>
        <v>0</v>
      </c>
      <c r="AL534">
        <f>IF(tbl_HR_Data[[#This Row],[JobSatisfaction]]&lt;=2,1,0)</f>
        <v>1</v>
      </c>
      <c r="AM534">
        <f>IF(tbl_HR_Data[[#This Row],[MonthlyIncome]]&lt;$AT$2,1,0)</f>
        <v>0</v>
      </c>
      <c r="AN534">
        <f>IF(tbl_HR_Data[[#This Row],[Travel_Code]]=2,1,0)</f>
        <v>0</v>
      </c>
      <c r="AO534">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534" s="15">
        <f>tbl_HR_Data[[#This Row],[Risk_Score_Raw]] / SUM(Logic_Parameters!$B$2:$B$6)</f>
        <v>0.14485673308716898</v>
      </c>
      <c r="AQ534" s="16" t="str" cm="1">
        <f t="array" ref="AQ534">_xlfn.IFS(tbl_HR_Data[[#This Row],[Attrition_Risk_Percentage]] &gt;= 0.75, "Critical",tbl_HR_Data[ [#This Row],[Attrition_Risk_Percentage] ]&gt;= 0.5, "High",tbl_HR_Data[[#This Row],[Attrition_Risk_Percentage]] &gt;= 0.25, "Medium",TRUE, "Low")</f>
        <v>Low</v>
      </c>
      <c r="AR534" s="16" cm="1">
        <f t="array" ref="AR534">IFERROR(_xlfn.IFS(tbl_HR_Data[[#This Row],[Risk_Category]]="Critical",tbl_HR_Data[[#This Row],[MonthlyIncome]]*1.5,tbl_HR_Data[[#This Row],[Risk_Category]]="High",tbl_HR_Data[[#This Row],[MonthlyIncome]]*1.5),0)</f>
        <v>0</v>
      </c>
    </row>
    <row r="535" spans="1:44" x14ac:dyDescent="0.35">
      <c r="A535" t="s">
        <v>195</v>
      </c>
      <c r="B535">
        <v>40</v>
      </c>
      <c r="C535" t="s">
        <v>37</v>
      </c>
      <c r="D535">
        <v>580</v>
      </c>
      <c r="E535" t="s">
        <v>32</v>
      </c>
      <c r="F535">
        <v>5</v>
      </c>
      <c r="G535">
        <v>4</v>
      </c>
      <c r="H535" t="s">
        <v>33</v>
      </c>
      <c r="I535">
        <v>4</v>
      </c>
      <c r="J535" t="s">
        <v>39</v>
      </c>
      <c r="K535">
        <v>48</v>
      </c>
      <c r="L535">
        <v>2</v>
      </c>
      <c r="M535">
        <v>3</v>
      </c>
      <c r="N535" t="s">
        <v>35</v>
      </c>
      <c r="O535">
        <v>1</v>
      </c>
      <c r="P535" t="s">
        <v>41</v>
      </c>
      <c r="Q535">
        <v>10475</v>
      </c>
      <c r="R535">
        <v>23772</v>
      </c>
      <c r="S535">
        <v>5</v>
      </c>
      <c r="T535">
        <v>1</v>
      </c>
      <c r="U535" s="17">
        <v>0.21</v>
      </c>
      <c r="V535">
        <v>4</v>
      </c>
      <c r="W535">
        <v>3</v>
      </c>
      <c r="X535">
        <v>1</v>
      </c>
      <c r="Y535">
        <v>20</v>
      </c>
      <c r="Z535">
        <v>2</v>
      </c>
      <c r="AA535">
        <v>3</v>
      </c>
      <c r="AB535">
        <v>18</v>
      </c>
      <c r="AC535">
        <v>13</v>
      </c>
      <c r="AD535">
        <v>1</v>
      </c>
      <c r="AE535">
        <v>12</v>
      </c>
      <c r="AF535">
        <v>0</v>
      </c>
      <c r="AG535">
        <f>IF(tbl_HR_Data[[#This Row],[Gender]]="Male",1,0)</f>
        <v>1</v>
      </c>
      <c r="AH535" cm="1">
        <f t="array" ref="AH535">_xlfn.SWITCH(tbl_HR_Data[[#This Row],[BusinessTravel]], "Non-Travel", 0, "Travel_Rarely", 1, "Travel_Frequently", 2)</f>
        <v>2</v>
      </c>
      <c r="AI535" cm="1">
        <f t="array" ref="AI535">_xlfn.SWITCH(tbl_HR_Data[[#This Row],[MaritalStatus]],"Single",0,"Married",1,"Divorced",2)</f>
        <v>1</v>
      </c>
      <c r="AJ535">
        <f>IF(tbl_HR_Data[[#This Row],[OverTime]]=1,1,0)</f>
        <v>1</v>
      </c>
      <c r="AK535">
        <f>IF(tbl_HR_Data[[#This Row],[DistanceFromHome]]&gt;15,1,0)</f>
        <v>0</v>
      </c>
      <c r="AL535">
        <f>IF(tbl_HR_Data[[#This Row],[JobSatisfaction]]&lt;=2,1,0)</f>
        <v>1</v>
      </c>
      <c r="AM535">
        <f>IF(tbl_HR_Data[[#This Row],[MonthlyIncome]]&lt;$AT$2,1,0)</f>
        <v>0</v>
      </c>
      <c r="AN535">
        <f>IF(tbl_HR_Data[[#This Row],[Travel_Code]]=2,1,0)</f>
        <v>1</v>
      </c>
      <c r="AO535">
        <f>(tbl_HR_Data[[#This Row],[Flag_OT]] * Logic_Parameters!$B$2) +
 (tbl_HR_Data[[#This Row],[Flag_Travel]] * Logic_Parameters!$B$3) +
 (tbl_HR_Data[[#This Row],[Flag_Satisfaction]] * Logic_Parameters!$B$4) +
 (tbl_HR_Data[[#This Row],[Flag_Distance]]* Logic_Parameters!$B$5) +
 (tbl_HR_Data[[#This Row],[Flag_Income]] * Logic_Parameters!$B$6)</f>
        <v>19.364923110468307</v>
      </c>
      <c r="AP535" s="15">
        <f>tbl_HR_Data[[#This Row],[Risk_Score_Raw]] / SUM(Logic_Parameters!$B$2:$B$6)</f>
        <v>0.66717026874307161</v>
      </c>
      <c r="AQ535" s="16" t="str" cm="1">
        <f t="array" ref="AQ535">_xlfn.IFS(tbl_HR_Data[[#This Row],[Attrition_Risk_Percentage]] &gt;= 0.75, "Critical",tbl_HR_Data[ [#This Row],[Attrition_Risk_Percentage] ]&gt;= 0.5, "High",tbl_HR_Data[[#This Row],[Attrition_Risk_Percentage]] &gt;= 0.25, "Medium",TRUE, "Low")</f>
        <v>High</v>
      </c>
      <c r="AR535" s="16" cm="1">
        <f t="array" ref="AR535">IFERROR(_xlfn.IFS(tbl_HR_Data[[#This Row],[Risk_Category]]="Critical",tbl_HR_Data[[#This Row],[MonthlyIncome]]*1.5,tbl_HR_Data[[#This Row],[Risk_Category]]="High",tbl_HR_Data[[#This Row],[MonthlyIncome]]*1.5),0)</f>
        <v>15712.5</v>
      </c>
    </row>
    <row r="536" spans="1:44" x14ac:dyDescent="0.35">
      <c r="A536" t="s">
        <v>1472</v>
      </c>
      <c r="B536">
        <v>53</v>
      </c>
      <c r="C536" t="s">
        <v>31</v>
      </c>
      <c r="D536">
        <v>970</v>
      </c>
      <c r="E536" t="s">
        <v>38</v>
      </c>
      <c r="F536">
        <v>7</v>
      </c>
      <c r="G536">
        <v>3</v>
      </c>
      <c r="H536" t="s">
        <v>33</v>
      </c>
      <c r="I536">
        <v>3</v>
      </c>
      <c r="J536" t="s">
        <v>39</v>
      </c>
      <c r="K536">
        <v>59</v>
      </c>
      <c r="L536">
        <v>4</v>
      </c>
      <c r="M536">
        <v>4</v>
      </c>
      <c r="N536" t="s">
        <v>50</v>
      </c>
      <c r="O536">
        <v>3</v>
      </c>
      <c r="P536" t="s">
        <v>41</v>
      </c>
      <c r="Q536">
        <v>14814</v>
      </c>
      <c r="R536">
        <v>13514</v>
      </c>
      <c r="S536">
        <v>3</v>
      </c>
      <c r="T536">
        <v>0</v>
      </c>
      <c r="U536" s="17">
        <v>0.19</v>
      </c>
      <c r="V536">
        <v>3</v>
      </c>
      <c r="W536">
        <v>3</v>
      </c>
      <c r="X536">
        <v>0</v>
      </c>
      <c r="Y536">
        <v>32</v>
      </c>
      <c r="Z536">
        <v>3</v>
      </c>
      <c r="AA536">
        <v>3</v>
      </c>
      <c r="AB536">
        <v>5</v>
      </c>
      <c r="AC536">
        <v>1</v>
      </c>
      <c r="AD536">
        <v>1</v>
      </c>
      <c r="AE536">
        <v>3</v>
      </c>
      <c r="AF536">
        <v>0</v>
      </c>
      <c r="AG536">
        <f>IF(tbl_HR_Data[[#This Row],[Gender]]="Male",1,0)</f>
        <v>1</v>
      </c>
      <c r="AH536" cm="1">
        <f t="array" ref="AH536">_xlfn.SWITCH(tbl_HR_Data[[#This Row],[BusinessTravel]], "Non-Travel", 0, "Travel_Rarely", 1, "Travel_Frequently", 2)</f>
        <v>1</v>
      </c>
      <c r="AI536" cm="1">
        <f t="array" ref="AI536">_xlfn.SWITCH(tbl_HR_Data[[#This Row],[MaritalStatus]],"Single",0,"Married",1,"Divorced",2)</f>
        <v>1</v>
      </c>
      <c r="AJ536">
        <f>IF(tbl_HR_Data[[#This Row],[OverTime]]=1,1,0)</f>
        <v>0</v>
      </c>
      <c r="AK536">
        <f>IF(tbl_HR_Data[[#This Row],[DistanceFromHome]]&gt;15,1,0)</f>
        <v>0</v>
      </c>
      <c r="AL536">
        <f>IF(tbl_HR_Data[[#This Row],[JobSatisfaction]]&lt;=2,1,0)</f>
        <v>0</v>
      </c>
      <c r="AM536">
        <f>IF(tbl_HR_Data[[#This Row],[MonthlyIncome]]&lt;$AT$2,1,0)</f>
        <v>0</v>
      </c>
      <c r="AN536">
        <f>IF(tbl_HR_Data[[#This Row],[Travel_Code]]=2,1,0)</f>
        <v>0</v>
      </c>
      <c r="AO536">
        <f>(tbl_HR_Data[[#This Row],[Flag_OT]] * Logic_Parameters!$B$2) +
 (tbl_HR_Data[[#This Row],[Flag_Travel]] * Logic_Parameters!$B$3) +
 (tbl_HR_Data[[#This Row],[Flag_Satisfaction]] * Logic_Parameters!$B$4) +
 (tbl_HR_Data[[#This Row],[Flag_Distance]]* Logic_Parameters!$B$5) +
 (tbl_HR_Data[[#This Row],[Flag_Income]] * Logic_Parameters!$B$6)</f>
        <v>0</v>
      </c>
      <c r="AP536" s="15">
        <f>tbl_HR_Data[[#This Row],[Risk_Score_Raw]] / SUM(Logic_Parameters!$B$2:$B$6)</f>
        <v>0</v>
      </c>
      <c r="AQ536" s="16" t="str" cm="1">
        <f t="array" ref="AQ536">_xlfn.IFS(tbl_HR_Data[[#This Row],[Attrition_Risk_Percentage]] &gt;= 0.75, "Critical",tbl_HR_Data[ [#This Row],[Attrition_Risk_Percentage] ]&gt;= 0.5, "High",tbl_HR_Data[[#This Row],[Attrition_Risk_Percentage]] &gt;= 0.25, "Medium",TRUE, "Low")</f>
        <v>Low</v>
      </c>
      <c r="AR536" s="16" cm="1">
        <f t="array" ref="AR536">IFERROR(_xlfn.IFS(tbl_HR_Data[[#This Row],[Risk_Category]]="Critical",tbl_HR_Data[[#This Row],[MonthlyIncome]]*1.5,tbl_HR_Data[[#This Row],[Risk_Category]]="High",tbl_HR_Data[[#This Row],[MonthlyIncome]]*1.5),0)</f>
        <v>0</v>
      </c>
    </row>
    <row r="537" spans="1:44" x14ac:dyDescent="0.35">
      <c r="A537" t="s">
        <v>522</v>
      </c>
      <c r="B537">
        <v>41</v>
      </c>
      <c r="C537" t="s">
        <v>31</v>
      </c>
      <c r="D537">
        <v>427</v>
      </c>
      <c r="E537" t="s">
        <v>53</v>
      </c>
      <c r="F537">
        <v>10</v>
      </c>
      <c r="G537">
        <v>4</v>
      </c>
      <c r="H537" t="s">
        <v>53</v>
      </c>
      <c r="I537">
        <v>2</v>
      </c>
      <c r="J537" t="s">
        <v>39</v>
      </c>
      <c r="K537">
        <v>73</v>
      </c>
      <c r="L537">
        <v>2</v>
      </c>
      <c r="M537">
        <v>5</v>
      </c>
      <c r="N537" t="s">
        <v>48</v>
      </c>
      <c r="O537">
        <v>4</v>
      </c>
      <c r="P537" t="s">
        <v>45</v>
      </c>
      <c r="Q537">
        <v>19141</v>
      </c>
      <c r="R537">
        <v>8861</v>
      </c>
      <c r="S537">
        <v>3</v>
      </c>
      <c r="T537">
        <v>0</v>
      </c>
      <c r="U537" s="17">
        <v>0.15</v>
      </c>
      <c r="V537">
        <v>3</v>
      </c>
      <c r="W537">
        <v>2</v>
      </c>
      <c r="X537">
        <v>3</v>
      </c>
      <c r="Y537">
        <v>23</v>
      </c>
      <c r="Z537">
        <v>2</v>
      </c>
      <c r="AA537">
        <v>2</v>
      </c>
      <c r="AB537">
        <v>21</v>
      </c>
      <c r="AC537">
        <v>6</v>
      </c>
      <c r="AD537">
        <v>12</v>
      </c>
      <c r="AE537">
        <v>6</v>
      </c>
      <c r="AF537">
        <v>0</v>
      </c>
      <c r="AG537">
        <f>IF(tbl_HR_Data[[#This Row],[Gender]]="Male",1,0)</f>
        <v>1</v>
      </c>
      <c r="AH537" cm="1">
        <f t="array" ref="AH537">_xlfn.SWITCH(tbl_HR_Data[[#This Row],[BusinessTravel]], "Non-Travel", 0, "Travel_Rarely", 1, "Travel_Frequently", 2)</f>
        <v>1</v>
      </c>
      <c r="AI537" cm="1">
        <f t="array" ref="AI537">_xlfn.SWITCH(tbl_HR_Data[[#This Row],[MaritalStatus]],"Single",0,"Married",1,"Divorced",2)</f>
        <v>2</v>
      </c>
      <c r="AJ537">
        <f>IF(tbl_HR_Data[[#This Row],[OverTime]]=1,1,0)</f>
        <v>0</v>
      </c>
      <c r="AK537">
        <f>IF(tbl_HR_Data[[#This Row],[DistanceFromHome]]&gt;15,1,0)</f>
        <v>0</v>
      </c>
      <c r="AL537">
        <f>IF(tbl_HR_Data[[#This Row],[JobSatisfaction]]&lt;=2,1,0)</f>
        <v>0</v>
      </c>
      <c r="AM537">
        <f>IF(tbl_HR_Data[[#This Row],[MonthlyIncome]]&lt;$AT$2,1,0)</f>
        <v>0</v>
      </c>
      <c r="AN537">
        <f>IF(tbl_HR_Data[[#This Row],[Travel_Code]]=2,1,0)</f>
        <v>0</v>
      </c>
      <c r="AO537">
        <f>(tbl_HR_Data[[#This Row],[Flag_OT]] * Logic_Parameters!$B$2) +
 (tbl_HR_Data[[#This Row],[Flag_Travel]] * Logic_Parameters!$B$3) +
 (tbl_HR_Data[[#This Row],[Flag_Satisfaction]] * Logic_Parameters!$B$4) +
 (tbl_HR_Data[[#This Row],[Flag_Distance]]* Logic_Parameters!$B$5) +
 (tbl_HR_Data[[#This Row],[Flag_Income]] * Logic_Parameters!$B$6)</f>
        <v>0</v>
      </c>
      <c r="AP537" s="15">
        <f>tbl_HR_Data[[#This Row],[Risk_Score_Raw]] / SUM(Logic_Parameters!$B$2:$B$6)</f>
        <v>0</v>
      </c>
      <c r="AQ537" s="16" t="str" cm="1">
        <f t="array" ref="AQ537">_xlfn.IFS(tbl_HR_Data[[#This Row],[Attrition_Risk_Percentage]] &gt;= 0.75, "Critical",tbl_HR_Data[ [#This Row],[Attrition_Risk_Percentage] ]&gt;= 0.5, "High",tbl_HR_Data[[#This Row],[Attrition_Risk_Percentage]] &gt;= 0.25, "Medium",TRUE, "Low")</f>
        <v>Low</v>
      </c>
      <c r="AR537" s="16" cm="1">
        <f t="array" ref="AR537">IFERROR(_xlfn.IFS(tbl_HR_Data[[#This Row],[Risk_Category]]="Critical",tbl_HR_Data[[#This Row],[MonthlyIncome]]*1.5,tbl_HR_Data[[#This Row],[Risk_Category]]="High",tbl_HR_Data[[#This Row],[MonthlyIncome]]*1.5),0)</f>
        <v>0</v>
      </c>
    </row>
    <row r="538" spans="1:44" x14ac:dyDescent="0.35">
      <c r="A538" t="s">
        <v>1101</v>
      </c>
      <c r="B538">
        <v>60</v>
      </c>
      <c r="C538" t="s">
        <v>31</v>
      </c>
      <c r="D538">
        <v>1179</v>
      </c>
      <c r="E538" t="s">
        <v>32</v>
      </c>
      <c r="F538">
        <v>16</v>
      </c>
      <c r="G538">
        <v>4</v>
      </c>
      <c r="H538" t="s">
        <v>51</v>
      </c>
      <c r="I538">
        <v>1</v>
      </c>
      <c r="J538" t="s">
        <v>39</v>
      </c>
      <c r="K538">
        <v>84</v>
      </c>
      <c r="L538">
        <v>3</v>
      </c>
      <c r="M538">
        <v>2</v>
      </c>
      <c r="N538" t="s">
        <v>35</v>
      </c>
      <c r="O538">
        <v>1</v>
      </c>
      <c r="P538" t="s">
        <v>36</v>
      </c>
      <c r="Q538">
        <v>5405</v>
      </c>
      <c r="R538">
        <v>11924</v>
      </c>
      <c r="S538">
        <v>8</v>
      </c>
      <c r="T538">
        <v>0</v>
      </c>
      <c r="U538" s="17">
        <v>0.14000000000000001</v>
      </c>
      <c r="V538">
        <v>3</v>
      </c>
      <c r="W538">
        <v>4</v>
      </c>
      <c r="X538">
        <v>0</v>
      </c>
      <c r="Y538">
        <v>10</v>
      </c>
      <c r="Z538">
        <v>1</v>
      </c>
      <c r="AA538">
        <v>3</v>
      </c>
      <c r="AB538">
        <v>2</v>
      </c>
      <c r="AC538">
        <v>2</v>
      </c>
      <c r="AD538">
        <v>2</v>
      </c>
      <c r="AE538">
        <v>2</v>
      </c>
      <c r="AF538">
        <v>0</v>
      </c>
      <c r="AG538">
        <f>IF(tbl_HR_Data[[#This Row],[Gender]]="Male",1,0)</f>
        <v>1</v>
      </c>
      <c r="AH538" cm="1">
        <f t="array" ref="AH538">_xlfn.SWITCH(tbl_HR_Data[[#This Row],[BusinessTravel]], "Non-Travel", 0, "Travel_Rarely", 1, "Travel_Frequently", 2)</f>
        <v>1</v>
      </c>
      <c r="AI538" cm="1">
        <f t="array" ref="AI538">_xlfn.SWITCH(tbl_HR_Data[[#This Row],[MaritalStatus]],"Single",0,"Married",1,"Divorced",2)</f>
        <v>0</v>
      </c>
      <c r="AJ538">
        <f>IF(tbl_HR_Data[[#This Row],[OverTime]]=1,1,0)</f>
        <v>0</v>
      </c>
      <c r="AK538">
        <f>IF(tbl_HR_Data[[#This Row],[DistanceFromHome]]&gt;15,1,0)</f>
        <v>1</v>
      </c>
      <c r="AL538">
        <f>IF(tbl_HR_Data[[#This Row],[JobSatisfaction]]&lt;=2,1,0)</f>
        <v>1</v>
      </c>
      <c r="AM538">
        <f>IF(tbl_HR_Data[[#This Row],[MonthlyIncome]]&lt;$AT$2,1,0)</f>
        <v>0</v>
      </c>
      <c r="AN538">
        <f>IF(tbl_HR_Data[[#This Row],[Travel_Code]]=2,1,0)</f>
        <v>0</v>
      </c>
      <c r="AO538">
        <f>(tbl_HR_Data[[#This Row],[Flag_OT]] * Logic_Parameters!$B$2) +
 (tbl_HR_Data[[#This Row],[Flag_Travel]] * Logic_Parameters!$B$3) +
 (tbl_HR_Data[[#This Row],[Flag_Satisfaction]] * Logic_Parameters!$B$4) +
 (tbl_HR_Data[[#This Row],[Flag_Distance]]* Logic_Parameters!$B$5) +
 (tbl_HR_Data[[#This Row],[Flag_Income]] * Logic_Parameters!$B$6)</f>
        <v>7.3706398258535089</v>
      </c>
      <c r="AP538" s="15">
        <f>tbl_HR_Data[[#This Row],[Risk_Score_Raw]] / SUM(Logic_Parameters!$B$2:$B$6)</f>
        <v>0.25393706576427255</v>
      </c>
      <c r="AQ538" s="16" t="str" cm="1">
        <f t="array" ref="AQ538">_xlfn.IFS(tbl_HR_Data[[#This Row],[Attrition_Risk_Percentage]] &gt;= 0.75, "Critical",tbl_HR_Data[ [#This Row],[Attrition_Risk_Percentage] ]&gt;= 0.5, "High",tbl_HR_Data[[#This Row],[Attrition_Risk_Percentage]] &gt;= 0.25, "Medium",TRUE, "Low")</f>
        <v>Medium</v>
      </c>
      <c r="AR538" s="16" cm="1">
        <f t="array" ref="AR538">IFERROR(_xlfn.IFS(tbl_HR_Data[[#This Row],[Risk_Category]]="Critical",tbl_HR_Data[[#This Row],[MonthlyIncome]]*1.5,tbl_HR_Data[[#This Row],[Risk_Category]]="High",tbl_HR_Data[[#This Row],[MonthlyIncome]]*1.5),0)</f>
        <v>0</v>
      </c>
    </row>
    <row r="539" spans="1:44" x14ac:dyDescent="0.35">
      <c r="A539" t="s">
        <v>388</v>
      </c>
      <c r="B539">
        <v>27</v>
      </c>
      <c r="C539" t="s">
        <v>37</v>
      </c>
      <c r="D539">
        <v>294</v>
      </c>
      <c r="E539" t="s">
        <v>38</v>
      </c>
      <c r="F539">
        <v>10</v>
      </c>
      <c r="G539">
        <v>2</v>
      </c>
      <c r="H539" t="s">
        <v>33</v>
      </c>
      <c r="I539">
        <v>4</v>
      </c>
      <c r="J539" t="s">
        <v>39</v>
      </c>
      <c r="K539">
        <v>32</v>
      </c>
      <c r="L539">
        <v>3</v>
      </c>
      <c r="M539">
        <v>3</v>
      </c>
      <c r="N539" t="s">
        <v>46</v>
      </c>
      <c r="O539">
        <v>1</v>
      </c>
      <c r="P539" t="s">
        <v>45</v>
      </c>
      <c r="Q539">
        <v>8793</v>
      </c>
      <c r="R539">
        <v>4809</v>
      </c>
      <c r="S539">
        <v>1</v>
      </c>
      <c r="T539">
        <v>0</v>
      </c>
      <c r="U539" s="17">
        <v>0.21</v>
      </c>
      <c r="V539">
        <v>4</v>
      </c>
      <c r="W539">
        <v>3</v>
      </c>
      <c r="X539">
        <v>2</v>
      </c>
      <c r="Y539">
        <v>9</v>
      </c>
      <c r="Z539">
        <v>4</v>
      </c>
      <c r="AA539">
        <v>2</v>
      </c>
      <c r="AB539">
        <v>9</v>
      </c>
      <c r="AC539">
        <v>7</v>
      </c>
      <c r="AD539">
        <v>1</v>
      </c>
      <c r="AE539">
        <v>7</v>
      </c>
      <c r="AF539">
        <v>0</v>
      </c>
      <c r="AG539">
        <f>IF(tbl_HR_Data[[#This Row],[Gender]]="Male",1,0)</f>
        <v>1</v>
      </c>
      <c r="AH539" cm="1">
        <f t="array" ref="AH539">_xlfn.SWITCH(tbl_HR_Data[[#This Row],[BusinessTravel]], "Non-Travel", 0, "Travel_Rarely", 1, "Travel_Frequently", 2)</f>
        <v>2</v>
      </c>
      <c r="AI539" cm="1">
        <f t="array" ref="AI539">_xlfn.SWITCH(tbl_HR_Data[[#This Row],[MaritalStatus]],"Single",0,"Married",1,"Divorced",2)</f>
        <v>2</v>
      </c>
      <c r="AJ539">
        <f>IF(tbl_HR_Data[[#This Row],[OverTime]]=1,1,0)</f>
        <v>0</v>
      </c>
      <c r="AK539">
        <f>IF(tbl_HR_Data[[#This Row],[DistanceFromHome]]&gt;15,1,0)</f>
        <v>0</v>
      </c>
      <c r="AL539">
        <f>IF(tbl_HR_Data[[#This Row],[JobSatisfaction]]&lt;=2,1,0)</f>
        <v>1</v>
      </c>
      <c r="AM539">
        <f>IF(tbl_HR_Data[[#This Row],[MonthlyIncome]]&lt;$AT$2,1,0)</f>
        <v>0</v>
      </c>
      <c r="AN539">
        <f>IF(tbl_HR_Data[[#This Row],[Travel_Code]]=2,1,0)</f>
        <v>1</v>
      </c>
      <c r="AO539">
        <f>(tbl_HR_Data[[#This Row],[Flag_OT]] * Logic_Parameters!$B$2) +
 (tbl_HR_Data[[#This Row],[Flag_Travel]] * Logic_Parameters!$B$3) +
 (tbl_HR_Data[[#This Row],[Flag_Satisfaction]] * Logic_Parameters!$B$4) +
 (tbl_HR_Data[[#This Row],[Flag_Distance]]* Logic_Parameters!$B$5) +
 (tbl_HR_Data[[#This Row],[Flag_Income]] * Logic_Parameters!$B$6)</f>
        <v>9.3649231104683075</v>
      </c>
      <c r="AP539" s="15">
        <f>tbl_HR_Data[[#This Row],[Risk_Score_Raw]] / SUM(Logic_Parameters!$B$2:$B$6)</f>
        <v>0.32264513691726432</v>
      </c>
      <c r="AQ539" s="16" t="str" cm="1">
        <f t="array" ref="AQ539">_xlfn.IFS(tbl_HR_Data[[#This Row],[Attrition_Risk_Percentage]] &gt;= 0.75, "Critical",tbl_HR_Data[ [#This Row],[Attrition_Risk_Percentage] ]&gt;= 0.5, "High",tbl_HR_Data[[#This Row],[Attrition_Risk_Percentage]] &gt;= 0.25, "Medium",TRUE, "Low")</f>
        <v>Medium</v>
      </c>
      <c r="AR539" s="16" cm="1">
        <f t="array" ref="AR539">IFERROR(_xlfn.IFS(tbl_HR_Data[[#This Row],[Risk_Category]]="Critical",tbl_HR_Data[[#This Row],[MonthlyIncome]]*1.5,tbl_HR_Data[[#This Row],[Risk_Category]]="High",tbl_HR_Data[[#This Row],[MonthlyIncome]]*1.5),0)</f>
        <v>0</v>
      </c>
    </row>
    <row r="540" spans="1:44" x14ac:dyDescent="0.35">
      <c r="A540" t="s">
        <v>1107</v>
      </c>
      <c r="B540">
        <v>41</v>
      </c>
      <c r="C540" t="s">
        <v>31</v>
      </c>
      <c r="D540">
        <v>314</v>
      </c>
      <c r="E540" t="s">
        <v>53</v>
      </c>
      <c r="F540">
        <v>1</v>
      </c>
      <c r="G540">
        <v>3</v>
      </c>
      <c r="H540" t="s">
        <v>53</v>
      </c>
      <c r="I540">
        <v>4</v>
      </c>
      <c r="J540" t="s">
        <v>39</v>
      </c>
      <c r="K540">
        <v>59</v>
      </c>
      <c r="L540">
        <v>2</v>
      </c>
      <c r="M540">
        <v>5</v>
      </c>
      <c r="N540" t="s">
        <v>48</v>
      </c>
      <c r="O540">
        <v>3</v>
      </c>
      <c r="P540" t="s">
        <v>41</v>
      </c>
      <c r="Q540">
        <v>19189</v>
      </c>
      <c r="R540">
        <v>19562</v>
      </c>
      <c r="S540">
        <v>1</v>
      </c>
      <c r="T540">
        <v>0</v>
      </c>
      <c r="U540" s="17">
        <v>0.12</v>
      </c>
      <c r="V540">
        <v>3</v>
      </c>
      <c r="W540">
        <v>2</v>
      </c>
      <c r="X540">
        <v>1</v>
      </c>
      <c r="Y540">
        <v>22</v>
      </c>
      <c r="Z540">
        <v>3</v>
      </c>
      <c r="AA540">
        <v>3</v>
      </c>
      <c r="AB540">
        <v>22</v>
      </c>
      <c r="AC540">
        <v>7</v>
      </c>
      <c r="AD540">
        <v>2</v>
      </c>
      <c r="AE540">
        <v>10</v>
      </c>
      <c r="AF540">
        <v>0</v>
      </c>
      <c r="AG540">
        <f>IF(tbl_HR_Data[[#This Row],[Gender]]="Male",1,0)</f>
        <v>1</v>
      </c>
      <c r="AH540" cm="1">
        <f t="array" ref="AH540">_xlfn.SWITCH(tbl_HR_Data[[#This Row],[BusinessTravel]], "Non-Travel", 0, "Travel_Rarely", 1, "Travel_Frequently", 2)</f>
        <v>1</v>
      </c>
      <c r="AI540" cm="1">
        <f t="array" ref="AI540">_xlfn.SWITCH(tbl_HR_Data[[#This Row],[MaritalStatus]],"Single",0,"Married",1,"Divorced",2)</f>
        <v>1</v>
      </c>
      <c r="AJ540">
        <f>IF(tbl_HR_Data[[#This Row],[OverTime]]=1,1,0)</f>
        <v>0</v>
      </c>
      <c r="AK540">
        <f>IF(tbl_HR_Data[[#This Row],[DistanceFromHome]]&gt;15,1,0)</f>
        <v>0</v>
      </c>
      <c r="AL540">
        <f>IF(tbl_HR_Data[[#This Row],[JobSatisfaction]]&lt;=2,1,0)</f>
        <v>0</v>
      </c>
      <c r="AM540">
        <f>IF(tbl_HR_Data[[#This Row],[MonthlyIncome]]&lt;$AT$2,1,0)</f>
        <v>0</v>
      </c>
      <c r="AN540">
        <f>IF(tbl_HR_Data[[#This Row],[Travel_Code]]=2,1,0)</f>
        <v>0</v>
      </c>
      <c r="AO540">
        <f>(tbl_HR_Data[[#This Row],[Flag_OT]] * Logic_Parameters!$B$2) +
 (tbl_HR_Data[[#This Row],[Flag_Travel]] * Logic_Parameters!$B$3) +
 (tbl_HR_Data[[#This Row],[Flag_Satisfaction]] * Logic_Parameters!$B$4) +
 (tbl_HR_Data[[#This Row],[Flag_Distance]]* Logic_Parameters!$B$5) +
 (tbl_HR_Data[[#This Row],[Flag_Income]] * Logic_Parameters!$B$6)</f>
        <v>0</v>
      </c>
      <c r="AP540" s="15">
        <f>tbl_HR_Data[[#This Row],[Risk_Score_Raw]] / SUM(Logic_Parameters!$B$2:$B$6)</f>
        <v>0</v>
      </c>
      <c r="AQ540" s="16" t="str" cm="1">
        <f t="array" ref="AQ540">_xlfn.IFS(tbl_HR_Data[[#This Row],[Attrition_Risk_Percentage]] &gt;= 0.75, "Critical",tbl_HR_Data[ [#This Row],[Attrition_Risk_Percentage] ]&gt;= 0.5, "High",tbl_HR_Data[[#This Row],[Attrition_Risk_Percentage]] &gt;= 0.25, "Medium",TRUE, "Low")</f>
        <v>Low</v>
      </c>
      <c r="AR540" s="16" cm="1">
        <f t="array" ref="AR540">IFERROR(_xlfn.IFS(tbl_HR_Data[[#This Row],[Risk_Category]]="Critical",tbl_HR_Data[[#This Row],[MonthlyIncome]]*1.5,tbl_HR_Data[[#This Row],[Risk_Category]]="High",tbl_HR_Data[[#This Row],[MonthlyIncome]]*1.5),0)</f>
        <v>0</v>
      </c>
    </row>
    <row r="541" spans="1:44" x14ac:dyDescent="0.35">
      <c r="A541" t="s">
        <v>686</v>
      </c>
      <c r="B541">
        <v>50</v>
      </c>
      <c r="C541" t="s">
        <v>31</v>
      </c>
      <c r="D541">
        <v>316</v>
      </c>
      <c r="E541" t="s">
        <v>32</v>
      </c>
      <c r="F541">
        <v>8</v>
      </c>
      <c r="G541">
        <v>4</v>
      </c>
      <c r="H541" t="s">
        <v>51</v>
      </c>
      <c r="I541">
        <v>4</v>
      </c>
      <c r="J541" t="s">
        <v>39</v>
      </c>
      <c r="K541">
        <v>54</v>
      </c>
      <c r="L541">
        <v>3</v>
      </c>
      <c r="M541">
        <v>1</v>
      </c>
      <c r="N541" t="s">
        <v>49</v>
      </c>
      <c r="O541">
        <v>2</v>
      </c>
      <c r="P541" t="s">
        <v>41</v>
      </c>
      <c r="Q541">
        <v>3875</v>
      </c>
      <c r="R541">
        <v>9983</v>
      </c>
      <c r="S541">
        <v>7</v>
      </c>
      <c r="T541">
        <v>0</v>
      </c>
      <c r="U541" s="17">
        <v>0.15</v>
      </c>
      <c r="V541">
        <v>3</v>
      </c>
      <c r="W541">
        <v>4</v>
      </c>
      <c r="X541">
        <v>1</v>
      </c>
      <c r="Y541">
        <v>4</v>
      </c>
      <c r="Z541">
        <v>2</v>
      </c>
      <c r="AA541">
        <v>3</v>
      </c>
      <c r="AB541">
        <v>2</v>
      </c>
      <c r="AC541">
        <v>2</v>
      </c>
      <c r="AD541">
        <v>2</v>
      </c>
      <c r="AE541">
        <v>2</v>
      </c>
      <c r="AF541">
        <v>0</v>
      </c>
      <c r="AG541">
        <f>IF(tbl_HR_Data[[#This Row],[Gender]]="Male",1,0)</f>
        <v>1</v>
      </c>
      <c r="AH541" cm="1">
        <f t="array" ref="AH541">_xlfn.SWITCH(tbl_HR_Data[[#This Row],[BusinessTravel]], "Non-Travel", 0, "Travel_Rarely", 1, "Travel_Frequently", 2)</f>
        <v>1</v>
      </c>
      <c r="AI541" cm="1">
        <f t="array" ref="AI541">_xlfn.SWITCH(tbl_HR_Data[[#This Row],[MaritalStatus]],"Single",0,"Married",1,"Divorced",2)</f>
        <v>1</v>
      </c>
      <c r="AJ541">
        <f>IF(tbl_HR_Data[[#This Row],[OverTime]]=1,1,0)</f>
        <v>0</v>
      </c>
      <c r="AK541">
        <f>IF(tbl_HR_Data[[#This Row],[DistanceFromHome]]&gt;15,1,0)</f>
        <v>0</v>
      </c>
      <c r="AL541">
        <f>IF(tbl_HR_Data[[#This Row],[JobSatisfaction]]&lt;=2,1,0)</f>
        <v>1</v>
      </c>
      <c r="AM541">
        <f>IF(tbl_HR_Data[[#This Row],[MonthlyIncome]]&lt;$AT$2,1,0)</f>
        <v>1</v>
      </c>
      <c r="AN541">
        <f>IF(tbl_HR_Data[[#This Row],[Travel_Code]]=2,1,0)</f>
        <v>0</v>
      </c>
      <c r="AO541">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541" s="15">
        <f>tbl_HR_Data[[#This Row],[Risk_Score_Raw]] / SUM(Logic_Parameters!$B$2:$B$6)</f>
        <v>0.3686061316669938</v>
      </c>
      <c r="AQ541" s="16" t="str" cm="1">
        <f t="array" ref="AQ541">_xlfn.IFS(tbl_HR_Data[[#This Row],[Attrition_Risk_Percentage]] &gt;= 0.75, "Critical",tbl_HR_Data[ [#This Row],[Attrition_Risk_Percentage] ]&gt;= 0.5, "High",tbl_HR_Data[[#This Row],[Attrition_Risk_Percentage]] &gt;= 0.25, "Medium",TRUE, "Low")</f>
        <v>Medium</v>
      </c>
      <c r="AR541" s="16" cm="1">
        <f t="array" ref="AR541">IFERROR(_xlfn.IFS(tbl_HR_Data[[#This Row],[Risk_Category]]="Critical",tbl_HR_Data[[#This Row],[MonthlyIncome]]*1.5,tbl_HR_Data[[#This Row],[Risk_Category]]="High",tbl_HR_Data[[#This Row],[MonthlyIncome]]*1.5),0)</f>
        <v>0</v>
      </c>
    </row>
    <row r="542" spans="1:44" x14ac:dyDescent="0.35">
      <c r="A542" t="s">
        <v>541</v>
      </c>
      <c r="B542">
        <v>28</v>
      </c>
      <c r="C542" t="s">
        <v>31</v>
      </c>
      <c r="D542">
        <v>654</v>
      </c>
      <c r="E542" t="s">
        <v>38</v>
      </c>
      <c r="F542">
        <v>1</v>
      </c>
      <c r="G542">
        <v>2</v>
      </c>
      <c r="H542" t="s">
        <v>33</v>
      </c>
      <c r="I542">
        <v>1</v>
      </c>
      <c r="J542" t="s">
        <v>34</v>
      </c>
      <c r="K542">
        <v>67</v>
      </c>
      <c r="L542">
        <v>1</v>
      </c>
      <c r="M542">
        <v>1</v>
      </c>
      <c r="N542" t="s">
        <v>40</v>
      </c>
      <c r="O542">
        <v>2</v>
      </c>
      <c r="P542" t="s">
        <v>36</v>
      </c>
      <c r="Q542">
        <v>2216</v>
      </c>
      <c r="R542">
        <v>3872</v>
      </c>
      <c r="S542">
        <v>7</v>
      </c>
      <c r="T542">
        <v>1</v>
      </c>
      <c r="U542" s="17">
        <v>0.13</v>
      </c>
      <c r="V542">
        <v>3</v>
      </c>
      <c r="W542">
        <v>4</v>
      </c>
      <c r="X542">
        <v>0</v>
      </c>
      <c r="Y542">
        <v>10</v>
      </c>
      <c r="Z542">
        <v>4</v>
      </c>
      <c r="AA542">
        <v>3</v>
      </c>
      <c r="AB542">
        <v>7</v>
      </c>
      <c r="AC542">
        <v>7</v>
      </c>
      <c r="AD542">
        <v>3</v>
      </c>
      <c r="AE542">
        <v>7</v>
      </c>
      <c r="AF542">
        <v>1</v>
      </c>
      <c r="AG542">
        <f>IF(tbl_HR_Data[[#This Row],[Gender]]="Male",1,0)</f>
        <v>0</v>
      </c>
      <c r="AH542" cm="1">
        <f t="array" ref="AH542">_xlfn.SWITCH(tbl_HR_Data[[#This Row],[BusinessTravel]], "Non-Travel", 0, "Travel_Rarely", 1, "Travel_Frequently", 2)</f>
        <v>1</v>
      </c>
      <c r="AI542" cm="1">
        <f t="array" ref="AI542">_xlfn.SWITCH(tbl_HR_Data[[#This Row],[MaritalStatus]],"Single",0,"Married",1,"Divorced",2)</f>
        <v>0</v>
      </c>
      <c r="AJ542">
        <f>IF(tbl_HR_Data[[#This Row],[OverTime]]=1,1,0)</f>
        <v>1</v>
      </c>
      <c r="AK542">
        <f>IF(tbl_HR_Data[[#This Row],[DistanceFromHome]]&gt;15,1,0)</f>
        <v>0</v>
      </c>
      <c r="AL542">
        <f>IF(tbl_HR_Data[[#This Row],[JobSatisfaction]]&lt;=2,1,0)</f>
        <v>1</v>
      </c>
      <c r="AM542">
        <f>IF(tbl_HR_Data[[#This Row],[MonthlyIncome]]&lt;$AT$2,1,0)</f>
        <v>1</v>
      </c>
      <c r="AN542">
        <f>IF(tbl_HR_Data[[#This Row],[Travel_Code]]=2,1,0)</f>
        <v>0</v>
      </c>
      <c r="AO542">
        <f>(tbl_HR_Data[[#This Row],[Flag_OT]] * Logic_Parameters!$B$2) +
 (tbl_HR_Data[[#This Row],[Flag_Travel]] * Logic_Parameters!$B$3) +
 (tbl_HR_Data[[#This Row],[Flag_Satisfaction]] * Logic_Parameters!$B$4) +
 (tbl_HR_Data[[#This Row],[Flag_Distance]]* Logic_Parameters!$B$5) +
 (tbl_HR_Data[[#This Row],[Flag_Income]] * Logic_Parameters!$B$6)</f>
        <v>20.698962067398959</v>
      </c>
      <c r="AP542" s="15">
        <f>tbl_HR_Data[[#This Row],[Risk_Score_Raw]] / SUM(Logic_Parameters!$B$2:$B$6)</f>
        <v>0.71313126349280109</v>
      </c>
      <c r="AQ542" s="16" t="str" cm="1">
        <f t="array" ref="AQ542">_xlfn.IFS(tbl_HR_Data[[#This Row],[Attrition_Risk_Percentage]] &gt;= 0.75, "Critical",tbl_HR_Data[ [#This Row],[Attrition_Risk_Percentage] ]&gt;= 0.5, "High",tbl_HR_Data[[#This Row],[Attrition_Risk_Percentage]] &gt;= 0.25, "Medium",TRUE, "Low")</f>
        <v>High</v>
      </c>
      <c r="AR542" s="16" cm="1">
        <f t="array" ref="AR542">IFERROR(_xlfn.IFS(tbl_HR_Data[[#This Row],[Risk_Category]]="Critical",tbl_HR_Data[[#This Row],[MonthlyIncome]]*1.5,tbl_HR_Data[[#This Row],[Risk_Category]]="High",tbl_HR_Data[[#This Row],[MonthlyIncome]]*1.5),0)</f>
        <v>3324</v>
      </c>
    </row>
    <row r="543" spans="1:44" x14ac:dyDescent="0.35">
      <c r="A543" t="s">
        <v>1479</v>
      </c>
      <c r="B543">
        <v>36</v>
      </c>
      <c r="C543" t="s">
        <v>1525</v>
      </c>
      <c r="D543">
        <v>427</v>
      </c>
      <c r="E543" t="s">
        <v>38</v>
      </c>
      <c r="F543">
        <v>8</v>
      </c>
      <c r="G543">
        <v>3</v>
      </c>
      <c r="H543" t="s">
        <v>33</v>
      </c>
      <c r="I543">
        <v>1</v>
      </c>
      <c r="J543" t="s">
        <v>34</v>
      </c>
      <c r="K543">
        <v>63</v>
      </c>
      <c r="L543">
        <v>4</v>
      </c>
      <c r="M543">
        <v>3</v>
      </c>
      <c r="N543" t="s">
        <v>50</v>
      </c>
      <c r="O543">
        <v>1</v>
      </c>
      <c r="P543" t="s">
        <v>41</v>
      </c>
      <c r="Q543">
        <v>11713</v>
      </c>
      <c r="R543">
        <v>20335</v>
      </c>
      <c r="S543">
        <v>9</v>
      </c>
      <c r="T543">
        <v>0</v>
      </c>
      <c r="U543" s="17">
        <v>0.14000000000000001</v>
      </c>
      <c r="V543">
        <v>3</v>
      </c>
      <c r="W543">
        <v>1</v>
      </c>
      <c r="X543">
        <v>1</v>
      </c>
      <c r="Y543">
        <v>10</v>
      </c>
      <c r="Z543">
        <v>2</v>
      </c>
      <c r="AA543">
        <v>3</v>
      </c>
      <c r="AB543">
        <v>8</v>
      </c>
      <c r="AC543">
        <v>7</v>
      </c>
      <c r="AD543">
        <v>0</v>
      </c>
      <c r="AE543">
        <v>5</v>
      </c>
      <c r="AF543">
        <v>0</v>
      </c>
      <c r="AG543">
        <f>IF(tbl_HR_Data[[#This Row],[Gender]]="Male",1,0)</f>
        <v>0</v>
      </c>
      <c r="AH543" cm="1">
        <f t="array" ref="AH543">_xlfn.SWITCH(tbl_HR_Data[[#This Row],[BusinessTravel]], "Non-Travel", 0, "Travel_Rarely", 1, "Travel_Frequently", 2)</f>
        <v>0</v>
      </c>
      <c r="AI543" cm="1">
        <f t="array" ref="AI543">_xlfn.SWITCH(tbl_HR_Data[[#This Row],[MaritalStatus]],"Single",0,"Married",1,"Divorced",2)</f>
        <v>1</v>
      </c>
      <c r="AJ543">
        <f>IF(tbl_HR_Data[[#This Row],[OverTime]]=1,1,0)</f>
        <v>0</v>
      </c>
      <c r="AK543">
        <f>IF(tbl_HR_Data[[#This Row],[DistanceFromHome]]&gt;15,1,0)</f>
        <v>0</v>
      </c>
      <c r="AL543">
        <f>IF(tbl_HR_Data[[#This Row],[JobSatisfaction]]&lt;=2,1,0)</f>
        <v>1</v>
      </c>
      <c r="AM543">
        <f>IF(tbl_HR_Data[[#This Row],[MonthlyIncome]]&lt;$AT$2,1,0)</f>
        <v>0</v>
      </c>
      <c r="AN543">
        <f>IF(tbl_HR_Data[[#This Row],[Travel_Code]]=2,1,0)</f>
        <v>0</v>
      </c>
      <c r="AO543">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543" s="15">
        <f>tbl_HR_Data[[#This Row],[Risk_Score_Raw]] / SUM(Logic_Parameters!$B$2:$B$6)</f>
        <v>0.14485673308716898</v>
      </c>
      <c r="AQ543" s="16" t="str" cm="1">
        <f t="array" ref="AQ543">_xlfn.IFS(tbl_HR_Data[[#This Row],[Attrition_Risk_Percentage]] &gt;= 0.75, "Critical",tbl_HR_Data[ [#This Row],[Attrition_Risk_Percentage] ]&gt;= 0.5, "High",tbl_HR_Data[[#This Row],[Attrition_Risk_Percentage]] &gt;= 0.25, "Medium",TRUE, "Low")</f>
        <v>Low</v>
      </c>
      <c r="AR543" s="16" cm="1">
        <f t="array" ref="AR543">IFERROR(_xlfn.IFS(tbl_HR_Data[[#This Row],[Risk_Category]]="Critical",tbl_HR_Data[[#This Row],[MonthlyIncome]]*1.5,tbl_HR_Data[[#This Row],[Risk_Category]]="High",tbl_HR_Data[[#This Row],[MonthlyIncome]]*1.5),0)</f>
        <v>0</v>
      </c>
    </row>
    <row r="544" spans="1:44" x14ac:dyDescent="0.35">
      <c r="A544" t="s">
        <v>1201</v>
      </c>
      <c r="B544">
        <v>38</v>
      </c>
      <c r="C544" t="s">
        <v>31</v>
      </c>
      <c r="D544">
        <v>168</v>
      </c>
      <c r="E544" t="s">
        <v>38</v>
      </c>
      <c r="F544">
        <v>1</v>
      </c>
      <c r="G544">
        <v>3</v>
      </c>
      <c r="H544" t="s">
        <v>33</v>
      </c>
      <c r="I544">
        <v>3</v>
      </c>
      <c r="J544" t="s">
        <v>34</v>
      </c>
      <c r="K544">
        <v>81</v>
      </c>
      <c r="L544">
        <v>3</v>
      </c>
      <c r="M544">
        <v>3</v>
      </c>
      <c r="N544" t="s">
        <v>46</v>
      </c>
      <c r="O544">
        <v>3</v>
      </c>
      <c r="P544" t="s">
        <v>36</v>
      </c>
      <c r="Q544">
        <v>7861</v>
      </c>
      <c r="R544">
        <v>15397</v>
      </c>
      <c r="S544">
        <v>4</v>
      </c>
      <c r="T544">
        <v>1</v>
      </c>
      <c r="U544" s="17">
        <v>0.14000000000000001</v>
      </c>
      <c r="V544">
        <v>3</v>
      </c>
      <c r="W544">
        <v>4</v>
      </c>
      <c r="X544">
        <v>0</v>
      </c>
      <c r="Y544">
        <v>10</v>
      </c>
      <c r="Z544">
        <v>4</v>
      </c>
      <c r="AA544">
        <v>4</v>
      </c>
      <c r="AB544">
        <v>1</v>
      </c>
      <c r="AC544">
        <v>0</v>
      </c>
      <c r="AD544">
        <v>0</v>
      </c>
      <c r="AE544">
        <v>0</v>
      </c>
      <c r="AF544">
        <v>0</v>
      </c>
      <c r="AG544">
        <f>IF(tbl_HR_Data[[#This Row],[Gender]]="Male",1,0)</f>
        <v>0</v>
      </c>
      <c r="AH544" cm="1">
        <f t="array" ref="AH544">_xlfn.SWITCH(tbl_HR_Data[[#This Row],[BusinessTravel]], "Non-Travel", 0, "Travel_Rarely", 1, "Travel_Frequently", 2)</f>
        <v>1</v>
      </c>
      <c r="AI544" cm="1">
        <f t="array" ref="AI544">_xlfn.SWITCH(tbl_HR_Data[[#This Row],[MaritalStatus]],"Single",0,"Married",1,"Divorced",2)</f>
        <v>0</v>
      </c>
      <c r="AJ544">
        <f>IF(tbl_HR_Data[[#This Row],[OverTime]]=1,1,0)</f>
        <v>1</v>
      </c>
      <c r="AK544">
        <f>IF(tbl_HR_Data[[#This Row],[DistanceFromHome]]&gt;15,1,0)</f>
        <v>0</v>
      </c>
      <c r="AL544">
        <f>IF(tbl_HR_Data[[#This Row],[JobSatisfaction]]&lt;=2,1,0)</f>
        <v>0</v>
      </c>
      <c r="AM544">
        <f>IF(tbl_HR_Data[[#This Row],[MonthlyIncome]]&lt;$AT$2,1,0)</f>
        <v>0</v>
      </c>
      <c r="AN544">
        <f>IF(tbl_HR_Data[[#This Row],[Travel_Code]]=2,1,0)</f>
        <v>0</v>
      </c>
      <c r="AO544">
        <f>(tbl_HR_Data[[#This Row],[Flag_OT]] * Logic_Parameters!$B$2) +
 (tbl_HR_Data[[#This Row],[Flag_Travel]] * Logic_Parameters!$B$3) +
 (tbl_HR_Data[[#This Row],[Flag_Satisfaction]] * Logic_Parameters!$B$4) +
 (tbl_HR_Data[[#This Row],[Flag_Distance]]* Logic_Parameters!$B$5) +
 (tbl_HR_Data[[#This Row],[Flag_Income]] * Logic_Parameters!$B$6)</f>
        <v>10</v>
      </c>
      <c r="AP544" s="15">
        <f>tbl_HR_Data[[#This Row],[Risk_Score_Raw]] / SUM(Logic_Parameters!$B$2:$B$6)</f>
        <v>0.3445251318258073</v>
      </c>
      <c r="AQ544" s="16" t="str" cm="1">
        <f t="array" ref="AQ544">_xlfn.IFS(tbl_HR_Data[[#This Row],[Attrition_Risk_Percentage]] &gt;= 0.75, "Critical",tbl_HR_Data[ [#This Row],[Attrition_Risk_Percentage] ]&gt;= 0.5, "High",tbl_HR_Data[[#This Row],[Attrition_Risk_Percentage]] &gt;= 0.25, "Medium",TRUE, "Low")</f>
        <v>Medium</v>
      </c>
      <c r="AR544" s="16" cm="1">
        <f t="array" ref="AR544">IFERROR(_xlfn.IFS(tbl_HR_Data[[#This Row],[Risk_Category]]="Critical",tbl_HR_Data[[#This Row],[MonthlyIncome]]*1.5,tbl_HR_Data[[#This Row],[Risk_Category]]="High",tbl_HR_Data[[#This Row],[MonthlyIncome]]*1.5),0)</f>
        <v>0</v>
      </c>
    </row>
    <row r="545" spans="1:44" x14ac:dyDescent="0.35">
      <c r="A545" t="s">
        <v>660</v>
      </c>
      <c r="B545">
        <v>44</v>
      </c>
      <c r="C545" t="s">
        <v>1525</v>
      </c>
      <c r="D545">
        <v>381</v>
      </c>
      <c r="E545" t="s">
        <v>38</v>
      </c>
      <c r="F545">
        <v>24</v>
      </c>
      <c r="G545">
        <v>3</v>
      </c>
      <c r="H545" t="s">
        <v>44</v>
      </c>
      <c r="I545">
        <v>1</v>
      </c>
      <c r="J545" t="s">
        <v>39</v>
      </c>
      <c r="K545">
        <v>49</v>
      </c>
      <c r="L545">
        <v>1</v>
      </c>
      <c r="M545">
        <v>1</v>
      </c>
      <c r="N545" t="s">
        <v>43</v>
      </c>
      <c r="O545">
        <v>3</v>
      </c>
      <c r="P545" t="s">
        <v>36</v>
      </c>
      <c r="Q545">
        <v>3708</v>
      </c>
      <c r="R545">
        <v>2104</v>
      </c>
      <c r="S545">
        <v>2</v>
      </c>
      <c r="T545">
        <v>0</v>
      </c>
      <c r="U545" s="17">
        <v>0.14000000000000001</v>
      </c>
      <c r="V545">
        <v>3</v>
      </c>
      <c r="W545">
        <v>3</v>
      </c>
      <c r="X545">
        <v>0</v>
      </c>
      <c r="Y545">
        <v>9</v>
      </c>
      <c r="Z545">
        <v>5</v>
      </c>
      <c r="AA545">
        <v>3</v>
      </c>
      <c r="AB545">
        <v>5</v>
      </c>
      <c r="AC545">
        <v>2</v>
      </c>
      <c r="AD545">
        <v>1</v>
      </c>
      <c r="AE545">
        <v>4</v>
      </c>
      <c r="AF545">
        <v>0</v>
      </c>
      <c r="AG545">
        <f>IF(tbl_HR_Data[[#This Row],[Gender]]="Male",1,0)</f>
        <v>1</v>
      </c>
      <c r="AH545" cm="1">
        <f t="array" ref="AH545">_xlfn.SWITCH(tbl_HR_Data[[#This Row],[BusinessTravel]], "Non-Travel", 0, "Travel_Rarely", 1, "Travel_Frequently", 2)</f>
        <v>0</v>
      </c>
      <c r="AI545" cm="1">
        <f t="array" ref="AI545">_xlfn.SWITCH(tbl_HR_Data[[#This Row],[MaritalStatus]],"Single",0,"Married",1,"Divorced",2)</f>
        <v>0</v>
      </c>
      <c r="AJ545">
        <f>IF(tbl_HR_Data[[#This Row],[OverTime]]=1,1,0)</f>
        <v>0</v>
      </c>
      <c r="AK545">
        <f>IF(tbl_HR_Data[[#This Row],[DistanceFromHome]]&gt;15,1,0)</f>
        <v>1</v>
      </c>
      <c r="AL545">
        <f>IF(tbl_HR_Data[[#This Row],[JobSatisfaction]]&lt;=2,1,0)</f>
        <v>0</v>
      </c>
      <c r="AM545">
        <f>IF(tbl_HR_Data[[#This Row],[MonthlyIncome]]&lt;$AT$2,1,0)</f>
        <v>1</v>
      </c>
      <c r="AN545">
        <f>IF(tbl_HR_Data[[#This Row],[Travel_Code]]=2,1,0)</f>
        <v>0</v>
      </c>
      <c r="AO545">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545" s="15">
        <f>tbl_HR_Data[[#This Row],[Risk_Score_Raw]] / SUM(Logic_Parameters!$B$2:$B$6)</f>
        <v>0.33282973125692844</v>
      </c>
      <c r="AQ545" s="16" t="str" cm="1">
        <f t="array" ref="AQ545">_xlfn.IFS(tbl_HR_Data[[#This Row],[Attrition_Risk_Percentage]] &gt;= 0.75, "Critical",tbl_HR_Data[ [#This Row],[Attrition_Risk_Percentage] ]&gt;= 0.5, "High",tbl_HR_Data[[#This Row],[Attrition_Risk_Percentage]] &gt;= 0.25, "Medium",TRUE, "Low")</f>
        <v>Medium</v>
      </c>
      <c r="AR545" s="16" cm="1">
        <f t="array" ref="AR545">IFERROR(_xlfn.IFS(tbl_HR_Data[[#This Row],[Risk_Category]]="Critical",tbl_HR_Data[[#This Row],[MonthlyIncome]]*1.5,tbl_HR_Data[[#This Row],[Risk_Category]]="High",tbl_HR_Data[[#This Row],[MonthlyIncome]]*1.5),0)</f>
        <v>0</v>
      </c>
    </row>
    <row r="546" spans="1:44" x14ac:dyDescent="0.35">
      <c r="A546" t="s">
        <v>984</v>
      </c>
      <c r="B546">
        <v>47</v>
      </c>
      <c r="C546" t="s">
        <v>37</v>
      </c>
      <c r="D546">
        <v>217</v>
      </c>
      <c r="E546" t="s">
        <v>32</v>
      </c>
      <c r="F546">
        <v>3</v>
      </c>
      <c r="G546">
        <v>3</v>
      </c>
      <c r="H546" t="s">
        <v>44</v>
      </c>
      <c r="I546">
        <v>4</v>
      </c>
      <c r="J546" t="s">
        <v>34</v>
      </c>
      <c r="K546">
        <v>49</v>
      </c>
      <c r="L546">
        <v>3</v>
      </c>
      <c r="M546">
        <v>4</v>
      </c>
      <c r="N546" t="s">
        <v>35</v>
      </c>
      <c r="O546">
        <v>3</v>
      </c>
      <c r="P546" t="s">
        <v>45</v>
      </c>
      <c r="Q546">
        <v>13770</v>
      </c>
      <c r="R546">
        <v>10225</v>
      </c>
      <c r="S546">
        <v>9</v>
      </c>
      <c r="T546">
        <v>1</v>
      </c>
      <c r="U546" s="17">
        <v>0.12</v>
      </c>
      <c r="V546">
        <v>3</v>
      </c>
      <c r="W546">
        <v>4</v>
      </c>
      <c r="X546">
        <v>2</v>
      </c>
      <c r="Y546">
        <v>28</v>
      </c>
      <c r="Z546">
        <v>2</v>
      </c>
      <c r="AA546">
        <v>2</v>
      </c>
      <c r="AB546">
        <v>22</v>
      </c>
      <c r="AC546">
        <v>2</v>
      </c>
      <c r="AD546">
        <v>11</v>
      </c>
      <c r="AE546">
        <v>13</v>
      </c>
      <c r="AF546">
        <v>0</v>
      </c>
      <c r="AG546">
        <f>IF(tbl_HR_Data[[#This Row],[Gender]]="Male",1,0)</f>
        <v>0</v>
      </c>
      <c r="AH546" cm="1">
        <f t="array" ref="AH546">_xlfn.SWITCH(tbl_HR_Data[[#This Row],[BusinessTravel]], "Non-Travel", 0, "Travel_Rarely", 1, "Travel_Frequently", 2)</f>
        <v>2</v>
      </c>
      <c r="AI546" cm="1">
        <f t="array" ref="AI546">_xlfn.SWITCH(tbl_HR_Data[[#This Row],[MaritalStatus]],"Single",0,"Married",1,"Divorced",2)</f>
        <v>2</v>
      </c>
      <c r="AJ546">
        <f>IF(tbl_HR_Data[[#This Row],[OverTime]]=1,1,0)</f>
        <v>1</v>
      </c>
      <c r="AK546">
        <f>IF(tbl_HR_Data[[#This Row],[DistanceFromHome]]&gt;15,1,0)</f>
        <v>0</v>
      </c>
      <c r="AL546">
        <f>IF(tbl_HR_Data[[#This Row],[JobSatisfaction]]&lt;=2,1,0)</f>
        <v>0</v>
      </c>
      <c r="AM546">
        <f>IF(tbl_HR_Data[[#This Row],[MonthlyIncome]]&lt;$AT$2,1,0)</f>
        <v>0</v>
      </c>
      <c r="AN546">
        <f>IF(tbl_HR_Data[[#This Row],[Travel_Code]]=2,1,0)</f>
        <v>1</v>
      </c>
      <c r="AO546">
        <f>(tbl_HR_Data[[#This Row],[Flag_OT]] * Logic_Parameters!$B$2) +
 (tbl_HR_Data[[#This Row],[Flag_Travel]] * Logic_Parameters!$B$3) +
 (tbl_HR_Data[[#This Row],[Flag_Satisfaction]] * Logic_Parameters!$B$4) +
 (tbl_HR_Data[[#This Row],[Flag_Distance]]* Logic_Parameters!$B$5) +
 (tbl_HR_Data[[#This Row],[Flag_Income]] * Logic_Parameters!$B$6)</f>
        <v>15.160389980490176</v>
      </c>
      <c r="AP546" s="15">
        <f>tbl_HR_Data[[#This Row],[Risk_Score_Raw]] / SUM(Logic_Parameters!$B$2:$B$6)</f>
        <v>0.52231353565590266</v>
      </c>
      <c r="AQ546" s="16" t="str" cm="1">
        <f t="array" ref="AQ546">_xlfn.IFS(tbl_HR_Data[[#This Row],[Attrition_Risk_Percentage]] &gt;= 0.75, "Critical",tbl_HR_Data[ [#This Row],[Attrition_Risk_Percentage] ]&gt;= 0.5, "High",tbl_HR_Data[[#This Row],[Attrition_Risk_Percentage]] &gt;= 0.25, "Medium",TRUE, "Low")</f>
        <v>High</v>
      </c>
      <c r="AR546" s="16" cm="1">
        <f t="array" ref="AR546">IFERROR(_xlfn.IFS(tbl_HR_Data[[#This Row],[Risk_Category]]="Critical",tbl_HR_Data[[#This Row],[MonthlyIncome]]*1.5,tbl_HR_Data[[#This Row],[Risk_Category]]="High",tbl_HR_Data[[#This Row],[MonthlyIncome]]*1.5),0)</f>
        <v>20655</v>
      </c>
    </row>
    <row r="547" spans="1:44" x14ac:dyDescent="0.35">
      <c r="A547" t="s">
        <v>1401</v>
      </c>
      <c r="B547">
        <v>30</v>
      </c>
      <c r="C547" t="s">
        <v>31</v>
      </c>
      <c r="D547">
        <v>501</v>
      </c>
      <c r="E547" t="s">
        <v>32</v>
      </c>
      <c r="F547">
        <v>27</v>
      </c>
      <c r="G547">
        <v>5</v>
      </c>
      <c r="H547" t="s">
        <v>51</v>
      </c>
      <c r="I547">
        <v>3</v>
      </c>
      <c r="J547" t="s">
        <v>39</v>
      </c>
      <c r="K547">
        <v>99</v>
      </c>
      <c r="L547">
        <v>3</v>
      </c>
      <c r="M547">
        <v>2</v>
      </c>
      <c r="N547" t="s">
        <v>35</v>
      </c>
      <c r="O547">
        <v>4</v>
      </c>
      <c r="P547" t="s">
        <v>45</v>
      </c>
      <c r="Q547">
        <v>5304</v>
      </c>
      <c r="R547">
        <v>25275</v>
      </c>
      <c r="S547">
        <v>7</v>
      </c>
      <c r="T547">
        <v>0</v>
      </c>
      <c r="U547" s="17">
        <v>0.23</v>
      </c>
      <c r="V547">
        <v>4</v>
      </c>
      <c r="W547">
        <v>4</v>
      </c>
      <c r="X547">
        <v>1</v>
      </c>
      <c r="Y547">
        <v>10</v>
      </c>
      <c r="Z547">
        <v>2</v>
      </c>
      <c r="AA547">
        <v>2</v>
      </c>
      <c r="AB547">
        <v>8</v>
      </c>
      <c r="AC547">
        <v>7</v>
      </c>
      <c r="AD547">
        <v>7</v>
      </c>
      <c r="AE547">
        <v>7</v>
      </c>
      <c r="AF547">
        <v>0</v>
      </c>
      <c r="AG547">
        <f>IF(tbl_HR_Data[[#This Row],[Gender]]="Male",1,0)</f>
        <v>1</v>
      </c>
      <c r="AH547" cm="1">
        <f t="array" ref="AH547">_xlfn.SWITCH(tbl_HR_Data[[#This Row],[BusinessTravel]], "Non-Travel", 0, "Travel_Rarely", 1, "Travel_Frequently", 2)</f>
        <v>1</v>
      </c>
      <c r="AI547" cm="1">
        <f t="array" ref="AI547">_xlfn.SWITCH(tbl_HR_Data[[#This Row],[MaritalStatus]],"Single",0,"Married",1,"Divorced",2)</f>
        <v>2</v>
      </c>
      <c r="AJ547">
        <f>IF(tbl_HR_Data[[#This Row],[OverTime]]=1,1,0)</f>
        <v>0</v>
      </c>
      <c r="AK547">
        <f>IF(tbl_HR_Data[[#This Row],[DistanceFromHome]]&gt;15,1,0)</f>
        <v>1</v>
      </c>
      <c r="AL547">
        <f>IF(tbl_HR_Data[[#This Row],[JobSatisfaction]]&lt;=2,1,0)</f>
        <v>0</v>
      </c>
      <c r="AM547">
        <f>IF(tbl_HR_Data[[#This Row],[MonthlyIncome]]&lt;$AT$2,1,0)</f>
        <v>0</v>
      </c>
      <c r="AN547">
        <f>IF(tbl_HR_Data[[#This Row],[Travel_Code]]=2,1,0)</f>
        <v>0</v>
      </c>
      <c r="AO547">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547" s="15">
        <f>tbl_HR_Data[[#This Row],[Risk_Score_Raw]] / SUM(Logic_Parameters!$B$2:$B$6)</f>
        <v>0.10908033267710357</v>
      </c>
      <c r="AQ547" s="16" t="str" cm="1">
        <f t="array" ref="AQ547">_xlfn.IFS(tbl_HR_Data[[#This Row],[Attrition_Risk_Percentage]] &gt;= 0.75, "Critical",tbl_HR_Data[ [#This Row],[Attrition_Risk_Percentage] ]&gt;= 0.5, "High",tbl_HR_Data[[#This Row],[Attrition_Risk_Percentage]] &gt;= 0.25, "Medium",TRUE, "Low")</f>
        <v>Low</v>
      </c>
      <c r="AR547" s="16" cm="1">
        <f t="array" ref="AR547">IFERROR(_xlfn.IFS(tbl_HR_Data[[#This Row],[Risk_Category]]="Critical",tbl_HR_Data[[#This Row],[MonthlyIncome]]*1.5,tbl_HR_Data[[#This Row],[Risk_Category]]="High",tbl_HR_Data[[#This Row],[MonthlyIncome]]*1.5),0)</f>
        <v>0</v>
      </c>
    </row>
    <row r="548" spans="1:44" x14ac:dyDescent="0.35">
      <c r="A548" t="s">
        <v>435</v>
      </c>
      <c r="B548">
        <v>29</v>
      </c>
      <c r="C548" t="s">
        <v>31</v>
      </c>
      <c r="D548">
        <v>1396</v>
      </c>
      <c r="E548" t="s">
        <v>32</v>
      </c>
      <c r="F548">
        <v>10</v>
      </c>
      <c r="G548">
        <v>3</v>
      </c>
      <c r="H548" t="s">
        <v>33</v>
      </c>
      <c r="I548">
        <v>3</v>
      </c>
      <c r="J548" t="s">
        <v>39</v>
      </c>
      <c r="K548">
        <v>99</v>
      </c>
      <c r="L548">
        <v>3</v>
      </c>
      <c r="M548">
        <v>1</v>
      </c>
      <c r="N548" t="s">
        <v>49</v>
      </c>
      <c r="O548">
        <v>3</v>
      </c>
      <c r="P548" t="s">
        <v>36</v>
      </c>
      <c r="Q548">
        <v>2642</v>
      </c>
      <c r="R548">
        <v>2755</v>
      </c>
      <c r="S548">
        <v>1</v>
      </c>
      <c r="T548">
        <v>0</v>
      </c>
      <c r="U548" s="17">
        <v>0.11</v>
      </c>
      <c r="V548">
        <v>3</v>
      </c>
      <c r="W548">
        <v>3</v>
      </c>
      <c r="X548">
        <v>0</v>
      </c>
      <c r="Y548">
        <v>1</v>
      </c>
      <c r="Z548">
        <v>6</v>
      </c>
      <c r="AA548">
        <v>3</v>
      </c>
      <c r="AB548">
        <v>1</v>
      </c>
      <c r="AC548">
        <v>0</v>
      </c>
      <c r="AD548">
        <v>0</v>
      </c>
      <c r="AE548">
        <v>0</v>
      </c>
      <c r="AF548">
        <v>0</v>
      </c>
      <c r="AG548">
        <f>IF(tbl_HR_Data[[#This Row],[Gender]]="Male",1,0)</f>
        <v>1</v>
      </c>
      <c r="AH548" cm="1">
        <f t="array" ref="AH548">_xlfn.SWITCH(tbl_HR_Data[[#This Row],[BusinessTravel]], "Non-Travel", 0, "Travel_Rarely", 1, "Travel_Frequently", 2)</f>
        <v>1</v>
      </c>
      <c r="AI548" cm="1">
        <f t="array" ref="AI548">_xlfn.SWITCH(tbl_HR_Data[[#This Row],[MaritalStatus]],"Single",0,"Married",1,"Divorced",2)</f>
        <v>0</v>
      </c>
      <c r="AJ548">
        <f>IF(tbl_HR_Data[[#This Row],[OverTime]]=1,1,0)</f>
        <v>0</v>
      </c>
      <c r="AK548">
        <f>IF(tbl_HR_Data[[#This Row],[DistanceFromHome]]&gt;15,1,0)</f>
        <v>0</v>
      </c>
      <c r="AL548">
        <f>IF(tbl_HR_Data[[#This Row],[JobSatisfaction]]&lt;=2,1,0)</f>
        <v>0</v>
      </c>
      <c r="AM548">
        <f>IF(tbl_HR_Data[[#This Row],[MonthlyIncome]]&lt;$AT$2,1,0)</f>
        <v>1</v>
      </c>
      <c r="AN548">
        <f>IF(tbl_HR_Data[[#This Row],[Travel_Code]]=2,1,0)</f>
        <v>0</v>
      </c>
      <c r="AO548">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548" s="15">
        <f>tbl_HR_Data[[#This Row],[Risk_Score_Raw]] / SUM(Logic_Parameters!$B$2:$B$6)</f>
        <v>0.22374939857982484</v>
      </c>
      <c r="AQ548" s="16" t="str" cm="1">
        <f t="array" ref="AQ548">_xlfn.IFS(tbl_HR_Data[[#This Row],[Attrition_Risk_Percentage]] &gt;= 0.75, "Critical",tbl_HR_Data[ [#This Row],[Attrition_Risk_Percentage] ]&gt;= 0.5, "High",tbl_HR_Data[[#This Row],[Attrition_Risk_Percentage]] &gt;= 0.25, "Medium",TRUE, "Low")</f>
        <v>Low</v>
      </c>
      <c r="AR548" s="16" cm="1">
        <f t="array" ref="AR548">IFERROR(_xlfn.IFS(tbl_HR_Data[[#This Row],[Risk_Category]]="Critical",tbl_HR_Data[[#This Row],[MonthlyIncome]]*1.5,tbl_HR_Data[[#This Row],[Risk_Category]]="High",tbl_HR_Data[[#This Row],[MonthlyIncome]]*1.5),0)</f>
        <v>0</v>
      </c>
    </row>
    <row r="549" spans="1:44" x14ac:dyDescent="0.35">
      <c r="A549" t="s">
        <v>234</v>
      </c>
      <c r="B549">
        <v>42</v>
      </c>
      <c r="C549" t="s">
        <v>37</v>
      </c>
      <c r="D549">
        <v>933</v>
      </c>
      <c r="E549" t="s">
        <v>38</v>
      </c>
      <c r="F549">
        <v>19</v>
      </c>
      <c r="G549">
        <v>3</v>
      </c>
      <c r="H549" t="s">
        <v>44</v>
      </c>
      <c r="I549">
        <v>3</v>
      </c>
      <c r="J549" t="s">
        <v>39</v>
      </c>
      <c r="K549">
        <v>57</v>
      </c>
      <c r="L549">
        <v>4</v>
      </c>
      <c r="M549">
        <v>1</v>
      </c>
      <c r="N549" t="s">
        <v>40</v>
      </c>
      <c r="O549">
        <v>3</v>
      </c>
      <c r="P549" t="s">
        <v>45</v>
      </c>
      <c r="Q549">
        <v>2759</v>
      </c>
      <c r="R549">
        <v>20366</v>
      </c>
      <c r="S549">
        <v>6</v>
      </c>
      <c r="T549">
        <v>1</v>
      </c>
      <c r="U549" s="17">
        <v>0.12</v>
      </c>
      <c r="V549">
        <v>3</v>
      </c>
      <c r="W549">
        <v>4</v>
      </c>
      <c r="X549">
        <v>0</v>
      </c>
      <c r="Y549">
        <v>7</v>
      </c>
      <c r="Z549">
        <v>2</v>
      </c>
      <c r="AA549">
        <v>3</v>
      </c>
      <c r="AB549">
        <v>2</v>
      </c>
      <c r="AC549">
        <v>2</v>
      </c>
      <c r="AD549">
        <v>2</v>
      </c>
      <c r="AE549">
        <v>2</v>
      </c>
      <c r="AF549">
        <v>1</v>
      </c>
      <c r="AG549">
        <f>IF(tbl_HR_Data[[#This Row],[Gender]]="Male",1,0)</f>
        <v>1</v>
      </c>
      <c r="AH549" cm="1">
        <f t="array" ref="AH549">_xlfn.SWITCH(tbl_HR_Data[[#This Row],[BusinessTravel]], "Non-Travel", 0, "Travel_Rarely", 1, "Travel_Frequently", 2)</f>
        <v>2</v>
      </c>
      <c r="AI549" cm="1">
        <f t="array" ref="AI549">_xlfn.SWITCH(tbl_HR_Data[[#This Row],[MaritalStatus]],"Single",0,"Married",1,"Divorced",2)</f>
        <v>2</v>
      </c>
      <c r="AJ549">
        <f>IF(tbl_HR_Data[[#This Row],[OverTime]]=1,1,0)</f>
        <v>1</v>
      </c>
      <c r="AK549">
        <f>IF(tbl_HR_Data[[#This Row],[DistanceFromHome]]&gt;15,1,0)</f>
        <v>1</v>
      </c>
      <c r="AL549">
        <f>IF(tbl_HR_Data[[#This Row],[JobSatisfaction]]&lt;=2,1,0)</f>
        <v>0</v>
      </c>
      <c r="AM549">
        <f>IF(tbl_HR_Data[[#This Row],[MonthlyIncome]]&lt;$AT$2,1,0)</f>
        <v>1</v>
      </c>
      <c r="AN549">
        <f>IF(tbl_HR_Data[[#This Row],[Travel_Code]]=2,1,0)</f>
        <v>1</v>
      </c>
      <c r="AO549">
        <f>(tbl_HR_Data[[#This Row],[Flag_OT]] * Logic_Parameters!$B$2) +
 (tbl_HR_Data[[#This Row],[Flag_Travel]] * Logic_Parameters!$B$3) +
 (tbl_HR_Data[[#This Row],[Flag_Satisfaction]] * Logic_Parameters!$B$4) +
 (tbl_HR_Data[[#This Row],[Flag_Distance]]* Logic_Parameters!$B$5) +
 (tbl_HR_Data[[#This Row],[Flag_Income]] * Logic_Parameters!$B$6)</f>
        <v>24.820925613786383</v>
      </c>
      <c r="AP549" s="15">
        <f>tbl_HR_Data[[#This Row],[Risk_Score_Raw]] / SUM(Logic_Parameters!$B$2:$B$6)</f>
        <v>0.85514326691283105</v>
      </c>
      <c r="AQ549" s="16" t="str" cm="1">
        <f t="array" ref="AQ549">_xlfn.IFS(tbl_HR_Data[[#This Row],[Attrition_Risk_Percentage]] &gt;= 0.75, "Critical",tbl_HR_Data[ [#This Row],[Attrition_Risk_Percentage] ]&gt;= 0.5, "High",tbl_HR_Data[[#This Row],[Attrition_Risk_Percentage]] &gt;= 0.25, "Medium",TRUE, "Low")</f>
        <v>Critical</v>
      </c>
      <c r="AR549" s="16" cm="1">
        <f t="array" ref="AR549">IFERROR(_xlfn.IFS(tbl_HR_Data[[#This Row],[Risk_Category]]="Critical",tbl_HR_Data[[#This Row],[MonthlyIncome]]*1.5,tbl_HR_Data[[#This Row],[Risk_Category]]="High",tbl_HR_Data[[#This Row],[MonthlyIncome]]*1.5),0)</f>
        <v>4138.5</v>
      </c>
    </row>
    <row r="550" spans="1:44" x14ac:dyDescent="0.35">
      <c r="A550" t="s">
        <v>930</v>
      </c>
      <c r="B550">
        <v>43</v>
      </c>
      <c r="C550" t="s">
        <v>37</v>
      </c>
      <c r="D550">
        <v>775</v>
      </c>
      <c r="E550" t="s">
        <v>32</v>
      </c>
      <c r="F550">
        <v>15</v>
      </c>
      <c r="G550">
        <v>3</v>
      </c>
      <c r="H550" t="s">
        <v>33</v>
      </c>
      <c r="I550">
        <v>4</v>
      </c>
      <c r="J550" t="s">
        <v>39</v>
      </c>
      <c r="K550">
        <v>47</v>
      </c>
      <c r="L550">
        <v>2</v>
      </c>
      <c r="M550">
        <v>2</v>
      </c>
      <c r="N550" t="s">
        <v>35</v>
      </c>
      <c r="O550">
        <v>4</v>
      </c>
      <c r="P550" t="s">
        <v>41</v>
      </c>
      <c r="Q550">
        <v>6804</v>
      </c>
      <c r="R550">
        <v>23683</v>
      </c>
      <c r="S550">
        <v>3</v>
      </c>
      <c r="T550">
        <v>0</v>
      </c>
      <c r="U550" s="17">
        <v>0.18</v>
      </c>
      <c r="V550">
        <v>3</v>
      </c>
      <c r="W550">
        <v>3</v>
      </c>
      <c r="X550">
        <v>1</v>
      </c>
      <c r="Y550">
        <v>7</v>
      </c>
      <c r="Z550">
        <v>5</v>
      </c>
      <c r="AA550">
        <v>3</v>
      </c>
      <c r="AB550">
        <v>2</v>
      </c>
      <c r="AC550">
        <v>2</v>
      </c>
      <c r="AD550">
        <v>2</v>
      </c>
      <c r="AE550">
        <v>2</v>
      </c>
      <c r="AF550">
        <v>0</v>
      </c>
      <c r="AG550">
        <f>IF(tbl_HR_Data[[#This Row],[Gender]]="Male",1,0)</f>
        <v>1</v>
      </c>
      <c r="AH550" cm="1">
        <f t="array" ref="AH550">_xlfn.SWITCH(tbl_HR_Data[[#This Row],[BusinessTravel]], "Non-Travel", 0, "Travel_Rarely", 1, "Travel_Frequently", 2)</f>
        <v>2</v>
      </c>
      <c r="AI550" cm="1">
        <f t="array" ref="AI550">_xlfn.SWITCH(tbl_HR_Data[[#This Row],[MaritalStatus]],"Single",0,"Married",1,"Divorced",2)</f>
        <v>1</v>
      </c>
      <c r="AJ550">
        <f>IF(tbl_HR_Data[[#This Row],[OverTime]]=1,1,0)</f>
        <v>0</v>
      </c>
      <c r="AK550">
        <f>IF(tbl_HR_Data[[#This Row],[DistanceFromHome]]&gt;15,1,0)</f>
        <v>0</v>
      </c>
      <c r="AL550">
        <f>IF(tbl_HR_Data[[#This Row],[JobSatisfaction]]&lt;=2,1,0)</f>
        <v>0</v>
      </c>
      <c r="AM550">
        <f>IF(tbl_HR_Data[[#This Row],[MonthlyIncome]]&lt;$AT$2,1,0)</f>
        <v>0</v>
      </c>
      <c r="AN550">
        <f>IF(tbl_HR_Data[[#This Row],[Travel_Code]]=2,1,0)</f>
        <v>1</v>
      </c>
      <c r="AO550">
        <f>(tbl_HR_Data[[#This Row],[Flag_OT]] * Logic_Parameters!$B$2) +
 (tbl_HR_Data[[#This Row],[Flag_Travel]] * Logic_Parameters!$B$3) +
 (tbl_HR_Data[[#This Row],[Flag_Satisfaction]] * Logic_Parameters!$B$4) +
 (tbl_HR_Data[[#This Row],[Flag_Distance]]* Logic_Parameters!$B$5) +
 (tbl_HR_Data[[#This Row],[Flag_Income]] * Logic_Parameters!$B$6)</f>
        <v>5.1603899804901765</v>
      </c>
      <c r="AP550" s="15">
        <f>tbl_HR_Data[[#This Row],[Risk_Score_Raw]] / SUM(Logic_Parameters!$B$2:$B$6)</f>
        <v>0.17778840383009531</v>
      </c>
      <c r="AQ550" s="16" t="str" cm="1">
        <f t="array" ref="AQ550">_xlfn.IFS(tbl_HR_Data[[#This Row],[Attrition_Risk_Percentage]] &gt;= 0.75, "Critical",tbl_HR_Data[ [#This Row],[Attrition_Risk_Percentage] ]&gt;= 0.5, "High",tbl_HR_Data[[#This Row],[Attrition_Risk_Percentage]] &gt;= 0.25, "Medium",TRUE, "Low")</f>
        <v>Low</v>
      </c>
      <c r="AR550" s="16" cm="1">
        <f t="array" ref="AR550">IFERROR(_xlfn.IFS(tbl_HR_Data[[#This Row],[Risk_Category]]="Critical",tbl_HR_Data[[#This Row],[MonthlyIncome]]*1.5,tbl_HR_Data[[#This Row],[Risk_Category]]="High",tbl_HR_Data[[#This Row],[MonthlyIncome]]*1.5),0)</f>
        <v>0</v>
      </c>
    </row>
    <row r="551" spans="1:44" x14ac:dyDescent="0.35">
      <c r="A551" t="s">
        <v>243</v>
      </c>
      <c r="B551">
        <v>34</v>
      </c>
      <c r="C551" t="s">
        <v>31</v>
      </c>
      <c r="D551">
        <v>970</v>
      </c>
      <c r="E551" t="s">
        <v>38</v>
      </c>
      <c r="F551">
        <v>8</v>
      </c>
      <c r="G551">
        <v>2</v>
      </c>
      <c r="H551" t="s">
        <v>44</v>
      </c>
      <c r="I551">
        <v>2</v>
      </c>
      <c r="J551" t="s">
        <v>34</v>
      </c>
      <c r="K551">
        <v>96</v>
      </c>
      <c r="L551">
        <v>3</v>
      </c>
      <c r="M551">
        <v>2</v>
      </c>
      <c r="N551" t="s">
        <v>47</v>
      </c>
      <c r="O551">
        <v>3</v>
      </c>
      <c r="P551" t="s">
        <v>36</v>
      </c>
      <c r="Q551">
        <v>6142</v>
      </c>
      <c r="R551">
        <v>7360</v>
      </c>
      <c r="S551">
        <v>3</v>
      </c>
      <c r="T551">
        <v>0</v>
      </c>
      <c r="U551" s="17">
        <v>0.11</v>
      </c>
      <c r="V551">
        <v>3</v>
      </c>
      <c r="W551">
        <v>4</v>
      </c>
      <c r="X551">
        <v>0</v>
      </c>
      <c r="Y551">
        <v>10</v>
      </c>
      <c r="Z551">
        <v>2</v>
      </c>
      <c r="AA551">
        <v>3</v>
      </c>
      <c r="AB551">
        <v>5</v>
      </c>
      <c r="AC551">
        <v>1</v>
      </c>
      <c r="AD551">
        <v>4</v>
      </c>
      <c r="AE551">
        <v>3</v>
      </c>
      <c r="AF551">
        <v>0</v>
      </c>
      <c r="AG551">
        <f>IF(tbl_HR_Data[[#This Row],[Gender]]="Male",1,0)</f>
        <v>0</v>
      </c>
      <c r="AH551" cm="1">
        <f t="array" ref="AH551">_xlfn.SWITCH(tbl_HR_Data[[#This Row],[BusinessTravel]], "Non-Travel", 0, "Travel_Rarely", 1, "Travel_Frequently", 2)</f>
        <v>1</v>
      </c>
      <c r="AI551" cm="1">
        <f t="array" ref="AI551">_xlfn.SWITCH(tbl_HR_Data[[#This Row],[MaritalStatus]],"Single",0,"Married",1,"Divorced",2)</f>
        <v>0</v>
      </c>
      <c r="AJ551">
        <f>IF(tbl_HR_Data[[#This Row],[OverTime]]=1,1,0)</f>
        <v>0</v>
      </c>
      <c r="AK551">
        <f>IF(tbl_HR_Data[[#This Row],[DistanceFromHome]]&gt;15,1,0)</f>
        <v>0</v>
      </c>
      <c r="AL551">
        <f>IF(tbl_HR_Data[[#This Row],[JobSatisfaction]]&lt;=2,1,0)</f>
        <v>0</v>
      </c>
      <c r="AM551">
        <f>IF(tbl_HR_Data[[#This Row],[MonthlyIncome]]&lt;$AT$2,1,0)</f>
        <v>0</v>
      </c>
      <c r="AN551">
        <f>IF(tbl_HR_Data[[#This Row],[Travel_Code]]=2,1,0)</f>
        <v>0</v>
      </c>
      <c r="AO551">
        <f>(tbl_HR_Data[[#This Row],[Flag_OT]] * Logic_Parameters!$B$2) +
 (tbl_HR_Data[[#This Row],[Flag_Travel]] * Logic_Parameters!$B$3) +
 (tbl_HR_Data[[#This Row],[Flag_Satisfaction]] * Logic_Parameters!$B$4) +
 (tbl_HR_Data[[#This Row],[Flag_Distance]]* Logic_Parameters!$B$5) +
 (tbl_HR_Data[[#This Row],[Flag_Income]] * Logic_Parameters!$B$6)</f>
        <v>0</v>
      </c>
      <c r="AP551" s="15">
        <f>tbl_HR_Data[[#This Row],[Risk_Score_Raw]] / SUM(Logic_Parameters!$B$2:$B$6)</f>
        <v>0</v>
      </c>
      <c r="AQ551" s="16" t="str" cm="1">
        <f t="array" ref="AQ551">_xlfn.IFS(tbl_HR_Data[[#This Row],[Attrition_Risk_Percentage]] &gt;= 0.75, "Critical",tbl_HR_Data[ [#This Row],[Attrition_Risk_Percentage] ]&gt;= 0.5, "High",tbl_HR_Data[[#This Row],[Attrition_Risk_Percentage]] &gt;= 0.25, "Medium",TRUE, "Low")</f>
        <v>Low</v>
      </c>
      <c r="AR551" s="16" cm="1">
        <f t="array" ref="AR551">IFERROR(_xlfn.IFS(tbl_HR_Data[[#This Row],[Risk_Category]]="Critical",tbl_HR_Data[[#This Row],[MonthlyIncome]]*1.5,tbl_HR_Data[[#This Row],[Risk_Category]]="High",tbl_HR_Data[[#This Row],[MonthlyIncome]]*1.5),0)</f>
        <v>0</v>
      </c>
    </row>
    <row r="552" spans="1:44" x14ac:dyDescent="0.35">
      <c r="A552" t="s">
        <v>1334</v>
      </c>
      <c r="B552">
        <v>23</v>
      </c>
      <c r="C552" t="s">
        <v>31</v>
      </c>
      <c r="D552">
        <v>650</v>
      </c>
      <c r="E552" t="s">
        <v>38</v>
      </c>
      <c r="F552">
        <v>9</v>
      </c>
      <c r="G552">
        <v>1</v>
      </c>
      <c r="H552" t="s">
        <v>44</v>
      </c>
      <c r="I552">
        <v>2</v>
      </c>
      <c r="J552" t="s">
        <v>39</v>
      </c>
      <c r="K552">
        <v>37</v>
      </c>
      <c r="L552">
        <v>3</v>
      </c>
      <c r="M552">
        <v>1</v>
      </c>
      <c r="N552" t="s">
        <v>43</v>
      </c>
      <c r="O552">
        <v>1</v>
      </c>
      <c r="P552" t="s">
        <v>41</v>
      </c>
      <c r="Q552">
        <v>2500</v>
      </c>
      <c r="R552">
        <v>4344</v>
      </c>
      <c r="S552">
        <v>1</v>
      </c>
      <c r="T552">
        <v>0</v>
      </c>
      <c r="U552" s="17">
        <v>0.14000000000000001</v>
      </c>
      <c r="V552">
        <v>3</v>
      </c>
      <c r="W552">
        <v>4</v>
      </c>
      <c r="X552">
        <v>1</v>
      </c>
      <c r="Y552">
        <v>5</v>
      </c>
      <c r="Z552">
        <v>2</v>
      </c>
      <c r="AA552">
        <v>4</v>
      </c>
      <c r="AB552">
        <v>4</v>
      </c>
      <c r="AC552">
        <v>3</v>
      </c>
      <c r="AD552">
        <v>0</v>
      </c>
      <c r="AE552">
        <v>2</v>
      </c>
      <c r="AF552">
        <v>0</v>
      </c>
      <c r="AG552">
        <f>IF(tbl_HR_Data[[#This Row],[Gender]]="Male",1,0)</f>
        <v>1</v>
      </c>
      <c r="AH552" cm="1">
        <f t="array" ref="AH552">_xlfn.SWITCH(tbl_HR_Data[[#This Row],[BusinessTravel]], "Non-Travel", 0, "Travel_Rarely", 1, "Travel_Frequently", 2)</f>
        <v>1</v>
      </c>
      <c r="AI552" cm="1">
        <f t="array" ref="AI552">_xlfn.SWITCH(tbl_HR_Data[[#This Row],[MaritalStatus]],"Single",0,"Married",1,"Divorced",2)</f>
        <v>1</v>
      </c>
      <c r="AJ552">
        <f>IF(tbl_HR_Data[[#This Row],[OverTime]]=1,1,0)</f>
        <v>0</v>
      </c>
      <c r="AK552">
        <f>IF(tbl_HR_Data[[#This Row],[DistanceFromHome]]&gt;15,1,0)</f>
        <v>0</v>
      </c>
      <c r="AL552">
        <f>IF(tbl_HR_Data[[#This Row],[JobSatisfaction]]&lt;=2,1,0)</f>
        <v>1</v>
      </c>
      <c r="AM552">
        <f>IF(tbl_HR_Data[[#This Row],[MonthlyIncome]]&lt;$AT$2,1,0)</f>
        <v>1</v>
      </c>
      <c r="AN552">
        <f>IF(tbl_HR_Data[[#This Row],[Travel_Code]]=2,1,0)</f>
        <v>0</v>
      </c>
      <c r="AO552">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552" s="15">
        <f>tbl_HR_Data[[#This Row],[Risk_Score_Raw]] / SUM(Logic_Parameters!$B$2:$B$6)</f>
        <v>0.3686061316669938</v>
      </c>
      <c r="AQ552" s="16" t="str" cm="1">
        <f t="array" ref="AQ552">_xlfn.IFS(tbl_HR_Data[[#This Row],[Attrition_Risk_Percentage]] &gt;= 0.75, "Critical",tbl_HR_Data[ [#This Row],[Attrition_Risk_Percentage] ]&gt;= 0.5, "High",tbl_HR_Data[[#This Row],[Attrition_Risk_Percentage]] &gt;= 0.25, "Medium",TRUE, "Low")</f>
        <v>Medium</v>
      </c>
      <c r="AR552" s="16" cm="1">
        <f t="array" ref="AR552">IFERROR(_xlfn.IFS(tbl_HR_Data[[#This Row],[Risk_Category]]="Critical",tbl_HR_Data[[#This Row],[MonthlyIncome]]*1.5,tbl_HR_Data[[#This Row],[Risk_Category]]="High",tbl_HR_Data[[#This Row],[MonthlyIncome]]*1.5),0)</f>
        <v>0</v>
      </c>
    </row>
    <row r="553" spans="1:44" x14ac:dyDescent="0.35">
      <c r="A553" t="s">
        <v>200</v>
      </c>
      <c r="B553">
        <v>39</v>
      </c>
      <c r="C553" t="s">
        <v>31</v>
      </c>
      <c r="D553">
        <v>141</v>
      </c>
      <c r="E553" t="s">
        <v>53</v>
      </c>
      <c r="F553">
        <v>3</v>
      </c>
      <c r="G553">
        <v>3</v>
      </c>
      <c r="H553" t="s">
        <v>53</v>
      </c>
      <c r="I553">
        <v>3</v>
      </c>
      <c r="J553" t="s">
        <v>34</v>
      </c>
      <c r="K553">
        <v>44</v>
      </c>
      <c r="L553">
        <v>4</v>
      </c>
      <c r="M553">
        <v>2</v>
      </c>
      <c r="N553" t="s">
        <v>53</v>
      </c>
      <c r="O553">
        <v>2</v>
      </c>
      <c r="P553" t="s">
        <v>41</v>
      </c>
      <c r="Q553">
        <v>6389</v>
      </c>
      <c r="R553">
        <v>18767</v>
      </c>
      <c r="S553">
        <v>9</v>
      </c>
      <c r="T553">
        <v>0</v>
      </c>
      <c r="U553" s="17">
        <v>0.15</v>
      </c>
      <c r="V553">
        <v>3</v>
      </c>
      <c r="W553">
        <v>3</v>
      </c>
      <c r="X553">
        <v>1</v>
      </c>
      <c r="Y553">
        <v>12</v>
      </c>
      <c r="Z553">
        <v>3</v>
      </c>
      <c r="AA553">
        <v>1</v>
      </c>
      <c r="AB553">
        <v>8</v>
      </c>
      <c r="AC553">
        <v>3</v>
      </c>
      <c r="AD553">
        <v>3</v>
      </c>
      <c r="AE553">
        <v>6</v>
      </c>
      <c r="AF553">
        <v>0</v>
      </c>
      <c r="AG553">
        <f>IF(tbl_HR_Data[[#This Row],[Gender]]="Male",1,0)</f>
        <v>0</v>
      </c>
      <c r="AH553" cm="1">
        <f t="array" ref="AH553">_xlfn.SWITCH(tbl_HR_Data[[#This Row],[BusinessTravel]], "Non-Travel", 0, "Travel_Rarely", 1, "Travel_Frequently", 2)</f>
        <v>1</v>
      </c>
      <c r="AI553" cm="1">
        <f t="array" ref="AI553">_xlfn.SWITCH(tbl_HR_Data[[#This Row],[MaritalStatus]],"Single",0,"Married",1,"Divorced",2)</f>
        <v>1</v>
      </c>
      <c r="AJ553">
        <f>IF(tbl_HR_Data[[#This Row],[OverTime]]=1,1,0)</f>
        <v>0</v>
      </c>
      <c r="AK553">
        <f>IF(tbl_HR_Data[[#This Row],[DistanceFromHome]]&gt;15,1,0)</f>
        <v>0</v>
      </c>
      <c r="AL553">
        <f>IF(tbl_HR_Data[[#This Row],[JobSatisfaction]]&lt;=2,1,0)</f>
        <v>1</v>
      </c>
      <c r="AM553">
        <f>IF(tbl_HR_Data[[#This Row],[MonthlyIncome]]&lt;$AT$2,1,0)</f>
        <v>0</v>
      </c>
      <c r="AN553">
        <f>IF(tbl_HR_Data[[#This Row],[Travel_Code]]=2,1,0)</f>
        <v>0</v>
      </c>
      <c r="AO553">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553" s="15">
        <f>tbl_HR_Data[[#This Row],[Risk_Score_Raw]] / SUM(Logic_Parameters!$B$2:$B$6)</f>
        <v>0.14485673308716898</v>
      </c>
      <c r="AQ553" s="16" t="str" cm="1">
        <f t="array" ref="AQ553">_xlfn.IFS(tbl_HR_Data[[#This Row],[Attrition_Risk_Percentage]] &gt;= 0.75, "Critical",tbl_HR_Data[ [#This Row],[Attrition_Risk_Percentage] ]&gt;= 0.5, "High",tbl_HR_Data[[#This Row],[Attrition_Risk_Percentage]] &gt;= 0.25, "Medium",TRUE, "Low")</f>
        <v>Low</v>
      </c>
      <c r="AR553" s="16" cm="1">
        <f t="array" ref="AR553">IFERROR(_xlfn.IFS(tbl_HR_Data[[#This Row],[Risk_Category]]="Critical",tbl_HR_Data[[#This Row],[MonthlyIncome]]*1.5,tbl_HR_Data[[#This Row],[Risk_Category]]="High",tbl_HR_Data[[#This Row],[MonthlyIncome]]*1.5),0)</f>
        <v>0</v>
      </c>
    </row>
    <row r="554" spans="1:44" x14ac:dyDescent="0.35">
      <c r="A554" t="s">
        <v>942</v>
      </c>
      <c r="B554">
        <v>56</v>
      </c>
      <c r="C554" t="s">
        <v>31</v>
      </c>
      <c r="D554">
        <v>832</v>
      </c>
      <c r="E554" t="s">
        <v>38</v>
      </c>
      <c r="F554">
        <v>9</v>
      </c>
      <c r="G554">
        <v>3</v>
      </c>
      <c r="H554" t="s">
        <v>44</v>
      </c>
      <c r="I554">
        <v>3</v>
      </c>
      <c r="J554" t="s">
        <v>39</v>
      </c>
      <c r="K554">
        <v>81</v>
      </c>
      <c r="L554">
        <v>3</v>
      </c>
      <c r="M554">
        <v>4</v>
      </c>
      <c r="N554" t="s">
        <v>47</v>
      </c>
      <c r="O554">
        <v>4</v>
      </c>
      <c r="P554" t="s">
        <v>41</v>
      </c>
      <c r="Q554">
        <v>11103</v>
      </c>
      <c r="R554">
        <v>20420</v>
      </c>
      <c r="S554">
        <v>7</v>
      </c>
      <c r="T554">
        <v>0</v>
      </c>
      <c r="U554" s="17">
        <v>0.11</v>
      </c>
      <c r="V554">
        <v>3</v>
      </c>
      <c r="W554">
        <v>3</v>
      </c>
      <c r="X554">
        <v>0</v>
      </c>
      <c r="Y554">
        <v>30</v>
      </c>
      <c r="Z554">
        <v>1</v>
      </c>
      <c r="AA554">
        <v>2</v>
      </c>
      <c r="AB554">
        <v>10</v>
      </c>
      <c r="AC554">
        <v>7</v>
      </c>
      <c r="AD554">
        <v>1</v>
      </c>
      <c r="AE554">
        <v>1</v>
      </c>
      <c r="AF554">
        <v>0</v>
      </c>
      <c r="AG554">
        <f>IF(tbl_HR_Data[[#This Row],[Gender]]="Male",1,0)</f>
        <v>1</v>
      </c>
      <c r="AH554" cm="1">
        <f t="array" ref="AH554">_xlfn.SWITCH(tbl_HR_Data[[#This Row],[BusinessTravel]], "Non-Travel", 0, "Travel_Rarely", 1, "Travel_Frequently", 2)</f>
        <v>1</v>
      </c>
      <c r="AI554" cm="1">
        <f t="array" ref="AI554">_xlfn.SWITCH(tbl_HR_Data[[#This Row],[MaritalStatus]],"Single",0,"Married",1,"Divorced",2)</f>
        <v>1</v>
      </c>
      <c r="AJ554">
        <f>IF(tbl_HR_Data[[#This Row],[OverTime]]=1,1,0)</f>
        <v>0</v>
      </c>
      <c r="AK554">
        <f>IF(tbl_HR_Data[[#This Row],[DistanceFromHome]]&gt;15,1,0)</f>
        <v>0</v>
      </c>
      <c r="AL554">
        <f>IF(tbl_HR_Data[[#This Row],[JobSatisfaction]]&lt;=2,1,0)</f>
        <v>0</v>
      </c>
      <c r="AM554">
        <f>IF(tbl_HR_Data[[#This Row],[MonthlyIncome]]&lt;$AT$2,1,0)</f>
        <v>0</v>
      </c>
      <c r="AN554">
        <f>IF(tbl_HR_Data[[#This Row],[Travel_Code]]=2,1,0)</f>
        <v>0</v>
      </c>
      <c r="AO554">
        <f>(tbl_HR_Data[[#This Row],[Flag_OT]] * Logic_Parameters!$B$2) +
 (tbl_HR_Data[[#This Row],[Flag_Travel]] * Logic_Parameters!$B$3) +
 (tbl_HR_Data[[#This Row],[Flag_Satisfaction]] * Logic_Parameters!$B$4) +
 (tbl_HR_Data[[#This Row],[Flag_Distance]]* Logic_Parameters!$B$5) +
 (tbl_HR_Data[[#This Row],[Flag_Income]] * Logic_Parameters!$B$6)</f>
        <v>0</v>
      </c>
      <c r="AP554" s="15">
        <f>tbl_HR_Data[[#This Row],[Risk_Score_Raw]] / SUM(Logic_Parameters!$B$2:$B$6)</f>
        <v>0</v>
      </c>
      <c r="AQ554" s="16" t="str" cm="1">
        <f t="array" ref="AQ554">_xlfn.IFS(tbl_HR_Data[[#This Row],[Attrition_Risk_Percentage]] &gt;= 0.75, "Critical",tbl_HR_Data[ [#This Row],[Attrition_Risk_Percentage] ]&gt;= 0.5, "High",tbl_HR_Data[[#This Row],[Attrition_Risk_Percentage]] &gt;= 0.25, "Medium",TRUE, "Low")</f>
        <v>Low</v>
      </c>
      <c r="AR554" s="16" cm="1">
        <f t="array" ref="AR554">IFERROR(_xlfn.IFS(tbl_HR_Data[[#This Row],[Risk_Category]]="Critical",tbl_HR_Data[[#This Row],[MonthlyIncome]]*1.5,tbl_HR_Data[[#This Row],[Risk_Category]]="High",tbl_HR_Data[[#This Row],[MonthlyIncome]]*1.5),0)</f>
        <v>0</v>
      </c>
    </row>
    <row r="555" spans="1:44" x14ac:dyDescent="0.35">
      <c r="A555" t="s">
        <v>690</v>
      </c>
      <c r="B555">
        <v>40</v>
      </c>
      <c r="C555" t="s">
        <v>31</v>
      </c>
      <c r="D555">
        <v>804</v>
      </c>
      <c r="E555" t="s">
        <v>38</v>
      </c>
      <c r="F555">
        <v>2</v>
      </c>
      <c r="G555">
        <v>1</v>
      </c>
      <c r="H555" t="s">
        <v>44</v>
      </c>
      <c r="I555">
        <v>4</v>
      </c>
      <c r="J555" t="s">
        <v>34</v>
      </c>
      <c r="K555">
        <v>86</v>
      </c>
      <c r="L555">
        <v>2</v>
      </c>
      <c r="M555">
        <v>1</v>
      </c>
      <c r="N555" t="s">
        <v>40</v>
      </c>
      <c r="O555">
        <v>4</v>
      </c>
      <c r="P555" t="s">
        <v>36</v>
      </c>
      <c r="Q555">
        <v>2342</v>
      </c>
      <c r="R555">
        <v>22929</v>
      </c>
      <c r="S555">
        <v>0</v>
      </c>
      <c r="T555">
        <v>1</v>
      </c>
      <c r="U555" s="17">
        <v>0.2</v>
      </c>
      <c r="V555">
        <v>4</v>
      </c>
      <c r="W555">
        <v>4</v>
      </c>
      <c r="X555">
        <v>0</v>
      </c>
      <c r="Y555">
        <v>5</v>
      </c>
      <c r="Z555">
        <v>2</v>
      </c>
      <c r="AA555">
        <v>2</v>
      </c>
      <c r="AB555">
        <v>4</v>
      </c>
      <c r="AC555">
        <v>2</v>
      </c>
      <c r="AD555">
        <v>2</v>
      </c>
      <c r="AE555">
        <v>3</v>
      </c>
      <c r="AF555">
        <v>0</v>
      </c>
      <c r="AG555">
        <f>IF(tbl_HR_Data[[#This Row],[Gender]]="Male",1,0)</f>
        <v>0</v>
      </c>
      <c r="AH555" cm="1">
        <f t="array" ref="AH555">_xlfn.SWITCH(tbl_HR_Data[[#This Row],[BusinessTravel]], "Non-Travel", 0, "Travel_Rarely", 1, "Travel_Frequently", 2)</f>
        <v>1</v>
      </c>
      <c r="AI555" cm="1">
        <f t="array" ref="AI555">_xlfn.SWITCH(tbl_HR_Data[[#This Row],[MaritalStatus]],"Single",0,"Married",1,"Divorced",2)</f>
        <v>0</v>
      </c>
      <c r="AJ555">
        <f>IF(tbl_HR_Data[[#This Row],[OverTime]]=1,1,0)</f>
        <v>1</v>
      </c>
      <c r="AK555">
        <f>IF(tbl_HR_Data[[#This Row],[DistanceFromHome]]&gt;15,1,0)</f>
        <v>0</v>
      </c>
      <c r="AL555">
        <f>IF(tbl_HR_Data[[#This Row],[JobSatisfaction]]&lt;=2,1,0)</f>
        <v>0</v>
      </c>
      <c r="AM555">
        <f>IF(tbl_HR_Data[[#This Row],[MonthlyIncome]]&lt;$AT$2,1,0)</f>
        <v>1</v>
      </c>
      <c r="AN555">
        <f>IF(tbl_HR_Data[[#This Row],[Travel_Code]]=2,1,0)</f>
        <v>0</v>
      </c>
      <c r="AO555">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555" s="15">
        <f>tbl_HR_Data[[#This Row],[Risk_Score_Raw]] / SUM(Logic_Parameters!$B$2:$B$6)</f>
        <v>0.56827453040563214</v>
      </c>
      <c r="AQ555" s="16" t="str" cm="1">
        <f t="array" ref="AQ555">_xlfn.IFS(tbl_HR_Data[[#This Row],[Attrition_Risk_Percentage]] &gt;= 0.75, "Critical",tbl_HR_Data[ [#This Row],[Attrition_Risk_Percentage] ]&gt;= 0.5, "High",tbl_HR_Data[[#This Row],[Attrition_Risk_Percentage]] &gt;= 0.25, "Medium",TRUE, "Low")</f>
        <v>High</v>
      </c>
      <c r="AR555" s="16" cm="1">
        <f t="array" ref="AR555">IFERROR(_xlfn.IFS(tbl_HR_Data[[#This Row],[Risk_Category]]="Critical",tbl_HR_Data[[#This Row],[MonthlyIncome]]*1.5,tbl_HR_Data[[#This Row],[Risk_Category]]="High",tbl_HR_Data[[#This Row],[MonthlyIncome]]*1.5),0)</f>
        <v>3513</v>
      </c>
    </row>
    <row r="556" spans="1:44" x14ac:dyDescent="0.35">
      <c r="A556" t="s">
        <v>989</v>
      </c>
      <c r="B556">
        <v>27</v>
      </c>
      <c r="C556" t="s">
        <v>31</v>
      </c>
      <c r="D556">
        <v>975</v>
      </c>
      <c r="E556" t="s">
        <v>38</v>
      </c>
      <c r="F556">
        <v>7</v>
      </c>
      <c r="G556">
        <v>3</v>
      </c>
      <c r="H556" t="s">
        <v>44</v>
      </c>
      <c r="I556">
        <v>4</v>
      </c>
      <c r="J556" t="s">
        <v>34</v>
      </c>
      <c r="K556">
        <v>55</v>
      </c>
      <c r="L556">
        <v>2</v>
      </c>
      <c r="M556">
        <v>2</v>
      </c>
      <c r="N556" t="s">
        <v>47</v>
      </c>
      <c r="O556">
        <v>1</v>
      </c>
      <c r="P556" t="s">
        <v>36</v>
      </c>
      <c r="Q556">
        <v>6811</v>
      </c>
      <c r="R556">
        <v>23398</v>
      </c>
      <c r="S556">
        <v>8</v>
      </c>
      <c r="T556">
        <v>0</v>
      </c>
      <c r="U556" s="17">
        <v>0.19</v>
      </c>
      <c r="V556">
        <v>3</v>
      </c>
      <c r="W556">
        <v>1</v>
      </c>
      <c r="X556">
        <v>0</v>
      </c>
      <c r="Y556">
        <v>9</v>
      </c>
      <c r="Z556">
        <v>2</v>
      </c>
      <c r="AA556">
        <v>1</v>
      </c>
      <c r="AB556">
        <v>7</v>
      </c>
      <c r="AC556">
        <v>6</v>
      </c>
      <c r="AD556">
        <v>0</v>
      </c>
      <c r="AE556">
        <v>7</v>
      </c>
      <c r="AF556">
        <v>0</v>
      </c>
      <c r="AG556">
        <f>IF(tbl_HR_Data[[#This Row],[Gender]]="Male",1,0)</f>
        <v>0</v>
      </c>
      <c r="AH556" cm="1">
        <f t="array" ref="AH556">_xlfn.SWITCH(tbl_HR_Data[[#This Row],[BusinessTravel]], "Non-Travel", 0, "Travel_Rarely", 1, "Travel_Frequently", 2)</f>
        <v>1</v>
      </c>
      <c r="AI556" cm="1">
        <f t="array" ref="AI556">_xlfn.SWITCH(tbl_HR_Data[[#This Row],[MaritalStatus]],"Single",0,"Married",1,"Divorced",2)</f>
        <v>0</v>
      </c>
      <c r="AJ556">
        <f>IF(tbl_HR_Data[[#This Row],[OverTime]]=1,1,0)</f>
        <v>0</v>
      </c>
      <c r="AK556">
        <f>IF(tbl_HR_Data[[#This Row],[DistanceFromHome]]&gt;15,1,0)</f>
        <v>0</v>
      </c>
      <c r="AL556">
        <f>IF(tbl_HR_Data[[#This Row],[JobSatisfaction]]&lt;=2,1,0)</f>
        <v>1</v>
      </c>
      <c r="AM556">
        <f>IF(tbl_HR_Data[[#This Row],[MonthlyIncome]]&lt;$AT$2,1,0)</f>
        <v>0</v>
      </c>
      <c r="AN556">
        <f>IF(tbl_HR_Data[[#This Row],[Travel_Code]]=2,1,0)</f>
        <v>0</v>
      </c>
      <c r="AO556">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556" s="15">
        <f>tbl_HR_Data[[#This Row],[Risk_Score_Raw]] / SUM(Logic_Parameters!$B$2:$B$6)</f>
        <v>0.14485673308716898</v>
      </c>
      <c r="AQ556" s="16" t="str" cm="1">
        <f t="array" ref="AQ556">_xlfn.IFS(tbl_HR_Data[[#This Row],[Attrition_Risk_Percentage]] &gt;= 0.75, "Critical",tbl_HR_Data[ [#This Row],[Attrition_Risk_Percentage] ]&gt;= 0.5, "High",tbl_HR_Data[[#This Row],[Attrition_Risk_Percentage]] &gt;= 0.25, "Medium",TRUE, "Low")</f>
        <v>Low</v>
      </c>
      <c r="AR556" s="16" cm="1">
        <f t="array" ref="AR556">IFERROR(_xlfn.IFS(tbl_HR_Data[[#This Row],[Risk_Category]]="Critical",tbl_HR_Data[[#This Row],[MonthlyIncome]]*1.5,tbl_HR_Data[[#This Row],[Risk_Category]]="High",tbl_HR_Data[[#This Row],[MonthlyIncome]]*1.5),0)</f>
        <v>0</v>
      </c>
    </row>
    <row r="557" spans="1:44" x14ac:dyDescent="0.35">
      <c r="A557" t="s">
        <v>1197</v>
      </c>
      <c r="B557">
        <v>29</v>
      </c>
      <c r="C557" t="s">
        <v>31</v>
      </c>
      <c r="D557">
        <v>1090</v>
      </c>
      <c r="E557" t="s">
        <v>32</v>
      </c>
      <c r="F557">
        <v>10</v>
      </c>
      <c r="G557">
        <v>3</v>
      </c>
      <c r="H557" t="s">
        <v>51</v>
      </c>
      <c r="I557">
        <v>4</v>
      </c>
      <c r="J557" t="s">
        <v>39</v>
      </c>
      <c r="K557">
        <v>83</v>
      </c>
      <c r="L557">
        <v>3</v>
      </c>
      <c r="M557">
        <v>1</v>
      </c>
      <c r="N557" t="s">
        <v>49</v>
      </c>
      <c r="O557">
        <v>2</v>
      </c>
      <c r="P557" t="s">
        <v>45</v>
      </c>
      <c r="Q557">
        <v>2297</v>
      </c>
      <c r="R557">
        <v>17967</v>
      </c>
      <c r="S557">
        <v>1</v>
      </c>
      <c r="T557">
        <v>0</v>
      </c>
      <c r="U557" s="17">
        <v>0.14000000000000001</v>
      </c>
      <c r="V557">
        <v>3</v>
      </c>
      <c r="W557">
        <v>4</v>
      </c>
      <c r="X557">
        <v>2</v>
      </c>
      <c r="Y557">
        <v>2</v>
      </c>
      <c r="Z557">
        <v>2</v>
      </c>
      <c r="AA557">
        <v>3</v>
      </c>
      <c r="AB557">
        <v>2</v>
      </c>
      <c r="AC557">
        <v>2</v>
      </c>
      <c r="AD557">
        <v>2</v>
      </c>
      <c r="AE557">
        <v>2</v>
      </c>
      <c r="AF557">
        <v>0</v>
      </c>
      <c r="AG557">
        <f>IF(tbl_HR_Data[[#This Row],[Gender]]="Male",1,0)</f>
        <v>1</v>
      </c>
      <c r="AH557" cm="1">
        <f t="array" ref="AH557">_xlfn.SWITCH(tbl_HR_Data[[#This Row],[BusinessTravel]], "Non-Travel", 0, "Travel_Rarely", 1, "Travel_Frequently", 2)</f>
        <v>1</v>
      </c>
      <c r="AI557" cm="1">
        <f t="array" ref="AI557">_xlfn.SWITCH(tbl_HR_Data[[#This Row],[MaritalStatus]],"Single",0,"Married",1,"Divorced",2)</f>
        <v>2</v>
      </c>
      <c r="AJ557">
        <f>IF(tbl_HR_Data[[#This Row],[OverTime]]=1,1,0)</f>
        <v>0</v>
      </c>
      <c r="AK557">
        <f>IF(tbl_HR_Data[[#This Row],[DistanceFromHome]]&gt;15,1,0)</f>
        <v>0</v>
      </c>
      <c r="AL557">
        <f>IF(tbl_HR_Data[[#This Row],[JobSatisfaction]]&lt;=2,1,0)</f>
        <v>1</v>
      </c>
      <c r="AM557">
        <f>IF(tbl_HR_Data[[#This Row],[MonthlyIncome]]&lt;$AT$2,1,0)</f>
        <v>1</v>
      </c>
      <c r="AN557">
        <f>IF(tbl_HR_Data[[#This Row],[Travel_Code]]=2,1,0)</f>
        <v>0</v>
      </c>
      <c r="AO557">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557" s="15">
        <f>tbl_HR_Data[[#This Row],[Risk_Score_Raw]] / SUM(Logic_Parameters!$B$2:$B$6)</f>
        <v>0.3686061316669938</v>
      </c>
      <c r="AQ557" s="16" t="str" cm="1">
        <f t="array" ref="AQ557">_xlfn.IFS(tbl_HR_Data[[#This Row],[Attrition_Risk_Percentage]] &gt;= 0.75, "Critical",tbl_HR_Data[ [#This Row],[Attrition_Risk_Percentage] ]&gt;= 0.5, "High",tbl_HR_Data[[#This Row],[Attrition_Risk_Percentage]] &gt;= 0.25, "Medium",TRUE, "Low")</f>
        <v>Medium</v>
      </c>
      <c r="AR557" s="16" cm="1">
        <f t="array" ref="AR557">IFERROR(_xlfn.IFS(tbl_HR_Data[[#This Row],[Risk_Category]]="Critical",tbl_HR_Data[[#This Row],[MonthlyIncome]]*1.5,tbl_HR_Data[[#This Row],[Risk_Category]]="High",tbl_HR_Data[[#This Row],[MonthlyIncome]]*1.5),0)</f>
        <v>0</v>
      </c>
    </row>
    <row r="558" spans="1:44" x14ac:dyDescent="0.35">
      <c r="A558" t="s">
        <v>475</v>
      </c>
      <c r="B558">
        <v>53</v>
      </c>
      <c r="C558" t="s">
        <v>31</v>
      </c>
      <c r="D558">
        <v>346</v>
      </c>
      <c r="E558" t="s">
        <v>38</v>
      </c>
      <c r="F558">
        <v>6</v>
      </c>
      <c r="G558">
        <v>3</v>
      </c>
      <c r="H558" t="s">
        <v>33</v>
      </c>
      <c r="I558">
        <v>4</v>
      </c>
      <c r="J558" t="s">
        <v>39</v>
      </c>
      <c r="K558">
        <v>86</v>
      </c>
      <c r="L558">
        <v>3</v>
      </c>
      <c r="M558">
        <v>2</v>
      </c>
      <c r="N558" t="s">
        <v>43</v>
      </c>
      <c r="O558">
        <v>4</v>
      </c>
      <c r="P558" t="s">
        <v>36</v>
      </c>
      <c r="Q558">
        <v>2450</v>
      </c>
      <c r="R558">
        <v>10919</v>
      </c>
      <c r="S558">
        <v>2</v>
      </c>
      <c r="T558">
        <v>0</v>
      </c>
      <c r="U558" s="17">
        <v>0.17</v>
      </c>
      <c r="V558">
        <v>3</v>
      </c>
      <c r="W558">
        <v>4</v>
      </c>
      <c r="X558">
        <v>0</v>
      </c>
      <c r="Y558">
        <v>19</v>
      </c>
      <c r="Z558">
        <v>4</v>
      </c>
      <c r="AA558">
        <v>3</v>
      </c>
      <c r="AB558">
        <v>2</v>
      </c>
      <c r="AC558">
        <v>2</v>
      </c>
      <c r="AD558">
        <v>2</v>
      </c>
      <c r="AE558">
        <v>2</v>
      </c>
      <c r="AF558">
        <v>0</v>
      </c>
      <c r="AG558">
        <f>IF(tbl_HR_Data[[#This Row],[Gender]]="Male",1,0)</f>
        <v>1</v>
      </c>
      <c r="AH558" cm="1">
        <f t="array" ref="AH558">_xlfn.SWITCH(tbl_HR_Data[[#This Row],[BusinessTravel]], "Non-Travel", 0, "Travel_Rarely", 1, "Travel_Frequently", 2)</f>
        <v>1</v>
      </c>
      <c r="AI558" cm="1">
        <f t="array" ref="AI558">_xlfn.SWITCH(tbl_HR_Data[[#This Row],[MaritalStatus]],"Single",0,"Married",1,"Divorced",2)</f>
        <v>0</v>
      </c>
      <c r="AJ558">
        <f>IF(tbl_HR_Data[[#This Row],[OverTime]]=1,1,0)</f>
        <v>0</v>
      </c>
      <c r="AK558">
        <f>IF(tbl_HR_Data[[#This Row],[DistanceFromHome]]&gt;15,1,0)</f>
        <v>0</v>
      </c>
      <c r="AL558">
        <f>IF(tbl_HR_Data[[#This Row],[JobSatisfaction]]&lt;=2,1,0)</f>
        <v>0</v>
      </c>
      <c r="AM558">
        <f>IF(tbl_HR_Data[[#This Row],[MonthlyIncome]]&lt;$AT$2,1,0)</f>
        <v>1</v>
      </c>
      <c r="AN558">
        <f>IF(tbl_HR_Data[[#This Row],[Travel_Code]]=2,1,0)</f>
        <v>0</v>
      </c>
      <c r="AO558">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558" s="15">
        <f>tbl_HR_Data[[#This Row],[Risk_Score_Raw]] / SUM(Logic_Parameters!$B$2:$B$6)</f>
        <v>0.22374939857982484</v>
      </c>
      <c r="AQ558" s="16" t="str" cm="1">
        <f t="array" ref="AQ558">_xlfn.IFS(tbl_HR_Data[[#This Row],[Attrition_Risk_Percentage]] &gt;= 0.75, "Critical",tbl_HR_Data[ [#This Row],[Attrition_Risk_Percentage] ]&gt;= 0.5, "High",tbl_HR_Data[[#This Row],[Attrition_Risk_Percentage]] &gt;= 0.25, "Medium",TRUE, "Low")</f>
        <v>Low</v>
      </c>
      <c r="AR558" s="16" cm="1">
        <f t="array" ref="AR558">IFERROR(_xlfn.IFS(tbl_HR_Data[[#This Row],[Risk_Category]]="Critical",tbl_HR_Data[[#This Row],[MonthlyIncome]]*1.5,tbl_HR_Data[[#This Row],[Risk_Category]]="High",tbl_HR_Data[[#This Row],[MonthlyIncome]]*1.5),0)</f>
        <v>0</v>
      </c>
    </row>
    <row r="559" spans="1:44" x14ac:dyDescent="0.35">
      <c r="A559" t="s">
        <v>1394</v>
      </c>
      <c r="B559">
        <v>35</v>
      </c>
      <c r="C559" t="s">
        <v>1525</v>
      </c>
      <c r="D559">
        <v>1225</v>
      </c>
      <c r="E559" t="s">
        <v>38</v>
      </c>
      <c r="F559">
        <v>2</v>
      </c>
      <c r="G559">
        <v>4</v>
      </c>
      <c r="H559" t="s">
        <v>33</v>
      </c>
      <c r="I559">
        <v>4</v>
      </c>
      <c r="J559" t="s">
        <v>34</v>
      </c>
      <c r="K559">
        <v>61</v>
      </c>
      <c r="L559">
        <v>3</v>
      </c>
      <c r="M559">
        <v>2</v>
      </c>
      <c r="N559" t="s">
        <v>47</v>
      </c>
      <c r="O559">
        <v>1</v>
      </c>
      <c r="P559" t="s">
        <v>45</v>
      </c>
      <c r="Q559">
        <v>5093</v>
      </c>
      <c r="R559">
        <v>4761</v>
      </c>
      <c r="S559">
        <v>2</v>
      </c>
      <c r="T559">
        <v>0</v>
      </c>
      <c r="U559" s="17">
        <v>0.11</v>
      </c>
      <c r="V559">
        <v>3</v>
      </c>
      <c r="W559">
        <v>1</v>
      </c>
      <c r="X559">
        <v>1</v>
      </c>
      <c r="Y559">
        <v>16</v>
      </c>
      <c r="Z559">
        <v>2</v>
      </c>
      <c r="AA559">
        <v>4</v>
      </c>
      <c r="AB559">
        <v>1</v>
      </c>
      <c r="AC559">
        <v>0</v>
      </c>
      <c r="AD559">
        <v>0</v>
      </c>
      <c r="AE559">
        <v>0</v>
      </c>
      <c r="AF559">
        <v>0</v>
      </c>
      <c r="AG559">
        <f>IF(tbl_HR_Data[[#This Row],[Gender]]="Male",1,0)</f>
        <v>0</v>
      </c>
      <c r="AH559" cm="1">
        <f t="array" ref="AH559">_xlfn.SWITCH(tbl_HR_Data[[#This Row],[BusinessTravel]], "Non-Travel", 0, "Travel_Rarely", 1, "Travel_Frequently", 2)</f>
        <v>0</v>
      </c>
      <c r="AI559" cm="1">
        <f t="array" ref="AI559">_xlfn.SWITCH(tbl_HR_Data[[#This Row],[MaritalStatus]],"Single",0,"Married",1,"Divorced",2)</f>
        <v>2</v>
      </c>
      <c r="AJ559">
        <f>IF(tbl_HR_Data[[#This Row],[OverTime]]=1,1,0)</f>
        <v>0</v>
      </c>
      <c r="AK559">
        <f>IF(tbl_HR_Data[[#This Row],[DistanceFromHome]]&gt;15,1,0)</f>
        <v>0</v>
      </c>
      <c r="AL559">
        <f>IF(tbl_HR_Data[[#This Row],[JobSatisfaction]]&lt;=2,1,0)</f>
        <v>1</v>
      </c>
      <c r="AM559">
        <f>IF(tbl_HR_Data[[#This Row],[MonthlyIncome]]&lt;$AT$2,1,0)</f>
        <v>0</v>
      </c>
      <c r="AN559">
        <f>IF(tbl_HR_Data[[#This Row],[Travel_Code]]=2,1,0)</f>
        <v>0</v>
      </c>
      <c r="AO559">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559" s="15">
        <f>tbl_HR_Data[[#This Row],[Risk_Score_Raw]] / SUM(Logic_Parameters!$B$2:$B$6)</f>
        <v>0.14485673308716898</v>
      </c>
      <c r="AQ559" s="16" t="str" cm="1">
        <f t="array" ref="AQ559">_xlfn.IFS(tbl_HR_Data[[#This Row],[Attrition_Risk_Percentage]] &gt;= 0.75, "Critical",tbl_HR_Data[ [#This Row],[Attrition_Risk_Percentage] ]&gt;= 0.5, "High",tbl_HR_Data[[#This Row],[Attrition_Risk_Percentage]] &gt;= 0.25, "Medium",TRUE, "Low")</f>
        <v>Low</v>
      </c>
      <c r="AR559" s="16" cm="1">
        <f t="array" ref="AR559">IFERROR(_xlfn.IFS(tbl_HR_Data[[#This Row],[Risk_Category]]="Critical",tbl_HR_Data[[#This Row],[MonthlyIncome]]*1.5,tbl_HR_Data[[#This Row],[Risk_Category]]="High",tbl_HR_Data[[#This Row],[MonthlyIncome]]*1.5),0)</f>
        <v>0</v>
      </c>
    </row>
    <row r="560" spans="1:44" x14ac:dyDescent="0.35">
      <c r="A560" t="s">
        <v>1153</v>
      </c>
      <c r="B560">
        <v>32</v>
      </c>
      <c r="C560" t="s">
        <v>37</v>
      </c>
      <c r="D560">
        <v>430</v>
      </c>
      <c r="E560" t="s">
        <v>38</v>
      </c>
      <c r="F560">
        <v>24</v>
      </c>
      <c r="G560">
        <v>4</v>
      </c>
      <c r="H560" t="s">
        <v>33</v>
      </c>
      <c r="I560">
        <v>1</v>
      </c>
      <c r="J560" t="s">
        <v>39</v>
      </c>
      <c r="K560">
        <v>80</v>
      </c>
      <c r="L560">
        <v>3</v>
      </c>
      <c r="M560">
        <v>2</v>
      </c>
      <c r="N560" t="s">
        <v>43</v>
      </c>
      <c r="O560">
        <v>4</v>
      </c>
      <c r="P560" t="s">
        <v>41</v>
      </c>
      <c r="Q560">
        <v>5309</v>
      </c>
      <c r="R560">
        <v>21146</v>
      </c>
      <c r="S560">
        <v>1</v>
      </c>
      <c r="T560">
        <v>0</v>
      </c>
      <c r="U560" s="17">
        <v>0.15</v>
      </c>
      <c r="V560">
        <v>3</v>
      </c>
      <c r="W560">
        <v>4</v>
      </c>
      <c r="X560">
        <v>2</v>
      </c>
      <c r="Y560">
        <v>10</v>
      </c>
      <c r="Z560">
        <v>2</v>
      </c>
      <c r="AA560">
        <v>3</v>
      </c>
      <c r="AB560">
        <v>10</v>
      </c>
      <c r="AC560">
        <v>8</v>
      </c>
      <c r="AD560">
        <v>4</v>
      </c>
      <c r="AE560">
        <v>7</v>
      </c>
      <c r="AF560">
        <v>0</v>
      </c>
      <c r="AG560">
        <f>IF(tbl_HR_Data[[#This Row],[Gender]]="Male",1,0)</f>
        <v>1</v>
      </c>
      <c r="AH560" cm="1">
        <f t="array" ref="AH560">_xlfn.SWITCH(tbl_HR_Data[[#This Row],[BusinessTravel]], "Non-Travel", 0, "Travel_Rarely", 1, "Travel_Frequently", 2)</f>
        <v>2</v>
      </c>
      <c r="AI560" cm="1">
        <f t="array" ref="AI560">_xlfn.SWITCH(tbl_HR_Data[[#This Row],[MaritalStatus]],"Single",0,"Married",1,"Divorced",2)</f>
        <v>1</v>
      </c>
      <c r="AJ560">
        <f>IF(tbl_HR_Data[[#This Row],[OverTime]]=1,1,0)</f>
        <v>0</v>
      </c>
      <c r="AK560">
        <f>IF(tbl_HR_Data[[#This Row],[DistanceFromHome]]&gt;15,1,0)</f>
        <v>1</v>
      </c>
      <c r="AL560">
        <f>IF(tbl_HR_Data[[#This Row],[JobSatisfaction]]&lt;=2,1,0)</f>
        <v>0</v>
      </c>
      <c r="AM560">
        <f>IF(tbl_HR_Data[[#This Row],[MonthlyIncome]]&lt;$AT$2,1,0)</f>
        <v>0</v>
      </c>
      <c r="AN560">
        <f>IF(tbl_HR_Data[[#This Row],[Travel_Code]]=2,1,0)</f>
        <v>1</v>
      </c>
      <c r="AO560">
        <f>(tbl_HR_Data[[#This Row],[Flag_OT]] * Logic_Parameters!$B$2) +
 (tbl_HR_Data[[#This Row],[Flag_Travel]] * Logic_Parameters!$B$3) +
 (tbl_HR_Data[[#This Row],[Flag_Satisfaction]] * Logic_Parameters!$B$4) +
 (tbl_HR_Data[[#This Row],[Flag_Distance]]* Logic_Parameters!$B$5) +
 (tbl_HR_Data[[#This Row],[Flag_Income]] * Logic_Parameters!$B$6)</f>
        <v>8.3264966763655544</v>
      </c>
      <c r="AP560" s="15">
        <f>tbl_HR_Data[[#This Row],[Risk_Score_Raw]] / SUM(Logic_Parameters!$B$2:$B$6)</f>
        <v>0.28686873650719891</v>
      </c>
      <c r="AQ560" s="16" t="str" cm="1">
        <f t="array" ref="AQ560">_xlfn.IFS(tbl_HR_Data[[#This Row],[Attrition_Risk_Percentage]] &gt;= 0.75, "Critical",tbl_HR_Data[ [#This Row],[Attrition_Risk_Percentage] ]&gt;= 0.5, "High",tbl_HR_Data[[#This Row],[Attrition_Risk_Percentage]] &gt;= 0.25, "Medium",TRUE, "Low")</f>
        <v>Medium</v>
      </c>
      <c r="AR560" s="16" cm="1">
        <f t="array" ref="AR560">IFERROR(_xlfn.IFS(tbl_HR_Data[[#This Row],[Risk_Category]]="Critical",tbl_HR_Data[[#This Row],[MonthlyIncome]]*1.5,tbl_HR_Data[[#This Row],[Risk_Category]]="High",tbl_HR_Data[[#This Row],[MonthlyIncome]]*1.5),0)</f>
        <v>0</v>
      </c>
    </row>
    <row r="561" spans="1:44" x14ac:dyDescent="0.35">
      <c r="A561" t="s">
        <v>701</v>
      </c>
      <c r="B561">
        <v>38</v>
      </c>
      <c r="C561" t="s">
        <v>31</v>
      </c>
      <c r="D561">
        <v>268</v>
      </c>
      <c r="E561" t="s">
        <v>38</v>
      </c>
      <c r="F561">
        <v>2</v>
      </c>
      <c r="G561">
        <v>5</v>
      </c>
      <c r="H561" t="s">
        <v>44</v>
      </c>
      <c r="I561">
        <v>4</v>
      </c>
      <c r="J561" t="s">
        <v>39</v>
      </c>
      <c r="K561">
        <v>92</v>
      </c>
      <c r="L561">
        <v>3</v>
      </c>
      <c r="M561">
        <v>1</v>
      </c>
      <c r="N561" t="s">
        <v>40</v>
      </c>
      <c r="O561">
        <v>3</v>
      </c>
      <c r="P561" t="s">
        <v>41</v>
      </c>
      <c r="Q561">
        <v>3057</v>
      </c>
      <c r="R561">
        <v>20471</v>
      </c>
      <c r="S561">
        <v>6</v>
      </c>
      <c r="T561">
        <v>1</v>
      </c>
      <c r="U561" s="17">
        <v>0.13</v>
      </c>
      <c r="V561">
        <v>3</v>
      </c>
      <c r="W561">
        <v>2</v>
      </c>
      <c r="X561">
        <v>1</v>
      </c>
      <c r="Y561">
        <v>6</v>
      </c>
      <c r="Z561">
        <v>0</v>
      </c>
      <c r="AA561">
        <v>1</v>
      </c>
      <c r="AB561">
        <v>1</v>
      </c>
      <c r="AC561">
        <v>0</v>
      </c>
      <c r="AD561">
        <v>0</v>
      </c>
      <c r="AE561">
        <v>1</v>
      </c>
      <c r="AF561">
        <v>0</v>
      </c>
      <c r="AG561">
        <f>IF(tbl_HR_Data[[#This Row],[Gender]]="Male",1,0)</f>
        <v>1</v>
      </c>
      <c r="AH561" cm="1">
        <f t="array" ref="AH561">_xlfn.SWITCH(tbl_HR_Data[[#This Row],[BusinessTravel]], "Non-Travel", 0, "Travel_Rarely", 1, "Travel_Frequently", 2)</f>
        <v>1</v>
      </c>
      <c r="AI561" cm="1">
        <f t="array" ref="AI561">_xlfn.SWITCH(tbl_HR_Data[[#This Row],[MaritalStatus]],"Single",0,"Married",1,"Divorced",2)</f>
        <v>1</v>
      </c>
      <c r="AJ561">
        <f>IF(tbl_HR_Data[[#This Row],[OverTime]]=1,1,0)</f>
        <v>1</v>
      </c>
      <c r="AK561">
        <f>IF(tbl_HR_Data[[#This Row],[DistanceFromHome]]&gt;15,1,0)</f>
        <v>0</v>
      </c>
      <c r="AL561">
        <f>IF(tbl_HR_Data[[#This Row],[JobSatisfaction]]&lt;=2,1,0)</f>
        <v>0</v>
      </c>
      <c r="AM561">
        <f>IF(tbl_HR_Data[[#This Row],[MonthlyIncome]]&lt;$AT$2,1,0)</f>
        <v>1</v>
      </c>
      <c r="AN561">
        <f>IF(tbl_HR_Data[[#This Row],[Travel_Code]]=2,1,0)</f>
        <v>0</v>
      </c>
      <c r="AO561">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561" s="15">
        <f>tbl_HR_Data[[#This Row],[Risk_Score_Raw]] / SUM(Logic_Parameters!$B$2:$B$6)</f>
        <v>0.56827453040563214</v>
      </c>
      <c r="AQ561" s="16" t="str" cm="1">
        <f t="array" ref="AQ561">_xlfn.IFS(tbl_HR_Data[[#This Row],[Attrition_Risk_Percentage]] &gt;= 0.75, "Critical",tbl_HR_Data[ [#This Row],[Attrition_Risk_Percentage] ]&gt;= 0.5, "High",tbl_HR_Data[[#This Row],[Attrition_Risk_Percentage]] &gt;= 0.25, "Medium",TRUE, "Low")</f>
        <v>High</v>
      </c>
      <c r="AR561" s="16" cm="1">
        <f t="array" ref="AR561">IFERROR(_xlfn.IFS(tbl_HR_Data[[#This Row],[Risk_Category]]="Critical",tbl_HR_Data[[#This Row],[MonthlyIncome]]*1.5,tbl_HR_Data[[#This Row],[Risk_Category]]="High",tbl_HR_Data[[#This Row],[MonthlyIncome]]*1.5),0)</f>
        <v>4585.5</v>
      </c>
    </row>
    <row r="562" spans="1:44" x14ac:dyDescent="0.35">
      <c r="A562" t="s">
        <v>1363</v>
      </c>
      <c r="B562">
        <v>34</v>
      </c>
      <c r="C562" t="s">
        <v>31</v>
      </c>
      <c r="D562">
        <v>167</v>
      </c>
      <c r="E562" t="s">
        <v>38</v>
      </c>
      <c r="F562">
        <v>8</v>
      </c>
      <c r="G562">
        <v>5</v>
      </c>
      <c r="H562" t="s">
        <v>33</v>
      </c>
      <c r="I562">
        <v>2</v>
      </c>
      <c r="J562" t="s">
        <v>34</v>
      </c>
      <c r="K562">
        <v>32</v>
      </c>
      <c r="L562">
        <v>3</v>
      </c>
      <c r="M562">
        <v>2</v>
      </c>
      <c r="N562" t="s">
        <v>46</v>
      </c>
      <c r="O562">
        <v>1</v>
      </c>
      <c r="P562" t="s">
        <v>45</v>
      </c>
      <c r="Q562">
        <v>5121</v>
      </c>
      <c r="R562">
        <v>4187</v>
      </c>
      <c r="S562">
        <v>3</v>
      </c>
      <c r="T562">
        <v>0</v>
      </c>
      <c r="U562" s="17">
        <v>0.14000000000000001</v>
      </c>
      <c r="V562">
        <v>3</v>
      </c>
      <c r="W562">
        <v>3</v>
      </c>
      <c r="X562">
        <v>1</v>
      </c>
      <c r="Y562">
        <v>7</v>
      </c>
      <c r="Z562">
        <v>3</v>
      </c>
      <c r="AA562">
        <v>3</v>
      </c>
      <c r="AB562">
        <v>0</v>
      </c>
      <c r="AC562">
        <v>0</v>
      </c>
      <c r="AD562">
        <v>0</v>
      </c>
      <c r="AE562">
        <v>0</v>
      </c>
      <c r="AF562">
        <v>0</v>
      </c>
      <c r="AG562">
        <f>IF(tbl_HR_Data[[#This Row],[Gender]]="Male",1,0)</f>
        <v>0</v>
      </c>
      <c r="AH562" cm="1">
        <f t="array" ref="AH562">_xlfn.SWITCH(tbl_HR_Data[[#This Row],[BusinessTravel]], "Non-Travel", 0, "Travel_Rarely", 1, "Travel_Frequently", 2)</f>
        <v>1</v>
      </c>
      <c r="AI562" cm="1">
        <f t="array" ref="AI562">_xlfn.SWITCH(tbl_HR_Data[[#This Row],[MaritalStatus]],"Single",0,"Married",1,"Divorced",2)</f>
        <v>2</v>
      </c>
      <c r="AJ562">
        <f>IF(tbl_HR_Data[[#This Row],[OverTime]]=1,1,0)</f>
        <v>0</v>
      </c>
      <c r="AK562">
        <f>IF(tbl_HR_Data[[#This Row],[DistanceFromHome]]&gt;15,1,0)</f>
        <v>0</v>
      </c>
      <c r="AL562">
        <f>IF(tbl_HR_Data[[#This Row],[JobSatisfaction]]&lt;=2,1,0)</f>
        <v>1</v>
      </c>
      <c r="AM562">
        <f>IF(tbl_HR_Data[[#This Row],[MonthlyIncome]]&lt;$AT$2,1,0)</f>
        <v>0</v>
      </c>
      <c r="AN562">
        <f>IF(tbl_HR_Data[[#This Row],[Travel_Code]]=2,1,0)</f>
        <v>0</v>
      </c>
      <c r="AO562">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562" s="15">
        <f>tbl_HR_Data[[#This Row],[Risk_Score_Raw]] / SUM(Logic_Parameters!$B$2:$B$6)</f>
        <v>0.14485673308716898</v>
      </c>
      <c r="AQ562" s="16" t="str" cm="1">
        <f t="array" ref="AQ562">_xlfn.IFS(tbl_HR_Data[[#This Row],[Attrition_Risk_Percentage]] &gt;= 0.75, "Critical",tbl_HR_Data[ [#This Row],[Attrition_Risk_Percentage] ]&gt;= 0.5, "High",tbl_HR_Data[[#This Row],[Attrition_Risk_Percentage]] &gt;= 0.25, "Medium",TRUE, "Low")</f>
        <v>Low</v>
      </c>
      <c r="AR562" s="16" cm="1">
        <f t="array" ref="AR562">IFERROR(_xlfn.IFS(tbl_HR_Data[[#This Row],[Risk_Category]]="Critical",tbl_HR_Data[[#This Row],[MonthlyIncome]]*1.5,tbl_HR_Data[[#This Row],[Risk_Category]]="High",tbl_HR_Data[[#This Row],[MonthlyIncome]]*1.5),0)</f>
        <v>0</v>
      </c>
    </row>
    <row r="563" spans="1:44" x14ac:dyDescent="0.35">
      <c r="A563" t="s">
        <v>865</v>
      </c>
      <c r="B563">
        <v>52</v>
      </c>
      <c r="C563" t="s">
        <v>31</v>
      </c>
      <c r="D563">
        <v>621</v>
      </c>
      <c r="E563" t="s">
        <v>32</v>
      </c>
      <c r="F563">
        <v>3</v>
      </c>
      <c r="G563">
        <v>4</v>
      </c>
      <c r="H563" t="s">
        <v>51</v>
      </c>
      <c r="I563">
        <v>3</v>
      </c>
      <c r="J563" t="s">
        <v>39</v>
      </c>
      <c r="K563">
        <v>31</v>
      </c>
      <c r="L563">
        <v>2</v>
      </c>
      <c r="M563">
        <v>4</v>
      </c>
      <c r="N563" t="s">
        <v>48</v>
      </c>
      <c r="O563">
        <v>1</v>
      </c>
      <c r="P563" t="s">
        <v>41</v>
      </c>
      <c r="Q563">
        <v>16856</v>
      </c>
      <c r="R563">
        <v>10084</v>
      </c>
      <c r="S563">
        <v>1</v>
      </c>
      <c r="T563">
        <v>0</v>
      </c>
      <c r="U563" s="17">
        <v>0.11</v>
      </c>
      <c r="V563">
        <v>3</v>
      </c>
      <c r="W563">
        <v>1</v>
      </c>
      <c r="X563">
        <v>0</v>
      </c>
      <c r="Y563">
        <v>34</v>
      </c>
      <c r="Z563">
        <v>3</v>
      </c>
      <c r="AA563">
        <v>4</v>
      </c>
      <c r="AB563">
        <v>34</v>
      </c>
      <c r="AC563">
        <v>6</v>
      </c>
      <c r="AD563">
        <v>1</v>
      </c>
      <c r="AE563">
        <v>16</v>
      </c>
      <c r="AF563">
        <v>0</v>
      </c>
      <c r="AG563">
        <f>IF(tbl_HR_Data[[#This Row],[Gender]]="Male",1,0)</f>
        <v>1</v>
      </c>
      <c r="AH563" cm="1">
        <f t="array" ref="AH563">_xlfn.SWITCH(tbl_HR_Data[[#This Row],[BusinessTravel]], "Non-Travel", 0, "Travel_Rarely", 1, "Travel_Frequently", 2)</f>
        <v>1</v>
      </c>
      <c r="AI563" cm="1">
        <f t="array" ref="AI563">_xlfn.SWITCH(tbl_HR_Data[[#This Row],[MaritalStatus]],"Single",0,"Married",1,"Divorced",2)</f>
        <v>1</v>
      </c>
      <c r="AJ563">
        <f>IF(tbl_HR_Data[[#This Row],[OverTime]]=1,1,0)</f>
        <v>0</v>
      </c>
      <c r="AK563">
        <f>IF(tbl_HR_Data[[#This Row],[DistanceFromHome]]&gt;15,1,0)</f>
        <v>0</v>
      </c>
      <c r="AL563">
        <f>IF(tbl_HR_Data[[#This Row],[JobSatisfaction]]&lt;=2,1,0)</f>
        <v>1</v>
      </c>
      <c r="AM563">
        <f>IF(tbl_HR_Data[[#This Row],[MonthlyIncome]]&lt;$AT$2,1,0)</f>
        <v>0</v>
      </c>
      <c r="AN563">
        <f>IF(tbl_HR_Data[[#This Row],[Travel_Code]]=2,1,0)</f>
        <v>0</v>
      </c>
      <c r="AO563">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563" s="15">
        <f>tbl_HR_Data[[#This Row],[Risk_Score_Raw]] / SUM(Logic_Parameters!$B$2:$B$6)</f>
        <v>0.14485673308716898</v>
      </c>
      <c r="AQ563" s="16" t="str" cm="1">
        <f t="array" ref="AQ563">_xlfn.IFS(tbl_HR_Data[[#This Row],[Attrition_Risk_Percentage]] &gt;= 0.75, "Critical",tbl_HR_Data[ [#This Row],[Attrition_Risk_Percentage] ]&gt;= 0.5, "High",tbl_HR_Data[[#This Row],[Attrition_Risk_Percentage]] &gt;= 0.25, "Medium",TRUE, "Low")</f>
        <v>Low</v>
      </c>
      <c r="AR563" s="16" cm="1">
        <f t="array" ref="AR563">IFERROR(_xlfn.IFS(tbl_HR_Data[[#This Row],[Risk_Category]]="Critical",tbl_HR_Data[[#This Row],[MonthlyIncome]]*1.5,tbl_HR_Data[[#This Row],[Risk_Category]]="High",tbl_HR_Data[[#This Row],[MonthlyIncome]]*1.5),0)</f>
        <v>0</v>
      </c>
    </row>
    <row r="564" spans="1:44" x14ac:dyDescent="0.35">
      <c r="A564" t="s">
        <v>1379</v>
      </c>
      <c r="B564">
        <v>33</v>
      </c>
      <c r="C564" t="s">
        <v>31</v>
      </c>
      <c r="D564">
        <v>527</v>
      </c>
      <c r="E564" t="s">
        <v>38</v>
      </c>
      <c r="F564">
        <v>1</v>
      </c>
      <c r="G564">
        <v>4</v>
      </c>
      <c r="H564" t="s">
        <v>42</v>
      </c>
      <c r="I564">
        <v>4</v>
      </c>
      <c r="J564" t="s">
        <v>39</v>
      </c>
      <c r="K564">
        <v>63</v>
      </c>
      <c r="L564">
        <v>3</v>
      </c>
      <c r="M564">
        <v>1</v>
      </c>
      <c r="N564" t="s">
        <v>40</v>
      </c>
      <c r="O564">
        <v>4</v>
      </c>
      <c r="P564" t="s">
        <v>36</v>
      </c>
      <c r="Q564">
        <v>2686</v>
      </c>
      <c r="R564">
        <v>5207</v>
      </c>
      <c r="S564">
        <v>1</v>
      </c>
      <c r="T564">
        <v>1</v>
      </c>
      <c r="U564" s="17">
        <v>0.13</v>
      </c>
      <c r="V564">
        <v>3</v>
      </c>
      <c r="W564">
        <v>3</v>
      </c>
      <c r="X564">
        <v>0</v>
      </c>
      <c r="Y564">
        <v>10</v>
      </c>
      <c r="Z564">
        <v>2</v>
      </c>
      <c r="AA564">
        <v>2</v>
      </c>
      <c r="AB564">
        <v>10</v>
      </c>
      <c r="AC564">
        <v>9</v>
      </c>
      <c r="AD564">
        <v>7</v>
      </c>
      <c r="AE564">
        <v>8</v>
      </c>
      <c r="AF564">
        <v>1</v>
      </c>
      <c r="AG564">
        <f>IF(tbl_HR_Data[[#This Row],[Gender]]="Male",1,0)</f>
        <v>1</v>
      </c>
      <c r="AH564" cm="1">
        <f t="array" ref="AH564">_xlfn.SWITCH(tbl_HR_Data[[#This Row],[BusinessTravel]], "Non-Travel", 0, "Travel_Rarely", 1, "Travel_Frequently", 2)</f>
        <v>1</v>
      </c>
      <c r="AI564" cm="1">
        <f t="array" ref="AI564">_xlfn.SWITCH(tbl_HR_Data[[#This Row],[MaritalStatus]],"Single",0,"Married",1,"Divorced",2)</f>
        <v>0</v>
      </c>
      <c r="AJ564">
        <f>IF(tbl_HR_Data[[#This Row],[OverTime]]=1,1,0)</f>
        <v>1</v>
      </c>
      <c r="AK564">
        <f>IF(tbl_HR_Data[[#This Row],[DistanceFromHome]]&gt;15,1,0)</f>
        <v>0</v>
      </c>
      <c r="AL564">
        <f>IF(tbl_HR_Data[[#This Row],[JobSatisfaction]]&lt;=2,1,0)</f>
        <v>0</v>
      </c>
      <c r="AM564">
        <f>IF(tbl_HR_Data[[#This Row],[MonthlyIncome]]&lt;$AT$2,1,0)</f>
        <v>1</v>
      </c>
      <c r="AN564">
        <f>IF(tbl_HR_Data[[#This Row],[Travel_Code]]=2,1,0)</f>
        <v>0</v>
      </c>
      <c r="AO564">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564" s="15">
        <f>tbl_HR_Data[[#This Row],[Risk_Score_Raw]] / SUM(Logic_Parameters!$B$2:$B$6)</f>
        <v>0.56827453040563214</v>
      </c>
      <c r="AQ564" s="16" t="str" cm="1">
        <f t="array" ref="AQ564">_xlfn.IFS(tbl_HR_Data[[#This Row],[Attrition_Risk_Percentage]] &gt;= 0.75, "Critical",tbl_HR_Data[ [#This Row],[Attrition_Risk_Percentage] ]&gt;= 0.5, "High",tbl_HR_Data[[#This Row],[Attrition_Risk_Percentage]] &gt;= 0.25, "Medium",TRUE, "Low")</f>
        <v>High</v>
      </c>
      <c r="AR564" s="16" cm="1">
        <f t="array" ref="AR564">IFERROR(_xlfn.IFS(tbl_HR_Data[[#This Row],[Risk_Category]]="Critical",tbl_HR_Data[[#This Row],[MonthlyIncome]]*1.5,tbl_HR_Data[[#This Row],[Risk_Category]]="High",tbl_HR_Data[[#This Row],[MonthlyIncome]]*1.5),0)</f>
        <v>4029</v>
      </c>
    </row>
    <row r="565" spans="1:44" x14ac:dyDescent="0.35">
      <c r="A565" t="s">
        <v>1419</v>
      </c>
      <c r="B565">
        <v>25</v>
      </c>
      <c r="C565" t="s">
        <v>31</v>
      </c>
      <c r="D565">
        <v>883</v>
      </c>
      <c r="E565" t="s">
        <v>32</v>
      </c>
      <c r="F565">
        <v>26</v>
      </c>
      <c r="G565">
        <v>1</v>
      </c>
      <c r="H565" t="s">
        <v>44</v>
      </c>
      <c r="I565">
        <v>3</v>
      </c>
      <c r="J565" t="s">
        <v>34</v>
      </c>
      <c r="K565">
        <v>32</v>
      </c>
      <c r="L565">
        <v>3</v>
      </c>
      <c r="M565">
        <v>2</v>
      </c>
      <c r="N565" t="s">
        <v>35</v>
      </c>
      <c r="O565">
        <v>4</v>
      </c>
      <c r="P565" t="s">
        <v>36</v>
      </c>
      <c r="Q565">
        <v>6180</v>
      </c>
      <c r="R565">
        <v>22807</v>
      </c>
      <c r="S565">
        <v>1</v>
      </c>
      <c r="T565">
        <v>0</v>
      </c>
      <c r="U565" s="17">
        <v>0.23</v>
      </c>
      <c r="V565">
        <v>4</v>
      </c>
      <c r="W565">
        <v>2</v>
      </c>
      <c r="X565">
        <v>0</v>
      </c>
      <c r="Y565">
        <v>6</v>
      </c>
      <c r="Z565">
        <v>5</v>
      </c>
      <c r="AA565">
        <v>2</v>
      </c>
      <c r="AB565">
        <v>6</v>
      </c>
      <c r="AC565">
        <v>5</v>
      </c>
      <c r="AD565">
        <v>1</v>
      </c>
      <c r="AE565">
        <v>4</v>
      </c>
      <c r="AF565">
        <v>0</v>
      </c>
      <c r="AG565">
        <f>IF(tbl_HR_Data[[#This Row],[Gender]]="Male",1,0)</f>
        <v>0</v>
      </c>
      <c r="AH565" cm="1">
        <f t="array" ref="AH565">_xlfn.SWITCH(tbl_HR_Data[[#This Row],[BusinessTravel]], "Non-Travel", 0, "Travel_Rarely", 1, "Travel_Frequently", 2)</f>
        <v>1</v>
      </c>
      <c r="AI565" cm="1">
        <f t="array" ref="AI565">_xlfn.SWITCH(tbl_HR_Data[[#This Row],[MaritalStatus]],"Single",0,"Married",1,"Divorced",2)</f>
        <v>0</v>
      </c>
      <c r="AJ565">
        <f>IF(tbl_HR_Data[[#This Row],[OverTime]]=1,1,0)</f>
        <v>0</v>
      </c>
      <c r="AK565">
        <f>IF(tbl_HR_Data[[#This Row],[DistanceFromHome]]&gt;15,1,0)</f>
        <v>1</v>
      </c>
      <c r="AL565">
        <f>IF(tbl_HR_Data[[#This Row],[JobSatisfaction]]&lt;=2,1,0)</f>
        <v>0</v>
      </c>
      <c r="AM565">
        <f>IF(tbl_HR_Data[[#This Row],[MonthlyIncome]]&lt;$AT$2,1,0)</f>
        <v>0</v>
      </c>
      <c r="AN565">
        <f>IF(tbl_HR_Data[[#This Row],[Travel_Code]]=2,1,0)</f>
        <v>0</v>
      </c>
      <c r="AO565">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565" s="15">
        <f>tbl_HR_Data[[#This Row],[Risk_Score_Raw]] / SUM(Logic_Parameters!$B$2:$B$6)</f>
        <v>0.10908033267710357</v>
      </c>
      <c r="AQ565" s="16" t="str" cm="1">
        <f t="array" ref="AQ565">_xlfn.IFS(tbl_HR_Data[[#This Row],[Attrition_Risk_Percentage]] &gt;= 0.75, "Critical",tbl_HR_Data[ [#This Row],[Attrition_Risk_Percentage] ]&gt;= 0.5, "High",tbl_HR_Data[[#This Row],[Attrition_Risk_Percentage]] &gt;= 0.25, "Medium",TRUE, "Low")</f>
        <v>Low</v>
      </c>
      <c r="AR565" s="16" cm="1">
        <f t="array" ref="AR565">IFERROR(_xlfn.IFS(tbl_HR_Data[[#This Row],[Risk_Category]]="Critical",tbl_HR_Data[[#This Row],[MonthlyIncome]]*1.5,tbl_HR_Data[[#This Row],[Risk_Category]]="High",tbl_HR_Data[[#This Row],[MonthlyIncome]]*1.5),0)</f>
        <v>0</v>
      </c>
    </row>
    <row r="566" spans="1:44" x14ac:dyDescent="0.35">
      <c r="A566" t="s">
        <v>1470</v>
      </c>
      <c r="B566">
        <v>45</v>
      </c>
      <c r="C566" t="s">
        <v>31</v>
      </c>
      <c r="D566">
        <v>954</v>
      </c>
      <c r="E566" t="s">
        <v>32</v>
      </c>
      <c r="F566">
        <v>2</v>
      </c>
      <c r="G566">
        <v>2</v>
      </c>
      <c r="H566" t="s">
        <v>52</v>
      </c>
      <c r="I566">
        <v>2</v>
      </c>
      <c r="J566" t="s">
        <v>39</v>
      </c>
      <c r="K566">
        <v>46</v>
      </c>
      <c r="L566">
        <v>1</v>
      </c>
      <c r="M566">
        <v>2</v>
      </c>
      <c r="N566" t="s">
        <v>49</v>
      </c>
      <c r="O566">
        <v>3</v>
      </c>
      <c r="P566" t="s">
        <v>36</v>
      </c>
      <c r="Q566">
        <v>6632</v>
      </c>
      <c r="R566">
        <v>12388</v>
      </c>
      <c r="S566">
        <v>0</v>
      </c>
      <c r="T566">
        <v>0</v>
      </c>
      <c r="U566" s="17">
        <v>0.13</v>
      </c>
      <c r="V566">
        <v>3</v>
      </c>
      <c r="W566">
        <v>1</v>
      </c>
      <c r="X566">
        <v>0</v>
      </c>
      <c r="Y566">
        <v>9</v>
      </c>
      <c r="Z566">
        <v>3</v>
      </c>
      <c r="AA566">
        <v>3</v>
      </c>
      <c r="AB566">
        <v>8</v>
      </c>
      <c r="AC566">
        <v>7</v>
      </c>
      <c r="AD566">
        <v>3</v>
      </c>
      <c r="AE566">
        <v>1</v>
      </c>
      <c r="AF566">
        <v>0</v>
      </c>
      <c r="AG566">
        <f>IF(tbl_HR_Data[[#This Row],[Gender]]="Male",1,0)</f>
        <v>1</v>
      </c>
      <c r="AH566" cm="1">
        <f t="array" ref="AH566">_xlfn.SWITCH(tbl_HR_Data[[#This Row],[BusinessTravel]], "Non-Travel", 0, "Travel_Rarely", 1, "Travel_Frequently", 2)</f>
        <v>1</v>
      </c>
      <c r="AI566" cm="1">
        <f t="array" ref="AI566">_xlfn.SWITCH(tbl_HR_Data[[#This Row],[MaritalStatus]],"Single",0,"Married",1,"Divorced",2)</f>
        <v>0</v>
      </c>
      <c r="AJ566">
        <f>IF(tbl_HR_Data[[#This Row],[OverTime]]=1,1,0)</f>
        <v>0</v>
      </c>
      <c r="AK566">
        <f>IF(tbl_HR_Data[[#This Row],[DistanceFromHome]]&gt;15,1,0)</f>
        <v>0</v>
      </c>
      <c r="AL566">
        <f>IF(tbl_HR_Data[[#This Row],[JobSatisfaction]]&lt;=2,1,0)</f>
        <v>0</v>
      </c>
      <c r="AM566">
        <f>IF(tbl_HR_Data[[#This Row],[MonthlyIncome]]&lt;$AT$2,1,0)</f>
        <v>0</v>
      </c>
      <c r="AN566">
        <f>IF(tbl_HR_Data[[#This Row],[Travel_Code]]=2,1,0)</f>
        <v>0</v>
      </c>
      <c r="AO566">
        <f>(tbl_HR_Data[[#This Row],[Flag_OT]] * Logic_Parameters!$B$2) +
 (tbl_HR_Data[[#This Row],[Flag_Travel]] * Logic_Parameters!$B$3) +
 (tbl_HR_Data[[#This Row],[Flag_Satisfaction]] * Logic_Parameters!$B$4) +
 (tbl_HR_Data[[#This Row],[Flag_Distance]]* Logic_Parameters!$B$5) +
 (tbl_HR_Data[[#This Row],[Flag_Income]] * Logic_Parameters!$B$6)</f>
        <v>0</v>
      </c>
      <c r="AP566" s="15">
        <f>tbl_HR_Data[[#This Row],[Risk_Score_Raw]] / SUM(Logic_Parameters!$B$2:$B$6)</f>
        <v>0</v>
      </c>
      <c r="AQ566" s="16" t="str" cm="1">
        <f t="array" ref="AQ566">_xlfn.IFS(tbl_HR_Data[[#This Row],[Attrition_Risk_Percentage]] &gt;= 0.75, "Critical",tbl_HR_Data[ [#This Row],[Attrition_Risk_Percentage] ]&gt;= 0.5, "High",tbl_HR_Data[[#This Row],[Attrition_Risk_Percentage]] &gt;= 0.25, "Medium",TRUE, "Low")</f>
        <v>Low</v>
      </c>
      <c r="AR566" s="16" cm="1">
        <f t="array" ref="AR566">IFERROR(_xlfn.IFS(tbl_HR_Data[[#This Row],[Risk_Category]]="Critical",tbl_HR_Data[[#This Row],[MonthlyIncome]]*1.5,tbl_HR_Data[[#This Row],[Risk_Category]]="High",tbl_HR_Data[[#This Row],[MonthlyIncome]]*1.5),0)</f>
        <v>0</v>
      </c>
    </row>
    <row r="567" spans="1:44" x14ac:dyDescent="0.35">
      <c r="A567" t="s">
        <v>1483</v>
      </c>
      <c r="B567">
        <v>23</v>
      </c>
      <c r="C567" t="s">
        <v>31</v>
      </c>
      <c r="D567">
        <v>310</v>
      </c>
      <c r="E567" t="s">
        <v>38</v>
      </c>
      <c r="F567">
        <v>10</v>
      </c>
      <c r="G567">
        <v>1</v>
      </c>
      <c r="H567" t="s">
        <v>44</v>
      </c>
      <c r="I567">
        <v>1</v>
      </c>
      <c r="J567" t="s">
        <v>39</v>
      </c>
      <c r="K567">
        <v>79</v>
      </c>
      <c r="L567">
        <v>4</v>
      </c>
      <c r="M567">
        <v>1</v>
      </c>
      <c r="N567" t="s">
        <v>40</v>
      </c>
      <c r="O567">
        <v>3</v>
      </c>
      <c r="P567" t="s">
        <v>36</v>
      </c>
      <c r="Q567">
        <v>3505</v>
      </c>
      <c r="R567">
        <v>19630</v>
      </c>
      <c r="S567">
        <v>1</v>
      </c>
      <c r="T567">
        <v>0</v>
      </c>
      <c r="U567" s="17">
        <v>0.18</v>
      </c>
      <c r="V567">
        <v>3</v>
      </c>
      <c r="W567">
        <v>4</v>
      </c>
      <c r="X567">
        <v>0</v>
      </c>
      <c r="Y567">
        <v>2</v>
      </c>
      <c r="Z567">
        <v>3</v>
      </c>
      <c r="AA567">
        <v>3</v>
      </c>
      <c r="AB567">
        <v>2</v>
      </c>
      <c r="AC567">
        <v>2</v>
      </c>
      <c r="AD567">
        <v>0</v>
      </c>
      <c r="AE567">
        <v>2</v>
      </c>
      <c r="AF567">
        <v>0</v>
      </c>
      <c r="AG567">
        <f>IF(tbl_HR_Data[[#This Row],[Gender]]="Male",1,0)</f>
        <v>1</v>
      </c>
      <c r="AH567" cm="1">
        <f t="array" ref="AH567">_xlfn.SWITCH(tbl_HR_Data[[#This Row],[BusinessTravel]], "Non-Travel", 0, "Travel_Rarely", 1, "Travel_Frequently", 2)</f>
        <v>1</v>
      </c>
      <c r="AI567" cm="1">
        <f t="array" ref="AI567">_xlfn.SWITCH(tbl_HR_Data[[#This Row],[MaritalStatus]],"Single",0,"Married",1,"Divorced",2)</f>
        <v>0</v>
      </c>
      <c r="AJ567">
        <f>IF(tbl_HR_Data[[#This Row],[OverTime]]=1,1,0)</f>
        <v>0</v>
      </c>
      <c r="AK567">
        <f>IF(tbl_HR_Data[[#This Row],[DistanceFromHome]]&gt;15,1,0)</f>
        <v>0</v>
      </c>
      <c r="AL567">
        <f>IF(tbl_HR_Data[[#This Row],[JobSatisfaction]]&lt;=2,1,0)</f>
        <v>0</v>
      </c>
      <c r="AM567">
        <f>IF(tbl_HR_Data[[#This Row],[MonthlyIncome]]&lt;$AT$2,1,0)</f>
        <v>1</v>
      </c>
      <c r="AN567">
        <f>IF(tbl_HR_Data[[#This Row],[Travel_Code]]=2,1,0)</f>
        <v>0</v>
      </c>
      <c r="AO567">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567" s="15">
        <f>tbl_HR_Data[[#This Row],[Risk_Score_Raw]] / SUM(Logic_Parameters!$B$2:$B$6)</f>
        <v>0.22374939857982484</v>
      </c>
      <c r="AQ567" s="16" t="str" cm="1">
        <f t="array" ref="AQ567">_xlfn.IFS(tbl_HR_Data[[#This Row],[Attrition_Risk_Percentage]] &gt;= 0.75, "Critical",tbl_HR_Data[ [#This Row],[Attrition_Risk_Percentage] ]&gt;= 0.5, "High",tbl_HR_Data[[#This Row],[Attrition_Risk_Percentage]] &gt;= 0.25, "Medium",TRUE, "Low")</f>
        <v>Low</v>
      </c>
      <c r="AR567" s="16" cm="1">
        <f t="array" ref="AR567">IFERROR(_xlfn.IFS(tbl_HR_Data[[#This Row],[Risk_Category]]="Critical",tbl_HR_Data[[#This Row],[MonthlyIncome]]*1.5,tbl_HR_Data[[#This Row],[Risk_Category]]="High",tbl_HR_Data[[#This Row],[MonthlyIncome]]*1.5),0)</f>
        <v>0</v>
      </c>
    </row>
    <row r="568" spans="1:44" x14ac:dyDescent="0.35">
      <c r="A568" t="s">
        <v>950</v>
      </c>
      <c r="B568">
        <v>47</v>
      </c>
      <c r="C568" t="s">
        <v>37</v>
      </c>
      <c r="D568">
        <v>719</v>
      </c>
      <c r="E568" t="s">
        <v>32</v>
      </c>
      <c r="F568">
        <v>27</v>
      </c>
      <c r="G568">
        <v>2</v>
      </c>
      <c r="H568" t="s">
        <v>33</v>
      </c>
      <c r="I568">
        <v>2</v>
      </c>
      <c r="J568" t="s">
        <v>34</v>
      </c>
      <c r="K568">
        <v>77</v>
      </c>
      <c r="L568">
        <v>4</v>
      </c>
      <c r="M568">
        <v>2</v>
      </c>
      <c r="N568" t="s">
        <v>35</v>
      </c>
      <c r="O568">
        <v>3</v>
      </c>
      <c r="P568" t="s">
        <v>36</v>
      </c>
      <c r="Q568">
        <v>6397</v>
      </c>
      <c r="R568">
        <v>10339</v>
      </c>
      <c r="S568">
        <v>4</v>
      </c>
      <c r="T568">
        <v>1</v>
      </c>
      <c r="U568" s="17">
        <v>0.12</v>
      </c>
      <c r="V568">
        <v>3</v>
      </c>
      <c r="W568">
        <v>4</v>
      </c>
      <c r="X568">
        <v>0</v>
      </c>
      <c r="Y568">
        <v>8</v>
      </c>
      <c r="Z568">
        <v>2</v>
      </c>
      <c r="AA568">
        <v>3</v>
      </c>
      <c r="AB568">
        <v>5</v>
      </c>
      <c r="AC568">
        <v>4</v>
      </c>
      <c r="AD568">
        <v>1</v>
      </c>
      <c r="AE568">
        <v>3</v>
      </c>
      <c r="AF568">
        <v>1</v>
      </c>
      <c r="AG568">
        <f>IF(tbl_HR_Data[[#This Row],[Gender]]="Male",1,0)</f>
        <v>0</v>
      </c>
      <c r="AH568" cm="1">
        <f t="array" ref="AH568">_xlfn.SWITCH(tbl_HR_Data[[#This Row],[BusinessTravel]], "Non-Travel", 0, "Travel_Rarely", 1, "Travel_Frequently", 2)</f>
        <v>2</v>
      </c>
      <c r="AI568" cm="1">
        <f t="array" ref="AI568">_xlfn.SWITCH(tbl_HR_Data[[#This Row],[MaritalStatus]],"Single",0,"Married",1,"Divorced",2)</f>
        <v>0</v>
      </c>
      <c r="AJ568">
        <f>IF(tbl_HR_Data[[#This Row],[OverTime]]=1,1,0)</f>
        <v>1</v>
      </c>
      <c r="AK568">
        <f>IF(tbl_HR_Data[[#This Row],[DistanceFromHome]]&gt;15,1,0)</f>
        <v>1</v>
      </c>
      <c r="AL568">
        <f>IF(tbl_HR_Data[[#This Row],[JobSatisfaction]]&lt;=2,1,0)</f>
        <v>0</v>
      </c>
      <c r="AM568">
        <f>IF(tbl_HR_Data[[#This Row],[MonthlyIncome]]&lt;$AT$2,1,0)</f>
        <v>0</v>
      </c>
      <c r="AN568">
        <f>IF(tbl_HR_Data[[#This Row],[Travel_Code]]=2,1,0)</f>
        <v>1</v>
      </c>
      <c r="AO568">
        <f>(tbl_HR_Data[[#This Row],[Flag_OT]] * Logic_Parameters!$B$2) +
 (tbl_HR_Data[[#This Row],[Flag_Travel]] * Logic_Parameters!$B$3) +
 (tbl_HR_Data[[#This Row],[Flag_Satisfaction]] * Logic_Parameters!$B$4) +
 (tbl_HR_Data[[#This Row],[Flag_Distance]]* Logic_Parameters!$B$5) +
 (tbl_HR_Data[[#This Row],[Flag_Income]] * Logic_Parameters!$B$6)</f>
        <v>18.326496676365554</v>
      </c>
      <c r="AP568" s="15">
        <f>tbl_HR_Data[[#This Row],[Risk_Score_Raw]] / SUM(Logic_Parameters!$B$2:$B$6)</f>
        <v>0.63139386833300615</v>
      </c>
      <c r="AQ568" s="16" t="str" cm="1">
        <f t="array" ref="AQ568">_xlfn.IFS(tbl_HR_Data[[#This Row],[Attrition_Risk_Percentage]] &gt;= 0.75, "Critical",tbl_HR_Data[ [#This Row],[Attrition_Risk_Percentage] ]&gt;= 0.5, "High",tbl_HR_Data[[#This Row],[Attrition_Risk_Percentage]] &gt;= 0.25, "Medium",TRUE, "Low")</f>
        <v>High</v>
      </c>
      <c r="AR568" s="16" cm="1">
        <f t="array" ref="AR568">IFERROR(_xlfn.IFS(tbl_HR_Data[[#This Row],[Risk_Category]]="Critical",tbl_HR_Data[[#This Row],[MonthlyIncome]]*1.5,tbl_HR_Data[[#This Row],[Risk_Category]]="High",tbl_HR_Data[[#This Row],[MonthlyIncome]]*1.5),0)</f>
        <v>9595.5</v>
      </c>
    </row>
    <row r="569" spans="1:44" x14ac:dyDescent="0.35">
      <c r="A569" t="s">
        <v>1327</v>
      </c>
      <c r="B569">
        <v>34</v>
      </c>
      <c r="C569" t="s">
        <v>31</v>
      </c>
      <c r="D569">
        <v>304</v>
      </c>
      <c r="E569" t="s">
        <v>32</v>
      </c>
      <c r="F569">
        <v>2</v>
      </c>
      <c r="G569">
        <v>3</v>
      </c>
      <c r="H569" t="s">
        <v>42</v>
      </c>
      <c r="I569">
        <v>4</v>
      </c>
      <c r="J569" t="s">
        <v>39</v>
      </c>
      <c r="K569">
        <v>60</v>
      </c>
      <c r="L569">
        <v>3</v>
      </c>
      <c r="M569">
        <v>2</v>
      </c>
      <c r="N569" t="s">
        <v>35</v>
      </c>
      <c r="O569">
        <v>4</v>
      </c>
      <c r="P569" t="s">
        <v>36</v>
      </c>
      <c r="Q569">
        <v>6274</v>
      </c>
      <c r="R569">
        <v>18686</v>
      </c>
      <c r="S569">
        <v>1</v>
      </c>
      <c r="T569">
        <v>0</v>
      </c>
      <c r="U569" s="17">
        <v>0.22</v>
      </c>
      <c r="V569">
        <v>4</v>
      </c>
      <c r="W569">
        <v>3</v>
      </c>
      <c r="X569">
        <v>0</v>
      </c>
      <c r="Y569">
        <v>6</v>
      </c>
      <c r="Z569">
        <v>5</v>
      </c>
      <c r="AA569">
        <v>3</v>
      </c>
      <c r="AB569">
        <v>6</v>
      </c>
      <c r="AC569">
        <v>5</v>
      </c>
      <c r="AD569">
        <v>1</v>
      </c>
      <c r="AE569">
        <v>4</v>
      </c>
      <c r="AF569">
        <v>0</v>
      </c>
      <c r="AG569">
        <f>IF(tbl_HR_Data[[#This Row],[Gender]]="Male",1,0)</f>
        <v>1</v>
      </c>
      <c r="AH569" cm="1">
        <f t="array" ref="AH569">_xlfn.SWITCH(tbl_HR_Data[[#This Row],[BusinessTravel]], "Non-Travel", 0, "Travel_Rarely", 1, "Travel_Frequently", 2)</f>
        <v>1</v>
      </c>
      <c r="AI569" cm="1">
        <f t="array" ref="AI569">_xlfn.SWITCH(tbl_HR_Data[[#This Row],[MaritalStatus]],"Single",0,"Married",1,"Divorced",2)</f>
        <v>0</v>
      </c>
      <c r="AJ569">
        <f>IF(tbl_HR_Data[[#This Row],[OverTime]]=1,1,0)</f>
        <v>0</v>
      </c>
      <c r="AK569">
        <f>IF(tbl_HR_Data[[#This Row],[DistanceFromHome]]&gt;15,1,0)</f>
        <v>0</v>
      </c>
      <c r="AL569">
        <f>IF(tbl_HR_Data[[#This Row],[JobSatisfaction]]&lt;=2,1,0)</f>
        <v>0</v>
      </c>
      <c r="AM569">
        <f>IF(tbl_HR_Data[[#This Row],[MonthlyIncome]]&lt;$AT$2,1,0)</f>
        <v>0</v>
      </c>
      <c r="AN569">
        <f>IF(tbl_HR_Data[[#This Row],[Travel_Code]]=2,1,0)</f>
        <v>0</v>
      </c>
      <c r="AO569">
        <f>(tbl_HR_Data[[#This Row],[Flag_OT]] * Logic_Parameters!$B$2) +
 (tbl_HR_Data[[#This Row],[Flag_Travel]] * Logic_Parameters!$B$3) +
 (tbl_HR_Data[[#This Row],[Flag_Satisfaction]] * Logic_Parameters!$B$4) +
 (tbl_HR_Data[[#This Row],[Flag_Distance]]* Logic_Parameters!$B$5) +
 (tbl_HR_Data[[#This Row],[Flag_Income]] * Logic_Parameters!$B$6)</f>
        <v>0</v>
      </c>
      <c r="AP569" s="15">
        <f>tbl_HR_Data[[#This Row],[Risk_Score_Raw]] / SUM(Logic_Parameters!$B$2:$B$6)</f>
        <v>0</v>
      </c>
      <c r="AQ569" s="16" t="str" cm="1">
        <f t="array" ref="AQ569">_xlfn.IFS(tbl_HR_Data[[#This Row],[Attrition_Risk_Percentage]] &gt;= 0.75, "Critical",tbl_HR_Data[ [#This Row],[Attrition_Risk_Percentage] ]&gt;= 0.5, "High",tbl_HR_Data[[#This Row],[Attrition_Risk_Percentage]] &gt;= 0.25, "Medium",TRUE, "Low")</f>
        <v>Low</v>
      </c>
      <c r="AR569" s="16" cm="1">
        <f t="array" ref="AR569">IFERROR(_xlfn.IFS(tbl_HR_Data[[#This Row],[Risk_Category]]="Critical",tbl_HR_Data[[#This Row],[MonthlyIncome]]*1.5,tbl_HR_Data[[#This Row],[Risk_Category]]="High",tbl_HR_Data[[#This Row],[MonthlyIncome]]*1.5),0)</f>
        <v>0</v>
      </c>
    </row>
    <row r="570" spans="1:44" x14ac:dyDescent="0.35">
      <c r="A570" t="s">
        <v>1229</v>
      </c>
      <c r="B570">
        <v>55</v>
      </c>
      <c r="C570" t="s">
        <v>31</v>
      </c>
      <c r="D570">
        <v>725</v>
      </c>
      <c r="E570" t="s">
        <v>38</v>
      </c>
      <c r="F570">
        <v>2</v>
      </c>
      <c r="G570">
        <v>3</v>
      </c>
      <c r="H570" t="s">
        <v>44</v>
      </c>
      <c r="I570">
        <v>4</v>
      </c>
      <c r="J570" t="s">
        <v>39</v>
      </c>
      <c r="K570">
        <v>78</v>
      </c>
      <c r="L570">
        <v>3</v>
      </c>
      <c r="M570">
        <v>5</v>
      </c>
      <c r="N570" t="s">
        <v>48</v>
      </c>
      <c r="O570">
        <v>1</v>
      </c>
      <c r="P570" t="s">
        <v>41</v>
      </c>
      <c r="Q570">
        <v>19859</v>
      </c>
      <c r="R570">
        <v>21199</v>
      </c>
      <c r="S570">
        <v>5</v>
      </c>
      <c r="T570">
        <v>1</v>
      </c>
      <c r="U570" s="17">
        <v>0.13</v>
      </c>
      <c r="V570">
        <v>3</v>
      </c>
      <c r="W570">
        <v>4</v>
      </c>
      <c r="X570">
        <v>1</v>
      </c>
      <c r="Y570">
        <v>24</v>
      </c>
      <c r="Z570">
        <v>2</v>
      </c>
      <c r="AA570">
        <v>3</v>
      </c>
      <c r="AB570">
        <v>5</v>
      </c>
      <c r="AC570">
        <v>2</v>
      </c>
      <c r="AD570">
        <v>1</v>
      </c>
      <c r="AE570">
        <v>4</v>
      </c>
      <c r="AF570">
        <v>1</v>
      </c>
      <c r="AG570">
        <f>IF(tbl_HR_Data[[#This Row],[Gender]]="Male",1,0)</f>
        <v>1</v>
      </c>
      <c r="AH570" cm="1">
        <f t="array" ref="AH570">_xlfn.SWITCH(tbl_HR_Data[[#This Row],[BusinessTravel]], "Non-Travel", 0, "Travel_Rarely", 1, "Travel_Frequently", 2)</f>
        <v>1</v>
      </c>
      <c r="AI570" cm="1">
        <f t="array" ref="AI570">_xlfn.SWITCH(tbl_HR_Data[[#This Row],[MaritalStatus]],"Single",0,"Married",1,"Divorced",2)</f>
        <v>1</v>
      </c>
      <c r="AJ570">
        <f>IF(tbl_HR_Data[[#This Row],[OverTime]]=1,1,0)</f>
        <v>1</v>
      </c>
      <c r="AK570">
        <f>IF(tbl_HR_Data[[#This Row],[DistanceFromHome]]&gt;15,1,0)</f>
        <v>0</v>
      </c>
      <c r="AL570">
        <f>IF(tbl_HR_Data[[#This Row],[JobSatisfaction]]&lt;=2,1,0)</f>
        <v>1</v>
      </c>
      <c r="AM570">
        <f>IF(tbl_HR_Data[[#This Row],[MonthlyIncome]]&lt;$AT$2,1,0)</f>
        <v>0</v>
      </c>
      <c r="AN570">
        <f>IF(tbl_HR_Data[[#This Row],[Travel_Code]]=2,1,0)</f>
        <v>0</v>
      </c>
      <c r="AO570">
        <f>(tbl_HR_Data[[#This Row],[Flag_OT]] * Logic_Parameters!$B$2) +
 (tbl_HR_Data[[#This Row],[Flag_Travel]] * Logic_Parameters!$B$3) +
 (tbl_HR_Data[[#This Row],[Flag_Satisfaction]] * Logic_Parameters!$B$4) +
 (tbl_HR_Data[[#This Row],[Flag_Distance]]* Logic_Parameters!$B$5) +
 (tbl_HR_Data[[#This Row],[Flag_Income]] * Logic_Parameters!$B$6)</f>
        <v>14.204533129978131</v>
      </c>
      <c r="AP570" s="15">
        <f>tbl_HR_Data[[#This Row],[Risk_Score_Raw]] / SUM(Logic_Parameters!$B$2:$B$6)</f>
        <v>0.48938186491297625</v>
      </c>
      <c r="AQ570" s="16" t="str" cm="1">
        <f t="array" ref="AQ570">_xlfn.IFS(tbl_HR_Data[[#This Row],[Attrition_Risk_Percentage]] &gt;= 0.75, "Critical",tbl_HR_Data[ [#This Row],[Attrition_Risk_Percentage] ]&gt;= 0.5, "High",tbl_HR_Data[[#This Row],[Attrition_Risk_Percentage]] &gt;= 0.25, "Medium",TRUE, "Low")</f>
        <v>Medium</v>
      </c>
      <c r="AR570" s="16" cm="1">
        <f t="array" ref="AR570">IFERROR(_xlfn.IFS(tbl_HR_Data[[#This Row],[Risk_Category]]="Critical",tbl_HR_Data[[#This Row],[MonthlyIncome]]*1.5,tbl_HR_Data[[#This Row],[Risk_Category]]="High",tbl_HR_Data[[#This Row],[MonthlyIncome]]*1.5),0)</f>
        <v>0</v>
      </c>
    </row>
    <row r="571" spans="1:44" x14ac:dyDescent="0.35">
      <c r="A571" t="s">
        <v>1276</v>
      </c>
      <c r="B571">
        <v>36</v>
      </c>
      <c r="C571" t="s">
        <v>1525</v>
      </c>
      <c r="D571">
        <v>1434</v>
      </c>
      <c r="E571" t="s">
        <v>32</v>
      </c>
      <c r="F571">
        <v>8</v>
      </c>
      <c r="G571">
        <v>4</v>
      </c>
      <c r="H571" t="s">
        <v>33</v>
      </c>
      <c r="I571">
        <v>1</v>
      </c>
      <c r="J571" t="s">
        <v>39</v>
      </c>
      <c r="K571">
        <v>76</v>
      </c>
      <c r="L571">
        <v>2</v>
      </c>
      <c r="M571">
        <v>3</v>
      </c>
      <c r="N571" t="s">
        <v>35</v>
      </c>
      <c r="O571">
        <v>1</v>
      </c>
      <c r="P571" t="s">
        <v>36</v>
      </c>
      <c r="Q571">
        <v>7587</v>
      </c>
      <c r="R571">
        <v>14229</v>
      </c>
      <c r="S571">
        <v>1</v>
      </c>
      <c r="T571">
        <v>0</v>
      </c>
      <c r="U571" s="17">
        <v>0.15</v>
      </c>
      <c r="V571">
        <v>3</v>
      </c>
      <c r="W571">
        <v>2</v>
      </c>
      <c r="X571">
        <v>0</v>
      </c>
      <c r="Y571">
        <v>10</v>
      </c>
      <c r="Z571">
        <v>1</v>
      </c>
      <c r="AA571">
        <v>3</v>
      </c>
      <c r="AB571">
        <v>10</v>
      </c>
      <c r="AC571">
        <v>7</v>
      </c>
      <c r="AD571">
        <v>0</v>
      </c>
      <c r="AE571">
        <v>9</v>
      </c>
      <c r="AF571">
        <v>0</v>
      </c>
      <c r="AG571">
        <f>IF(tbl_HR_Data[[#This Row],[Gender]]="Male",1,0)</f>
        <v>1</v>
      </c>
      <c r="AH571" cm="1">
        <f t="array" ref="AH571">_xlfn.SWITCH(tbl_HR_Data[[#This Row],[BusinessTravel]], "Non-Travel", 0, "Travel_Rarely", 1, "Travel_Frequently", 2)</f>
        <v>0</v>
      </c>
      <c r="AI571" cm="1">
        <f t="array" ref="AI571">_xlfn.SWITCH(tbl_HR_Data[[#This Row],[MaritalStatus]],"Single",0,"Married",1,"Divorced",2)</f>
        <v>0</v>
      </c>
      <c r="AJ571">
        <f>IF(tbl_HR_Data[[#This Row],[OverTime]]=1,1,0)</f>
        <v>0</v>
      </c>
      <c r="AK571">
        <f>IF(tbl_HR_Data[[#This Row],[DistanceFromHome]]&gt;15,1,0)</f>
        <v>0</v>
      </c>
      <c r="AL571">
        <f>IF(tbl_HR_Data[[#This Row],[JobSatisfaction]]&lt;=2,1,0)</f>
        <v>1</v>
      </c>
      <c r="AM571">
        <f>IF(tbl_HR_Data[[#This Row],[MonthlyIncome]]&lt;$AT$2,1,0)</f>
        <v>0</v>
      </c>
      <c r="AN571">
        <f>IF(tbl_HR_Data[[#This Row],[Travel_Code]]=2,1,0)</f>
        <v>0</v>
      </c>
      <c r="AO571">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571" s="15">
        <f>tbl_HR_Data[[#This Row],[Risk_Score_Raw]] / SUM(Logic_Parameters!$B$2:$B$6)</f>
        <v>0.14485673308716898</v>
      </c>
      <c r="AQ571" s="16" t="str" cm="1">
        <f t="array" ref="AQ571">_xlfn.IFS(tbl_HR_Data[[#This Row],[Attrition_Risk_Percentage]] &gt;= 0.75, "Critical",tbl_HR_Data[ [#This Row],[Attrition_Risk_Percentage] ]&gt;= 0.5, "High",tbl_HR_Data[[#This Row],[Attrition_Risk_Percentage]] &gt;= 0.25, "Medium",TRUE, "Low")</f>
        <v>Low</v>
      </c>
      <c r="AR571" s="16" cm="1">
        <f t="array" ref="AR571">IFERROR(_xlfn.IFS(tbl_HR_Data[[#This Row],[Risk_Category]]="Critical",tbl_HR_Data[[#This Row],[MonthlyIncome]]*1.5,tbl_HR_Data[[#This Row],[Risk_Category]]="High",tbl_HR_Data[[#This Row],[MonthlyIncome]]*1.5),0)</f>
        <v>0</v>
      </c>
    </row>
    <row r="572" spans="1:44" x14ac:dyDescent="0.35">
      <c r="A572" t="s">
        <v>488</v>
      </c>
      <c r="B572">
        <v>52</v>
      </c>
      <c r="C572" t="s">
        <v>1525</v>
      </c>
      <c r="D572">
        <v>715</v>
      </c>
      <c r="E572" t="s">
        <v>38</v>
      </c>
      <c r="F572">
        <v>19</v>
      </c>
      <c r="G572">
        <v>4</v>
      </c>
      <c r="H572" t="s">
        <v>44</v>
      </c>
      <c r="I572">
        <v>4</v>
      </c>
      <c r="J572" t="s">
        <v>39</v>
      </c>
      <c r="K572">
        <v>41</v>
      </c>
      <c r="L572">
        <v>3</v>
      </c>
      <c r="M572">
        <v>1</v>
      </c>
      <c r="N572" t="s">
        <v>40</v>
      </c>
      <c r="O572">
        <v>4</v>
      </c>
      <c r="P572" t="s">
        <v>41</v>
      </c>
      <c r="Q572">
        <v>4258</v>
      </c>
      <c r="R572">
        <v>26589</v>
      </c>
      <c r="S572">
        <v>0</v>
      </c>
      <c r="T572">
        <v>0</v>
      </c>
      <c r="U572" s="17">
        <v>0.18</v>
      </c>
      <c r="V572">
        <v>3</v>
      </c>
      <c r="W572">
        <v>1</v>
      </c>
      <c r="X572">
        <v>1</v>
      </c>
      <c r="Y572">
        <v>5</v>
      </c>
      <c r="Z572">
        <v>3</v>
      </c>
      <c r="AA572">
        <v>3</v>
      </c>
      <c r="AB572">
        <v>4</v>
      </c>
      <c r="AC572">
        <v>3</v>
      </c>
      <c r="AD572">
        <v>1</v>
      </c>
      <c r="AE572">
        <v>2</v>
      </c>
      <c r="AF572">
        <v>0</v>
      </c>
      <c r="AG572">
        <f>IF(tbl_HR_Data[[#This Row],[Gender]]="Male",1,0)</f>
        <v>1</v>
      </c>
      <c r="AH572" cm="1">
        <f t="array" ref="AH572">_xlfn.SWITCH(tbl_HR_Data[[#This Row],[BusinessTravel]], "Non-Travel", 0, "Travel_Rarely", 1, "Travel_Frequently", 2)</f>
        <v>0</v>
      </c>
      <c r="AI572" cm="1">
        <f t="array" ref="AI572">_xlfn.SWITCH(tbl_HR_Data[[#This Row],[MaritalStatus]],"Single",0,"Married",1,"Divorced",2)</f>
        <v>1</v>
      </c>
      <c r="AJ572">
        <f>IF(tbl_HR_Data[[#This Row],[OverTime]]=1,1,0)</f>
        <v>0</v>
      </c>
      <c r="AK572">
        <f>IF(tbl_HR_Data[[#This Row],[DistanceFromHome]]&gt;15,1,0)</f>
        <v>1</v>
      </c>
      <c r="AL572">
        <f>IF(tbl_HR_Data[[#This Row],[JobSatisfaction]]&lt;=2,1,0)</f>
        <v>0</v>
      </c>
      <c r="AM572">
        <f>IF(tbl_HR_Data[[#This Row],[MonthlyIncome]]&lt;$AT$2,1,0)</f>
        <v>1</v>
      </c>
      <c r="AN572">
        <f>IF(tbl_HR_Data[[#This Row],[Travel_Code]]=2,1,0)</f>
        <v>0</v>
      </c>
      <c r="AO572">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572" s="15">
        <f>tbl_HR_Data[[#This Row],[Risk_Score_Raw]] / SUM(Logic_Parameters!$B$2:$B$6)</f>
        <v>0.33282973125692844</v>
      </c>
      <c r="AQ572" s="16" t="str" cm="1">
        <f t="array" ref="AQ572">_xlfn.IFS(tbl_HR_Data[[#This Row],[Attrition_Risk_Percentage]] &gt;= 0.75, "Critical",tbl_HR_Data[ [#This Row],[Attrition_Risk_Percentage] ]&gt;= 0.5, "High",tbl_HR_Data[[#This Row],[Attrition_Risk_Percentage]] &gt;= 0.25, "Medium",TRUE, "Low")</f>
        <v>Medium</v>
      </c>
      <c r="AR572" s="16" cm="1">
        <f t="array" ref="AR572">IFERROR(_xlfn.IFS(tbl_HR_Data[[#This Row],[Risk_Category]]="Critical",tbl_HR_Data[[#This Row],[MonthlyIncome]]*1.5,tbl_HR_Data[[#This Row],[Risk_Category]]="High",tbl_HR_Data[[#This Row],[MonthlyIncome]]*1.5),0)</f>
        <v>0</v>
      </c>
    </row>
    <row r="573" spans="1:44" x14ac:dyDescent="0.35">
      <c r="A573" t="s">
        <v>1353</v>
      </c>
      <c r="B573">
        <v>26</v>
      </c>
      <c r="C573" t="s">
        <v>37</v>
      </c>
      <c r="D573">
        <v>575</v>
      </c>
      <c r="E573" t="s">
        <v>38</v>
      </c>
      <c r="F573">
        <v>1</v>
      </c>
      <c r="G573">
        <v>2</v>
      </c>
      <c r="H573" t="s">
        <v>33</v>
      </c>
      <c r="I573">
        <v>1</v>
      </c>
      <c r="J573" t="s">
        <v>34</v>
      </c>
      <c r="K573">
        <v>71</v>
      </c>
      <c r="L573">
        <v>1</v>
      </c>
      <c r="M573">
        <v>1</v>
      </c>
      <c r="N573" t="s">
        <v>43</v>
      </c>
      <c r="O573">
        <v>4</v>
      </c>
      <c r="P573" t="s">
        <v>45</v>
      </c>
      <c r="Q573">
        <v>4364</v>
      </c>
      <c r="R573">
        <v>5288</v>
      </c>
      <c r="S573">
        <v>3</v>
      </c>
      <c r="T573">
        <v>0</v>
      </c>
      <c r="U573" s="17">
        <v>0.14000000000000001</v>
      </c>
      <c r="V573">
        <v>3</v>
      </c>
      <c r="W573">
        <v>1</v>
      </c>
      <c r="X573">
        <v>1</v>
      </c>
      <c r="Y573">
        <v>5</v>
      </c>
      <c r="Z573">
        <v>2</v>
      </c>
      <c r="AA573">
        <v>3</v>
      </c>
      <c r="AB573">
        <v>2</v>
      </c>
      <c r="AC573">
        <v>2</v>
      </c>
      <c r="AD573">
        <v>2</v>
      </c>
      <c r="AE573">
        <v>0</v>
      </c>
      <c r="AF573">
        <v>0</v>
      </c>
      <c r="AG573">
        <f>IF(tbl_HR_Data[[#This Row],[Gender]]="Male",1,0)</f>
        <v>0</v>
      </c>
      <c r="AH573" cm="1">
        <f t="array" ref="AH573">_xlfn.SWITCH(tbl_HR_Data[[#This Row],[BusinessTravel]], "Non-Travel", 0, "Travel_Rarely", 1, "Travel_Frequently", 2)</f>
        <v>2</v>
      </c>
      <c r="AI573" cm="1">
        <f t="array" ref="AI573">_xlfn.SWITCH(tbl_HR_Data[[#This Row],[MaritalStatus]],"Single",0,"Married",1,"Divorced",2)</f>
        <v>2</v>
      </c>
      <c r="AJ573">
        <f>IF(tbl_HR_Data[[#This Row],[OverTime]]=1,1,0)</f>
        <v>0</v>
      </c>
      <c r="AK573">
        <f>IF(tbl_HR_Data[[#This Row],[DistanceFromHome]]&gt;15,1,0)</f>
        <v>0</v>
      </c>
      <c r="AL573">
        <f>IF(tbl_HR_Data[[#This Row],[JobSatisfaction]]&lt;=2,1,0)</f>
        <v>0</v>
      </c>
      <c r="AM573">
        <f>IF(tbl_HR_Data[[#This Row],[MonthlyIncome]]&lt;$AT$2,1,0)</f>
        <v>1</v>
      </c>
      <c r="AN573">
        <f>IF(tbl_HR_Data[[#This Row],[Travel_Code]]=2,1,0)</f>
        <v>1</v>
      </c>
      <c r="AO573">
        <f>(tbl_HR_Data[[#This Row],[Flag_OT]] * Logic_Parameters!$B$2) +
 (tbl_HR_Data[[#This Row],[Flag_Travel]] * Logic_Parameters!$B$3) +
 (tbl_HR_Data[[#This Row],[Flag_Satisfaction]] * Logic_Parameters!$B$4) +
 (tbl_HR_Data[[#This Row],[Flag_Distance]]* Logic_Parameters!$B$5) +
 (tbl_HR_Data[[#This Row],[Flag_Income]] * Logic_Parameters!$B$6)</f>
        <v>11.654818917911005</v>
      </c>
      <c r="AP573" s="15">
        <f>tbl_HR_Data[[#This Row],[Risk_Score_Raw]] / SUM(Logic_Parameters!$B$2:$B$6)</f>
        <v>0.40153780240992015</v>
      </c>
      <c r="AQ573" s="16" t="str" cm="1">
        <f t="array" ref="AQ573">_xlfn.IFS(tbl_HR_Data[[#This Row],[Attrition_Risk_Percentage]] &gt;= 0.75, "Critical",tbl_HR_Data[ [#This Row],[Attrition_Risk_Percentage] ]&gt;= 0.5, "High",tbl_HR_Data[[#This Row],[Attrition_Risk_Percentage]] &gt;= 0.25, "Medium",TRUE, "Low")</f>
        <v>Medium</v>
      </c>
      <c r="AR573" s="16" cm="1">
        <f t="array" ref="AR573">IFERROR(_xlfn.IFS(tbl_HR_Data[[#This Row],[Risk_Category]]="Critical",tbl_HR_Data[[#This Row],[MonthlyIncome]]*1.5,tbl_HR_Data[[#This Row],[Risk_Category]]="High",tbl_HR_Data[[#This Row],[MonthlyIncome]]*1.5),0)</f>
        <v>0</v>
      </c>
    </row>
    <row r="574" spans="1:44" x14ac:dyDescent="0.35">
      <c r="A574" t="s">
        <v>634</v>
      </c>
      <c r="B574">
        <v>29</v>
      </c>
      <c r="C574" t="s">
        <v>31</v>
      </c>
      <c r="D574">
        <v>657</v>
      </c>
      <c r="E574" t="s">
        <v>38</v>
      </c>
      <c r="F574">
        <v>27</v>
      </c>
      <c r="G574">
        <v>3</v>
      </c>
      <c r="H574" t="s">
        <v>44</v>
      </c>
      <c r="I574">
        <v>2</v>
      </c>
      <c r="J574" t="s">
        <v>34</v>
      </c>
      <c r="K574">
        <v>66</v>
      </c>
      <c r="L574">
        <v>3</v>
      </c>
      <c r="M574">
        <v>2</v>
      </c>
      <c r="N574" t="s">
        <v>47</v>
      </c>
      <c r="O574">
        <v>3</v>
      </c>
      <c r="P574" t="s">
        <v>41</v>
      </c>
      <c r="Q574">
        <v>4335</v>
      </c>
      <c r="R574">
        <v>25549</v>
      </c>
      <c r="S574">
        <v>4</v>
      </c>
      <c r="T574">
        <v>0</v>
      </c>
      <c r="U574" s="17">
        <v>0.12</v>
      </c>
      <c r="V574">
        <v>3</v>
      </c>
      <c r="W574">
        <v>1</v>
      </c>
      <c r="X574">
        <v>1</v>
      </c>
      <c r="Y574">
        <v>11</v>
      </c>
      <c r="Z574">
        <v>3</v>
      </c>
      <c r="AA574">
        <v>2</v>
      </c>
      <c r="AB574">
        <v>8</v>
      </c>
      <c r="AC574">
        <v>7</v>
      </c>
      <c r="AD574">
        <v>1</v>
      </c>
      <c r="AE574">
        <v>1</v>
      </c>
      <c r="AF574">
        <v>0</v>
      </c>
      <c r="AG574">
        <f>IF(tbl_HR_Data[[#This Row],[Gender]]="Male",1,0)</f>
        <v>0</v>
      </c>
      <c r="AH574" cm="1">
        <f t="array" ref="AH574">_xlfn.SWITCH(tbl_HR_Data[[#This Row],[BusinessTravel]], "Non-Travel", 0, "Travel_Rarely", 1, "Travel_Frequently", 2)</f>
        <v>1</v>
      </c>
      <c r="AI574" cm="1">
        <f t="array" ref="AI574">_xlfn.SWITCH(tbl_HR_Data[[#This Row],[MaritalStatus]],"Single",0,"Married",1,"Divorced",2)</f>
        <v>1</v>
      </c>
      <c r="AJ574">
        <f>IF(tbl_HR_Data[[#This Row],[OverTime]]=1,1,0)</f>
        <v>0</v>
      </c>
      <c r="AK574">
        <f>IF(tbl_HR_Data[[#This Row],[DistanceFromHome]]&gt;15,1,0)</f>
        <v>1</v>
      </c>
      <c r="AL574">
        <f>IF(tbl_HR_Data[[#This Row],[JobSatisfaction]]&lt;=2,1,0)</f>
        <v>0</v>
      </c>
      <c r="AM574">
        <f>IF(tbl_HR_Data[[#This Row],[MonthlyIncome]]&lt;$AT$2,1,0)</f>
        <v>1</v>
      </c>
      <c r="AN574">
        <f>IF(tbl_HR_Data[[#This Row],[Travel_Code]]=2,1,0)</f>
        <v>0</v>
      </c>
      <c r="AO574">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574" s="15">
        <f>tbl_HR_Data[[#This Row],[Risk_Score_Raw]] / SUM(Logic_Parameters!$B$2:$B$6)</f>
        <v>0.33282973125692844</v>
      </c>
      <c r="AQ574" s="16" t="str" cm="1">
        <f t="array" ref="AQ574">_xlfn.IFS(tbl_HR_Data[[#This Row],[Attrition_Risk_Percentage]] &gt;= 0.75, "Critical",tbl_HR_Data[ [#This Row],[Attrition_Risk_Percentage] ]&gt;= 0.5, "High",tbl_HR_Data[[#This Row],[Attrition_Risk_Percentage]] &gt;= 0.25, "Medium",TRUE, "Low")</f>
        <v>Medium</v>
      </c>
      <c r="AR574" s="16" cm="1">
        <f t="array" ref="AR574">IFERROR(_xlfn.IFS(tbl_HR_Data[[#This Row],[Risk_Category]]="Critical",tbl_HR_Data[[#This Row],[MonthlyIncome]]*1.5,tbl_HR_Data[[#This Row],[Risk_Category]]="High",tbl_HR_Data[[#This Row],[MonthlyIncome]]*1.5),0)</f>
        <v>0</v>
      </c>
    </row>
    <row r="575" spans="1:44" x14ac:dyDescent="0.35">
      <c r="A575" t="s">
        <v>929</v>
      </c>
      <c r="B575">
        <v>26</v>
      </c>
      <c r="C575" t="s">
        <v>31</v>
      </c>
      <c r="D575">
        <v>1146</v>
      </c>
      <c r="E575" t="s">
        <v>32</v>
      </c>
      <c r="F575">
        <v>8</v>
      </c>
      <c r="G575">
        <v>3</v>
      </c>
      <c r="H575" t="s">
        <v>52</v>
      </c>
      <c r="I575">
        <v>4</v>
      </c>
      <c r="J575" t="s">
        <v>39</v>
      </c>
      <c r="K575">
        <v>38</v>
      </c>
      <c r="L575">
        <v>2</v>
      </c>
      <c r="M575">
        <v>2</v>
      </c>
      <c r="N575" t="s">
        <v>35</v>
      </c>
      <c r="O575">
        <v>1</v>
      </c>
      <c r="P575" t="s">
        <v>36</v>
      </c>
      <c r="Q575">
        <v>5326</v>
      </c>
      <c r="R575">
        <v>3064</v>
      </c>
      <c r="S575">
        <v>6</v>
      </c>
      <c r="T575">
        <v>0</v>
      </c>
      <c r="U575" s="17">
        <v>0.17</v>
      </c>
      <c r="V575">
        <v>3</v>
      </c>
      <c r="W575">
        <v>3</v>
      </c>
      <c r="X575">
        <v>0</v>
      </c>
      <c r="Y575">
        <v>6</v>
      </c>
      <c r="Z575">
        <v>2</v>
      </c>
      <c r="AA575">
        <v>2</v>
      </c>
      <c r="AB575">
        <v>4</v>
      </c>
      <c r="AC575">
        <v>3</v>
      </c>
      <c r="AD575">
        <v>1</v>
      </c>
      <c r="AE575">
        <v>2</v>
      </c>
      <c r="AF575">
        <v>1</v>
      </c>
      <c r="AG575">
        <f>IF(tbl_HR_Data[[#This Row],[Gender]]="Male",1,0)</f>
        <v>1</v>
      </c>
      <c r="AH575" cm="1">
        <f t="array" ref="AH575">_xlfn.SWITCH(tbl_HR_Data[[#This Row],[BusinessTravel]], "Non-Travel", 0, "Travel_Rarely", 1, "Travel_Frequently", 2)</f>
        <v>1</v>
      </c>
      <c r="AI575" cm="1">
        <f t="array" ref="AI575">_xlfn.SWITCH(tbl_HR_Data[[#This Row],[MaritalStatus]],"Single",0,"Married",1,"Divorced",2)</f>
        <v>0</v>
      </c>
      <c r="AJ575">
        <f>IF(tbl_HR_Data[[#This Row],[OverTime]]=1,1,0)</f>
        <v>0</v>
      </c>
      <c r="AK575">
        <f>IF(tbl_HR_Data[[#This Row],[DistanceFromHome]]&gt;15,1,0)</f>
        <v>0</v>
      </c>
      <c r="AL575">
        <f>IF(tbl_HR_Data[[#This Row],[JobSatisfaction]]&lt;=2,1,0)</f>
        <v>1</v>
      </c>
      <c r="AM575">
        <f>IF(tbl_HR_Data[[#This Row],[MonthlyIncome]]&lt;$AT$2,1,0)</f>
        <v>0</v>
      </c>
      <c r="AN575">
        <f>IF(tbl_HR_Data[[#This Row],[Travel_Code]]=2,1,0)</f>
        <v>0</v>
      </c>
      <c r="AO575">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575" s="15">
        <f>tbl_HR_Data[[#This Row],[Risk_Score_Raw]] / SUM(Logic_Parameters!$B$2:$B$6)</f>
        <v>0.14485673308716898</v>
      </c>
      <c r="AQ575" s="16" t="str" cm="1">
        <f t="array" ref="AQ575">_xlfn.IFS(tbl_HR_Data[[#This Row],[Attrition_Risk_Percentage]] &gt;= 0.75, "Critical",tbl_HR_Data[ [#This Row],[Attrition_Risk_Percentage] ]&gt;= 0.5, "High",tbl_HR_Data[[#This Row],[Attrition_Risk_Percentage]] &gt;= 0.25, "Medium",TRUE, "Low")</f>
        <v>Low</v>
      </c>
      <c r="AR575" s="16" cm="1">
        <f t="array" ref="AR575">IFERROR(_xlfn.IFS(tbl_HR_Data[[#This Row],[Risk_Category]]="Critical",tbl_HR_Data[[#This Row],[MonthlyIncome]]*1.5,tbl_HR_Data[[#This Row],[Risk_Category]]="High",tbl_HR_Data[[#This Row],[MonthlyIncome]]*1.5),0)</f>
        <v>0</v>
      </c>
    </row>
    <row r="576" spans="1:44" x14ac:dyDescent="0.35">
      <c r="A576" t="s">
        <v>1192</v>
      </c>
      <c r="B576">
        <v>34</v>
      </c>
      <c r="C576" t="s">
        <v>31</v>
      </c>
      <c r="D576">
        <v>182</v>
      </c>
      <c r="E576" t="s">
        <v>38</v>
      </c>
      <c r="F576">
        <v>1</v>
      </c>
      <c r="G576">
        <v>4</v>
      </c>
      <c r="H576" t="s">
        <v>33</v>
      </c>
      <c r="I576">
        <v>2</v>
      </c>
      <c r="J576" t="s">
        <v>34</v>
      </c>
      <c r="K576">
        <v>72</v>
      </c>
      <c r="L576">
        <v>4</v>
      </c>
      <c r="M576">
        <v>1</v>
      </c>
      <c r="N576" t="s">
        <v>40</v>
      </c>
      <c r="O576">
        <v>4</v>
      </c>
      <c r="P576" t="s">
        <v>36</v>
      </c>
      <c r="Q576">
        <v>3280</v>
      </c>
      <c r="R576">
        <v>13551</v>
      </c>
      <c r="S576">
        <v>2</v>
      </c>
      <c r="T576">
        <v>0</v>
      </c>
      <c r="U576" s="17">
        <v>0.16</v>
      </c>
      <c r="V576">
        <v>3</v>
      </c>
      <c r="W576">
        <v>3</v>
      </c>
      <c r="X576">
        <v>0</v>
      </c>
      <c r="Y576">
        <v>10</v>
      </c>
      <c r="Z576">
        <v>2</v>
      </c>
      <c r="AA576">
        <v>3</v>
      </c>
      <c r="AB576">
        <v>4</v>
      </c>
      <c r="AC576">
        <v>2</v>
      </c>
      <c r="AD576">
        <v>1</v>
      </c>
      <c r="AE576">
        <v>3</v>
      </c>
      <c r="AF576">
        <v>0</v>
      </c>
      <c r="AG576">
        <f>IF(tbl_HR_Data[[#This Row],[Gender]]="Male",1,0)</f>
        <v>0</v>
      </c>
      <c r="AH576" cm="1">
        <f t="array" ref="AH576">_xlfn.SWITCH(tbl_HR_Data[[#This Row],[BusinessTravel]], "Non-Travel", 0, "Travel_Rarely", 1, "Travel_Frequently", 2)</f>
        <v>1</v>
      </c>
      <c r="AI576" cm="1">
        <f t="array" ref="AI576">_xlfn.SWITCH(tbl_HR_Data[[#This Row],[MaritalStatus]],"Single",0,"Married",1,"Divorced",2)</f>
        <v>0</v>
      </c>
      <c r="AJ576">
        <f>IF(tbl_HR_Data[[#This Row],[OverTime]]=1,1,0)</f>
        <v>0</v>
      </c>
      <c r="AK576">
        <f>IF(tbl_HR_Data[[#This Row],[DistanceFromHome]]&gt;15,1,0)</f>
        <v>0</v>
      </c>
      <c r="AL576">
        <f>IF(tbl_HR_Data[[#This Row],[JobSatisfaction]]&lt;=2,1,0)</f>
        <v>0</v>
      </c>
      <c r="AM576">
        <f>IF(tbl_HR_Data[[#This Row],[MonthlyIncome]]&lt;$AT$2,1,0)</f>
        <v>1</v>
      </c>
      <c r="AN576">
        <f>IF(tbl_HR_Data[[#This Row],[Travel_Code]]=2,1,0)</f>
        <v>0</v>
      </c>
      <c r="AO576">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576" s="15">
        <f>tbl_HR_Data[[#This Row],[Risk_Score_Raw]] / SUM(Logic_Parameters!$B$2:$B$6)</f>
        <v>0.22374939857982484</v>
      </c>
      <c r="AQ576" s="16" t="str" cm="1">
        <f t="array" ref="AQ576">_xlfn.IFS(tbl_HR_Data[[#This Row],[Attrition_Risk_Percentage]] &gt;= 0.75, "Critical",tbl_HR_Data[ [#This Row],[Attrition_Risk_Percentage] ]&gt;= 0.5, "High",tbl_HR_Data[[#This Row],[Attrition_Risk_Percentage]] &gt;= 0.25, "Medium",TRUE, "Low")</f>
        <v>Low</v>
      </c>
      <c r="AR576" s="16" cm="1">
        <f t="array" ref="AR576">IFERROR(_xlfn.IFS(tbl_HR_Data[[#This Row],[Risk_Category]]="Critical",tbl_HR_Data[[#This Row],[MonthlyIncome]]*1.5,tbl_HR_Data[[#This Row],[Risk_Category]]="High",tbl_HR_Data[[#This Row],[MonthlyIncome]]*1.5),0)</f>
        <v>0</v>
      </c>
    </row>
    <row r="577" spans="1:44" x14ac:dyDescent="0.35">
      <c r="A577" t="s">
        <v>162</v>
      </c>
      <c r="B577">
        <v>54</v>
      </c>
      <c r="C577" t="s">
        <v>31</v>
      </c>
      <c r="D577">
        <v>376</v>
      </c>
      <c r="E577" t="s">
        <v>38</v>
      </c>
      <c r="F577">
        <v>19</v>
      </c>
      <c r="G577">
        <v>4</v>
      </c>
      <c r="H577" t="s">
        <v>44</v>
      </c>
      <c r="I577">
        <v>4</v>
      </c>
      <c r="J577" t="s">
        <v>34</v>
      </c>
      <c r="K577">
        <v>95</v>
      </c>
      <c r="L577">
        <v>3</v>
      </c>
      <c r="M577">
        <v>2</v>
      </c>
      <c r="N577" t="s">
        <v>46</v>
      </c>
      <c r="O577">
        <v>1</v>
      </c>
      <c r="P577" t="s">
        <v>45</v>
      </c>
      <c r="Q577">
        <v>5485</v>
      </c>
      <c r="R577">
        <v>22670</v>
      </c>
      <c r="S577">
        <v>9</v>
      </c>
      <c r="T577">
        <v>1</v>
      </c>
      <c r="U577" s="17">
        <v>0.11</v>
      </c>
      <c r="V577">
        <v>3</v>
      </c>
      <c r="W577">
        <v>2</v>
      </c>
      <c r="X577">
        <v>2</v>
      </c>
      <c r="Y577">
        <v>9</v>
      </c>
      <c r="Z577">
        <v>4</v>
      </c>
      <c r="AA577">
        <v>3</v>
      </c>
      <c r="AB577">
        <v>5</v>
      </c>
      <c r="AC577">
        <v>3</v>
      </c>
      <c r="AD577">
        <v>1</v>
      </c>
      <c r="AE577">
        <v>4</v>
      </c>
      <c r="AF577">
        <v>0</v>
      </c>
      <c r="AG577">
        <f>IF(tbl_HR_Data[[#This Row],[Gender]]="Male",1,0)</f>
        <v>0</v>
      </c>
      <c r="AH577" cm="1">
        <f t="array" ref="AH577">_xlfn.SWITCH(tbl_HR_Data[[#This Row],[BusinessTravel]], "Non-Travel", 0, "Travel_Rarely", 1, "Travel_Frequently", 2)</f>
        <v>1</v>
      </c>
      <c r="AI577" cm="1">
        <f t="array" ref="AI577">_xlfn.SWITCH(tbl_HR_Data[[#This Row],[MaritalStatus]],"Single",0,"Married",1,"Divorced",2)</f>
        <v>2</v>
      </c>
      <c r="AJ577">
        <f>IF(tbl_HR_Data[[#This Row],[OverTime]]=1,1,0)</f>
        <v>1</v>
      </c>
      <c r="AK577">
        <f>IF(tbl_HR_Data[[#This Row],[DistanceFromHome]]&gt;15,1,0)</f>
        <v>1</v>
      </c>
      <c r="AL577">
        <f>IF(tbl_HR_Data[[#This Row],[JobSatisfaction]]&lt;=2,1,0)</f>
        <v>1</v>
      </c>
      <c r="AM577">
        <f>IF(tbl_HR_Data[[#This Row],[MonthlyIncome]]&lt;$AT$2,1,0)</f>
        <v>0</v>
      </c>
      <c r="AN577">
        <f>IF(tbl_HR_Data[[#This Row],[Travel_Code]]=2,1,0)</f>
        <v>0</v>
      </c>
      <c r="AO577">
        <f>(tbl_HR_Data[[#This Row],[Flag_OT]] * Logic_Parameters!$B$2) +
 (tbl_HR_Data[[#This Row],[Flag_Travel]] * Logic_Parameters!$B$3) +
 (tbl_HR_Data[[#This Row],[Flag_Satisfaction]] * Logic_Parameters!$B$4) +
 (tbl_HR_Data[[#This Row],[Flag_Distance]]* Logic_Parameters!$B$5) +
 (tbl_HR_Data[[#This Row],[Flag_Income]] * Logic_Parameters!$B$6)</f>
        <v>17.370639825853509</v>
      </c>
      <c r="AP577" s="15">
        <f>tbl_HR_Data[[#This Row],[Risk_Score_Raw]] / SUM(Logic_Parameters!$B$2:$B$6)</f>
        <v>0.59846219759007979</v>
      </c>
      <c r="AQ577" s="16" t="str" cm="1">
        <f t="array" ref="AQ577">_xlfn.IFS(tbl_HR_Data[[#This Row],[Attrition_Risk_Percentage]] &gt;= 0.75, "Critical",tbl_HR_Data[ [#This Row],[Attrition_Risk_Percentage] ]&gt;= 0.5, "High",tbl_HR_Data[[#This Row],[Attrition_Risk_Percentage]] &gt;= 0.25, "Medium",TRUE, "Low")</f>
        <v>High</v>
      </c>
      <c r="AR577" s="16" cm="1">
        <f t="array" ref="AR577">IFERROR(_xlfn.IFS(tbl_HR_Data[[#This Row],[Risk_Category]]="Critical",tbl_HR_Data[[#This Row],[MonthlyIncome]]*1.5,tbl_HR_Data[[#This Row],[Risk_Category]]="High",tbl_HR_Data[[#This Row],[MonthlyIncome]]*1.5),0)</f>
        <v>8227.5</v>
      </c>
    </row>
    <row r="578" spans="1:44" x14ac:dyDescent="0.35">
      <c r="A578" t="s">
        <v>1267</v>
      </c>
      <c r="B578">
        <v>27</v>
      </c>
      <c r="C578" t="s">
        <v>37</v>
      </c>
      <c r="D578">
        <v>829</v>
      </c>
      <c r="E578" t="s">
        <v>32</v>
      </c>
      <c r="F578">
        <v>8</v>
      </c>
      <c r="G578">
        <v>1</v>
      </c>
      <c r="H578" t="s">
        <v>51</v>
      </c>
      <c r="I578">
        <v>3</v>
      </c>
      <c r="J578" t="s">
        <v>39</v>
      </c>
      <c r="K578">
        <v>84</v>
      </c>
      <c r="L578">
        <v>3</v>
      </c>
      <c r="M578">
        <v>2</v>
      </c>
      <c r="N578" t="s">
        <v>35</v>
      </c>
      <c r="O578">
        <v>4</v>
      </c>
      <c r="P578" t="s">
        <v>41</v>
      </c>
      <c r="Q578">
        <v>4342</v>
      </c>
      <c r="R578">
        <v>24008</v>
      </c>
      <c r="S578">
        <v>0</v>
      </c>
      <c r="T578">
        <v>0</v>
      </c>
      <c r="U578" s="17">
        <v>0.19</v>
      </c>
      <c r="V578">
        <v>3</v>
      </c>
      <c r="W578">
        <v>2</v>
      </c>
      <c r="X578">
        <v>1</v>
      </c>
      <c r="Y578">
        <v>5</v>
      </c>
      <c r="Z578">
        <v>3</v>
      </c>
      <c r="AA578">
        <v>3</v>
      </c>
      <c r="AB578">
        <v>4</v>
      </c>
      <c r="AC578">
        <v>2</v>
      </c>
      <c r="AD578">
        <v>1</v>
      </c>
      <c r="AE578">
        <v>1</v>
      </c>
      <c r="AF578">
        <v>0</v>
      </c>
      <c r="AG578">
        <f>IF(tbl_HR_Data[[#This Row],[Gender]]="Male",1,0)</f>
        <v>1</v>
      </c>
      <c r="AH578" cm="1">
        <f t="array" ref="AH578">_xlfn.SWITCH(tbl_HR_Data[[#This Row],[BusinessTravel]], "Non-Travel", 0, "Travel_Rarely", 1, "Travel_Frequently", 2)</f>
        <v>2</v>
      </c>
      <c r="AI578" cm="1">
        <f t="array" ref="AI578">_xlfn.SWITCH(tbl_HR_Data[[#This Row],[MaritalStatus]],"Single",0,"Married",1,"Divorced",2)</f>
        <v>1</v>
      </c>
      <c r="AJ578">
        <f>IF(tbl_HR_Data[[#This Row],[OverTime]]=1,1,0)</f>
        <v>0</v>
      </c>
      <c r="AK578">
        <f>IF(tbl_HR_Data[[#This Row],[DistanceFromHome]]&gt;15,1,0)</f>
        <v>0</v>
      </c>
      <c r="AL578">
        <f>IF(tbl_HR_Data[[#This Row],[JobSatisfaction]]&lt;=2,1,0)</f>
        <v>0</v>
      </c>
      <c r="AM578">
        <f>IF(tbl_HR_Data[[#This Row],[MonthlyIncome]]&lt;$AT$2,1,0)</f>
        <v>1</v>
      </c>
      <c r="AN578">
        <f>IF(tbl_HR_Data[[#This Row],[Travel_Code]]=2,1,0)</f>
        <v>1</v>
      </c>
      <c r="AO578">
        <f>(tbl_HR_Data[[#This Row],[Flag_OT]] * Logic_Parameters!$B$2) +
 (tbl_HR_Data[[#This Row],[Flag_Travel]] * Logic_Parameters!$B$3) +
 (tbl_HR_Data[[#This Row],[Flag_Satisfaction]] * Logic_Parameters!$B$4) +
 (tbl_HR_Data[[#This Row],[Flag_Distance]]* Logic_Parameters!$B$5) +
 (tbl_HR_Data[[#This Row],[Flag_Income]] * Logic_Parameters!$B$6)</f>
        <v>11.654818917911005</v>
      </c>
      <c r="AP578" s="15">
        <f>tbl_HR_Data[[#This Row],[Risk_Score_Raw]] / SUM(Logic_Parameters!$B$2:$B$6)</f>
        <v>0.40153780240992015</v>
      </c>
      <c r="AQ578" s="16" t="str" cm="1">
        <f t="array" ref="AQ578">_xlfn.IFS(tbl_HR_Data[[#This Row],[Attrition_Risk_Percentage]] &gt;= 0.75, "Critical",tbl_HR_Data[ [#This Row],[Attrition_Risk_Percentage] ]&gt;= 0.5, "High",tbl_HR_Data[[#This Row],[Attrition_Risk_Percentage]] &gt;= 0.25, "Medium",TRUE, "Low")</f>
        <v>Medium</v>
      </c>
      <c r="AR578" s="16" cm="1">
        <f t="array" ref="AR578">IFERROR(_xlfn.IFS(tbl_HR_Data[[#This Row],[Risk_Category]]="Critical",tbl_HR_Data[[#This Row],[MonthlyIncome]]*1.5,tbl_HR_Data[[#This Row],[Risk_Category]]="High",tbl_HR_Data[[#This Row],[MonthlyIncome]]*1.5),0)</f>
        <v>0</v>
      </c>
    </row>
    <row r="579" spans="1:44" x14ac:dyDescent="0.35">
      <c r="A579" t="s">
        <v>679</v>
      </c>
      <c r="B579">
        <v>37</v>
      </c>
      <c r="C579" t="s">
        <v>31</v>
      </c>
      <c r="D579">
        <v>571</v>
      </c>
      <c r="E579" t="s">
        <v>38</v>
      </c>
      <c r="F579">
        <v>10</v>
      </c>
      <c r="G579">
        <v>1</v>
      </c>
      <c r="H579" t="s">
        <v>33</v>
      </c>
      <c r="I579">
        <v>4</v>
      </c>
      <c r="J579" t="s">
        <v>34</v>
      </c>
      <c r="K579">
        <v>82</v>
      </c>
      <c r="L579">
        <v>3</v>
      </c>
      <c r="M579">
        <v>1</v>
      </c>
      <c r="N579" t="s">
        <v>40</v>
      </c>
      <c r="O579">
        <v>1</v>
      </c>
      <c r="P579" t="s">
        <v>45</v>
      </c>
      <c r="Q579">
        <v>2782</v>
      </c>
      <c r="R579">
        <v>19905</v>
      </c>
      <c r="S579">
        <v>0</v>
      </c>
      <c r="T579">
        <v>1</v>
      </c>
      <c r="U579" s="17">
        <v>0.13</v>
      </c>
      <c r="V579">
        <v>3</v>
      </c>
      <c r="W579">
        <v>2</v>
      </c>
      <c r="X579">
        <v>2</v>
      </c>
      <c r="Y579">
        <v>6</v>
      </c>
      <c r="Z579">
        <v>3</v>
      </c>
      <c r="AA579">
        <v>2</v>
      </c>
      <c r="AB579">
        <v>5</v>
      </c>
      <c r="AC579">
        <v>3</v>
      </c>
      <c r="AD579">
        <v>4</v>
      </c>
      <c r="AE579">
        <v>3</v>
      </c>
      <c r="AF579">
        <v>0</v>
      </c>
      <c r="AG579">
        <f>IF(tbl_HR_Data[[#This Row],[Gender]]="Male",1,0)</f>
        <v>0</v>
      </c>
      <c r="AH579" cm="1">
        <f t="array" ref="AH579">_xlfn.SWITCH(tbl_HR_Data[[#This Row],[BusinessTravel]], "Non-Travel", 0, "Travel_Rarely", 1, "Travel_Frequently", 2)</f>
        <v>1</v>
      </c>
      <c r="AI579" cm="1">
        <f t="array" ref="AI579">_xlfn.SWITCH(tbl_HR_Data[[#This Row],[MaritalStatus]],"Single",0,"Married",1,"Divorced",2)</f>
        <v>2</v>
      </c>
      <c r="AJ579">
        <f>IF(tbl_HR_Data[[#This Row],[OverTime]]=1,1,0)</f>
        <v>1</v>
      </c>
      <c r="AK579">
        <f>IF(tbl_HR_Data[[#This Row],[DistanceFromHome]]&gt;15,1,0)</f>
        <v>0</v>
      </c>
      <c r="AL579">
        <f>IF(tbl_HR_Data[[#This Row],[JobSatisfaction]]&lt;=2,1,0)</f>
        <v>1</v>
      </c>
      <c r="AM579">
        <f>IF(tbl_HR_Data[[#This Row],[MonthlyIncome]]&lt;$AT$2,1,0)</f>
        <v>1</v>
      </c>
      <c r="AN579">
        <f>IF(tbl_HR_Data[[#This Row],[Travel_Code]]=2,1,0)</f>
        <v>0</v>
      </c>
      <c r="AO579">
        <f>(tbl_HR_Data[[#This Row],[Flag_OT]] * Logic_Parameters!$B$2) +
 (tbl_HR_Data[[#This Row],[Flag_Travel]] * Logic_Parameters!$B$3) +
 (tbl_HR_Data[[#This Row],[Flag_Satisfaction]] * Logic_Parameters!$B$4) +
 (tbl_HR_Data[[#This Row],[Flag_Distance]]* Logic_Parameters!$B$5) +
 (tbl_HR_Data[[#This Row],[Flag_Income]] * Logic_Parameters!$B$6)</f>
        <v>20.698962067398959</v>
      </c>
      <c r="AP579" s="15">
        <f>tbl_HR_Data[[#This Row],[Risk_Score_Raw]] / SUM(Logic_Parameters!$B$2:$B$6)</f>
        <v>0.71313126349280109</v>
      </c>
      <c r="AQ579" s="16" t="str" cm="1">
        <f t="array" ref="AQ579">_xlfn.IFS(tbl_HR_Data[[#This Row],[Attrition_Risk_Percentage]] &gt;= 0.75, "Critical",tbl_HR_Data[ [#This Row],[Attrition_Risk_Percentage] ]&gt;= 0.5, "High",tbl_HR_Data[[#This Row],[Attrition_Risk_Percentage]] &gt;= 0.25, "Medium",TRUE, "Low")</f>
        <v>High</v>
      </c>
      <c r="AR579" s="16" cm="1">
        <f t="array" ref="AR579">IFERROR(_xlfn.IFS(tbl_HR_Data[[#This Row],[Risk_Category]]="Critical",tbl_HR_Data[[#This Row],[MonthlyIncome]]*1.5,tbl_HR_Data[[#This Row],[Risk_Category]]="High",tbl_HR_Data[[#This Row],[MonthlyIncome]]*1.5),0)</f>
        <v>4173</v>
      </c>
    </row>
    <row r="580" spans="1:44" x14ac:dyDescent="0.35">
      <c r="A580" t="s">
        <v>1390</v>
      </c>
      <c r="B580">
        <v>38</v>
      </c>
      <c r="C580" t="s">
        <v>37</v>
      </c>
      <c r="D580">
        <v>240</v>
      </c>
      <c r="E580" t="s">
        <v>38</v>
      </c>
      <c r="F580">
        <v>2</v>
      </c>
      <c r="G580">
        <v>4</v>
      </c>
      <c r="H580" t="s">
        <v>33</v>
      </c>
      <c r="I580">
        <v>1</v>
      </c>
      <c r="J580" t="s">
        <v>34</v>
      </c>
      <c r="K580">
        <v>75</v>
      </c>
      <c r="L580">
        <v>4</v>
      </c>
      <c r="M580">
        <v>2</v>
      </c>
      <c r="N580" t="s">
        <v>46</v>
      </c>
      <c r="O580">
        <v>1</v>
      </c>
      <c r="P580" t="s">
        <v>36</v>
      </c>
      <c r="Q580">
        <v>5980</v>
      </c>
      <c r="R580">
        <v>26085</v>
      </c>
      <c r="S580">
        <v>6</v>
      </c>
      <c r="T580">
        <v>1</v>
      </c>
      <c r="U580" s="17">
        <v>0.12</v>
      </c>
      <c r="V580">
        <v>3</v>
      </c>
      <c r="W580">
        <v>4</v>
      </c>
      <c r="X580">
        <v>0</v>
      </c>
      <c r="Y580">
        <v>17</v>
      </c>
      <c r="Z580">
        <v>2</v>
      </c>
      <c r="AA580">
        <v>3</v>
      </c>
      <c r="AB580">
        <v>15</v>
      </c>
      <c r="AC580">
        <v>7</v>
      </c>
      <c r="AD580">
        <v>4</v>
      </c>
      <c r="AE580">
        <v>12</v>
      </c>
      <c r="AF580">
        <v>0</v>
      </c>
      <c r="AG580">
        <f>IF(tbl_HR_Data[[#This Row],[Gender]]="Male",1,0)</f>
        <v>0</v>
      </c>
      <c r="AH580" cm="1">
        <f t="array" ref="AH580">_xlfn.SWITCH(tbl_HR_Data[[#This Row],[BusinessTravel]], "Non-Travel", 0, "Travel_Rarely", 1, "Travel_Frequently", 2)</f>
        <v>2</v>
      </c>
      <c r="AI580" cm="1">
        <f t="array" ref="AI580">_xlfn.SWITCH(tbl_HR_Data[[#This Row],[MaritalStatus]],"Single",0,"Married",1,"Divorced",2)</f>
        <v>0</v>
      </c>
      <c r="AJ580">
        <f>IF(tbl_HR_Data[[#This Row],[OverTime]]=1,1,0)</f>
        <v>1</v>
      </c>
      <c r="AK580">
        <f>IF(tbl_HR_Data[[#This Row],[DistanceFromHome]]&gt;15,1,0)</f>
        <v>0</v>
      </c>
      <c r="AL580">
        <f>IF(tbl_HR_Data[[#This Row],[JobSatisfaction]]&lt;=2,1,0)</f>
        <v>1</v>
      </c>
      <c r="AM580">
        <f>IF(tbl_HR_Data[[#This Row],[MonthlyIncome]]&lt;$AT$2,1,0)</f>
        <v>0</v>
      </c>
      <c r="AN580">
        <f>IF(tbl_HR_Data[[#This Row],[Travel_Code]]=2,1,0)</f>
        <v>1</v>
      </c>
      <c r="AO580">
        <f>(tbl_HR_Data[[#This Row],[Flag_OT]] * Logic_Parameters!$B$2) +
 (tbl_HR_Data[[#This Row],[Flag_Travel]] * Logic_Parameters!$B$3) +
 (tbl_HR_Data[[#This Row],[Flag_Satisfaction]] * Logic_Parameters!$B$4) +
 (tbl_HR_Data[[#This Row],[Flag_Distance]]* Logic_Parameters!$B$5) +
 (tbl_HR_Data[[#This Row],[Flag_Income]] * Logic_Parameters!$B$6)</f>
        <v>19.364923110468307</v>
      </c>
      <c r="AP580" s="15">
        <f>tbl_HR_Data[[#This Row],[Risk_Score_Raw]] / SUM(Logic_Parameters!$B$2:$B$6)</f>
        <v>0.66717026874307161</v>
      </c>
      <c r="AQ580" s="16" t="str" cm="1">
        <f t="array" ref="AQ580">_xlfn.IFS(tbl_HR_Data[[#This Row],[Attrition_Risk_Percentage]] &gt;= 0.75, "Critical",tbl_HR_Data[ [#This Row],[Attrition_Risk_Percentage] ]&gt;= 0.5, "High",tbl_HR_Data[[#This Row],[Attrition_Risk_Percentage]] &gt;= 0.25, "Medium",TRUE, "Low")</f>
        <v>High</v>
      </c>
      <c r="AR580" s="16" cm="1">
        <f t="array" ref="AR580">IFERROR(_xlfn.IFS(tbl_HR_Data[[#This Row],[Risk_Category]]="Critical",tbl_HR_Data[[#This Row],[MonthlyIncome]]*1.5,tbl_HR_Data[[#This Row],[Risk_Category]]="High",tbl_HR_Data[[#This Row],[MonthlyIncome]]*1.5),0)</f>
        <v>8970</v>
      </c>
    </row>
    <row r="581" spans="1:44" x14ac:dyDescent="0.35">
      <c r="A581" t="s">
        <v>68</v>
      </c>
      <c r="B581">
        <v>34</v>
      </c>
      <c r="C581" t="s">
        <v>31</v>
      </c>
      <c r="D581">
        <v>121</v>
      </c>
      <c r="E581" t="s">
        <v>38</v>
      </c>
      <c r="F581">
        <v>2</v>
      </c>
      <c r="G581">
        <v>4</v>
      </c>
      <c r="H581" t="s">
        <v>44</v>
      </c>
      <c r="I581">
        <v>3</v>
      </c>
      <c r="J581" t="s">
        <v>34</v>
      </c>
      <c r="K581">
        <v>86</v>
      </c>
      <c r="L581">
        <v>2</v>
      </c>
      <c r="M581">
        <v>1</v>
      </c>
      <c r="N581" t="s">
        <v>40</v>
      </c>
      <c r="O581">
        <v>1</v>
      </c>
      <c r="P581" t="s">
        <v>36</v>
      </c>
      <c r="Q581">
        <v>4381</v>
      </c>
      <c r="R581">
        <v>7530</v>
      </c>
      <c r="S581">
        <v>1</v>
      </c>
      <c r="T581">
        <v>0</v>
      </c>
      <c r="U581" s="17">
        <v>0.11</v>
      </c>
      <c r="V581">
        <v>3</v>
      </c>
      <c r="W581">
        <v>3</v>
      </c>
      <c r="X581">
        <v>0</v>
      </c>
      <c r="Y581">
        <v>6</v>
      </c>
      <c r="Z581">
        <v>3</v>
      </c>
      <c r="AA581">
        <v>3</v>
      </c>
      <c r="AB581">
        <v>6</v>
      </c>
      <c r="AC581">
        <v>5</v>
      </c>
      <c r="AD581">
        <v>1</v>
      </c>
      <c r="AE581">
        <v>3</v>
      </c>
      <c r="AF581">
        <v>0</v>
      </c>
      <c r="AG581">
        <f>IF(tbl_HR_Data[[#This Row],[Gender]]="Male",1,0)</f>
        <v>0</v>
      </c>
      <c r="AH581" cm="1">
        <f t="array" ref="AH581">_xlfn.SWITCH(tbl_HR_Data[[#This Row],[BusinessTravel]], "Non-Travel", 0, "Travel_Rarely", 1, "Travel_Frequently", 2)</f>
        <v>1</v>
      </c>
      <c r="AI581" cm="1">
        <f t="array" ref="AI581">_xlfn.SWITCH(tbl_HR_Data[[#This Row],[MaritalStatus]],"Single",0,"Married",1,"Divorced",2)</f>
        <v>0</v>
      </c>
      <c r="AJ581">
        <f>IF(tbl_HR_Data[[#This Row],[OverTime]]=1,1,0)</f>
        <v>0</v>
      </c>
      <c r="AK581">
        <f>IF(tbl_HR_Data[[#This Row],[DistanceFromHome]]&gt;15,1,0)</f>
        <v>0</v>
      </c>
      <c r="AL581">
        <f>IF(tbl_HR_Data[[#This Row],[JobSatisfaction]]&lt;=2,1,0)</f>
        <v>1</v>
      </c>
      <c r="AM581">
        <f>IF(tbl_HR_Data[[#This Row],[MonthlyIncome]]&lt;$AT$2,1,0)</f>
        <v>1</v>
      </c>
      <c r="AN581">
        <f>IF(tbl_HR_Data[[#This Row],[Travel_Code]]=2,1,0)</f>
        <v>0</v>
      </c>
      <c r="AO581">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581" s="15">
        <f>tbl_HR_Data[[#This Row],[Risk_Score_Raw]] / SUM(Logic_Parameters!$B$2:$B$6)</f>
        <v>0.3686061316669938</v>
      </c>
      <c r="AQ581" s="16" t="str" cm="1">
        <f t="array" ref="AQ581">_xlfn.IFS(tbl_HR_Data[[#This Row],[Attrition_Risk_Percentage]] &gt;= 0.75, "Critical",tbl_HR_Data[ [#This Row],[Attrition_Risk_Percentage] ]&gt;= 0.5, "High",tbl_HR_Data[[#This Row],[Attrition_Risk_Percentage]] &gt;= 0.25, "Medium",TRUE, "Low")</f>
        <v>Medium</v>
      </c>
      <c r="AR581" s="16" cm="1">
        <f t="array" ref="AR581">IFERROR(_xlfn.IFS(tbl_HR_Data[[#This Row],[Risk_Category]]="Critical",tbl_HR_Data[[#This Row],[MonthlyIncome]]*1.5,tbl_HR_Data[[#This Row],[Risk_Category]]="High",tbl_HR_Data[[#This Row],[MonthlyIncome]]*1.5),0)</f>
        <v>0</v>
      </c>
    </row>
    <row r="582" spans="1:44" x14ac:dyDescent="0.35">
      <c r="A582" t="s">
        <v>60</v>
      </c>
      <c r="B582">
        <v>35</v>
      </c>
      <c r="C582" t="s">
        <v>31</v>
      </c>
      <c r="D582">
        <v>384</v>
      </c>
      <c r="E582" t="s">
        <v>32</v>
      </c>
      <c r="F582">
        <v>8</v>
      </c>
      <c r="G582">
        <v>4</v>
      </c>
      <c r="H582" t="s">
        <v>33</v>
      </c>
      <c r="I582">
        <v>1</v>
      </c>
      <c r="J582" t="s">
        <v>34</v>
      </c>
      <c r="K582">
        <v>72</v>
      </c>
      <c r="L582">
        <v>3</v>
      </c>
      <c r="M582">
        <v>1</v>
      </c>
      <c r="N582" t="s">
        <v>49</v>
      </c>
      <c r="O582">
        <v>4</v>
      </c>
      <c r="P582" t="s">
        <v>41</v>
      </c>
      <c r="Q582">
        <v>2572</v>
      </c>
      <c r="R582">
        <v>20317</v>
      </c>
      <c r="S582">
        <v>1</v>
      </c>
      <c r="T582">
        <v>0</v>
      </c>
      <c r="U582" s="17">
        <v>0.16</v>
      </c>
      <c r="V582">
        <v>3</v>
      </c>
      <c r="W582">
        <v>2</v>
      </c>
      <c r="X582">
        <v>1</v>
      </c>
      <c r="Y582">
        <v>3</v>
      </c>
      <c r="Z582">
        <v>1</v>
      </c>
      <c r="AA582">
        <v>2</v>
      </c>
      <c r="AB582">
        <v>3</v>
      </c>
      <c r="AC582">
        <v>2</v>
      </c>
      <c r="AD582">
        <v>0</v>
      </c>
      <c r="AE582">
        <v>2</v>
      </c>
      <c r="AF582">
        <v>0</v>
      </c>
      <c r="AG582">
        <f>IF(tbl_HR_Data[[#This Row],[Gender]]="Male",1,0)</f>
        <v>0</v>
      </c>
      <c r="AH582" cm="1">
        <f t="array" ref="AH582">_xlfn.SWITCH(tbl_HR_Data[[#This Row],[BusinessTravel]], "Non-Travel", 0, "Travel_Rarely", 1, "Travel_Frequently", 2)</f>
        <v>1</v>
      </c>
      <c r="AI582" cm="1">
        <f t="array" ref="AI582">_xlfn.SWITCH(tbl_HR_Data[[#This Row],[MaritalStatus]],"Single",0,"Married",1,"Divorced",2)</f>
        <v>1</v>
      </c>
      <c r="AJ582">
        <f>IF(tbl_HR_Data[[#This Row],[OverTime]]=1,1,0)</f>
        <v>0</v>
      </c>
      <c r="AK582">
        <f>IF(tbl_HR_Data[[#This Row],[DistanceFromHome]]&gt;15,1,0)</f>
        <v>0</v>
      </c>
      <c r="AL582">
        <f>IF(tbl_HR_Data[[#This Row],[JobSatisfaction]]&lt;=2,1,0)</f>
        <v>0</v>
      </c>
      <c r="AM582">
        <f>IF(tbl_HR_Data[[#This Row],[MonthlyIncome]]&lt;$AT$2,1,0)</f>
        <v>1</v>
      </c>
      <c r="AN582">
        <f>IF(tbl_HR_Data[[#This Row],[Travel_Code]]=2,1,0)</f>
        <v>0</v>
      </c>
      <c r="AO582">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582" s="15">
        <f>tbl_HR_Data[[#This Row],[Risk_Score_Raw]] / SUM(Logic_Parameters!$B$2:$B$6)</f>
        <v>0.22374939857982484</v>
      </c>
      <c r="AQ582" s="16" t="str" cm="1">
        <f t="array" ref="AQ582">_xlfn.IFS(tbl_HR_Data[[#This Row],[Attrition_Risk_Percentage]] &gt;= 0.75, "Critical",tbl_HR_Data[ [#This Row],[Attrition_Risk_Percentage] ]&gt;= 0.5, "High",tbl_HR_Data[[#This Row],[Attrition_Risk_Percentage]] &gt;= 0.25, "Medium",TRUE, "Low")</f>
        <v>Low</v>
      </c>
      <c r="AR582" s="16" cm="1">
        <f t="array" ref="AR582">IFERROR(_xlfn.IFS(tbl_HR_Data[[#This Row],[Risk_Category]]="Critical",tbl_HR_Data[[#This Row],[MonthlyIncome]]*1.5,tbl_HR_Data[[#This Row],[Risk_Category]]="High",tbl_HR_Data[[#This Row],[MonthlyIncome]]*1.5),0)</f>
        <v>0</v>
      </c>
    </row>
    <row r="583" spans="1:44" x14ac:dyDescent="0.35">
      <c r="A583" t="s">
        <v>1180</v>
      </c>
      <c r="B583">
        <v>30</v>
      </c>
      <c r="C583" t="s">
        <v>31</v>
      </c>
      <c r="D583">
        <v>921</v>
      </c>
      <c r="E583" t="s">
        <v>38</v>
      </c>
      <c r="F583">
        <v>1</v>
      </c>
      <c r="G583">
        <v>3</v>
      </c>
      <c r="H583" t="s">
        <v>33</v>
      </c>
      <c r="I583">
        <v>4</v>
      </c>
      <c r="J583" t="s">
        <v>39</v>
      </c>
      <c r="K583">
        <v>38</v>
      </c>
      <c r="L583">
        <v>1</v>
      </c>
      <c r="M583">
        <v>1</v>
      </c>
      <c r="N583" t="s">
        <v>43</v>
      </c>
      <c r="O583">
        <v>3</v>
      </c>
      <c r="P583" t="s">
        <v>41</v>
      </c>
      <c r="Q583">
        <v>3833</v>
      </c>
      <c r="R583">
        <v>24375</v>
      </c>
      <c r="S583">
        <v>3</v>
      </c>
      <c r="T583">
        <v>0</v>
      </c>
      <c r="U583" s="17">
        <v>0.21</v>
      </c>
      <c r="V583">
        <v>4</v>
      </c>
      <c r="W583">
        <v>3</v>
      </c>
      <c r="X583">
        <v>2</v>
      </c>
      <c r="Y583">
        <v>7</v>
      </c>
      <c r="Z583">
        <v>2</v>
      </c>
      <c r="AA583">
        <v>3</v>
      </c>
      <c r="AB583">
        <v>2</v>
      </c>
      <c r="AC583">
        <v>2</v>
      </c>
      <c r="AD583">
        <v>0</v>
      </c>
      <c r="AE583">
        <v>2</v>
      </c>
      <c r="AF583">
        <v>0</v>
      </c>
      <c r="AG583">
        <f>IF(tbl_HR_Data[[#This Row],[Gender]]="Male",1,0)</f>
        <v>1</v>
      </c>
      <c r="AH583" cm="1">
        <f t="array" ref="AH583">_xlfn.SWITCH(tbl_HR_Data[[#This Row],[BusinessTravel]], "Non-Travel", 0, "Travel_Rarely", 1, "Travel_Frequently", 2)</f>
        <v>1</v>
      </c>
      <c r="AI583" cm="1">
        <f t="array" ref="AI583">_xlfn.SWITCH(tbl_HR_Data[[#This Row],[MaritalStatus]],"Single",0,"Married",1,"Divorced",2)</f>
        <v>1</v>
      </c>
      <c r="AJ583">
        <f>IF(tbl_HR_Data[[#This Row],[OverTime]]=1,1,0)</f>
        <v>0</v>
      </c>
      <c r="AK583">
        <f>IF(tbl_HR_Data[[#This Row],[DistanceFromHome]]&gt;15,1,0)</f>
        <v>0</v>
      </c>
      <c r="AL583">
        <f>IF(tbl_HR_Data[[#This Row],[JobSatisfaction]]&lt;=2,1,0)</f>
        <v>0</v>
      </c>
      <c r="AM583">
        <f>IF(tbl_HR_Data[[#This Row],[MonthlyIncome]]&lt;$AT$2,1,0)</f>
        <v>1</v>
      </c>
      <c r="AN583">
        <f>IF(tbl_HR_Data[[#This Row],[Travel_Code]]=2,1,0)</f>
        <v>0</v>
      </c>
      <c r="AO583">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583" s="15">
        <f>tbl_HR_Data[[#This Row],[Risk_Score_Raw]] / SUM(Logic_Parameters!$B$2:$B$6)</f>
        <v>0.22374939857982484</v>
      </c>
      <c r="AQ583" s="16" t="str" cm="1">
        <f t="array" ref="AQ583">_xlfn.IFS(tbl_HR_Data[[#This Row],[Attrition_Risk_Percentage]] &gt;= 0.75, "Critical",tbl_HR_Data[ [#This Row],[Attrition_Risk_Percentage] ]&gt;= 0.5, "High",tbl_HR_Data[[#This Row],[Attrition_Risk_Percentage]] &gt;= 0.25, "Medium",TRUE, "Low")</f>
        <v>Low</v>
      </c>
      <c r="AR583" s="16" cm="1">
        <f t="array" ref="AR583">IFERROR(_xlfn.IFS(tbl_HR_Data[[#This Row],[Risk_Category]]="Critical",tbl_HR_Data[[#This Row],[MonthlyIncome]]*1.5,tbl_HR_Data[[#This Row],[Risk_Category]]="High",tbl_HR_Data[[#This Row],[MonthlyIncome]]*1.5),0)</f>
        <v>0</v>
      </c>
    </row>
    <row r="584" spans="1:44" x14ac:dyDescent="0.35">
      <c r="A584" t="s">
        <v>1251</v>
      </c>
      <c r="B584">
        <v>40</v>
      </c>
      <c r="C584" t="s">
        <v>37</v>
      </c>
      <c r="D584">
        <v>791</v>
      </c>
      <c r="E584" t="s">
        <v>38</v>
      </c>
      <c r="F584">
        <v>2</v>
      </c>
      <c r="G584">
        <v>2</v>
      </c>
      <c r="H584" t="s">
        <v>44</v>
      </c>
      <c r="I584">
        <v>3</v>
      </c>
      <c r="J584" t="s">
        <v>34</v>
      </c>
      <c r="K584">
        <v>38</v>
      </c>
      <c r="L584">
        <v>4</v>
      </c>
      <c r="M584">
        <v>2</v>
      </c>
      <c r="N584" t="s">
        <v>47</v>
      </c>
      <c r="O584">
        <v>2</v>
      </c>
      <c r="P584" t="s">
        <v>41</v>
      </c>
      <c r="Q584">
        <v>4244</v>
      </c>
      <c r="R584">
        <v>9931</v>
      </c>
      <c r="S584">
        <v>1</v>
      </c>
      <c r="T584">
        <v>0</v>
      </c>
      <c r="U584" s="17">
        <v>0.24</v>
      </c>
      <c r="V584">
        <v>4</v>
      </c>
      <c r="W584">
        <v>4</v>
      </c>
      <c r="X584">
        <v>1</v>
      </c>
      <c r="Y584">
        <v>8</v>
      </c>
      <c r="Z584">
        <v>2</v>
      </c>
      <c r="AA584">
        <v>3</v>
      </c>
      <c r="AB584">
        <v>8</v>
      </c>
      <c r="AC584">
        <v>7</v>
      </c>
      <c r="AD584">
        <v>3</v>
      </c>
      <c r="AE584">
        <v>7</v>
      </c>
      <c r="AF584">
        <v>0</v>
      </c>
      <c r="AG584">
        <f>IF(tbl_HR_Data[[#This Row],[Gender]]="Male",1,0)</f>
        <v>0</v>
      </c>
      <c r="AH584" cm="1">
        <f t="array" ref="AH584">_xlfn.SWITCH(tbl_HR_Data[[#This Row],[BusinessTravel]], "Non-Travel", 0, "Travel_Rarely", 1, "Travel_Frequently", 2)</f>
        <v>2</v>
      </c>
      <c r="AI584" cm="1">
        <f t="array" ref="AI584">_xlfn.SWITCH(tbl_HR_Data[[#This Row],[MaritalStatus]],"Single",0,"Married",1,"Divorced",2)</f>
        <v>1</v>
      </c>
      <c r="AJ584">
        <f>IF(tbl_HR_Data[[#This Row],[OverTime]]=1,1,0)</f>
        <v>0</v>
      </c>
      <c r="AK584">
        <f>IF(tbl_HR_Data[[#This Row],[DistanceFromHome]]&gt;15,1,0)</f>
        <v>0</v>
      </c>
      <c r="AL584">
        <f>IF(tbl_HR_Data[[#This Row],[JobSatisfaction]]&lt;=2,1,0)</f>
        <v>1</v>
      </c>
      <c r="AM584">
        <f>IF(tbl_HR_Data[[#This Row],[MonthlyIncome]]&lt;$AT$2,1,0)</f>
        <v>1</v>
      </c>
      <c r="AN584">
        <f>IF(tbl_HR_Data[[#This Row],[Travel_Code]]=2,1,0)</f>
        <v>1</v>
      </c>
      <c r="AO584">
        <f>(tbl_HR_Data[[#This Row],[Flag_OT]] * Logic_Parameters!$B$2) +
 (tbl_HR_Data[[#This Row],[Flag_Travel]] * Logic_Parameters!$B$3) +
 (tbl_HR_Data[[#This Row],[Flag_Satisfaction]] * Logic_Parameters!$B$4) +
 (tbl_HR_Data[[#This Row],[Flag_Distance]]* Logic_Parameters!$B$5) +
 (tbl_HR_Data[[#This Row],[Flag_Income]] * Logic_Parameters!$B$6)</f>
        <v>15.859352047889136</v>
      </c>
      <c r="AP584" s="15">
        <f>tbl_HR_Data[[#This Row],[Risk_Score_Raw]] / SUM(Logic_Parameters!$B$2:$B$6)</f>
        <v>0.54639453549708916</v>
      </c>
      <c r="AQ584" s="16" t="str" cm="1">
        <f t="array" ref="AQ584">_xlfn.IFS(tbl_HR_Data[[#This Row],[Attrition_Risk_Percentage]] &gt;= 0.75, "Critical",tbl_HR_Data[ [#This Row],[Attrition_Risk_Percentage] ]&gt;= 0.5, "High",tbl_HR_Data[[#This Row],[Attrition_Risk_Percentage]] &gt;= 0.25, "Medium",TRUE, "Low")</f>
        <v>High</v>
      </c>
      <c r="AR584" s="16" cm="1">
        <f t="array" ref="AR584">IFERROR(_xlfn.IFS(tbl_HR_Data[[#This Row],[Risk_Category]]="Critical",tbl_HR_Data[[#This Row],[MonthlyIncome]]*1.5,tbl_HR_Data[[#This Row],[Risk_Category]]="High",tbl_HR_Data[[#This Row],[MonthlyIncome]]*1.5),0)</f>
        <v>6366</v>
      </c>
    </row>
    <row r="585" spans="1:44" x14ac:dyDescent="0.35">
      <c r="A585" t="s">
        <v>937</v>
      </c>
      <c r="B585">
        <v>34</v>
      </c>
      <c r="C585" t="s">
        <v>31</v>
      </c>
      <c r="D585">
        <v>1111</v>
      </c>
      <c r="E585" t="s">
        <v>32</v>
      </c>
      <c r="F585">
        <v>8</v>
      </c>
      <c r="G585">
        <v>2</v>
      </c>
      <c r="H585" t="s">
        <v>33</v>
      </c>
      <c r="I585">
        <v>3</v>
      </c>
      <c r="J585" t="s">
        <v>34</v>
      </c>
      <c r="K585">
        <v>93</v>
      </c>
      <c r="L585">
        <v>3</v>
      </c>
      <c r="M585">
        <v>2</v>
      </c>
      <c r="N585" t="s">
        <v>35</v>
      </c>
      <c r="O585">
        <v>1</v>
      </c>
      <c r="P585" t="s">
        <v>41</v>
      </c>
      <c r="Q585">
        <v>6500</v>
      </c>
      <c r="R585">
        <v>13305</v>
      </c>
      <c r="S585">
        <v>5</v>
      </c>
      <c r="T585">
        <v>0</v>
      </c>
      <c r="U585" s="17">
        <v>0.17</v>
      </c>
      <c r="V585">
        <v>3</v>
      </c>
      <c r="W585">
        <v>2</v>
      </c>
      <c r="X585">
        <v>1</v>
      </c>
      <c r="Y585">
        <v>6</v>
      </c>
      <c r="Z585">
        <v>1</v>
      </c>
      <c r="AA585">
        <v>3</v>
      </c>
      <c r="AB585">
        <v>3</v>
      </c>
      <c r="AC585">
        <v>2</v>
      </c>
      <c r="AD585">
        <v>1</v>
      </c>
      <c r="AE585">
        <v>2</v>
      </c>
      <c r="AF585">
        <v>0</v>
      </c>
      <c r="AG585">
        <f>IF(tbl_HR_Data[[#This Row],[Gender]]="Male",1,0)</f>
        <v>0</v>
      </c>
      <c r="AH585" cm="1">
        <f t="array" ref="AH585">_xlfn.SWITCH(tbl_HR_Data[[#This Row],[BusinessTravel]], "Non-Travel", 0, "Travel_Rarely", 1, "Travel_Frequently", 2)</f>
        <v>1</v>
      </c>
      <c r="AI585" cm="1">
        <f t="array" ref="AI585">_xlfn.SWITCH(tbl_HR_Data[[#This Row],[MaritalStatus]],"Single",0,"Married",1,"Divorced",2)</f>
        <v>1</v>
      </c>
      <c r="AJ585">
        <f>IF(tbl_HR_Data[[#This Row],[OverTime]]=1,1,0)</f>
        <v>0</v>
      </c>
      <c r="AK585">
        <f>IF(tbl_HR_Data[[#This Row],[DistanceFromHome]]&gt;15,1,0)</f>
        <v>0</v>
      </c>
      <c r="AL585">
        <f>IF(tbl_HR_Data[[#This Row],[JobSatisfaction]]&lt;=2,1,0)</f>
        <v>1</v>
      </c>
      <c r="AM585">
        <f>IF(tbl_HR_Data[[#This Row],[MonthlyIncome]]&lt;$AT$2,1,0)</f>
        <v>0</v>
      </c>
      <c r="AN585">
        <f>IF(tbl_HR_Data[[#This Row],[Travel_Code]]=2,1,0)</f>
        <v>0</v>
      </c>
      <c r="AO585">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585" s="15">
        <f>tbl_HR_Data[[#This Row],[Risk_Score_Raw]] / SUM(Logic_Parameters!$B$2:$B$6)</f>
        <v>0.14485673308716898</v>
      </c>
      <c r="AQ585" s="16" t="str" cm="1">
        <f t="array" ref="AQ585">_xlfn.IFS(tbl_HR_Data[[#This Row],[Attrition_Risk_Percentage]] &gt;= 0.75, "Critical",tbl_HR_Data[ [#This Row],[Attrition_Risk_Percentage] ]&gt;= 0.5, "High",tbl_HR_Data[[#This Row],[Attrition_Risk_Percentage]] &gt;= 0.25, "Medium",TRUE, "Low")</f>
        <v>Low</v>
      </c>
      <c r="AR585" s="16" cm="1">
        <f t="array" ref="AR585">IFERROR(_xlfn.IFS(tbl_HR_Data[[#This Row],[Risk_Category]]="Critical",tbl_HR_Data[[#This Row],[MonthlyIncome]]*1.5,tbl_HR_Data[[#This Row],[Risk_Category]]="High",tbl_HR_Data[[#This Row],[MonthlyIncome]]*1.5),0)</f>
        <v>0</v>
      </c>
    </row>
    <row r="586" spans="1:44" x14ac:dyDescent="0.35">
      <c r="A586" t="s">
        <v>597</v>
      </c>
      <c r="B586">
        <v>42</v>
      </c>
      <c r="C586" t="s">
        <v>37</v>
      </c>
      <c r="D586">
        <v>570</v>
      </c>
      <c r="E586" t="s">
        <v>38</v>
      </c>
      <c r="F586">
        <v>8</v>
      </c>
      <c r="G586">
        <v>3</v>
      </c>
      <c r="H586" t="s">
        <v>33</v>
      </c>
      <c r="I586">
        <v>2</v>
      </c>
      <c r="J586" t="s">
        <v>39</v>
      </c>
      <c r="K586">
        <v>66</v>
      </c>
      <c r="L586">
        <v>3</v>
      </c>
      <c r="M586">
        <v>5</v>
      </c>
      <c r="N586" t="s">
        <v>48</v>
      </c>
      <c r="O586">
        <v>4</v>
      </c>
      <c r="P586" t="s">
        <v>45</v>
      </c>
      <c r="Q586">
        <v>18430</v>
      </c>
      <c r="R586">
        <v>16225</v>
      </c>
      <c r="S586">
        <v>1</v>
      </c>
      <c r="T586">
        <v>0</v>
      </c>
      <c r="U586" s="17">
        <v>0.13</v>
      </c>
      <c r="V586">
        <v>3</v>
      </c>
      <c r="W586">
        <v>2</v>
      </c>
      <c r="X586">
        <v>1</v>
      </c>
      <c r="Y586">
        <v>24</v>
      </c>
      <c r="Z586">
        <v>4</v>
      </c>
      <c r="AA586">
        <v>2</v>
      </c>
      <c r="AB586">
        <v>24</v>
      </c>
      <c r="AC586">
        <v>7</v>
      </c>
      <c r="AD586">
        <v>14</v>
      </c>
      <c r="AE586">
        <v>9</v>
      </c>
      <c r="AF586">
        <v>0</v>
      </c>
      <c r="AG586">
        <f>IF(tbl_HR_Data[[#This Row],[Gender]]="Male",1,0)</f>
        <v>1</v>
      </c>
      <c r="AH586" cm="1">
        <f t="array" ref="AH586">_xlfn.SWITCH(tbl_HR_Data[[#This Row],[BusinessTravel]], "Non-Travel", 0, "Travel_Rarely", 1, "Travel_Frequently", 2)</f>
        <v>2</v>
      </c>
      <c r="AI586" cm="1">
        <f t="array" ref="AI586">_xlfn.SWITCH(tbl_HR_Data[[#This Row],[MaritalStatus]],"Single",0,"Married",1,"Divorced",2)</f>
        <v>2</v>
      </c>
      <c r="AJ586">
        <f>IF(tbl_HR_Data[[#This Row],[OverTime]]=1,1,0)</f>
        <v>0</v>
      </c>
      <c r="AK586">
        <f>IF(tbl_HR_Data[[#This Row],[DistanceFromHome]]&gt;15,1,0)</f>
        <v>0</v>
      </c>
      <c r="AL586">
        <f>IF(tbl_HR_Data[[#This Row],[JobSatisfaction]]&lt;=2,1,0)</f>
        <v>0</v>
      </c>
      <c r="AM586">
        <f>IF(tbl_HR_Data[[#This Row],[MonthlyIncome]]&lt;$AT$2,1,0)</f>
        <v>0</v>
      </c>
      <c r="AN586">
        <f>IF(tbl_HR_Data[[#This Row],[Travel_Code]]=2,1,0)</f>
        <v>1</v>
      </c>
      <c r="AO586">
        <f>(tbl_HR_Data[[#This Row],[Flag_OT]] * Logic_Parameters!$B$2) +
 (tbl_HR_Data[[#This Row],[Flag_Travel]] * Logic_Parameters!$B$3) +
 (tbl_HR_Data[[#This Row],[Flag_Satisfaction]] * Logic_Parameters!$B$4) +
 (tbl_HR_Data[[#This Row],[Flag_Distance]]* Logic_Parameters!$B$5) +
 (tbl_HR_Data[[#This Row],[Flag_Income]] * Logic_Parameters!$B$6)</f>
        <v>5.1603899804901765</v>
      </c>
      <c r="AP586" s="15">
        <f>tbl_HR_Data[[#This Row],[Risk_Score_Raw]] / SUM(Logic_Parameters!$B$2:$B$6)</f>
        <v>0.17778840383009531</v>
      </c>
      <c r="AQ586" s="16" t="str" cm="1">
        <f t="array" ref="AQ586">_xlfn.IFS(tbl_HR_Data[[#This Row],[Attrition_Risk_Percentage]] &gt;= 0.75, "Critical",tbl_HR_Data[ [#This Row],[Attrition_Risk_Percentage] ]&gt;= 0.5, "High",tbl_HR_Data[[#This Row],[Attrition_Risk_Percentage]] &gt;= 0.25, "Medium",TRUE, "Low")</f>
        <v>Low</v>
      </c>
      <c r="AR586" s="16" cm="1">
        <f t="array" ref="AR586">IFERROR(_xlfn.IFS(tbl_HR_Data[[#This Row],[Risk_Category]]="Critical",tbl_HR_Data[[#This Row],[MonthlyIncome]]*1.5,tbl_HR_Data[[#This Row],[Risk_Category]]="High",tbl_HR_Data[[#This Row],[MonthlyIncome]]*1.5),0)</f>
        <v>0</v>
      </c>
    </row>
    <row r="587" spans="1:44" x14ac:dyDescent="0.35">
      <c r="A587" t="s">
        <v>1397</v>
      </c>
      <c r="B587">
        <v>23</v>
      </c>
      <c r="C587" t="s">
        <v>31</v>
      </c>
      <c r="D587">
        <v>1243</v>
      </c>
      <c r="E587" t="s">
        <v>38</v>
      </c>
      <c r="F587">
        <v>6</v>
      </c>
      <c r="G587">
        <v>3</v>
      </c>
      <c r="H587" t="s">
        <v>33</v>
      </c>
      <c r="I587">
        <v>3</v>
      </c>
      <c r="J587" t="s">
        <v>39</v>
      </c>
      <c r="K587">
        <v>63</v>
      </c>
      <c r="L587">
        <v>4</v>
      </c>
      <c r="M587">
        <v>1</v>
      </c>
      <c r="N587" t="s">
        <v>43</v>
      </c>
      <c r="O587">
        <v>1</v>
      </c>
      <c r="P587" t="s">
        <v>41</v>
      </c>
      <c r="Q587">
        <v>1601</v>
      </c>
      <c r="R587">
        <v>3445</v>
      </c>
      <c r="S587">
        <v>1</v>
      </c>
      <c r="T587">
        <v>1</v>
      </c>
      <c r="U587" s="17">
        <v>0.21</v>
      </c>
      <c r="V587">
        <v>4</v>
      </c>
      <c r="W587">
        <v>3</v>
      </c>
      <c r="X587">
        <v>2</v>
      </c>
      <c r="Y587">
        <v>1</v>
      </c>
      <c r="Z587">
        <v>2</v>
      </c>
      <c r="AA587">
        <v>3</v>
      </c>
      <c r="AB587">
        <v>0</v>
      </c>
      <c r="AC587">
        <v>0</v>
      </c>
      <c r="AD587">
        <v>0</v>
      </c>
      <c r="AE587">
        <v>0</v>
      </c>
      <c r="AF587">
        <v>1</v>
      </c>
      <c r="AG587">
        <f>IF(tbl_HR_Data[[#This Row],[Gender]]="Male",1,0)</f>
        <v>1</v>
      </c>
      <c r="AH587" cm="1">
        <f t="array" ref="AH587">_xlfn.SWITCH(tbl_HR_Data[[#This Row],[BusinessTravel]], "Non-Travel", 0, "Travel_Rarely", 1, "Travel_Frequently", 2)</f>
        <v>1</v>
      </c>
      <c r="AI587" cm="1">
        <f t="array" ref="AI587">_xlfn.SWITCH(tbl_HR_Data[[#This Row],[MaritalStatus]],"Single",0,"Married",1,"Divorced",2)</f>
        <v>1</v>
      </c>
      <c r="AJ587">
        <f>IF(tbl_HR_Data[[#This Row],[OverTime]]=1,1,0)</f>
        <v>1</v>
      </c>
      <c r="AK587">
        <f>IF(tbl_HR_Data[[#This Row],[DistanceFromHome]]&gt;15,1,0)</f>
        <v>0</v>
      </c>
      <c r="AL587">
        <f>IF(tbl_HR_Data[[#This Row],[JobSatisfaction]]&lt;=2,1,0)</f>
        <v>1</v>
      </c>
      <c r="AM587">
        <f>IF(tbl_HR_Data[[#This Row],[MonthlyIncome]]&lt;$AT$2,1,0)</f>
        <v>1</v>
      </c>
      <c r="AN587">
        <f>IF(tbl_HR_Data[[#This Row],[Travel_Code]]=2,1,0)</f>
        <v>0</v>
      </c>
      <c r="AO587">
        <f>(tbl_HR_Data[[#This Row],[Flag_OT]] * Logic_Parameters!$B$2) +
 (tbl_HR_Data[[#This Row],[Flag_Travel]] * Logic_Parameters!$B$3) +
 (tbl_HR_Data[[#This Row],[Flag_Satisfaction]] * Logic_Parameters!$B$4) +
 (tbl_HR_Data[[#This Row],[Flag_Distance]]* Logic_Parameters!$B$5) +
 (tbl_HR_Data[[#This Row],[Flag_Income]] * Logic_Parameters!$B$6)</f>
        <v>20.698962067398959</v>
      </c>
      <c r="AP587" s="15">
        <f>tbl_HR_Data[[#This Row],[Risk_Score_Raw]] / SUM(Logic_Parameters!$B$2:$B$6)</f>
        <v>0.71313126349280109</v>
      </c>
      <c r="AQ587" s="16" t="str" cm="1">
        <f t="array" ref="AQ587">_xlfn.IFS(tbl_HR_Data[[#This Row],[Attrition_Risk_Percentage]] &gt;= 0.75, "Critical",tbl_HR_Data[ [#This Row],[Attrition_Risk_Percentage] ]&gt;= 0.5, "High",tbl_HR_Data[[#This Row],[Attrition_Risk_Percentage]] &gt;= 0.25, "Medium",TRUE, "Low")</f>
        <v>High</v>
      </c>
      <c r="AR587" s="16" cm="1">
        <f t="array" ref="AR587">IFERROR(_xlfn.IFS(tbl_HR_Data[[#This Row],[Risk_Category]]="Critical",tbl_HR_Data[[#This Row],[MonthlyIncome]]*1.5,tbl_HR_Data[[#This Row],[Risk_Category]]="High",tbl_HR_Data[[#This Row],[MonthlyIncome]]*1.5),0)</f>
        <v>2401.5</v>
      </c>
    </row>
    <row r="588" spans="1:44" x14ac:dyDescent="0.35">
      <c r="A588" t="s">
        <v>366</v>
      </c>
      <c r="B588">
        <v>24</v>
      </c>
      <c r="C588" t="s">
        <v>1525</v>
      </c>
      <c r="D588">
        <v>1092</v>
      </c>
      <c r="E588" t="s">
        <v>38</v>
      </c>
      <c r="F588">
        <v>9</v>
      </c>
      <c r="G588">
        <v>3</v>
      </c>
      <c r="H588" t="s">
        <v>33</v>
      </c>
      <c r="I588">
        <v>3</v>
      </c>
      <c r="J588" t="s">
        <v>39</v>
      </c>
      <c r="K588">
        <v>60</v>
      </c>
      <c r="L588">
        <v>2</v>
      </c>
      <c r="M588">
        <v>1</v>
      </c>
      <c r="N588" t="s">
        <v>43</v>
      </c>
      <c r="O588">
        <v>2</v>
      </c>
      <c r="P588" t="s">
        <v>45</v>
      </c>
      <c r="Q588">
        <v>2694</v>
      </c>
      <c r="R588">
        <v>26551</v>
      </c>
      <c r="S588">
        <v>1</v>
      </c>
      <c r="T588">
        <v>0</v>
      </c>
      <c r="U588" s="17">
        <v>0.11</v>
      </c>
      <c r="V588">
        <v>3</v>
      </c>
      <c r="W588">
        <v>3</v>
      </c>
      <c r="X588">
        <v>3</v>
      </c>
      <c r="Y588">
        <v>1</v>
      </c>
      <c r="Z588">
        <v>4</v>
      </c>
      <c r="AA588">
        <v>3</v>
      </c>
      <c r="AB588">
        <v>1</v>
      </c>
      <c r="AC588">
        <v>0</v>
      </c>
      <c r="AD588">
        <v>0</v>
      </c>
      <c r="AE588">
        <v>0</v>
      </c>
      <c r="AF588">
        <v>0</v>
      </c>
      <c r="AG588">
        <f>IF(tbl_HR_Data[[#This Row],[Gender]]="Male",1,0)</f>
        <v>1</v>
      </c>
      <c r="AH588" cm="1">
        <f t="array" ref="AH588">_xlfn.SWITCH(tbl_HR_Data[[#This Row],[BusinessTravel]], "Non-Travel", 0, "Travel_Rarely", 1, "Travel_Frequently", 2)</f>
        <v>0</v>
      </c>
      <c r="AI588" cm="1">
        <f t="array" ref="AI588">_xlfn.SWITCH(tbl_HR_Data[[#This Row],[MaritalStatus]],"Single",0,"Married",1,"Divorced",2)</f>
        <v>2</v>
      </c>
      <c r="AJ588">
        <f>IF(tbl_HR_Data[[#This Row],[OverTime]]=1,1,0)</f>
        <v>0</v>
      </c>
      <c r="AK588">
        <f>IF(tbl_HR_Data[[#This Row],[DistanceFromHome]]&gt;15,1,0)</f>
        <v>0</v>
      </c>
      <c r="AL588">
        <f>IF(tbl_HR_Data[[#This Row],[JobSatisfaction]]&lt;=2,1,0)</f>
        <v>1</v>
      </c>
      <c r="AM588">
        <f>IF(tbl_HR_Data[[#This Row],[MonthlyIncome]]&lt;$AT$2,1,0)</f>
        <v>1</v>
      </c>
      <c r="AN588">
        <f>IF(tbl_HR_Data[[#This Row],[Travel_Code]]=2,1,0)</f>
        <v>0</v>
      </c>
      <c r="AO588">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588" s="15">
        <f>tbl_HR_Data[[#This Row],[Risk_Score_Raw]] / SUM(Logic_Parameters!$B$2:$B$6)</f>
        <v>0.3686061316669938</v>
      </c>
      <c r="AQ588" s="16" t="str" cm="1">
        <f t="array" ref="AQ588">_xlfn.IFS(tbl_HR_Data[[#This Row],[Attrition_Risk_Percentage]] &gt;= 0.75, "Critical",tbl_HR_Data[ [#This Row],[Attrition_Risk_Percentage] ]&gt;= 0.5, "High",tbl_HR_Data[[#This Row],[Attrition_Risk_Percentage]] &gt;= 0.25, "Medium",TRUE, "Low")</f>
        <v>Medium</v>
      </c>
      <c r="AR588" s="16" cm="1">
        <f t="array" ref="AR588">IFERROR(_xlfn.IFS(tbl_HR_Data[[#This Row],[Risk_Category]]="Critical",tbl_HR_Data[[#This Row],[MonthlyIncome]]*1.5,tbl_HR_Data[[#This Row],[Risk_Category]]="High",tbl_HR_Data[[#This Row],[MonthlyIncome]]*1.5),0)</f>
        <v>0</v>
      </c>
    </row>
    <row r="589" spans="1:44" x14ac:dyDescent="0.35">
      <c r="A589" t="s">
        <v>609</v>
      </c>
      <c r="B589">
        <v>52</v>
      </c>
      <c r="C589" t="s">
        <v>31</v>
      </c>
      <c r="D589">
        <v>1325</v>
      </c>
      <c r="E589" t="s">
        <v>38</v>
      </c>
      <c r="F589">
        <v>11</v>
      </c>
      <c r="G589">
        <v>4</v>
      </c>
      <c r="H589" t="s">
        <v>33</v>
      </c>
      <c r="I589">
        <v>4</v>
      </c>
      <c r="J589" t="s">
        <v>34</v>
      </c>
      <c r="K589">
        <v>82</v>
      </c>
      <c r="L589">
        <v>3</v>
      </c>
      <c r="M589">
        <v>2</v>
      </c>
      <c r="N589" t="s">
        <v>43</v>
      </c>
      <c r="O589">
        <v>3</v>
      </c>
      <c r="P589" t="s">
        <v>41</v>
      </c>
      <c r="Q589">
        <v>3149</v>
      </c>
      <c r="R589">
        <v>21821</v>
      </c>
      <c r="S589">
        <v>8</v>
      </c>
      <c r="T589">
        <v>0</v>
      </c>
      <c r="U589" s="17">
        <v>0.2</v>
      </c>
      <c r="V589">
        <v>4</v>
      </c>
      <c r="W589">
        <v>2</v>
      </c>
      <c r="X589">
        <v>1</v>
      </c>
      <c r="Y589">
        <v>9</v>
      </c>
      <c r="Z589">
        <v>3</v>
      </c>
      <c r="AA589">
        <v>3</v>
      </c>
      <c r="AB589">
        <v>5</v>
      </c>
      <c r="AC589">
        <v>2</v>
      </c>
      <c r="AD589">
        <v>1</v>
      </c>
      <c r="AE589">
        <v>4</v>
      </c>
      <c r="AF589">
        <v>0</v>
      </c>
      <c r="AG589">
        <f>IF(tbl_HR_Data[[#This Row],[Gender]]="Male",1,0)</f>
        <v>0</v>
      </c>
      <c r="AH589" cm="1">
        <f t="array" ref="AH589">_xlfn.SWITCH(tbl_HR_Data[[#This Row],[BusinessTravel]], "Non-Travel", 0, "Travel_Rarely", 1, "Travel_Frequently", 2)</f>
        <v>1</v>
      </c>
      <c r="AI589" cm="1">
        <f t="array" ref="AI589">_xlfn.SWITCH(tbl_HR_Data[[#This Row],[MaritalStatus]],"Single",0,"Married",1,"Divorced",2)</f>
        <v>1</v>
      </c>
      <c r="AJ589">
        <f>IF(tbl_HR_Data[[#This Row],[OverTime]]=1,1,0)</f>
        <v>0</v>
      </c>
      <c r="AK589">
        <f>IF(tbl_HR_Data[[#This Row],[DistanceFromHome]]&gt;15,1,0)</f>
        <v>0</v>
      </c>
      <c r="AL589">
        <f>IF(tbl_HR_Data[[#This Row],[JobSatisfaction]]&lt;=2,1,0)</f>
        <v>0</v>
      </c>
      <c r="AM589">
        <f>IF(tbl_HR_Data[[#This Row],[MonthlyIncome]]&lt;$AT$2,1,0)</f>
        <v>1</v>
      </c>
      <c r="AN589">
        <f>IF(tbl_HR_Data[[#This Row],[Travel_Code]]=2,1,0)</f>
        <v>0</v>
      </c>
      <c r="AO589">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589" s="15">
        <f>tbl_HR_Data[[#This Row],[Risk_Score_Raw]] / SUM(Logic_Parameters!$B$2:$B$6)</f>
        <v>0.22374939857982484</v>
      </c>
      <c r="AQ589" s="16" t="str" cm="1">
        <f t="array" ref="AQ589">_xlfn.IFS(tbl_HR_Data[[#This Row],[Attrition_Risk_Percentage]] &gt;= 0.75, "Critical",tbl_HR_Data[ [#This Row],[Attrition_Risk_Percentage] ]&gt;= 0.5, "High",tbl_HR_Data[[#This Row],[Attrition_Risk_Percentage]] &gt;= 0.25, "Medium",TRUE, "Low")</f>
        <v>Low</v>
      </c>
      <c r="AR589" s="16" cm="1">
        <f t="array" ref="AR589">IFERROR(_xlfn.IFS(tbl_HR_Data[[#This Row],[Risk_Category]]="Critical",tbl_HR_Data[[#This Row],[MonthlyIncome]]*1.5,tbl_HR_Data[[#This Row],[Risk_Category]]="High",tbl_HR_Data[[#This Row],[MonthlyIncome]]*1.5),0)</f>
        <v>0</v>
      </c>
    </row>
    <row r="590" spans="1:44" x14ac:dyDescent="0.35">
      <c r="A590" t="s">
        <v>911</v>
      </c>
      <c r="B590">
        <v>50</v>
      </c>
      <c r="C590" t="s">
        <v>31</v>
      </c>
      <c r="D590">
        <v>691</v>
      </c>
      <c r="E590" t="s">
        <v>38</v>
      </c>
      <c r="F590">
        <v>2</v>
      </c>
      <c r="G590">
        <v>3</v>
      </c>
      <c r="H590" t="s">
        <v>44</v>
      </c>
      <c r="I590">
        <v>3</v>
      </c>
      <c r="J590" t="s">
        <v>39</v>
      </c>
      <c r="K590">
        <v>64</v>
      </c>
      <c r="L590">
        <v>3</v>
      </c>
      <c r="M590">
        <v>4</v>
      </c>
      <c r="N590" t="s">
        <v>50</v>
      </c>
      <c r="O590">
        <v>3</v>
      </c>
      <c r="P590" t="s">
        <v>41</v>
      </c>
      <c r="Q590">
        <v>17639</v>
      </c>
      <c r="R590">
        <v>6881</v>
      </c>
      <c r="S590">
        <v>5</v>
      </c>
      <c r="T590">
        <v>0</v>
      </c>
      <c r="U590" s="17">
        <v>0.16</v>
      </c>
      <c r="V590">
        <v>3</v>
      </c>
      <c r="W590">
        <v>4</v>
      </c>
      <c r="X590">
        <v>0</v>
      </c>
      <c r="Y590">
        <v>30</v>
      </c>
      <c r="Z590">
        <v>3</v>
      </c>
      <c r="AA590">
        <v>3</v>
      </c>
      <c r="AB590">
        <v>4</v>
      </c>
      <c r="AC590">
        <v>3</v>
      </c>
      <c r="AD590">
        <v>0</v>
      </c>
      <c r="AE590">
        <v>3</v>
      </c>
      <c r="AF590">
        <v>0</v>
      </c>
      <c r="AG590">
        <f>IF(tbl_HR_Data[[#This Row],[Gender]]="Male",1,0)</f>
        <v>1</v>
      </c>
      <c r="AH590" cm="1">
        <f t="array" ref="AH590">_xlfn.SWITCH(tbl_HR_Data[[#This Row],[BusinessTravel]], "Non-Travel", 0, "Travel_Rarely", 1, "Travel_Frequently", 2)</f>
        <v>1</v>
      </c>
      <c r="AI590" cm="1">
        <f t="array" ref="AI590">_xlfn.SWITCH(tbl_HR_Data[[#This Row],[MaritalStatus]],"Single",0,"Married",1,"Divorced",2)</f>
        <v>1</v>
      </c>
      <c r="AJ590">
        <f>IF(tbl_HR_Data[[#This Row],[OverTime]]=1,1,0)</f>
        <v>0</v>
      </c>
      <c r="AK590">
        <f>IF(tbl_HR_Data[[#This Row],[DistanceFromHome]]&gt;15,1,0)</f>
        <v>0</v>
      </c>
      <c r="AL590">
        <f>IF(tbl_HR_Data[[#This Row],[JobSatisfaction]]&lt;=2,1,0)</f>
        <v>0</v>
      </c>
      <c r="AM590">
        <f>IF(tbl_HR_Data[[#This Row],[MonthlyIncome]]&lt;$AT$2,1,0)</f>
        <v>0</v>
      </c>
      <c r="AN590">
        <f>IF(tbl_HR_Data[[#This Row],[Travel_Code]]=2,1,0)</f>
        <v>0</v>
      </c>
      <c r="AO590">
        <f>(tbl_HR_Data[[#This Row],[Flag_OT]] * Logic_Parameters!$B$2) +
 (tbl_HR_Data[[#This Row],[Flag_Travel]] * Logic_Parameters!$B$3) +
 (tbl_HR_Data[[#This Row],[Flag_Satisfaction]] * Logic_Parameters!$B$4) +
 (tbl_HR_Data[[#This Row],[Flag_Distance]]* Logic_Parameters!$B$5) +
 (tbl_HR_Data[[#This Row],[Flag_Income]] * Logic_Parameters!$B$6)</f>
        <v>0</v>
      </c>
      <c r="AP590" s="15">
        <f>tbl_HR_Data[[#This Row],[Risk_Score_Raw]] / SUM(Logic_Parameters!$B$2:$B$6)</f>
        <v>0</v>
      </c>
      <c r="AQ590" s="16" t="str" cm="1">
        <f t="array" ref="AQ590">_xlfn.IFS(tbl_HR_Data[[#This Row],[Attrition_Risk_Percentage]] &gt;= 0.75, "Critical",tbl_HR_Data[ [#This Row],[Attrition_Risk_Percentage] ]&gt;= 0.5, "High",tbl_HR_Data[[#This Row],[Attrition_Risk_Percentage]] &gt;= 0.25, "Medium",TRUE, "Low")</f>
        <v>Low</v>
      </c>
      <c r="AR590" s="16" cm="1">
        <f t="array" ref="AR590">IFERROR(_xlfn.IFS(tbl_HR_Data[[#This Row],[Risk_Category]]="Critical",tbl_HR_Data[[#This Row],[MonthlyIncome]]*1.5,tbl_HR_Data[[#This Row],[Risk_Category]]="High",tbl_HR_Data[[#This Row],[MonthlyIncome]]*1.5),0)</f>
        <v>0</v>
      </c>
    </row>
    <row r="591" spans="1:44" x14ac:dyDescent="0.35">
      <c r="A591" t="s">
        <v>1044</v>
      </c>
      <c r="B591">
        <v>29</v>
      </c>
      <c r="C591" t="s">
        <v>31</v>
      </c>
      <c r="D591">
        <v>805</v>
      </c>
      <c r="E591" t="s">
        <v>38</v>
      </c>
      <c r="F591">
        <v>1</v>
      </c>
      <c r="G591">
        <v>2</v>
      </c>
      <c r="H591" t="s">
        <v>33</v>
      </c>
      <c r="I591">
        <v>2</v>
      </c>
      <c r="J591" t="s">
        <v>34</v>
      </c>
      <c r="K591">
        <v>36</v>
      </c>
      <c r="L591">
        <v>2</v>
      </c>
      <c r="M591">
        <v>1</v>
      </c>
      <c r="N591" t="s">
        <v>43</v>
      </c>
      <c r="O591">
        <v>1</v>
      </c>
      <c r="P591" t="s">
        <v>41</v>
      </c>
      <c r="Q591">
        <v>2319</v>
      </c>
      <c r="R591">
        <v>6689</v>
      </c>
      <c r="S591">
        <v>1</v>
      </c>
      <c r="T591">
        <v>1</v>
      </c>
      <c r="U591" s="17">
        <v>0.11</v>
      </c>
      <c r="V591">
        <v>3</v>
      </c>
      <c r="W591">
        <v>4</v>
      </c>
      <c r="X591">
        <v>1</v>
      </c>
      <c r="Y591">
        <v>1</v>
      </c>
      <c r="Z591">
        <v>1</v>
      </c>
      <c r="AA591">
        <v>3</v>
      </c>
      <c r="AB591">
        <v>1</v>
      </c>
      <c r="AC591">
        <v>0</v>
      </c>
      <c r="AD591">
        <v>0</v>
      </c>
      <c r="AE591">
        <v>0</v>
      </c>
      <c r="AF591">
        <v>1</v>
      </c>
      <c r="AG591">
        <f>IF(tbl_HR_Data[[#This Row],[Gender]]="Male",1,0)</f>
        <v>0</v>
      </c>
      <c r="AH591" cm="1">
        <f t="array" ref="AH591">_xlfn.SWITCH(tbl_HR_Data[[#This Row],[BusinessTravel]], "Non-Travel", 0, "Travel_Rarely", 1, "Travel_Frequently", 2)</f>
        <v>1</v>
      </c>
      <c r="AI591" cm="1">
        <f t="array" ref="AI591">_xlfn.SWITCH(tbl_HR_Data[[#This Row],[MaritalStatus]],"Single",0,"Married",1,"Divorced",2)</f>
        <v>1</v>
      </c>
      <c r="AJ591">
        <f>IF(tbl_HR_Data[[#This Row],[OverTime]]=1,1,0)</f>
        <v>1</v>
      </c>
      <c r="AK591">
        <f>IF(tbl_HR_Data[[#This Row],[DistanceFromHome]]&gt;15,1,0)</f>
        <v>0</v>
      </c>
      <c r="AL591">
        <f>IF(tbl_HR_Data[[#This Row],[JobSatisfaction]]&lt;=2,1,0)</f>
        <v>1</v>
      </c>
      <c r="AM591">
        <f>IF(tbl_HR_Data[[#This Row],[MonthlyIncome]]&lt;$AT$2,1,0)</f>
        <v>1</v>
      </c>
      <c r="AN591">
        <f>IF(tbl_HR_Data[[#This Row],[Travel_Code]]=2,1,0)</f>
        <v>0</v>
      </c>
      <c r="AO591">
        <f>(tbl_HR_Data[[#This Row],[Flag_OT]] * Logic_Parameters!$B$2) +
 (tbl_HR_Data[[#This Row],[Flag_Travel]] * Logic_Parameters!$B$3) +
 (tbl_HR_Data[[#This Row],[Flag_Satisfaction]] * Logic_Parameters!$B$4) +
 (tbl_HR_Data[[#This Row],[Flag_Distance]]* Logic_Parameters!$B$5) +
 (tbl_HR_Data[[#This Row],[Flag_Income]] * Logic_Parameters!$B$6)</f>
        <v>20.698962067398959</v>
      </c>
      <c r="AP591" s="15">
        <f>tbl_HR_Data[[#This Row],[Risk_Score_Raw]] / SUM(Logic_Parameters!$B$2:$B$6)</f>
        <v>0.71313126349280109</v>
      </c>
      <c r="AQ591" s="16" t="str" cm="1">
        <f t="array" ref="AQ591">_xlfn.IFS(tbl_HR_Data[[#This Row],[Attrition_Risk_Percentage]] &gt;= 0.75, "Critical",tbl_HR_Data[ [#This Row],[Attrition_Risk_Percentage] ]&gt;= 0.5, "High",tbl_HR_Data[[#This Row],[Attrition_Risk_Percentage]] &gt;= 0.25, "Medium",TRUE, "Low")</f>
        <v>High</v>
      </c>
      <c r="AR591" s="16" cm="1">
        <f t="array" ref="AR591">IFERROR(_xlfn.IFS(tbl_HR_Data[[#This Row],[Risk_Category]]="Critical",tbl_HR_Data[[#This Row],[MonthlyIncome]]*1.5,tbl_HR_Data[[#This Row],[Risk_Category]]="High",tbl_HR_Data[[#This Row],[MonthlyIncome]]*1.5),0)</f>
        <v>3478.5</v>
      </c>
    </row>
    <row r="592" spans="1:44" x14ac:dyDescent="0.35">
      <c r="A592" t="s">
        <v>1216</v>
      </c>
      <c r="B592">
        <v>33</v>
      </c>
      <c r="C592" t="s">
        <v>31</v>
      </c>
      <c r="D592">
        <v>213</v>
      </c>
      <c r="E592" t="s">
        <v>38</v>
      </c>
      <c r="F592">
        <v>7</v>
      </c>
      <c r="G592">
        <v>3</v>
      </c>
      <c r="H592" t="s">
        <v>44</v>
      </c>
      <c r="I592">
        <v>3</v>
      </c>
      <c r="J592" t="s">
        <v>39</v>
      </c>
      <c r="K592">
        <v>49</v>
      </c>
      <c r="L592">
        <v>3</v>
      </c>
      <c r="M592">
        <v>3</v>
      </c>
      <c r="N592" t="s">
        <v>50</v>
      </c>
      <c r="O592">
        <v>3</v>
      </c>
      <c r="P592" t="s">
        <v>41</v>
      </c>
      <c r="Q592">
        <v>11691</v>
      </c>
      <c r="R592">
        <v>25995</v>
      </c>
      <c r="S592">
        <v>0</v>
      </c>
      <c r="T592">
        <v>0</v>
      </c>
      <c r="U592" s="17">
        <v>0.11</v>
      </c>
      <c r="V592">
        <v>3</v>
      </c>
      <c r="W592">
        <v>4</v>
      </c>
      <c r="X592">
        <v>0</v>
      </c>
      <c r="Y592">
        <v>14</v>
      </c>
      <c r="Z592">
        <v>3</v>
      </c>
      <c r="AA592">
        <v>4</v>
      </c>
      <c r="AB592">
        <v>13</v>
      </c>
      <c r="AC592">
        <v>9</v>
      </c>
      <c r="AD592">
        <v>3</v>
      </c>
      <c r="AE592">
        <v>7</v>
      </c>
      <c r="AF592">
        <v>0</v>
      </c>
      <c r="AG592">
        <f>IF(tbl_HR_Data[[#This Row],[Gender]]="Male",1,0)</f>
        <v>1</v>
      </c>
      <c r="AH592" cm="1">
        <f t="array" ref="AH592">_xlfn.SWITCH(tbl_HR_Data[[#This Row],[BusinessTravel]], "Non-Travel", 0, "Travel_Rarely", 1, "Travel_Frequently", 2)</f>
        <v>1</v>
      </c>
      <c r="AI592" cm="1">
        <f t="array" ref="AI592">_xlfn.SWITCH(tbl_HR_Data[[#This Row],[MaritalStatus]],"Single",0,"Married",1,"Divorced",2)</f>
        <v>1</v>
      </c>
      <c r="AJ592">
        <f>IF(tbl_HR_Data[[#This Row],[OverTime]]=1,1,0)</f>
        <v>0</v>
      </c>
      <c r="AK592">
        <f>IF(tbl_HR_Data[[#This Row],[DistanceFromHome]]&gt;15,1,0)</f>
        <v>0</v>
      </c>
      <c r="AL592">
        <f>IF(tbl_HR_Data[[#This Row],[JobSatisfaction]]&lt;=2,1,0)</f>
        <v>0</v>
      </c>
      <c r="AM592">
        <f>IF(tbl_HR_Data[[#This Row],[MonthlyIncome]]&lt;$AT$2,1,0)</f>
        <v>0</v>
      </c>
      <c r="AN592">
        <f>IF(tbl_HR_Data[[#This Row],[Travel_Code]]=2,1,0)</f>
        <v>0</v>
      </c>
      <c r="AO592">
        <f>(tbl_HR_Data[[#This Row],[Flag_OT]] * Logic_Parameters!$B$2) +
 (tbl_HR_Data[[#This Row],[Flag_Travel]] * Logic_Parameters!$B$3) +
 (tbl_HR_Data[[#This Row],[Flag_Satisfaction]] * Logic_Parameters!$B$4) +
 (tbl_HR_Data[[#This Row],[Flag_Distance]]* Logic_Parameters!$B$5) +
 (tbl_HR_Data[[#This Row],[Flag_Income]] * Logic_Parameters!$B$6)</f>
        <v>0</v>
      </c>
      <c r="AP592" s="15">
        <f>tbl_HR_Data[[#This Row],[Risk_Score_Raw]] / SUM(Logic_Parameters!$B$2:$B$6)</f>
        <v>0</v>
      </c>
      <c r="AQ592" s="16" t="str" cm="1">
        <f t="array" ref="AQ592">_xlfn.IFS(tbl_HR_Data[[#This Row],[Attrition_Risk_Percentage]] &gt;= 0.75, "Critical",tbl_HR_Data[ [#This Row],[Attrition_Risk_Percentage] ]&gt;= 0.5, "High",tbl_HR_Data[[#This Row],[Attrition_Risk_Percentage]] &gt;= 0.25, "Medium",TRUE, "Low")</f>
        <v>Low</v>
      </c>
      <c r="AR592" s="16" cm="1">
        <f t="array" ref="AR592">IFERROR(_xlfn.IFS(tbl_HR_Data[[#This Row],[Risk_Category]]="Critical",tbl_HR_Data[[#This Row],[MonthlyIncome]]*1.5,tbl_HR_Data[[#This Row],[Risk_Category]]="High",tbl_HR_Data[[#This Row],[MonthlyIncome]]*1.5),0)</f>
        <v>0</v>
      </c>
    </row>
    <row r="593" spans="1:44" x14ac:dyDescent="0.35">
      <c r="A593" t="s">
        <v>1354</v>
      </c>
      <c r="B593">
        <v>33</v>
      </c>
      <c r="C593" t="s">
        <v>31</v>
      </c>
      <c r="D593">
        <v>118</v>
      </c>
      <c r="E593" t="s">
        <v>32</v>
      </c>
      <c r="F593">
        <v>16</v>
      </c>
      <c r="G593">
        <v>3</v>
      </c>
      <c r="H593" t="s">
        <v>51</v>
      </c>
      <c r="I593">
        <v>1</v>
      </c>
      <c r="J593" t="s">
        <v>34</v>
      </c>
      <c r="K593">
        <v>69</v>
      </c>
      <c r="L593">
        <v>3</v>
      </c>
      <c r="M593">
        <v>2</v>
      </c>
      <c r="N593" t="s">
        <v>35</v>
      </c>
      <c r="O593">
        <v>1</v>
      </c>
      <c r="P593" t="s">
        <v>36</v>
      </c>
      <c r="Q593">
        <v>5324</v>
      </c>
      <c r="R593">
        <v>26507</v>
      </c>
      <c r="S593">
        <v>5</v>
      </c>
      <c r="T593">
        <v>0</v>
      </c>
      <c r="U593" s="17">
        <v>0.15</v>
      </c>
      <c r="V593">
        <v>3</v>
      </c>
      <c r="W593">
        <v>3</v>
      </c>
      <c r="X593">
        <v>0</v>
      </c>
      <c r="Y593">
        <v>6</v>
      </c>
      <c r="Z593">
        <v>3</v>
      </c>
      <c r="AA593">
        <v>3</v>
      </c>
      <c r="AB593">
        <v>3</v>
      </c>
      <c r="AC593">
        <v>2</v>
      </c>
      <c r="AD593">
        <v>0</v>
      </c>
      <c r="AE593">
        <v>2</v>
      </c>
      <c r="AF593">
        <v>1</v>
      </c>
      <c r="AG593">
        <f>IF(tbl_HR_Data[[#This Row],[Gender]]="Male",1,0)</f>
        <v>0</v>
      </c>
      <c r="AH593" cm="1">
        <f t="array" ref="AH593">_xlfn.SWITCH(tbl_HR_Data[[#This Row],[BusinessTravel]], "Non-Travel", 0, "Travel_Rarely", 1, "Travel_Frequently", 2)</f>
        <v>1</v>
      </c>
      <c r="AI593" cm="1">
        <f t="array" ref="AI593">_xlfn.SWITCH(tbl_HR_Data[[#This Row],[MaritalStatus]],"Single",0,"Married",1,"Divorced",2)</f>
        <v>0</v>
      </c>
      <c r="AJ593">
        <f>IF(tbl_HR_Data[[#This Row],[OverTime]]=1,1,0)</f>
        <v>0</v>
      </c>
      <c r="AK593">
        <f>IF(tbl_HR_Data[[#This Row],[DistanceFromHome]]&gt;15,1,0)</f>
        <v>1</v>
      </c>
      <c r="AL593">
        <f>IF(tbl_HR_Data[[#This Row],[JobSatisfaction]]&lt;=2,1,0)</f>
        <v>1</v>
      </c>
      <c r="AM593">
        <f>IF(tbl_HR_Data[[#This Row],[MonthlyIncome]]&lt;$AT$2,1,0)</f>
        <v>0</v>
      </c>
      <c r="AN593">
        <f>IF(tbl_HR_Data[[#This Row],[Travel_Code]]=2,1,0)</f>
        <v>0</v>
      </c>
      <c r="AO593">
        <f>(tbl_HR_Data[[#This Row],[Flag_OT]] * Logic_Parameters!$B$2) +
 (tbl_HR_Data[[#This Row],[Flag_Travel]] * Logic_Parameters!$B$3) +
 (tbl_HR_Data[[#This Row],[Flag_Satisfaction]] * Logic_Parameters!$B$4) +
 (tbl_HR_Data[[#This Row],[Flag_Distance]]* Logic_Parameters!$B$5) +
 (tbl_HR_Data[[#This Row],[Flag_Income]] * Logic_Parameters!$B$6)</f>
        <v>7.3706398258535089</v>
      </c>
      <c r="AP593" s="15">
        <f>tbl_HR_Data[[#This Row],[Risk_Score_Raw]] / SUM(Logic_Parameters!$B$2:$B$6)</f>
        <v>0.25393706576427255</v>
      </c>
      <c r="AQ593" s="16" t="str" cm="1">
        <f t="array" ref="AQ593">_xlfn.IFS(tbl_HR_Data[[#This Row],[Attrition_Risk_Percentage]] &gt;= 0.75, "Critical",tbl_HR_Data[ [#This Row],[Attrition_Risk_Percentage] ]&gt;= 0.5, "High",tbl_HR_Data[[#This Row],[Attrition_Risk_Percentage]] &gt;= 0.25, "Medium",TRUE, "Low")</f>
        <v>Medium</v>
      </c>
      <c r="AR593" s="16" cm="1">
        <f t="array" ref="AR593">IFERROR(_xlfn.IFS(tbl_HR_Data[[#This Row],[Risk_Category]]="Critical",tbl_HR_Data[[#This Row],[MonthlyIncome]]*1.5,tbl_HR_Data[[#This Row],[Risk_Category]]="High",tbl_HR_Data[[#This Row],[MonthlyIncome]]*1.5),0)</f>
        <v>0</v>
      </c>
    </row>
    <row r="594" spans="1:44" x14ac:dyDescent="0.35">
      <c r="A594" t="s">
        <v>253</v>
      </c>
      <c r="B594">
        <v>47</v>
      </c>
      <c r="C594" t="s">
        <v>31</v>
      </c>
      <c r="D594">
        <v>202</v>
      </c>
      <c r="E594" t="s">
        <v>38</v>
      </c>
      <c r="F594">
        <v>2</v>
      </c>
      <c r="G594">
        <v>2</v>
      </c>
      <c r="H594" t="s">
        <v>42</v>
      </c>
      <c r="I594">
        <v>3</v>
      </c>
      <c r="J594" t="s">
        <v>34</v>
      </c>
      <c r="K594">
        <v>33</v>
      </c>
      <c r="L594">
        <v>3</v>
      </c>
      <c r="M594">
        <v>4</v>
      </c>
      <c r="N594" t="s">
        <v>48</v>
      </c>
      <c r="O594">
        <v>4</v>
      </c>
      <c r="P594" t="s">
        <v>41</v>
      </c>
      <c r="Q594">
        <v>16752</v>
      </c>
      <c r="R594">
        <v>12982</v>
      </c>
      <c r="S594">
        <v>1</v>
      </c>
      <c r="T594">
        <v>1</v>
      </c>
      <c r="U594" s="17">
        <v>0.11</v>
      </c>
      <c r="V594">
        <v>3</v>
      </c>
      <c r="W594">
        <v>3</v>
      </c>
      <c r="X594">
        <v>1</v>
      </c>
      <c r="Y594">
        <v>26</v>
      </c>
      <c r="Z594">
        <v>3</v>
      </c>
      <c r="AA594">
        <v>2</v>
      </c>
      <c r="AB594">
        <v>26</v>
      </c>
      <c r="AC594">
        <v>14</v>
      </c>
      <c r="AD594">
        <v>3</v>
      </c>
      <c r="AE594">
        <v>0</v>
      </c>
      <c r="AF594">
        <v>0</v>
      </c>
      <c r="AG594">
        <f>IF(tbl_HR_Data[[#This Row],[Gender]]="Male",1,0)</f>
        <v>0</v>
      </c>
      <c r="AH594" cm="1">
        <f t="array" ref="AH594">_xlfn.SWITCH(tbl_HR_Data[[#This Row],[BusinessTravel]], "Non-Travel", 0, "Travel_Rarely", 1, "Travel_Frequently", 2)</f>
        <v>1</v>
      </c>
      <c r="AI594" cm="1">
        <f t="array" ref="AI594">_xlfn.SWITCH(tbl_HR_Data[[#This Row],[MaritalStatus]],"Single",0,"Married",1,"Divorced",2)</f>
        <v>1</v>
      </c>
      <c r="AJ594">
        <f>IF(tbl_HR_Data[[#This Row],[OverTime]]=1,1,0)</f>
        <v>1</v>
      </c>
      <c r="AK594">
        <f>IF(tbl_HR_Data[[#This Row],[DistanceFromHome]]&gt;15,1,0)</f>
        <v>0</v>
      </c>
      <c r="AL594">
        <f>IF(tbl_HR_Data[[#This Row],[JobSatisfaction]]&lt;=2,1,0)</f>
        <v>0</v>
      </c>
      <c r="AM594">
        <f>IF(tbl_HR_Data[[#This Row],[MonthlyIncome]]&lt;$AT$2,1,0)</f>
        <v>0</v>
      </c>
      <c r="AN594">
        <f>IF(tbl_HR_Data[[#This Row],[Travel_Code]]=2,1,0)</f>
        <v>0</v>
      </c>
      <c r="AO594">
        <f>(tbl_HR_Data[[#This Row],[Flag_OT]] * Logic_Parameters!$B$2) +
 (tbl_HR_Data[[#This Row],[Flag_Travel]] * Logic_Parameters!$B$3) +
 (tbl_HR_Data[[#This Row],[Flag_Satisfaction]] * Logic_Parameters!$B$4) +
 (tbl_HR_Data[[#This Row],[Flag_Distance]]* Logic_Parameters!$B$5) +
 (tbl_HR_Data[[#This Row],[Flag_Income]] * Logic_Parameters!$B$6)</f>
        <v>10</v>
      </c>
      <c r="AP594" s="15">
        <f>tbl_HR_Data[[#This Row],[Risk_Score_Raw]] / SUM(Logic_Parameters!$B$2:$B$6)</f>
        <v>0.3445251318258073</v>
      </c>
      <c r="AQ594" s="16" t="str" cm="1">
        <f t="array" ref="AQ594">_xlfn.IFS(tbl_HR_Data[[#This Row],[Attrition_Risk_Percentage]] &gt;= 0.75, "Critical",tbl_HR_Data[ [#This Row],[Attrition_Risk_Percentage] ]&gt;= 0.5, "High",tbl_HR_Data[[#This Row],[Attrition_Risk_Percentage]] &gt;= 0.25, "Medium",TRUE, "Low")</f>
        <v>Medium</v>
      </c>
      <c r="AR594" s="16" cm="1">
        <f t="array" ref="AR594">IFERROR(_xlfn.IFS(tbl_HR_Data[[#This Row],[Risk_Category]]="Critical",tbl_HR_Data[[#This Row],[MonthlyIncome]]*1.5,tbl_HR_Data[[#This Row],[Risk_Category]]="High",tbl_HR_Data[[#This Row],[MonthlyIncome]]*1.5),0)</f>
        <v>0</v>
      </c>
    </row>
    <row r="595" spans="1:44" x14ac:dyDescent="0.35">
      <c r="A595" t="s">
        <v>595</v>
      </c>
      <c r="B595">
        <v>36</v>
      </c>
      <c r="C595" t="s">
        <v>31</v>
      </c>
      <c r="D595">
        <v>676</v>
      </c>
      <c r="E595" t="s">
        <v>38</v>
      </c>
      <c r="F595">
        <v>1</v>
      </c>
      <c r="G595">
        <v>3</v>
      </c>
      <c r="H595" t="s">
        <v>42</v>
      </c>
      <c r="I595">
        <v>3</v>
      </c>
      <c r="J595" t="s">
        <v>34</v>
      </c>
      <c r="K595">
        <v>35</v>
      </c>
      <c r="L595">
        <v>3</v>
      </c>
      <c r="M595">
        <v>2</v>
      </c>
      <c r="N595" t="s">
        <v>46</v>
      </c>
      <c r="O595">
        <v>2</v>
      </c>
      <c r="P595" t="s">
        <v>41</v>
      </c>
      <c r="Q595">
        <v>5228</v>
      </c>
      <c r="R595">
        <v>23361</v>
      </c>
      <c r="S595">
        <v>0</v>
      </c>
      <c r="T595">
        <v>0</v>
      </c>
      <c r="U595" s="17">
        <v>0.15</v>
      </c>
      <c r="V595">
        <v>3</v>
      </c>
      <c r="W595">
        <v>1</v>
      </c>
      <c r="X595">
        <v>1</v>
      </c>
      <c r="Y595">
        <v>10</v>
      </c>
      <c r="Z595">
        <v>2</v>
      </c>
      <c r="AA595">
        <v>3</v>
      </c>
      <c r="AB595">
        <v>9</v>
      </c>
      <c r="AC595">
        <v>7</v>
      </c>
      <c r="AD595">
        <v>0</v>
      </c>
      <c r="AE595">
        <v>5</v>
      </c>
      <c r="AF595">
        <v>0</v>
      </c>
      <c r="AG595">
        <f>IF(tbl_HR_Data[[#This Row],[Gender]]="Male",1,0)</f>
        <v>0</v>
      </c>
      <c r="AH595" cm="1">
        <f t="array" ref="AH595">_xlfn.SWITCH(tbl_HR_Data[[#This Row],[BusinessTravel]], "Non-Travel", 0, "Travel_Rarely", 1, "Travel_Frequently", 2)</f>
        <v>1</v>
      </c>
      <c r="AI595" cm="1">
        <f t="array" ref="AI595">_xlfn.SWITCH(tbl_HR_Data[[#This Row],[MaritalStatus]],"Single",0,"Married",1,"Divorced",2)</f>
        <v>1</v>
      </c>
      <c r="AJ595">
        <f>IF(tbl_HR_Data[[#This Row],[OverTime]]=1,1,0)</f>
        <v>0</v>
      </c>
      <c r="AK595">
        <f>IF(tbl_HR_Data[[#This Row],[DistanceFromHome]]&gt;15,1,0)</f>
        <v>0</v>
      </c>
      <c r="AL595">
        <f>IF(tbl_HR_Data[[#This Row],[JobSatisfaction]]&lt;=2,1,0)</f>
        <v>1</v>
      </c>
      <c r="AM595">
        <f>IF(tbl_HR_Data[[#This Row],[MonthlyIncome]]&lt;$AT$2,1,0)</f>
        <v>0</v>
      </c>
      <c r="AN595">
        <f>IF(tbl_HR_Data[[#This Row],[Travel_Code]]=2,1,0)</f>
        <v>0</v>
      </c>
      <c r="AO595">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595" s="15">
        <f>tbl_HR_Data[[#This Row],[Risk_Score_Raw]] / SUM(Logic_Parameters!$B$2:$B$6)</f>
        <v>0.14485673308716898</v>
      </c>
      <c r="AQ595" s="16" t="str" cm="1">
        <f t="array" ref="AQ595">_xlfn.IFS(tbl_HR_Data[[#This Row],[Attrition_Risk_Percentage]] &gt;= 0.75, "Critical",tbl_HR_Data[ [#This Row],[Attrition_Risk_Percentage] ]&gt;= 0.5, "High",tbl_HR_Data[[#This Row],[Attrition_Risk_Percentage]] &gt;= 0.25, "Medium",TRUE, "Low")</f>
        <v>Low</v>
      </c>
      <c r="AR595" s="16" cm="1">
        <f t="array" ref="AR595">IFERROR(_xlfn.IFS(tbl_HR_Data[[#This Row],[Risk_Category]]="Critical",tbl_HR_Data[[#This Row],[MonthlyIncome]]*1.5,tbl_HR_Data[[#This Row],[Risk_Category]]="High",tbl_HR_Data[[#This Row],[MonthlyIncome]]*1.5),0)</f>
        <v>0</v>
      </c>
    </row>
    <row r="596" spans="1:44" x14ac:dyDescent="0.35">
      <c r="A596" t="s">
        <v>1466</v>
      </c>
      <c r="B596">
        <v>29</v>
      </c>
      <c r="C596" t="s">
        <v>31</v>
      </c>
      <c r="D596">
        <v>1252</v>
      </c>
      <c r="E596" t="s">
        <v>38</v>
      </c>
      <c r="F596">
        <v>23</v>
      </c>
      <c r="G596">
        <v>2</v>
      </c>
      <c r="H596" t="s">
        <v>33</v>
      </c>
      <c r="I596">
        <v>3</v>
      </c>
      <c r="J596" t="s">
        <v>39</v>
      </c>
      <c r="K596">
        <v>81</v>
      </c>
      <c r="L596">
        <v>4</v>
      </c>
      <c r="M596">
        <v>1</v>
      </c>
      <c r="N596" t="s">
        <v>40</v>
      </c>
      <c r="O596">
        <v>3</v>
      </c>
      <c r="P596" t="s">
        <v>41</v>
      </c>
      <c r="Q596">
        <v>2700</v>
      </c>
      <c r="R596">
        <v>23779</v>
      </c>
      <c r="S596">
        <v>1</v>
      </c>
      <c r="T596">
        <v>0</v>
      </c>
      <c r="U596" s="17">
        <v>0.24</v>
      </c>
      <c r="V596">
        <v>4</v>
      </c>
      <c r="W596">
        <v>3</v>
      </c>
      <c r="X596">
        <v>1</v>
      </c>
      <c r="Y596">
        <v>10</v>
      </c>
      <c r="Z596">
        <v>3</v>
      </c>
      <c r="AA596">
        <v>3</v>
      </c>
      <c r="AB596">
        <v>10</v>
      </c>
      <c r="AC596">
        <v>7</v>
      </c>
      <c r="AD596">
        <v>0</v>
      </c>
      <c r="AE596">
        <v>7</v>
      </c>
      <c r="AF596">
        <v>0</v>
      </c>
      <c r="AG596">
        <f>IF(tbl_HR_Data[[#This Row],[Gender]]="Male",1,0)</f>
        <v>1</v>
      </c>
      <c r="AH596" cm="1">
        <f t="array" ref="AH596">_xlfn.SWITCH(tbl_HR_Data[[#This Row],[BusinessTravel]], "Non-Travel", 0, "Travel_Rarely", 1, "Travel_Frequently", 2)</f>
        <v>1</v>
      </c>
      <c r="AI596" cm="1">
        <f t="array" ref="AI596">_xlfn.SWITCH(tbl_HR_Data[[#This Row],[MaritalStatus]],"Single",0,"Married",1,"Divorced",2)</f>
        <v>1</v>
      </c>
      <c r="AJ596">
        <f>IF(tbl_HR_Data[[#This Row],[OverTime]]=1,1,0)</f>
        <v>0</v>
      </c>
      <c r="AK596">
        <f>IF(tbl_HR_Data[[#This Row],[DistanceFromHome]]&gt;15,1,0)</f>
        <v>1</v>
      </c>
      <c r="AL596">
        <f>IF(tbl_HR_Data[[#This Row],[JobSatisfaction]]&lt;=2,1,0)</f>
        <v>0</v>
      </c>
      <c r="AM596">
        <f>IF(tbl_HR_Data[[#This Row],[MonthlyIncome]]&lt;$AT$2,1,0)</f>
        <v>1</v>
      </c>
      <c r="AN596">
        <f>IF(tbl_HR_Data[[#This Row],[Travel_Code]]=2,1,0)</f>
        <v>0</v>
      </c>
      <c r="AO596">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596" s="15">
        <f>tbl_HR_Data[[#This Row],[Risk_Score_Raw]] / SUM(Logic_Parameters!$B$2:$B$6)</f>
        <v>0.33282973125692844</v>
      </c>
      <c r="AQ596" s="16" t="str" cm="1">
        <f t="array" ref="AQ596">_xlfn.IFS(tbl_HR_Data[[#This Row],[Attrition_Risk_Percentage]] &gt;= 0.75, "Critical",tbl_HR_Data[ [#This Row],[Attrition_Risk_Percentage] ]&gt;= 0.5, "High",tbl_HR_Data[[#This Row],[Attrition_Risk_Percentage]] &gt;= 0.25, "Medium",TRUE, "Low")</f>
        <v>Medium</v>
      </c>
      <c r="AR596" s="16" cm="1">
        <f t="array" ref="AR596">IFERROR(_xlfn.IFS(tbl_HR_Data[[#This Row],[Risk_Category]]="Critical",tbl_HR_Data[[#This Row],[MonthlyIncome]]*1.5,tbl_HR_Data[[#This Row],[Risk_Category]]="High",tbl_HR_Data[[#This Row],[MonthlyIncome]]*1.5),0)</f>
        <v>0</v>
      </c>
    </row>
    <row r="597" spans="1:44" x14ac:dyDescent="0.35">
      <c r="A597" t="s">
        <v>161</v>
      </c>
      <c r="B597">
        <v>58</v>
      </c>
      <c r="C597" t="s">
        <v>31</v>
      </c>
      <c r="D597">
        <v>286</v>
      </c>
      <c r="E597" t="s">
        <v>38</v>
      </c>
      <c r="F597">
        <v>2</v>
      </c>
      <c r="G597">
        <v>4</v>
      </c>
      <c r="H597" t="s">
        <v>33</v>
      </c>
      <c r="I597">
        <v>4</v>
      </c>
      <c r="J597" t="s">
        <v>39</v>
      </c>
      <c r="K597">
        <v>31</v>
      </c>
      <c r="L597">
        <v>3</v>
      </c>
      <c r="M597">
        <v>5</v>
      </c>
      <c r="N597" t="s">
        <v>50</v>
      </c>
      <c r="O597">
        <v>2</v>
      </c>
      <c r="P597" t="s">
        <v>36</v>
      </c>
      <c r="Q597">
        <v>19246</v>
      </c>
      <c r="R597">
        <v>25761</v>
      </c>
      <c r="S597">
        <v>7</v>
      </c>
      <c r="T597">
        <v>1</v>
      </c>
      <c r="U597" s="17">
        <v>0.12</v>
      </c>
      <c r="V597">
        <v>3</v>
      </c>
      <c r="W597">
        <v>4</v>
      </c>
      <c r="X597">
        <v>0</v>
      </c>
      <c r="Y597">
        <v>40</v>
      </c>
      <c r="Z597">
        <v>2</v>
      </c>
      <c r="AA597">
        <v>3</v>
      </c>
      <c r="AB597">
        <v>31</v>
      </c>
      <c r="AC597">
        <v>15</v>
      </c>
      <c r="AD597">
        <v>13</v>
      </c>
      <c r="AE597">
        <v>8</v>
      </c>
      <c r="AF597">
        <v>1</v>
      </c>
      <c r="AG597">
        <f>IF(tbl_HR_Data[[#This Row],[Gender]]="Male",1,0)</f>
        <v>1</v>
      </c>
      <c r="AH597" cm="1">
        <f t="array" ref="AH597">_xlfn.SWITCH(tbl_HR_Data[[#This Row],[BusinessTravel]], "Non-Travel", 0, "Travel_Rarely", 1, "Travel_Frequently", 2)</f>
        <v>1</v>
      </c>
      <c r="AI597" cm="1">
        <f t="array" ref="AI597">_xlfn.SWITCH(tbl_HR_Data[[#This Row],[MaritalStatus]],"Single",0,"Married",1,"Divorced",2)</f>
        <v>0</v>
      </c>
      <c r="AJ597">
        <f>IF(tbl_HR_Data[[#This Row],[OverTime]]=1,1,0)</f>
        <v>1</v>
      </c>
      <c r="AK597">
        <f>IF(tbl_HR_Data[[#This Row],[DistanceFromHome]]&gt;15,1,0)</f>
        <v>0</v>
      </c>
      <c r="AL597">
        <f>IF(tbl_HR_Data[[#This Row],[JobSatisfaction]]&lt;=2,1,0)</f>
        <v>1</v>
      </c>
      <c r="AM597">
        <f>IF(tbl_HR_Data[[#This Row],[MonthlyIncome]]&lt;$AT$2,1,0)</f>
        <v>0</v>
      </c>
      <c r="AN597">
        <f>IF(tbl_HR_Data[[#This Row],[Travel_Code]]=2,1,0)</f>
        <v>0</v>
      </c>
      <c r="AO597">
        <f>(tbl_HR_Data[[#This Row],[Flag_OT]] * Logic_Parameters!$B$2) +
 (tbl_HR_Data[[#This Row],[Flag_Travel]] * Logic_Parameters!$B$3) +
 (tbl_HR_Data[[#This Row],[Flag_Satisfaction]] * Logic_Parameters!$B$4) +
 (tbl_HR_Data[[#This Row],[Flag_Distance]]* Logic_Parameters!$B$5) +
 (tbl_HR_Data[[#This Row],[Flag_Income]] * Logic_Parameters!$B$6)</f>
        <v>14.204533129978131</v>
      </c>
      <c r="AP597" s="15">
        <f>tbl_HR_Data[[#This Row],[Risk_Score_Raw]] / SUM(Logic_Parameters!$B$2:$B$6)</f>
        <v>0.48938186491297625</v>
      </c>
      <c r="AQ597" s="16" t="str" cm="1">
        <f t="array" ref="AQ597">_xlfn.IFS(tbl_HR_Data[[#This Row],[Attrition_Risk_Percentage]] &gt;= 0.75, "Critical",tbl_HR_Data[ [#This Row],[Attrition_Risk_Percentage] ]&gt;= 0.5, "High",tbl_HR_Data[[#This Row],[Attrition_Risk_Percentage]] &gt;= 0.25, "Medium",TRUE, "Low")</f>
        <v>Medium</v>
      </c>
      <c r="AR597" s="16" cm="1">
        <f t="array" ref="AR597">IFERROR(_xlfn.IFS(tbl_HR_Data[[#This Row],[Risk_Category]]="Critical",tbl_HR_Data[[#This Row],[MonthlyIncome]]*1.5,tbl_HR_Data[[#This Row],[Risk_Category]]="High",tbl_HR_Data[[#This Row],[MonthlyIncome]]*1.5),0)</f>
        <v>0</v>
      </c>
    </row>
    <row r="598" spans="1:44" x14ac:dyDescent="0.35">
      <c r="A598" t="s">
        <v>100</v>
      </c>
      <c r="B598">
        <v>35</v>
      </c>
      <c r="C598" t="s">
        <v>31</v>
      </c>
      <c r="D598">
        <v>1258</v>
      </c>
      <c r="E598" t="s">
        <v>38</v>
      </c>
      <c r="F598">
        <v>1</v>
      </c>
      <c r="G598">
        <v>4</v>
      </c>
      <c r="H598" t="s">
        <v>33</v>
      </c>
      <c r="I598">
        <v>4</v>
      </c>
      <c r="J598" t="s">
        <v>34</v>
      </c>
      <c r="K598">
        <v>40</v>
      </c>
      <c r="L598">
        <v>4</v>
      </c>
      <c r="M598">
        <v>1</v>
      </c>
      <c r="N598" t="s">
        <v>40</v>
      </c>
      <c r="O598">
        <v>3</v>
      </c>
      <c r="P598" t="s">
        <v>36</v>
      </c>
      <c r="Q598">
        <v>2506</v>
      </c>
      <c r="R598">
        <v>13301</v>
      </c>
      <c r="S598">
        <v>3</v>
      </c>
      <c r="T598">
        <v>0</v>
      </c>
      <c r="U598" s="17">
        <v>0.13</v>
      </c>
      <c r="V598">
        <v>3</v>
      </c>
      <c r="W598">
        <v>3</v>
      </c>
      <c r="X598">
        <v>0</v>
      </c>
      <c r="Y598">
        <v>7</v>
      </c>
      <c r="Z598">
        <v>0</v>
      </c>
      <c r="AA598">
        <v>3</v>
      </c>
      <c r="AB598">
        <v>2</v>
      </c>
      <c r="AC598">
        <v>2</v>
      </c>
      <c r="AD598">
        <v>2</v>
      </c>
      <c r="AE598">
        <v>2</v>
      </c>
      <c r="AF598">
        <v>0</v>
      </c>
      <c r="AG598">
        <f>IF(tbl_HR_Data[[#This Row],[Gender]]="Male",1,0)</f>
        <v>0</v>
      </c>
      <c r="AH598" cm="1">
        <f t="array" ref="AH598">_xlfn.SWITCH(tbl_HR_Data[[#This Row],[BusinessTravel]], "Non-Travel", 0, "Travel_Rarely", 1, "Travel_Frequently", 2)</f>
        <v>1</v>
      </c>
      <c r="AI598" cm="1">
        <f t="array" ref="AI598">_xlfn.SWITCH(tbl_HR_Data[[#This Row],[MaritalStatus]],"Single",0,"Married",1,"Divorced",2)</f>
        <v>0</v>
      </c>
      <c r="AJ598">
        <f>IF(tbl_HR_Data[[#This Row],[OverTime]]=1,1,0)</f>
        <v>0</v>
      </c>
      <c r="AK598">
        <f>IF(tbl_HR_Data[[#This Row],[DistanceFromHome]]&gt;15,1,0)</f>
        <v>0</v>
      </c>
      <c r="AL598">
        <f>IF(tbl_HR_Data[[#This Row],[JobSatisfaction]]&lt;=2,1,0)</f>
        <v>0</v>
      </c>
      <c r="AM598">
        <f>IF(tbl_HR_Data[[#This Row],[MonthlyIncome]]&lt;$AT$2,1,0)</f>
        <v>1</v>
      </c>
      <c r="AN598">
        <f>IF(tbl_HR_Data[[#This Row],[Travel_Code]]=2,1,0)</f>
        <v>0</v>
      </c>
      <c r="AO598">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598" s="15">
        <f>tbl_HR_Data[[#This Row],[Risk_Score_Raw]] / SUM(Logic_Parameters!$B$2:$B$6)</f>
        <v>0.22374939857982484</v>
      </c>
      <c r="AQ598" s="16" t="str" cm="1">
        <f t="array" ref="AQ598">_xlfn.IFS(tbl_HR_Data[[#This Row],[Attrition_Risk_Percentage]] &gt;= 0.75, "Critical",tbl_HR_Data[ [#This Row],[Attrition_Risk_Percentage] ]&gt;= 0.5, "High",tbl_HR_Data[[#This Row],[Attrition_Risk_Percentage]] &gt;= 0.25, "Medium",TRUE, "Low")</f>
        <v>Low</v>
      </c>
      <c r="AR598" s="16" cm="1">
        <f t="array" ref="AR598">IFERROR(_xlfn.IFS(tbl_HR_Data[[#This Row],[Risk_Category]]="Critical",tbl_HR_Data[[#This Row],[MonthlyIncome]]*1.5,tbl_HR_Data[[#This Row],[Risk_Category]]="High",tbl_HR_Data[[#This Row],[MonthlyIncome]]*1.5),0)</f>
        <v>0</v>
      </c>
    </row>
    <row r="599" spans="1:44" x14ac:dyDescent="0.35">
      <c r="A599" t="s">
        <v>678</v>
      </c>
      <c r="B599">
        <v>42</v>
      </c>
      <c r="C599" t="s">
        <v>31</v>
      </c>
      <c r="D599">
        <v>932</v>
      </c>
      <c r="E599" t="s">
        <v>38</v>
      </c>
      <c r="F599">
        <v>1</v>
      </c>
      <c r="G599">
        <v>2</v>
      </c>
      <c r="H599" t="s">
        <v>33</v>
      </c>
      <c r="I599">
        <v>4</v>
      </c>
      <c r="J599" t="s">
        <v>34</v>
      </c>
      <c r="K599">
        <v>43</v>
      </c>
      <c r="L599">
        <v>2</v>
      </c>
      <c r="M599">
        <v>2</v>
      </c>
      <c r="N599" t="s">
        <v>46</v>
      </c>
      <c r="O599">
        <v>4</v>
      </c>
      <c r="P599" t="s">
        <v>41</v>
      </c>
      <c r="Q599">
        <v>6062</v>
      </c>
      <c r="R599">
        <v>4051</v>
      </c>
      <c r="S599">
        <v>9</v>
      </c>
      <c r="T599">
        <v>1</v>
      </c>
      <c r="U599" s="17">
        <v>0.13</v>
      </c>
      <c r="V599">
        <v>3</v>
      </c>
      <c r="W599">
        <v>4</v>
      </c>
      <c r="X599">
        <v>1</v>
      </c>
      <c r="Y599">
        <v>8</v>
      </c>
      <c r="Z599">
        <v>4</v>
      </c>
      <c r="AA599">
        <v>3</v>
      </c>
      <c r="AB599">
        <v>4</v>
      </c>
      <c r="AC599">
        <v>3</v>
      </c>
      <c r="AD599">
        <v>0</v>
      </c>
      <c r="AE599">
        <v>2</v>
      </c>
      <c r="AF599">
        <v>0</v>
      </c>
      <c r="AG599">
        <f>IF(tbl_HR_Data[[#This Row],[Gender]]="Male",1,0)</f>
        <v>0</v>
      </c>
      <c r="AH599" cm="1">
        <f t="array" ref="AH599">_xlfn.SWITCH(tbl_HR_Data[[#This Row],[BusinessTravel]], "Non-Travel", 0, "Travel_Rarely", 1, "Travel_Frequently", 2)</f>
        <v>1</v>
      </c>
      <c r="AI599" cm="1">
        <f t="array" ref="AI599">_xlfn.SWITCH(tbl_HR_Data[[#This Row],[MaritalStatus]],"Single",0,"Married",1,"Divorced",2)</f>
        <v>1</v>
      </c>
      <c r="AJ599">
        <f>IF(tbl_HR_Data[[#This Row],[OverTime]]=1,1,0)</f>
        <v>1</v>
      </c>
      <c r="AK599">
        <f>IF(tbl_HR_Data[[#This Row],[DistanceFromHome]]&gt;15,1,0)</f>
        <v>0</v>
      </c>
      <c r="AL599">
        <f>IF(tbl_HR_Data[[#This Row],[JobSatisfaction]]&lt;=2,1,0)</f>
        <v>0</v>
      </c>
      <c r="AM599">
        <f>IF(tbl_HR_Data[[#This Row],[MonthlyIncome]]&lt;$AT$2,1,0)</f>
        <v>0</v>
      </c>
      <c r="AN599">
        <f>IF(tbl_HR_Data[[#This Row],[Travel_Code]]=2,1,0)</f>
        <v>0</v>
      </c>
      <c r="AO599">
        <f>(tbl_HR_Data[[#This Row],[Flag_OT]] * Logic_Parameters!$B$2) +
 (tbl_HR_Data[[#This Row],[Flag_Travel]] * Logic_Parameters!$B$3) +
 (tbl_HR_Data[[#This Row],[Flag_Satisfaction]] * Logic_Parameters!$B$4) +
 (tbl_HR_Data[[#This Row],[Flag_Distance]]* Logic_Parameters!$B$5) +
 (tbl_HR_Data[[#This Row],[Flag_Income]] * Logic_Parameters!$B$6)</f>
        <v>10</v>
      </c>
      <c r="AP599" s="15">
        <f>tbl_HR_Data[[#This Row],[Risk_Score_Raw]] / SUM(Logic_Parameters!$B$2:$B$6)</f>
        <v>0.3445251318258073</v>
      </c>
      <c r="AQ599" s="16" t="str" cm="1">
        <f t="array" ref="AQ599">_xlfn.IFS(tbl_HR_Data[[#This Row],[Attrition_Risk_Percentage]] &gt;= 0.75, "Critical",tbl_HR_Data[ [#This Row],[Attrition_Risk_Percentage] ]&gt;= 0.5, "High",tbl_HR_Data[[#This Row],[Attrition_Risk_Percentage]] &gt;= 0.25, "Medium",TRUE, "Low")</f>
        <v>Medium</v>
      </c>
      <c r="AR599" s="16" cm="1">
        <f t="array" ref="AR599">IFERROR(_xlfn.IFS(tbl_HR_Data[[#This Row],[Risk_Category]]="Critical",tbl_HR_Data[[#This Row],[MonthlyIncome]]*1.5,tbl_HR_Data[[#This Row],[Risk_Category]]="High",tbl_HR_Data[[#This Row],[MonthlyIncome]]*1.5),0)</f>
        <v>0</v>
      </c>
    </row>
    <row r="600" spans="1:44" x14ac:dyDescent="0.35">
      <c r="A600" t="s">
        <v>642</v>
      </c>
      <c r="B600">
        <v>28</v>
      </c>
      <c r="C600" t="s">
        <v>31</v>
      </c>
      <c r="D600">
        <v>890</v>
      </c>
      <c r="E600" t="s">
        <v>38</v>
      </c>
      <c r="F600">
        <v>2</v>
      </c>
      <c r="G600">
        <v>4</v>
      </c>
      <c r="H600" t="s">
        <v>44</v>
      </c>
      <c r="I600">
        <v>3</v>
      </c>
      <c r="J600" t="s">
        <v>39</v>
      </c>
      <c r="K600">
        <v>46</v>
      </c>
      <c r="L600">
        <v>3</v>
      </c>
      <c r="M600">
        <v>1</v>
      </c>
      <c r="N600" t="s">
        <v>40</v>
      </c>
      <c r="O600">
        <v>3</v>
      </c>
      <c r="P600" t="s">
        <v>36</v>
      </c>
      <c r="Q600">
        <v>4382</v>
      </c>
      <c r="R600">
        <v>16374</v>
      </c>
      <c r="S600">
        <v>6</v>
      </c>
      <c r="T600">
        <v>0</v>
      </c>
      <c r="U600" s="17">
        <v>0.17</v>
      </c>
      <c r="V600">
        <v>3</v>
      </c>
      <c r="W600">
        <v>4</v>
      </c>
      <c r="X600">
        <v>0</v>
      </c>
      <c r="Y600">
        <v>5</v>
      </c>
      <c r="Z600">
        <v>3</v>
      </c>
      <c r="AA600">
        <v>2</v>
      </c>
      <c r="AB600">
        <v>2</v>
      </c>
      <c r="AC600">
        <v>2</v>
      </c>
      <c r="AD600">
        <v>2</v>
      </c>
      <c r="AE600">
        <v>1</v>
      </c>
      <c r="AF600">
        <v>1</v>
      </c>
      <c r="AG600">
        <f>IF(tbl_HR_Data[[#This Row],[Gender]]="Male",1,0)</f>
        <v>1</v>
      </c>
      <c r="AH600" cm="1">
        <f t="array" ref="AH600">_xlfn.SWITCH(tbl_HR_Data[[#This Row],[BusinessTravel]], "Non-Travel", 0, "Travel_Rarely", 1, "Travel_Frequently", 2)</f>
        <v>1</v>
      </c>
      <c r="AI600" cm="1">
        <f t="array" ref="AI600">_xlfn.SWITCH(tbl_HR_Data[[#This Row],[MaritalStatus]],"Single",0,"Married",1,"Divorced",2)</f>
        <v>0</v>
      </c>
      <c r="AJ600">
        <f>IF(tbl_HR_Data[[#This Row],[OverTime]]=1,1,0)</f>
        <v>0</v>
      </c>
      <c r="AK600">
        <f>IF(tbl_HR_Data[[#This Row],[DistanceFromHome]]&gt;15,1,0)</f>
        <v>0</v>
      </c>
      <c r="AL600">
        <f>IF(tbl_HR_Data[[#This Row],[JobSatisfaction]]&lt;=2,1,0)</f>
        <v>0</v>
      </c>
      <c r="AM600">
        <f>IF(tbl_HR_Data[[#This Row],[MonthlyIncome]]&lt;$AT$2,1,0)</f>
        <v>1</v>
      </c>
      <c r="AN600">
        <f>IF(tbl_HR_Data[[#This Row],[Travel_Code]]=2,1,0)</f>
        <v>0</v>
      </c>
      <c r="AO600">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600" s="15">
        <f>tbl_HR_Data[[#This Row],[Risk_Score_Raw]] / SUM(Logic_Parameters!$B$2:$B$6)</f>
        <v>0.22374939857982484</v>
      </c>
      <c r="AQ600" s="16" t="str" cm="1">
        <f t="array" ref="AQ600">_xlfn.IFS(tbl_HR_Data[[#This Row],[Attrition_Risk_Percentage]] &gt;= 0.75, "Critical",tbl_HR_Data[ [#This Row],[Attrition_Risk_Percentage] ]&gt;= 0.5, "High",tbl_HR_Data[[#This Row],[Attrition_Risk_Percentage]] &gt;= 0.25, "Medium",TRUE, "Low")</f>
        <v>Low</v>
      </c>
      <c r="AR600" s="16" cm="1">
        <f t="array" ref="AR600">IFERROR(_xlfn.IFS(tbl_HR_Data[[#This Row],[Risk_Category]]="Critical",tbl_HR_Data[[#This Row],[MonthlyIncome]]*1.5,tbl_HR_Data[[#This Row],[Risk_Category]]="High",tbl_HR_Data[[#This Row],[MonthlyIncome]]*1.5),0)</f>
        <v>0</v>
      </c>
    </row>
    <row r="601" spans="1:44" x14ac:dyDescent="0.35">
      <c r="A601" t="s">
        <v>1169</v>
      </c>
      <c r="B601">
        <v>36</v>
      </c>
      <c r="C601" t="s">
        <v>31</v>
      </c>
      <c r="D601">
        <v>1041</v>
      </c>
      <c r="E601" t="s">
        <v>53</v>
      </c>
      <c r="F601">
        <v>13</v>
      </c>
      <c r="G601">
        <v>3</v>
      </c>
      <c r="H601" t="s">
        <v>53</v>
      </c>
      <c r="I601">
        <v>3</v>
      </c>
      <c r="J601" t="s">
        <v>39</v>
      </c>
      <c r="K601">
        <v>36</v>
      </c>
      <c r="L601">
        <v>3</v>
      </c>
      <c r="M601">
        <v>1</v>
      </c>
      <c r="N601" t="s">
        <v>53</v>
      </c>
      <c r="O601">
        <v>2</v>
      </c>
      <c r="P601" t="s">
        <v>41</v>
      </c>
      <c r="Q601">
        <v>2143</v>
      </c>
      <c r="R601">
        <v>25527</v>
      </c>
      <c r="S601">
        <v>4</v>
      </c>
      <c r="T601">
        <v>0</v>
      </c>
      <c r="U601" s="17">
        <v>0.13</v>
      </c>
      <c r="V601">
        <v>3</v>
      </c>
      <c r="W601">
        <v>2</v>
      </c>
      <c r="X601">
        <v>1</v>
      </c>
      <c r="Y601">
        <v>8</v>
      </c>
      <c r="Z601">
        <v>2</v>
      </c>
      <c r="AA601">
        <v>3</v>
      </c>
      <c r="AB601">
        <v>5</v>
      </c>
      <c r="AC601">
        <v>2</v>
      </c>
      <c r="AD601">
        <v>0</v>
      </c>
      <c r="AE601">
        <v>4</v>
      </c>
      <c r="AF601">
        <v>0</v>
      </c>
      <c r="AG601">
        <f>IF(tbl_HR_Data[[#This Row],[Gender]]="Male",1,0)</f>
        <v>1</v>
      </c>
      <c r="AH601" cm="1">
        <f t="array" ref="AH601">_xlfn.SWITCH(tbl_HR_Data[[#This Row],[BusinessTravel]], "Non-Travel", 0, "Travel_Rarely", 1, "Travel_Frequently", 2)</f>
        <v>1</v>
      </c>
      <c r="AI601" cm="1">
        <f t="array" ref="AI601">_xlfn.SWITCH(tbl_HR_Data[[#This Row],[MaritalStatus]],"Single",0,"Married",1,"Divorced",2)</f>
        <v>1</v>
      </c>
      <c r="AJ601">
        <f>IF(tbl_HR_Data[[#This Row],[OverTime]]=1,1,0)</f>
        <v>0</v>
      </c>
      <c r="AK601">
        <f>IF(tbl_HR_Data[[#This Row],[DistanceFromHome]]&gt;15,1,0)</f>
        <v>0</v>
      </c>
      <c r="AL601">
        <f>IF(tbl_HR_Data[[#This Row],[JobSatisfaction]]&lt;=2,1,0)</f>
        <v>1</v>
      </c>
      <c r="AM601">
        <f>IF(tbl_HR_Data[[#This Row],[MonthlyIncome]]&lt;$AT$2,1,0)</f>
        <v>1</v>
      </c>
      <c r="AN601">
        <f>IF(tbl_HR_Data[[#This Row],[Travel_Code]]=2,1,0)</f>
        <v>0</v>
      </c>
      <c r="AO601">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601" s="15">
        <f>tbl_HR_Data[[#This Row],[Risk_Score_Raw]] / SUM(Logic_Parameters!$B$2:$B$6)</f>
        <v>0.3686061316669938</v>
      </c>
      <c r="AQ601" s="16" t="str" cm="1">
        <f t="array" ref="AQ601">_xlfn.IFS(tbl_HR_Data[[#This Row],[Attrition_Risk_Percentage]] &gt;= 0.75, "Critical",tbl_HR_Data[ [#This Row],[Attrition_Risk_Percentage] ]&gt;= 0.5, "High",tbl_HR_Data[[#This Row],[Attrition_Risk_Percentage]] &gt;= 0.25, "Medium",TRUE, "Low")</f>
        <v>Medium</v>
      </c>
      <c r="AR601" s="16" cm="1">
        <f t="array" ref="AR601">IFERROR(_xlfn.IFS(tbl_HR_Data[[#This Row],[Risk_Category]]="Critical",tbl_HR_Data[[#This Row],[MonthlyIncome]]*1.5,tbl_HR_Data[[#This Row],[Risk_Category]]="High",tbl_HR_Data[[#This Row],[MonthlyIncome]]*1.5),0)</f>
        <v>0</v>
      </c>
    </row>
    <row r="602" spans="1:44" x14ac:dyDescent="0.35">
      <c r="A602" t="s">
        <v>967</v>
      </c>
      <c r="B602">
        <v>32</v>
      </c>
      <c r="C602" t="s">
        <v>31</v>
      </c>
      <c r="D602">
        <v>859</v>
      </c>
      <c r="E602" t="s">
        <v>38</v>
      </c>
      <c r="F602">
        <v>4</v>
      </c>
      <c r="G602">
        <v>3</v>
      </c>
      <c r="H602" t="s">
        <v>33</v>
      </c>
      <c r="I602">
        <v>3</v>
      </c>
      <c r="J602" t="s">
        <v>34</v>
      </c>
      <c r="K602">
        <v>98</v>
      </c>
      <c r="L602">
        <v>2</v>
      </c>
      <c r="M602">
        <v>2</v>
      </c>
      <c r="N602" t="s">
        <v>46</v>
      </c>
      <c r="O602">
        <v>3</v>
      </c>
      <c r="P602" t="s">
        <v>41</v>
      </c>
      <c r="Q602">
        <v>6162</v>
      </c>
      <c r="R602">
        <v>19124</v>
      </c>
      <c r="S602">
        <v>1</v>
      </c>
      <c r="T602">
        <v>0</v>
      </c>
      <c r="U602" s="17">
        <v>0.12</v>
      </c>
      <c r="V602">
        <v>3</v>
      </c>
      <c r="W602">
        <v>3</v>
      </c>
      <c r="X602">
        <v>1</v>
      </c>
      <c r="Y602">
        <v>14</v>
      </c>
      <c r="Z602">
        <v>3</v>
      </c>
      <c r="AA602">
        <v>3</v>
      </c>
      <c r="AB602">
        <v>14</v>
      </c>
      <c r="AC602">
        <v>13</v>
      </c>
      <c r="AD602">
        <v>6</v>
      </c>
      <c r="AE602">
        <v>8</v>
      </c>
      <c r="AF602">
        <v>0</v>
      </c>
      <c r="AG602">
        <f>IF(tbl_HR_Data[[#This Row],[Gender]]="Male",1,0)</f>
        <v>0</v>
      </c>
      <c r="AH602" cm="1">
        <f t="array" ref="AH602">_xlfn.SWITCH(tbl_HR_Data[[#This Row],[BusinessTravel]], "Non-Travel", 0, "Travel_Rarely", 1, "Travel_Frequently", 2)</f>
        <v>1</v>
      </c>
      <c r="AI602" cm="1">
        <f t="array" ref="AI602">_xlfn.SWITCH(tbl_HR_Data[[#This Row],[MaritalStatus]],"Single",0,"Married",1,"Divorced",2)</f>
        <v>1</v>
      </c>
      <c r="AJ602">
        <f>IF(tbl_HR_Data[[#This Row],[OverTime]]=1,1,0)</f>
        <v>0</v>
      </c>
      <c r="AK602">
        <f>IF(tbl_HR_Data[[#This Row],[DistanceFromHome]]&gt;15,1,0)</f>
        <v>0</v>
      </c>
      <c r="AL602">
        <f>IF(tbl_HR_Data[[#This Row],[JobSatisfaction]]&lt;=2,1,0)</f>
        <v>0</v>
      </c>
      <c r="AM602">
        <f>IF(tbl_HR_Data[[#This Row],[MonthlyIncome]]&lt;$AT$2,1,0)</f>
        <v>0</v>
      </c>
      <c r="AN602">
        <f>IF(tbl_HR_Data[[#This Row],[Travel_Code]]=2,1,0)</f>
        <v>0</v>
      </c>
      <c r="AO602">
        <f>(tbl_HR_Data[[#This Row],[Flag_OT]] * Logic_Parameters!$B$2) +
 (tbl_HR_Data[[#This Row],[Flag_Travel]] * Logic_Parameters!$B$3) +
 (tbl_HR_Data[[#This Row],[Flag_Satisfaction]] * Logic_Parameters!$B$4) +
 (tbl_HR_Data[[#This Row],[Flag_Distance]]* Logic_Parameters!$B$5) +
 (tbl_HR_Data[[#This Row],[Flag_Income]] * Logic_Parameters!$B$6)</f>
        <v>0</v>
      </c>
      <c r="AP602" s="15">
        <f>tbl_HR_Data[[#This Row],[Risk_Score_Raw]] / SUM(Logic_Parameters!$B$2:$B$6)</f>
        <v>0</v>
      </c>
      <c r="AQ602" s="16" t="str" cm="1">
        <f t="array" ref="AQ602">_xlfn.IFS(tbl_HR_Data[[#This Row],[Attrition_Risk_Percentage]] &gt;= 0.75, "Critical",tbl_HR_Data[ [#This Row],[Attrition_Risk_Percentage] ]&gt;= 0.5, "High",tbl_HR_Data[[#This Row],[Attrition_Risk_Percentage]] &gt;= 0.25, "Medium",TRUE, "Low")</f>
        <v>Low</v>
      </c>
      <c r="AR602" s="16" cm="1">
        <f t="array" ref="AR602">IFERROR(_xlfn.IFS(tbl_HR_Data[[#This Row],[Risk_Category]]="Critical",tbl_HR_Data[[#This Row],[MonthlyIncome]]*1.5,tbl_HR_Data[[#This Row],[Risk_Category]]="High",tbl_HR_Data[[#This Row],[MonthlyIncome]]*1.5),0)</f>
        <v>0</v>
      </c>
    </row>
    <row r="603" spans="1:44" x14ac:dyDescent="0.35">
      <c r="A603" t="s">
        <v>906</v>
      </c>
      <c r="B603">
        <v>40</v>
      </c>
      <c r="C603" t="s">
        <v>37</v>
      </c>
      <c r="D603">
        <v>720</v>
      </c>
      <c r="E603" t="s">
        <v>38</v>
      </c>
      <c r="F603">
        <v>16</v>
      </c>
      <c r="G603">
        <v>4</v>
      </c>
      <c r="H603" t="s">
        <v>44</v>
      </c>
      <c r="I603">
        <v>1</v>
      </c>
      <c r="J603" t="s">
        <v>39</v>
      </c>
      <c r="K603">
        <v>51</v>
      </c>
      <c r="L603">
        <v>2</v>
      </c>
      <c r="M603">
        <v>2</v>
      </c>
      <c r="N603" t="s">
        <v>43</v>
      </c>
      <c r="O603">
        <v>3</v>
      </c>
      <c r="P603" t="s">
        <v>36</v>
      </c>
      <c r="Q603">
        <v>5094</v>
      </c>
      <c r="R603">
        <v>11983</v>
      </c>
      <c r="S603">
        <v>6</v>
      </c>
      <c r="T603">
        <v>0</v>
      </c>
      <c r="U603" s="17">
        <v>0.14000000000000001</v>
      </c>
      <c r="V603">
        <v>3</v>
      </c>
      <c r="W603">
        <v>4</v>
      </c>
      <c r="X603">
        <v>0</v>
      </c>
      <c r="Y603">
        <v>10</v>
      </c>
      <c r="Z603">
        <v>6</v>
      </c>
      <c r="AA603">
        <v>3</v>
      </c>
      <c r="AB603">
        <v>1</v>
      </c>
      <c r="AC603">
        <v>0</v>
      </c>
      <c r="AD603">
        <v>0</v>
      </c>
      <c r="AE603">
        <v>0</v>
      </c>
      <c r="AF603">
        <v>0</v>
      </c>
      <c r="AG603">
        <f>IF(tbl_HR_Data[[#This Row],[Gender]]="Male",1,0)</f>
        <v>1</v>
      </c>
      <c r="AH603" cm="1">
        <f t="array" ref="AH603">_xlfn.SWITCH(tbl_HR_Data[[#This Row],[BusinessTravel]], "Non-Travel", 0, "Travel_Rarely", 1, "Travel_Frequently", 2)</f>
        <v>2</v>
      </c>
      <c r="AI603" cm="1">
        <f t="array" ref="AI603">_xlfn.SWITCH(tbl_HR_Data[[#This Row],[MaritalStatus]],"Single",0,"Married",1,"Divorced",2)</f>
        <v>0</v>
      </c>
      <c r="AJ603">
        <f>IF(tbl_HR_Data[[#This Row],[OverTime]]=1,1,0)</f>
        <v>0</v>
      </c>
      <c r="AK603">
        <f>IF(tbl_HR_Data[[#This Row],[DistanceFromHome]]&gt;15,1,0)</f>
        <v>1</v>
      </c>
      <c r="AL603">
        <f>IF(tbl_HR_Data[[#This Row],[JobSatisfaction]]&lt;=2,1,0)</f>
        <v>0</v>
      </c>
      <c r="AM603">
        <f>IF(tbl_HR_Data[[#This Row],[MonthlyIncome]]&lt;$AT$2,1,0)</f>
        <v>0</v>
      </c>
      <c r="AN603">
        <f>IF(tbl_HR_Data[[#This Row],[Travel_Code]]=2,1,0)</f>
        <v>1</v>
      </c>
      <c r="AO603">
        <f>(tbl_HR_Data[[#This Row],[Flag_OT]] * Logic_Parameters!$B$2) +
 (tbl_HR_Data[[#This Row],[Flag_Travel]] * Logic_Parameters!$B$3) +
 (tbl_HR_Data[[#This Row],[Flag_Satisfaction]] * Logic_Parameters!$B$4) +
 (tbl_HR_Data[[#This Row],[Flag_Distance]]* Logic_Parameters!$B$5) +
 (tbl_HR_Data[[#This Row],[Flag_Income]] * Logic_Parameters!$B$6)</f>
        <v>8.3264966763655544</v>
      </c>
      <c r="AP603" s="15">
        <f>tbl_HR_Data[[#This Row],[Risk_Score_Raw]] / SUM(Logic_Parameters!$B$2:$B$6)</f>
        <v>0.28686873650719891</v>
      </c>
      <c r="AQ603" s="16" t="str" cm="1">
        <f t="array" ref="AQ603">_xlfn.IFS(tbl_HR_Data[[#This Row],[Attrition_Risk_Percentage]] &gt;= 0.75, "Critical",tbl_HR_Data[ [#This Row],[Attrition_Risk_Percentage] ]&gt;= 0.5, "High",tbl_HR_Data[[#This Row],[Attrition_Risk_Percentage]] &gt;= 0.25, "Medium",TRUE, "Low")</f>
        <v>Medium</v>
      </c>
      <c r="AR603" s="16" cm="1">
        <f t="array" ref="AR603">IFERROR(_xlfn.IFS(tbl_HR_Data[[#This Row],[Risk_Category]]="Critical",tbl_HR_Data[[#This Row],[MonthlyIncome]]*1.5,tbl_HR_Data[[#This Row],[Risk_Category]]="High",tbl_HR_Data[[#This Row],[MonthlyIncome]]*1.5),0)</f>
        <v>0</v>
      </c>
    </row>
    <row r="604" spans="1:44" x14ac:dyDescent="0.35">
      <c r="A604" t="s">
        <v>1231</v>
      </c>
      <c r="B604">
        <v>30</v>
      </c>
      <c r="C604" t="s">
        <v>31</v>
      </c>
      <c r="D604">
        <v>946</v>
      </c>
      <c r="E604" t="s">
        <v>38</v>
      </c>
      <c r="F604">
        <v>2</v>
      </c>
      <c r="G604">
        <v>3</v>
      </c>
      <c r="H604" t="s">
        <v>44</v>
      </c>
      <c r="I604">
        <v>3</v>
      </c>
      <c r="J604" t="s">
        <v>34</v>
      </c>
      <c r="K604">
        <v>52</v>
      </c>
      <c r="L604">
        <v>2</v>
      </c>
      <c r="M604">
        <v>2</v>
      </c>
      <c r="N604" t="s">
        <v>46</v>
      </c>
      <c r="O604">
        <v>4</v>
      </c>
      <c r="P604" t="s">
        <v>36</v>
      </c>
      <c r="Q604">
        <v>6877</v>
      </c>
      <c r="R604">
        <v>20234</v>
      </c>
      <c r="S604">
        <v>5</v>
      </c>
      <c r="T604">
        <v>1</v>
      </c>
      <c r="U604" s="17">
        <v>0.24</v>
      </c>
      <c r="V604">
        <v>4</v>
      </c>
      <c r="W604">
        <v>2</v>
      </c>
      <c r="X604">
        <v>0</v>
      </c>
      <c r="Y604">
        <v>12</v>
      </c>
      <c r="Z604">
        <v>4</v>
      </c>
      <c r="AA604">
        <v>2</v>
      </c>
      <c r="AB604">
        <v>0</v>
      </c>
      <c r="AC604">
        <v>0</v>
      </c>
      <c r="AD604">
        <v>0</v>
      </c>
      <c r="AE604">
        <v>0</v>
      </c>
      <c r="AF604">
        <v>0</v>
      </c>
      <c r="AG604">
        <f>IF(tbl_HR_Data[[#This Row],[Gender]]="Male",1,0)</f>
        <v>0</v>
      </c>
      <c r="AH604" cm="1">
        <f t="array" ref="AH604">_xlfn.SWITCH(tbl_HR_Data[[#This Row],[BusinessTravel]], "Non-Travel", 0, "Travel_Rarely", 1, "Travel_Frequently", 2)</f>
        <v>1</v>
      </c>
      <c r="AI604" cm="1">
        <f t="array" ref="AI604">_xlfn.SWITCH(tbl_HR_Data[[#This Row],[MaritalStatus]],"Single",0,"Married",1,"Divorced",2)</f>
        <v>0</v>
      </c>
      <c r="AJ604">
        <f>IF(tbl_HR_Data[[#This Row],[OverTime]]=1,1,0)</f>
        <v>1</v>
      </c>
      <c r="AK604">
        <f>IF(tbl_HR_Data[[#This Row],[DistanceFromHome]]&gt;15,1,0)</f>
        <v>0</v>
      </c>
      <c r="AL604">
        <f>IF(tbl_HR_Data[[#This Row],[JobSatisfaction]]&lt;=2,1,0)</f>
        <v>0</v>
      </c>
      <c r="AM604">
        <f>IF(tbl_HR_Data[[#This Row],[MonthlyIncome]]&lt;$AT$2,1,0)</f>
        <v>0</v>
      </c>
      <c r="AN604">
        <f>IF(tbl_HR_Data[[#This Row],[Travel_Code]]=2,1,0)</f>
        <v>0</v>
      </c>
      <c r="AO604">
        <f>(tbl_HR_Data[[#This Row],[Flag_OT]] * Logic_Parameters!$B$2) +
 (tbl_HR_Data[[#This Row],[Flag_Travel]] * Logic_Parameters!$B$3) +
 (tbl_HR_Data[[#This Row],[Flag_Satisfaction]] * Logic_Parameters!$B$4) +
 (tbl_HR_Data[[#This Row],[Flag_Distance]]* Logic_Parameters!$B$5) +
 (tbl_HR_Data[[#This Row],[Flag_Income]] * Logic_Parameters!$B$6)</f>
        <v>10</v>
      </c>
      <c r="AP604" s="15">
        <f>tbl_HR_Data[[#This Row],[Risk_Score_Raw]] / SUM(Logic_Parameters!$B$2:$B$6)</f>
        <v>0.3445251318258073</v>
      </c>
      <c r="AQ604" s="16" t="str" cm="1">
        <f t="array" ref="AQ604">_xlfn.IFS(tbl_HR_Data[[#This Row],[Attrition_Risk_Percentage]] &gt;= 0.75, "Critical",tbl_HR_Data[ [#This Row],[Attrition_Risk_Percentage] ]&gt;= 0.5, "High",tbl_HR_Data[[#This Row],[Attrition_Risk_Percentage]] &gt;= 0.25, "Medium",TRUE, "Low")</f>
        <v>Medium</v>
      </c>
      <c r="AR604" s="16" cm="1">
        <f t="array" ref="AR604">IFERROR(_xlfn.IFS(tbl_HR_Data[[#This Row],[Risk_Category]]="Critical",tbl_HR_Data[[#This Row],[MonthlyIncome]]*1.5,tbl_HR_Data[[#This Row],[Risk_Category]]="High",tbl_HR_Data[[#This Row],[MonthlyIncome]]*1.5),0)</f>
        <v>0</v>
      </c>
    </row>
    <row r="605" spans="1:44" x14ac:dyDescent="0.35">
      <c r="A605" t="s">
        <v>293</v>
      </c>
      <c r="B605">
        <v>45</v>
      </c>
      <c r="C605" t="s">
        <v>31</v>
      </c>
      <c r="D605">
        <v>252</v>
      </c>
      <c r="E605" t="s">
        <v>38</v>
      </c>
      <c r="F605">
        <v>2</v>
      </c>
      <c r="G605">
        <v>3</v>
      </c>
      <c r="H605" t="s">
        <v>33</v>
      </c>
      <c r="I605">
        <v>2</v>
      </c>
      <c r="J605" t="s">
        <v>34</v>
      </c>
      <c r="K605">
        <v>95</v>
      </c>
      <c r="L605">
        <v>2</v>
      </c>
      <c r="M605">
        <v>1</v>
      </c>
      <c r="N605" t="s">
        <v>40</v>
      </c>
      <c r="O605">
        <v>3</v>
      </c>
      <c r="P605" t="s">
        <v>36</v>
      </c>
      <c r="Q605">
        <v>2274</v>
      </c>
      <c r="R605">
        <v>6153</v>
      </c>
      <c r="S605">
        <v>1</v>
      </c>
      <c r="T605">
        <v>0</v>
      </c>
      <c r="U605" s="17">
        <v>0.14000000000000001</v>
      </c>
      <c r="V605">
        <v>3</v>
      </c>
      <c r="W605">
        <v>4</v>
      </c>
      <c r="X605">
        <v>0</v>
      </c>
      <c r="Y605">
        <v>1</v>
      </c>
      <c r="Z605">
        <v>3</v>
      </c>
      <c r="AA605">
        <v>3</v>
      </c>
      <c r="AB605">
        <v>1</v>
      </c>
      <c r="AC605">
        <v>0</v>
      </c>
      <c r="AD605">
        <v>0</v>
      </c>
      <c r="AE605">
        <v>0</v>
      </c>
      <c r="AF605">
        <v>0</v>
      </c>
      <c r="AG605">
        <f>IF(tbl_HR_Data[[#This Row],[Gender]]="Male",1,0)</f>
        <v>0</v>
      </c>
      <c r="AH605" cm="1">
        <f t="array" ref="AH605">_xlfn.SWITCH(tbl_HR_Data[[#This Row],[BusinessTravel]], "Non-Travel", 0, "Travel_Rarely", 1, "Travel_Frequently", 2)</f>
        <v>1</v>
      </c>
      <c r="AI605" cm="1">
        <f t="array" ref="AI605">_xlfn.SWITCH(tbl_HR_Data[[#This Row],[MaritalStatus]],"Single",0,"Married",1,"Divorced",2)</f>
        <v>0</v>
      </c>
      <c r="AJ605">
        <f>IF(tbl_HR_Data[[#This Row],[OverTime]]=1,1,0)</f>
        <v>0</v>
      </c>
      <c r="AK605">
        <f>IF(tbl_HR_Data[[#This Row],[DistanceFromHome]]&gt;15,1,0)</f>
        <v>0</v>
      </c>
      <c r="AL605">
        <f>IF(tbl_HR_Data[[#This Row],[JobSatisfaction]]&lt;=2,1,0)</f>
        <v>0</v>
      </c>
      <c r="AM605">
        <f>IF(tbl_HR_Data[[#This Row],[MonthlyIncome]]&lt;$AT$2,1,0)</f>
        <v>1</v>
      </c>
      <c r="AN605">
        <f>IF(tbl_HR_Data[[#This Row],[Travel_Code]]=2,1,0)</f>
        <v>0</v>
      </c>
      <c r="AO605">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605" s="15">
        <f>tbl_HR_Data[[#This Row],[Risk_Score_Raw]] / SUM(Logic_Parameters!$B$2:$B$6)</f>
        <v>0.22374939857982484</v>
      </c>
      <c r="AQ605" s="16" t="str" cm="1">
        <f t="array" ref="AQ605">_xlfn.IFS(tbl_HR_Data[[#This Row],[Attrition_Risk_Percentage]] &gt;= 0.75, "Critical",tbl_HR_Data[ [#This Row],[Attrition_Risk_Percentage] ]&gt;= 0.5, "High",tbl_HR_Data[[#This Row],[Attrition_Risk_Percentage]] &gt;= 0.25, "Medium",TRUE, "Low")</f>
        <v>Low</v>
      </c>
      <c r="AR605" s="16" cm="1">
        <f t="array" ref="AR605">IFERROR(_xlfn.IFS(tbl_HR_Data[[#This Row],[Risk_Category]]="Critical",tbl_HR_Data[[#This Row],[MonthlyIncome]]*1.5,tbl_HR_Data[[#This Row],[Risk_Category]]="High",tbl_HR_Data[[#This Row],[MonthlyIncome]]*1.5),0)</f>
        <v>0</v>
      </c>
    </row>
    <row r="606" spans="1:44" x14ac:dyDescent="0.35">
      <c r="A606" t="s">
        <v>483</v>
      </c>
      <c r="B606">
        <v>42</v>
      </c>
      <c r="C606" t="s">
        <v>31</v>
      </c>
      <c r="D606">
        <v>933</v>
      </c>
      <c r="E606" t="s">
        <v>38</v>
      </c>
      <c r="F606">
        <v>29</v>
      </c>
      <c r="G606">
        <v>3</v>
      </c>
      <c r="H606" t="s">
        <v>33</v>
      </c>
      <c r="I606">
        <v>2</v>
      </c>
      <c r="J606" t="s">
        <v>39</v>
      </c>
      <c r="K606">
        <v>98</v>
      </c>
      <c r="L606">
        <v>3</v>
      </c>
      <c r="M606">
        <v>2</v>
      </c>
      <c r="N606" t="s">
        <v>46</v>
      </c>
      <c r="O606">
        <v>2</v>
      </c>
      <c r="P606" t="s">
        <v>41</v>
      </c>
      <c r="Q606">
        <v>4434</v>
      </c>
      <c r="R606">
        <v>11806</v>
      </c>
      <c r="S606">
        <v>1</v>
      </c>
      <c r="T606">
        <v>0</v>
      </c>
      <c r="U606" s="17">
        <v>0.13</v>
      </c>
      <c r="V606">
        <v>3</v>
      </c>
      <c r="W606">
        <v>4</v>
      </c>
      <c r="X606">
        <v>1</v>
      </c>
      <c r="Y606">
        <v>10</v>
      </c>
      <c r="Z606">
        <v>3</v>
      </c>
      <c r="AA606">
        <v>2</v>
      </c>
      <c r="AB606">
        <v>9</v>
      </c>
      <c r="AC606">
        <v>8</v>
      </c>
      <c r="AD606">
        <v>7</v>
      </c>
      <c r="AE606">
        <v>8</v>
      </c>
      <c r="AF606">
        <v>0</v>
      </c>
      <c r="AG606">
        <f>IF(tbl_HR_Data[[#This Row],[Gender]]="Male",1,0)</f>
        <v>1</v>
      </c>
      <c r="AH606" cm="1">
        <f t="array" ref="AH606">_xlfn.SWITCH(tbl_HR_Data[[#This Row],[BusinessTravel]], "Non-Travel", 0, "Travel_Rarely", 1, "Travel_Frequently", 2)</f>
        <v>1</v>
      </c>
      <c r="AI606" cm="1">
        <f t="array" ref="AI606">_xlfn.SWITCH(tbl_HR_Data[[#This Row],[MaritalStatus]],"Single",0,"Married",1,"Divorced",2)</f>
        <v>1</v>
      </c>
      <c r="AJ606">
        <f>IF(tbl_HR_Data[[#This Row],[OverTime]]=1,1,0)</f>
        <v>0</v>
      </c>
      <c r="AK606">
        <f>IF(tbl_HR_Data[[#This Row],[DistanceFromHome]]&gt;15,1,0)</f>
        <v>1</v>
      </c>
      <c r="AL606">
        <f>IF(tbl_HR_Data[[#This Row],[JobSatisfaction]]&lt;=2,1,0)</f>
        <v>1</v>
      </c>
      <c r="AM606">
        <f>IF(tbl_HR_Data[[#This Row],[MonthlyIncome]]&lt;$AT$2,1,0)</f>
        <v>1</v>
      </c>
      <c r="AN606">
        <f>IF(tbl_HR_Data[[#This Row],[Travel_Code]]=2,1,0)</f>
        <v>0</v>
      </c>
      <c r="AO606">
        <f>(tbl_HR_Data[[#This Row],[Flag_OT]] * Logic_Parameters!$B$2) +
 (tbl_HR_Data[[#This Row],[Flag_Travel]] * Logic_Parameters!$B$3) +
 (tbl_HR_Data[[#This Row],[Flag_Satisfaction]] * Logic_Parameters!$B$4) +
 (tbl_HR_Data[[#This Row],[Flag_Distance]]* Logic_Parameters!$B$5) +
 (tbl_HR_Data[[#This Row],[Flag_Income]] * Logic_Parameters!$B$6)</f>
        <v>13.865068763274337</v>
      </c>
      <c r="AP606" s="15">
        <f>tbl_HR_Data[[#This Row],[Risk_Score_Raw]] / SUM(Logic_Parameters!$B$2:$B$6)</f>
        <v>0.47768646434409739</v>
      </c>
      <c r="AQ606" s="16" t="str" cm="1">
        <f t="array" ref="AQ606">_xlfn.IFS(tbl_HR_Data[[#This Row],[Attrition_Risk_Percentage]] &gt;= 0.75, "Critical",tbl_HR_Data[ [#This Row],[Attrition_Risk_Percentage] ]&gt;= 0.5, "High",tbl_HR_Data[[#This Row],[Attrition_Risk_Percentage]] &gt;= 0.25, "Medium",TRUE, "Low")</f>
        <v>Medium</v>
      </c>
      <c r="AR606" s="16" cm="1">
        <f t="array" ref="AR606">IFERROR(_xlfn.IFS(tbl_HR_Data[[#This Row],[Risk_Category]]="Critical",tbl_HR_Data[[#This Row],[MonthlyIncome]]*1.5,tbl_HR_Data[[#This Row],[Risk_Category]]="High",tbl_HR_Data[[#This Row],[MonthlyIncome]]*1.5),0)</f>
        <v>0</v>
      </c>
    </row>
    <row r="607" spans="1:44" x14ac:dyDescent="0.35">
      <c r="A607" t="s">
        <v>1210</v>
      </c>
      <c r="B607">
        <v>38</v>
      </c>
      <c r="C607" t="s">
        <v>37</v>
      </c>
      <c r="D607">
        <v>471</v>
      </c>
      <c r="E607" t="s">
        <v>38</v>
      </c>
      <c r="F607">
        <v>12</v>
      </c>
      <c r="G607">
        <v>3</v>
      </c>
      <c r="H607" t="s">
        <v>33</v>
      </c>
      <c r="I607">
        <v>1</v>
      </c>
      <c r="J607" t="s">
        <v>39</v>
      </c>
      <c r="K607">
        <v>45</v>
      </c>
      <c r="L607">
        <v>2</v>
      </c>
      <c r="M607">
        <v>2</v>
      </c>
      <c r="N607" t="s">
        <v>47</v>
      </c>
      <c r="O607">
        <v>1</v>
      </c>
      <c r="P607" t="s">
        <v>45</v>
      </c>
      <c r="Q607">
        <v>6288</v>
      </c>
      <c r="R607">
        <v>4284</v>
      </c>
      <c r="S607">
        <v>2</v>
      </c>
      <c r="T607">
        <v>0</v>
      </c>
      <c r="U607" s="17">
        <v>0.15</v>
      </c>
      <c r="V607">
        <v>3</v>
      </c>
      <c r="W607">
        <v>3</v>
      </c>
      <c r="X607">
        <v>1</v>
      </c>
      <c r="Y607">
        <v>13</v>
      </c>
      <c r="Z607">
        <v>3</v>
      </c>
      <c r="AA607">
        <v>2</v>
      </c>
      <c r="AB607">
        <v>4</v>
      </c>
      <c r="AC607">
        <v>3</v>
      </c>
      <c r="AD607">
        <v>1</v>
      </c>
      <c r="AE607">
        <v>2</v>
      </c>
      <c r="AF607">
        <v>0</v>
      </c>
      <c r="AG607">
        <f>IF(tbl_HR_Data[[#This Row],[Gender]]="Male",1,0)</f>
        <v>1</v>
      </c>
      <c r="AH607" cm="1">
        <f t="array" ref="AH607">_xlfn.SWITCH(tbl_HR_Data[[#This Row],[BusinessTravel]], "Non-Travel", 0, "Travel_Rarely", 1, "Travel_Frequently", 2)</f>
        <v>2</v>
      </c>
      <c r="AI607" cm="1">
        <f t="array" ref="AI607">_xlfn.SWITCH(tbl_HR_Data[[#This Row],[MaritalStatus]],"Single",0,"Married",1,"Divorced",2)</f>
        <v>2</v>
      </c>
      <c r="AJ607">
        <f>IF(tbl_HR_Data[[#This Row],[OverTime]]=1,1,0)</f>
        <v>0</v>
      </c>
      <c r="AK607">
        <f>IF(tbl_HR_Data[[#This Row],[DistanceFromHome]]&gt;15,1,0)</f>
        <v>0</v>
      </c>
      <c r="AL607">
        <f>IF(tbl_HR_Data[[#This Row],[JobSatisfaction]]&lt;=2,1,0)</f>
        <v>1</v>
      </c>
      <c r="AM607">
        <f>IF(tbl_HR_Data[[#This Row],[MonthlyIncome]]&lt;$AT$2,1,0)</f>
        <v>0</v>
      </c>
      <c r="AN607">
        <f>IF(tbl_HR_Data[[#This Row],[Travel_Code]]=2,1,0)</f>
        <v>1</v>
      </c>
      <c r="AO607">
        <f>(tbl_HR_Data[[#This Row],[Flag_OT]] * Logic_Parameters!$B$2) +
 (tbl_HR_Data[[#This Row],[Flag_Travel]] * Logic_Parameters!$B$3) +
 (tbl_HR_Data[[#This Row],[Flag_Satisfaction]] * Logic_Parameters!$B$4) +
 (tbl_HR_Data[[#This Row],[Flag_Distance]]* Logic_Parameters!$B$5) +
 (tbl_HR_Data[[#This Row],[Flag_Income]] * Logic_Parameters!$B$6)</f>
        <v>9.3649231104683075</v>
      </c>
      <c r="AP607" s="15">
        <f>tbl_HR_Data[[#This Row],[Risk_Score_Raw]] / SUM(Logic_Parameters!$B$2:$B$6)</f>
        <v>0.32264513691726432</v>
      </c>
      <c r="AQ607" s="16" t="str" cm="1">
        <f t="array" ref="AQ607">_xlfn.IFS(tbl_HR_Data[[#This Row],[Attrition_Risk_Percentage]] &gt;= 0.75, "Critical",tbl_HR_Data[ [#This Row],[Attrition_Risk_Percentage] ]&gt;= 0.5, "High",tbl_HR_Data[[#This Row],[Attrition_Risk_Percentage]] &gt;= 0.25, "Medium",TRUE, "Low")</f>
        <v>Medium</v>
      </c>
      <c r="AR607" s="16" cm="1">
        <f t="array" ref="AR607">IFERROR(_xlfn.IFS(tbl_HR_Data[[#This Row],[Risk_Category]]="Critical",tbl_HR_Data[[#This Row],[MonthlyIncome]]*1.5,tbl_HR_Data[[#This Row],[Risk_Category]]="High",tbl_HR_Data[[#This Row],[MonthlyIncome]]*1.5),0)</f>
        <v>0</v>
      </c>
    </row>
    <row r="608" spans="1:44" x14ac:dyDescent="0.35">
      <c r="A608" t="s">
        <v>820</v>
      </c>
      <c r="B608">
        <v>34</v>
      </c>
      <c r="C608" t="s">
        <v>37</v>
      </c>
      <c r="D608">
        <v>702</v>
      </c>
      <c r="E608" t="s">
        <v>38</v>
      </c>
      <c r="F608">
        <v>16</v>
      </c>
      <c r="G608">
        <v>4</v>
      </c>
      <c r="H608" t="s">
        <v>33</v>
      </c>
      <c r="I608">
        <v>3</v>
      </c>
      <c r="J608" t="s">
        <v>34</v>
      </c>
      <c r="K608">
        <v>100</v>
      </c>
      <c r="L608">
        <v>2</v>
      </c>
      <c r="M608">
        <v>1</v>
      </c>
      <c r="N608" t="s">
        <v>40</v>
      </c>
      <c r="O608">
        <v>4</v>
      </c>
      <c r="P608" t="s">
        <v>36</v>
      </c>
      <c r="Q608">
        <v>2553</v>
      </c>
      <c r="R608">
        <v>8306</v>
      </c>
      <c r="S608">
        <v>1</v>
      </c>
      <c r="T608">
        <v>0</v>
      </c>
      <c r="U608" s="17">
        <v>0.16</v>
      </c>
      <c r="V608">
        <v>3</v>
      </c>
      <c r="W608">
        <v>3</v>
      </c>
      <c r="X608">
        <v>0</v>
      </c>
      <c r="Y608">
        <v>6</v>
      </c>
      <c r="Z608">
        <v>3</v>
      </c>
      <c r="AA608">
        <v>3</v>
      </c>
      <c r="AB608">
        <v>5</v>
      </c>
      <c r="AC608">
        <v>2</v>
      </c>
      <c r="AD608">
        <v>1</v>
      </c>
      <c r="AE608">
        <v>3</v>
      </c>
      <c r="AF608">
        <v>0</v>
      </c>
      <c r="AG608">
        <f>IF(tbl_HR_Data[[#This Row],[Gender]]="Male",1,0)</f>
        <v>0</v>
      </c>
      <c r="AH608" cm="1">
        <f t="array" ref="AH608">_xlfn.SWITCH(tbl_HR_Data[[#This Row],[BusinessTravel]], "Non-Travel", 0, "Travel_Rarely", 1, "Travel_Frequently", 2)</f>
        <v>2</v>
      </c>
      <c r="AI608" cm="1">
        <f t="array" ref="AI608">_xlfn.SWITCH(tbl_HR_Data[[#This Row],[MaritalStatus]],"Single",0,"Married",1,"Divorced",2)</f>
        <v>0</v>
      </c>
      <c r="AJ608">
        <f>IF(tbl_HR_Data[[#This Row],[OverTime]]=1,1,0)</f>
        <v>0</v>
      </c>
      <c r="AK608">
        <f>IF(tbl_HR_Data[[#This Row],[DistanceFromHome]]&gt;15,1,0)</f>
        <v>1</v>
      </c>
      <c r="AL608">
        <f>IF(tbl_HR_Data[[#This Row],[JobSatisfaction]]&lt;=2,1,0)</f>
        <v>0</v>
      </c>
      <c r="AM608">
        <f>IF(tbl_HR_Data[[#This Row],[MonthlyIncome]]&lt;$AT$2,1,0)</f>
        <v>1</v>
      </c>
      <c r="AN608">
        <f>IF(tbl_HR_Data[[#This Row],[Travel_Code]]=2,1,0)</f>
        <v>1</v>
      </c>
      <c r="AO608">
        <f>(tbl_HR_Data[[#This Row],[Flag_OT]] * Logic_Parameters!$B$2) +
 (tbl_HR_Data[[#This Row],[Flag_Travel]] * Logic_Parameters!$B$3) +
 (tbl_HR_Data[[#This Row],[Flag_Satisfaction]] * Logic_Parameters!$B$4) +
 (tbl_HR_Data[[#This Row],[Flag_Distance]]* Logic_Parameters!$B$5) +
 (tbl_HR_Data[[#This Row],[Flag_Income]] * Logic_Parameters!$B$6)</f>
        <v>14.820925613786383</v>
      </c>
      <c r="AP608" s="15">
        <f>tbl_HR_Data[[#This Row],[Risk_Score_Raw]] / SUM(Logic_Parameters!$B$2:$B$6)</f>
        <v>0.51061813508702369</v>
      </c>
      <c r="AQ608" s="16" t="str" cm="1">
        <f t="array" ref="AQ608">_xlfn.IFS(tbl_HR_Data[[#This Row],[Attrition_Risk_Percentage]] &gt;= 0.75, "Critical",tbl_HR_Data[ [#This Row],[Attrition_Risk_Percentage] ]&gt;= 0.5, "High",tbl_HR_Data[[#This Row],[Attrition_Risk_Percentage]] &gt;= 0.25, "Medium",TRUE, "Low")</f>
        <v>High</v>
      </c>
      <c r="AR608" s="16" cm="1">
        <f t="array" ref="AR608">IFERROR(_xlfn.IFS(tbl_HR_Data[[#This Row],[Risk_Category]]="Critical",tbl_HR_Data[[#This Row],[MonthlyIncome]]*1.5,tbl_HR_Data[[#This Row],[Risk_Category]]="High",tbl_HR_Data[[#This Row],[MonthlyIncome]]*1.5),0)</f>
        <v>3829.5</v>
      </c>
    </row>
    <row r="609" spans="1:44" x14ac:dyDescent="0.35">
      <c r="A609" t="s">
        <v>850</v>
      </c>
      <c r="B609">
        <v>49</v>
      </c>
      <c r="C609" t="s">
        <v>31</v>
      </c>
      <c r="D609">
        <v>1184</v>
      </c>
      <c r="E609" t="s">
        <v>32</v>
      </c>
      <c r="F609">
        <v>11</v>
      </c>
      <c r="G609">
        <v>3</v>
      </c>
      <c r="H609" t="s">
        <v>51</v>
      </c>
      <c r="I609">
        <v>3</v>
      </c>
      <c r="J609" t="s">
        <v>34</v>
      </c>
      <c r="K609">
        <v>43</v>
      </c>
      <c r="L609">
        <v>3</v>
      </c>
      <c r="M609">
        <v>3</v>
      </c>
      <c r="N609" t="s">
        <v>35</v>
      </c>
      <c r="O609">
        <v>4</v>
      </c>
      <c r="P609" t="s">
        <v>41</v>
      </c>
      <c r="Q609">
        <v>7654</v>
      </c>
      <c r="R609">
        <v>5860</v>
      </c>
      <c r="S609">
        <v>1</v>
      </c>
      <c r="T609">
        <v>0</v>
      </c>
      <c r="U609" s="17">
        <v>0.18</v>
      </c>
      <c r="V609">
        <v>3</v>
      </c>
      <c r="W609">
        <v>1</v>
      </c>
      <c r="X609">
        <v>2</v>
      </c>
      <c r="Y609">
        <v>9</v>
      </c>
      <c r="Z609">
        <v>3</v>
      </c>
      <c r="AA609">
        <v>4</v>
      </c>
      <c r="AB609">
        <v>9</v>
      </c>
      <c r="AC609">
        <v>8</v>
      </c>
      <c r="AD609">
        <v>7</v>
      </c>
      <c r="AE609">
        <v>7</v>
      </c>
      <c r="AF609">
        <v>1</v>
      </c>
      <c r="AG609">
        <f>IF(tbl_HR_Data[[#This Row],[Gender]]="Male",1,0)</f>
        <v>0</v>
      </c>
      <c r="AH609" cm="1">
        <f t="array" ref="AH609">_xlfn.SWITCH(tbl_HR_Data[[#This Row],[BusinessTravel]], "Non-Travel", 0, "Travel_Rarely", 1, "Travel_Frequently", 2)</f>
        <v>1</v>
      </c>
      <c r="AI609" cm="1">
        <f t="array" ref="AI609">_xlfn.SWITCH(tbl_HR_Data[[#This Row],[MaritalStatus]],"Single",0,"Married",1,"Divorced",2)</f>
        <v>1</v>
      </c>
      <c r="AJ609">
        <f>IF(tbl_HR_Data[[#This Row],[OverTime]]=1,1,0)</f>
        <v>0</v>
      </c>
      <c r="AK609">
        <f>IF(tbl_HR_Data[[#This Row],[DistanceFromHome]]&gt;15,1,0)</f>
        <v>0</v>
      </c>
      <c r="AL609">
        <f>IF(tbl_HR_Data[[#This Row],[JobSatisfaction]]&lt;=2,1,0)</f>
        <v>0</v>
      </c>
      <c r="AM609">
        <f>IF(tbl_HR_Data[[#This Row],[MonthlyIncome]]&lt;$AT$2,1,0)</f>
        <v>0</v>
      </c>
      <c r="AN609">
        <f>IF(tbl_HR_Data[[#This Row],[Travel_Code]]=2,1,0)</f>
        <v>0</v>
      </c>
      <c r="AO609">
        <f>(tbl_HR_Data[[#This Row],[Flag_OT]] * Logic_Parameters!$B$2) +
 (tbl_HR_Data[[#This Row],[Flag_Travel]] * Logic_Parameters!$B$3) +
 (tbl_HR_Data[[#This Row],[Flag_Satisfaction]] * Logic_Parameters!$B$4) +
 (tbl_HR_Data[[#This Row],[Flag_Distance]]* Logic_Parameters!$B$5) +
 (tbl_HR_Data[[#This Row],[Flag_Income]] * Logic_Parameters!$B$6)</f>
        <v>0</v>
      </c>
      <c r="AP609" s="15">
        <f>tbl_HR_Data[[#This Row],[Risk_Score_Raw]] / SUM(Logic_Parameters!$B$2:$B$6)</f>
        <v>0</v>
      </c>
      <c r="AQ609" s="16" t="str" cm="1">
        <f t="array" ref="AQ609">_xlfn.IFS(tbl_HR_Data[[#This Row],[Attrition_Risk_Percentage]] &gt;= 0.75, "Critical",tbl_HR_Data[ [#This Row],[Attrition_Risk_Percentage] ]&gt;= 0.5, "High",tbl_HR_Data[[#This Row],[Attrition_Risk_Percentage]] &gt;= 0.25, "Medium",TRUE, "Low")</f>
        <v>Low</v>
      </c>
      <c r="AR609" s="16" cm="1">
        <f t="array" ref="AR609">IFERROR(_xlfn.IFS(tbl_HR_Data[[#This Row],[Risk_Category]]="Critical",tbl_HR_Data[[#This Row],[MonthlyIncome]]*1.5,tbl_HR_Data[[#This Row],[Risk_Category]]="High",tbl_HR_Data[[#This Row],[MonthlyIncome]]*1.5),0)</f>
        <v>0</v>
      </c>
    </row>
    <row r="610" spans="1:44" x14ac:dyDescent="0.35">
      <c r="A610" t="s">
        <v>1381</v>
      </c>
      <c r="B610">
        <v>55</v>
      </c>
      <c r="C610" t="s">
        <v>31</v>
      </c>
      <c r="D610">
        <v>436</v>
      </c>
      <c r="E610" t="s">
        <v>32</v>
      </c>
      <c r="F610">
        <v>2</v>
      </c>
      <c r="G610">
        <v>1</v>
      </c>
      <c r="H610" t="s">
        <v>44</v>
      </c>
      <c r="I610">
        <v>3</v>
      </c>
      <c r="J610" t="s">
        <v>39</v>
      </c>
      <c r="K610">
        <v>37</v>
      </c>
      <c r="L610">
        <v>3</v>
      </c>
      <c r="M610">
        <v>2</v>
      </c>
      <c r="N610" t="s">
        <v>35</v>
      </c>
      <c r="O610">
        <v>4</v>
      </c>
      <c r="P610" t="s">
        <v>36</v>
      </c>
      <c r="Q610">
        <v>5160</v>
      </c>
      <c r="R610">
        <v>21519</v>
      </c>
      <c r="S610">
        <v>4</v>
      </c>
      <c r="T610">
        <v>0</v>
      </c>
      <c r="U610" s="17">
        <v>0.16</v>
      </c>
      <c r="V610">
        <v>3</v>
      </c>
      <c r="W610">
        <v>3</v>
      </c>
      <c r="X610">
        <v>0</v>
      </c>
      <c r="Y610">
        <v>12</v>
      </c>
      <c r="Z610">
        <v>3</v>
      </c>
      <c r="AA610">
        <v>2</v>
      </c>
      <c r="AB610">
        <v>9</v>
      </c>
      <c r="AC610">
        <v>7</v>
      </c>
      <c r="AD610">
        <v>7</v>
      </c>
      <c r="AE610">
        <v>3</v>
      </c>
      <c r="AF610">
        <v>1</v>
      </c>
      <c r="AG610">
        <f>IF(tbl_HR_Data[[#This Row],[Gender]]="Male",1,0)</f>
        <v>1</v>
      </c>
      <c r="AH610" cm="1">
        <f t="array" ref="AH610">_xlfn.SWITCH(tbl_HR_Data[[#This Row],[BusinessTravel]], "Non-Travel", 0, "Travel_Rarely", 1, "Travel_Frequently", 2)</f>
        <v>1</v>
      </c>
      <c r="AI610" cm="1">
        <f t="array" ref="AI610">_xlfn.SWITCH(tbl_HR_Data[[#This Row],[MaritalStatus]],"Single",0,"Married",1,"Divorced",2)</f>
        <v>0</v>
      </c>
      <c r="AJ610">
        <f>IF(tbl_HR_Data[[#This Row],[OverTime]]=1,1,0)</f>
        <v>0</v>
      </c>
      <c r="AK610">
        <f>IF(tbl_HR_Data[[#This Row],[DistanceFromHome]]&gt;15,1,0)</f>
        <v>0</v>
      </c>
      <c r="AL610">
        <f>IF(tbl_HR_Data[[#This Row],[JobSatisfaction]]&lt;=2,1,0)</f>
        <v>0</v>
      </c>
      <c r="AM610">
        <f>IF(tbl_HR_Data[[#This Row],[MonthlyIncome]]&lt;$AT$2,1,0)</f>
        <v>0</v>
      </c>
      <c r="AN610">
        <f>IF(tbl_HR_Data[[#This Row],[Travel_Code]]=2,1,0)</f>
        <v>0</v>
      </c>
      <c r="AO610">
        <f>(tbl_HR_Data[[#This Row],[Flag_OT]] * Logic_Parameters!$B$2) +
 (tbl_HR_Data[[#This Row],[Flag_Travel]] * Logic_Parameters!$B$3) +
 (tbl_HR_Data[[#This Row],[Flag_Satisfaction]] * Logic_Parameters!$B$4) +
 (tbl_HR_Data[[#This Row],[Flag_Distance]]* Logic_Parameters!$B$5) +
 (tbl_HR_Data[[#This Row],[Flag_Income]] * Logic_Parameters!$B$6)</f>
        <v>0</v>
      </c>
      <c r="AP610" s="15">
        <f>tbl_HR_Data[[#This Row],[Risk_Score_Raw]] / SUM(Logic_Parameters!$B$2:$B$6)</f>
        <v>0</v>
      </c>
      <c r="AQ610" s="16" t="str" cm="1">
        <f t="array" ref="AQ610">_xlfn.IFS(tbl_HR_Data[[#This Row],[Attrition_Risk_Percentage]] &gt;= 0.75, "Critical",tbl_HR_Data[ [#This Row],[Attrition_Risk_Percentage] ]&gt;= 0.5, "High",tbl_HR_Data[[#This Row],[Attrition_Risk_Percentage]] &gt;= 0.25, "Medium",TRUE, "Low")</f>
        <v>Low</v>
      </c>
      <c r="AR610" s="16" cm="1">
        <f t="array" ref="AR610">IFERROR(_xlfn.IFS(tbl_HR_Data[[#This Row],[Risk_Category]]="Critical",tbl_HR_Data[[#This Row],[MonthlyIncome]]*1.5,tbl_HR_Data[[#This Row],[Risk_Category]]="High",tbl_HR_Data[[#This Row],[MonthlyIncome]]*1.5),0)</f>
        <v>0</v>
      </c>
    </row>
    <row r="611" spans="1:44" x14ac:dyDescent="0.35">
      <c r="A611" t="s">
        <v>841</v>
      </c>
      <c r="B611">
        <v>43</v>
      </c>
      <c r="C611" t="s">
        <v>31</v>
      </c>
      <c r="D611">
        <v>589</v>
      </c>
      <c r="E611" t="s">
        <v>38</v>
      </c>
      <c r="F611">
        <v>14</v>
      </c>
      <c r="G611">
        <v>2</v>
      </c>
      <c r="H611" t="s">
        <v>33</v>
      </c>
      <c r="I611">
        <v>2</v>
      </c>
      <c r="J611" t="s">
        <v>39</v>
      </c>
      <c r="K611">
        <v>94</v>
      </c>
      <c r="L611">
        <v>3</v>
      </c>
      <c r="M611">
        <v>4</v>
      </c>
      <c r="N611" t="s">
        <v>50</v>
      </c>
      <c r="O611">
        <v>1</v>
      </c>
      <c r="P611" t="s">
        <v>41</v>
      </c>
      <c r="Q611">
        <v>17159</v>
      </c>
      <c r="R611">
        <v>5200</v>
      </c>
      <c r="S611">
        <v>6</v>
      </c>
      <c r="T611">
        <v>0</v>
      </c>
      <c r="U611" s="17">
        <v>0.24</v>
      </c>
      <c r="V611">
        <v>4</v>
      </c>
      <c r="W611">
        <v>3</v>
      </c>
      <c r="X611">
        <v>1</v>
      </c>
      <c r="Y611">
        <v>22</v>
      </c>
      <c r="Z611">
        <v>3</v>
      </c>
      <c r="AA611">
        <v>3</v>
      </c>
      <c r="AB611">
        <v>4</v>
      </c>
      <c r="AC611">
        <v>1</v>
      </c>
      <c r="AD611">
        <v>1</v>
      </c>
      <c r="AE611">
        <v>0</v>
      </c>
      <c r="AF611">
        <v>0</v>
      </c>
      <c r="AG611">
        <f>IF(tbl_HR_Data[[#This Row],[Gender]]="Male",1,0)</f>
        <v>1</v>
      </c>
      <c r="AH611" cm="1">
        <f t="array" ref="AH611">_xlfn.SWITCH(tbl_HR_Data[[#This Row],[BusinessTravel]], "Non-Travel", 0, "Travel_Rarely", 1, "Travel_Frequently", 2)</f>
        <v>1</v>
      </c>
      <c r="AI611" cm="1">
        <f t="array" ref="AI611">_xlfn.SWITCH(tbl_HR_Data[[#This Row],[MaritalStatus]],"Single",0,"Married",1,"Divorced",2)</f>
        <v>1</v>
      </c>
      <c r="AJ611">
        <f>IF(tbl_HR_Data[[#This Row],[OverTime]]=1,1,0)</f>
        <v>0</v>
      </c>
      <c r="AK611">
        <f>IF(tbl_HR_Data[[#This Row],[DistanceFromHome]]&gt;15,1,0)</f>
        <v>0</v>
      </c>
      <c r="AL611">
        <f>IF(tbl_HR_Data[[#This Row],[JobSatisfaction]]&lt;=2,1,0)</f>
        <v>1</v>
      </c>
      <c r="AM611">
        <f>IF(tbl_HR_Data[[#This Row],[MonthlyIncome]]&lt;$AT$2,1,0)</f>
        <v>0</v>
      </c>
      <c r="AN611">
        <f>IF(tbl_HR_Data[[#This Row],[Travel_Code]]=2,1,0)</f>
        <v>0</v>
      </c>
      <c r="AO611">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611" s="15">
        <f>tbl_HR_Data[[#This Row],[Risk_Score_Raw]] / SUM(Logic_Parameters!$B$2:$B$6)</f>
        <v>0.14485673308716898</v>
      </c>
      <c r="AQ611" s="16" t="str" cm="1">
        <f t="array" ref="AQ611">_xlfn.IFS(tbl_HR_Data[[#This Row],[Attrition_Risk_Percentage]] &gt;= 0.75, "Critical",tbl_HR_Data[ [#This Row],[Attrition_Risk_Percentage] ]&gt;= 0.5, "High",tbl_HR_Data[[#This Row],[Attrition_Risk_Percentage]] &gt;= 0.25, "Medium",TRUE, "Low")</f>
        <v>Low</v>
      </c>
      <c r="AR611" s="16" cm="1">
        <f t="array" ref="AR611">IFERROR(_xlfn.IFS(tbl_HR_Data[[#This Row],[Risk_Category]]="Critical",tbl_HR_Data[[#This Row],[MonthlyIncome]]*1.5,tbl_HR_Data[[#This Row],[Risk_Category]]="High",tbl_HR_Data[[#This Row],[MonthlyIncome]]*1.5),0)</f>
        <v>0</v>
      </c>
    </row>
    <row r="612" spans="1:44" x14ac:dyDescent="0.35">
      <c r="A612" t="s">
        <v>1242</v>
      </c>
      <c r="B612">
        <v>27</v>
      </c>
      <c r="C612" t="s">
        <v>31</v>
      </c>
      <c r="D612">
        <v>269</v>
      </c>
      <c r="E612" t="s">
        <v>38</v>
      </c>
      <c r="F612">
        <v>5</v>
      </c>
      <c r="G612">
        <v>1</v>
      </c>
      <c r="H612" t="s">
        <v>52</v>
      </c>
      <c r="I612">
        <v>3</v>
      </c>
      <c r="J612" t="s">
        <v>39</v>
      </c>
      <c r="K612">
        <v>42</v>
      </c>
      <c r="L612">
        <v>2</v>
      </c>
      <c r="M612">
        <v>3</v>
      </c>
      <c r="N612" t="s">
        <v>50</v>
      </c>
      <c r="O612">
        <v>4</v>
      </c>
      <c r="P612" t="s">
        <v>45</v>
      </c>
      <c r="Q612">
        <v>12808</v>
      </c>
      <c r="R612">
        <v>8842</v>
      </c>
      <c r="S612">
        <v>1</v>
      </c>
      <c r="T612">
        <v>1</v>
      </c>
      <c r="U612" s="17">
        <v>0.16</v>
      </c>
      <c r="V612">
        <v>3</v>
      </c>
      <c r="W612">
        <v>2</v>
      </c>
      <c r="X612">
        <v>1</v>
      </c>
      <c r="Y612">
        <v>9</v>
      </c>
      <c r="Z612">
        <v>3</v>
      </c>
      <c r="AA612">
        <v>3</v>
      </c>
      <c r="AB612">
        <v>9</v>
      </c>
      <c r="AC612">
        <v>8</v>
      </c>
      <c r="AD612">
        <v>0</v>
      </c>
      <c r="AE612">
        <v>8</v>
      </c>
      <c r="AF612">
        <v>0</v>
      </c>
      <c r="AG612">
        <f>IF(tbl_HR_Data[[#This Row],[Gender]]="Male",1,0)</f>
        <v>1</v>
      </c>
      <c r="AH612" cm="1">
        <f t="array" ref="AH612">_xlfn.SWITCH(tbl_HR_Data[[#This Row],[BusinessTravel]], "Non-Travel", 0, "Travel_Rarely", 1, "Travel_Frequently", 2)</f>
        <v>1</v>
      </c>
      <c r="AI612" cm="1">
        <f t="array" ref="AI612">_xlfn.SWITCH(tbl_HR_Data[[#This Row],[MaritalStatus]],"Single",0,"Married",1,"Divorced",2)</f>
        <v>2</v>
      </c>
      <c r="AJ612">
        <f>IF(tbl_HR_Data[[#This Row],[OverTime]]=1,1,0)</f>
        <v>1</v>
      </c>
      <c r="AK612">
        <f>IF(tbl_HR_Data[[#This Row],[DistanceFromHome]]&gt;15,1,0)</f>
        <v>0</v>
      </c>
      <c r="AL612">
        <f>IF(tbl_HR_Data[[#This Row],[JobSatisfaction]]&lt;=2,1,0)</f>
        <v>0</v>
      </c>
      <c r="AM612">
        <f>IF(tbl_HR_Data[[#This Row],[MonthlyIncome]]&lt;$AT$2,1,0)</f>
        <v>0</v>
      </c>
      <c r="AN612">
        <f>IF(tbl_HR_Data[[#This Row],[Travel_Code]]=2,1,0)</f>
        <v>0</v>
      </c>
      <c r="AO612">
        <f>(tbl_HR_Data[[#This Row],[Flag_OT]] * Logic_Parameters!$B$2) +
 (tbl_HR_Data[[#This Row],[Flag_Travel]] * Logic_Parameters!$B$3) +
 (tbl_HR_Data[[#This Row],[Flag_Satisfaction]] * Logic_Parameters!$B$4) +
 (tbl_HR_Data[[#This Row],[Flag_Distance]]* Logic_Parameters!$B$5) +
 (tbl_HR_Data[[#This Row],[Flag_Income]] * Logic_Parameters!$B$6)</f>
        <v>10</v>
      </c>
      <c r="AP612" s="15">
        <f>tbl_HR_Data[[#This Row],[Risk_Score_Raw]] / SUM(Logic_Parameters!$B$2:$B$6)</f>
        <v>0.3445251318258073</v>
      </c>
      <c r="AQ612" s="16" t="str" cm="1">
        <f t="array" ref="AQ612">_xlfn.IFS(tbl_HR_Data[[#This Row],[Attrition_Risk_Percentage]] &gt;= 0.75, "Critical",tbl_HR_Data[ [#This Row],[Attrition_Risk_Percentage] ]&gt;= 0.5, "High",tbl_HR_Data[[#This Row],[Attrition_Risk_Percentage]] &gt;= 0.25, "Medium",TRUE, "Low")</f>
        <v>Medium</v>
      </c>
      <c r="AR612" s="16" cm="1">
        <f t="array" ref="AR612">IFERROR(_xlfn.IFS(tbl_HR_Data[[#This Row],[Risk_Category]]="Critical",tbl_HR_Data[[#This Row],[MonthlyIncome]]*1.5,tbl_HR_Data[[#This Row],[Risk_Category]]="High",tbl_HR_Data[[#This Row],[MonthlyIncome]]*1.5),0)</f>
        <v>0</v>
      </c>
    </row>
    <row r="613" spans="1:44" x14ac:dyDescent="0.35">
      <c r="A613" t="s">
        <v>495</v>
      </c>
      <c r="B613">
        <v>35</v>
      </c>
      <c r="C613" t="s">
        <v>31</v>
      </c>
      <c r="D613">
        <v>950</v>
      </c>
      <c r="E613" t="s">
        <v>38</v>
      </c>
      <c r="F613">
        <v>7</v>
      </c>
      <c r="G613">
        <v>3</v>
      </c>
      <c r="H613" t="s">
        <v>42</v>
      </c>
      <c r="I613">
        <v>3</v>
      </c>
      <c r="J613" t="s">
        <v>39</v>
      </c>
      <c r="K613">
        <v>59</v>
      </c>
      <c r="L613">
        <v>3</v>
      </c>
      <c r="M613">
        <v>3</v>
      </c>
      <c r="N613" t="s">
        <v>46</v>
      </c>
      <c r="O613">
        <v>3</v>
      </c>
      <c r="P613" t="s">
        <v>36</v>
      </c>
      <c r="Q613">
        <v>10221</v>
      </c>
      <c r="R613">
        <v>18869</v>
      </c>
      <c r="S613">
        <v>3</v>
      </c>
      <c r="T613">
        <v>0</v>
      </c>
      <c r="U613" s="17">
        <v>0.21</v>
      </c>
      <c r="V613">
        <v>4</v>
      </c>
      <c r="W613">
        <v>2</v>
      </c>
      <c r="X613">
        <v>0</v>
      </c>
      <c r="Y613">
        <v>17</v>
      </c>
      <c r="Z613">
        <v>3</v>
      </c>
      <c r="AA613">
        <v>4</v>
      </c>
      <c r="AB613">
        <v>8</v>
      </c>
      <c r="AC613">
        <v>5</v>
      </c>
      <c r="AD613">
        <v>1</v>
      </c>
      <c r="AE613">
        <v>6</v>
      </c>
      <c r="AF613">
        <v>0</v>
      </c>
      <c r="AG613">
        <f>IF(tbl_HR_Data[[#This Row],[Gender]]="Male",1,0)</f>
        <v>1</v>
      </c>
      <c r="AH613" cm="1">
        <f t="array" ref="AH613">_xlfn.SWITCH(tbl_HR_Data[[#This Row],[BusinessTravel]], "Non-Travel", 0, "Travel_Rarely", 1, "Travel_Frequently", 2)</f>
        <v>1</v>
      </c>
      <c r="AI613" cm="1">
        <f t="array" ref="AI613">_xlfn.SWITCH(tbl_HR_Data[[#This Row],[MaritalStatus]],"Single",0,"Married",1,"Divorced",2)</f>
        <v>0</v>
      </c>
      <c r="AJ613">
        <f>IF(tbl_HR_Data[[#This Row],[OverTime]]=1,1,0)</f>
        <v>0</v>
      </c>
      <c r="AK613">
        <f>IF(tbl_HR_Data[[#This Row],[DistanceFromHome]]&gt;15,1,0)</f>
        <v>0</v>
      </c>
      <c r="AL613">
        <f>IF(tbl_HR_Data[[#This Row],[JobSatisfaction]]&lt;=2,1,0)</f>
        <v>0</v>
      </c>
      <c r="AM613">
        <f>IF(tbl_HR_Data[[#This Row],[MonthlyIncome]]&lt;$AT$2,1,0)</f>
        <v>0</v>
      </c>
      <c r="AN613">
        <f>IF(tbl_HR_Data[[#This Row],[Travel_Code]]=2,1,0)</f>
        <v>0</v>
      </c>
      <c r="AO613">
        <f>(tbl_HR_Data[[#This Row],[Flag_OT]] * Logic_Parameters!$B$2) +
 (tbl_HR_Data[[#This Row],[Flag_Travel]] * Logic_Parameters!$B$3) +
 (tbl_HR_Data[[#This Row],[Flag_Satisfaction]] * Logic_Parameters!$B$4) +
 (tbl_HR_Data[[#This Row],[Flag_Distance]]* Logic_Parameters!$B$5) +
 (tbl_HR_Data[[#This Row],[Flag_Income]] * Logic_Parameters!$B$6)</f>
        <v>0</v>
      </c>
      <c r="AP613" s="15">
        <f>tbl_HR_Data[[#This Row],[Risk_Score_Raw]] / SUM(Logic_Parameters!$B$2:$B$6)</f>
        <v>0</v>
      </c>
      <c r="AQ613" s="16" t="str" cm="1">
        <f t="array" ref="AQ613">_xlfn.IFS(tbl_HR_Data[[#This Row],[Attrition_Risk_Percentage]] &gt;= 0.75, "Critical",tbl_HR_Data[ [#This Row],[Attrition_Risk_Percentage] ]&gt;= 0.5, "High",tbl_HR_Data[[#This Row],[Attrition_Risk_Percentage]] &gt;= 0.25, "Medium",TRUE, "Low")</f>
        <v>Low</v>
      </c>
      <c r="AR613" s="16" cm="1">
        <f t="array" ref="AR613">IFERROR(_xlfn.IFS(tbl_HR_Data[[#This Row],[Risk_Category]]="Critical",tbl_HR_Data[[#This Row],[MonthlyIncome]]*1.5,tbl_HR_Data[[#This Row],[Risk_Category]]="High",tbl_HR_Data[[#This Row],[MonthlyIncome]]*1.5),0)</f>
        <v>0</v>
      </c>
    </row>
    <row r="614" spans="1:44" x14ac:dyDescent="0.35">
      <c r="A614" t="s">
        <v>1100</v>
      </c>
      <c r="B614">
        <v>28</v>
      </c>
      <c r="C614" t="s">
        <v>31</v>
      </c>
      <c r="D614">
        <v>760</v>
      </c>
      <c r="E614" t="s">
        <v>32</v>
      </c>
      <c r="F614">
        <v>2</v>
      </c>
      <c r="G614">
        <v>4</v>
      </c>
      <c r="H614" t="s">
        <v>51</v>
      </c>
      <c r="I614">
        <v>2</v>
      </c>
      <c r="J614" t="s">
        <v>34</v>
      </c>
      <c r="K614">
        <v>81</v>
      </c>
      <c r="L614">
        <v>3</v>
      </c>
      <c r="M614">
        <v>2</v>
      </c>
      <c r="N614" t="s">
        <v>35</v>
      </c>
      <c r="O614">
        <v>2</v>
      </c>
      <c r="P614" t="s">
        <v>41</v>
      </c>
      <c r="Q614">
        <v>4779</v>
      </c>
      <c r="R614">
        <v>3698</v>
      </c>
      <c r="S614">
        <v>1</v>
      </c>
      <c r="T614">
        <v>1</v>
      </c>
      <c r="U614" s="17">
        <v>0.2</v>
      </c>
      <c r="V614">
        <v>4</v>
      </c>
      <c r="W614">
        <v>1</v>
      </c>
      <c r="X614">
        <v>0</v>
      </c>
      <c r="Y614">
        <v>8</v>
      </c>
      <c r="Z614">
        <v>2</v>
      </c>
      <c r="AA614">
        <v>3</v>
      </c>
      <c r="AB614">
        <v>8</v>
      </c>
      <c r="AC614">
        <v>7</v>
      </c>
      <c r="AD614">
        <v>7</v>
      </c>
      <c r="AE614">
        <v>5</v>
      </c>
      <c r="AF614">
        <v>0</v>
      </c>
      <c r="AG614">
        <f>IF(tbl_HR_Data[[#This Row],[Gender]]="Male",1,0)</f>
        <v>0</v>
      </c>
      <c r="AH614" cm="1">
        <f t="array" ref="AH614">_xlfn.SWITCH(tbl_HR_Data[[#This Row],[BusinessTravel]], "Non-Travel", 0, "Travel_Rarely", 1, "Travel_Frequently", 2)</f>
        <v>1</v>
      </c>
      <c r="AI614" cm="1">
        <f t="array" ref="AI614">_xlfn.SWITCH(tbl_HR_Data[[#This Row],[MaritalStatus]],"Single",0,"Married",1,"Divorced",2)</f>
        <v>1</v>
      </c>
      <c r="AJ614">
        <f>IF(tbl_HR_Data[[#This Row],[OverTime]]=1,1,0)</f>
        <v>1</v>
      </c>
      <c r="AK614">
        <f>IF(tbl_HR_Data[[#This Row],[DistanceFromHome]]&gt;15,1,0)</f>
        <v>0</v>
      </c>
      <c r="AL614">
        <f>IF(tbl_HR_Data[[#This Row],[JobSatisfaction]]&lt;=2,1,0)</f>
        <v>1</v>
      </c>
      <c r="AM614">
        <f>IF(tbl_HR_Data[[#This Row],[MonthlyIncome]]&lt;$AT$2,1,0)</f>
        <v>1</v>
      </c>
      <c r="AN614">
        <f>IF(tbl_HR_Data[[#This Row],[Travel_Code]]=2,1,0)</f>
        <v>0</v>
      </c>
      <c r="AO614">
        <f>(tbl_HR_Data[[#This Row],[Flag_OT]] * Logic_Parameters!$B$2) +
 (tbl_HR_Data[[#This Row],[Flag_Travel]] * Logic_Parameters!$B$3) +
 (tbl_HR_Data[[#This Row],[Flag_Satisfaction]] * Logic_Parameters!$B$4) +
 (tbl_HR_Data[[#This Row],[Flag_Distance]]* Logic_Parameters!$B$5) +
 (tbl_HR_Data[[#This Row],[Flag_Income]] * Logic_Parameters!$B$6)</f>
        <v>20.698962067398959</v>
      </c>
      <c r="AP614" s="15">
        <f>tbl_HR_Data[[#This Row],[Risk_Score_Raw]] / SUM(Logic_Parameters!$B$2:$B$6)</f>
        <v>0.71313126349280109</v>
      </c>
      <c r="AQ614" s="16" t="str" cm="1">
        <f t="array" ref="AQ614">_xlfn.IFS(tbl_HR_Data[[#This Row],[Attrition_Risk_Percentage]] &gt;= 0.75, "Critical",tbl_HR_Data[ [#This Row],[Attrition_Risk_Percentage] ]&gt;= 0.5, "High",tbl_HR_Data[[#This Row],[Attrition_Risk_Percentage]] &gt;= 0.25, "Medium",TRUE, "Low")</f>
        <v>High</v>
      </c>
      <c r="AR614" s="16" cm="1">
        <f t="array" ref="AR614">IFERROR(_xlfn.IFS(tbl_HR_Data[[#This Row],[Risk_Category]]="Critical",tbl_HR_Data[[#This Row],[MonthlyIncome]]*1.5,tbl_HR_Data[[#This Row],[Risk_Category]]="High",tbl_HR_Data[[#This Row],[MonthlyIncome]]*1.5),0)</f>
        <v>7168.5</v>
      </c>
    </row>
    <row r="615" spans="1:44" x14ac:dyDescent="0.35">
      <c r="A615" t="s">
        <v>864</v>
      </c>
      <c r="B615">
        <v>34</v>
      </c>
      <c r="C615" t="s">
        <v>31</v>
      </c>
      <c r="D615">
        <v>829</v>
      </c>
      <c r="E615" t="s">
        <v>53</v>
      </c>
      <c r="F615">
        <v>3</v>
      </c>
      <c r="G615">
        <v>2</v>
      </c>
      <c r="H615" t="s">
        <v>53</v>
      </c>
      <c r="I615">
        <v>3</v>
      </c>
      <c r="J615" t="s">
        <v>39</v>
      </c>
      <c r="K615">
        <v>88</v>
      </c>
      <c r="L615">
        <v>3</v>
      </c>
      <c r="M615">
        <v>1</v>
      </c>
      <c r="N615" t="s">
        <v>53</v>
      </c>
      <c r="O615">
        <v>4</v>
      </c>
      <c r="P615" t="s">
        <v>41</v>
      </c>
      <c r="Q615">
        <v>3737</v>
      </c>
      <c r="R615">
        <v>2243</v>
      </c>
      <c r="S615">
        <v>0</v>
      </c>
      <c r="T615">
        <v>0</v>
      </c>
      <c r="U615" s="17">
        <v>0.19</v>
      </c>
      <c r="V615">
        <v>3</v>
      </c>
      <c r="W615">
        <v>3</v>
      </c>
      <c r="X615">
        <v>1</v>
      </c>
      <c r="Y615">
        <v>4</v>
      </c>
      <c r="Z615">
        <v>1</v>
      </c>
      <c r="AA615">
        <v>1</v>
      </c>
      <c r="AB615">
        <v>3</v>
      </c>
      <c r="AC615">
        <v>2</v>
      </c>
      <c r="AD615">
        <v>0</v>
      </c>
      <c r="AE615">
        <v>2</v>
      </c>
      <c r="AF615">
        <v>0</v>
      </c>
      <c r="AG615">
        <f>IF(tbl_HR_Data[[#This Row],[Gender]]="Male",1,0)</f>
        <v>1</v>
      </c>
      <c r="AH615" cm="1">
        <f t="array" ref="AH615">_xlfn.SWITCH(tbl_HR_Data[[#This Row],[BusinessTravel]], "Non-Travel", 0, "Travel_Rarely", 1, "Travel_Frequently", 2)</f>
        <v>1</v>
      </c>
      <c r="AI615" cm="1">
        <f t="array" ref="AI615">_xlfn.SWITCH(tbl_HR_Data[[#This Row],[MaritalStatus]],"Single",0,"Married",1,"Divorced",2)</f>
        <v>1</v>
      </c>
      <c r="AJ615">
        <f>IF(tbl_HR_Data[[#This Row],[OverTime]]=1,1,0)</f>
        <v>0</v>
      </c>
      <c r="AK615">
        <f>IF(tbl_HR_Data[[#This Row],[DistanceFromHome]]&gt;15,1,0)</f>
        <v>0</v>
      </c>
      <c r="AL615">
        <f>IF(tbl_HR_Data[[#This Row],[JobSatisfaction]]&lt;=2,1,0)</f>
        <v>0</v>
      </c>
      <c r="AM615">
        <f>IF(tbl_HR_Data[[#This Row],[MonthlyIncome]]&lt;$AT$2,1,0)</f>
        <v>1</v>
      </c>
      <c r="AN615">
        <f>IF(tbl_HR_Data[[#This Row],[Travel_Code]]=2,1,0)</f>
        <v>0</v>
      </c>
      <c r="AO615">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615" s="15">
        <f>tbl_HR_Data[[#This Row],[Risk_Score_Raw]] / SUM(Logic_Parameters!$B$2:$B$6)</f>
        <v>0.22374939857982484</v>
      </c>
      <c r="AQ615" s="16" t="str" cm="1">
        <f t="array" ref="AQ615">_xlfn.IFS(tbl_HR_Data[[#This Row],[Attrition_Risk_Percentage]] &gt;= 0.75, "Critical",tbl_HR_Data[ [#This Row],[Attrition_Risk_Percentage] ]&gt;= 0.5, "High",tbl_HR_Data[[#This Row],[Attrition_Risk_Percentage]] &gt;= 0.25, "Medium",TRUE, "Low")</f>
        <v>Low</v>
      </c>
      <c r="AR615" s="16" cm="1">
        <f t="array" ref="AR615">IFERROR(_xlfn.IFS(tbl_HR_Data[[#This Row],[Risk_Category]]="Critical",tbl_HR_Data[[#This Row],[MonthlyIncome]]*1.5,tbl_HR_Data[[#This Row],[Risk_Category]]="High",tbl_HR_Data[[#This Row],[MonthlyIncome]]*1.5),0)</f>
        <v>0</v>
      </c>
    </row>
    <row r="616" spans="1:44" x14ac:dyDescent="0.35">
      <c r="A616" t="s">
        <v>1455</v>
      </c>
      <c r="B616">
        <v>26</v>
      </c>
      <c r="C616" t="s">
        <v>37</v>
      </c>
      <c r="D616">
        <v>887</v>
      </c>
      <c r="E616" t="s">
        <v>38</v>
      </c>
      <c r="F616">
        <v>5</v>
      </c>
      <c r="G616">
        <v>2</v>
      </c>
      <c r="H616" t="s">
        <v>44</v>
      </c>
      <c r="I616">
        <v>3</v>
      </c>
      <c r="J616" t="s">
        <v>34</v>
      </c>
      <c r="K616">
        <v>88</v>
      </c>
      <c r="L616">
        <v>2</v>
      </c>
      <c r="M616">
        <v>1</v>
      </c>
      <c r="N616" t="s">
        <v>40</v>
      </c>
      <c r="O616">
        <v>3</v>
      </c>
      <c r="P616" t="s">
        <v>41</v>
      </c>
      <c r="Q616">
        <v>2366</v>
      </c>
      <c r="R616">
        <v>20898</v>
      </c>
      <c r="S616">
        <v>1</v>
      </c>
      <c r="T616">
        <v>1</v>
      </c>
      <c r="U616" s="17">
        <v>0.14000000000000001</v>
      </c>
      <c r="V616">
        <v>3</v>
      </c>
      <c r="W616">
        <v>1</v>
      </c>
      <c r="X616">
        <v>1</v>
      </c>
      <c r="Y616">
        <v>8</v>
      </c>
      <c r="Z616">
        <v>2</v>
      </c>
      <c r="AA616">
        <v>3</v>
      </c>
      <c r="AB616">
        <v>8</v>
      </c>
      <c r="AC616">
        <v>7</v>
      </c>
      <c r="AD616">
        <v>1</v>
      </c>
      <c r="AE616">
        <v>7</v>
      </c>
      <c r="AF616">
        <v>1</v>
      </c>
      <c r="AG616">
        <f>IF(tbl_HR_Data[[#This Row],[Gender]]="Male",1,0)</f>
        <v>0</v>
      </c>
      <c r="AH616" cm="1">
        <f t="array" ref="AH616">_xlfn.SWITCH(tbl_HR_Data[[#This Row],[BusinessTravel]], "Non-Travel", 0, "Travel_Rarely", 1, "Travel_Frequently", 2)</f>
        <v>2</v>
      </c>
      <c r="AI616" cm="1">
        <f t="array" ref="AI616">_xlfn.SWITCH(tbl_HR_Data[[#This Row],[MaritalStatus]],"Single",0,"Married",1,"Divorced",2)</f>
        <v>1</v>
      </c>
      <c r="AJ616">
        <f>IF(tbl_HR_Data[[#This Row],[OverTime]]=1,1,0)</f>
        <v>1</v>
      </c>
      <c r="AK616">
        <f>IF(tbl_HR_Data[[#This Row],[DistanceFromHome]]&gt;15,1,0)</f>
        <v>0</v>
      </c>
      <c r="AL616">
        <f>IF(tbl_HR_Data[[#This Row],[JobSatisfaction]]&lt;=2,1,0)</f>
        <v>0</v>
      </c>
      <c r="AM616">
        <f>IF(tbl_HR_Data[[#This Row],[MonthlyIncome]]&lt;$AT$2,1,0)</f>
        <v>1</v>
      </c>
      <c r="AN616">
        <f>IF(tbl_HR_Data[[#This Row],[Travel_Code]]=2,1,0)</f>
        <v>1</v>
      </c>
      <c r="AO616">
        <f>(tbl_HR_Data[[#This Row],[Flag_OT]] * Logic_Parameters!$B$2) +
 (tbl_HR_Data[[#This Row],[Flag_Travel]] * Logic_Parameters!$B$3) +
 (tbl_HR_Data[[#This Row],[Flag_Satisfaction]] * Logic_Parameters!$B$4) +
 (tbl_HR_Data[[#This Row],[Flag_Distance]]* Logic_Parameters!$B$5) +
 (tbl_HR_Data[[#This Row],[Flag_Income]] * Logic_Parameters!$B$6)</f>
        <v>21.654818917911005</v>
      </c>
      <c r="AP616" s="15">
        <f>tbl_HR_Data[[#This Row],[Risk_Score_Raw]] / SUM(Logic_Parameters!$B$2:$B$6)</f>
        <v>0.74606293423572745</v>
      </c>
      <c r="AQ616" s="16" t="str" cm="1">
        <f t="array" ref="AQ616">_xlfn.IFS(tbl_HR_Data[[#This Row],[Attrition_Risk_Percentage]] &gt;= 0.75, "Critical",tbl_HR_Data[ [#This Row],[Attrition_Risk_Percentage] ]&gt;= 0.5, "High",tbl_HR_Data[[#This Row],[Attrition_Risk_Percentage]] &gt;= 0.25, "Medium",TRUE, "Low")</f>
        <v>High</v>
      </c>
      <c r="AR616" s="16" cm="1">
        <f t="array" ref="AR616">IFERROR(_xlfn.IFS(tbl_HR_Data[[#This Row],[Risk_Category]]="Critical",tbl_HR_Data[[#This Row],[MonthlyIncome]]*1.5,tbl_HR_Data[[#This Row],[Risk_Category]]="High",tbl_HR_Data[[#This Row],[MonthlyIncome]]*1.5),0)</f>
        <v>3549</v>
      </c>
    </row>
    <row r="617" spans="1:44" x14ac:dyDescent="0.35">
      <c r="A617" t="s">
        <v>791</v>
      </c>
      <c r="B617">
        <v>27</v>
      </c>
      <c r="C617" t="s">
        <v>1525</v>
      </c>
      <c r="D617">
        <v>443</v>
      </c>
      <c r="E617" t="s">
        <v>38</v>
      </c>
      <c r="F617">
        <v>3</v>
      </c>
      <c r="G617">
        <v>3</v>
      </c>
      <c r="H617" t="s">
        <v>44</v>
      </c>
      <c r="I617">
        <v>4</v>
      </c>
      <c r="J617" t="s">
        <v>39</v>
      </c>
      <c r="K617">
        <v>50</v>
      </c>
      <c r="L617">
        <v>3</v>
      </c>
      <c r="M617">
        <v>1</v>
      </c>
      <c r="N617" t="s">
        <v>40</v>
      </c>
      <c r="O617">
        <v>4</v>
      </c>
      <c r="P617" t="s">
        <v>41</v>
      </c>
      <c r="Q617">
        <v>1706</v>
      </c>
      <c r="R617">
        <v>16571</v>
      </c>
      <c r="S617">
        <v>1</v>
      </c>
      <c r="T617">
        <v>0</v>
      </c>
      <c r="U617" s="17">
        <v>0.11</v>
      </c>
      <c r="V617">
        <v>3</v>
      </c>
      <c r="W617">
        <v>3</v>
      </c>
      <c r="X617">
        <v>3</v>
      </c>
      <c r="Y617">
        <v>0</v>
      </c>
      <c r="Z617">
        <v>6</v>
      </c>
      <c r="AA617">
        <v>2</v>
      </c>
      <c r="AB617">
        <v>0</v>
      </c>
      <c r="AC617">
        <v>0</v>
      </c>
      <c r="AD617">
        <v>0</v>
      </c>
      <c r="AE617">
        <v>0</v>
      </c>
      <c r="AF617">
        <v>0</v>
      </c>
      <c r="AG617">
        <f>IF(tbl_HR_Data[[#This Row],[Gender]]="Male",1,0)</f>
        <v>1</v>
      </c>
      <c r="AH617" cm="1">
        <f t="array" ref="AH617">_xlfn.SWITCH(tbl_HR_Data[[#This Row],[BusinessTravel]], "Non-Travel", 0, "Travel_Rarely", 1, "Travel_Frequently", 2)</f>
        <v>0</v>
      </c>
      <c r="AI617" cm="1">
        <f t="array" ref="AI617">_xlfn.SWITCH(tbl_HR_Data[[#This Row],[MaritalStatus]],"Single",0,"Married",1,"Divorced",2)</f>
        <v>1</v>
      </c>
      <c r="AJ617">
        <f>IF(tbl_HR_Data[[#This Row],[OverTime]]=1,1,0)</f>
        <v>0</v>
      </c>
      <c r="AK617">
        <f>IF(tbl_HR_Data[[#This Row],[DistanceFromHome]]&gt;15,1,0)</f>
        <v>0</v>
      </c>
      <c r="AL617">
        <f>IF(tbl_HR_Data[[#This Row],[JobSatisfaction]]&lt;=2,1,0)</f>
        <v>0</v>
      </c>
      <c r="AM617">
        <f>IF(tbl_HR_Data[[#This Row],[MonthlyIncome]]&lt;$AT$2,1,0)</f>
        <v>1</v>
      </c>
      <c r="AN617">
        <f>IF(tbl_HR_Data[[#This Row],[Travel_Code]]=2,1,0)</f>
        <v>0</v>
      </c>
      <c r="AO617">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617" s="15">
        <f>tbl_HR_Data[[#This Row],[Risk_Score_Raw]] / SUM(Logic_Parameters!$B$2:$B$6)</f>
        <v>0.22374939857982484</v>
      </c>
      <c r="AQ617" s="16" t="str" cm="1">
        <f t="array" ref="AQ617">_xlfn.IFS(tbl_HR_Data[[#This Row],[Attrition_Risk_Percentage]] &gt;= 0.75, "Critical",tbl_HR_Data[ [#This Row],[Attrition_Risk_Percentage] ]&gt;= 0.5, "High",tbl_HR_Data[[#This Row],[Attrition_Risk_Percentage]] &gt;= 0.25, "Medium",TRUE, "Low")</f>
        <v>Low</v>
      </c>
      <c r="AR617" s="16" cm="1">
        <f t="array" ref="AR617">IFERROR(_xlfn.IFS(tbl_HR_Data[[#This Row],[Risk_Category]]="Critical",tbl_HR_Data[[#This Row],[MonthlyIncome]]*1.5,tbl_HR_Data[[#This Row],[Risk_Category]]="High",tbl_HR_Data[[#This Row],[MonthlyIncome]]*1.5),0)</f>
        <v>0</v>
      </c>
    </row>
    <row r="618" spans="1:44" x14ac:dyDescent="0.35">
      <c r="A618" t="s">
        <v>316</v>
      </c>
      <c r="B618">
        <v>51</v>
      </c>
      <c r="C618" t="s">
        <v>31</v>
      </c>
      <c r="D618">
        <v>1318</v>
      </c>
      <c r="E618" t="s">
        <v>32</v>
      </c>
      <c r="F618">
        <v>26</v>
      </c>
      <c r="G618">
        <v>4</v>
      </c>
      <c r="H618" t="s">
        <v>51</v>
      </c>
      <c r="I618">
        <v>1</v>
      </c>
      <c r="J618" t="s">
        <v>34</v>
      </c>
      <c r="K618">
        <v>66</v>
      </c>
      <c r="L618">
        <v>3</v>
      </c>
      <c r="M618">
        <v>4</v>
      </c>
      <c r="N618" t="s">
        <v>48</v>
      </c>
      <c r="O618">
        <v>3</v>
      </c>
      <c r="P618" t="s">
        <v>41</v>
      </c>
      <c r="Q618">
        <v>16307</v>
      </c>
      <c r="R618">
        <v>5594</v>
      </c>
      <c r="S618">
        <v>2</v>
      </c>
      <c r="T618">
        <v>0</v>
      </c>
      <c r="U618" s="17">
        <v>0.14000000000000001</v>
      </c>
      <c r="V618">
        <v>3</v>
      </c>
      <c r="W618">
        <v>3</v>
      </c>
      <c r="X618">
        <v>1</v>
      </c>
      <c r="Y618">
        <v>29</v>
      </c>
      <c r="Z618">
        <v>2</v>
      </c>
      <c r="AA618">
        <v>2</v>
      </c>
      <c r="AB618">
        <v>20</v>
      </c>
      <c r="AC618">
        <v>6</v>
      </c>
      <c r="AD618">
        <v>4</v>
      </c>
      <c r="AE618">
        <v>17</v>
      </c>
      <c r="AF618">
        <v>0</v>
      </c>
      <c r="AG618">
        <f>IF(tbl_HR_Data[[#This Row],[Gender]]="Male",1,0)</f>
        <v>0</v>
      </c>
      <c r="AH618" cm="1">
        <f t="array" ref="AH618">_xlfn.SWITCH(tbl_HR_Data[[#This Row],[BusinessTravel]], "Non-Travel", 0, "Travel_Rarely", 1, "Travel_Frequently", 2)</f>
        <v>1</v>
      </c>
      <c r="AI618" cm="1">
        <f t="array" ref="AI618">_xlfn.SWITCH(tbl_HR_Data[[#This Row],[MaritalStatus]],"Single",0,"Married",1,"Divorced",2)</f>
        <v>1</v>
      </c>
      <c r="AJ618">
        <f>IF(tbl_HR_Data[[#This Row],[OverTime]]=1,1,0)</f>
        <v>0</v>
      </c>
      <c r="AK618">
        <f>IF(tbl_HR_Data[[#This Row],[DistanceFromHome]]&gt;15,1,0)</f>
        <v>1</v>
      </c>
      <c r="AL618">
        <f>IF(tbl_HR_Data[[#This Row],[JobSatisfaction]]&lt;=2,1,0)</f>
        <v>0</v>
      </c>
      <c r="AM618">
        <f>IF(tbl_HR_Data[[#This Row],[MonthlyIncome]]&lt;$AT$2,1,0)</f>
        <v>0</v>
      </c>
      <c r="AN618">
        <f>IF(tbl_HR_Data[[#This Row],[Travel_Code]]=2,1,0)</f>
        <v>0</v>
      </c>
      <c r="AO618">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618" s="15">
        <f>tbl_HR_Data[[#This Row],[Risk_Score_Raw]] / SUM(Logic_Parameters!$B$2:$B$6)</f>
        <v>0.10908033267710357</v>
      </c>
      <c r="AQ618" s="16" t="str" cm="1">
        <f t="array" ref="AQ618">_xlfn.IFS(tbl_HR_Data[[#This Row],[Attrition_Risk_Percentage]] &gt;= 0.75, "Critical",tbl_HR_Data[ [#This Row],[Attrition_Risk_Percentage] ]&gt;= 0.5, "High",tbl_HR_Data[[#This Row],[Attrition_Risk_Percentage]] &gt;= 0.25, "Medium",TRUE, "Low")</f>
        <v>Low</v>
      </c>
      <c r="AR618" s="16" cm="1">
        <f t="array" ref="AR618">IFERROR(_xlfn.IFS(tbl_HR_Data[[#This Row],[Risk_Category]]="Critical",tbl_HR_Data[[#This Row],[MonthlyIncome]]*1.5,tbl_HR_Data[[#This Row],[Risk_Category]]="High",tbl_HR_Data[[#This Row],[MonthlyIncome]]*1.5),0)</f>
        <v>0</v>
      </c>
    </row>
    <row r="619" spans="1:44" x14ac:dyDescent="0.35">
      <c r="A619" t="s">
        <v>855</v>
      </c>
      <c r="B619">
        <v>44</v>
      </c>
      <c r="C619" t="s">
        <v>31</v>
      </c>
      <c r="D619">
        <v>625</v>
      </c>
      <c r="E619" t="s">
        <v>38</v>
      </c>
      <c r="F619">
        <v>4</v>
      </c>
      <c r="G619">
        <v>3</v>
      </c>
      <c r="H619" t="s">
        <v>44</v>
      </c>
      <c r="I619">
        <v>4</v>
      </c>
      <c r="J619" t="s">
        <v>39</v>
      </c>
      <c r="K619">
        <v>50</v>
      </c>
      <c r="L619">
        <v>3</v>
      </c>
      <c r="M619">
        <v>2</v>
      </c>
      <c r="N619" t="s">
        <v>47</v>
      </c>
      <c r="O619">
        <v>2</v>
      </c>
      <c r="P619" t="s">
        <v>36</v>
      </c>
      <c r="Q619">
        <v>5933</v>
      </c>
      <c r="R619">
        <v>5197</v>
      </c>
      <c r="S619">
        <v>9</v>
      </c>
      <c r="T619">
        <v>0</v>
      </c>
      <c r="U619" s="17">
        <v>0.12</v>
      </c>
      <c r="V619">
        <v>3</v>
      </c>
      <c r="W619">
        <v>4</v>
      </c>
      <c r="X619">
        <v>0</v>
      </c>
      <c r="Y619">
        <v>10</v>
      </c>
      <c r="Z619">
        <v>2</v>
      </c>
      <c r="AA619">
        <v>2</v>
      </c>
      <c r="AB619">
        <v>5</v>
      </c>
      <c r="AC619">
        <v>2</v>
      </c>
      <c r="AD619">
        <v>2</v>
      </c>
      <c r="AE619">
        <v>3</v>
      </c>
      <c r="AF619">
        <v>0</v>
      </c>
      <c r="AG619">
        <f>IF(tbl_HR_Data[[#This Row],[Gender]]="Male",1,0)</f>
        <v>1</v>
      </c>
      <c r="AH619" cm="1">
        <f t="array" ref="AH619">_xlfn.SWITCH(tbl_HR_Data[[#This Row],[BusinessTravel]], "Non-Travel", 0, "Travel_Rarely", 1, "Travel_Frequently", 2)</f>
        <v>1</v>
      </c>
      <c r="AI619" cm="1">
        <f t="array" ref="AI619">_xlfn.SWITCH(tbl_HR_Data[[#This Row],[MaritalStatus]],"Single",0,"Married",1,"Divorced",2)</f>
        <v>0</v>
      </c>
      <c r="AJ619">
        <f>IF(tbl_HR_Data[[#This Row],[OverTime]]=1,1,0)</f>
        <v>0</v>
      </c>
      <c r="AK619">
        <f>IF(tbl_HR_Data[[#This Row],[DistanceFromHome]]&gt;15,1,0)</f>
        <v>0</v>
      </c>
      <c r="AL619">
        <f>IF(tbl_HR_Data[[#This Row],[JobSatisfaction]]&lt;=2,1,0)</f>
        <v>1</v>
      </c>
      <c r="AM619">
        <f>IF(tbl_HR_Data[[#This Row],[MonthlyIncome]]&lt;$AT$2,1,0)</f>
        <v>0</v>
      </c>
      <c r="AN619">
        <f>IF(tbl_HR_Data[[#This Row],[Travel_Code]]=2,1,0)</f>
        <v>0</v>
      </c>
      <c r="AO619">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619" s="15">
        <f>tbl_HR_Data[[#This Row],[Risk_Score_Raw]] / SUM(Logic_Parameters!$B$2:$B$6)</f>
        <v>0.14485673308716898</v>
      </c>
      <c r="AQ619" s="16" t="str" cm="1">
        <f t="array" ref="AQ619">_xlfn.IFS(tbl_HR_Data[[#This Row],[Attrition_Risk_Percentage]] &gt;= 0.75, "Critical",tbl_HR_Data[ [#This Row],[Attrition_Risk_Percentage] ]&gt;= 0.5, "High",tbl_HR_Data[[#This Row],[Attrition_Risk_Percentage]] &gt;= 0.25, "Medium",TRUE, "Low")</f>
        <v>Low</v>
      </c>
      <c r="AR619" s="16" cm="1">
        <f t="array" ref="AR619">IFERROR(_xlfn.IFS(tbl_HR_Data[[#This Row],[Risk_Category]]="Critical",tbl_HR_Data[[#This Row],[MonthlyIncome]]*1.5,tbl_HR_Data[[#This Row],[Risk_Category]]="High",tbl_HR_Data[[#This Row],[MonthlyIncome]]*1.5),0)</f>
        <v>0</v>
      </c>
    </row>
    <row r="620" spans="1:44" x14ac:dyDescent="0.35">
      <c r="A620" t="s">
        <v>387</v>
      </c>
      <c r="B620">
        <v>25</v>
      </c>
      <c r="C620" t="s">
        <v>31</v>
      </c>
      <c r="D620">
        <v>180</v>
      </c>
      <c r="E620" t="s">
        <v>38</v>
      </c>
      <c r="F620">
        <v>2</v>
      </c>
      <c r="G620">
        <v>1</v>
      </c>
      <c r="H620" t="s">
        <v>44</v>
      </c>
      <c r="I620">
        <v>1</v>
      </c>
      <c r="J620" t="s">
        <v>39</v>
      </c>
      <c r="K620">
        <v>65</v>
      </c>
      <c r="L620">
        <v>4</v>
      </c>
      <c r="M620">
        <v>1</v>
      </c>
      <c r="N620" t="s">
        <v>40</v>
      </c>
      <c r="O620">
        <v>1</v>
      </c>
      <c r="P620" t="s">
        <v>36</v>
      </c>
      <c r="Q620">
        <v>3424</v>
      </c>
      <c r="R620">
        <v>21632</v>
      </c>
      <c r="S620">
        <v>7</v>
      </c>
      <c r="T620">
        <v>0</v>
      </c>
      <c r="U620" s="17">
        <v>0.13</v>
      </c>
      <c r="V620">
        <v>3</v>
      </c>
      <c r="W620">
        <v>3</v>
      </c>
      <c r="X620">
        <v>0</v>
      </c>
      <c r="Y620">
        <v>6</v>
      </c>
      <c r="Z620">
        <v>3</v>
      </c>
      <c r="AA620">
        <v>2</v>
      </c>
      <c r="AB620">
        <v>4</v>
      </c>
      <c r="AC620">
        <v>3</v>
      </c>
      <c r="AD620">
        <v>0</v>
      </c>
      <c r="AE620">
        <v>1</v>
      </c>
      <c r="AF620">
        <v>0</v>
      </c>
      <c r="AG620">
        <f>IF(tbl_HR_Data[[#This Row],[Gender]]="Male",1,0)</f>
        <v>1</v>
      </c>
      <c r="AH620" cm="1">
        <f t="array" ref="AH620">_xlfn.SWITCH(tbl_HR_Data[[#This Row],[BusinessTravel]], "Non-Travel", 0, "Travel_Rarely", 1, "Travel_Frequently", 2)</f>
        <v>1</v>
      </c>
      <c r="AI620" cm="1">
        <f t="array" ref="AI620">_xlfn.SWITCH(tbl_HR_Data[[#This Row],[MaritalStatus]],"Single",0,"Married",1,"Divorced",2)</f>
        <v>0</v>
      </c>
      <c r="AJ620">
        <f>IF(tbl_HR_Data[[#This Row],[OverTime]]=1,1,0)</f>
        <v>0</v>
      </c>
      <c r="AK620">
        <f>IF(tbl_HR_Data[[#This Row],[DistanceFromHome]]&gt;15,1,0)</f>
        <v>0</v>
      </c>
      <c r="AL620">
        <f>IF(tbl_HR_Data[[#This Row],[JobSatisfaction]]&lt;=2,1,0)</f>
        <v>1</v>
      </c>
      <c r="AM620">
        <f>IF(tbl_HR_Data[[#This Row],[MonthlyIncome]]&lt;$AT$2,1,0)</f>
        <v>1</v>
      </c>
      <c r="AN620">
        <f>IF(tbl_HR_Data[[#This Row],[Travel_Code]]=2,1,0)</f>
        <v>0</v>
      </c>
      <c r="AO620">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620" s="15">
        <f>tbl_HR_Data[[#This Row],[Risk_Score_Raw]] / SUM(Logic_Parameters!$B$2:$B$6)</f>
        <v>0.3686061316669938</v>
      </c>
      <c r="AQ620" s="16" t="str" cm="1">
        <f t="array" ref="AQ620">_xlfn.IFS(tbl_HR_Data[[#This Row],[Attrition_Risk_Percentage]] &gt;= 0.75, "Critical",tbl_HR_Data[ [#This Row],[Attrition_Risk_Percentage] ]&gt;= 0.5, "High",tbl_HR_Data[[#This Row],[Attrition_Risk_Percentage]] &gt;= 0.25, "Medium",TRUE, "Low")</f>
        <v>Medium</v>
      </c>
      <c r="AR620" s="16" cm="1">
        <f t="array" ref="AR620">IFERROR(_xlfn.IFS(tbl_HR_Data[[#This Row],[Risk_Category]]="Critical",tbl_HR_Data[[#This Row],[MonthlyIncome]]*1.5,tbl_HR_Data[[#This Row],[Risk_Category]]="High",tbl_HR_Data[[#This Row],[MonthlyIncome]]*1.5),0)</f>
        <v>0</v>
      </c>
    </row>
    <row r="621" spans="1:44" x14ac:dyDescent="0.35">
      <c r="A621" t="s">
        <v>474</v>
      </c>
      <c r="B621">
        <v>33</v>
      </c>
      <c r="C621" t="s">
        <v>31</v>
      </c>
      <c r="D621">
        <v>586</v>
      </c>
      <c r="E621" t="s">
        <v>32</v>
      </c>
      <c r="F621">
        <v>1</v>
      </c>
      <c r="G621">
        <v>3</v>
      </c>
      <c r="H621" t="s">
        <v>44</v>
      </c>
      <c r="I621">
        <v>1</v>
      </c>
      <c r="J621" t="s">
        <v>39</v>
      </c>
      <c r="K621">
        <v>48</v>
      </c>
      <c r="L621">
        <v>4</v>
      </c>
      <c r="M621">
        <v>2</v>
      </c>
      <c r="N621" t="s">
        <v>35</v>
      </c>
      <c r="O621">
        <v>1</v>
      </c>
      <c r="P621" t="s">
        <v>45</v>
      </c>
      <c r="Q621">
        <v>4037</v>
      </c>
      <c r="R621">
        <v>21816</v>
      </c>
      <c r="S621">
        <v>1</v>
      </c>
      <c r="T621">
        <v>0</v>
      </c>
      <c r="U621" s="17">
        <v>0.22</v>
      </c>
      <c r="V621">
        <v>4</v>
      </c>
      <c r="W621">
        <v>1</v>
      </c>
      <c r="X621">
        <v>1</v>
      </c>
      <c r="Y621">
        <v>9</v>
      </c>
      <c r="Z621">
        <v>5</v>
      </c>
      <c r="AA621">
        <v>3</v>
      </c>
      <c r="AB621">
        <v>9</v>
      </c>
      <c r="AC621">
        <v>8</v>
      </c>
      <c r="AD621">
        <v>0</v>
      </c>
      <c r="AE621">
        <v>8</v>
      </c>
      <c r="AF621">
        <v>0</v>
      </c>
      <c r="AG621">
        <f>IF(tbl_HR_Data[[#This Row],[Gender]]="Male",1,0)</f>
        <v>1</v>
      </c>
      <c r="AH621" cm="1">
        <f t="array" ref="AH621">_xlfn.SWITCH(tbl_HR_Data[[#This Row],[BusinessTravel]], "Non-Travel", 0, "Travel_Rarely", 1, "Travel_Frequently", 2)</f>
        <v>1</v>
      </c>
      <c r="AI621" cm="1">
        <f t="array" ref="AI621">_xlfn.SWITCH(tbl_HR_Data[[#This Row],[MaritalStatus]],"Single",0,"Married",1,"Divorced",2)</f>
        <v>2</v>
      </c>
      <c r="AJ621">
        <f>IF(tbl_HR_Data[[#This Row],[OverTime]]=1,1,0)</f>
        <v>0</v>
      </c>
      <c r="AK621">
        <f>IF(tbl_HR_Data[[#This Row],[DistanceFromHome]]&gt;15,1,0)</f>
        <v>0</v>
      </c>
      <c r="AL621">
        <f>IF(tbl_HR_Data[[#This Row],[JobSatisfaction]]&lt;=2,1,0)</f>
        <v>1</v>
      </c>
      <c r="AM621">
        <f>IF(tbl_HR_Data[[#This Row],[MonthlyIncome]]&lt;$AT$2,1,0)</f>
        <v>1</v>
      </c>
      <c r="AN621">
        <f>IF(tbl_HR_Data[[#This Row],[Travel_Code]]=2,1,0)</f>
        <v>0</v>
      </c>
      <c r="AO621">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621" s="15">
        <f>tbl_HR_Data[[#This Row],[Risk_Score_Raw]] / SUM(Logic_Parameters!$B$2:$B$6)</f>
        <v>0.3686061316669938</v>
      </c>
      <c r="AQ621" s="16" t="str" cm="1">
        <f t="array" ref="AQ621">_xlfn.IFS(tbl_HR_Data[[#This Row],[Attrition_Risk_Percentage]] &gt;= 0.75, "Critical",tbl_HR_Data[ [#This Row],[Attrition_Risk_Percentage] ]&gt;= 0.5, "High",tbl_HR_Data[[#This Row],[Attrition_Risk_Percentage]] &gt;= 0.25, "Medium",TRUE, "Low")</f>
        <v>Medium</v>
      </c>
      <c r="AR621" s="16" cm="1">
        <f t="array" ref="AR621">IFERROR(_xlfn.IFS(tbl_HR_Data[[#This Row],[Risk_Category]]="Critical",tbl_HR_Data[[#This Row],[MonthlyIncome]]*1.5,tbl_HR_Data[[#This Row],[Risk_Category]]="High",tbl_HR_Data[[#This Row],[MonthlyIncome]]*1.5),0)</f>
        <v>0</v>
      </c>
    </row>
    <row r="622" spans="1:44" x14ac:dyDescent="0.35">
      <c r="A622" t="s">
        <v>757</v>
      </c>
      <c r="B622">
        <v>35</v>
      </c>
      <c r="C622" t="s">
        <v>31</v>
      </c>
      <c r="D622">
        <v>1343</v>
      </c>
      <c r="E622" t="s">
        <v>38</v>
      </c>
      <c r="F622">
        <v>27</v>
      </c>
      <c r="G622">
        <v>1</v>
      </c>
      <c r="H622" t="s">
        <v>44</v>
      </c>
      <c r="I622">
        <v>3</v>
      </c>
      <c r="J622" t="s">
        <v>34</v>
      </c>
      <c r="K622">
        <v>53</v>
      </c>
      <c r="L622">
        <v>2</v>
      </c>
      <c r="M622">
        <v>1</v>
      </c>
      <c r="N622" t="s">
        <v>40</v>
      </c>
      <c r="O622">
        <v>1</v>
      </c>
      <c r="P622" t="s">
        <v>36</v>
      </c>
      <c r="Q622">
        <v>2559</v>
      </c>
      <c r="R622">
        <v>17852</v>
      </c>
      <c r="S622">
        <v>1</v>
      </c>
      <c r="T622">
        <v>0</v>
      </c>
      <c r="U622" s="17">
        <v>0.11</v>
      </c>
      <c r="V622">
        <v>3</v>
      </c>
      <c r="W622">
        <v>4</v>
      </c>
      <c r="X622">
        <v>0</v>
      </c>
      <c r="Y622">
        <v>6</v>
      </c>
      <c r="Z622">
        <v>3</v>
      </c>
      <c r="AA622">
        <v>2</v>
      </c>
      <c r="AB622">
        <v>6</v>
      </c>
      <c r="AC622">
        <v>5</v>
      </c>
      <c r="AD622">
        <v>1</v>
      </c>
      <c r="AE622">
        <v>1</v>
      </c>
      <c r="AF622">
        <v>0</v>
      </c>
      <c r="AG622">
        <f>IF(tbl_HR_Data[[#This Row],[Gender]]="Male",1,0)</f>
        <v>0</v>
      </c>
      <c r="AH622" cm="1">
        <f t="array" ref="AH622">_xlfn.SWITCH(tbl_HR_Data[[#This Row],[BusinessTravel]], "Non-Travel", 0, "Travel_Rarely", 1, "Travel_Frequently", 2)</f>
        <v>1</v>
      </c>
      <c r="AI622" cm="1">
        <f t="array" ref="AI622">_xlfn.SWITCH(tbl_HR_Data[[#This Row],[MaritalStatus]],"Single",0,"Married",1,"Divorced",2)</f>
        <v>0</v>
      </c>
      <c r="AJ622">
        <f>IF(tbl_HR_Data[[#This Row],[OverTime]]=1,1,0)</f>
        <v>0</v>
      </c>
      <c r="AK622">
        <f>IF(tbl_HR_Data[[#This Row],[DistanceFromHome]]&gt;15,1,0)</f>
        <v>1</v>
      </c>
      <c r="AL622">
        <f>IF(tbl_HR_Data[[#This Row],[JobSatisfaction]]&lt;=2,1,0)</f>
        <v>1</v>
      </c>
      <c r="AM622">
        <f>IF(tbl_HR_Data[[#This Row],[MonthlyIncome]]&lt;$AT$2,1,0)</f>
        <v>1</v>
      </c>
      <c r="AN622">
        <f>IF(tbl_HR_Data[[#This Row],[Travel_Code]]=2,1,0)</f>
        <v>0</v>
      </c>
      <c r="AO622">
        <f>(tbl_HR_Data[[#This Row],[Flag_OT]] * Logic_Parameters!$B$2) +
 (tbl_HR_Data[[#This Row],[Flag_Travel]] * Logic_Parameters!$B$3) +
 (tbl_HR_Data[[#This Row],[Flag_Satisfaction]] * Logic_Parameters!$B$4) +
 (tbl_HR_Data[[#This Row],[Flag_Distance]]* Logic_Parameters!$B$5) +
 (tbl_HR_Data[[#This Row],[Flag_Income]] * Logic_Parameters!$B$6)</f>
        <v>13.865068763274337</v>
      </c>
      <c r="AP622" s="15">
        <f>tbl_HR_Data[[#This Row],[Risk_Score_Raw]] / SUM(Logic_Parameters!$B$2:$B$6)</f>
        <v>0.47768646434409739</v>
      </c>
      <c r="AQ622" s="16" t="str" cm="1">
        <f t="array" ref="AQ622">_xlfn.IFS(tbl_HR_Data[[#This Row],[Attrition_Risk_Percentage]] &gt;= 0.75, "Critical",tbl_HR_Data[ [#This Row],[Attrition_Risk_Percentage] ]&gt;= 0.5, "High",tbl_HR_Data[[#This Row],[Attrition_Risk_Percentage]] &gt;= 0.25, "Medium",TRUE, "Low")</f>
        <v>Medium</v>
      </c>
      <c r="AR622" s="16" cm="1">
        <f t="array" ref="AR622">IFERROR(_xlfn.IFS(tbl_HR_Data[[#This Row],[Risk_Category]]="Critical",tbl_HR_Data[[#This Row],[MonthlyIncome]]*1.5,tbl_HR_Data[[#This Row],[Risk_Category]]="High",tbl_HR_Data[[#This Row],[MonthlyIncome]]*1.5),0)</f>
        <v>0</v>
      </c>
    </row>
    <row r="623" spans="1:44" x14ac:dyDescent="0.35">
      <c r="A623" t="s">
        <v>1341</v>
      </c>
      <c r="B623">
        <v>36</v>
      </c>
      <c r="C623" t="s">
        <v>31</v>
      </c>
      <c r="D623">
        <v>928</v>
      </c>
      <c r="E623" t="s">
        <v>32</v>
      </c>
      <c r="F623">
        <v>1</v>
      </c>
      <c r="G623">
        <v>2</v>
      </c>
      <c r="H623" t="s">
        <v>33</v>
      </c>
      <c r="I623">
        <v>2</v>
      </c>
      <c r="J623" t="s">
        <v>39</v>
      </c>
      <c r="K623">
        <v>56</v>
      </c>
      <c r="L623">
        <v>3</v>
      </c>
      <c r="M623">
        <v>2</v>
      </c>
      <c r="N623" t="s">
        <v>35</v>
      </c>
      <c r="O623">
        <v>4</v>
      </c>
      <c r="P623" t="s">
        <v>41</v>
      </c>
      <c r="Q623">
        <v>6201</v>
      </c>
      <c r="R623">
        <v>2823</v>
      </c>
      <c r="S623">
        <v>1</v>
      </c>
      <c r="T623">
        <v>1</v>
      </c>
      <c r="U623" s="17">
        <v>0.14000000000000001</v>
      </c>
      <c r="V623">
        <v>3</v>
      </c>
      <c r="W623">
        <v>4</v>
      </c>
      <c r="X623">
        <v>1</v>
      </c>
      <c r="Y623">
        <v>18</v>
      </c>
      <c r="Z623">
        <v>1</v>
      </c>
      <c r="AA623">
        <v>2</v>
      </c>
      <c r="AB623">
        <v>18</v>
      </c>
      <c r="AC623">
        <v>14</v>
      </c>
      <c r="AD623">
        <v>4</v>
      </c>
      <c r="AE623">
        <v>11</v>
      </c>
      <c r="AF623">
        <v>0</v>
      </c>
      <c r="AG623">
        <f>IF(tbl_HR_Data[[#This Row],[Gender]]="Male",1,0)</f>
        <v>1</v>
      </c>
      <c r="AH623" cm="1">
        <f t="array" ref="AH623">_xlfn.SWITCH(tbl_HR_Data[[#This Row],[BusinessTravel]], "Non-Travel", 0, "Travel_Rarely", 1, "Travel_Frequently", 2)</f>
        <v>1</v>
      </c>
      <c r="AI623" cm="1">
        <f t="array" ref="AI623">_xlfn.SWITCH(tbl_HR_Data[[#This Row],[MaritalStatus]],"Single",0,"Married",1,"Divorced",2)</f>
        <v>1</v>
      </c>
      <c r="AJ623">
        <f>IF(tbl_HR_Data[[#This Row],[OverTime]]=1,1,0)</f>
        <v>1</v>
      </c>
      <c r="AK623">
        <f>IF(tbl_HR_Data[[#This Row],[DistanceFromHome]]&gt;15,1,0)</f>
        <v>0</v>
      </c>
      <c r="AL623">
        <f>IF(tbl_HR_Data[[#This Row],[JobSatisfaction]]&lt;=2,1,0)</f>
        <v>0</v>
      </c>
      <c r="AM623">
        <f>IF(tbl_HR_Data[[#This Row],[MonthlyIncome]]&lt;$AT$2,1,0)</f>
        <v>0</v>
      </c>
      <c r="AN623">
        <f>IF(tbl_HR_Data[[#This Row],[Travel_Code]]=2,1,0)</f>
        <v>0</v>
      </c>
      <c r="AO623">
        <f>(tbl_HR_Data[[#This Row],[Flag_OT]] * Logic_Parameters!$B$2) +
 (tbl_HR_Data[[#This Row],[Flag_Travel]] * Logic_Parameters!$B$3) +
 (tbl_HR_Data[[#This Row],[Flag_Satisfaction]] * Logic_Parameters!$B$4) +
 (tbl_HR_Data[[#This Row],[Flag_Distance]]* Logic_Parameters!$B$5) +
 (tbl_HR_Data[[#This Row],[Flag_Income]] * Logic_Parameters!$B$6)</f>
        <v>10</v>
      </c>
      <c r="AP623" s="15">
        <f>tbl_HR_Data[[#This Row],[Risk_Score_Raw]] / SUM(Logic_Parameters!$B$2:$B$6)</f>
        <v>0.3445251318258073</v>
      </c>
      <c r="AQ623" s="16" t="str" cm="1">
        <f t="array" ref="AQ623">_xlfn.IFS(tbl_HR_Data[[#This Row],[Attrition_Risk_Percentage]] &gt;= 0.75, "Critical",tbl_HR_Data[ [#This Row],[Attrition_Risk_Percentage] ]&gt;= 0.5, "High",tbl_HR_Data[[#This Row],[Attrition_Risk_Percentage]] &gt;= 0.25, "Medium",TRUE, "Low")</f>
        <v>Medium</v>
      </c>
      <c r="AR623" s="16" cm="1">
        <f t="array" ref="AR623">IFERROR(_xlfn.IFS(tbl_HR_Data[[#This Row],[Risk_Category]]="Critical",tbl_HR_Data[[#This Row],[MonthlyIncome]]*1.5,tbl_HR_Data[[#This Row],[Risk_Category]]="High",tbl_HR_Data[[#This Row],[MonthlyIncome]]*1.5),0)</f>
        <v>0</v>
      </c>
    </row>
    <row r="624" spans="1:44" x14ac:dyDescent="0.35">
      <c r="A624" t="s">
        <v>1010</v>
      </c>
      <c r="B624">
        <v>32</v>
      </c>
      <c r="C624" t="s">
        <v>31</v>
      </c>
      <c r="D624">
        <v>117</v>
      </c>
      <c r="E624" t="s">
        <v>32</v>
      </c>
      <c r="F624">
        <v>13</v>
      </c>
      <c r="G624">
        <v>4</v>
      </c>
      <c r="H624" t="s">
        <v>33</v>
      </c>
      <c r="I624">
        <v>2</v>
      </c>
      <c r="J624" t="s">
        <v>39</v>
      </c>
      <c r="K624">
        <v>73</v>
      </c>
      <c r="L624">
        <v>3</v>
      </c>
      <c r="M624">
        <v>2</v>
      </c>
      <c r="N624" t="s">
        <v>35</v>
      </c>
      <c r="O624">
        <v>4</v>
      </c>
      <c r="P624" t="s">
        <v>45</v>
      </c>
      <c r="Q624">
        <v>4403</v>
      </c>
      <c r="R624">
        <v>9250</v>
      </c>
      <c r="S624">
        <v>2</v>
      </c>
      <c r="T624">
        <v>0</v>
      </c>
      <c r="U624" s="17">
        <v>0.11</v>
      </c>
      <c r="V624">
        <v>3</v>
      </c>
      <c r="W624">
        <v>3</v>
      </c>
      <c r="X624">
        <v>1</v>
      </c>
      <c r="Y624">
        <v>8</v>
      </c>
      <c r="Z624">
        <v>3</v>
      </c>
      <c r="AA624">
        <v>2</v>
      </c>
      <c r="AB624">
        <v>5</v>
      </c>
      <c r="AC624">
        <v>2</v>
      </c>
      <c r="AD624">
        <v>0</v>
      </c>
      <c r="AE624">
        <v>3</v>
      </c>
      <c r="AF624">
        <v>0</v>
      </c>
      <c r="AG624">
        <f>IF(tbl_HR_Data[[#This Row],[Gender]]="Male",1,0)</f>
        <v>1</v>
      </c>
      <c r="AH624" cm="1">
        <f t="array" ref="AH624">_xlfn.SWITCH(tbl_HR_Data[[#This Row],[BusinessTravel]], "Non-Travel", 0, "Travel_Rarely", 1, "Travel_Frequently", 2)</f>
        <v>1</v>
      </c>
      <c r="AI624" cm="1">
        <f t="array" ref="AI624">_xlfn.SWITCH(tbl_HR_Data[[#This Row],[MaritalStatus]],"Single",0,"Married",1,"Divorced",2)</f>
        <v>2</v>
      </c>
      <c r="AJ624">
        <f>IF(tbl_HR_Data[[#This Row],[OverTime]]=1,1,0)</f>
        <v>0</v>
      </c>
      <c r="AK624">
        <f>IF(tbl_HR_Data[[#This Row],[DistanceFromHome]]&gt;15,1,0)</f>
        <v>0</v>
      </c>
      <c r="AL624">
        <f>IF(tbl_HR_Data[[#This Row],[JobSatisfaction]]&lt;=2,1,0)</f>
        <v>0</v>
      </c>
      <c r="AM624">
        <f>IF(tbl_HR_Data[[#This Row],[MonthlyIncome]]&lt;$AT$2,1,0)</f>
        <v>1</v>
      </c>
      <c r="AN624">
        <f>IF(tbl_HR_Data[[#This Row],[Travel_Code]]=2,1,0)</f>
        <v>0</v>
      </c>
      <c r="AO624">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624" s="15">
        <f>tbl_HR_Data[[#This Row],[Risk_Score_Raw]] / SUM(Logic_Parameters!$B$2:$B$6)</f>
        <v>0.22374939857982484</v>
      </c>
      <c r="AQ624" s="16" t="str" cm="1">
        <f t="array" ref="AQ624">_xlfn.IFS(tbl_HR_Data[[#This Row],[Attrition_Risk_Percentage]] &gt;= 0.75, "Critical",tbl_HR_Data[ [#This Row],[Attrition_Risk_Percentage] ]&gt;= 0.5, "High",tbl_HR_Data[[#This Row],[Attrition_Risk_Percentage]] &gt;= 0.25, "Medium",TRUE, "Low")</f>
        <v>Low</v>
      </c>
      <c r="AR624" s="16" cm="1">
        <f t="array" ref="AR624">IFERROR(_xlfn.IFS(tbl_HR_Data[[#This Row],[Risk_Category]]="Critical",tbl_HR_Data[[#This Row],[MonthlyIncome]]*1.5,tbl_HR_Data[[#This Row],[Risk_Category]]="High",tbl_HR_Data[[#This Row],[MonthlyIncome]]*1.5),0)</f>
        <v>0</v>
      </c>
    </row>
    <row r="625" spans="1:44" x14ac:dyDescent="0.35">
      <c r="A625" t="s">
        <v>1012</v>
      </c>
      <c r="B625">
        <v>30</v>
      </c>
      <c r="C625" t="s">
        <v>37</v>
      </c>
      <c r="D625">
        <v>1012</v>
      </c>
      <c r="E625" t="s">
        <v>38</v>
      </c>
      <c r="F625">
        <v>5</v>
      </c>
      <c r="G625">
        <v>4</v>
      </c>
      <c r="H625" t="s">
        <v>33</v>
      </c>
      <c r="I625">
        <v>2</v>
      </c>
      <c r="J625" t="s">
        <v>39</v>
      </c>
      <c r="K625">
        <v>75</v>
      </c>
      <c r="L625">
        <v>2</v>
      </c>
      <c r="M625">
        <v>1</v>
      </c>
      <c r="N625" t="s">
        <v>40</v>
      </c>
      <c r="O625">
        <v>4</v>
      </c>
      <c r="P625" t="s">
        <v>45</v>
      </c>
      <c r="Q625">
        <v>3761</v>
      </c>
      <c r="R625">
        <v>2373</v>
      </c>
      <c r="S625">
        <v>9</v>
      </c>
      <c r="T625">
        <v>0</v>
      </c>
      <c r="U625" s="17">
        <v>0.12</v>
      </c>
      <c r="V625">
        <v>3</v>
      </c>
      <c r="W625">
        <v>2</v>
      </c>
      <c r="X625">
        <v>1</v>
      </c>
      <c r="Y625">
        <v>10</v>
      </c>
      <c r="Z625">
        <v>3</v>
      </c>
      <c r="AA625">
        <v>2</v>
      </c>
      <c r="AB625">
        <v>5</v>
      </c>
      <c r="AC625">
        <v>4</v>
      </c>
      <c r="AD625">
        <v>0</v>
      </c>
      <c r="AE625">
        <v>3</v>
      </c>
      <c r="AF625">
        <v>0</v>
      </c>
      <c r="AG625">
        <f>IF(tbl_HR_Data[[#This Row],[Gender]]="Male",1,0)</f>
        <v>1</v>
      </c>
      <c r="AH625" cm="1">
        <f t="array" ref="AH625">_xlfn.SWITCH(tbl_HR_Data[[#This Row],[BusinessTravel]], "Non-Travel", 0, "Travel_Rarely", 1, "Travel_Frequently", 2)</f>
        <v>2</v>
      </c>
      <c r="AI625" cm="1">
        <f t="array" ref="AI625">_xlfn.SWITCH(tbl_HR_Data[[#This Row],[MaritalStatus]],"Single",0,"Married",1,"Divorced",2)</f>
        <v>2</v>
      </c>
      <c r="AJ625">
        <f>IF(tbl_HR_Data[[#This Row],[OverTime]]=1,1,0)</f>
        <v>0</v>
      </c>
      <c r="AK625">
        <f>IF(tbl_HR_Data[[#This Row],[DistanceFromHome]]&gt;15,1,0)</f>
        <v>0</v>
      </c>
      <c r="AL625">
        <f>IF(tbl_HR_Data[[#This Row],[JobSatisfaction]]&lt;=2,1,0)</f>
        <v>0</v>
      </c>
      <c r="AM625">
        <f>IF(tbl_HR_Data[[#This Row],[MonthlyIncome]]&lt;$AT$2,1,0)</f>
        <v>1</v>
      </c>
      <c r="AN625">
        <f>IF(tbl_HR_Data[[#This Row],[Travel_Code]]=2,1,0)</f>
        <v>1</v>
      </c>
      <c r="AO625">
        <f>(tbl_HR_Data[[#This Row],[Flag_OT]] * Logic_Parameters!$B$2) +
 (tbl_HR_Data[[#This Row],[Flag_Travel]] * Logic_Parameters!$B$3) +
 (tbl_HR_Data[[#This Row],[Flag_Satisfaction]] * Logic_Parameters!$B$4) +
 (tbl_HR_Data[[#This Row],[Flag_Distance]]* Logic_Parameters!$B$5) +
 (tbl_HR_Data[[#This Row],[Flag_Income]] * Logic_Parameters!$B$6)</f>
        <v>11.654818917911005</v>
      </c>
      <c r="AP625" s="15">
        <f>tbl_HR_Data[[#This Row],[Risk_Score_Raw]] / SUM(Logic_Parameters!$B$2:$B$6)</f>
        <v>0.40153780240992015</v>
      </c>
      <c r="AQ625" s="16" t="str" cm="1">
        <f t="array" ref="AQ625">_xlfn.IFS(tbl_HR_Data[[#This Row],[Attrition_Risk_Percentage]] &gt;= 0.75, "Critical",tbl_HR_Data[ [#This Row],[Attrition_Risk_Percentage] ]&gt;= 0.5, "High",tbl_HR_Data[[#This Row],[Attrition_Risk_Percentage]] &gt;= 0.25, "Medium",TRUE, "Low")</f>
        <v>Medium</v>
      </c>
      <c r="AR625" s="16" cm="1">
        <f t="array" ref="AR625">IFERROR(_xlfn.IFS(tbl_HR_Data[[#This Row],[Risk_Category]]="Critical",tbl_HR_Data[[#This Row],[MonthlyIncome]]*1.5,tbl_HR_Data[[#This Row],[Risk_Category]]="High",tbl_HR_Data[[#This Row],[MonthlyIncome]]*1.5),0)</f>
        <v>0</v>
      </c>
    </row>
    <row r="626" spans="1:44" x14ac:dyDescent="0.35">
      <c r="A626" t="s">
        <v>941</v>
      </c>
      <c r="B626">
        <v>53</v>
      </c>
      <c r="C626" t="s">
        <v>31</v>
      </c>
      <c r="D626">
        <v>661</v>
      </c>
      <c r="E626" t="s">
        <v>32</v>
      </c>
      <c r="F626">
        <v>7</v>
      </c>
      <c r="G626">
        <v>2</v>
      </c>
      <c r="H626" t="s">
        <v>51</v>
      </c>
      <c r="I626">
        <v>1</v>
      </c>
      <c r="J626" t="s">
        <v>34</v>
      </c>
      <c r="K626">
        <v>78</v>
      </c>
      <c r="L626">
        <v>2</v>
      </c>
      <c r="M626">
        <v>3</v>
      </c>
      <c r="N626" t="s">
        <v>35</v>
      </c>
      <c r="O626">
        <v>4</v>
      </c>
      <c r="P626" t="s">
        <v>41</v>
      </c>
      <c r="Q626">
        <v>10934</v>
      </c>
      <c r="R626">
        <v>20715</v>
      </c>
      <c r="S626">
        <v>7</v>
      </c>
      <c r="T626">
        <v>1</v>
      </c>
      <c r="U626" s="17">
        <v>0.18</v>
      </c>
      <c r="V626">
        <v>3</v>
      </c>
      <c r="W626">
        <v>4</v>
      </c>
      <c r="X626">
        <v>1</v>
      </c>
      <c r="Y626">
        <v>35</v>
      </c>
      <c r="Z626">
        <v>3</v>
      </c>
      <c r="AA626">
        <v>3</v>
      </c>
      <c r="AB626">
        <v>5</v>
      </c>
      <c r="AC626">
        <v>2</v>
      </c>
      <c r="AD626">
        <v>0</v>
      </c>
      <c r="AE626">
        <v>4</v>
      </c>
      <c r="AF626">
        <v>0</v>
      </c>
      <c r="AG626">
        <f>IF(tbl_HR_Data[[#This Row],[Gender]]="Male",1,0)</f>
        <v>0</v>
      </c>
      <c r="AH626" cm="1">
        <f t="array" ref="AH626">_xlfn.SWITCH(tbl_HR_Data[[#This Row],[BusinessTravel]], "Non-Travel", 0, "Travel_Rarely", 1, "Travel_Frequently", 2)</f>
        <v>1</v>
      </c>
      <c r="AI626" cm="1">
        <f t="array" ref="AI626">_xlfn.SWITCH(tbl_HR_Data[[#This Row],[MaritalStatus]],"Single",0,"Married",1,"Divorced",2)</f>
        <v>1</v>
      </c>
      <c r="AJ626">
        <f>IF(tbl_HR_Data[[#This Row],[OverTime]]=1,1,0)</f>
        <v>1</v>
      </c>
      <c r="AK626">
        <f>IF(tbl_HR_Data[[#This Row],[DistanceFromHome]]&gt;15,1,0)</f>
        <v>0</v>
      </c>
      <c r="AL626">
        <f>IF(tbl_HR_Data[[#This Row],[JobSatisfaction]]&lt;=2,1,0)</f>
        <v>0</v>
      </c>
      <c r="AM626">
        <f>IF(tbl_HR_Data[[#This Row],[MonthlyIncome]]&lt;$AT$2,1,0)</f>
        <v>0</v>
      </c>
      <c r="AN626">
        <f>IF(tbl_HR_Data[[#This Row],[Travel_Code]]=2,1,0)</f>
        <v>0</v>
      </c>
      <c r="AO626">
        <f>(tbl_HR_Data[[#This Row],[Flag_OT]] * Logic_Parameters!$B$2) +
 (tbl_HR_Data[[#This Row],[Flag_Travel]] * Logic_Parameters!$B$3) +
 (tbl_HR_Data[[#This Row],[Flag_Satisfaction]] * Logic_Parameters!$B$4) +
 (tbl_HR_Data[[#This Row],[Flag_Distance]]* Logic_Parameters!$B$5) +
 (tbl_HR_Data[[#This Row],[Flag_Income]] * Logic_Parameters!$B$6)</f>
        <v>10</v>
      </c>
      <c r="AP626" s="15">
        <f>tbl_HR_Data[[#This Row],[Risk_Score_Raw]] / SUM(Logic_Parameters!$B$2:$B$6)</f>
        <v>0.3445251318258073</v>
      </c>
      <c r="AQ626" s="16" t="str" cm="1">
        <f t="array" ref="AQ626">_xlfn.IFS(tbl_HR_Data[[#This Row],[Attrition_Risk_Percentage]] &gt;= 0.75, "Critical",tbl_HR_Data[ [#This Row],[Attrition_Risk_Percentage] ]&gt;= 0.5, "High",tbl_HR_Data[[#This Row],[Attrition_Risk_Percentage]] &gt;= 0.25, "Medium",TRUE, "Low")</f>
        <v>Medium</v>
      </c>
      <c r="AR626" s="16" cm="1">
        <f t="array" ref="AR626">IFERROR(_xlfn.IFS(tbl_HR_Data[[#This Row],[Risk_Category]]="Critical",tbl_HR_Data[[#This Row],[MonthlyIncome]]*1.5,tbl_HR_Data[[#This Row],[Risk_Category]]="High",tbl_HR_Data[[#This Row],[MonthlyIncome]]*1.5),0)</f>
        <v>0</v>
      </c>
    </row>
    <row r="627" spans="1:44" x14ac:dyDescent="0.35">
      <c r="A627" t="s">
        <v>66</v>
      </c>
      <c r="B627">
        <v>45</v>
      </c>
      <c r="C627" t="s">
        <v>31</v>
      </c>
      <c r="D627">
        <v>930</v>
      </c>
      <c r="E627" t="s">
        <v>32</v>
      </c>
      <c r="F627">
        <v>9</v>
      </c>
      <c r="G627">
        <v>3</v>
      </c>
      <c r="H627" t="s">
        <v>51</v>
      </c>
      <c r="I627">
        <v>4</v>
      </c>
      <c r="J627" t="s">
        <v>39</v>
      </c>
      <c r="K627">
        <v>74</v>
      </c>
      <c r="L627">
        <v>3</v>
      </c>
      <c r="M627">
        <v>3</v>
      </c>
      <c r="N627" t="s">
        <v>35</v>
      </c>
      <c r="O627">
        <v>1</v>
      </c>
      <c r="P627" t="s">
        <v>45</v>
      </c>
      <c r="Q627">
        <v>10761</v>
      </c>
      <c r="R627">
        <v>19239</v>
      </c>
      <c r="S627">
        <v>4</v>
      </c>
      <c r="T627">
        <v>1</v>
      </c>
      <c r="U627" s="17">
        <v>0.12</v>
      </c>
      <c r="V627">
        <v>3</v>
      </c>
      <c r="W627">
        <v>3</v>
      </c>
      <c r="X627">
        <v>1</v>
      </c>
      <c r="Y627">
        <v>18</v>
      </c>
      <c r="Z627">
        <v>2</v>
      </c>
      <c r="AA627">
        <v>3</v>
      </c>
      <c r="AB627">
        <v>5</v>
      </c>
      <c r="AC627">
        <v>4</v>
      </c>
      <c r="AD627">
        <v>0</v>
      </c>
      <c r="AE627">
        <v>2</v>
      </c>
      <c r="AF627">
        <v>0</v>
      </c>
      <c r="AG627">
        <f>IF(tbl_HR_Data[[#This Row],[Gender]]="Male",1,0)</f>
        <v>1</v>
      </c>
      <c r="AH627" cm="1">
        <f t="array" ref="AH627">_xlfn.SWITCH(tbl_HR_Data[[#This Row],[BusinessTravel]], "Non-Travel", 0, "Travel_Rarely", 1, "Travel_Frequently", 2)</f>
        <v>1</v>
      </c>
      <c r="AI627" cm="1">
        <f t="array" ref="AI627">_xlfn.SWITCH(tbl_HR_Data[[#This Row],[MaritalStatus]],"Single",0,"Married",1,"Divorced",2)</f>
        <v>2</v>
      </c>
      <c r="AJ627">
        <f>IF(tbl_HR_Data[[#This Row],[OverTime]]=1,1,0)</f>
        <v>1</v>
      </c>
      <c r="AK627">
        <f>IF(tbl_HR_Data[[#This Row],[DistanceFromHome]]&gt;15,1,0)</f>
        <v>0</v>
      </c>
      <c r="AL627">
        <f>IF(tbl_HR_Data[[#This Row],[JobSatisfaction]]&lt;=2,1,0)</f>
        <v>1</v>
      </c>
      <c r="AM627">
        <f>IF(tbl_HR_Data[[#This Row],[MonthlyIncome]]&lt;$AT$2,1,0)</f>
        <v>0</v>
      </c>
      <c r="AN627">
        <f>IF(tbl_HR_Data[[#This Row],[Travel_Code]]=2,1,0)</f>
        <v>0</v>
      </c>
      <c r="AO627">
        <f>(tbl_HR_Data[[#This Row],[Flag_OT]] * Logic_Parameters!$B$2) +
 (tbl_HR_Data[[#This Row],[Flag_Travel]] * Logic_Parameters!$B$3) +
 (tbl_HR_Data[[#This Row],[Flag_Satisfaction]] * Logic_Parameters!$B$4) +
 (tbl_HR_Data[[#This Row],[Flag_Distance]]* Logic_Parameters!$B$5) +
 (tbl_HR_Data[[#This Row],[Flag_Income]] * Logic_Parameters!$B$6)</f>
        <v>14.204533129978131</v>
      </c>
      <c r="AP627" s="15">
        <f>tbl_HR_Data[[#This Row],[Risk_Score_Raw]] / SUM(Logic_Parameters!$B$2:$B$6)</f>
        <v>0.48938186491297625</v>
      </c>
      <c r="AQ627" s="16" t="str" cm="1">
        <f t="array" ref="AQ627">_xlfn.IFS(tbl_HR_Data[[#This Row],[Attrition_Risk_Percentage]] &gt;= 0.75, "Critical",tbl_HR_Data[ [#This Row],[Attrition_Risk_Percentage] ]&gt;= 0.5, "High",tbl_HR_Data[[#This Row],[Attrition_Risk_Percentage]] &gt;= 0.25, "Medium",TRUE, "Low")</f>
        <v>Medium</v>
      </c>
      <c r="AR627" s="16" cm="1">
        <f t="array" ref="AR627">IFERROR(_xlfn.IFS(tbl_HR_Data[[#This Row],[Risk_Category]]="Critical",tbl_HR_Data[[#This Row],[MonthlyIncome]]*1.5,tbl_HR_Data[[#This Row],[Risk_Category]]="High",tbl_HR_Data[[#This Row],[MonthlyIncome]]*1.5),0)</f>
        <v>0</v>
      </c>
    </row>
    <row r="628" spans="1:44" x14ac:dyDescent="0.35">
      <c r="A628" t="s">
        <v>1190</v>
      </c>
      <c r="B628">
        <v>32</v>
      </c>
      <c r="C628" t="s">
        <v>31</v>
      </c>
      <c r="D628">
        <v>638</v>
      </c>
      <c r="E628" t="s">
        <v>38</v>
      </c>
      <c r="F628">
        <v>8</v>
      </c>
      <c r="G628">
        <v>2</v>
      </c>
      <c r="H628" t="s">
        <v>44</v>
      </c>
      <c r="I628">
        <v>3</v>
      </c>
      <c r="J628" t="s">
        <v>34</v>
      </c>
      <c r="K628">
        <v>91</v>
      </c>
      <c r="L628">
        <v>4</v>
      </c>
      <c r="M628">
        <v>2</v>
      </c>
      <c r="N628" t="s">
        <v>40</v>
      </c>
      <c r="O628">
        <v>3</v>
      </c>
      <c r="P628" t="s">
        <v>41</v>
      </c>
      <c r="Q628">
        <v>5175</v>
      </c>
      <c r="R628">
        <v>22162</v>
      </c>
      <c r="S628">
        <v>5</v>
      </c>
      <c r="T628">
        <v>0</v>
      </c>
      <c r="U628" s="17">
        <v>0.12</v>
      </c>
      <c r="V628">
        <v>3</v>
      </c>
      <c r="W628">
        <v>3</v>
      </c>
      <c r="X628">
        <v>1</v>
      </c>
      <c r="Y628">
        <v>9</v>
      </c>
      <c r="Z628">
        <v>3</v>
      </c>
      <c r="AA628">
        <v>2</v>
      </c>
      <c r="AB628">
        <v>5</v>
      </c>
      <c r="AC628">
        <v>3</v>
      </c>
      <c r="AD628">
        <v>1</v>
      </c>
      <c r="AE628">
        <v>3</v>
      </c>
      <c r="AF628">
        <v>0</v>
      </c>
      <c r="AG628">
        <f>IF(tbl_HR_Data[[#This Row],[Gender]]="Male",1,0)</f>
        <v>0</v>
      </c>
      <c r="AH628" cm="1">
        <f t="array" ref="AH628">_xlfn.SWITCH(tbl_HR_Data[[#This Row],[BusinessTravel]], "Non-Travel", 0, "Travel_Rarely", 1, "Travel_Frequently", 2)</f>
        <v>1</v>
      </c>
      <c r="AI628" cm="1">
        <f t="array" ref="AI628">_xlfn.SWITCH(tbl_HR_Data[[#This Row],[MaritalStatus]],"Single",0,"Married",1,"Divorced",2)</f>
        <v>1</v>
      </c>
      <c r="AJ628">
        <f>IF(tbl_HR_Data[[#This Row],[OverTime]]=1,1,0)</f>
        <v>0</v>
      </c>
      <c r="AK628">
        <f>IF(tbl_HR_Data[[#This Row],[DistanceFromHome]]&gt;15,1,0)</f>
        <v>0</v>
      </c>
      <c r="AL628">
        <f>IF(tbl_HR_Data[[#This Row],[JobSatisfaction]]&lt;=2,1,0)</f>
        <v>0</v>
      </c>
      <c r="AM628">
        <f>IF(tbl_HR_Data[[#This Row],[MonthlyIncome]]&lt;$AT$2,1,0)</f>
        <v>0</v>
      </c>
      <c r="AN628">
        <f>IF(tbl_HR_Data[[#This Row],[Travel_Code]]=2,1,0)</f>
        <v>0</v>
      </c>
      <c r="AO628">
        <f>(tbl_HR_Data[[#This Row],[Flag_OT]] * Logic_Parameters!$B$2) +
 (tbl_HR_Data[[#This Row],[Flag_Travel]] * Logic_Parameters!$B$3) +
 (tbl_HR_Data[[#This Row],[Flag_Satisfaction]] * Logic_Parameters!$B$4) +
 (tbl_HR_Data[[#This Row],[Flag_Distance]]* Logic_Parameters!$B$5) +
 (tbl_HR_Data[[#This Row],[Flag_Income]] * Logic_Parameters!$B$6)</f>
        <v>0</v>
      </c>
      <c r="AP628" s="15">
        <f>tbl_HR_Data[[#This Row],[Risk_Score_Raw]] / SUM(Logic_Parameters!$B$2:$B$6)</f>
        <v>0</v>
      </c>
      <c r="AQ628" s="16" t="str" cm="1">
        <f t="array" ref="AQ628">_xlfn.IFS(tbl_HR_Data[[#This Row],[Attrition_Risk_Percentage]] &gt;= 0.75, "Critical",tbl_HR_Data[ [#This Row],[Attrition_Risk_Percentage] ]&gt;= 0.5, "High",tbl_HR_Data[[#This Row],[Attrition_Risk_Percentage]] &gt;= 0.25, "Medium",TRUE, "Low")</f>
        <v>Low</v>
      </c>
      <c r="AR628" s="16" cm="1">
        <f t="array" ref="AR628">IFERROR(_xlfn.IFS(tbl_HR_Data[[#This Row],[Risk_Category]]="Critical",tbl_HR_Data[[#This Row],[MonthlyIncome]]*1.5,tbl_HR_Data[[#This Row],[Risk_Category]]="High",tbl_HR_Data[[#This Row],[MonthlyIncome]]*1.5),0)</f>
        <v>0</v>
      </c>
    </row>
    <row r="629" spans="1:44" x14ac:dyDescent="0.35">
      <c r="A629" t="s">
        <v>1328</v>
      </c>
      <c r="B629">
        <v>52</v>
      </c>
      <c r="C629" t="s">
        <v>37</v>
      </c>
      <c r="D629">
        <v>890</v>
      </c>
      <c r="E629" t="s">
        <v>38</v>
      </c>
      <c r="F629">
        <v>25</v>
      </c>
      <c r="G629">
        <v>4</v>
      </c>
      <c r="H629" t="s">
        <v>44</v>
      </c>
      <c r="I629">
        <v>3</v>
      </c>
      <c r="J629" t="s">
        <v>34</v>
      </c>
      <c r="K629">
        <v>81</v>
      </c>
      <c r="L629">
        <v>2</v>
      </c>
      <c r="M629">
        <v>4</v>
      </c>
      <c r="N629" t="s">
        <v>46</v>
      </c>
      <c r="O629">
        <v>4</v>
      </c>
      <c r="P629" t="s">
        <v>41</v>
      </c>
      <c r="Q629">
        <v>13826</v>
      </c>
      <c r="R629">
        <v>19028</v>
      </c>
      <c r="S629">
        <v>3</v>
      </c>
      <c r="T629">
        <v>0</v>
      </c>
      <c r="U629" s="17">
        <v>0.22</v>
      </c>
      <c r="V629">
        <v>4</v>
      </c>
      <c r="W629">
        <v>3</v>
      </c>
      <c r="X629">
        <v>0</v>
      </c>
      <c r="Y629">
        <v>31</v>
      </c>
      <c r="Z629">
        <v>3</v>
      </c>
      <c r="AA629">
        <v>3</v>
      </c>
      <c r="AB629">
        <v>9</v>
      </c>
      <c r="AC629">
        <v>8</v>
      </c>
      <c r="AD629">
        <v>0</v>
      </c>
      <c r="AE629">
        <v>0</v>
      </c>
      <c r="AF629">
        <v>0</v>
      </c>
      <c r="AG629">
        <f>IF(tbl_HR_Data[[#This Row],[Gender]]="Male",1,0)</f>
        <v>0</v>
      </c>
      <c r="AH629" cm="1">
        <f t="array" ref="AH629">_xlfn.SWITCH(tbl_HR_Data[[#This Row],[BusinessTravel]], "Non-Travel", 0, "Travel_Rarely", 1, "Travel_Frequently", 2)</f>
        <v>2</v>
      </c>
      <c r="AI629" cm="1">
        <f t="array" ref="AI629">_xlfn.SWITCH(tbl_HR_Data[[#This Row],[MaritalStatus]],"Single",0,"Married",1,"Divorced",2)</f>
        <v>1</v>
      </c>
      <c r="AJ629">
        <f>IF(tbl_HR_Data[[#This Row],[OverTime]]=1,1,0)</f>
        <v>0</v>
      </c>
      <c r="AK629">
        <f>IF(tbl_HR_Data[[#This Row],[DistanceFromHome]]&gt;15,1,0)</f>
        <v>1</v>
      </c>
      <c r="AL629">
        <f>IF(tbl_HR_Data[[#This Row],[JobSatisfaction]]&lt;=2,1,0)</f>
        <v>0</v>
      </c>
      <c r="AM629">
        <f>IF(tbl_HR_Data[[#This Row],[MonthlyIncome]]&lt;$AT$2,1,0)</f>
        <v>0</v>
      </c>
      <c r="AN629">
        <f>IF(tbl_HR_Data[[#This Row],[Travel_Code]]=2,1,0)</f>
        <v>1</v>
      </c>
      <c r="AO629">
        <f>(tbl_HR_Data[[#This Row],[Flag_OT]] * Logic_Parameters!$B$2) +
 (tbl_HR_Data[[#This Row],[Flag_Travel]] * Logic_Parameters!$B$3) +
 (tbl_HR_Data[[#This Row],[Flag_Satisfaction]] * Logic_Parameters!$B$4) +
 (tbl_HR_Data[[#This Row],[Flag_Distance]]* Logic_Parameters!$B$5) +
 (tbl_HR_Data[[#This Row],[Flag_Income]] * Logic_Parameters!$B$6)</f>
        <v>8.3264966763655544</v>
      </c>
      <c r="AP629" s="15">
        <f>tbl_HR_Data[[#This Row],[Risk_Score_Raw]] / SUM(Logic_Parameters!$B$2:$B$6)</f>
        <v>0.28686873650719891</v>
      </c>
      <c r="AQ629" s="16" t="str" cm="1">
        <f t="array" ref="AQ629">_xlfn.IFS(tbl_HR_Data[[#This Row],[Attrition_Risk_Percentage]] &gt;= 0.75, "Critical",tbl_HR_Data[ [#This Row],[Attrition_Risk_Percentage] ]&gt;= 0.5, "High",tbl_HR_Data[[#This Row],[Attrition_Risk_Percentage]] &gt;= 0.25, "Medium",TRUE, "Low")</f>
        <v>Medium</v>
      </c>
      <c r="AR629" s="16" cm="1">
        <f t="array" ref="AR629">IFERROR(_xlfn.IFS(tbl_HR_Data[[#This Row],[Risk_Category]]="Critical",tbl_HR_Data[[#This Row],[MonthlyIncome]]*1.5,tbl_HR_Data[[#This Row],[Risk_Category]]="High",tbl_HR_Data[[#This Row],[MonthlyIncome]]*1.5),0)</f>
        <v>0</v>
      </c>
    </row>
    <row r="630" spans="1:44" x14ac:dyDescent="0.35">
      <c r="A630" t="s">
        <v>132</v>
      </c>
      <c r="B630">
        <v>37</v>
      </c>
      <c r="C630" t="s">
        <v>31</v>
      </c>
      <c r="D630">
        <v>342</v>
      </c>
      <c r="E630" t="s">
        <v>32</v>
      </c>
      <c r="F630">
        <v>16</v>
      </c>
      <c r="G630">
        <v>4</v>
      </c>
      <c r="H630" t="s">
        <v>51</v>
      </c>
      <c r="I630">
        <v>4</v>
      </c>
      <c r="J630" t="s">
        <v>39</v>
      </c>
      <c r="K630">
        <v>66</v>
      </c>
      <c r="L630">
        <v>2</v>
      </c>
      <c r="M630">
        <v>2</v>
      </c>
      <c r="N630" t="s">
        <v>35</v>
      </c>
      <c r="O630">
        <v>3</v>
      </c>
      <c r="P630" t="s">
        <v>45</v>
      </c>
      <c r="Q630">
        <v>6334</v>
      </c>
      <c r="R630">
        <v>24558</v>
      </c>
      <c r="S630">
        <v>4</v>
      </c>
      <c r="T630">
        <v>0</v>
      </c>
      <c r="U630" s="17">
        <v>0.19</v>
      </c>
      <c r="V630">
        <v>3</v>
      </c>
      <c r="W630">
        <v>4</v>
      </c>
      <c r="X630">
        <v>2</v>
      </c>
      <c r="Y630">
        <v>9</v>
      </c>
      <c r="Z630">
        <v>2</v>
      </c>
      <c r="AA630">
        <v>3</v>
      </c>
      <c r="AB630">
        <v>1</v>
      </c>
      <c r="AC630">
        <v>0</v>
      </c>
      <c r="AD630">
        <v>0</v>
      </c>
      <c r="AE630">
        <v>0</v>
      </c>
      <c r="AF630">
        <v>0</v>
      </c>
      <c r="AG630">
        <f>IF(tbl_HR_Data[[#This Row],[Gender]]="Male",1,0)</f>
        <v>1</v>
      </c>
      <c r="AH630" cm="1">
        <f t="array" ref="AH630">_xlfn.SWITCH(tbl_HR_Data[[#This Row],[BusinessTravel]], "Non-Travel", 0, "Travel_Rarely", 1, "Travel_Frequently", 2)</f>
        <v>1</v>
      </c>
      <c r="AI630" cm="1">
        <f t="array" ref="AI630">_xlfn.SWITCH(tbl_HR_Data[[#This Row],[MaritalStatus]],"Single",0,"Married",1,"Divorced",2)</f>
        <v>2</v>
      </c>
      <c r="AJ630">
        <f>IF(tbl_HR_Data[[#This Row],[OverTime]]=1,1,0)</f>
        <v>0</v>
      </c>
      <c r="AK630">
        <f>IF(tbl_HR_Data[[#This Row],[DistanceFromHome]]&gt;15,1,0)</f>
        <v>1</v>
      </c>
      <c r="AL630">
        <f>IF(tbl_HR_Data[[#This Row],[JobSatisfaction]]&lt;=2,1,0)</f>
        <v>0</v>
      </c>
      <c r="AM630">
        <f>IF(tbl_HR_Data[[#This Row],[MonthlyIncome]]&lt;$AT$2,1,0)</f>
        <v>0</v>
      </c>
      <c r="AN630">
        <f>IF(tbl_HR_Data[[#This Row],[Travel_Code]]=2,1,0)</f>
        <v>0</v>
      </c>
      <c r="AO630">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630" s="15">
        <f>tbl_HR_Data[[#This Row],[Risk_Score_Raw]] / SUM(Logic_Parameters!$B$2:$B$6)</f>
        <v>0.10908033267710357</v>
      </c>
      <c r="AQ630" s="16" t="str" cm="1">
        <f t="array" ref="AQ630">_xlfn.IFS(tbl_HR_Data[[#This Row],[Attrition_Risk_Percentage]] &gt;= 0.75, "Critical",tbl_HR_Data[ [#This Row],[Attrition_Risk_Percentage] ]&gt;= 0.5, "High",tbl_HR_Data[[#This Row],[Attrition_Risk_Percentage]] &gt;= 0.25, "Medium",TRUE, "Low")</f>
        <v>Low</v>
      </c>
      <c r="AR630" s="16" cm="1">
        <f t="array" ref="AR630">IFERROR(_xlfn.IFS(tbl_HR_Data[[#This Row],[Risk_Category]]="Critical",tbl_HR_Data[[#This Row],[MonthlyIncome]]*1.5,tbl_HR_Data[[#This Row],[Risk_Category]]="High",tbl_HR_Data[[#This Row],[MonthlyIncome]]*1.5),0)</f>
        <v>0</v>
      </c>
    </row>
    <row r="631" spans="1:44" x14ac:dyDescent="0.35">
      <c r="A631" t="s">
        <v>753</v>
      </c>
      <c r="B631">
        <v>28</v>
      </c>
      <c r="C631" t="s">
        <v>31</v>
      </c>
      <c r="D631">
        <v>1169</v>
      </c>
      <c r="E631" t="s">
        <v>53</v>
      </c>
      <c r="F631">
        <v>8</v>
      </c>
      <c r="G631">
        <v>2</v>
      </c>
      <c r="H631" t="s">
        <v>44</v>
      </c>
      <c r="I631">
        <v>2</v>
      </c>
      <c r="J631" t="s">
        <v>39</v>
      </c>
      <c r="K631">
        <v>63</v>
      </c>
      <c r="L631">
        <v>2</v>
      </c>
      <c r="M631">
        <v>1</v>
      </c>
      <c r="N631" t="s">
        <v>53</v>
      </c>
      <c r="O631">
        <v>4</v>
      </c>
      <c r="P631" t="s">
        <v>45</v>
      </c>
      <c r="Q631">
        <v>4936</v>
      </c>
      <c r="R631">
        <v>23965</v>
      </c>
      <c r="S631">
        <v>1</v>
      </c>
      <c r="T631">
        <v>0</v>
      </c>
      <c r="U631" s="17">
        <v>0.13</v>
      </c>
      <c r="V631">
        <v>3</v>
      </c>
      <c r="W631">
        <v>4</v>
      </c>
      <c r="X631">
        <v>1</v>
      </c>
      <c r="Y631">
        <v>6</v>
      </c>
      <c r="Z631">
        <v>6</v>
      </c>
      <c r="AA631">
        <v>3</v>
      </c>
      <c r="AB631">
        <v>5</v>
      </c>
      <c r="AC631">
        <v>1</v>
      </c>
      <c r="AD631">
        <v>0</v>
      </c>
      <c r="AE631">
        <v>4</v>
      </c>
      <c r="AF631">
        <v>0</v>
      </c>
      <c r="AG631">
        <f>IF(tbl_HR_Data[[#This Row],[Gender]]="Male",1,0)</f>
        <v>1</v>
      </c>
      <c r="AH631" cm="1">
        <f t="array" ref="AH631">_xlfn.SWITCH(tbl_HR_Data[[#This Row],[BusinessTravel]], "Non-Travel", 0, "Travel_Rarely", 1, "Travel_Frequently", 2)</f>
        <v>1</v>
      </c>
      <c r="AI631" cm="1">
        <f t="array" ref="AI631">_xlfn.SWITCH(tbl_HR_Data[[#This Row],[MaritalStatus]],"Single",0,"Married",1,"Divorced",2)</f>
        <v>2</v>
      </c>
      <c r="AJ631">
        <f>IF(tbl_HR_Data[[#This Row],[OverTime]]=1,1,0)</f>
        <v>0</v>
      </c>
      <c r="AK631">
        <f>IF(tbl_HR_Data[[#This Row],[DistanceFromHome]]&gt;15,1,0)</f>
        <v>0</v>
      </c>
      <c r="AL631">
        <f>IF(tbl_HR_Data[[#This Row],[JobSatisfaction]]&lt;=2,1,0)</f>
        <v>0</v>
      </c>
      <c r="AM631">
        <f>IF(tbl_HR_Data[[#This Row],[MonthlyIncome]]&lt;$AT$2,1,0)</f>
        <v>0</v>
      </c>
      <c r="AN631">
        <f>IF(tbl_HR_Data[[#This Row],[Travel_Code]]=2,1,0)</f>
        <v>0</v>
      </c>
      <c r="AO631">
        <f>(tbl_HR_Data[[#This Row],[Flag_OT]] * Logic_Parameters!$B$2) +
 (tbl_HR_Data[[#This Row],[Flag_Travel]] * Logic_Parameters!$B$3) +
 (tbl_HR_Data[[#This Row],[Flag_Satisfaction]] * Logic_Parameters!$B$4) +
 (tbl_HR_Data[[#This Row],[Flag_Distance]]* Logic_Parameters!$B$5) +
 (tbl_HR_Data[[#This Row],[Flag_Income]] * Logic_Parameters!$B$6)</f>
        <v>0</v>
      </c>
      <c r="AP631" s="15">
        <f>tbl_HR_Data[[#This Row],[Risk_Score_Raw]] / SUM(Logic_Parameters!$B$2:$B$6)</f>
        <v>0</v>
      </c>
      <c r="AQ631" s="16" t="str" cm="1">
        <f t="array" ref="AQ631">_xlfn.IFS(tbl_HR_Data[[#This Row],[Attrition_Risk_Percentage]] &gt;= 0.75, "Critical",tbl_HR_Data[ [#This Row],[Attrition_Risk_Percentage] ]&gt;= 0.5, "High",tbl_HR_Data[[#This Row],[Attrition_Risk_Percentage]] &gt;= 0.25, "Medium",TRUE, "Low")</f>
        <v>Low</v>
      </c>
      <c r="AR631" s="16" cm="1">
        <f t="array" ref="AR631">IFERROR(_xlfn.IFS(tbl_HR_Data[[#This Row],[Risk_Category]]="Critical",tbl_HR_Data[[#This Row],[MonthlyIncome]]*1.5,tbl_HR_Data[[#This Row],[Risk_Category]]="High",tbl_HR_Data[[#This Row],[MonthlyIncome]]*1.5),0)</f>
        <v>0</v>
      </c>
    </row>
    <row r="632" spans="1:44" x14ac:dyDescent="0.35">
      <c r="A632" t="s">
        <v>1072</v>
      </c>
      <c r="B632">
        <v>22</v>
      </c>
      <c r="C632" t="s">
        <v>31</v>
      </c>
      <c r="D632">
        <v>1230</v>
      </c>
      <c r="E632" t="s">
        <v>38</v>
      </c>
      <c r="F632">
        <v>1</v>
      </c>
      <c r="G632">
        <v>2</v>
      </c>
      <c r="H632" t="s">
        <v>33</v>
      </c>
      <c r="I632">
        <v>4</v>
      </c>
      <c r="J632" t="s">
        <v>39</v>
      </c>
      <c r="K632">
        <v>33</v>
      </c>
      <c r="L632">
        <v>2</v>
      </c>
      <c r="M632">
        <v>2</v>
      </c>
      <c r="N632" t="s">
        <v>46</v>
      </c>
      <c r="O632">
        <v>4</v>
      </c>
      <c r="P632" t="s">
        <v>41</v>
      </c>
      <c r="Q632">
        <v>4775</v>
      </c>
      <c r="R632">
        <v>19146</v>
      </c>
      <c r="S632">
        <v>6</v>
      </c>
      <c r="T632">
        <v>0</v>
      </c>
      <c r="U632" s="17">
        <v>0.22</v>
      </c>
      <c r="V632">
        <v>4</v>
      </c>
      <c r="W632">
        <v>1</v>
      </c>
      <c r="X632">
        <v>2</v>
      </c>
      <c r="Y632">
        <v>4</v>
      </c>
      <c r="Z632">
        <v>2</v>
      </c>
      <c r="AA632">
        <v>1</v>
      </c>
      <c r="AB632">
        <v>2</v>
      </c>
      <c r="AC632">
        <v>2</v>
      </c>
      <c r="AD632">
        <v>2</v>
      </c>
      <c r="AE632">
        <v>2</v>
      </c>
      <c r="AF632">
        <v>0</v>
      </c>
      <c r="AG632">
        <f>IF(tbl_HR_Data[[#This Row],[Gender]]="Male",1,0)</f>
        <v>1</v>
      </c>
      <c r="AH632" cm="1">
        <f t="array" ref="AH632">_xlfn.SWITCH(tbl_HR_Data[[#This Row],[BusinessTravel]], "Non-Travel", 0, "Travel_Rarely", 1, "Travel_Frequently", 2)</f>
        <v>1</v>
      </c>
      <c r="AI632" cm="1">
        <f t="array" ref="AI632">_xlfn.SWITCH(tbl_HR_Data[[#This Row],[MaritalStatus]],"Single",0,"Married",1,"Divorced",2)</f>
        <v>1</v>
      </c>
      <c r="AJ632">
        <f>IF(tbl_HR_Data[[#This Row],[OverTime]]=1,1,0)</f>
        <v>0</v>
      </c>
      <c r="AK632">
        <f>IF(tbl_HR_Data[[#This Row],[DistanceFromHome]]&gt;15,1,0)</f>
        <v>0</v>
      </c>
      <c r="AL632">
        <f>IF(tbl_HR_Data[[#This Row],[JobSatisfaction]]&lt;=2,1,0)</f>
        <v>0</v>
      </c>
      <c r="AM632">
        <f>IF(tbl_HR_Data[[#This Row],[MonthlyIncome]]&lt;$AT$2,1,0)</f>
        <v>1</v>
      </c>
      <c r="AN632">
        <f>IF(tbl_HR_Data[[#This Row],[Travel_Code]]=2,1,0)</f>
        <v>0</v>
      </c>
      <c r="AO632">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632" s="15">
        <f>tbl_HR_Data[[#This Row],[Risk_Score_Raw]] / SUM(Logic_Parameters!$B$2:$B$6)</f>
        <v>0.22374939857982484</v>
      </c>
      <c r="AQ632" s="16" t="str" cm="1">
        <f t="array" ref="AQ632">_xlfn.IFS(tbl_HR_Data[[#This Row],[Attrition_Risk_Percentage]] &gt;= 0.75, "Critical",tbl_HR_Data[ [#This Row],[Attrition_Risk_Percentage] ]&gt;= 0.5, "High",tbl_HR_Data[[#This Row],[Attrition_Risk_Percentage]] &gt;= 0.25, "Medium",TRUE, "Low")</f>
        <v>Low</v>
      </c>
      <c r="AR632" s="16" cm="1">
        <f t="array" ref="AR632">IFERROR(_xlfn.IFS(tbl_HR_Data[[#This Row],[Risk_Category]]="Critical",tbl_HR_Data[[#This Row],[MonthlyIncome]]*1.5,tbl_HR_Data[[#This Row],[Risk_Category]]="High",tbl_HR_Data[[#This Row],[MonthlyIncome]]*1.5),0)</f>
        <v>0</v>
      </c>
    </row>
    <row r="633" spans="1:44" x14ac:dyDescent="0.35">
      <c r="A633" t="s">
        <v>397</v>
      </c>
      <c r="B633">
        <v>44</v>
      </c>
      <c r="C633" t="s">
        <v>31</v>
      </c>
      <c r="D633">
        <v>986</v>
      </c>
      <c r="E633" t="s">
        <v>38</v>
      </c>
      <c r="F633">
        <v>8</v>
      </c>
      <c r="G633">
        <v>4</v>
      </c>
      <c r="H633" t="s">
        <v>33</v>
      </c>
      <c r="I633">
        <v>1</v>
      </c>
      <c r="J633" t="s">
        <v>39</v>
      </c>
      <c r="K633">
        <v>62</v>
      </c>
      <c r="L633">
        <v>4</v>
      </c>
      <c r="M633">
        <v>1</v>
      </c>
      <c r="N633" t="s">
        <v>43</v>
      </c>
      <c r="O633">
        <v>4</v>
      </c>
      <c r="P633" t="s">
        <v>41</v>
      </c>
      <c r="Q633">
        <v>2818</v>
      </c>
      <c r="R633">
        <v>5044</v>
      </c>
      <c r="S633">
        <v>2</v>
      </c>
      <c r="T633">
        <v>1</v>
      </c>
      <c r="U633" s="17">
        <v>0.24</v>
      </c>
      <c r="V633">
        <v>4</v>
      </c>
      <c r="W633">
        <v>3</v>
      </c>
      <c r="X633">
        <v>1</v>
      </c>
      <c r="Y633">
        <v>10</v>
      </c>
      <c r="Z633">
        <v>2</v>
      </c>
      <c r="AA633">
        <v>2</v>
      </c>
      <c r="AB633">
        <v>3</v>
      </c>
      <c r="AC633">
        <v>2</v>
      </c>
      <c r="AD633">
        <v>0</v>
      </c>
      <c r="AE633">
        <v>2</v>
      </c>
      <c r="AF633">
        <v>0</v>
      </c>
      <c r="AG633">
        <f>IF(tbl_HR_Data[[#This Row],[Gender]]="Male",1,0)</f>
        <v>1</v>
      </c>
      <c r="AH633" cm="1">
        <f t="array" ref="AH633">_xlfn.SWITCH(tbl_HR_Data[[#This Row],[BusinessTravel]], "Non-Travel", 0, "Travel_Rarely", 1, "Travel_Frequently", 2)</f>
        <v>1</v>
      </c>
      <c r="AI633" cm="1">
        <f t="array" ref="AI633">_xlfn.SWITCH(tbl_HR_Data[[#This Row],[MaritalStatus]],"Single",0,"Married",1,"Divorced",2)</f>
        <v>1</v>
      </c>
      <c r="AJ633">
        <f>IF(tbl_HR_Data[[#This Row],[OverTime]]=1,1,0)</f>
        <v>1</v>
      </c>
      <c r="AK633">
        <f>IF(tbl_HR_Data[[#This Row],[DistanceFromHome]]&gt;15,1,0)</f>
        <v>0</v>
      </c>
      <c r="AL633">
        <f>IF(tbl_HR_Data[[#This Row],[JobSatisfaction]]&lt;=2,1,0)</f>
        <v>0</v>
      </c>
      <c r="AM633">
        <f>IF(tbl_HR_Data[[#This Row],[MonthlyIncome]]&lt;$AT$2,1,0)</f>
        <v>1</v>
      </c>
      <c r="AN633">
        <f>IF(tbl_HR_Data[[#This Row],[Travel_Code]]=2,1,0)</f>
        <v>0</v>
      </c>
      <c r="AO633">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633" s="15">
        <f>tbl_HR_Data[[#This Row],[Risk_Score_Raw]] / SUM(Logic_Parameters!$B$2:$B$6)</f>
        <v>0.56827453040563214</v>
      </c>
      <c r="AQ633" s="16" t="str" cm="1">
        <f t="array" ref="AQ633">_xlfn.IFS(tbl_HR_Data[[#This Row],[Attrition_Risk_Percentage]] &gt;= 0.75, "Critical",tbl_HR_Data[ [#This Row],[Attrition_Risk_Percentage] ]&gt;= 0.5, "High",tbl_HR_Data[[#This Row],[Attrition_Risk_Percentage]] &gt;= 0.25, "Medium",TRUE, "Low")</f>
        <v>High</v>
      </c>
      <c r="AR633" s="16" cm="1">
        <f t="array" ref="AR633">IFERROR(_xlfn.IFS(tbl_HR_Data[[#This Row],[Risk_Category]]="Critical",tbl_HR_Data[[#This Row],[MonthlyIncome]]*1.5,tbl_HR_Data[[#This Row],[Risk_Category]]="High",tbl_HR_Data[[#This Row],[MonthlyIncome]]*1.5),0)</f>
        <v>4227</v>
      </c>
    </row>
    <row r="634" spans="1:44" x14ac:dyDescent="0.35">
      <c r="A634" t="s">
        <v>1317</v>
      </c>
      <c r="B634">
        <v>42</v>
      </c>
      <c r="C634" t="s">
        <v>37</v>
      </c>
      <c r="D634">
        <v>1271</v>
      </c>
      <c r="E634" t="s">
        <v>38</v>
      </c>
      <c r="F634">
        <v>2</v>
      </c>
      <c r="G634">
        <v>1</v>
      </c>
      <c r="H634" t="s">
        <v>44</v>
      </c>
      <c r="I634">
        <v>2</v>
      </c>
      <c r="J634" t="s">
        <v>39</v>
      </c>
      <c r="K634">
        <v>35</v>
      </c>
      <c r="L634">
        <v>3</v>
      </c>
      <c r="M634">
        <v>1</v>
      </c>
      <c r="N634" t="s">
        <v>40</v>
      </c>
      <c r="O634">
        <v>4</v>
      </c>
      <c r="P634" t="s">
        <v>36</v>
      </c>
      <c r="Q634">
        <v>2515</v>
      </c>
      <c r="R634">
        <v>9068</v>
      </c>
      <c r="S634">
        <v>5</v>
      </c>
      <c r="T634">
        <v>1</v>
      </c>
      <c r="U634" s="17">
        <v>0.14000000000000001</v>
      </c>
      <c r="V634">
        <v>3</v>
      </c>
      <c r="W634">
        <v>4</v>
      </c>
      <c r="X634">
        <v>0</v>
      </c>
      <c r="Y634">
        <v>8</v>
      </c>
      <c r="Z634">
        <v>2</v>
      </c>
      <c r="AA634">
        <v>3</v>
      </c>
      <c r="AB634">
        <v>2</v>
      </c>
      <c r="AC634">
        <v>1</v>
      </c>
      <c r="AD634">
        <v>2</v>
      </c>
      <c r="AE634">
        <v>2</v>
      </c>
      <c r="AF634">
        <v>0</v>
      </c>
      <c r="AG634">
        <f>IF(tbl_HR_Data[[#This Row],[Gender]]="Male",1,0)</f>
        <v>1</v>
      </c>
      <c r="AH634" cm="1">
        <f t="array" ref="AH634">_xlfn.SWITCH(tbl_HR_Data[[#This Row],[BusinessTravel]], "Non-Travel", 0, "Travel_Rarely", 1, "Travel_Frequently", 2)</f>
        <v>2</v>
      </c>
      <c r="AI634" cm="1">
        <f t="array" ref="AI634">_xlfn.SWITCH(tbl_HR_Data[[#This Row],[MaritalStatus]],"Single",0,"Married",1,"Divorced",2)</f>
        <v>0</v>
      </c>
      <c r="AJ634">
        <f>IF(tbl_HR_Data[[#This Row],[OverTime]]=1,1,0)</f>
        <v>1</v>
      </c>
      <c r="AK634">
        <f>IF(tbl_HR_Data[[#This Row],[DistanceFromHome]]&gt;15,1,0)</f>
        <v>0</v>
      </c>
      <c r="AL634">
        <f>IF(tbl_HR_Data[[#This Row],[JobSatisfaction]]&lt;=2,1,0)</f>
        <v>0</v>
      </c>
      <c r="AM634">
        <f>IF(tbl_HR_Data[[#This Row],[MonthlyIncome]]&lt;$AT$2,1,0)</f>
        <v>1</v>
      </c>
      <c r="AN634">
        <f>IF(tbl_HR_Data[[#This Row],[Travel_Code]]=2,1,0)</f>
        <v>1</v>
      </c>
      <c r="AO634">
        <f>(tbl_HR_Data[[#This Row],[Flag_OT]] * Logic_Parameters!$B$2) +
 (tbl_HR_Data[[#This Row],[Flag_Travel]] * Logic_Parameters!$B$3) +
 (tbl_HR_Data[[#This Row],[Flag_Satisfaction]] * Logic_Parameters!$B$4) +
 (tbl_HR_Data[[#This Row],[Flag_Distance]]* Logic_Parameters!$B$5) +
 (tbl_HR_Data[[#This Row],[Flag_Income]] * Logic_Parameters!$B$6)</f>
        <v>21.654818917911005</v>
      </c>
      <c r="AP634" s="15">
        <f>tbl_HR_Data[[#This Row],[Risk_Score_Raw]] / SUM(Logic_Parameters!$B$2:$B$6)</f>
        <v>0.74606293423572745</v>
      </c>
      <c r="AQ634" s="16" t="str" cm="1">
        <f t="array" ref="AQ634">_xlfn.IFS(tbl_HR_Data[[#This Row],[Attrition_Risk_Percentage]] &gt;= 0.75, "Critical",tbl_HR_Data[ [#This Row],[Attrition_Risk_Percentage] ]&gt;= 0.5, "High",tbl_HR_Data[[#This Row],[Attrition_Risk_Percentage]] &gt;= 0.25, "Medium",TRUE, "Low")</f>
        <v>High</v>
      </c>
      <c r="AR634" s="16" cm="1">
        <f t="array" ref="AR634">IFERROR(_xlfn.IFS(tbl_HR_Data[[#This Row],[Risk_Category]]="Critical",tbl_HR_Data[[#This Row],[MonthlyIncome]]*1.5,tbl_HR_Data[[#This Row],[Risk_Category]]="High",tbl_HR_Data[[#This Row],[MonthlyIncome]]*1.5),0)</f>
        <v>3772.5</v>
      </c>
    </row>
    <row r="635" spans="1:44" x14ac:dyDescent="0.35">
      <c r="A635" t="s">
        <v>1289</v>
      </c>
      <c r="B635">
        <v>36</v>
      </c>
      <c r="C635" t="s">
        <v>31</v>
      </c>
      <c r="D635">
        <v>1278</v>
      </c>
      <c r="E635" t="s">
        <v>53</v>
      </c>
      <c r="F635">
        <v>8</v>
      </c>
      <c r="G635">
        <v>3</v>
      </c>
      <c r="H635" t="s">
        <v>33</v>
      </c>
      <c r="I635">
        <v>1</v>
      </c>
      <c r="J635" t="s">
        <v>39</v>
      </c>
      <c r="K635">
        <v>77</v>
      </c>
      <c r="L635">
        <v>2</v>
      </c>
      <c r="M635">
        <v>1</v>
      </c>
      <c r="N635" t="s">
        <v>53</v>
      </c>
      <c r="O635">
        <v>1</v>
      </c>
      <c r="P635" t="s">
        <v>41</v>
      </c>
      <c r="Q635">
        <v>2342</v>
      </c>
      <c r="R635">
        <v>8635</v>
      </c>
      <c r="S635">
        <v>0</v>
      </c>
      <c r="T635">
        <v>0</v>
      </c>
      <c r="U635" s="17">
        <v>0.21</v>
      </c>
      <c r="V635">
        <v>4</v>
      </c>
      <c r="W635">
        <v>3</v>
      </c>
      <c r="X635">
        <v>0</v>
      </c>
      <c r="Y635">
        <v>6</v>
      </c>
      <c r="Z635">
        <v>3</v>
      </c>
      <c r="AA635">
        <v>3</v>
      </c>
      <c r="AB635">
        <v>5</v>
      </c>
      <c r="AC635">
        <v>4</v>
      </c>
      <c r="AD635">
        <v>0</v>
      </c>
      <c r="AE635">
        <v>3</v>
      </c>
      <c r="AF635">
        <v>0</v>
      </c>
      <c r="AG635">
        <f>IF(tbl_HR_Data[[#This Row],[Gender]]="Male",1,0)</f>
        <v>1</v>
      </c>
      <c r="AH635" cm="1">
        <f t="array" ref="AH635">_xlfn.SWITCH(tbl_HR_Data[[#This Row],[BusinessTravel]], "Non-Travel", 0, "Travel_Rarely", 1, "Travel_Frequently", 2)</f>
        <v>1</v>
      </c>
      <c r="AI635" cm="1">
        <f t="array" ref="AI635">_xlfn.SWITCH(tbl_HR_Data[[#This Row],[MaritalStatus]],"Single",0,"Married",1,"Divorced",2)</f>
        <v>1</v>
      </c>
      <c r="AJ635">
        <f>IF(tbl_HR_Data[[#This Row],[OverTime]]=1,1,0)</f>
        <v>0</v>
      </c>
      <c r="AK635">
        <f>IF(tbl_HR_Data[[#This Row],[DistanceFromHome]]&gt;15,1,0)</f>
        <v>0</v>
      </c>
      <c r="AL635">
        <f>IF(tbl_HR_Data[[#This Row],[JobSatisfaction]]&lt;=2,1,0)</f>
        <v>1</v>
      </c>
      <c r="AM635">
        <f>IF(tbl_HR_Data[[#This Row],[MonthlyIncome]]&lt;$AT$2,1,0)</f>
        <v>1</v>
      </c>
      <c r="AN635">
        <f>IF(tbl_HR_Data[[#This Row],[Travel_Code]]=2,1,0)</f>
        <v>0</v>
      </c>
      <c r="AO635">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635" s="15">
        <f>tbl_HR_Data[[#This Row],[Risk_Score_Raw]] / SUM(Logic_Parameters!$B$2:$B$6)</f>
        <v>0.3686061316669938</v>
      </c>
      <c r="AQ635" s="16" t="str" cm="1">
        <f t="array" ref="AQ635">_xlfn.IFS(tbl_HR_Data[[#This Row],[Attrition_Risk_Percentage]] &gt;= 0.75, "Critical",tbl_HR_Data[ [#This Row],[Attrition_Risk_Percentage] ]&gt;= 0.5, "High",tbl_HR_Data[[#This Row],[Attrition_Risk_Percentage]] &gt;= 0.25, "Medium",TRUE, "Low")</f>
        <v>Medium</v>
      </c>
      <c r="AR635" s="16" cm="1">
        <f t="array" ref="AR635">IFERROR(_xlfn.IFS(tbl_HR_Data[[#This Row],[Risk_Category]]="Critical",tbl_HR_Data[[#This Row],[MonthlyIncome]]*1.5,tbl_HR_Data[[#This Row],[Risk_Category]]="High",tbl_HR_Data[[#This Row],[MonthlyIncome]]*1.5),0)</f>
        <v>0</v>
      </c>
    </row>
    <row r="636" spans="1:44" x14ac:dyDescent="0.35">
      <c r="A636" t="s">
        <v>1444</v>
      </c>
      <c r="B636">
        <v>25</v>
      </c>
      <c r="C636" t="s">
        <v>31</v>
      </c>
      <c r="D636">
        <v>141</v>
      </c>
      <c r="E636" t="s">
        <v>32</v>
      </c>
      <c r="F636">
        <v>3</v>
      </c>
      <c r="G636">
        <v>1</v>
      </c>
      <c r="H636" t="s">
        <v>42</v>
      </c>
      <c r="I636">
        <v>3</v>
      </c>
      <c r="J636" t="s">
        <v>39</v>
      </c>
      <c r="K636">
        <v>98</v>
      </c>
      <c r="L636">
        <v>3</v>
      </c>
      <c r="M636">
        <v>2</v>
      </c>
      <c r="N636" t="s">
        <v>35</v>
      </c>
      <c r="O636">
        <v>1</v>
      </c>
      <c r="P636" t="s">
        <v>41</v>
      </c>
      <c r="Q636">
        <v>4194</v>
      </c>
      <c r="R636">
        <v>14363</v>
      </c>
      <c r="S636">
        <v>1</v>
      </c>
      <c r="T636">
        <v>1</v>
      </c>
      <c r="U636" s="17">
        <v>0.18</v>
      </c>
      <c r="V636">
        <v>3</v>
      </c>
      <c r="W636">
        <v>4</v>
      </c>
      <c r="X636">
        <v>0</v>
      </c>
      <c r="Y636">
        <v>5</v>
      </c>
      <c r="Z636">
        <v>3</v>
      </c>
      <c r="AA636">
        <v>3</v>
      </c>
      <c r="AB636">
        <v>5</v>
      </c>
      <c r="AC636">
        <v>3</v>
      </c>
      <c r="AD636">
        <v>0</v>
      </c>
      <c r="AE636">
        <v>3</v>
      </c>
      <c r="AF636">
        <v>0</v>
      </c>
      <c r="AG636">
        <f>IF(tbl_HR_Data[[#This Row],[Gender]]="Male",1,0)</f>
        <v>1</v>
      </c>
      <c r="AH636" cm="1">
        <f t="array" ref="AH636">_xlfn.SWITCH(tbl_HR_Data[[#This Row],[BusinessTravel]], "Non-Travel", 0, "Travel_Rarely", 1, "Travel_Frequently", 2)</f>
        <v>1</v>
      </c>
      <c r="AI636" cm="1">
        <f t="array" ref="AI636">_xlfn.SWITCH(tbl_HR_Data[[#This Row],[MaritalStatus]],"Single",0,"Married",1,"Divorced",2)</f>
        <v>1</v>
      </c>
      <c r="AJ636">
        <f>IF(tbl_HR_Data[[#This Row],[OverTime]]=1,1,0)</f>
        <v>1</v>
      </c>
      <c r="AK636">
        <f>IF(tbl_HR_Data[[#This Row],[DistanceFromHome]]&gt;15,1,0)</f>
        <v>0</v>
      </c>
      <c r="AL636">
        <f>IF(tbl_HR_Data[[#This Row],[JobSatisfaction]]&lt;=2,1,0)</f>
        <v>1</v>
      </c>
      <c r="AM636">
        <f>IF(tbl_HR_Data[[#This Row],[MonthlyIncome]]&lt;$AT$2,1,0)</f>
        <v>1</v>
      </c>
      <c r="AN636">
        <f>IF(tbl_HR_Data[[#This Row],[Travel_Code]]=2,1,0)</f>
        <v>0</v>
      </c>
      <c r="AO636">
        <f>(tbl_HR_Data[[#This Row],[Flag_OT]] * Logic_Parameters!$B$2) +
 (tbl_HR_Data[[#This Row],[Flag_Travel]] * Logic_Parameters!$B$3) +
 (tbl_HR_Data[[#This Row],[Flag_Satisfaction]] * Logic_Parameters!$B$4) +
 (tbl_HR_Data[[#This Row],[Flag_Distance]]* Logic_Parameters!$B$5) +
 (tbl_HR_Data[[#This Row],[Flag_Income]] * Logic_Parameters!$B$6)</f>
        <v>20.698962067398959</v>
      </c>
      <c r="AP636" s="15">
        <f>tbl_HR_Data[[#This Row],[Risk_Score_Raw]] / SUM(Logic_Parameters!$B$2:$B$6)</f>
        <v>0.71313126349280109</v>
      </c>
      <c r="AQ636" s="16" t="str" cm="1">
        <f t="array" ref="AQ636">_xlfn.IFS(tbl_HR_Data[[#This Row],[Attrition_Risk_Percentage]] &gt;= 0.75, "Critical",tbl_HR_Data[ [#This Row],[Attrition_Risk_Percentage] ]&gt;= 0.5, "High",tbl_HR_Data[[#This Row],[Attrition_Risk_Percentage]] &gt;= 0.25, "Medium",TRUE, "Low")</f>
        <v>High</v>
      </c>
      <c r="AR636" s="16" cm="1">
        <f t="array" ref="AR636">IFERROR(_xlfn.IFS(tbl_HR_Data[[#This Row],[Risk_Category]]="Critical",tbl_HR_Data[[#This Row],[MonthlyIncome]]*1.5,tbl_HR_Data[[#This Row],[Risk_Category]]="High",tbl_HR_Data[[#This Row],[MonthlyIncome]]*1.5),0)</f>
        <v>6291</v>
      </c>
    </row>
    <row r="637" spans="1:44" x14ac:dyDescent="0.35">
      <c r="A637" t="s">
        <v>499</v>
      </c>
      <c r="B637">
        <v>35</v>
      </c>
      <c r="C637" t="s">
        <v>31</v>
      </c>
      <c r="D637">
        <v>607</v>
      </c>
      <c r="E637" t="s">
        <v>38</v>
      </c>
      <c r="F637">
        <v>9</v>
      </c>
      <c r="G637">
        <v>3</v>
      </c>
      <c r="H637" t="s">
        <v>33</v>
      </c>
      <c r="I637">
        <v>4</v>
      </c>
      <c r="J637" t="s">
        <v>34</v>
      </c>
      <c r="K637">
        <v>66</v>
      </c>
      <c r="L637">
        <v>2</v>
      </c>
      <c r="M637">
        <v>3</v>
      </c>
      <c r="N637" t="s">
        <v>46</v>
      </c>
      <c r="O637">
        <v>3</v>
      </c>
      <c r="P637" t="s">
        <v>41</v>
      </c>
      <c r="Q637">
        <v>10685</v>
      </c>
      <c r="R637">
        <v>23457</v>
      </c>
      <c r="S637">
        <v>1</v>
      </c>
      <c r="T637">
        <v>1</v>
      </c>
      <c r="U637" s="17">
        <v>0.2</v>
      </c>
      <c r="V637">
        <v>4</v>
      </c>
      <c r="W637">
        <v>2</v>
      </c>
      <c r="X637">
        <v>1</v>
      </c>
      <c r="Y637">
        <v>17</v>
      </c>
      <c r="Z637">
        <v>2</v>
      </c>
      <c r="AA637">
        <v>3</v>
      </c>
      <c r="AB637">
        <v>17</v>
      </c>
      <c r="AC637">
        <v>14</v>
      </c>
      <c r="AD637">
        <v>5</v>
      </c>
      <c r="AE637">
        <v>15</v>
      </c>
      <c r="AF637">
        <v>0</v>
      </c>
      <c r="AG637">
        <f>IF(tbl_HR_Data[[#This Row],[Gender]]="Male",1,0)</f>
        <v>0</v>
      </c>
      <c r="AH637" cm="1">
        <f t="array" ref="AH637">_xlfn.SWITCH(tbl_HR_Data[[#This Row],[BusinessTravel]], "Non-Travel", 0, "Travel_Rarely", 1, "Travel_Frequently", 2)</f>
        <v>1</v>
      </c>
      <c r="AI637" cm="1">
        <f t="array" ref="AI637">_xlfn.SWITCH(tbl_HR_Data[[#This Row],[MaritalStatus]],"Single",0,"Married",1,"Divorced",2)</f>
        <v>1</v>
      </c>
      <c r="AJ637">
        <f>IF(tbl_HR_Data[[#This Row],[OverTime]]=1,1,0)</f>
        <v>1</v>
      </c>
      <c r="AK637">
        <f>IF(tbl_HR_Data[[#This Row],[DistanceFromHome]]&gt;15,1,0)</f>
        <v>0</v>
      </c>
      <c r="AL637">
        <f>IF(tbl_HR_Data[[#This Row],[JobSatisfaction]]&lt;=2,1,0)</f>
        <v>0</v>
      </c>
      <c r="AM637">
        <f>IF(tbl_HR_Data[[#This Row],[MonthlyIncome]]&lt;$AT$2,1,0)</f>
        <v>0</v>
      </c>
      <c r="AN637">
        <f>IF(tbl_HR_Data[[#This Row],[Travel_Code]]=2,1,0)</f>
        <v>0</v>
      </c>
      <c r="AO637">
        <f>(tbl_HR_Data[[#This Row],[Flag_OT]] * Logic_Parameters!$B$2) +
 (tbl_HR_Data[[#This Row],[Flag_Travel]] * Logic_Parameters!$B$3) +
 (tbl_HR_Data[[#This Row],[Flag_Satisfaction]] * Logic_Parameters!$B$4) +
 (tbl_HR_Data[[#This Row],[Flag_Distance]]* Logic_Parameters!$B$5) +
 (tbl_HR_Data[[#This Row],[Flag_Income]] * Logic_Parameters!$B$6)</f>
        <v>10</v>
      </c>
      <c r="AP637" s="15">
        <f>tbl_HR_Data[[#This Row],[Risk_Score_Raw]] / SUM(Logic_Parameters!$B$2:$B$6)</f>
        <v>0.3445251318258073</v>
      </c>
      <c r="AQ637" s="16" t="str" cm="1">
        <f t="array" ref="AQ637">_xlfn.IFS(tbl_HR_Data[[#This Row],[Attrition_Risk_Percentage]] &gt;= 0.75, "Critical",tbl_HR_Data[ [#This Row],[Attrition_Risk_Percentage] ]&gt;= 0.5, "High",tbl_HR_Data[[#This Row],[Attrition_Risk_Percentage]] &gt;= 0.25, "Medium",TRUE, "Low")</f>
        <v>Medium</v>
      </c>
      <c r="AR637" s="16" cm="1">
        <f t="array" ref="AR637">IFERROR(_xlfn.IFS(tbl_HR_Data[[#This Row],[Risk_Category]]="Critical",tbl_HR_Data[[#This Row],[MonthlyIncome]]*1.5,tbl_HR_Data[[#This Row],[Risk_Category]]="High",tbl_HR_Data[[#This Row],[MonthlyIncome]]*1.5),0)</f>
        <v>0</v>
      </c>
    </row>
    <row r="638" spans="1:44" x14ac:dyDescent="0.35">
      <c r="A638" t="s">
        <v>1047</v>
      </c>
      <c r="B638">
        <v>35</v>
      </c>
      <c r="C638" t="s">
        <v>37</v>
      </c>
      <c r="D638">
        <v>130</v>
      </c>
      <c r="E638" t="s">
        <v>38</v>
      </c>
      <c r="F638">
        <v>25</v>
      </c>
      <c r="G638">
        <v>4</v>
      </c>
      <c r="H638" t="s">
        <v>33</v>
      </c>
      <c r="I638">
        <v>4</v>
      </c>
      <c r="J638" t="s">
        <v>34</v>
      </c>
      <c r="K638">
        <v>96</v>
      </c>
      <c r="L638">
        <v>3</v>
      </c>
      <c r="M638">
        <v>1</v>
      </c>
      <c r="N638" t="s">
        <v>40</v>
      </c>
      <c r="O638">
        <v>2</v>
      </c>
      <c r="P638" t="s">
        <v>45</v>
      </c>
      <c r="Q638">
        <v>2022</v>
      </c>
      <c r="R638">
        <v>16612</v>
      </c>
      <c r="S638">
        <v>1</v>
      </c>
      <c r="T638">
        <v>1</v>
      </c>
      <c r="U638" s="17">
        <v>0.19</v>
      </c>
      <c r="V638">
        <v>3</v>
      </c>
      <c r="W638">
        <v>1</v>
      </c>
      <c r="X638">
        <v>1</v>
      </c>
      <c r="Y638">
        <v>10</v>
      </c>
      <c r="Z638">
        <v>3</v>
      </c>
      <c r="AA638">
        <v>2</v>
      </c>
      <c r="AB638">
        <v>10</v>
      </c>
      <c r="AC638">
        <v>2</v>
      </c>
      <c r="AD638">
        <v>7</v>
      </c>
      <c r="AE638">
        <v>8</v>
      </c>
      <c r="AF638">
        <v>1</v>
      </c>
      <c r="AG638">
        <f>IF(tbl_HR_Data[[#This Row],[Gender]]="Male",1,0)</f>
        <v>0</v>
      </c>
      <c r="AH638" cm="1">
        <f t="array" ref="AH638">_xlfn.SWITCH(tbl_HR_Data[[#This Row],[BusinessTravel]], "Non-Travel", 0, "Travel_Rarely", 1, "Travel_Frequently", 2)</f>
        <v>2</v>
      </c>
      <c r="AI638" cm="1">
        <f t="array" ref="AI638">_xlfn.SWITCH(tbl_HR_Data[[#This Row],[MaritalStatus]],"Single",0,"Married",1,"Divorced",2)</f>
        <v>2</v>
      </c>
      <c r="AJ638">
        <f>IF(tbl_HR_Data[[#This Row],[OverTime]]=1,1,0)</f>
        <v>1</v>
      </c>
      <c r="AK638">
        <f>IF(tbl_HR_Data[[#This Row],[DistanceFromHome]]&gt;15,1,0)</f>
        <v>1</v>
      </c>
      <c r="AL638">
        <f>IF(tbl_HR_Data[[#This Row],[JobSatisfaction]]&lt;=2,1,0)</f>
        <v>1</v>
      </c>
      <c r="AM638">
        <f>IF(tbl_HR_Data[[#This Row],[MonthlyIncome]]&lt;$AT$2,1,0)</f>
        <v>1</v>
      </c>
      <c r="AN638">
        <f>IF(tbl_HR_Data[[#This Row],[Travel_Code]]=2,1,0)</f>
        <v>1</v>
      </c>
      <c r="AO638">
        <f>(tbl_HR_Data[[#This Row],[Flag_OT]] * Logic_Parameters!$B$2) +
 (tbl_HR_Data[[#This Row],[Flag_Travel]] * Logic_Parameters!$B$3) +
 (tbl_HR_Data[[#This Row],[Flag_Satisfaction]] * Logic_Parameters!$B$4) +
 (tbl_HR_Data[[#This Row],[Flag_Distance]]* Logic_Parameters!$B$5) +
 (tbl_HR_Data[[#This Row],[Flag_Income]] * Logic_Parameters!$B$6)</f>
        <v>29.025458743764514</v>
      </c>
      <c r="AP638" s="15">
        <f>tbl_HR_Data[[#This Row],[Risk_Score_Raw]] / SUM(Logic_Parameters!$B$2:$B$6)</f>
        <v>1</v>
      </c>
      <c r="AQ638" s="16" t="str" cm="1">
        <f t="array" ref="AQ638">_xlfn.IFS(tbl_HR_Data[[#This Row],[Attrition_Risk_Percentage]] &gt;= 0.75, "Critical",tbl_HR_Data[ [#This Row],[Attrition_Risk_Percentage] ]&gt;= 0.5, "High",tbl_HR_Data[[#This Row],[Attrition_Risk_Percentage]] &gt;= 0.25, "Medium",TRUE, "Low")</f>
        <v>Critical</v>
      </c>
      <c r="AR638" s="16" cm="1">
        <f t="array" ref="AR638">IFERROR(_xlfn.IFS(tbl_HR_Data[[#This Row],[Risk_Category]]="Critical",tbl_HR_Data[[#This Row],[MonthlyIncome]]*1.5,tbl_HR_Data[[#This Row],[Risk_Category]]="High",tbl_HR_Data[[#This Row],[MonthlyIncome]]*1.5),0)</f>
        <v>3033</v>
      </c>
    </row>
    <row r="639" spans="1:44" x14ac:dyDescent="0.35">
      <c r="A639" t="s">
        <v>727</v>
      </c>
      <c r="B639">
        <v>32</v>
      </c>
      <c r="C639" t="s">
        <v>1525</v>
      </c>
      <c r="D639">
        <v>300</v>
      </c>
      <c r="E639" t="s">
        <v>38</v>
      </c>
      <c r="F639">
        <v>1</v>
      </c>
      <c r="G639">
        <v>3</v>
      </c>
      <c r="H639" t="s">
        <v>33</v>
      </c>
      <c r="I639">
        <v>4</v>
      </c>
      <c r="J639" t="s">
        <v>39</v>
      </c>
      <c r="K639">
        <v>61</v>
      </c>
      <c r="L639">
        <v>3</v>
      </c>
      <c r="M639">
        <v>1</v>
      </c>
      <c r="N639" t="s">
        <v>43</v>
      </c>
      <c r="O639">
        <v>4</v>
      </c>
      <c r="P639" t="s">
        <v>45</v>
      </c>
      <c r="Q639">
        <v>2314</v>
      </c>
      <c r="R639">
        <v>9148</v>
      </c>
      <c r="S639">
        <v>0</v>
      </c>
      <c r="T639">
        <v>0</v>
      </c>
      <c r="U639" s="17">
        <v>0.12</v>
      </c>
      <c r="V639">
        <v>3</v>
      </c>
      <c r="W639">
        <v>2</v>
      </c>
      <c r="X639">
        <v>1</v>
      </c>
      <c r="Y639">
        <v>4</v>
      </c>
      <c r="Z639">
        <v>2</v>
      </c>
      <c r="AA639">
        <v>3</v>
      </c>
      <c r="AB639">
        <v>3</v>
      </c>
      <c r="AC639">
        <v>0</v>
      </c>
      <c r="AD639">
        <v>0</v>
      </c>
      <c r="AE639">
        <v>2</v>
      </c>
      <c r="AF639">
        <v>0</v>
      </c>
      <c r="AG639">
        <f>IF(tbl_HR_Data[[#This Row],[Gender]]="Male",1,0)</f>
        <v>1</v>
      </c>
      <c r="AH639" cm="1">
        <f t="array" ref="AH639">_xlfn.SWITCH(tbl_HR_Data[[#This Row],[BusinessTravel]], "Non-Travel", 0, "Travel_Rarely", 1, "Travel_Frequently", 2)</f>
        <v>0</v>
      </c>
      <c r="AI639" cm="1">
        <f t="array" ref="AI639">_xlfn.SWITCH(tbl_HR_Data[[#This Row],[MaritalStatus]],"Single",0,"Married",1,"Divorced",2)</f>
        <v>2</v>
      </c>
      <c r="AJ639">
        <f>IF(tbl_HR_Data[[#This Row],[OverTime]]=1,1,0)</f>
        <v>0</v>
      </c>
      <c r="AK639">
        <f>IF(tbl_HR_Data[[#This Row],[DistanceFromHome]]&gt;15,1,0)</f>
        <v>0</v>
      </c>
      <c r="AL639">
        <f>IF(tbl_HR_Data[[#This Row],[JobSatisfaction]]&lt;=2,1,0)</f>
        <v>0</v>
      </c>
      <c r="AM639">
        <f>IF(tbl_HR_Data[[#This Row],[MonthlyIncome]]&lt;$AT$2,1,0)</f>
        <v>1</v>
      </c>
      <c r="AN639">
        <f>IF(tbl_HR_Data[[#This Row],[Travel_Code]]=2,1,0)</f>
        <v>0</v>
      </c>
      <c r="AO639">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639" s="15">
        <f>tbl_HR_Data[[#This Row],[Risk_Score_Raw]] / SUM(Logic_Parameters!$B$2:$B$6)</f>
        <v>0.22374939857982484</v>
      </c>
      <c r="AQ639" s="16" t="str" cm="1">
        <f t="array" ref="AQ639">_xlfn.IFS(tbl_HR_Data[[#This Row],[Attrition_Risk_Percentage]] &gt;= 0.75, "Critical",tbl_HR_Data[ [#This Row],[Attrition_Risk_Percentage] ]&gt;= 0.5, "High",tbl_HR_Data[[#This Row],[Attrition_Risk_Percentage]] &gt;= 0.25, "Medium",TRUE, "Low")</f>
        <v>Low</v>
      </c>
      <c r="AR639" s="16" cm="1">
        <f t="array" ref="AR639">IFERROR(_xlfn.IFS(tbl_HR_Data[[#This Row],[Risk_Category]]="Critical",tbl_HR_Data[[#This Row],[MonthlyIncome]]*1.5,tbl_HR_Data[[#This Row],[Risk_Category]]="High",tbl_HR_Data[[#This Row],[MonthlyIncome]]*1.5),0)</f>
        <v>0</v>
      </c>
    </row>
    <row r="640" spans="1:44" x14ac:dyDescent="0.35">
      <c r="A640" t="s">
        <v>776</v>
      </c>
      <c r="B640">
        <v>25</v>
      </c>
      <c r="C640" t="s">
        <v>31</v>
      </c>
      <c r="D640">
        <v>583</v>
      </c>
      <c r="E640" t="s">
        <v>32</v>
      </c>
      <c r="F640">
        <v>4</v>
      </c>
      <c r="G640">
        <v>1</v>
      </c>
      <c r="H640" t="s">
        <v>51</v>
      </c>
      <c r="I640">
        <v>3</v>
      </c>
      <c r="J640" t="s">
        <v>39</v>
      </c>
      <c r="K640">
        <v>87</v>
      </c>
      <c r="L640">
        <v>2</v>
      </c>
      <c r="M640">
        <v>2</v>
      </c>
      <c r="N640" t="s">
        <v>35</v>
      </c>
      <c r="O640">
        <v>1</v>
      </c>
      <c r="P640" t="s">
        <v>41</v>
      </c>
      <c r="Q640">
        <v>4256</v>
      </c>
      <c r="R640">
        <v>18154</v>
      </c>
      <c r="S640">
        <v>1</v>
      </c>
      <c r="T640">
        <v>0</v>
      </c>
      <c r="U640" s="17">
        <v>0.12</v>
      </c>
      <c r="V640">
        <v>3</v>
      </c>
      <c r="W640">
        <v>1</v>
      </c>
      <c r="X640">
        <v>0</v>
      </c>
      <c r="Y640">
        <v>5</v>
      </c>
      <c r="Z640">
        <v>1</v>
      </c>
      <c r="AA640">
        <v>4</v>
      </c>
      <c r="AB640">
        <v>5</v>
      </c>
      <c r="AC640">
        <v>2</v>
      </c>
      <c r="AD640">
        <v>0</v>
      </c>
      <c r="AE640">
        <v>3</v>
      </c>
      <c r="AF640">
        <v>0</v>
      </c>
      <c r="AG640">
        <f>IF(tbl_HR_Data[[#This Row],[Gender]]="Male",1,0)</f>
        <v>1</v>
      </c>
      <c r="AH640" cm="1">
        <f t="array" ref="AH640">_xlfn.SWITCH(tbl_HR_Data[[#This Row],[BusinessTravel]], "Non-Travel", 0, "Travel_Rarely", 1, "Travel_Frequently", 2)</f>
        <v>1</v>
      </c>
      <c r="AI640" cm="1">
        <f t="array" ref="AI640">_xlfn.SWITCH(tbl_HR_Data[[#This Row],[MaritalStatus]],"Single",0,"Married",1,"Divorced",2)</f>
        <v>1</v>
      </c>
      <c r="AJ640">
        <f>IF(tbl_HR_Data[[#This Row],[OverTime]]=1,1,0)</f>
        <v>0</v>
      </c>
      <c r="AK640">
        <f>IF(tbl_HR_Data[[#This Row],[DistanceFromHome]]&gt;15,1,0)</f>
        <v>0</v>
      </c>
      <c r="AL640">
        <f>IF(tbl_HR_Data[[#This Row],[JobSatisfaction]]&lt;=2,1,0)</f>
        <v>1</v>
      </c>
      <c r="AM640">
        <f>IF(tbl_HR_Data[[#This Row],[MonthlyIncome]]&lt;$AT$2,1,0)</f>
        <v>1</v>
      </c>
      <c r="AN640">
        <f>IF(tbl_HR_Data[[#This Row],[Travel_Code]]=2,1,0)</f>
        <v>0</v>
      </c>
      <c r="AO640">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640" s="15">
        <f>tbl_HR_Data[[#This Row],[Risk_Score_Raw]] / SUM(Logic_Parameters!$B$2:$B$6)</f>
        <v>0.3686061316669938</v>
      </c>
      <c r="AQ640" s="16" t="str" cm="1">
        <f t="array" ref="AQ640">_xlfn.IFS(tbl_HR_Data[[#This Row],[Attrition_Risk_Percentage]] &gt;= 0.75, "Critical",tbl_HR_Data[ [#This Row],[Attrition_Risk_Percentage] ]&gt;= 0.5, "High",tbl_HR_Data[[#This Row],[Attrition_Risk_Percentage]] &gt;= 0.25, "Medium",TRUE, "Low")</f>
        <v>Medium</v>
      </c>
      <c r="AR640" s="16" cm="1">
        <f t="array" ref="AR640">IFERROR(_xlfn.IFS(tbl_HR_Data[[#This Row],[Risk_Category]]="Critical",tbl_HR_Data[[#This Row],[MonthlyIncome]]*1.5,tbl_HR_Data[[#This Row],[Risk_Category]]="High",tbl_HR_Data[[#This Row],[MonthlyIncome]]*1.5),0)</f>
        <v>0</v>
      </c>
    </row>
    <row r="641" spans="1:44" x14ac:dyDescent="0.35">
      <c r="A641" t="s">
        <v>276</v>
      </c>
      <c r="B641">
        <v>49</v>
      </c>
      <c r="C641" t="s">
        <v>31</v>
      </c>
      <c r="D641">
        <v>1418</v>
      </c>
      <c r="E641" t="s">
        <v>38</v>
      </c>
      <c r="F641">
        <v>1</v>
      </c>
      <c r="G641">
        <v>3</v>
      </c>
      <c r="H641" t="s">
        <v>52</v>
      </c>
      <c r="I641">
        <v>3</v>
      </c>
      <c r="J641" t="s">
        <v>34</v>
      </c>
      <c r="K641">
        <v>36</v>
      </c>
      <c r="L641">
        <v>3</v>
      </c>
      <c r="M641">
        <v>1</v>
      </c>
      <c r="N641" t="s">
        <v>40</v>
      </c>
      <c r="O641">
        <v>1</v>
      </c>
      <c r="P641" t="s">
        <v>41</v>
      </c>
      <c r="Q641">
        <v>3580</v>
      </c>
      <c r="R641">
        <v>10554</v>
      </c>
      <c r="S641">
        <v>2</v>
      </c>
      <c r="T641">
        <v>0</v>
      </c>
      <c r="U641" s="17">
        <v>0.16</v>
      </c>
      <c r="V641">
        <v>3</v>
      </c>
      <c r="W641">
        <v>2</v>
      </c>
      <c r="X641">
        <v>1</v>
      </c>
      <c r="Y641">
        <v>7</v>
      </c>
      <c r="Z641">
        <v>2</v>
      </c>
      <c r="AA641">
        <v>3</v>
      </c>
      <c r="AB641">
        <v>4</v>
      </c>
      <c r="AC641">
        <v>2</v>
      </c>
      <c r="AD641">
        <v>0</v>
      </c>
      <c r="AE641">
        <v>2</v>
      </c>
      <c r="AF641">
        <v>0</v>
      </c>
      <c r="AG641">
        <f>IF(tbl_HR_Data[[#This Row],[Gender]]="Male",1,0)</f>
        <v>0</v>
      </c>
      <c r="AH641" cm="1">
        <f t="array" ref="AH641">_xlfn.SWITCH(tbl_HR_Data[[#This Row],[BusinessTravel]], "Non-Travel", 0, "Travel_Rarely", 1, "Travel_Frequently", 2)</f>
        <v>1</v>
      </c>
      <c r="AI641" cm="1">
        <f t="array" ref="AI641">_xlfn.SWITCH(tbl_HR_Data[[#This Row],[MaritalStatus]],"Single",0,"Married",1,"Divorced",2)</f>
        <v>1</v>
      </c>
      <c r="AJ641">
        <f>IF(tbl_HR_Data[[#This Row],[OverTime]]=1,1,0)</f>
        <v>0</v>
      </c>
      <c r="AK641">
        <f>IF(tbl_HR_Data[[#This Row],[DistanceFromHome]]&gt;15,1,0)</f>
        <v>0</v>
      </c>
      <c r="AL641">
        <f>IF(tbl_HR_Data[[#This Row],[JobSatisfaction]]&lt;=2,1,0)</f>
        <v>1</v>
      </c>
      <c r="AM641">
        <f>IF(tbl_HR_Data[[#This Row],[MonthlyIncome]]&lt;$AT$2,1,0)</f>
        <v>1</v>
      </c>
      <c r="AN641">
        <f>IF(tbl_HR_Data[[#This Row],[Travel_Code]]=2,1,0)</f>
        <v>0</v>
      </c>
      <c r="AO641">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641" s="15">
        <f>tbl_HR_Data[[#This Row],[Risk_Score_Raw]] / SUM(Logic_Parameters!$B$2:$B$6)</f>
        <v>0.3686061316669938</v>
      </c>
      <c r="AQ641" s="16" t="str" cm="1">
        <f t="array" ref="AQ641">_xlfn.IFS(tbl_HR_Data[[#This Row],[Attrition_Risk_Percentage]] &gt;= 0.75, "Critical",tbl_HR_Data[ [#This Row],[Attrition_Risk_Percentage] ]&gt;= 0.5, "High",tbl_HR_Data[[#This Row],[Attrition_Risk_Percentage]] &gt;= 0.25, "Medium",TRUE, "Low")</f>
        <v>Medium</v>
      </c>
      <c r="AR641" s="16" cm="1">
        <f t="array" ref="AR641">IFERROR(_xlfn.IFS(tbl_HR_Data[[#This Row],[Risk_Category]]="Critical",tbl_HR_Data[[#This Row],[MonthlyIncome]]*1.5,tbl_HR_Data[[#This Row],[Risk_Category]]="High",tbl_HR_Data[[#This Row],[MonthlyIncome]]*1.5),0)</f>
        <v>0</v>
      </c>
    </row>
    <row r="642" spans="1:44" x14ac:dyDescent="0.35">
      <c r="A642" t="s">
        <v>304</v>
      </c>
      <c r="B642">
        <v>24</v>
      </c>
      <c r="C642" t="s">
        <v>1525</v>
      </c>
      <c r="D642">
        <v>1269</v>
      </c>
      <c r="E642" t="s">
        <v>38</v>
      </c>
      <c r="F642">
        <v>4</v>
      </c>
      <c r="G642">
        <v>1</v>
      </c>
      <c r="H642" t="s">
        <v>33</v>
      </c>
      <c r="I642">
        <v>1</v>
      </c>
      <c r="J642" t="s">
        <v>39</v>
      </c>
      <c r="K642">
        <v>46</v>
      </c>
      <c r="L642">
        <v>2</v>
      </c>
      <c r="M642">
        <v>1</v>
      </c>
      <c r="N642" t="s">
        <v>43</v>
      </c>
      <c r="O642">
        <v>4</v>
      </c>
      <c r="P642" t="s">
        <v>41</v>
      </c>
      <c r="Q642">
        <v>3162</v>
      </c>
      <c r="R642">
        <v>10778</v>
      </c>
      <c r="S642">
        <v>0</v>
      </c>
      <c r="T642">
        <v>0</v>
      </c>
      <c r="U642" s="17">
        <v>0.17</v>
      </c>
      <c r="V642">
        <v>3</v>
      </c>
      <c r="W642">
        <v>4</v>
      </c>
      <c r="X642">
        <v>0</v>
      </c>
      <c r="Y642">
        <v>6</v>
      </c>
      <c r="Z642">
        <v>2</v>
      </c>
      <c r="AA642">
        <v>2</v>
      </c>
      <c r="AB642">
        <v>5</v>
      </c>
      <c r="AC642">
        <v>2</v>
      </c>
      <c r="AD642">
        <v>3</v>
      </c>
      <c r="AE642">
        <v>4</v>
      </c>
      <c r="AF642">
        <v>0</v>
      </c>
      <c r="AG642">
        <f>IF(tbl_HR_Data[[#This Row],[Gender]]="Male",1,0)</f>
        <v>1</v>
      </c>
      <c r="AH642" cm="1">
        <f t="array" ref="AH642">_xlfn.SWITCH(tbl_HR_Data[[#This Row],[BusinessTravel]], "Non-Travel", 0, "Travel_Rarely", 1, "Travel_Frequently", 2)</f>
        <v>0</v>
      </c>
      <c r="AI642" cm="1">
        <f t="array" ref="AI642">_xlfn.SWITCH(tbl_HR_Data[[#This Row],[MaritalStatus]],"Single",0,"Married",1,"Divorced",2)</f>
        <v>1</v>
      </c>
      <c r="AJ642">
        <f>IF(tbl_HR_Data[[#This Row],[OverTime]]=1,1,0)</f>
        <v>0</v>
      </c>
      <c r="AK642">
        <f>IF(tbl_HR_Data[[#This Row],[DistanceFromHome]]&gt;15,1,0)</f>
        <v>0</v>
      </c>
      <c r="AL642">
        <f>IF(tbl_HR_Data[[#This Row],[JobSatisfaction]]&lt;=2,1,0)</f>
        <v>0</v>
      </c>
      <c r="AM642">
        <f>IF(tbl_HR_Data[[#This Row],[MonthlyIncome]]&lt;$AT$2,1,0)</f>
        <v>1</v>
      </c>
      <c r="AN642">
        <f>IF(tbl_HR_Data[[#This Row],[Travel_Code]]=2,1,0)</f>
        <v>0</v>
      </c>
      <c r="AO642">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642" s="15">
        <f>tbl_HR_Data[[#This Row],[Risk_Score_Raw]] / SUM(Logic_Parameters!$B$2:$B$6)</f>
        <v>0.22374939857982484</v>
      </c>
      <c r="AQ642" s="16" t="str" cm="1">
        <f t="array" ref="AQ642">_xlfn.IFS(tbl_HR_Data[[#This Row],[Attrition_Risk_Percentage]] &gt;= 0.75, "Critical",tbl_HR_Data[ [#This Row],[Attrition_Risk_Percentage] ]&gt;= 0.5, "High",tbl_HR_Data[[#This Row],[Attrition_Risk_Percentage]] &gt;= 0.25, "Medium",TRUE, "Low")</f>
        <v>Low</v>
      </c>
      <c r="AR642" s="16" cm="1">
        <f t="array" ref="AR642">IFERROR(_xlfn.IFS(tbl_HR_Data[[#This Row],[Risk_Category]]="Critical",tbl_HR_Data[[#This Row],[MonthlyIncome]]*1.5,tbl_HR_Data[[#This Row],[Risk_Category]]="High",tbl_HR_Data[[#This Row],[MonthlyIncome]]*1.5),0)</f>
        <v>0</v>
      </c>
    </row>
    <row r="643" spans="1:44" x14ac:dyDescent="0.35">
      <c r="A643" t="s">
        <v>1467</v>
      </c>
      <c r="B643">
        <v>32</v>
      </c>
      <c r="C643" t="s">
        <v>37</v>
      </c>
      <c r="D643">
        <v>379</v>
      </c>
      <c r="E643" t="s">
        <v>32</v>
      </c>
      <c r="F643">
        <v>5</v>
      </c>
      <c r="G643">
        <v>2</v>
      </c>
      <c r="H643" t="s">
        <v>33</v>
      </c>
      <c r="I643">
        <v>2</v>
      </c>
      <c r="J643" t="s">
        <v>39</v>
      </c>
      <c r="K643">
        <v>48</v>
      </c>
      <c r="L643">
        <v>3</v>
      </c>
      <c r="M643">
        <v>2</v>
      </c>
      <c r="N643" t="s">
        <v>35</v>
      </c>
      <c r="O643">
        <v>2</v>
      </c>
      <c r="P643" t="s">
        <v>41</v>
      </c>
      <c r="Q643">
        <v>6524</v>
      </c>
      <c r="R643">
        <v>8891</v>
      </c>
      <c r="S643">
        <v>1</v>
      </c>
      <c r="T643">
        <v>0</v>
      </c>
      <c r="U643" s="17">
        <v>0.14000000000000001</v>
      </c>
      <c r="V643">
        <v>3</v>
      </c>
      <c r="W643">
        <v>4</v>
      </c>
      <c r="X643">
        <v>1</v>
      </c>
      <c r="Y643">
        <v>10</v>
      </c>
      <c r="Z643">
        <v>3</v>
      </c>
      <c r="AA643">
        <v>3</v>
      </c>
      <c r="AB643">
        <v>10</v>
      </c>
      <c r="AC643">
        <v>8</v>
      </c>
      <c r="AD643">
        <v>5</v>
      </c>
      <c r="AE643">
        <v>3</v>
      </c>
      <c r="AF643">
        <v>0</v>
      </c>
      <c r="AG643">
        <f>IF(tbl_HR_Data[[#This Row],[Gender]]="Male",1,0)</f>
        <v>1</v>
      </c>
      <c r="AH643" cm="1">
        <f t="array" ref="AH643">_xlfn.SWITCH(tbl_HR_Data[[#This Row],[BusinessTravel]], "Non-Travel", 0, "Travel_Rarely", 1, "Travel_Frequently", 2)</f>
        <v>2</v>
      </c>
      <c r="AI643" cm="1">
        <f t="array" ref="AI643">_xlfn.SWITCH(tbl_HR_Data[[#This Row],[MaritalStatus]],"Single",0,"Married",1,"Divorced",2)</f>
        <v>1</v>
      </c>
      <c r="AJ643">
        <f>IF(tbl_HR_Data[[#This Row],[OverTime]]=1,1,0)</f>
        <v>0</v>
      </c>
      <c r="AK643">
        <f>IF(tbl_HR_Data[[#This Row],[DistanceFromHome]]&gt;15,1,0)</f>
        <v>0</v>
      </c>
      <c r="AL643">
        <f>IF(tbl_HR_Data[[#This Row],[JobSatisfaction]]&lt;=2,1,0)</f>
        <v>1</v>
      </c>
      <c r="AM643">
        <f>IF(tbl_HR_Data[[#This Row],[MonthlyIncome]]&lt;$AT$2,1,0)</f>
        <v>0</v>
      </c>
      <c r="AN643">
        <f>IF(tbl_HR_Data[[#This Row],[Travel_Code]]=2,1,0)</f>
        <v>1</v>
      </c>
      <c r="AO643">
        <f>(tbl_HR_Data[[#This Row],[Flag_OT]] * Logic_Parameters!$B$2) +
 (tbl_HR_Data[[#This Row],[Flag_Travel]] * Logic_Parameters!$B$3) +
 (tbl_HR_Data[[#This Row],[Flag_Satisfaction]] * Logic_Parameters!$B$4) +
 (tbl_HR_Data[[#This Row],[Flag_Distance]]* Logic_Parameters!$B$5) +
 (tbl_HR_Data[[#This Row],[Flag_Income]] * Logic_Parameters!$B$6)</f>
        <v>9.3649231104683075</v>
      </c>
      <c r="AP643" s="15">
        <f>tbl_HR_Data[[#This Row],[Risk_Score_Raw]] / SUM(Logic_Parameters!$B$2:$B$6)</f>
        <v>0.32264513691726432</v>
      </c>
      <c r="AQ643" s="16" t="str" cm="1">
        <f t="array" ref="AQ643">_xlfn.IFS(tbl_HR_Data[[#This Row],[Attrition_Risk_Percentage]] &gt;= 0.75, "Critical",tbl_HR_Data[ [#This Row],[Attrition_Risk_Percentage] ]&gt;= 0.5, "High",tbl_HR_Data[[#This Row],[Attrition_Risk_Percentage]] &gt;= 0.25, "Medium",TRUE, "Low")</f>
        <v>Medium</v>
      </c>
      <c r="AR643" s="16" cm="1">
        <f t="array" ref="AR643">IFERROR(_xlfn.IFS(tbl_HR_Data[[#This Row],[Risk_Category]]="Critical",tbl_HR_Data[[#This Row],[MonthlyIncome]]*1.5,tbl_HR_Data[[#This Row],[Risk_Category]]="High",tbl_HR_Data[[#This Row],[MonthlyIncome]]*1.5),0)</f>
        <v>0</v>
      </c>
    </row>
    <row r="644" spans="1:44" x14ac:dyDescent="0.35">
      <c r="A644" t="s">
        <v>466</v>
      </c>
      <c r="B644">
        <v>38</v>
      </c>
      <c r="C644" t="s">
        <v>31</v>
      </c>
      <c r="D644">
        <v>395</v>
      </c>
      <c r="E644" t="s">
        <v>32</v>
      </c>
      <c r="F644">
        <v>9</v>
      </c>
      <c r="G644">
        <v>3</v>
      </c>
      <c r="H644" t="s">
        <v>51</v>
      </c>
      <c r="I644">
        <v>2</v>
      </c>
      <c r="J644" t="s">
        <v>39</v>
      </c>
      <c r="K644">
        <v>98</v>
      </c>
      <c r="L644">
        <v>2</v>
      </c>
      <c r="M644">
        <v>1</v>
      </c>
      <c r="N644" t="s">
        <v>49</v>
      </c>
      <c r="O644">
        <v>2</v>
      </c>
      <c r="P644" t="s">
        <v>41</v>
      </c>
      <c r="Q644">
        <v>2899</v>
      </c>
      <c r="R644">
        <v>12102</v>
      </c>
      <c r="S644">
        <v>0</v>
      </c>
      <c r="T644">
        <v>0</v>
      </c>
      <c r="U644" s="17">
        <v>0.19</v>
      </c>
      <c r="V644">
        <v>3</v>
      </c>
      <c r="W644">
        <v>4</v>
      </c>
      <c r="X644">
        <v>1</v>
      </c>
      <c r="Y644">
        <v>3</v>
      </c>
      <c r="Z644">
        <v>3</v>
      </c>
      <c r="AA644">
        <v>3</v>
      </c>
      <c r="AB644">
        <v>2</v>
      </c>
      <c r="AC644">
        <v>2</v>
      </c>
      <c r="AD644">
        <v>1</v>
      </c>
      <c r="AE644">
        <v>2</v>
      </c>
      <c r="AF644">
        <v>0</v>
      </c>
      <c r="AG644">
        <f>IF(tbl_HR_Data[[#This Row],[Gender]]="Male",1,0)</f>
        <v>1</v>
      </c>
      <c r="AH644" cm="1">
        <f t="array" ref="AH644">_xlfn.SWITCH(tbl_HR_Data[[#This Row],[BusinessTravel]], "Non-Travel", 0, "Travel_Rarely", 1, "Travel_Frequently", 2)</f>
        <v>1</v>
      </c>
      <c r="AI644" cm="1">
        <f t="array" ref="AI644">_xlfn.SWITCH(tbl_HR_Data[[#This Row],[MaritalStatus]],"Single",0,"Married",1,"Divorced",2)</f>
        <v>1</v>
      </c>
      <c r="AJ644">
        <f>IF(tbl_HR_Data[[#This Row],[OverTime]]=1,1,0)</f>
        <v>0</v>
      </c>
      <c r="AK644">
        <f>IF(tbl_HR_Data[[#This Row],[DistanceFromHome]]&gt;15,1,0)</f>
        <v>0</v>
      </c>
      <c r="AL644">
        <f>IF(tbl_HR_Data[[#This Row],[JobSatisfaction]]&lt;=2,1,0)</f>
        <v>1</v>
      </c>
      <c r="AM644">
        <f>IF(tbl_HR_Data[[#This Row],[MonthlyIncome]]&lt;$AT$2,1,0)</f>
        <v>1</v>
      </c>
      <c r="AN644">
        <f>IF(tbl_HR_Data[[#This Row],[Travel_Code]]=2,1,0)</f>
        <v>0</v>
      </c>
      <c r="AO644">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644" s="15">
        <f>tbl_HR_Data[[#This Row],[Risk_Score_Raw]] / SUM(Logic_Parameters!$B$2:$B$6)</f>
        <v>0.3686061316669938</v>
      </c>
      <c r="AQ644" s="16" t="str" cm="1">
        <f t="array" ref="AQ644">_xlfn.IFS(tbl_HR_Data[[#This Row],[Attrition_Risk_Percentage]] &gt;= 0.75, "Critical",tbl_HR_Data[ [#This Row],[Attrition_Risk_Percentage] ]&gt;= 0.5, "High",tbl_HR_Data[[#This Row],[Attrition_Risk_Percentage]] &gt;= 0.25, "Medium",TRUE, "Low")</f>
        <v>Medium</v>
      </c>
      <c r="AR644" s="16" cm="1">
        <f t="array" ref="AR644">IFERROR(_xlfn.IFS(tbl_HR_Data[[#This Row],[Risk_Category]]="Critical",tbl_HR_Data[[#This Row],[MonthlyIncome]]*1.5,tbl_HR_Data[[#This Row],[Risk_Category]]="High",tbl_HR_Data[[#This Row],[MonthlyIncome]]*1.5),0)</f>
        <v>0</v>
      </c>
    </row>
    <row r="645" spans="1:44" x14ac:dyDescent="0.35">
      <c r="A645" t="s">
        <v>729</v>
      </c>
      <c r="B645">
        <v>42</v>
      </c>
      <c r="C645" t="s">
        <v>31</v>
      </c>
      <c r="D645">
        <v>1265</v>
      </c>
      <c r="E645" t="s">
        <v>38</v>
      </c>
      <c r="F645">
        <v>3</v>
      </c>
      <c r="G645">
        <v>3</v>
      </c>
      <c r="H645" t="s">
        <v>33</v>
      </c>
      <c r="I645">
        <v>3</v>
      </c>
      <c r="J645" t="s">
        <v>34</v>
      </c>
      <c r="K645">
        <v>95</v>
      </c>
      <c r="L645">
        <v>4</v>
      </c>
      <c r="M645">
        <v>2</v>
      </c>
      <c r="N645" t="s">
        <v>43</v>
      </c>
      <c r="O645">
        <v>4</v>
      </c>
      <c r="P645" t="s">
        <v>41</v>
      </c>
      <c r="Q645">
        <v>5231</v>
      </c>
      <c r="R645">
        <v>23726</v>
      </c>
      <c r="S645">
        <v>2</v>
      </c>
      <c r="T645">
        <v>1</v>
      </c>
      <c r="U645" s="17">
        <v>0.13</v>
      </c>
      <c r="V645">
        <v>3</v>
      </c>
      <c r="W645">
        <v>2</v>
      </c>
      <c r="X645">
        <v>1</v>
      </c>
      <c r="Y645">
        <v>17</v>
      </c>
      <c r="Z645">
        <v>1</v>
      </c>
      <c r="AA645">
        <v>2</v>
      </c>
      <c r="AB645">
        <v>5</v>
      </c>
      <c r="AC645">
        <v>3</v>
      </c>
      <c r="AD645">
        <v>1</v>
      </c>
      <c r="AE645">
        <v>3</v>
      </c>
      <c r="AF645">
        <v>0</v>
      </c>
      <c r="AG645">
        <f>IF(tbl_HR_Data[[#This Row],[Gender]]="Male",1,0)</f>
        <v>0</v>
      </c>
      <c r="AH645" cm="1">
        <f t="array" ref="AH645">_xlfn.SWITCH(tbl_HR_Data[[#This Row],[BusinessTravel]], "Non-Travel", 0, "Travel_Rarely", 1, "Travel_Frequently", 2)</f>
        <v>1</v>
      </c>
      <c r="AI645" cm="1">
        <f t="array" ref="AI645">_xlfn.SWITCH(tbl_HR_Data[[#This Row],[MaritalStatus]],"Single",0,"Married",1,"Divorced",2)</f>
        <v>1</v>
      </c>
      <c r="AJ645">
        <f>IF(tbl_HR_Data[[#This Row],[OverTime]]=1,1,0)</f>
        <v>1</v>
      </c>
      <c r="AK645">
        <f>IF(tbl_HR_Data[[#This Row],[DistanceFromHome]]&gt;15,1,0)</f>
        <v>0</v>
      </c>
      <c r="AL645">
        <f>IF(tbl_HR_Data[[#This Row],[JobSatisfaction]]&lt;=2,1,0)</f>
        <v>0</v>
      </c>
      <c r="AM645">
        <f>IF(tbl_HR_Data[[#This Row],[MonthlyIncome]]&lt;$AT$2,1,0)</f>
        <v>0</v>
      </c>
      <c r="AN645">
        <f>IF(tbl_HR_Data[[#This Row],[Travel_Code]]=2,1,0)</f>
        <v>0</v>
      </c>
      <c r="AO645">
        <f>(tbl_HR_Data[[#This Row],[Flag_OT]] * Logic_Parameters!$B$2) +
 (tbl_HR_Data[[#This Row],[Flag_Travel]] * Logic_Parameters!$B$3) +
 (tbl_HR_Data[[#This Row],[Flag_Satisfaction]] * Logic_Parameters!$B$4) +
 (tbl_HR_Data[[#This Row],[Flag_Distance]]* Logic_Parameters!$B$5) +
 (tbl_HR_Data[[#This Row],[Flag_Income]] * Logic_Parameters!$B$6)</f>
        <v>10</v>
      </c>
      <c r="AP645" s="15">
        <f>tbl_HR_Data[[#This Row],[Risk_Score_Raw]] / SUM(Logic_Parameters!$B$2:$B$6)</f>
        <v>0.3445251318258073</v>
      </c>
      <c r="AQ645" s="16" t="str" cm="1">
        <f t="array" ref="AQ645">_xlfn.IFS(tbl_HR_Data[[#This Row],[Attrition_Risk_Percentage]] &gt;= 0.75, "Critical",tbl_HR_Data[ [#This Row],[Attrition_Risk_Percentage] ]&gt;= 0.5, "High",tbl_HR_Data[[#This Row],[Attrition_Risk_Percentage]] &gt;= 0.25, "Medium",TRUE, "Low")</f>
        <v>Medium</v>
      </c>
      <c r="AR645" s="16" cm="1">
        <f t="array" ref="AR645">IFERROR(_xlfn.IFS(tbl_HR_Data[[#This Row],[Risk_Category]]="Critical",tbl_HR_Data[[#This Row],[MonthlyIncome]]*1.5,tbl_HR_Data[[#This Row],[Risk_Category]]="High",tbl_HR_Data[[#This Row],[MonthlyIncome]]*1.5),0)</f>
        <v>0</v>
      </c>
    </row>
    <row r="646" spans="1:44" x14ac:dyDescent="0.35">
      <c r="A646" t="s">
        <v>1322</v>
      </c>
      <c r="B646">
        <v>31</v>
      </c>
      <c r="C646" t="s">
        <v>31</v>
      </c>
      <c r="D646">
        <v>1222</v>
      </c>
      <c r="E646" t="s">
        <v>38</v>
      </c>
      <c r="F646">
        <v>11</v>
      </c>
      <c r="G646">
        <v>4</v>
      </c>
      <c r="H646" t="s">
        <v>33</v>
      </c>
      <c r="I646">
        <v>4</v>
      </c>
      <c r="J646" t="s">
        <v>39</v>
      </c>
      <c r="K646">
        <v>48</v>
      </c>
      <c r="L646">
        <v>3</v>
      </c>
      <c r="M646">
        <v>1</v>
      </c>
      <c r="N646" t="s">
        <v>40</v>
      </c>
      <c r="O646">
        <v>4</v>
      </c>
      <c r="P646" t="s">
        <v>41</v>
      </c>
      <c r="Q646">
        <v>2356</v>
      </c>
      <c r="R646">
        <v>14871</v>
      </c>
      <c r="S646">
        <v>3</v>
      </c>
      <c r="T646">
        <v>1</v>
      </c>
      <c r="U646" s="17">
        <v>0.19</v>
      </c>
      <c r="V646">
        <v>3</v>
      </c>
      <c r="W646">
        <v>2</v>
      </c>
      <c r="X646">
        <v>1</v>
      </c>
      <c r="Y646">
        <v>8</v>
      </c>
      <c r="Z646">
        <v>2</v>
      </c>
      <c r="AA646">
        <v>3</v>
      </c>
      <c r="AB646">
        <v>6</v>
      </c>
      <c r="AC646">
        <v>4</v>
      </c>
      <c r="AD646">
        <v>0</v>
      </c>
      <c r="AE646">
        <v>2</v>
      </c>
      <c r="AF646">
        <v>0</v>
      </c>
      <c r="AG646">
        <f>IF(tbl_HR_Data[[#This Row],[Gender]]="Male",1,0)</f>
        <v>1</v>
      </c>
      <c r="AH646" cm="1">
        <f t="array" ref="AH646">_xlfn.SWITCH(tbl_HR_Data[[#This Row],[BusinessTravel]], "Non-Travel", 0, "Travel_Rarely", 1, "Travel_Frequently", 2)</f>
        <v>1</v>
      </c>
      <c r="AI646" cm="1">
        <f t="array" ref="AI646">_xlfn.SWITCH(tbl_HR_Data[[#This Row],[MaritalStatus]],"Single",0,"Married",1,"Divorced",2)</f>
        <v>1</v>
      </c>
      <c r="AJ646">
        <f>IF(tbl_HR_Data[[#This Row],[OverTime]]=1,1,0)</f>
        <v>1</v>
      </c>
      <c r="AK646">
        <f>IF(tbl_HR_Data[[#This Row],[DistanceFromHome]]&gt;15,1,0)</f>
        <v>0</v>
      </c>
      <c r="AL646">
        <f>IF(tbl_HR_Data[[#This Row],[JobSatisfaction]]&lt;=2,1,0)</f>
        <v>0</v>
      </c>
      <c r="AM646">
        <f>IF(tbl_HR_Data[[#This Row],[MonthlyIncome]]&lt;$AT$2,1,0)</f>
        <v>1</v>
      </c>
      <c r="AN646">
        <f>IF(tbl_HR_Data[[#This Row],[Travel_Code]]=2,1,0)</f>
        <v>0</v>
      </c>
      <c r="AO646">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646" s="15">
        <f>tbl_HR_Data[[#This Row],[Risk_Score_Raw]] / SUM(Logic_Parameters!$B$2:$B$6)</f>
        <v>0.56827453040563214</v>
      </c>
      <c r="AQ646" s="16" t="str" cm="1">
        <f t="array" ref="AQ646">_xlfn.IFS(tbl_HR_Data[[#This Row],[Attrition_Risk_Percentage]] &gt;= 0.75, "Critical",tbl_HR_Data[ [#This Row],[Attrition_Risk_Percentage] ]&gt;= 0.5, "High",tbl_HR_Data[[#This Row],[Attrition_Risk_Percentage]] &gt;= 0.25, "Medium",TRUE, "Low")</f>
        <v>High</v>
      </c>
      <c r="AR646" s="16" cm="1">
        <f t="array" ref="AR646">IFERROR(_xlfn.IFS(tbl_HR_Data[[#This Row],[Risk_Category]]="Critical",tbl_HR_Data[[#This Row],[MonthlyIncome]]*1.5,tbl_HR_Data[[#This Row],[Risk_Category]]="High",tbl_HR_Data[[#This Row],[MonthlyIncome]]*1.5),0)</f>
        <v>3534</v>
      </c>
    </row>
    <row r="647" spans="1:44" x14ac:dyDescent="0.35">
      <c r="A647" t="s">
        <v>688</v>
      </c>
      <c r="B647">
        <v>29</v>
      </c>
      <c r="C647" t="s">
        <v>31</v>
      </c>
      <c r="D647">
        <v>341</v>
      </c>
      <c r="E647" t="s">
        <v>32</v>
      </c>
      <c r="F647">
        <v>1</v>
      </c>
      <c r="G647">
        <v>3</v>
      </c>
      <c r="H647" t="s">
        <v>44</v>
      </c>
      <c r="I647">
        <v>2</v>
      </c>
      <c r="J647" t="s">
        <v>34</v>
      </c>
      <c r="K647">
        <v>48</v>
      </c>
      <c r="L647">
        <v>2</v>
      </c>
      <c r="M647">
        <v>1</v>
      </c>
      <c r="N647" t="s">
        <v>49</v>
      </c>
      <c r="O647">
        <v>3</v>
      </c>
      <c r="P647" t="s">
        <v>45</v>
      </c>
      <c r="Q647">
        <v>2800</v>
      </c>
      <c r="R647">
        <v>23522</v>
      </c>
      <c r="S647">
        <v>6</v>
      </c>
      <c r="T647">
        <v>1</v>
      </c>
      <c r="U647" s="17">
        <v>0.19</v>
      </c>
      <c r="V647">
        <v>3</v>
      </c>
      <c r="W647">
        <v>3</v>
      </c>
      <c r="X647">
        <v>3</v>
      </c>
      <c r="Y647">
        <v>5</v>
      </c>
      <c r="Z647">
        <v>3</v>
      </c>
      <c r="AA647">
        <v>3</v>
      </c>
      <c r="AB647">
        <v>3</v>
      </c>
      <c r="AC647">
        <v>2</v>
      </c>
      <c r="AD647">
        <v>0</v>
      </c>
      <c r="AE647">
        <v>2</v>
      </c>
      <c r="AF647">
        <v>1</v>
      </c>
      <c r="AG647">
        <f>IF(tbl_HR_Data[[#This Row],[Gender]]="Male",1,0)</f>
        <v>0</v>
      </c>
      <c r="AH647" cm="1">
        <f t="array" ref="AH647">_xlfn.SWITCH(tbl_HR_Data[[#This Row],[BusinessTravel]], "Non-Travel", 0, "Travel_Rarely", 1, "Travel_Frequently", 2)</f>
        <v>1</v>
      </c>
      <c r="AI647" cm="1">
        <f t="array" ref="AI647">_xlfn.SWITCH(tbl_HR_Data[[#This Row],[MaritalStatus]],"Single",0,"Married",1,"Divorced",2)</f>
        <v>2</v>
      </c>
      <c r="AJ647">
        <f>IF(tbl_HR_Data[[#This Row],[OverTime]]=1,1,0)</f>
        <v>1</v>
      </c>
      <c r="AK647">
        <f>IF(tbl_HR_Data[[#This Row],[DistanceFromHome]]&gt;15,1,0)</f>
        <v>0</v>
      </c>
      <c r="AL647">
        <f>IF(tbl_HR_Data[[#This Row],[JobSatisfaction]]&lt;=2,1,0)</f>
        <v>0</v>
      </c>
      <c r="AM647">
        <f>IF(tbl_HR_Data[[#This Row],[MonthlyIncome]]&lt;$AT$2,1,0)</f>
        <v>1</v>
      </c>
      <c r="AN647">
        <f>IF(tbl_HR_Data[[#This Row],[Travel_Code]]=2,1,0)</f>
        <v>0</v>
      </c>
      <c r="AO647">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647" s="15">
        <f>tbl_HR_Data[[#This Row],[Risk_Score_Raw]] / SUM(Logic_Parameters!$B$2:$B$6)</f>
        <v>0.56827453040563214</v>
      </c>
      <c r="AQ647" s="16" t="str" cm="1">
        <f t="array" ref="AQ647">_xlfn.IFS(tbl_HR_Data[[#This Row],[Attrition_Risk_Percentage]] &gt;= 0.75, "Critical",tbl_HR_Data[ [#This Row],[Attrition_Risk_Percentage] ]&gt;= 0.5, "High",tbl_HR_Data[[#This Row],[Attrition_Risk_Percentage]] &gt;= 0.25, "Medium",TRUE, "Low")</f>
        <v>High</v>
      </c>
      <c r="AR647" s="16" cm="1">
        <f t="array" ref="AR647">IFERROR(_xlfn.IFS(tbl_HR_Data[[#This Row],[Risk_Category]]="Critical",tbl_HR_Data[[#This Row],[MonthlyIncome]]*1.5,tbl_HR_Data[[#This Row],[Risk_Category]]="High",tbl_HR_Data[[#This Row],[MonthlyIncome]]*1.5),0)</f>
        <v>4200</v>
      </c>
    </row>
    <row r="648" spans="1:44" x14ac:dyDescent="0.35">
      <c r="A648" t="s">
        <v>247</v>
      </c>
      <c r="B648">
        <v>53</v>
      </c>
      <c r="C648" t="s">
        <v>31</v>
      </c>
      <c r="D648">
        <v>868</v>
      </c>
      <c r="E648" t="s">
        <v>32</v>
      </c>
      <c r="F648">
        <v>8</v>
      </c>
      <c r="G648">
        <v>3</v>
      </c>
      <c r="H648" t="s">
        <v>51</v>
      </c>
      <c r="I648">
        <v>1</v>
      </c>
      <c r="J648" t="s">
        <v>39</v>
      </c>
      <c r="K648">
        <v>73</v>
      </c>
      <c r="L648">
        <v>3</v>
      </c>
      <c r="M648">
        <v>4</v>
      </c>
      <c r="N648" t="s">
        <v>35</v>
      </c>
      <c r="O648">
        <v>4</v>
      </c>
      <c r="P648" t="s">
        <v>41</v>
      </c>
      <c r="Q648">
        <v>11836</v>
      </c>
      <c r="R648">
        <v>22789</v>
      </c>
      <c r="S648">
        <v>5</v>
      </c>
      <c r="T648">
        <v>0</v>
      </c>
      <c r="U648" s="17">
        <v>0.14000000000000001</v>
      </c>
      <c r="V648">
        <v>3</v>
      </c>
      <c r="W648">
        <v>3</v>
      </c>
      <c r="X648">
        <v>1</v>
      </c>
      <c r="Y648">
        <v>28</v>
      </c>
      <c r="Z648">
        <v>3</v>
      </c>
      <c r="AA648">
        <v>3</v>
      </c>
      <c r="AB648">
        <v>2</v>
      </c>
      <c r="AC648">
        <v>0</v>
      </c>
      <c r="AD648">
        <v>2</v>
      </c>
      <c r="AE648">
        <v>2</v>
      </c>
      <c r="AF648">
        <v>0</v>
      </c>
      <c r="AG648">
        <f>IF(tbl_HR_Data[[#This Row],[Gender]]="Male",1,0)</f>
        <v>1</v>
      </c>
      <c r="AH648" cm="1">
        <f t="array" ref="AH648">_xlfn.SWITCH(tbl_HR_Data[[#This Row],[BusinessTravel]], "Non-Travel", 0, "Travel_Rarely", 1, "Travel_Frequently", 2)</f>
        <v>1</v>
      </c>
      <c r="AI648" cm="1">
        <f t="array" ref="AI648">_xlfn.SWITCH(tbl_HR_Data[[#This Row],[MaritalStatus]],"Single",0,"Married",1,"Divorced",2)</f>
        <v>1</v>
      </c>
      <c r="AJ648">
        <f>IF(tbl_HR_Data[[#This Row],[OverTime]]=1,1,0)</f>
        <v>0</v>
      </c>
      <c r="AK648">
        <f>IF(tbl_HR_Data[[#This Row],[DistanceFromHome]]&gt;15,1,0)</f>
        <v>0</v>
      </c>
      <c r="AL648">
        <f>IF(tbl_HR_Data[[#This Row],[JobSatisfaction]]&lt;=2,1,0)</f>
        <v>0</v>
      </c>
      <c r="AM648">
        <f>IF(tbl_HR_Data[[#This Row],[MonthlyIncome]]&lt;$AT$2,1,0)</f>
        <v>0</v>
      </c>
      <c r="AN648">
        <f>IF(tbl_HR_Data[[#This Row],[Travel_Code]]=2,1,0)</f>
        <v>0</v>
      </c>
      <c r="AO648">
        <f>(tbl_HR_Data[[#This Row],[Flag_OT]] * Logic_Parameters!$B$2) +
 (tbl_HR_Data[[#This Row],[Flag_Travel]] * Logic_Parameters!$B$3) +
 (tbl_HR_Data[[#This Row],[Flag_Satisfaction]] * Logic_Parameters!$B$4) +
 (tbl_HR_Data[[#This Row],[Flag_Distance]]* Logic_Parameters!$B$5) +
 (tbl_HR_Data[[#This Row],[Flag_Income]] * Logic_Parameters!$B$6)</f>
        <v>0</v>
      </c>
      <c r="AP648" s="15">
        <f>tbl_HR_Data[[#This Row],[Risk_Score_Raw]] / SUM(Logic_Parameters!$B$2:$B$6)</f>
        <v>0</v>
      </c>
      <c r="AQ648" s="16" t="str" cm="1">
        <f t="array" ref="AQ648">_xlfn.IFS(tbl_HR_Data[[#This Row],[Attrition_Risk_Percentage]] &gt;= 0.75, "Critical",tbl_HR_Data[ [#This Row],[Attrition_Risk_Percentage] ]&gt;= 0.5, "High",tbl_HR_Data[[#This Row],[Attrition_Risk_Percentage]] &gt;= 0.25, "Medium",TRUE, "Low")</f>
        <v>Low</v>
      </c>
      <c r="AR648" s="16" cm="1">
        <f t="array" ref="AR648">IFERROR(_xlfn.IFS(tbl_HR_Data[[#This Row],[Risk_Category]]="Critical",tbl_HR_Data[[#This Row],[MonthlyIncome]]*1.5,tbl_HR_Data[[#This Row],[Risk_Category]]="High",tbl_HR_Data[[#This Row],[MonthlyIncome]]*1.5),0)</f>
        <v>0</v>
      </c>
    </row>
    <row r="649" spans="1:44" x14ac:dyDescent="0.35">
      <c r="A649" t="s">
        <v>617</v>
      </c>
      <c r="B649">
        <v>35</v>
      </c>
      <c r="C649" t="s">
        <v>31</v>
      </c>
      <c r="D649">
        <v>672</v>
      </c>
      <c r="E649" t="s">
        <v>38</v>
      </c>
      <c r="F649">
        <v>25</v>
      </c>
      <c r="G649">
        <v>3</v>
      </c>
      <c r="H649" t="s">
        <v>52</v>
      </c>
      <c r="I649">
        <v>4</v>
      </c>
      <c r="J649" t="s">
        <v>39</v>
      </c>
      <c r="K649">
        <v>78</v>
      </c>
      <c r="L649">
        <v>2</v>
      </c>
      <c r="M649">
        <v>3</v>
      </c>
      <c r="N649" t="s">
        <v>46</v>
      </c>
      <c r="O649">
        <v>2</v>
      </c>
      <c r="P649" t="s">
        <v>41</v>
      </c>
      <c r="Q649">
        <v>10903</v>
      </c>
      <c r="R649">
        <v>9129</v>
      </c>
      <c r="S649">
        <v>3</v>
      </c>
      <c r="T649">
        <v>0</v>
      </c>
      <c r="U649" s="17">
        <v>0.16</v>
      </c>
      <c r="V649">
        <v>3</v>
      </c>
      <c r="W649">
        <v>1</v>
      </c>
      <c r="X649">
        <v>0</v>
      </c>
      <c r="Y649">
        <v>16</v>
      </c>
      <c r="Z649">
        <v>2</v>
      </c>
      <c r="AA649">
        <v>3</v>
      </c>
      <c r="AB649">
        <v>13</v>
      </c>
      <c r="AC649">
        <v>10</v>
      </c>
      <c r="AD649">
        <v>4</v>
      </c>
      <c r="AE649">
        <v>8</v>
      </c>
      <c r="AF649">
        <v>0</v>
      </c>
      <c r="AG649">
        <f>IF(tbl_HR_Data[[#This Row],[Gender]]="Male",1,0)</f>
        <v>1</v>
      </c>
      <c r="AH649" cm="1">
        <f t="array" ref="AH649">_xlfn.SWITCH(tbl_HR_Data[[#This Row],[BusinessTravel]], "Non-Travel", 0, "Travel_Rarely", 1, "Travel_Frequently", 2)</f>
        <v>1</v>
      </c>
      <c r="AI649" cm="1">
        <f t="array" ref="AI649">_xlfn.SWITCH(tbl_HR_Data[[#This Row],[MaritalStatus]],"Single",0,"Married",1,"Divorced",2)</f>
        <v>1</v>
      </c>
      <c r="AJ649">
        <f>IF(tbl_HR_Data[[#This Row],[OverTime]]=1,1,0)</f>
        <v>0</v>
      </c>
      <c r="AK649">
        <f>IF(tbl_HR_Data[[#This Row],[DistanceFromHome]]&gt;15,1,0)</f>
        <v>1</v>
      </c>
      <c r="AL649">
        <f>IF(tbl_HR_Data[[#This Row],[JobSatisfaction]]&lt;=2,1,0)</f>
        <v>1</v>
      </c>
      <c r="AM649">
        <f>IF(tbl_HR_Data[[#This Row],[MonthlyIncome]]&lt;$AT$2,1,0)</f>
        <v>0</v>
      </c>
      <c r="AN649">
        <f>IF(tbl_HR_Data[[#This Row],[Travel_Code]]=2,1,0)</f>
        <v>0</v>
      </c>
      <c r="AO649">
        <f>(tbl_HR_Data[[#This Row],[Flag_OT]] * Logic_Parameters!$B$2) +
 (tbl_HR_Data[[#This Row],[Flag_Travel]] * Logic_Parameters!$B$3) +
 (tbl_HR_Data[[#This Row],[Flag_Satisfaction]] * Logic_Parameters!$B$4) +
 (tbl_HR_Data[[#This Row],[Flag_Distance]]* Logic_Parameters!$B$5) +
 (tbl_HR_Data[[#This Row],[Flag_Income]] * Logic_Parameters!$B$6)</f>
        <v>7.3706398258535089</v>
      </c>
      <c r="AP649" s="15">
        <f>tbl_HR_Data[[#This Row],[Risk_Score_Raw]] / SUM(Logic_Parameters!$B$2:$B$6)</f>
        <v>0.25393706576427255</v>
      </c>
      <c r="AQ649" s="16" t="str" cm="1">
        <f t="array" ref="AQ649">_xlfn.IFS(tbl_HR_Data[[#This Row],[Attrition_Risk_Percentage]] &gt;= 0.75, "Critical",tbl_HR_Data[ [#This Row],[Attrition_Risk_Percentage] ]&gt;= 0.5, "High",tbl_HR_Data[[#This Row],[Attrition_Risk_Percentage]] &gt;= 0.25, "Medium",TRUE, "Low")</f>
        <v>Medium</v>
      </c>
      <c r="AR649" s="16" cm="1">
        <f t="array" ref="AR649">IFERROR(_xlfn.IFS(tbl_HR_Data[[#This Row],[Risk_Category]]="Critical",tbl_HR_Data[[#This Row],[MonthlyIncome]]*1.5,tbl_HR_Data[[#This Row],[Risk_Category]]="High",tbl_HR_Data[[#This Row],[MonthlyIncome]]*1.5),0)</f>
        <v>0</v>
      </c>
    </row>
    <row r="650" spans="1:44" x14ac:dyDescent="0.35">
      <c r="A650" t="s">
        <v>593</v>
      </c>
      <c r="B650">
        <v>37</v>
      </c>
      <c r="C650" t="s">
        <v>37</v>
      </c>
      <c r="D650">
        <v>1231</v>
      </c>
      <c r="E650" t="s">
        <v>32</v>
      </c>
      <c r="F650">
        <v>21</v>
      </c>
      <c r="G650">
        <v>2</v>
      </c>
      <c r="H650" t="s">
        <v>44</v>
      </c>
      <c r="I650">
        <v>3</v>
      </c>
      <c r="J650" t="s">
        <v>34</v>
      </c>
      <c r="K650">
        <v>54</v>
      </c>
      <c r="L650">
        <v>3</v>
      </c>
      <c r="M650">
        <v>1</v>
      </c>
      <c r="N650" t="s">
        <v>49</v>
      </c>
      <c r="O650">
        <v>4</v>
      </c>
      <c r="P650" t="s">
        <v>41</v>
      </c>
      <c r="Q650">
        <v>2973</v>
      </c>
      <c r="R650">
        <v>21222</v>
      </c>
      <c r="S650">
        <v>5</v>
      </c>
      <c r="T650">
        <v>0</v>
      </c>
      <c r="U650" s="17">
        <v>0.15</v>
      </c>
      <c r="V650">
        <v>3</v>
      </c>
      <c r="W650">
        <v>2</v>
      </c>
      <c r="X650">
        <v>1</v>
      </c>
      <c r="Y650">
        <v>10</v>
      </c>
      <c r="Z650">
        <v>3</v>
      </c>
      <c r="AA650">
        <v>3</v>
      </c>
      <c r="AB650">
        <v>5</v>
      </c>
      <c r="AC650">
        <v>4</v>
      </c>
      <c r="AD650">
        <v>0</v>
      </c>
      <c r="AE650">
        <v>0</v>
      </c>
      <c r="AF650">
        <v>0</v>
      </c>
      <c r="AG650">
        <f>IF(tbl_HR_Data[[#This Row],[Gender]]="Male",1,0)</f>
        <v>0</v>
      </c>
      <c r="AH650" cm="1">
        <f t="array" ref="AH650">_xlfn.SWITCH(tbl_HR_Data[[#This Row],[BusinessTravel]], "Non-Travel", 0, "Travel_Rarely", 1, "Travel_Frequently", 2)</f>
        <v>2</v>
      </c>
      <c r="AI650" cm="1">
        <f t="array" ref="AI650">_xlfn.SWITCH(tbl_HR_Data[[#This Row],[MaritalStatus]],"Single",0,"Married",1,"Divorced",2)</f>
        <v>1</v>
      </c>
      <c r="AJ650">
        <f>IF(tbl_HR_Data[[#This Row],[OverTime]]=1,1,0)</f>
        <v>0</v>
      </c>
      <c r="AK650">
        <f>IF(tbl_HR_Data[[#This Row],[DistanceFromHome]]&gt;15,1,0)</f>
        <v>1</v>
      </c>
      <c r="AL650">
        <f>IF(tbl_HR_Data[[#This Row],[JobSatisfaction]]&lt;=2,1,0)</f>
        <v>0</v>
      </c>
      <c r="AM650">
        <f>IF(tbl_HR_Data[[#This Row],[MonthlyIncome]]&lt;$AT$2,1,0)</f>
        <v>1</v>
      </c>
      <c r="AN650">
        <f>IF(tbl_HR_Data[[#This Row],[Travel_Code]]=2,1,0)</f>
        <v>1</v>
      </c>
      <c r="AO650">
        <f>(tbl_HR_Data[[#This Row],[Flag_OT]] * Logic_Parameters!$B$2) +
 (tbl_HR_Data[[#This Row],[Flag_Travel]] * Logic_Parameters!$B$3) +
 (tbl_HR_Data[[#This Row],[Flag_Satisfaction]] * Logic_Parameters!$B$4) +
 (tbl_HR_Data[[#This Row],[Flag_Distance]]* Logic_Parameters!$B$5) +
 (tbl_HR_Data[[#This Row],[Flag_Income]] * Logic_Parameters!$B$6)</f>
        <v>14.820925613786383</v>
      </c>
      <c r="AP650" s="15">
        <f>tbl_HR_Data[[#This Row],[Risk_Score_Raw]] / SUM(Logic_Parameters!$B$2:$B$6)</f>
        <v>0.51061813508702369</v>
      </c>
      <c r="AQ650" s="16" t="str" cm="1">
        <f t="array" ref="AQ650">_xlfn.IFS(tbl_HR_Data[[#This Row],[Attrition_Risk_Percentage]] &gt;= 0.75, "Critical",tbl_HR_Data[ [#This Row],[Attrition_Risk_Percentage] ]&gt;= 0.5, "High",tbl_HR_Data[[#This Row],[Attrition_Risk_Percentage]] &gt;= 0.25, "Medium",TRUE, "Low")</f>
        <v>High</v>
      </c>
      <c r="AR650" s="16" cm="1">
        <f t="array" ref="AR650">IFERROR(_xlfn.IFS(tbl_HR_Data[[#This Row],[Risk_Category]]="Critical",tbl_HR_Data[[#This Row],[MonthlyIncome]]*1.5,tbl_HR_Data[[#This Row],[Risk_Category]]="High",tbl_HR_Data[[#This Row],[MonthlyIncome]]*1.5),0)</f>
        <v>4459.5</v>
      </c>
    </row>
    <row r="651" spans="1:44" x14ac:dyDescent="0.35">
      <c r="A651" t="s">
        <v>406</v>
      </c>
      <c r="B651">
        <v>53</v>
      </c>
      <c r="C651" t="s">
        <v>31</v>
      </c>
      <c r="D651">
        <v>102</v>
      </c>
      <c r="E651" t="s">
        <v>38</v>
      </c>
      <c r="F651">
        <v>23</v>
      </c>
      <c r="G651">
        <v>4</v>
      </c>
      <c r="H651" t="s">
        <v>33</v>
      </c>
      <c r="I651">
        <v>4</v>
      </c>
      <c r="J651" t="s">
        <v>34</v>
      </c>
      <c r="K651">
        <v>72</v>
      </c>
      <c r="L651">
        <v>3</v>
      </c>
      <c r="M651">
        <v>4</v>
      </c>
      <c r="N651" t="s">
        <v>50</v>
      </c>
      <c r="O651">
        <v>4</v>
      </c>
      <c r="P651" t="s">
        <v>36</v>
      </c>
      <c r="Q651">
        <v>14275</v>
      </c>
      <c r="R651">
        <v>20206</v>
      </c>
      <c r="S651">
        <v>6</v>
      </c>
      <c r="T651">
        <v>0</v>
      </c>
      <c r="U651" s="17">
        <v>0.18</v>
      </c>
      <c r="V651">
        <v>3</v>
      </c>
      <c r="W651">
        <v>3</v>
      </c>
      <c r="X651">
        <v>0</v>
      </c>
      <c r="Y651">
        <v>33</v>
      </c>
      <c r="Z651">
        <v>0</v>
      </c>
      <c r="AA651">
        <v>3</v>
      </c>
      <c r="AB651">
        <v>12</v>
      </c>
      <c r="AC651">
        <v>9</v>
      </c>
      <c r="AD651">
        <v>3</v>
      </c>
      <c r="AE651">
        <v>8</v>
      </c>
      <c r="AF651">
        <v>0</v>
      </c>
      <c r="AG651">
        <f>IF(tbl_HR_Data[[#This Row],[Gender]]="Male",1,0)</f>
        <v>0</v>
      </c>
      <c r="AH651" cm="1">
        <f t="array" ref="AH651">_xlfn.SWITCH(tbl_HR_Data[[#This Row],[BusinessTravel]], "Non-Travel", 0, "Travel_Rarely", 1, "Travel_Frequently", 2)</f>
        <v>1</v>
      </c>
      <c r="AI651" cm="1">
        <f t="array" ref="AI651">_xlfn.SWITCH(tbl_HR_Data[[#This Row],[MaritalStatus]],"Single",0,"Married",1,"Divorced",2)</f>
        <v>0</v>
      </c>
      <c r="AJ651">
        <f>IF(tbl_HR_Data[[#This Row],[OverTime]]=1,1,0)</f>
        <v>0</v>
      </c>
      <c r="AK651">
        <f>IF(tbl_HR_Data[[#This Row],[DistanceFromHome]]&gt;15,1,0)</f>
        <v>1</v>
      </c>
      <c r="AL651">
        <f>IF(tbl_HR_Data[[#This Row],[JobSatisfaction]]&lt;=2,1,0)</f>
        <v>0</v>
      </c>
      <c r="AM651">
        <f>IF(tbl_HR_Data[[#This Row],[MonthlyIncome]]&lt;$AT$2,1,0)</f>
        <v>0</v>
      </c>
      <c r="AN651">
        <f>IF(tbl_HR_Data[[#This Row],[Travel_Code]]=2,1,0)</f>
        <v>0</v>
      </c>
      <c r="AO651">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651" s="15">
        <f>tbl_HR_Data[[#This Row],[Risk_Score_Raw]] / SUM(Logic_Parameters!$B$2:$B$6)</f>
        <v>0.10908033267710357</v>
      </c>
      <c r="AQ651" s="16" t="str" cm="1">
        <f t="array" ref="AQ651">_xlfn.IFS(tbl_HR_Data[[#This Row],[Attrition_Risk_Percentage]] &gt;= 0.75, "Critical",tbl_HR_Data[ [#This Row],[Attrition_Risk_Percentage] ]&gt;= 0.5, "High",tbl_HR_Data[[#This Row],[Attrition_Risk_Percentage]] &gt;= 0.25, "Medium",TRUE, "Low")</f>
        <v>Low</v>
      </c>
      <c r="AR651" s="16" cm="1">
        <f t="array" ref="AR651">IFERROR(_xlfn.IFS(tbl_HR_Data[[#This Row],[Risk_Category]]="Critical",tbl_HR_Data[[#This Row],[MonthlyIncome]]*1.5,tbl_HR_Data[[#This Row],[Risk_Category]]="High",tbl_HR_Data[[#This Row],[MonthlyIncome]]*1.5),0)</f>
        <v>0</v>
      </c>
    </row>
    <row r="652" spans="1:44" x14ac:dyDescent="0.35">
      <c r="A652" t="s">
        <v>957</v>
      </c>
      <c r="B652">
        <v>43</v>
      </c>
      <c r="C652" t="s">
        <v>37</v>
      </c>
      <c r="D652">
        <v>422</v>
      </c>
      <c r="E652" t="s">
        <v>38</v>
      </c>
      <c r="F652">
        <v>1</v>
      </c>
      <c r="G652">
        <v>3</v>
      </c>
      <c r="H652" t="s">
        <v>33</v>
      </c>
      <c r="I652">
        <v>4</v>
      </c>
      <c r="J652" t="s">
        <v>34</v>
      </c>
      <c r="K652">
        <v>33</v>
      </c>
      <c r="L652">
        <v>3</v>
      </c>
      <c r="M652">
        <v>2</v>
      </c>
      <c r="N652" t="s">
        <v>47</v>
      </c>
      <c r="O652">
        <v>4</v>
      </c>
      <c r="P652" t="s">
        <v>41</v>
      </c>
      <c r="Q652">
        <v>5562</v>
      </c>
      <c r="R652">
        <v>21782</v>
      </c>
      <c r="S652">
        <v>4</v>
      </c>
      <c r="T652">
        <v>0</v>
      </c>
      <c r="U652" s="17">
        <v>0.13</v>
      </c>
      <c r="V652">
        <v>3</v>
      </c>
      <c r="W652">
        <v>2</v>
      </c>
      <c r="X652">
        <v>1</v>
      </c>
      <c r="Y652">
        <v>12</v>
      </c>
      <c r="Z652">
        <v>2</v>
      </c>
      <c r="AA652">
        <v>2</v>
      </c>
      <c r="AB652">
        <v>5</v>
      </c>
      <c r="AC652">
        <v>2</v>
      </c>
      <c r="AD652">
        <v>2</v>
      </c>
      <c r="AE652">
        <v>2</v>
      </c>
      <c r="AF652">
        <v>0</v>
      </c>
      <c r="AG652">
        <f>IF(tbl_HR_Data[[#This Row],[Gender]]="Male",1,0)</f>
        <v>0</v>
      </c>
      <c r="AH652" cm="1">
        <f t="array" ref="AH652">_xlfn.SWITCH(tbl_HR_Data[[#This Row],[BusinessTravel]], "Non-Travel", 0, "Travel_Rarely", 1, "Travel_Frequently", 2)</f>
        <v>2</v>
      </c>
      <c r="AI652" cm="1">
        <f t="array" ref="AI652">_xlfn.SWITCH(tbl_HR_Data[[#This Row],[MaritalStatus]],"Single",0,"Married",1,"Divorced",2)</f>
        <v>1</v>
      </c>
      <c r="AJ652">
        <f>IF(tbl_HR_Data[[#This Row],[OverTime]]=1,1,0)</f>
        <v>0</v>
      </c>
      <c r="AK652">
        <f>IF(tbl_HR_Data[[#This Row],[DistanceFromHome]]&gt;15,1,0)</f>
        <v>0</v>
      </c>
      <c r="AL652">
        <f>IF(tbl_HR_Data[[#This Row],[JobSatisfaction]]&lt;=2,1,0)</f>
        <v>0</v>
      </c>
      <c r="AM652">
        <f>IF(tbl_HR_Data[[#This Row],[MonthlyIncome]]&lt;$AT$2,1,0)</f>
        <v>0</v>
      </c>
      <c r="AN652">
        <f>IF(tbl_HR_Data[[#This Row],[Travel_Code]]=2,1,0)</f>
        <v>1</v>
      </c>
      <c r="AO652">
        <f>(tbl_HR_Data[[#This Row],[Flag_OT]] * Logic_Parameters!$B$2) +
 (tbl_HR_Data[[#This Row],[Flag_Travel]] * Logic_Parameters!$B$3) +
 (tbl_HR_Data[[#This Row],[Flag_Satisfaction]] * Logic_Parameters!$B$4) +
 (tbl_HR_Data[[#This Row],[Flag_Distance]]* Logic_Parameters!$B$5) +
 (tbl_HR_Data[[#This Row],[Flag_Income]] * Logic_Parameters!$B$6)</f>
        <v>5.1603899804901765</v>
      </c>
      <c r="AP652" s="15">
        <f>tbl_HR_Data[[#This Row],[Risk_Score_Raw]] / SUM(Logic_Parameters!$B$2:$B$6)</f>
        <v>0.17778840383009531</v>
      </c>
      <c r="AQ652" s="16" t="str" cm="1">
        <f t="array" ref="AQ652">_xlfn.IFS(tbl_HR_Data[[#This Row],[Attrition_Risk_Percentage]] &gt;= 0.75, "Critical",tbl_HR_Data[ [#This Row],[Attrition_Risk_Percentage] ]&gt;= 0.5, "High",tbl_HR_Data[[#This Row],[Attrition_Risk_Percentage]] &gt;= 0.25, "Medium",TRUE, "Low")</f>
        <v>Low</v>
      </c>
      <c r="AR652" s="16" cm="1">
        <f t="array" ref="AR652">IFERROR(_xlfn.IFS(tbl_HR_Data[[#This Row],[Risk_Category]]="Critical",tbl_HR_Data[[#This Row],[MonthlyIncome]]*1.5,tbl_HR_Data[[#This Row],[Risk_Category]]="High",tbl_HR_Data[[#This Row],[MonthlyIncome]]*1.5),0)</f>
        <v>0</v>
      </c>
    </row>
    <row r="653" spans="1:44" x14ac:dyDescent="0.35">
      <c r="A653" t="s">
        <v>147</v>
      </c>
      <c r="B653">
        <v>47</v>
      </c>
      <c r="C653" t="s">
        <v>31</v>
      </c>
      <c r="D653">
        <v>249</v>
      </c>
      <c r="E653" t="s">
        <v>32</v>
      </c>
      <c r="F653">
        <v>2</v>
      </c>
      <c r="G653">
        <v>2</v>
      </c>
      <c r="H653" t="s">
        <v>51</v>
      </c>
      <c r="I653">
        <v>3</v>
      </c>
      <c r="J653" t="s">
        <v>34</v>
      </c>
      <c r="K653">
        <v>35</v>
      </c>
      <c r="L653">
        <v>3</v>
      </c>
      <c r="M653">
        <v>2</v>
      </c>
      <c r="N653" t="s">
        <v>35</v>
      </c>
      <c r="O653">
        <v>4</v>
      </c>
      <c r="P653" t="s">
        <v>41</v>
      </c>
      <c r="Q653">
        <v>4537</v>
      </c>
      <c r="R653">
        <v>17783</v>
      </c>
      <c r="S653">
        <v>0</v>
      </c>
      <c r="T653">
        <v>1</v>
      </c>
      <c r="U653" s="17">
        <v>0.22</v>
      </c>
      <c r="V653">
        <v>4</v>
      </c>
      <c r="W653">
        <v>1</v>
      </c>
      <c r="X653">
        <v>1</v>
      </c>
      <c r="Y653">
        <v>8</v>
      </c>
      <c r="Z653">
        <v>2</v>
      </c>
      <c r="AA653">
        <v>3</v>
      </c>
      <c r="AB653">
        <v>7</v>
      </c>
      <c r="AC653">
        <v>6</v>
      </c>
      <c r="AD653">
        <v>7</v>
      </c>
      <c r="AE653">
        <v>7</v>
      </c>
      <c r="AF653">
        <v>0</v>
      </c>
      <c r="AG653">
        <f>IF(tbl_HR_Data[[#This Row],[Gender]]="Male",1,0)</f>
        <v>0</v>
      </c>
      <c r="AH653" cm="1">
        <f t="array" ref="AH653">_xlfn.SWITCH(tbl_HR_Data[[#This Row],[BusinessTravel]], "Non-Travel", 0, "Travel_Rarely", 1, "Travel_Frequently", 2)</f>
        <v>1</v>
      </c>
      <c r="AI653" cm="1">
        <f t="array" ref="AI653">_xlfn.SWITCH(tbl_HR_Data[[#This Row],[MaritalStatus]],"Single",0,"Married",1,"Divorced",2)</f>
        <v>1</v>
      </c>
      <c r="AJ653">
        <f>IF(tbl_HR_Data[[#This Row],[OverTime]]=1,1,0)</f>
        <v>1</v>
      </c>
      <c r="AK653">
        <f>IF(tbl_HR_Data[[#This Row],[DistanceFromHome]]&gt;15,1,0)</f>
        <v>0</v>
      </c>
      <c r="AL653">
        <f>IF(tbl_HR_Data[[#This Row],[JobSatisfaction]]&lt;=2,1,0)</f>
        <v>0</v>
      </c>
      <c r="AM653">
        <f>IF(tbl_HR_Data[[#This Row],[MonthlyIncome]]&lt;$AT$2,1,0)</f>
        <v>1</v>
      </c>
      <c r="AN653">
        <f>IF(tbl_HR_Data[[#This Row],[Travel_Code]]=2,1,0)</f>
        <v>0</v>
      </c>
      <c r="AO653">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653" s="15">
        <f>tbl_HR_Data[[#This Row],[Risk_Score_Raw]] / SUM(Logic_Parameters!$B$2:$B$6)</f>
        <v>0.56827453040563214</v>
      </c>
      <c r="AQ653" s="16" t="str" cm="1">
        <f t="array" ref="AQ653">_xlfn.IFS(tbl_HR_Data[[#This Row],[Attrition_Risk_Percentage]] &gt;= 0.75, "Critical",tbl_HR_Data[ [#This Row],[Attrition_Risk_Percentage] ]&gt;= 0.5, "High",tbl_HR_Data[[#This Row],[Attrition_Risk_Percentage]] &gt;= 0.25, "Medium",TRUE, "Low")</f>
        <v>High</v>
      </c>
      <c r="AR653" s="16" cm="1">
        <f t="array" ref="AR653">IFERROR(_xlfn.IFS(tbl_HR_Data[[#This Row],[Risk_Category]]="Critical",tbl_HR_Data[[#This Row],[MonthlyIncome]]*1.5,tbl_HR_Data[[#This Row],[Risk_Category]]="High",tbl_HR_Data[[#This Row],[MonthlyIncome]]*1.5),0)</f>
        <v>6805.5</v>
      </c>
    </row>
    <row r="654" spans="1:44" x14ac:dyDescent="0.35">
      <c r="A654" t="s">
        <v>1447</v>
      </c>
      <c r="B654">
        <v>37</v>
      </c>
      <c r="C654" t="s">
        <v>1525</v>
      </c>
      <c r="D654">
        <v>1252</v>
      </c>
      <c r="E654" t="s">
        <v>32</v>
      </c>
      <c r="F654">
        <v>19</v>
      </c>
      <c r="G654">
        <v>2</v>
      </c>
      <c r="H654" t="s">
        <v>44</v>
      </c>
      <c r="I654">
        <v>1</v>
      </c>
      <c r="J654" t="s">
        <v>39</v>
      </c>
      <c r="K654">
        <v>32</v>
      </c>
      <c r="L654">
        <v>3</v>
      </c>
      <c r="M654">
        <v>3</v>
      </c>
      <c r="N654" t="s">
        <v>35</v>
      </c>
      <c r="O654">
        <v>2</v>
      </c>
      <c r="P654" t="s">
        <v>36</v>
      </c>
      <c r="Q654">
        <v>7642</v>
      </c>
      <c r="R654">
        <v>4814</v>
      </c>
      <c r="S654">
        <v>1</v>
      </c>
      <c r="T654">
        <v>1</v>
      </c>
      <c r="U654" s="17">
        <v>0.13</v>
      </c>
      <c r="V654">
        <v>3</v>
      </c>
      <c r="W654">
        <v>4</v>
      </c>
      <c r="X654">
        <v>0</v>
      </c>
      <c r="Y654">
        <v>10</v>
      </c>
      <c r="Z654">
        <v>2</v>
      </c>
      <c r="AA654">
        <v>3</v>
      </c>
      <c r="AB654">
        <v>10</v>
      </c>
      <c r="AC654">
        <v>0</v>
      </c>
      <c r="AD654">
        <v>0</v>
      </c>
      <c r="AE654">
        <v>9</v>
      </c>
      <c r="AF654">
        <v>0</v>
      </c>
      <c r="AG654">
        <f>IF(tbl_HR_Data[[#This Row],[Gender]]="Male",1,0)</f>
        <v>1</v>
      </c>
      <c r="AH654" cm="1">
        <f t="array" ref="AH654">_xlfn.SWITCH(tbl_HR_Data[[#This Row],[BusinessTravel]], "Non-Travel", 0, "Travel_Rarely", 1, "Travel_Frequently", 2)</f>
        <v>0</v>
      </c>
      <c r="AI654" cm="1">
        <f t="array" ref="AI654">_xlfn.SWITCH(tbl_HR_Data[[#This Row],[MaritalStatus]],"Single",0,"Married",1,"Divorced",2)</f>
        <v>0</v>
      </c>
      <c r="AJ654">
        <f>IF(tbl_HR_Data[[#This Row],[OverTime]]=1,1,0)</f>
        <v>1</v>
      </c>
      <c r="AK654">
        <f>IF(tbl_HR_Data[[#This Row],[DistanceFromHome]]&gt;15,1,0)</f>
        <v>1</v>
      </c>
      <c r="AL654">
        <f>IF(tbl_HR_Data[[#This Row],[JobSatisfaction]]&lt;=2,1,0)</f>
        <v>1</v>
      </c>
      <c r="AM654">
        <f>IF(tbl_HR_Data[[#This Row],[MonthlyIncome]]&lt;$AT$2,1,0)</f>
        <v>0</v>
      </c>
      <c r="AN654">
        <f>IF(tbl_HR_Data[[#This Row],[Travel_Code]]=2,1,0)</f>
        <v>0</v>
      </c>
      <c r="AO654">
        <f>(tbl_HR_Data[[#This Row],[Flag_OT]] * Logic_Parameters!$B$2) +
 (tbl_HR_Data[[#This Row],[Flag_Travel]] * Logic_Parameters!$B$3) +
 (tbl_HR_Data[[#This Row],[Flag_Satisfaction]] * Logic_Parameters!$B$4) +
 (tbl_HR_Data[[#This Row],[Flag_Distance]]* Logic_Parameters!$B$5) +
 (tbl_HR_Data[[#This Row],[Flag_Income]] * Logic_Parameters!$B$6)</f>
        <v>17.370639825853509</v>
      </c>
      <c r="AP654" s="15">
        <f>tbl_HR_Data[[#This Row],[Risk_Score_Raw]] / SUM(Logic_Parameters!$B$2:$B$6)</f>
        <v>0.59846219759007979</v>
      </c>
      <c r="AQ654" s="16" t="str" cm="1">
        <f t="array" ref="AQ654">_xlfn.IFS(tbl_HR_Data[[#This Row],[Attrition_Risk_Percentage]] &gt;= 0.75, "Critical",tbl_HR_Data[ [#This Row],[Attrition_Risk_Percentage] ]&gt;= 0.5, "High",tbl_HR_Data[[#This Row],[Attrition_Risk_Percentage]] &gt;= 0.25, "Medium",TRUE, "Low")</f>
        <v>High</v>
      </c>
      <c r="AR654" s="16" cm="1">
        <f t="array" ref="AR654">IFERROR(_xlfn.IFS(tbl_HR_Data[[#This Row],[Risk_Category]]="Critical",tbl_HR_Data[[#This Row],[MonthlyIncome]]*1.5,tbl_HR_Data[[#This Row],[Risk_Category]]="High",tbl_HR_Data[[#This Row],[MonthlyIncome]]*1.5),0)</f>
        <v>11463</v>
      </c>
    </row>
    <row r="655" spans="1:44" x14ac:dyDescent="0.35">
      <c r="A655" t="s">
        <v>213</v>
      </c>
      <c r="B655">
        <v>50</v>
      </c>
      <c r="C655" t="s">
        <v>1525</v>
      </c>
      <c r="D655">
        <v>881</v>
      </c>
      <c r="E655" t="s">
        <v>38</v>
      </c>
      <c r="F655">
        <v>2</v>
      </c>
      <c r="G655">
        <v>4</v>
      </c>
      <c r="H655" t="s">
        <v>33</v>
      </c>
      <c r="I655">
        <v>1</v>
      </c>
      <c r="J655" t="s">
        <v>39</v>
      </c>
      <c r="K655">
        <v>98</v>
      </c>
      <c r="L655">
        <v>3</v>
      </c>
      <c r="M655">
        <v>4</v>
      </c>
      <c r="N655" t="s">
        <v>48</v>
      </c>
      <c r="O655">
        <v>1</v>
      </c>
      <c r="P655" t="s">
        <v>45</v>
      </c>
      <c r="Q655">
        <v>17924</v>
      </c>
      <c r="R655">
        <v>4544</v>
      </c>
      <c r="S655">
        <v>1</v>
      </c>
      <c r="T655">
        <v>0</v>
      </c>
      <c r="U655" s="17">
        <v>0.11</v>
      </c>
      <c r="V655">
        <v>3</v>
      </c>
      <c r="W655">
        <v>4</v>
      </c>
      <c r="X655">
        <v>1</v>
      </c>
      <c r="Y655">
        <v>31</v>
      </c>
      <c r="Z655">
        <v>3</v>
      </c>
      <c r="AA655">
        <v>3</v>
      </c>
      <c r="AB655">
        <v>31</v>
      </c>
      <c r="AC655">
        <v>6</v>
      </c>
      <c r="AD655">
        <v>14</v>
      </c>
      <c r="AE655">
        <v>7</v>
      </c>
      <c r="AF655">
        <v>0</v>
      </c>
      <c r="AG655">
        <f>IF(tbl_HR_Data[[#This Row],[Gender]]="Male",1,0)</f>
        <v>1</v>
      </c>
      <c r="AH655" cm="1">
        <f t="array" ref="AH655">_xlfn.SWITCH(tbl_HR_Data[[#This Row],[BusinessTravel]], "Non-Travel", 0, "Travel_Rarely", 1, "Travel_Frequently", 2)</f>
        <v>0</v>
      </c>
      <c r="AI655" cm="1">
        <f t="array" ref="AI655">_xlfn.SWITCH(tbl_HR_Data[[#This Row],[MaritalStatus]],"Single",0,"Married",1,"Divorced",2)</f>
        <v>2</v>
      </c>
      <c r="AJ655">
        <f>IF(tbl_HR_Data[[#This Row],[OverTime]]=1,1,0)</f>
        <v>0</v>
      </c>
      <c r="AK655">
        <f>IF(tbl_HR_Data[[#This Row],[DistanceFromHome]]&gt;15,1,0)</f>
        <v>0</v>
      </c>
      <c r="AL655">
        <f>IF(tbl_HR_Data[[#This Row],[JobSatisfaction]]&lt;=2,1,0)</f>
        <v>1</v>
      </c>
      <c r="AM655">
        <f>IF(tbl_HR_Data[[#This Row],[MonthlyIncome]]&lt;$AT$2,1,0)</f>
        <v>0</v>
      </c>
      <c r="AN655">
        <f>IF(tbl_HR_Data[[#This Row],[Travel_Code]]=2,1,0)</f>
        <v>0</v>
      </c>
      <c r="AO655">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655" s="15">
        <f>tbl_HR_Data[[#This Row],[Risk_Score_Raw]] / SUM(Logic_Parameters!$B$2:$B$6)</f>
        <v>0.14485673308716898</v>
      </c>
      <c r="AQ655" s="16" t="str" cm="1">
        <f t="array" ref="AQ655">_xlfn.IFS(tbl_HR_Data[[#This Row],[Attrition_Risk_Percentage]] &gt;= 0.75, "Critical",tbl_HR_Data[ [#This Row],[Attrition_Risk_Percentage] ]&gt;= 0.5, "High",tbl_HR_Data[[#This Row],[Attrition_Risk_Percentage]] &gt;= 0.25, "Medium",TRUE, "Low")</f>
        <v>Low</v>
      </c>
      <c r="AR655" s="16" cm="1">
        <f t="array" ref="AR655">IFERROR(_xlfn.IFS(tbl_HR_Data[[#This Row],[Risk_Category]]="Critical",tbl_HR_Data[[#This Row],[MonthlyIncome]]*1.5,tbl_HR_Data[[#This Row],[Risk_Category]]="High",tbl_HR_Data[[#This Row],[MonthlyIncome]]*1.5),0)</f>
        <v>0</v>
      </c>
    </row>
    <row r="656" spans="1:44" x14ac:dyDescent="0.35">
      <c r="A656" t="s">
        <v>924</v>
      </c>
      <c r="B656">
        <v>39</v>
      </c>
      <c r="C656" t="s">
        <v>31</v>
      </c>
      <c r="D656">
        <v>1383</v>
      </c>
      <c r="E656" t="s">
        <v>53</v>
      </c>
      <c r="F656">
        <v>2</v>
      </c>
      <c r="G656">
        <v>3</v>
      </c>
      <c r="H656" t="s">
        <v>33</v>
      </c>
      <c r="I656">
        <v>4</v>
      </c>
      <c r="J656" t="s">
        <v>34</v>
      </c>
      <c r="K656">
        <v>42</v>
      </c>
      <c r="L656">
        <v>2</v>
      </c>
      <c r="M656">
        <v>2</v>
      </c>
      <c r="N656" t="s">
        <v>53</v>
      </c>
      <c r="O656">
        <v>4</v>
      </c>
      <c r="P656" t="s">
        <v>41</v>
      </c>
      <c r="Q656">
        <v>5204</v>
      </c>
      <c r="R656">
        <v>7790</v>
      </c>
      <c r="S656">
        <v>8</v>
      </c>
      <c r="T656">
        <v>0</v>
      </c>
      <c r="U656" s="17">
        <v>0.11</v>
      </c>
      <c r="V656">
        <v>3</v>
      </c>
      <c r="W656">
        <v>3</v>
      </c>
      <c r="X656">
        <v>2</v>
      </c>
      <c r="Y656">
        <v>13</v>
      </c>
      <c r="Z656">
        <v>2</v>
      </c>
      <c r="AA656">
        <v>3</v>
      </c>
      <c r="AB656">
        <v>5</v>
      </c>
      <c r="AC656">
        <v>4</v>
      </c>
      <c r="AD656">
        <v>0</v>
      </c>
      <c r="AE656">
        <v>4</v>
      </c>
      <c r="AF656">
        <v>0</v>
      </c>
      <c r="AG656">
        <f>IF(tbl_HR_Data[[#This Row],[Gender]]="Male",1,0)</f>
        <v>0</v>
      </c>
      <c r="AH656" cm="1">
        <f t="array" ref="AH656">_xlfn.SWITCH(tbl_HR_Data[[#This Row],[BusinessTravel]], "Non-Travel", 0, "Travel_Rarely", 1, "Travel_Frequently", 2)</f>
        <v>1</v>
      </c>
      <c r="AI656" cm="1">
        <f t="array" ref="AI656">_xlfn.SWITCH(tbl_HR_Data[[#This Row],[MaritalStatus]],"Single",0,"Married",1,"Divorced",2)</f>
        <v>1</v>
      </c>
      <c r="AJ656">
        <f>IF(tbl_HR_Data[[#This Row],[OverTime]]=1,1,0)</f>
        <v>0</v>
      </c>
      <c r="AK656">
        <f>IF(tbl_HR_Data[[#This Row],[DistanceFromHome]]&gt;15,1,0)</f>
        <v>0</v>
      </c>
      <c r="AL656">
        <f>IF(tbl_HR_Data[[#This Row],[JobSatisfaction]]&lt;=2,1,0)</f>
        <v>0</v>
      </c>
      <c r="AM656">
        <f>IF(tbl_HR_Data[[#This Row],[MonthlyIncome]]&lt;$AT$2,1,0)</f>
        <v>0</v>
      </c>
      <c r="AN656">
        <f>IF(tbl_HR_Data[[#This Row],[Travel_Code]]=2,1,0)</f>
        <v>0</v>
      </c>
      <c r="AO656">
        <f>(tbl_HR_Data[[#This Row],[Flag_OT]] * Logic_Parameters!$B$2) +
 (tbl_HR_Data[[#This Row],[Flag_Travel]] * Logic_Parameters!$B$3) +
 (tbl_HR_Data[[#This Row],[Flag_Satisfaction]] * Logic_Parameters!$B$4) +
 (tbl_HR_Data[[#This Row],[Flag_Distance]]* Logic_Parameters!$B$5) +
 (tbl_HR_Data[[#This Row],[Flag_Income]] * Logic_Parameters!$B$6)</f>
        <v>0</v>
      </c>
      <c r="AP656" s="15">
        <f>tbl_HR_Data[[#This Row],[Risk_Score_Raw]] / SUM(Logic_Parameters!$B$2:$B$6)</f>
        <v>0</v>
      </c>
      <c r="AQ656" s="16" t="str" cm="1">
        <f t="array" ref="AQ656">_xlfn.IFS(tbl_HR_Data[[#This Row],[Attrition_Risk_Percentage]] &gt;= 0.75, "Critical",tbl_HR_Data[ [#This Row],[Attrition_Risk_Percentage] ]&gt;= 0.5, "High",tbl_HR_Data[[#This Row],[Attrition_Risk_Percentage]] &gt;= 0.25, "Medium",TRUE, "Low")</f>
        <v>Low</v>
      </c>
      <c r="AR656" s="16" cm="1">
        <f t="array" ref="AR656">IFERROR(_xlfn.IFS(tbl_HR_Data[[#This Row],[Risk_Category]]="Critical",tbl_HR_Data[[#This Row],[MonthlyIncome]]*1.5,tbl_HR_Data[[#This Row],[Risk_Category]]="High",tbl_HR_Data[[#This Row],[MonthlyIncome]]*1.5),0)</f>
        <v>0</v>
      </c>
    </row>
    <row r="657" spans="1:44" x14ac:dyDescent="0.35">
      <c r="A657" t="s">
        <v>901</v>
      </c>
      <c r="B657">
        <v>33</v>
      </c>
      <c r="C657" t="s">
        <v>31</v>
      </c>
      <c r="D657">
        <v>1075</v>
      </c>
      <c r="E657" t="s">
        <v>53</v>
      </c>
      <c r="F657">
        <v>3</v>
      </c>
      <c r="G657">
        <v>2</v>
      </c>
      <c r="H657" t="s">
        <v>53</v>
      </c>
      <c r="I657">
        <v>4</v>
      </c>
      <c r="J657" t="s">
        <v>39</v>
      </c>
      <c r="K657">
        <v>57</v>
      </c>
      <c r="L657">
        <v>3</v>
      </c>
      <c r="M657">
        <v>1</v>
      </c>
      <c r="N657" t="s">
        <v>53</v>
      </c>
      <c r="O657">
        <v>2</v>
      </c>
      <c r="P657" t="s">
        <v>45</v>
      </c>
      <c r="Q657">
        <v>2277</v>
      </c>
      <c r="R657">
        <v>22650</v>
      </c>
      <c r="S657">
        <v>3</v>
      </c>
      <c r="T657">
        <v>1</v>
      </c>
      <c r="U657" s="17">
        <v>0.11</v>
      </c>
      <c r="V657">
        <v>3</v>
      </c>
      <c r="W657">
        <v>3</v>
      </c>
      <c r="X657">
        <v>1</v>
      </c>
      <c r="Y657">
        <v>7</v>
      </c>
      <c r="Z657">
        <v>4</v>
      </c>
      <c r="AA657">
        <v>4</v>
      </c>
      <c r="AB657">
        <v>4</v>
      </c>
      <c r="AC657">
        <v>3</v>
      </c>
      <c r="AD657">
        <v>0</v>
      </c>
      <c r="AE657">
        <v>3</v>
      </c>
      <c r="AF657">
        <v>0</v>
      </c>
      <c r="AG657">
        <f>IF(tbl_HR_Data[[#This Row],[Gender]]="Male",1,0)</f>
        <v>1</v>
      </c>
      <c r="AH657" cm="1">
        <f t="array" ref="AH657">_xlfn.SWITCH(tbl_HR_Data[[#This Row],[BusinessTravel]], "Non-Travel", 0, "Travel_Rarely", 1, "Travel_Frequently", 2)</f>
        <v>1</v>
      </c>
      <c r="AI657" cm="1">
        <f t="array" ref="AI657">_xlfn.SWITCH(tbl_HR_Data[[#This Row],[MaritalStatus]],"Single",0,"Married",1,"Divorced",2)</f>
        <v>2</v>
      </c>
      <c r="AJ657">
        <f>IF(tbl_HR_Data[[#This Row],[OverTime]]=1,1,0)</f>
        <v>1</v>
      </c>
      <c r="AK657">
        <f>IF(tbl_HR_Data[[#This Row],[DistanceFromHome]]&gt;15,1,0)</f>
        <v>0</v>
      </c>
      <c r="AL657">
        <f>IF(tbl_HR_Data[[#This Row],[JobSatisfaction]]&lt;=2,1,0)</f>
        <v>1</v>
      </c>
      <c r="AM657">
        <f>IF(tbl_HR_Data[[#This Row],[MonthlyIncome]]&lt;$AT$2,1,0)</f>
        <v>1</v>
      </c>
      <c r="AN657">
        <f>IF(tbl_HR_Data[[#This Row],[Travel_Code]]=2,1,0)</f>
        <v>0</v>
      </c>
      <c r="AO657">
        <f>(tbl_HR_Data[[#This Row],[Flag_OT]] * Logic_Parameters!$B$2) +
 (tbl_HR_Data[[#This Row],[Flag_Travel]] * Logic_Parameters!$B$3) +
 (tbl_HR_Data[[#This Row],[Flag_Satisfaction]] * Logic_Parameters!$B$4) +
 (tbl_HR_Data[[#This Row],[Flag_Distance]]* Logic_Parameters!$B$5) +
 (tbl_HR_Data[[#This Row],[Flag_Income]] * Logic_Parameters!$B$6)</f>
        <v>20.698962067398959</v>
      </c>
      <c r="AP657" s="15">
        <f>tbl_HR_Data[[#This Row],[Risk_Score_Raw]] / SUM(Logic_Parameters!$B$2:$B$6)</f>
        <v>0.71313126349280109</v>
      </c>
      <c r="AQ657" s="16" t="str" cm="1">
        <f t="array" ref="AQ657">_xlfn.IFS(tbl_HR_Data[[#This Row],[Attrition_Risk_Percentage]] &gt;= 0.75, "Critical",tbl_HR_Data[ [#This Row],[Attrition_Risk_Percentage] ]&gt;= 0.5, "High",tbl_HR_Data[[#This Row],[Attrition_Risk_Percentage]] &gt;= 0.25, "Medium",TRUE, "Low")</f>
        <v>High</v>
      </c>
      <c r="AR657" s="16" cm="1">
        <f t="array" ref="AR657">IFERROR(_xlfn.IFS(tbl_HR_Data[[#This Row],[Risk_Category]]="Critical",tbl_HR_Data[[#This Row],[MonthlyIncome]]*1.5,tbl_HR_Data[[#This Row],[Risk_Category]]="High",tbl_HR_Data[[#This Row],[MonthlyIncome]]*1.5),0)</f>
        <v>3415.5</v>
      </c>
    </row>
    <row r="658" spans="1:44" x14ac:dyDescent="0.35">
      <c r="A658" t="s">
        <v>918</v>
      </c>
      <c r="B658">
        <v>32</v>
      </c>
      <c r="C658" t="s">
        <v>31</v>
      </c>
      <c r="D658">
        <v>374</v>
      </c>
      <c r="E658" t="s">
        <v>38</v>
      </c>
      <c r="F658">
        <v>25</v>
      </c>
      <c r="G658">
        <v>4</v>
      </c>
      <c r="H658" t="s">
        <v>33</v>
      </c>
      <c r="I658">
        <v>1</v>
      </c>
      <c r="J658" t="s">
        <v>39</v>
      </c>
      <c r="K658">
        <v>87</v>
      </c>
      <c r="L658">
        <v>3</v>
      </c>
      <c r="M658">
        <v>1</v>
      </c>
      <c r="N658" t="s">
        <v>43</v>
      </c>
      <c r="O658">
        <v>4</v>
      </c>
      <c r="P658" t="s">
        <v>36</v>
      </c>
      <c r="Q658">
        <v>2795</v>
      </c>
      <c r="R658">
        <v>18016</v>
      </c>
      <c r="S658">
        <v>1</v>
      </c>
      <c r="T658">
        <v>1</v>
      </c>
      <c r="U658" s="17">
        <v>0.24</v>
      </c>
      <c r="V658">
        <v>4</v>
      </c>
      <c r="W658">
        <v>3</v>
      </c>
      <c r="X658">
        <v>0</v>
      </c>
      <c r="Y658">
        <v>1</v>
      </c>
      <c r="Z658">
        <v>2</v>
      </c>
      <c r="AA658">
        <v>1</v>
      </c>
      <c r="AB658">
        <v>1</v>
      </c>
      <c r="AC658">
        <v>0</v>
      </c>
      <c r="AD658">
        <v>0</v>
      </c>
      <c r="AE658">
        <v>1</v>
      </c>
      <c r="AF658">
        <v>1</v>
      </c>
      <c r="AG658">
        <f>IF(tbl_HR_Data[[#This Row],[Gender]]="Male",1,0)</f>
        <v>1</v>
      </c>
      <c r="AH658" cm="1">
        <f t="array" ref="AH658">_xlfn.SWITCH(tbl_HR_Data[[#This Row],[BusinessTravel]], "Non-Travel", 0, "Travel_Rarely", 1, "Travel_Frequently", 2)</f>
        <v>1</v>
      </c>
      <c r="AI658" cm="1">
        <f t="array" ref="AI658">_xlfn.SWITCH(tbl_HR_Data[[#This Row],[MaritalStatus]],"Single",0,"Married",1,"Divorced",2)</f>
        <v>0</v>
      </c>
      <c r="AJ658">
        <f>IF(tbl_HR_Data[[#This Row],[OverTime]]=1,1,0)</f>
        <v>1</v>
      </c>
      <c r="AK658">
        <f>IF(tbl_HR_Data[[#This Row],[DistanceFromHome]]&gt;15,1,0)</f>
        <v>1</v>
      </c>
      <c r="AL658">
        <f>IF(tbl_HR_Data[[#This Row],[JobSatisfaction]]&lt;=2,1,0)</f>
        <v>0</v>
      </c>
      <c r="AM658">
        <f>IF(tbl_HR_Data[[#This Row],[MonthlyIncome]]&lt;$AT$2,1,0)</f>
        <v>1</v>
      </c>
      <c r="AN658">
        <f>IF(tbl_HR_Data[[#This Row],[Travel_Code]]=2,1,0)</f>
        <v>0</v>
      </c>
      <c r="AO658">
        <f>(tbl_HR_Data[[#This Row],[Flag_OT]] * Logic_Parameters!$B$2) +
 (tbl_HR_Data[[#This Row],[Flag_Travel]] * Logic_Parameters!$B$3) +
 (tbl_HR_Data[[#This Row],[Flag_Satisfaction]] * Logic_Parameters!$B$4) +
 (tbl_HR_Data[[#This Row],[Flag_Distance]]* Logic_Parameters!$B$5) +
 (tbl_HR_Data[[#This Row],[Flag_Income]] * Logic_Parameters!$B$6)</f>
        <v>19.660535633296206</v>
      </c>
      <c r="AP658" s="15">
        <f>tbl_HR_Data[[#This Row],[Risk_Score_Raw]] / SUM(Logic_Parameters!$B$2:$B$6)</f>
        <v>0.67735486308273574</v>
      </c>
      <c r="AQ658" s="16" t="str" cm="1">
        <f t="array" ref="AQ658">_xlfn.IFS(tbl_HR_Data[[#This Row],[Attrition_Risk_Percentage]] &gt;= 0.75, "Critical",tbl_HR_Data[ [#This Row],[Attrition_Risk_Percentage] ]&gt;= 0.5, "High",tbl_HR_Data[[#This Row],[Attrition_Risk_Percentage]] &gt;= 0.25, "Medium",TRUE, "Low")</f>
        <v>High</v>
      </c>
      <c r="AR658" s="16" cm="1">
        <f t="array" ref="AR658">IFERROR(_xlfn.IFS(tbl_HR_Data[[#This Row],[Risk_Category]]="Critical",tbl_HR_Data[[#This Row],[MonthlyIncome]]*1.5,tbl_HR_Data[[#This Row],[Risk_Category]]="High",tbl_HR_Data[[#This Row],[MonthlyIncome]]*1.5),0)</f>
        <v>4192.5</v>
      </c>
    </row>
    <row r="659" spans="1:44" x14ac:dyDescent="0.35">
      <c r="A659" t="s">
        <v>242</v>
      </c>
      <c r="B659">
        <v>29</v>
      </c>
      <c r="C659" t="s">
        <v>31</v>
      </c>
      <c r="D659">
        <v>1086</v>
      </c>
      <c r="E659" t="s">
        <v>38</v>
      </c>
      <c r="F659">
        <v>7</v>
      </c>
      <c r="G659">
        <v>1</v>
      </c>
      <c r="H659" t="s">
        <v>44</v>
      </c>
      <c r="I659">
        <v>1</v>
      </c>
      <c r="J659" t="s">
        <v>34</v>
      </c>
      <c r="K659">
        <v>62</v>
      </c>
      <c r="L659">
        <v>2</v>
      </c>
      <c r="M659">
        <v>1</v>
      </c>
      <c r="N659" t="s">
        <v>43</v>
      </c>
      <c r="O659">
        <v>4</v>
      </c>
      <c r="P659" t="s">
        <v>45</v>
      </c>
      <c r="Q659">
        <v>2532</v>
      </c>
      <c r="R659">
        <v>6054</v>
      </c>
      <c r="S659">
        <v>6</v>
      </c>
      <c r="T659">
        <v>0</v>
      </c>
      <c r="U659" s="17">
        <v>0.14000000000000001</v>
      </c>
      <c r="V659">
        <v>3</v>
      </c>
      <c r="W659">
        <v>3</v>
      </c>
      <c r="X659">
        <v>3</v>
      </c>
      <c r="Y659">
        <v>8</v>
      </c>
      <c r="Z659">
        <v>5</v>
      </c>
      <c r="AA659">
        <v>3</v>
      </c>
      <c r="AB659">
        <v>4</v>
      </c>
      <c r="AC659">
        <v>3</v>
      </c>
      <c r="AD659">
        <v>0</v>
      </c>
      <c r="AE659">
        <v>3</v>
      </c>
      <c r="AF659">
        <v>0</v>
      </c>
      <c r="AG659">
        <f>IF(tbl_HR_Data[[#This Row],[Gender]]="Male",1,0)</f>
        <v>0</v>
      </c>
      <c r="AH659" cm="1">
        <f t="array" ref="AH659">_xlfn.SWITCH(tbl_HR_Data[[#This Row],[BusinessTravel]], "Non-Travel", 0, "Travel_Rarely", 1, "Travel_Frequently", 2)</f>
        <v>1</v>
      </c>
      <c r="AI659" cm="1">
        <f t="array" ref="AI659">_xlfn.SWITCH(tbl_HR_Data[[#This Row],[MaritalStatus]],"Single",0,"Married",1,"Divorced",2)</f>
        <v>2</v>
      </c>
      <c r="AJ659">
        <f>IF(tbl_HR_Data[[#This Row],[OverTime]]=1,1,0)</f>
        <v>0</v>
      </c>
      <c r="AK659">
        <f>IF(tbl_HR_Data[[#This Row],[DistanceFromHome]]&gt;15,1,0)</f>
        <v>0</v>
      </c>
      <c r="AL659">
        <f>IF(tbl_HR_Data[[#This Row],[JobSatisfaction]]&lt;=2,1,0)</f>
        <v>0</v>
      </c>
      <c r="AM659">
        <f>IF(tbl_HR_Data[[#This Row],[MonthlyIncome]]&lt;$AT$2,1,0)</f>
        <v>1</v>
      </c>
      <c r="AN659">
        <f>IF(tbl_HR_Data[[#This Row],[Travel_Code]]=2,1,0)</f>
        <v>0</v>
      </c>
      <c r="AO659">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659" s="15">
        <f>tbl_HR_Data[[#This Row],[Risk_Score_Raw]] / SUM(Logic_Parameters!$B$2:$B$6)</f>
        <v>0.22374939857982484</v>
      </c>
      <c r="AQ659" s="16" t="str" cm="1">
        <f t="array" ref="AQ659">_xlfn.IFS(tbl_HR_Data[[#This Row],[Attrition_Risk_Percentage]] &gt;= 0.75, "Critical",tbl_HR_Data[ [#This Row],[Attrition_Risk_Percentage] ]&gt;= 0.5, "High",tbl_HR_Data[[#This Row],[Attrition_Risk_Percentage]] &gt;= 0.25, "Medium",TRUE, "Low")</f>
        <v>Low</v>
      </c>
      <c r="AR659" s="16" cm="1">
        <f t="array" ref="AR659">IFERROR(_xlfn.IFS(tbl_HR_Data[[#This Row],[Risk_Category]]="Critical",tbl_HR_Data[[#This Row],[MonthlyIncome]]*1.5,tbl_HR_Data[[#This Row],[Risk_Category]]="High",tbl_HR_Data[[#This Row],[MonthlyIncome]]*1.5),0)</f>
        <v>0</v>
      </c>
    </row>
    <row r="660" spans="1:44" x14ac:dyDescent="0.35">
      <c r="A660" t="s">
        <v>781</v>
      </c>
      <c r="B660">
        <v>44</v>
      </c>
      <c r="C660" t="s">
        <v>31</v>
      </c>
      <c r="D660">
        <v>661</v>
      </c>
      <c r="E660" t="s">
        <v>38</v>
      </c>
      <c r="F660">
        <v>9</v>
      </c>
      <c r="G660">
        <v>2</v>
      </c>
      <c r="H660" t="s">
        <v>33</v>
      </c>
      <c r="I660">
        <v>2</v>
      </c>
      <c r="J660" t="s">
        <v>39</v>
      </c>
      <c r="K660">
        <v>61</v>
      </c>
      <c r="L660">
        <v>3</v>
      </c>
      <c r="M660">
        <v>1</v>
      </c>
      <c r="N660" t="s">
        <v>40</v>
      </c>
      <c r="O660">
        <v>1</v>
      </c>
      <c r="P660" t="s">
        <v>41</v>
      </c>
      <c r="Q660">
        <v>2559</v>
      </c>
      <c r="R660">
        <v>7508</v>
      </c>
      <c r="S660">
        <v>1</v>
      </c>
      <c r="T660">
        <v>1</v>
      </c>
      <c r="U660" s="17">
        <v>0.13</v>
      </c>
      <c r="V660">
        <v>3</v>
      </c>
      <c r="W660">
        <v>4</v>
      </c>
      <c r="X660">
        <v>0</v>
      </c>
      <c r="Y660">
        <v>8</v>
      </c>
      <c r="Z660">
        <v>0</v>
      </c>
      <c r="AA660">
        <v>3</v>
      </c>
      <c r="AB660">
        <v>8</v>
      </c>
      <c r="AC660">
        <v>7</v>
      </c>
      <c r="AD660">
        <v>7</v>
      </c>
      <c r="AE660">
        <v>1</v>
      </c>
      <c r="AF660">
        <v>0</v>
      </c>
      <c r="AG660">
        <f>IF(tbl_HR_Data[[#This Row],[Gender]]="Male",1,0)</f>
        <v>1</v>
      </c>
      <c r="AH660" cm="1">
        <f t="array" ref="AH660">_xlfn.SWITCH(tbl_HR_Data[[#This Row],[BusinessTravel]], "Non-Travel", 0, "Travel_Rarely", 1, "Travel_Frequently", 2)</f>
        <v>1</v>
      </c>
      <c r="AI660" cm="1">
        <f t="array" ref="AI660">_xlfn.SWITCH(tbl_HR_Data[[#This Row],[MaritalStatus]],"Single",0,"Married",1,"Divorced",2)</f>
        <v>1</v>
      </c>
      <c r="AJ660">
        <f>IF(tbl_HR_Data[[#This Row],[OverTime]]=1,1,0)</f>
        <v>1</v>
      </c>
      <c r="AK660">
        <f>IF(tbl_HR_Data[[#This Row],[DistanceFromHome]]&gt;15,1,0)</f>
        <v>0</v>
      </c>
      <c r="AL660">
        <f>IF(tbl_HR_Data[[#This Row],[JobSatisfaction]]&lt;=2,1,0)</f>
        <v>1</v>
      </c>
      <c r="AM660">
        <f>IF(tbl_HR_Data[[#This Row],[MonthlyIncome]]&lt;$AT$2,1,0)</f>
        <v>1</v>
      </c>
      <c r="AN660">
        <f>IF(tbl_HR_Data[[#This Row],[Travel_Code]]=2,1,0)</f>
        <v>0</v>
      </c>
      <c r="AO660">
        <f>(tbl_HR_Data[[#This Row],[Flag_OT]] * Logic_Parameters!$B$2) +
 (tbl_HR_Data[[#This Row],[Flag_Travel]] * Logic_Parameters!$B$3) +
 (tbl_HR_Data[[#This Row],[Flag_Satisfaction]] * Logic_Parameters!$B$4) +
 (tbl_HR_Data[[#This Row],[Flag_Distance]]* Logic_Parameters!$B$5) +
 (tbl_HR_Data[[#This Row],[Flag_Income]] * Logic_Parameters!$B$6)</f>
        <v>20.698962067398959</v>
      </c>
      <c r="AP660" s="15">
        <f>tbl_HR_Data[[#This Row],[Risk_Score_Raw]] / SUM(Logic_Parameters!$B$2:$B$6)</f>
        <v>0.71313126349280109</v>
      </c>
      <c r="AQ660" s="16" t="str" cm="1">
        <f t="array" ref="AQ660">_xlfn.IFS(tbl_HR_Data[[#This Row],[Attrition_Risk_Percentage]] &gt;= 0.75, "Critical",tbl_HR_Data[ [#This Row],[Attrition_Risk_Percentage] ]&gt;= 0.5, "High",tbl_HR_Data[[#This Row],[Attrition_Risk_Percentage]] &gt;= 0.25, "Medium",TRUE, "Low")</f>
        <v>High</v>
      </c>
      <c r="AR660" s="16" cm="1">
        <f t="array" ref="AR660">IFERROR(_xlfn.IFS(tbl_HR_Data[[#This Row],[Risk_Category]]="Critical",tbl_HR_Data[[#This Row],[MonthlyIncome]]*1.5,tbl_HR_Data[[#This Row],[Risk_Category]]="High",tbl_HR_Data[[#This Row],[MonthlyIncome]]*1.5),0)</f>
        <v>3838.5</v>
      </c>
    </row>
    <row r="661" spans="1:44" x14ac:dyDescent="0.35">
      <c r="A661" t="s">
        <v>926</v>
      </c>
      <c r="B661">
        <v>28</v>
      </c>
      <c r="C661" t="s">
        <v>31</v>
      </c>
      <c r="D661">
        <v>821</v>
      </c>
      <c r="E661" t="s">
        <v>32</v>
      </c>
      <c r="F661">
        <v>5</v>
      </c>
      <c r="G661">
        <v>4</v>
      </c>
      <c r="H661" t="s">
        <v>44</v>
      </c>
      <c r="I661">
        <v>1</v>
      </c>
      <c r="J661" t="s">
        <v>39</v>
      </c>
      <c r="K661">
        <v>98</v>
      </c>
      <c r="L661">
        <v>3</v>
      </c>
      <c r="M661">
        <v>2</v>
      </c>
      <c r="N661" t="s">
        <v>35</v>
      </c>
      <c r="O661">
        <v>4</v>
      </c>
      <c r="P661" t="s">
        <v>36</v>
      </c>
      <c r="Q661">
        <v>4908</v>
      </c>
      <c r="R661">
        <v>24252</v>
      </c>
      <c r="S661">
        <v>1</v>
      </c>
      <c r="T661">
        <v>0</v>
      </c>
      <c r="U661" s="17">
        <v>0.14000000000000001</v>
      </c>
      <c r="V661">
        <v>3</v>
      </c>
      <c r="W661">
        <v>2</v>
      </c>
      <c r="X661">
        <v>0</v>
      </c>
      <c r="Y661">
        <v>4</v>
      </c>
      <c r="Z661">
        <v>3</v>
      </c>
      <c r="AA661">
        <v>3</v>
      </c>
      <c r="AB661">
        <v>4</v>
      </c>
      <c r="AC661">
        <v>2</v>
      </c>
      <c r="AD661">
        <v>0</v>
      </c>
      <c r="AE661">
        <v>2</v>
      </c>
      <c r="AF661">
        <v>0</v>
      </c>
      <c r="AG661">
        <f>IF(tbl_HR_Data[[#This Row],[Gender]]="Male",1,0)</f>
        <v>1</v>
      </c>
      <c r="AH661" cm="1">
        <f t="array" ref="AH661">_xlfn.SWITCH(tbl_HR_Data[[#This Row],[BusinessTravel]], "Non-Travel", 0, "Travel_Rarely", 1, "Travel_Frequently", 2)</f>
        <v>1</v>
      </c>
      <c r="AI661" cm="1">
        <f t="array" ref="AI661">_xlfn.SWITCH(tbl_HR_Data[[#This Row],[MaritalStatus]],"Single",0,"Married",1,"Divorced",2)</f>
        <v>0</v>
      </c>
      <c r="AJ661">
        <f>IF(tbl_HR_Data[[#This Row],[OverTime]]=1,1,0)</f>
        <v>0</v>
      </c>
      <c r="AK661">
        <f>IF(tbl_HR_Data[[#This Row],[DistanceFromHome]]&gt;15,1,0)</f>
        <v>0</v>
      </c>
      <c r="AL661">
        <f>IF(tbl_HR_Data[[#This Row],[JobSatisfaction]]&lt;=2,1,0)</f>
        <v>0</v>
      </c>
      <c r="AM661">
        <f>IF(tbl_HR_Data[[#This Row],[MonthlyIncome]]&lt;$AT$2,1,0)</f>
        <v>1</v>
      </c>
      <c r="AN661">
        <f>IF(tbl_HR_Data[[#This Row],[Travel_Code]]=2,1,0)</f>
        <v>0</v>
      </c>
      <c r="AO661">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661" s="15">
        <f>tbl_HR_Data[[#This Row],[Risk_Score_Raw]] / SUM(Logic_Parameters!$B$2:$B$6)</f>
        <v>0.22374939857982484</v>
      </c>
      <c r="AQ661" s="16" t="str" cm="1">
        <f t="array" ref="AQ661">_xlfn.IFS(tbl_HR_Data[[#This Row],[Attrition_Risk_Percentage]] &gt;= 0.75, "Critical",tbl_HR_Data[ [#This Row],[Attrition_Risk_Percentage] ]&gt;= 0.5, "High",tbl_HR_Data[[#This Row],[Attrition_Risk_Percentage]] &gt;= 0.25, "Medium",TRUE, "Low")</f>
        <v>Low</v>
      </c>
      <c r="AR661" s="16" cm="1">
        <f t="array" ref="AR661">IFERROR(_xlfn.IFS(tbl_HR_Data[[#This Row],[Risk_Category]]="Critical",tbl_HR_Data[[#This Row],[MonthlyIncome]]*1.5,tbl_HR_Data[[#This Row],[Risk_Category]]="High",tbl_HR_Data[[#This Row],[MonthlyIncome]]*1.5),0)</f>
        <v>0</v>
      </c>
    </row>
    <row r="662" spans="1:44" x14ac:dyDescent="0.35">
      <c r="A662" t="s">
        <v>370</v>
      </c>
      <c r="B662">
        <v>58</v>
      </c>
      <c r="C662" t="s">
        <v>37</v>
      </c>
      <c r="D662">
        <v>781</v>
      </c>
      <c r="E662" t="s">
        <v>38</v>
      </c>
      <c r="F662">
        <v>2</v>
      </c>
      <c r="G662">
        <v>1</v>
      </c>
      <c r="H662" t="s">
        <v>33</v>
      </c>
      <c r="I662">
        <v>4</v>
      </c>
      <c r="J662" t="s">
        <v>39</v>
      </c>
      <c r="K662">
        <v>57</v>
      </c>
      <c r="L662">
        <v>2</v>
      </c>
      <c r="M662">
        <v>1</v>
      </c>
      <c r="N662" t="s">
        <v>43</v>
      </c>
      <c r="O662">
        <v>4</v>
      </c>
      <c r="P662" t="s">
        <v>45</v>
      </c>
      <c r="Q662">
        <v>2380</v>
      </c>
      <c r="R662">
        <v>13384</v>
      </c>
      <c r="S662">
        <v>9</v>
      </c>
      <c r="T662">
        <v>1</v>
      </c>
      <c r="U662" s="17">
        <v>0.14000000000000001</v>
      </c>
      <c r="V662">
        <v>3</v>
      </c>
      <c r="W662">
        <v>4</v>
      </c>
      <c r="X662">
        <v>1</v>
      </c>
      <c r="Y662">
        <v>3</v>
      </c>
      <c r="Z662">
        <v>3</v>
      </c>
      <c r="AA662">
        <v>2</v>
      </c>
      <c r="AB662">
        <v>1</v>
      </c>
      <c r="AC662">
        <v>0</v>
      </c>
      <c r="AD662">
        <v>0</v>
      </c>
      <c r="AE662">
        <v>0</v>
      </c>
      <c r="AF662">
        <v>1</v>
      </c>
      <c r="AG662">
        <f>IF(tbl_HR_Data[[#This Row],[Gender]]="Male",1,0)</f>
        <v>1</v>
      </c>
      <c r="AH662" cm="1">
        <f t="array" ref="AH662">_xlfn.SWITCH(tbl_HR_Data[[#This Row],[BusinessTravel]], "Non-Travel", 0, "Travel_Rarely", 1, "Travel_Frequently", 2)</f>
        <v>2</v>
      </c>
      <c r="AI662" cm="1">
        <f t="array" ref="AI662">_xlfn.SWITCH(tbl_HR_Data[[#This Row],[MaritalStatus]],"Single",0,"Married",1,"Divorced",2)</f>
        <v>2</v>
      </c>
      <c r="AJ662">
        <f>IF(tbl_HR_Data[[#This Row],[OverTime]]=1,1,0)</f>
        <v>1</v>
      </c>
      <c r="AK662">
        <f>IF(tbl_HR_Data[[#This Row],[DistanceFromHome]]&gt;15,1,0)</f>
        <v>0</v>
      </c>
      <c r="AL662">
        <f>IF(tbl_HR_Data[[#This Row],[JobSatisfaction]]&lt;=2,1,0)</f>
        <v>0</v>
      </c>
      <c r="AM662">
        <f>IF(tbl_HR_Data[[#This Row],[MonthlyIncome]]&lt;$AT$2,1,0)</f>
        <v>1</v>
      </c>
      <c r="AN662">
        <f>IF(tbl_HR_Data[[#This Row],[Travel_Code]]=2,1,0)</f>
        <v>1</v>
      </c>
      <c r="AO662">
        <f>(tbl_HR_Data[[#This Row],[Flag_OT]] * Logic_Parameters!$B$2) +
 (tbl_HR_Data[[#This Row],[Flag_Travel]] * Logic_Parameters!$B$3) +
 (tbl_HR_Data[[#This Row],[Flag_Satisfaction]] * Logic_Parameters!$B$4) +
 (tbl_HR_Data[[#This Row],[Flag_Distance]]* Logic_Parameters!$B$5) +
 (tbl_HR_Data[[#This Row],[Flag_Income]] * Logic_Parameters!$B$6)</f>
        <v>21.654818917911005</v>
      </c>
      <c r="AP662" s="15">
        <f>tbl_HR_Data[[#This Row],[Risk_Score_Raw]] / SUM(Logic_Parameters!$B$2:$B$6)</f>
        <v>0.74606293423572745</v>
      </c>
      <c r="AQ662" s="16" t="str" cm="1">
        <f t="array" ref="AQ662">_xlfn.IFS(tbl_HR_Data[[#This Row],[Attrition_Risk_Percentage]] &gt;= 0.75, "Critical",tbl_HR_Data[ [#This Row],[Attrition_Risk_Percentage] ]&gt;= 0.5, "High",tbl_HR_Data[[#This Row],[Attrition_Risk_Percentage]] &gt;= 0.25, "Medium",TRUE, "Low")</f>
        <v>High</v>
      </c>
      <c r="AR662" s="16" cm="1">
        <f t="array" ref="AR662">IFERROR(_xlfn.IFS(tbl_HR_Data[[#This Row],[Risk_Category]]="Critical",tbl_HR_Data[[#This Row],[MonthlyIncome]]*1.5,tbl_HR_Data[[#This Row],[Risk_Category]]="High",tbl_HR_Data[[#This Row],[MonthlyIncome]]*1.5),0)</f>
        <v>3570</v>
      </c>
    </row>
    <row r="663" spans="1:44" x14ac:dyDescent="0.35">
      <c r="A663" t="s">
        <v>498</v>
      </c>
      <c r="B663">
        <v>43</v>
      </c>
      <c r="C663" t="s">
        <v>31</v>
      </c>
      <c r="D663">
        <v>177</v>
      </c>
      <c r="E663" t="s">
        <v>38</v>
      </c>
      <c r="F663">
        <v>8</v>
      </c>
      <c r="G663">
        <v>3</v>
      </c>
      <c r="H663" t="s">
        <v>33</v>
      </c>
      <c r="I663">
        <v>1</v>
      </c>
      <c r="J663" t="s">
        <v>34</v>
      </c>
      <c r="K663">
        <v>55</v>
      </c>
      <c r="L663">
        <v>3</v>
      </c>
      <c r="M663">
        <v>2</v>
      </c>
      <c r="N663" t="s">
        <v>46</v>
      </c>
      <c r="O663">
        <v>2</v>
      </c>
      <c r="P663" t="s">
        <v>45</v>
      </c>
      <c r="Q663">
        <v>4765</v>
      </c>
      <c r="R663">
        <v>23814</v>
      </c>
      <c r="S663">
        <v>4</v>
      </c>
      <c r="T663">
        <v>0</v>
      </c>
      <c r="U663" s="17">
        <v>0.21</v>
      </c>
      <c r="V663">
        <v>4</v>
      </c>
      <c r="W663">
        <v>3</v>
      </c>
      <c r="X663">
        <v>1</v>
      </c>
      <c r="Y663">
        <v>4</v>
      </c>
      <c r="Z663">
        <v>2</v>
      </c>
      <c r="AA663">
        <v>4</v>
      </c>
      <c r="AB663">
        <v>1</v>
      </c>
      <c r="AC663">
        <v>0</v>
      </c>
      <c r="AD663">
        <v>0</v>
      </c>
      <c r="AE663">
        <v>0</v>
      </c>
      <c r="AF663">
        <v>0</v>
      </c>
      <c r="AG663">
        <f>IF(tbl_HR_Data[[#This Row],[Gender]]="Male",1,0)</f>
        <v>0</v>
      </c>
      <c r="AH663" cm="1">
        <f t="array" ref="AH663">_xlfn.SWITCH(tbl_HR_Data[[#This Row],[BusinessTravel]], "Non-Travel", 0, "Travel_Rarely", 1, "Travel_Frequently", 2)</f>
        <v>1</v>
      </c>
      <c r="AI663" cm="1">
        <f t="array" ref="AI663">_xlfn.SWITCH(tbl_HR_Data[[#This Row],[MaritalStatus]],"Single",0,"Married",1,"Divorced",2)</f>
        <v>2</v>
      </c>
      <c r="AJ663">
        <f>IF(tbl_HR_Data[[#This Row],[OverTime]]=1,1,0)</f>
        <v>0</v>
      </c>
      <c r="AK663">
        <f>IF(tbl_HR_Data[[#This Row],[DistanceFromHome]]&gt;15,1,0)</f>
        <v>0</v>
      </c>
      <c r="AL663">
        <f>IF(tbl_HR_Data[[#This Row],[JobSatisfaction]]&lt;=2,1,0)</f>
        <v>1</v>
      </c>
      <c r="AM663">
        <f>IF(tbl_HR_Data[[#This Row],[MonthlyIncome]]&lt;$AT$2,1,0)</f>
        <v>1</v>
      </c>
      <c r="AN663">
        <f>IF(tbl_HR_Data[[#This Row],[Travel_Code]]=2,1,0)</f>
        <v>0</v>
      </c>
      <c r="AO663">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663" s="15">
        <f>tbl_HR_Data[[#This Row],[Risk_Score_Raw]] / SUM(Logic_Parameters!$B$2:$B$6)</f>
        <v>0.3686061316669938</v>
      </c>
      <c r="AQ663" s="16" t="str" cm="1">
        <f t="array" ref="AQ663">_xlfn.IFS(tbl_HR_Data[[#This Row],[Attrition_Risk_Percentage]] &gt;= 0.75, "Critical",tbl_HR_Data[ [#This Row],[Attrition_Risk_Percentage] ]&gt;= 0.5, "High",tbl_HR_Data[[#This Row],[Attrition_Risk_Percentage]] &gt;= 0.25, "Medium",TRUE, "Low")</f>
        <v>Medium</v>
      </c>
      <c r="AR663" s="16" cm="1">
        <f t="array" ref="AR663">IFERROR(_xlfn.IFS(tbl_HR_Data[[#This Row],[Risk_Category]]="Critical",tbl_HR_Data[[#This Row],[MonthlyIncome]]*1.5,tbl_HR_Data[[#This Row],[Risk_Category]]="High",tbl_HR_Data[[#This Row],[MonthlyIncome]]*1.5),0)</f>
        <v>0</v>
      </c>
    </row>
    <row r="664" spans="1:44" x14ac:dyDescent="0.35">
      <c r="A664" t="s">
        <v>514</v>
      </c>
      <c r="B664">
        <v>20</v>
      </c>
      <c r="C664" t="s">
        <v>31</v>
      </c>
      <c r="D664">
        <v>500</v>
      </c>
      <c r="E664" t="s">
        <v>32</v>
      </c>
      <c r="F664">
        <v>2</v>
      </c>
      <c r="G664">
        <v>3</v>
      </c>
      <c r="H664" t="s">
        <v>44</v>
      </c>
      <c r="I664">
        <v>3</v>
      </c>
      <c r="J664" t="s">
        <v>34</v>
      </c>
      <c r="K664">
        <v>49</v>
      </c>
      <c r="L664">
        <v>2</v>
      </c>
      <c r="M664">
        <v>1</v>
      </c>
      <c r="N664" t="s">
        <v>49</v>
      </c>
      <c r="O664">
        <v>3</v>
      </c>
      <c r="P664" t="s">
        <v>36</v>
      </c>
      <c r="Q664">
        <v>2044</v>
      </c>
      <c r="R664">
        <v>22052</v>
      </c>
      <c r="S664">
        <v>1</v>
      </c>
      <c r="T664">
        <v>0</v>
      </c>
      <c r="U664" s="17">
        <v>0.13</v>
      </c>
      <c r="V664">
        <v>3</v>
      </c>
      <c r="W664">
        <v>4</v>
      </c>
      <c r="X664">
        <v>0</v>
      </c>
      <c r="Y664">
        <v>2</v>
      </c>
      <c r="Z664">
        <v>3</v>
      </c>
      <c r="AA664">
        <v>2</v>
      </c>
      <c r="AB664">
        <v>2</v>
      </c>
      <c r="AC664">
        <v>2</v>
      </c>
      <c r="AD664">
        <v>0</v>
      </c>
      <c r="AE664">
        <v>2</v>
      </c>
      <c r="AF664">
        <v>1</v>
      </c>
      <c r="AG664">
        <f>IF(tbl_HR_Data[[#This Row],[Gender]]="Male",1,0)</f>
        <v>0</v>
      </c>
      <c r="AH664" cm="1">
        <f t="array" ref="AH664">_xlfn.SWITCH(tbl_HR_Data[[#This Row],[BusinessTravel]], "Non-Travel", 0, "Travel_Rarely", 1, "Travel_Frequently", 2)</f>
        <v>1</v>
      </c>
      <c r="AI664" cm="1">
        <f t="array" ref="AI664">_xlfn.SWITCH(tbl_HR_Data[[#This Row],[MaritalStatus]],"Single",0,"Married",1,"Divorced",2)</f>
        <v>0</v>
      </c>
      <c r="AJ664">
        <f>IF(tbl_HR_Data[[#This Row],[OverTime]]=1,1,0)</f>
        <v>0</v>
      </c>
      <c r="AK664">
        <f>IF(tbl_HR_Data[[#This Row],[DistanceFromHome]]&gt;15,1,0)</f>
        <v>0</v>
      </c>
      <c r="AL664">
        <f>IF(tbl_HR_Data[[#This Row],[JobSatisfaction]]&lt;=2,1,0)</f>
        <v>0</v>
      </c>
      <c r="AM664">
        <f>IF(tbl_HR_Data[[#This Row],[MonthlyIncome]]&lt;$AT$2,1,0)</f>
        <v>1</v>
      </c>
      <c r="AN664">
        <f>IF(tbl_HR_Data[[#This Row],[Travel_Code]]=2,1,0)</f>
        <v>0</v>
      </c>
      <c r="AO664">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664" s="15">
        <f>tbl_HR_Data[[#This Row],[Risk_Score_Raw]] / SUM(Logic_Parameters!$B$2:$B$6)</f>
        <v>0.22374939857982484</v>
      </c>
      <c r="AQ664" s="16" t="str" cm="1">
        <f t="array" ref="AQ664">_xlfn.IFS(tbl_HR_Data[[#This Row],[Attrition_Risk_Percentage]] &gt;= 0.75, "Critical",tbl_HR_Data[ [#This Row],[Attrition_Risk_Percentage] ]&gt;= 0.5, "High",tbl_HR_Data[[#This Row],[Attrition_Risk_Percentage]] &gt;= 0.25, "Medium",TRUE, "Low")</f>
        <v>Low</v>
      </c>
      <c r="AR664" s="16" cm="1">
        <f t="array" ref="AR664">IFERROR(_xlfn.IFS(tbl_HR_Data[[#This Row],[Risk_Category]]="Critical",tbl_HR_Data[[#This Row],[MonthlyIncome]]*1.5,tbl_HR_Data[[#This Row],[Risk_Category]]="High",tbl_HR_Data[[#This Row],[MonthlyIncome]]*1.5),0)</f>
        <v>0</v>
      </c>
    </row>
    <row r="665" spans="1:44" x14ac:dyDescent="0.35">
      <c r="A665" t="s">
        <v>665</v>
      </c>
      <c r="B665">
        <v>21</v>
      </c>
      <c r="C665" t="s">
        <v>31</v>
      </c>
      <c r="D665">
        <v>1427</v>
      </c>
      <c r="E665" t="s">
        <v>38</v>
      </c>
      <c r="F665">
        <v>18</v>
      </c>
      <c r="G665">
        <v>1</v>
      </c>
      <c r="H665" t="s">
        <v>42</v>
      </c>
      <c r="I665">
        <v>4</v>
      </c>
      <c r="J665" t="s">
        <v>34</v>
      </c>
      <c r="K665">
        <v>65</v>
      </c>
      <c r="L665">
        <v>3</v>
      </c>
      <c r="M665">
        <v>1</v>
      </c>
      <c r="N665" t="s">
        <v>40</v>
      </c>
      <c r="O665">
        <v>4</v>
      </c>
      <c r="P665" t="s">
        <v>36</v>
      </c>
      <c r="Q665">
        <v>2693</v>
      </c>
      <c r="R665">
        <v>8870</v>
      </c>
      <c r="S665">
        <v>1</v>
      </c>
      <c r="T665">
        <v>0</v>
      </c>
      <c r="U665" s="17">
        <v>0.19</v>
      </c>
      <c r="V665">
        <v>3</v>
      </c>
      <c r="W665">
        <v>1</v>
      </c>
      <c r="X665">
        <v>0</v>
      </c>
      <c r="Y665">
        <v>1</v>
      </c>
      <c r="Z665">
        <v>3</v>
      </c>
      <c r="AA665">
        <v>2</v>
      </c>
      <c r="AB665">
        <v>1</v>
      </c>
      <c r="AC665">
        <v>0</v>
      </c>
      <c r="AD665">
        <v>0</v>
      </c>
      <c r="AE665">
        <v>0</v>
      </c>
      <c r="AF665">
        <v>1</v>
      </c>
      <c r="AG665">
        <f>IF(tbl_HR_Data[[#This Row],[Gender]]="Male",1,0)</f>
        <v>0</v>
      </c>
      <c r="AH665" cm="1">
        <f t="array" ref="AH665">_xlfn.SWITCH(tbl_HR_Data[[#This Row],[BusinessTravel]], "Non-Travel", 0, "Travel_Rarely", 1, "Travel_Frequently", 2)</f>
        <v>1</v>
      </c>
      <c r="AI665" cm="1">
        <f t="array" ref="AI665">_xlfn.SWITCH(tbl_HR_Data[[#This Row],[MaritalStatus]],"Single",0,"Married",1,"Divorced",2)</f>
        <v>0</v>
      </c>
      <c r="AJ665">
        <f>IF(tbl_HR_Data[[#This Row],[OverTime]]=1,1,0)</f>
        <v>0</v>
      </c>
      <c r="AK665">
        <f>IF(tbl_HR_Data[[#This Row],[DistanceFromHome]]&gt;15,1,0)</f>
        <v>1</v>
      </c>
      <c r="AL665">
        <f>IF(tbl_HR_Data[[#This Row],[JobSatisfaction]]&lt;=2,1,0)</f>
        <v>0</v>
      </c>
      <c r="AM665">
        <f>IF(tbl_HR_Data[[#This Row],[MonthlyIncome]]&lt;$AT$2,1,0)</f>
        <v>1</v>
      </c>
      <c r="AN665">
        <f>IF(tbl_HR_Data[[#This Row],[Travel_Code]]=2,1,0)</f>
        <v>0</v>
      </c>
      <c r="AO665">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665" s="15">
        <f>tbl_HR_Data[[#This Row],[Risk_Score_Raw]] / SUM(Logic_Parameters!$B$2:$B$6)</f>
        <v>0.33282973125692844</v>
      </c>
      <c r="AQ665" s="16" t="str" cm="1">
        <f t="array" ref="AQ665">_xlfn.IFS(tbl_HR_Data[[#This Row],[Attrition_Risk_Percentage]] &gt;= 0.75, "Critical",tbl_HR_Data[ [#This Row],[Attrition_Risk_Percentage] ]&gt;= 0.5, "High",tbl_HR_Data[[#This Row],[Attrition_Risk_Percentage]] &gt;= 0.25, "Medium",TRUE, "Low")</f>
        <v>Medium</v>
      </c>
      <c r="AR665" s="16" cm="1">
        <f t="array" ref="AR665">IFERROR(_xlfn.IFS(tbl_HR_Data[[#This Row],[Risk_Category]]="Critical",tbl_HR_Data[[#This Row],[MonthlyIncome]]*1.5,tbl_HR_Data[[#This Row],[Risk_Category]]="High",tbl_HR_Data[[#This Row],[MonthlyIncome]]*1.5),0)</f>
        <v>0</v>
      </c>
    </row>
    <row r="666" spans="1:44" x14ac:dyDescent="0.35">
      <c r="A666" t="s">
        <v>1023</v>
      </c>
      <c r="B666">
        <v>36</v>
      </c>
      <c r="C666" t="s">
        <v>31</v>
      </c>
      <c r="D666">
        <v>1425</v>
      </c>
      <c r="E666" t="s">
        <v>38</v>
      </c>
      <c r="F666">
        <v>14</v>
      </c>
      <c r="G666">
        <v>1</v>
      </c>
      <c r="H666" t="s">
        <v>33</v>
      </c>
      <c r="I666">
        <v>3</v>
      </c>
      <c r="J666" t="s">
        <v>39</v>
      </c>
      <c r="K666">
        <v>68</v>
      </c>
      <c r="L666">
        <v>3</v>
      </c>
      <c r="M666">
        <v>2</v>
      </c>
      <c r="N666" t="s">
        <v>47</v>
      </c>
      <c r="O666">
        <v>4</v>
      </c>
      <c r="P666" t="s">
        <v>41</v>
      </c>
      <c r="Q666">
        <v>6586</v>
      </c>
      <c r="R666">
        <v>4821</v>
      </c>
      <c r="S666">
        <v>0</v>
      </c>
      <c r="T666">
        <v>1</v>
      </c>
      <c r="U666" s="17">
        <v>0.17</v>
      </c>
      <c r="V666">
        <v>3</v>
      </c>
      <c r="W666">
        <v>1</v>
      </c>
      <c r="X666">
        <v>1</v>
      </c>
      <c r="Y666">
        <v>17</v>
      </c>
      <c r="Z666">
        <v>2</v>
      </c>
      <c r="AA666">
        <v>2</v>
      </c>
      <c r="AB666">
        <v>16</v>
      </c>
      <c r="AC666">
        <v>8</v>
      </c>
      <c r="AD666">
        <v>4</v>
      </c>
      <c r="AE666">
        <v>11</v>
      </c>
      <c r="AF666">
        <v>0</v>
      </c>
      <c r="AG666">
        <f>IF(tbl_HR_Data[[#This Row],[Gender]]="Male",1,0)</f>
        <v>1</v>
      </c>
      <c r="AH666" cm="1">
        <f t="array" ref="AH666">_xlfn.SWITCH(tbl_HR_Data[[#This Row],[BusinessTravel]], "Non-Travel", 0, "Travel_Rarely", 1, "Travel_Frequently", 2)</f>
        <v>1</v>
      </c>
      <c r="AI666" cm="1">
        <f t="array" ref="AI666">_xlfn.SWITCH(tbl_HR_Data[[#This Row],[MaritalStatus]],"Single",0,"Married",1,"Divorced",2)</f>
        <v>1</v>
      </c>
      <c r="AJ666">
        <f>IF(tbl_HR_Data[[#This Row],[OverTime]]=1,1,0)</f>
        <v>1</v>
      </c>
      <c r="AK666">
        <f>IF(tbl_HR_Data[[#This Row],[DistanceFromHome]]&gt;15,1,0)</f>
        <v>0</v>
      </c>
      <c r="AL666">
        <f>IF(tbl_HR_Data[[#This Row],[JobSatisfaction]]&lt;=2,1,0)</f>
        <v>0</v>
      </c>
      <c r="AM666">
        <f>IF(tbl_HR_Data[[#This Row],[MonthlyIncome]]&lt;$AT$2,1,0)</f>
        <v>0</v>
      </c>
      <c r="AN666">
        <f>IF(tbl_HR_Data[[#This Row],[Travel_Code]]=2,1,0)</f>
        <v>0</v>
      </c>
      <c r="AO666">
        <f>(tbl_HR_Data[[#This Row],[Flag_OT]] * Logic_Parameters!$B$2) +
 (tbl_HR_Data[[#This Row],[Flag_Travel]] * Logic_Parameters!$B$3) +
 (tbl_HR_Data[[#This Row],[Flag_Satisfaction]] * Logic_Parameters!$B$4) +
 (tbl_HR_Data[[#This Row],[Flag_Distance]]* Logic_Parameters!$B$5) +
 (tbl_HR_Data[[#This Row],[Flag_Income]] * Logic_Parameters!$B$6)</f>
        <v>10</v>
      </c>
      <c r="AP666" s="15">
        <f>tbl_HR_Data[[#This Row],[Risk_Score_Raw]] / SUM(Logic_Parameters!$B$2:$B$6)</f>
        <v>0.3445251318258073</v>
      </c>
      <c r="AQ666" s="16" t="str" cm="1">
        <f t="array" ref="AQ666">_xlfn.IFS(tbl_HR_Data[[#This Row],[Attrition_Risk_Percentage]] &gt;= 0.75, "Critical",tbl_HR_Data[ [#This Row],[Attrition_Risk_Percentage] ]&gt;= 0.5, "High",tbl_HR_Data[[#This Row],[Attrition_Risk_Percentage]] &gt;= 0.25, "Medium",TRUE, "Low")</f>
        <v>Medium</v>
      </c>
      <c r="AR666" s="16" cm="1">
        <f t="array" ref="AR666">IFERROR(_xlfn.IFS(tbl_HR_Data[[#This Row],[Risk_Category]]="Critical",tbl_HR_Data[[#This Row],[MonthlyIncome]]*1.5,tbl_HR_Data[[#This Row],[Risk_Category]]="High",tbl_HR_Data[[#This Row],[MonthlyIncome]]*1.5),0)</f>
        <v>0</v>
      </c>
    </row>
    <row r="667" spans="1:44" x14ac:dyDescent="0.35">
      <c r="A667" t="s">
        <v>365</v>
      </c>
      <c r="B667">
        <v>47</v>
      </c>
      <c r="C667" t="s">
        <v>31</v>
      </c>
      <c r="D667">
        <v>1454</v>
      </c>
      <c r="E667" t="s">
        <v>32</v>
      </c>
      <c r="F667">
        <v>2</v>
      </c>
      <c r="G667">
        <v>4</v>
      </c>
      <c r="H667" t="s">
        <v>33</v>
      </c>
      <c r="I667">
        <v>4</v>
      </c>
      <c r="J667" t="s">
        <v>34</v>
      </c>
      <c r="K667">
        <v>65</v>
      </c>
      <c r="L667">
        <v>2</v>
      </c>
      <c r="M667">
        <v>1</v>
      </c>
      <c r="N667" t="s">
        <v>49</v>
      </c>
      <c r="O667">
        <v>4</v>
      </c>
      <c r="P667" t="s">
        <v>36</v>
      </c>
      <c r="Q667">
        <v>3294</v>
      </c>
      <c r="R667">
        <v>13137</v>
      </c>
      <c r="S667">
        <v>1</v>
      </c>
      <c r="T667">
        <v>1</v>
      </c>
      <c r="U667" s="17">
        <v>0.18</v>
      </c>
      <c r="V667">
        <v>3</v>
      </c>
      <c r="W667">
        <v>1</v>
      </c>
      <c r="X667">
        <v>0</v>
      </c>
      <c r="Y667">
        <v>3</v>
      </c>
      <c r="Z667">
        <v>3</v>
      </c>
      <c r="AA667">
        <v>2</v>
      </c>
      <c r="AB667">
        <v>3</v>
      </c>
      <c r="AC667">
        <v>2</v>
      </c>
      <c r="AD667">
        <v>1</v>
      </c>
      <c r="AE667">
        <v>2</v>
      </c>
      <c r="AF667">
        <v>0</v>
      </c>
      <c r="AG667">
        <f>IF(tbl_HR_Data[[#This Row],[Gender]]="Male",1,0)</f>
        <v>0</v>
      </c>
      <c r="AH667" cm="1">
        <f t="array" ref="AH667">_xlfn.SWITCH(tbl_HR_Data[[#This Row],[BusinessTravel]], "Non-Travel", 0, "Travel_Rarely", 1, "Travel_Frequently", 2)</f>
        <v>1</v>
      </c>
      <c r="AI667" cm="1">
        <f t="array" ref="AI667">_xlfn.SWITCH(tbl_HR_Data[[#This Row],[MaritalStatus]],"Single",0,"Married",1,"Divorced",2)</f>
        <v>0</v>
      </c>
      <c r="AJ667">
        <f>IF(tbl_HR_Data[[#This Row],[OverTime]]=1,1,0)</f>
        <v>1</v>
      </c>
      <c r="AK667">
        <f>IF(tbl_HR_Data[[#This Row],[DistanceFromHome]]&gt;15,1,0)</f>
        <v>0</v>
      </c>
      <c r="AL667">
        <f>IF(tbl_HR_Data[[#This Row],[JobSatisfaction]]&lt;=2,1,0)</f>
        <v>0</v>
      </c>
      <c r="AM667">
        <f>IF(tbl_HR_Data[[#This Row],[MonthlyIncome]]&lt;$AT$2,1,0)</f>
        <v>1</v>
      </c>
      <c r="AN667">
        <f>IF(tbl_HR_Data[[#This Row],[Travel_Code]]=2,1,0)</f>
        <v>0</v>
      </c>
      <c r="AO667">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667" s="15">
        <f>tbl_HR_Data[[#This Row],[Risk_Score_Raw]] / SUM(Logic_Parameters!$B$2:$B$6)</f>
        <v>0.56827453040563214</v>
      </c>
      <c r="AQ667" s="16" t="str" cm="1">
        <f t="array" ref="AQ667">_xlfn.IFS(tbl_HR_Data[[#This Row],[Attrition_Risk_Percentage]] &gt;= 0.75, "Critical",tbl_HR_Data[ [#This Row],[Attrition_Risk_Percentage] ]&gt;= 0.5, "High",tbl_HR_Data[[#This Row],[Attrition_Risk_Percentage]] &gt;= 0.25, "Medium",TRUE, "Low")</f>
        <v>High</v>
      </c>
      <c r="AR667" s="16" cm="1">
        <f t="array" ref="AR667">IFERROR(_xlfn.IFS(tbl_HR_Data[[#This Row],[Risk_Category]]="Critical",tbl_HR_Data[[#This Row],[MonthlyIncome]]*1.5,tbl_HR_Data[[#This Row],[Risk_Category]]="High",tbl_HR_Data[[#This Row],[MonthlyIncome]]*1.5),0)</f>
        <v>4941</v>
      </c>
    </row>
    <row r="668" spans="1:44" x14ac:dyDescent="0.35">
      <c r="A668" t="s">
        <v>1143</v>
      </c>
      <c r="B668">
        <v>22</v>
      </c>
      <c r="C668" t="s">
        <v>31</v>
      </c>
      <c r="D668">
        <v>617</v>
      </c>
      <c r="E668" t="s">
        <v>38</v>
      </c>
      <c r="F668">
        <v>3</v>
      </c>
      <c r="G668">
        <v>1</v>
      </c>
      <c r="H668" t="s">
        <v>33</v>
      </c>
      <c r="I668">
        <v>2</v>
      </c>
      <c r="J668" t="s">
        <v>34</v>
      </c>
      <c r="K668">
        <v>34</v>
      </c>
      <c r="L668">
        <v>3</v>
      </c>
      <c r="M668">
        <v>2</v>
      </c>
      <c r="N668" t="s">
        <v>46</v>
      </c>
      <c r="O668">
        <v>3</v>
      </c>
      <c r="P668" t="s">
        <v>41</v>
      </c>
      <c r="Q668">
        <v>4171</v>
      </c>
      <c r="R668">
        <v>10022</v>
      </c>
      <c r="S668">
        <v>0</v>
      </c>
      <c r="T668">
        <v>1</v>
      </c>
      <c r="U668" s="17">
        <v>0.19</v>
      </c>
      <c r="V668">
        <v>3</v>
      </c>
      <c r="W668">
        <v>1</v>
      </c>
      <c r="X668">
        <v>1</v>
      </c>
      <c r="Y668">
        <v>4</v>
      </c>
      <c r="Z668">
        <v>3</v>
      </c>
      <c r="AA668">
        <v>4</v>
      </c>
      <c r="AB668">
        <v>3</v>
      </c>
      <c r="AC668">
        <v>2</v>
      </c>
      <c r="AD668">
        <v>0</v>
      </c>
      <c r="AE668">
        <v>2</v>
      </c>
      <c r="AF668">
        <v>1</v>
      </c>
      <c r="AG668">
        <f>IF(tbl_HR_Data[[#This Row],[Gender]]="Male",1,0)</f>
        <v>0</v>
      </c>
      <c r="AH668" cm="1">
        <f t="array" ref="AH668">_xlfn.SWITCH(tbl_HR_Data[[#This Row],[BusinessTravel]], "Non-Travel", 0, "Travel_Rarely", 1, "Travel_Frequently", 2)</f>
        <v>1</v>
      </c>
      <c r="AI668" cm="1">
        <f t="array" ref="AI668">_xlfn.SWITCH(tbl_HR_Data[[#This Row],[MaritalStatus]],"Single",0,"Married",1,"Divorced",2)</f>
        <v>1</v>
      </c>
      <c r="AJ668">
        <f>IF(tbl_HR_Data[[#This Row],[OverTime]]=1,1,0)</f>
        <v>1</v>
      </c>
      <c r="AK668">
        <f>IF(tbl_HR_Data[[#This Row],[DistanceFromHome]]&gt;15,1,0)</f>
        <v>0</v>
      </c>
      <c r="AL668">
        <f>IF(tbl_HR_Data[[#This Row],[JobSatisfaction]]&lt;=2,1,0)</f>
        <v>0</v>
      </c>
      <c r="AM668">
        <f>IF(tbl_HR_Data[[#This Row],[MonthlyIncome]]&lt;$AT$2,1,0)</f>
        <v>1</v>
      </c>
      <c r="AN668">
        <f>IF(tbl_HR_Data[[#This Row],[Travel_Code]]=2,1,0)</f>
        <v>0</v>
      </c>
      <c r="AO668">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668" s="15">
        <f>tbl_HR_Data[[#This Row],[Risk_Score_Raw]] / SUM(Logic_Parameters!$B$2:$B$6)</f>
        <v>0.56827453040563214</v>
      </c>
      <c r="AQ668" s="16" t="str" cm="1">
        <f t="array" ref="AQ668">_xlfn.IFS(tbl_HR_Data[[#This Row],[Attrition_Risk_Percentage]] &gt;= 0.75, "Critical",tbl_HR_Data[ [#This Row],[Attrition_Risk_Percentage] ]&gt;= 0.5, "High",tbl_HR_Data[[#This Row],[Attrition_Risk_Percentage]] &gt;= 0.25, "Medium",TRUE, "Low")</f>
        <v>High</v>
      </c>
      <c r="AR668" s="16" cm="1">
        <f t="array" ref="AR668">IFERROR(_xlfn.IFS(tbl_HR_Data[[#This Row],[Risk_Category]]="Critical",tbl_HR_Data[[#This Row],[MonthlyIncome]]*1.5,tbl_HR_Data[[#This Row],[Risk_Category]]="High",tbl_HR_Data[[#This Row],[MonthlyIncome]]*1.5),0)</f>
        <v>6256.5</v>
      </c>
    </row>
    <row r="669" spans="1:44" x14ac:dyDescent="0.35">
      <c r="A669" t="s">
        <v>284</v>
      </c>
      <c r="B669">
        <v>41</v>
      </c>
      <c r="C669" t="s">
        <v>31</v>
      </c>
      <c r="D669">
        <v>1085</v>
      </c>
      <c r="E669" t="s">
        <v>38</v>
      </c>
      <c r="F669">
        <v>2</v>
      </c>
      <c r="G669">
        <v>4</v>
      </c>
      <c r="H669" t="s">
        <v>33</v>
      </c>
      <c r="I669">
        <v>2</v>
      </c>
      <c r="J669" t="s">
        <v>34</v>
      </c>
      <c r="K669">
        <v>57</v>
      </c>
      <c r="L669">
        <v>1</v>
      </c>
      <c r="M669">
        <v>1</v>
      </c>
      <c r="N669" t="s">
        <v>43</v>
      </c>
      <c r="O669">
        <v>4</v>
      </c>
      <c r="P669" t="s">
        <v>45</v>
      </c>
      <c r="Q669">
        <v>2778</v>
      </c>
      <c r="R669">
        <v>17725</v>
      </c>
      <c r="S669">
        <v>4</v>
      </c>
      <c r="T669">
        <v>1</v>
      </c>
      <c r="U669" s="17">
        <v>0.13</v>
      </c>
      <c r="V669">
        <v>3</v>
      </c>
      <c r="W669">
        <v>3</v>
      </c>
      <c r="X669">
        <v>1</v>
      </c>
      <c r="Y669">
        <v>10</v>
      </c>
      <c r="Z669">
        <v>1</v>
      </c>
      <c r="AA669">
        <v>2</v>
      </c>
      <c r="AB669">
        <v>7</v>
      </c>
      <c r="AC669">
        <v>7</v>
      </c>
      <c r="AD669">
        <v>1</v>
      </c>
      <c r="AE669">
        <v>0</v>
      </c>
      <c r="AF669">
        <v>1</v>
      </c>
      <c r="AG669">
        <f>IF(tbl_HR_Data[[#This Row],[Gender]]="Male",1,0)</f>
        <v>0</v>
      </c>
      <c r="AH669" cm="1">
        <f t="array" ref="AH669">_xlfn.SWITCH(tbl_HR_Data[[#This Row],[BusinessTravel]], "Non-Travel", 0, "Travel_Rarely", 1, "Travel_Frequently", 2)</f>
        <v>1</v>
      </c>
      <c r="AI669" cm="1">
        <f t="array" ref="AI669">_xlfn.SWITCH(tbl_HR_Data[[#This Row],[MaritalStatus]],"Single",0,"Married",1,"Divorced",2)</f>
        <v>2</v>
      </c>
      <c r="AJ669">
        <f>IF(tbl_HR_Data[[#This Row],[OverTime]]=1,1,0)</f>
        <v>1</v>
      </c>
      <c r="AK669">
        <f>IF(tbl_HR_Data[[#This Row],[DistanceFromHome]]&gt;15,1,0)</f>
        <v>0</v>
      </c>
      <c r="AL669">
        <f>IF(tbl_HR_Data[[#This Row],[JobSatisfaction]]&lt;=2,1,0)</f>
        <v>0</v>
      </c>
      <c r="AM669">
        <f>IF(tbl_HR_Data[[#This Row],[MonthlyIncome]]&lt;$AT$2,1,0)</f>
        <v>1</v>
      </c>
      <c r="AN669">
        <f>IF(tbl_HR_Data[[#This Row],[Travel_Code]]=2,1,0)</f>
        <v>0</v>
      </c>
      <c r="AO669">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669" s="15">
        <f>tbl_HR_Data[[#This Row],[Risk_Score_Raw]] / SUM(Logic_Parameters!$B$2:$B$6)</f>
        <v>0.56827453040563214</v>
      </c>
      <c r="AQ669" s="16" t="str" cm="1">
        <f t="array" ref="AQ669">_xlfn.IFS(tbl_HR_Data[[#This Row],[Attrition_Risk_Percentage]] &gt;= 0.75, "Critical",tbl_HR_Data[ [#This Row],[Attrition_Risk_Percentage] ]&gt;= 0.5, "High",tbl_HR_Data[[#This Row],[Attrition_Risk_Percentage]] &gt;= 0.25, "Medium",TRUE, "Low")</f>
        <v>High</v>
      </c>
      <c r="AR669" s="16" cm="1">
        <f t="array" ref="AR669">IFERROR(_xlfn.IFS(tbl_HR_Data[[#This Row],[Risk_Category]]="Critical",tbl_HR_Data[[#This Row],[MonthlyIncome]]*1.5,tbl_HR_Data[[#This Row],[Risk_Category]]="High",tbl_HR_Data[[#This Row],[MonthlyIncome]]*1.5),0)</f>
        <v>4167</v>
      </c>
    </row>
    <row r="670" spans="1:44" x14ac:dyDescent="0.35">
      <c r="A670" t="s">
        <v>1340</v>
      </c>
      <c r="B670">
        <v>28</v>
      </c>
      <c r="C670" t="s">
        <v>31</v>
      </c>
      <c r="D670">
        <v>995</v>
      </c>
      <c r="E670" t="s">
        <v>38</v>
      </c>
      <c r="F670">
        <v>9</v>
      </c>
      <c r="G670">
        <v>3</v>
      </c>
      <c r="H670" t="s">
        <v>44</v>
      </c>
      <c r="I670">
        <v>3</v>
      </c>
      <c r="J670" t="s">
        <v>34</v>
      </c>
      <c r="K670">
        <v>77</v>
      </c>
      <c r="L670">
        <v>3</v>
      </c>
      <c r="M670">
        <v>1</v>
      </c>
      <c r="N670" t="s">
        <v>40</v>
      </c>
      <c r="O670">
        <v>3</v>
      </c>
      <c r="P670" t="s">
        <v>45</v>
      </c>
      <c r="Q670">
        <v>2377</v>
      </c>
      <c r="R670">
        <v>9834</v>
      </c>
      <c r="S670">
        <v>5</v>
      </c>
      <c r="T670">
        <v>0</v>
      </c>
      <c r="U670" s="17">
        <v>0.18</v>
      </c>
      <c r="V670">
        <v>3</v>
      </c>
      <c r="W670">
        <v>2</v>
      </c>
      <c r="X670">
        <v>1</v>
      </c>
      <c r="Y670">
        <v>6</v>
      </c>
      <c r="Z670">
        <v>2</v>
      </c>
      <c r="AA670">
        <v>3</v>
      </c>
      <c r="AB670">
        <v>2</v>
      </c>
      <c r="AC670">
        <v>2</v>
      </c>
      <c r="AD670">
        <v>2</v>
      </c>
      <c r="AE670">
        <v>2</v>
      </c>
      <c r="AF670">
        <v>0</v>
      </c>
      <c r="AG670">
        <f>IF(tbl_HR_Data[[#This Row],[Gender]]="Male",1,0)</f>
        <v>0</v>
      </c>
      <c r="AH670" cm="1">
        <f t="array" ref="AH670">_xlfn.SWITCH(tbl_HR_Data[[#This Row],[BusinessTravel]], "Non-Travel", 0, "Travel_Rarely", 1, "Travel_Frequently", 2)</f>
        <v>1</v>
      </c>
      <c r="AI670" cm="1">
        <f t="array" ref="AI670">_xlfn.SWITCH(tbl_HR_Data[[#This Row],[MaritalStatus]],"Single",0,"Married",1,"Divorced",2)</f>
        <v>2</v>
      </c>
      <c r="AJ670">
        <f>IF(tbl_HR_Data[[#This Row],[OverTime]]=1,1,0)</f>
        <v>0</v>
      </c>
      <c r="AK670">
        <f>IF(tbl_HR_Data[[#This Row],[DistanceFromHome]]&gt;15,1,0)</f>
        <v>0</v>
      </c>
      <c r="AL670">
        <f>IF(tbl_HR_Data[[#This Row],[JobSatisfaction]]&lt;=2,1,0)</f>
        <v>0</v>
      </c>
      <c r="AM670">
        <f>IF(tbl_HR_Data[[#This Row],[MonthlyIncome]]&lt;$AT$2,1,0)</f>
        <v>1</v>
      </c>
      <c r="AN670">
        <f>IF(tbl_HR_Data[[#This Row],[Travel_Code]]=2,1,0)</f>
        <v>0</v>
      </c>
      <c r="AO670">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670" s="15">
        <f>tbl_HR_Data[[#This Row],[Risk_Score_Raw]] / SUM(Logic_Parameters!$B$2:$B$6)</f>
        <v>0.22374939857982484</v>
      </c>
      <c r="AQ670" s="16" t="str" cm="1">
        <f t="array" ref="AQ670">_xlfn.IFS(tbl_HR_Data[[#This Row],[Attrition_Risk_Percentage]] &gt;= 0.75, "Critical",tbl_HR_Data[ [#This Row],[Attrition_Risk_Percentage] ]&gt;= 0.5, "High",tbl_HR_Data[[#This Row],[Attrition_Risk_Percentage]] &gt;= 0.25, "Medium",TRUE, "Low")</f>
        <v>Low</v>
      </c>
      <c r="AR670" s="16" cm="1">
        <f t="array" ref="AR670">IFERROR(_xlfn.IFS(tbl_HR_Data[[#This Row],[Risk_Category]]="Critical",tbl_HR_Data[[#This Row],[MonthlyIncome]]*1.5,tbl_HR_Data[[#This Row],[Risk_Category]]="High",tbl_HR_Data[[#This Row],[MonthlyIncome]]*1.5),0)</f>
        <v>0</v>
      </c>
    </row>
    <row r="671" spans="1:44" x14ac:dyDescent="0.35">
      <c r="A671" t="s">
        <v>915</v>
      </c>
      <c r="B671">
        <v>39</v>
      </c>
      <c r="C671" t="s">
        <v>31</v>
      </c>
      <c r="D671">
        <v>1122</v>
      </c>
      <c r="E671" t="s">
        <v>38</v>
      </c>
      <c r="F671">
        <v>6</v>
      </c>
      <c r="G671">
        <v>3</v>
      </c>
      <c r="H671" t="s">
        <v>44</v>
      </c>
      <c r="I671">
        <v>4</v>
      </c>
      <c r="J671" t="s">
        <v>39</v>
      </c>
      <c r="K671">
        <v>70</v>
      </c>
      <c r="L671">
        <v>3</v>
      </c>
      <c r="M671">
        <v>1</v>
      </c>
      <c r="N671" t="s">
        <v>43</v>
      </c>
      <c r="O671">
        <v>1</v>
      </c>
      <c r="P671" t="s">
        <v>41</v>
      </c>
      <c r="Q671">
        <v>2404</v>
      </c>
      <c r="R671">
        <v>4303</v>
      </c>
      <c r="S671">
        <v>7</v>
      </c>
      <c r="T671">
        <v>1</v>
      </c>
      <c r="U671" s="17">
        <v>0.21</v>
      </c>
      <c r="V671">
        <v>4</v>
      </c>
      <c r="W671">
        <v>4</v>
      </c>
      <c r="X671">
        <v>0</v>
      </c>
      <c r="Y671">
        <v>8</v>
      </c>
      <c r="Z671">
        <v>2</v>
      </c>
      <c r="AA671">
        <v>1</v>
      </c>
      <c r="AB671">
        <v>2</v>
      </c>
      <c r="AC671">
        <v>2</v>
      </c>
      <c r="AD671">
        <v>2</v>
      </c>
      <c r="AE671">
        <v>2</v>
      </c>
      <c r="AF671">
        <v>1</v>
      </c>
      <c r="AG671">
        <f>IF(tbl_HR_Data[[#This Row],[Gender]]="Male",1,0)</f>
        <v>1</v>
      </c>
      <c r="AH671" cm="1">
        <f t="array" ref="AH671">_xlfn.SWITCH(tbl_HR_Data[[#This Row],[BusinessTravel]], "Non-Travel", 0, "Travel_Rarely", 1, "Travel_Frequently", 2)</f>
        <v>1</v>
      </c>
      <c r="AI671" cm="1">
        <f t="array" ref="AI671">_xlfn.SWITCH(tbl_HR_Data[[#This Row],[MaritalStatus]],"Single",0,"Married",1,"Divorced",2)</f>
        <v>1</v>
      </c>
      <c r="AJ671">
        <f>IF(tbl_HR_Data[[#This Row],[OverTime]]=1,1,0)</f>
        <v>1</v>
      </c>
      <c r="AK671">
        <f>IF(tbl_HR_Data[[#This Row],[DistanceFromHome]]&gt;15,1,0)</f>
        <v>0</v>
      </c>
      <c r="AL671">
        <f>IF(tbl_HR_Data[[#This Row],[JobSatisfaction]]&lt;=2,1,0)</f>
        <v>1</v>
      </c>
      <c r="AM671">
        <f>IF(tbl_HR_Data[[#This Row],[MonthlyIncome]]&lt;$AT$2,1,0)</f>
        <v>1</v>
      </c>
      <c r="AN671">
        <f>IF(tbl_HR_Data[[#This Row],[Travel_Code]]=2,1,0)</f>
        <v>0</v>
      </c>
      <c r="AO671">
        <f>(tbl_HR_Data[[#This Row],[Flag_OT]] * Logic_Parameters!$B$2) +
 (tbl_HR_Data[[#This Row],[Flag_Travel]] * Logic_Parameters!$B$3) +
 (tbl_HR_Data[[#This Row],[Flag_Satisfaction]] * Logic_Parameters!$B$4) +
 (tbl_HR_Data[[#This Row],[Flag_Distance]]* Logic_Parameters!$B$5) +
 (tbl_HR_Data[[#This Row],[Flag_Income]] * Logic_Parameters!$B$6)</f>
        <v>20.698962067398959</v>
      </c>
      <c r="AP671" s="15">
        <f>tbl_HR_Data[[#This Row],[Risk_Score_Raw]] / SUM(Logic_Parameters!$B$2:$B$6)</f>
        <v>0.71313126349280109</v>
      </c>
      <c r="AQ671" s="16" t="str" cm="1">
        <f t="array" ref="AQ671">_xlfn.IFS(tbl_HR_Data[[#This Row],[Attrition_Risk_Percentage]] &gt;= 0.75, "Critical",tbl_HR_Data[ [#This Row],[Attrition_Risk_Percentage] ]&gt;= 0.5, "High",tbl_HR_Data[[#This Row],[Attrition_Risk_Percentage]] &gt;= 0.25, "Medium",TRUE, "Low")</f>
        <v>High</v>
      </c>
      <c r="AR671" s="16" cm="1">
        <f t="array" ref="AR671">IFERROR(_xlfn.IFS(tbl_HR_Data[[#This Row],[Risk_Category]]="Critical",tbl_HR_Data[[#This Row],[MonthlyIncome]]*1.5,tbl_HR_Data[[#This Row],[Risk_Category]]="High",tbl_HR_Data[[#This Row],[MonthlyIncome]]*1.5),0)</f>
        <v>3606</v>
      </c>
    </row>
    <row r="672" spans="1:44" x14ac:dyDescent="0.35">
      <c r="A672" t="s">
        <v>380</v>
      </c>
      <c r="B672">
        <v>27</v>
      </c>
      <c r="C672" t="s">
        <v>31</v>
      </c>
      <c r="D672">
        <v>618</v>
      </c>
      <c r="E672" t="s">
        <v>38</v>
      </c>
      <c r="F672">
        <v>4</v>
      </c>
      <c r="G672">
        <v>3</v>
      </c>
      <c r="H672" t="s">
        <v>33</v>
      </c>
      <c r="I672">
        <v>2</v>
      </c>
      <c r="J672" t="s">
        <v>34</v>
      </c>
      <c r="K672">
        <v>76</v>
      </c>
      <c r="L672">
        <v>3</v>
      </c>
      <c r="M672">
        <v>1</v>
      </c>
      <c r="N672" t="s">
        <v>40</v>
      </c>
      <c r="O672">
        <v>3</v>
      </c>
      <c r="P672" t="s">
        <v>36</v>
      </c>
      <c r="Q672">
        <v>2318</v>
      </c>
      <c r="R672">
        <v>17808</v>
      </c>
      <c r="S672">
        <v>1</v>
      </c>
      <c r="T672">
        <v>0</v>
      </c>
      <c r="U672" s="17">
        <v>0.19</v>
      </c>
      <c r="V672">
        <v>3</v>
      </c>
      <c r="W672">
        <v>3</v>
      </c>
      <c r="X672">
        <v>0</v>
      </c>
      <c r="Y672">
        <v>1</v>
      </c>
      <c r="Z672">
        <v>2</v>
      </c>
      <c r="AA672">
        <v>3</v>
      </c>
      <c r="AB672">
        <v>1</v>
      </c>
      <c r="AC672">
        <v>1</v>
      </c>
      <c r="AD672">
        <v>0</v>
      </c>
      <c r="AE672">
        <v>0</v>
      </c>
      <c r="AF672">
        <v>0</v>
      </c>
      <c r="AG672">
        <f>IF(tbl_HR_Data[[#This Row],[Gender]]="Male",1,0)</f>
        <v>0</v>
      </c>
      <c r="AH672" cm="1">
        <f t="array" ref="AH672">_xlfn.SWITCH(tbl_HR_Data[[#This Row],[BusinessTravel]], "Non-Travel", 0, "Travel_Rarely", 1, "Travel_Frequently", 2)</f>
        <v>1</v>
      </c>
      <c r="AI672" cm="1">
        <f t="array" ref="AI672">_xlfn.SWITCH(tbl_HR_Data[[#This Row],[MaritalStatus]],"Single",0,"Married",1,"Divorced",2)</f>
        <v>0</v>
      </c>
      <c r="AJ672">
        <f>IF(tbl_HR_Data[[#This Row],[OverTime]]=1,1,0)</f>
        <v>0</v>
      </c>
      <c r="AK672">
        <f>IF(tbl_HR_Data[[#This Row],[DistanceFromHome]]&gt;15,1,0)</f>
        <v>0</v>
      </c>
      <c r="AL672">
        <f>IF(tbl_HR_Data[[#This Row],[JobSatisfaction]]&lt;=2,1,0)</f>
        <v>0</v>
      </c>
      <c r="AM672">
        <f>IF(tbl_HR_Data[[#This Row],[MonthlyIncome]]&lt;$AT$2,1,0)</f>
        <v>1</v>
      </c>
      <c r="AN672">
        <f>IF(tbl_HR_Data[[#This Row],[Travel_Code]]=2,1,0)</f>
        <v>0</v>
      </c>
      <c r="AO672">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672" s="15">
        <f>tbl_HR_Data[[#This Row],[Risk_Score_Raw]] / SUM(Logic_Parameters!$B$2:$B$6)</f>
        <v>0.22374939857982484</v>
      </c>
      <c r="AQ672" s="16" t="str" cm="1">
        <f t="array" ref="AQ672">_xlfn.IFS(tbl_HR_Data[[#This Row],[Attrition_Risk_Percentage]] &gt;= 0.75, "Critical",tbl_HR_Data[ [#This Row],[Attrition_Risk_Percentage] ]&gt;= 0.5, "High",tbl_HR_Data[[#This Row],[Attrition_Risk_Percentage]] &gt;= 0.25, "Medium",TRUE, "Low")</f>
        <v>Low</v>
      </c>
      <c r="AR672" s="16" cm="1">
        <f t="array" ref="AR672">IFERROR(_xlfn.IFS(tbl_HR_Data[[#This Row],[Risk_Category]]="Critical",tbl_HR_Data[[#This Row],[MonthlyIncome]]*1.5,tbl_HR_Data[[#This Row],[Risk_Category]]="High",tbl_HR_Data[[#This Row],[MonthlyIncome]]*1.5),0)</f>
        <v>0</v>
      </c>
    </row>
    <row r="673" spans="1:44" x14ac:dyDescent="0.35">
      <c r="A673" t="s">
        <v>790</v>
      </c>
      <c r="B673">
        <v>34</v>
      </c>
      <c r="C673" t="s">
        <v>31</v>
      </c>
      <c r="D673">
        <v>546</v>
      </c>
      <c r="E673" t="s">
        <v>38</v>
      </c>
      <c r="F673">
        <v>10</v>
      </c>
      <c r="G673">
        <v>3</v>
      </c>
      <c r="H673" t="s">
        <v>33</v>
      </c>
      <c r="I673">
        <v>2</v>
      </c>
      <c r="J673" t="s">
        <v>39</v>
      </c>
      <c r="K673">
        <v>83</v>
      </c>
      <c r="L673">
        <v>3</v>
      </c>
      <c r="M673">
        <v>1</v>
      </c>
      <c r="N673" t="s">
        <v>43</v>
      </c>
      <c r="O673">
        <v>2</v>
      </c>
      <c r="P673" t="s">
        <v>45</v>
      </c>
      <c r="Q673">
        <v>2008</v>
      </c>
      <c r="R673">
        <v>6896</v>
      </c>
      <c r="S673">
        <v>1</v>
      </c>
      <c r="T673">
        <v>0</v>
      </c>
      <c r="U673" s="17">
        <v>0.14000000000000001</v>
      </c>
      <c r="V673">
        <v>3</v>
      </c>
      <c r="W673">
        <v>2</v>
      </c>
      <c r="X673">
        <v>2</v>
      </c>
      <c r="Y673">
        <v>1</v>
      </c>
      <c r="Z673">
        <v>3</v>
      </c>
      <c r="AA673">
        <v>3</v>
      </c>
      <c r="AB673">
        <v>1</v>
      </c>
      <c r="AC673">
        <v>0</v>
      </c>
      <c r="AD673">
        <v>1</v>
      </c>
      <c r="AE673">
        <v>0</v>
      </c>
      <c r="AF673">
        <v>0</v>
      </c>
      <c r="AG673">
        <f>IF(tbl_HR_Data[[#This Row],[Gender]]="Male",1,0)</f>
        <v>1</v>
      </c>
      <c r="AH673" cm="1">
        <f t="array" ref="AH673">_xlfn.SWITCH(tbl_HR_Data[[#This Row],[BusinessTravel]], "Non-Travel", 0, "Travel_Rarely", 1, "Travel_Frequently", 2)</f>
        <v>1</v>
      </c>
      <c r="AI673" cm="1">
        <f t="array" ref="AI673">_xlfn.SWITCH(tbl_HR_Data[[#This Row],[MaritalStatus]],"Single",0,"Married",1,"Divorced",2)</f>
        <v>2</v>
      </c>
      <c r="AJ673">
        <f>IF(tbl_HR_Data[[#This Row],[OverTime]]=1,1,0)</f>
        <v>0</v>
      </c>
      <c r="AK673">
        <f>IF(tbl_HR_Data[[#This Row],[DistanceFromHome]]&gt;15,1,0)</f>
        <v>0</v>
      </c>
      <c r="AL673">
        <f>IF(tbl_HR_Data[[#This Row],[JobSatisfaction]]&lt;=2,1,0)</f>
        <v>1</v>
      </c>
      <c r="AM673">
        <f>IF(tbl_HR_Data[[#This Row],[MonthlyIncome]]&lt;$AT$2,1,0)</f>
        <v>1</v>
      </c>
      <c r="AN673">
        <f>IF(tbl_HR_Data[[#This Row],[Travel_Code]]=2,1,0)</f>
        <v>0</v>
      </c>
      <c r="AO673">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673" s="15">
        <f>tbl_HR_Data[[#This Row],[Risk_Score_Raw]] / SUM(Logic_Parameters!$B$2:$B$6)</f>
        <v>0.3686061316669938</v>
      </c>
      <c r="AQ673" s="16" t="str" cm="1">
        <f t="array" ref="AQ673">_xlfn.IFS(tbl_HR_Data[[#This Row],[Attrition_Risk_Percentage]] &gt;= 0.75, "Critical",tbl_HR_Data[ [#This Row],[Attrition_Risk_Percentage] ]&gt;= 0.5, "High",tbl_HR_Data[[#This Row],[Attrition_Risk_Percentage]] &gt;= 0.25, "Medium",TRUE, "Low")</f>
        <v>Medium</v>
      </c>
      <c r="AR673" s="16" cm="1">
        <f t="array" ref="AR673">IFERROR(_xlfn.IFS(tbl_HR_Data[[#This Row],[Risk_Category]]="Critical",tbl_HR_Data[[#This Row],[MonthlyIncome]]*1.5,tbl_HR_Data[[#This Row],[Risk_Category]]="High",tbl_HR_Data[[#This Row],[MonthlyIncome]]*1.5),0)</f>
        <v>0</v>
      </c>
    </row>
    <row r="674" spans="1:44" x14ac:dyDescent="0.35">
      <c r="A674" t="s">
        <v>1357</v>
      </c>
      <c r="B674">
        <v>42</v>
      </c>
      <c r="C674" t="s">
        <v>31</v>
      </c>
      <c r="D674">
        <v>462</v>
      </c>
      <c r="E674" t="s">
        <v>32</v>
      </c>
      <c r="F674">
        <v>14</v>
      </c>
      <c r="G674">
        <v>2</v>
      </c>
      <c r="H674" t="s">
        <v>44</v>
      </c>
      <c r="I674">
        <v>3</v>
      </c>
      <c r="J674" t="s">
        <v>34</v>
      </c>
      <c r="K674">
        <v>68</v>
      </c>
      <c r="L674">
        <v>2</v>
      </c>
      <c r="M674">
        <v>2</v>
      </c>
      <c r="N674" t="s">
        <v>35</v>
      </c>
      <c r="O674">
        <v>3</v>
      </c>
      <c r="P674" t="s">
        <v>36</v>
      </c>
      <c r="Q674">
        <v>6244</v>
      </c>
      <c r="R674">
        <v>7824</v>
      </c>
      <c r="S674">
        <v>7</v>
      </c>
      <c r="T674">
        <v>0</v>
      </c>
      <c r="U674" s="17">
        <v>0.17</v>
      </c>
      <c r="V674">
        <v>3</v>
      </c>
      <c r="W674">
        <v>1</v>
      </c>
      <c r="X674">
        <v>0</v>
      </c>
      <c r="Y674">
        <v>10</v>
      </c>
      <c r="Z674">
        <v>6</v>
      </c>
      <c r="AA674">
        <v>3</v>
      </c>
      <c r="AB674">
        <v>5</v>
      </c>
      <c r="AC674">
        <v>4</v>
      </c>
      <c r="AD674">
        <v>0</v>
      </c>
      <c r="AE674">
        <v>3</v>
      </c>
      <c r="AF674">
        <v>0</v>
      </c>
      <c r="AG674">
        <f>IF(tbl_HR_Data[[#This Row],[Gender]]="Male",1,0)</f>
        <v>0</v>
      </c>
      <c r="AH674" cm="1">
        <f t="array" ref="AH674">_xlfn.SWITCH(tbl_HR_Data[[#This Row],[BusinessTravel]], "Non-Travel", 0, "Travel_Rarely", 1, "Travel_Frequently", 2)</f>
        <v>1</v>
      </c>
      <c r="AI674" cm="1">
        <f t="array" ref="AI674">_xlfn.SWITCH(tbl_HR_Data[[#This Row],[MaritalStatus]],"Single",0,"Married",1,"Divorced",2)</f>
        <v>0</v>
      </c>
      <c r="AJ674">
        <f>IF(tbl_HR_Data[[#This Row],[OverTime]]=1,1,0)</f>
        <v>0</v>
      </c>
      <c r="AK674">
        <f>IF(tbl_HR_Data[[#This Row],[DistanceFromHome]]&gt;15,1,0)</f>
        <v>0</v>
      </c>
      <c r="AL674">
        <f>IF(tbl_HR_Data[[#This Row],[JobSatisfaction]]&lt;=2,1,0)</f>
        <v>0</v>
      </c>
      <c r="AM674">
        <f>IF(tbl_HR_Data[[#This Row],[MonthlyIncome]]&lt;$AT$2,1,0)</f>
        <v>0</v>
      </c>
      <c r="AN674">
        <f>IF(tbl_HR_Data[[#This Row],[Travel_Code]]=2,1,0)</f>
        <v>0</v>
      </c>
      <c r="AO674">
        <f>(tbl_HR_Data[[#This Row],[Flag_OT]] * Logic_Parameters!$B$2) +
 (tbl_HR_Data[[#This Row],[Flag_Travel]] * Logic_Parameters!$B$3) +
 (tbl_HR_Data[[#This Row],[Flag_Satisfaction]] * Logic_Parameters!$B$4) +
 (tbl_HR_Data[[#This Row],[Flag_Distance]]* Logic_Parameters!$B$5) +
 (tbl_HR_Data[[#This Row],[Flag_Income]] * Logic_Parameters!$B$6)</f>
        <v>0</v>
      </c>
      <c r="AP674" s="15">
        <f>tbl_HR_Data[[#This Row],[Risk_Score_Raw]] / SUM(Logic_Parameters!$B$2:$B$6)</f>
        <v>0</v>
      </c>
      <c r="AQ674" s="16" t="str" cm="1">
        <f t="array" ref="AQ674">_xlfn.IFS(tbl_HR_Data[[#This Row],[Attrition_Risk_Percentage]] &gt;= 0.75, "Critical",tbl_HR_Data[ [#This Row],[Attrition_Risk_Percentage] ]&gt;= 0.5, "High",tbl_HR_Data[[#This Row],[Attrition_Risk_Percentage]] &gt;= 0.25, "Medium",TRUE, "Low")</f>
        <v>Low</v>
      </c>
      <c r="AR674" s="16" cm="1">
        <f t="array" ref="AR674">IFERROR(_xlfn.IFS(tbl_HR_Data[[#This Row],[Risk_Category]]="Critical",tbl_HR_Data[[#This Row],[MonthlyIncome]]*1.5,tbl_HR_Data[[#This Row],[Risk_Category]]="High",tbl_HR_Data[[#This Row],[MonthlyIncome]]*1.5),0)</f>
        <v>0</v>
      </c>
    </row>
    <row r="675" spans="1:44" x14ac:dyDescent="0.35">
      <c r="A675" t="s">
        <v>405</v>
      </c>
      <c r="B675">
        <v>33</v>
      </c>
      <c r="C675" t="s">
        <v>31</v>
      </c>
      <c r="D675">
        <v>1198</v>
      </c>
      <c r="E675" t="s">
        <v>38</v>
      </c>
      <c r="F675">
        <v>1</v>
      </c>
      <c r="G675">
        <v>4</v>
      </c>
      <c r="H675" t="s">
        <v>42</v>
      </c>
      <c r="I675">
        <v>3</v>
      </c>
      <c r="J675" t="s">
        <v>39</v>
      </c>
      <c r="K675">
        <v>100</v>
      </c>
      <c r="L675">
        <v>2</v>
      </c>
      <c r="M675">
        <v>1</v>
      </c>
      <c r="N675" t="s">
        <v>40</v>
      </c>
      <c r="O675">
        <v>1</v>
      </c>
      <c r="P675" t="s">
        <v>36</v>
      </c>
      <c r="Q675">
        <v>2799</v>
      </c>
      <c r="R675">
        <v>3339</v>
      </c>
      <c r="S675">
        <v>3</v>
      </c>
      <c r="T675">
        <v>1</v>
      </c>
      <c r="U675" s="17">
        <v>0.11</v>
      </c>
      <c r="V675">
        <v>3</v>
      </c>
      <c r="W675">
        <v>2</v>
      </c>
      <c r="X675">
        <v>0</v>
      </c>
      <c r="Y675">
        <v>6</v>
      </c>
      <c r="Z675">
        <v>1</v>
      </c>
      <c r="AA675">
        <v>3</v>
      </c>
      <c r="AB675">
        <v>3</v>
      </c>
      <c r="AC675">
        <v>2</v>
      </c>
      <c r="AD675">
        <v>0</v>
      </c>
      <c r="AE675">
        <v>2</v>
      </c>
      <c r="AF675">
        <v>0</v>
      </c>
      <c r="AG675">
        <f>IF(tbl_HR_Data[[#This Row],[Gender]]="Male",1,0)</f>
        <v>1</v>
      </c>
      <c r="AH675" cm="1">
        <f t="array" ref="AH675">_xlfn.SWITCH(tbl_HR_Data[[#This Row],[BusinessTravel]], "Non-Travel", 0, "Travel_Rarely", 1, "Travel_Frequently", 2)</f>
        <v>1</v>
      </c>
      <c r="AI675" cm="1">
        <f t="array" ref="AI675">_xlfn.SWITCH(tbl_HR_Data[[#This Row],[MaritalStatus]],"Single",0,"Married",1,"Divorced",2)</f>
        <v>0</v>
      </c>
      <c r="AJ675">
        <f>IF(tbl_HR_Data[[#This Row],[OverTime]]=1,1,0)</f>
        <v>1</v>
      </c>
      <c r="AK675">
        <f>IF(tbl_HR_Data[[#This Row],[DistanceFromHome]]&gt;15,1,0)</f>
        <v>0</v>
      </c>
      <c r="AL675">
        <f>IF(tbl_HR_Data[[#This Row],[JobSatisfaction]]&lt;=2,1,0)</f>
        <v>1</v>
      </c>
      <c r="AM675">
        <f>IF(tbl_HR_Data[[#This Row],[MonthlyIncome]]&lt;$AT$2,1,0)</f>
        <v>1</v>
      </c>
      <c r="AN675">
        <f>IF(tbl_HR_Data[[#This Row],[Travel_Code]]=2,1,0)</f>
        <v>0</v>
      </c>
      <c r="AO675">
        <f>(tbl_HR_Data[[#This Row],[Flag_OT]] * Logic_Parameters!$B$2) +
 (tbl_HR_Data[[#This Row],[Flag_Travel]] * Logic_Parameters!$B$3) +
 (tbl_HR_Data[[#This Row],[Flag_Satisfaction]] * Logic_Parameters!$B$4) +
 (tbl_HR_Data[[#This Row],[Flag_Distance]]* Logic_Parameters!$B$5) +
 (tbl_HR_Data[[#This Row],[Flag_Income]] * Logic_Parameters!$B$6)</f>
        <v>20.698962067398959</v>
      </c>
      <c r="AP675" s="15">
        <f>tbl_HR_Data[[#This Row],[Risk_Score_Raw]] / SUM(Logic_Parameters!$B$2:$B$6)</f>
        <v>0.71313126349280109</v>
      </c>
      <c r="AQ675" s="16" t="str" cm="1">
        <f t="array" ref="AQ675">_xlfn.IFS(tbl_HR_Data[[#This Row],[Attrition_Risk_Percentage]] &gt;= 0.75, "Critical",tbl_HR_Data[ [#This Row],[Attrition_Risk_Percentage] ]&gt;= 0.5, "High",tbl_HR_Data[[#This Row],[Attrition_Risk_Percentage]] &gt;= 0.25, "Medium",TRUE, "Low")</f>
        <v>High</v>
      </c>
      <c r="AR675" s="16" cm="1">
        <f t="array" ref="AR675">IFERROR(_xlfn.IFS(tbl_HR_Data[[#This Row],[Risk_Category]]="Critical",tbl_HR_Data[[#This Row],[MonthlyIncome]]*1.5,tbl_HR_Data[[#This Row],[Risk_Category]]="High",tbl_HR_Data[[#This Row],[MonthlyIncome]]*1.5),0)</f>
        <v>4198.5</v>
      </c>
    </row>
    <row r="676" spans="1:44" x14ac:dyDescent="0.35">
      <c r="A676" t="s">
        <v>424</v>
      </c>
      <c r="B676">
        <v>58</v>
      </c>
      <c r="C676" t="s">
        <v>31</v>
      </c>
      <c r="D676">
        <v>1272</v>
      </c>
      <c r="E676" t="s">
        <v>38</v>
      </c>
      <c r="F676">
        <v>5</v>
      </c>
      <c r="G676">
        <v>3</v>
      </c>
      <c r="H676" t="s">
        <v>52</v>
      </c>
      <c r="I676">
        <v>3</v>
      </c>
      <c r="J676" t="s">
        <v>34</v>
      </c>
      <c r="K676">
        <v>37</v>
      </c>
      <c r="L676">
        <v>2</v>
      </c>
      <c r="M676">
        <v>3</v>
      </c>
      <c r="N676" t="s">
        <v>47</v>
      </c>
      <c r="O676">
        <v>2</v>
      </c>
      <c r="P676" t="s">
        <v>45</v>
      </c>
      <c r="Q676">
        <v>10552</v>
      </c>
      <c r="R676">
        <v>9255</v>
      </c>
      <c r="S676">
        <v>2</v>
      </c>
      <c r="T676">
        <v>1</v>
      </c>
      <c r="U676" s="17">
        <v>0.13</v>
      </c>
      <c r="V676">
        <v>3</v>
      </c>
      <c r="W676">
        <v>4</v>
      </c>
      <c r="X676">
        <v>1</v>
      </c>
      <c r="Y676">
        <v>24</v>
      </c>
      <c r="Z676">
        <v>3</v>
      </c>
      <c r="AA676">
        <v>3</v>
      </c>
      <c r="AB676">
        <v>6</v>
      </c>
      <c r="AC676">
        <v>0</v>
      </c>
      <c r="AD676">
        <v>0</v>
      </c>
      <c r="AE676">
        <v>4</v>
      </c>
      <c r="AF676">
        <v>0</v>
      </c>
      <c r="AG676">
        <f>IF(tbl_HR_Data[[#This Row],[Gender]]="Male",1,0)</f>
        <v>0</v>
      </c>
      <c r="AH676" cm="1">
        <f t="array" ref="AH676">_xlfn.SWITCH(tbl_HR_Data[[#This Row],[BusinessTravel]], "Non-Travel", 0, "Travel_Rarely", 1, "Travel_Frequently", 2)</f>
        <v>1</v>
      </c>
      <c r="AI676" cm="1">
        <f t="array" ref="AI676">_xlfn.SWITCH(tbl_HR_Data[[#This Row],[MaritalStatus]],"Single",0,"Married",1,"Divorced",2)</f>
        <v>2</v>
      </c>
      <c r="AJ676">
        <f>IF(tbl_HR_Data[[#This Row],[OverTime]]=1,1,0)</f>
        <v>1</v>
      </c>
      <c r="AK676">
        <f>IF(tbl_HR_Data[[#This Row],[DistanceFromHome]]&gt;15,1,0)</f>
        <v>0</v>
      </c>
      <c r="AL676">
        <f>IF(tbl_HR_Data[[#This Row],[JobSatisfaction]]&lt;=2,1,0)</f>
        <v>1</v>
      </c>
      <c r="AM676">
        <f>IF(tbl_HR_Data[[#This Row],[MonthlyIncome]]&lt;$AT$2,1,0)</f>
        <v>0</v>
      </c>
      <c r="AN676">
        <f>IF(tbl_HR_Data[[#This Row],[Travel_Code]]=2,1,0)</f>
        <v>0</v>
      </c>
      <c r="AO676">
        <f>(tbl_HR_Data[[#This Row],[Flag_OT]] * Logic_Parameters!$B$2) +
 (tbl_HR_Data[[#This Row],[Flag_Travel]] * Logic_Parameters!$B$3) +
 (tbl_HR_Data[[#This Row],[Flag_Satisfaction]] * Logic_Parameters!$B$4) +
 (tbl_HR_Data[[#This Row],[Flag_Distance]]* Logic_Parameters!$B$5) +
 (tbl_HR_Data[[#This Row],[Flag_Income]] * Logic_Parameters!$B$6)</f>
        <v>14.204533129978131</v>
      </c>
      <c r="AP676" s="15">
        <f>tbl_HR_Data[[#This Row],[Risk_Score_Raw]] / SUM(Logic_Parameters!$B$2:$B$6)</f>
        <v>0.48938186491297625</v>
      </c>
      <c r="AQ676" s="16" t="str" cm="1">
        <f t="array" ref="AQ676">_xlfn.IFS(tbl_HR_Data[[#This Row],[Attrition_Risk_Percentage]] &gt;= 0.75, "Critical",tbl_HR_Data[ [#This Row],[Attrition_Risk_Percentage] ]&gt;= 0.5, "High",tbl_HR_Data[[#This Row],[Attrition_Risk_Percentage]] &gt;= 0.25, "Medium",TRUE, "Low")</f>
        <v>Medium</v>
      </c>
      <c r="AR676" s="16" cm="1">
        <f t="array" ref="AR676">IFERROR(_xlfn.IFS(tbl_HR_Data[[#This Row],[Risk_Category]]="Critical",tbl_HR_Data[[#This Row],[MonthlyIncome]]*1.5,tbl_HR_Data[[#This Row],[Risk_Category]]="High",tbl_HR_Data[[#This Row],[MonthlyIncome]]*1.5),0)</f>
        <v>0</v>
      </c>
    </row>
    <row r="677" spans="1:44" x14ac:dyDescent="0.35">
      <c r="A677" t="s">
        <v>674</v>
      </c>
      <c r="B677">
        <v>31</v>
      </c>
      <c r="C677" t="s">
        <v>31</v>
      </c>
      <c r="D677">
        <v>154</v>
      </c>
      <c r="E677" t="s">
        <v>32</v>
      </c>
      <c r="F677">
        <v>7</v>
      </c>
      <c r="G677">
        <v>4</v>
      </c>
      <c r="H677" t="s">
        <v>33</v>
      </c>
      <c r="I677">
        <v>2</v>
      </c>
      <c r="J677" t="s">
        <v>39</v>
      </c>
      <c r="K677">
        <v>41</v>
      </c>
      <c r="L677">
        <v>2</v>
      </c>
      <c r="M677">
        <v>1</v>
      </c>
      <c r="N677" t="s">
        <v>49</v>
      </c>
      <c r="O677">
        <v>3</v>
      </c>
      <c r="P677" t="s">
        <v>41</v>
      </c>
      <c r="Q677">
        <v>2329</v>
      </c>
      <c r="R677">
        <v>11737</v>
      </c>
      <c r="S677">
        <v>3</v>
      </c>
      <c r="T677">
        <v>0</v>
      </c>
      <c r="U677" s="17">
        <v>0.15</v>
      </c>
      <c r="V677">
        <v>3</v>
      </c>
      <c r="W677">
        <v>2</v>
      </c>
      <c r="X677">
        <v>0</v>
      </c>
      <c r="Y677">
        <v>13</v>
      </c>
      <c r="Z677">
        <v>2</v>
      </c>
      <c r="AA677">
        <v>4</v>
      </c>
      <c r="AB677">
        <v>7</v>
      </c>
      <c r="AC677">
        <v>7</v>
      </c>
      <c r="AD677">
        <v>5</v>
      </c>
      <c r="AE677">
        <v>2</v>
      </c>
      <c r="AF677">
        <v>0</v>
      </c>
      <c r="AG677">
        <f>IF(tbl_HR_Data[[#This Row],[Gender]]="Male",1,0)</f>
        <v>1</v>
      </c>
      <c r="AH677" cm="1">
        <f t="array" ref="AH677">_xlfn.SWITCH(tbl_HR_Data[[#This Row],[BusinessTravel]], "Non-Travel", 0, "Travel_Rarely", 1, "Travel_Frequently", 2)</f>
        <v>1</v>
      </c>
      <c r="AI677" cm="1">
        <f t="array" ref="AI677">_xlfn.SWITCH(tbl_HR_Data[[#This Row],[MaritalStatus]],"Single",0,"Married",1,"Divorced",2)</f>
        <v>1</v>
      </c>
      <c r="AJ677">
        <f>IF(tbl_HR_Data[[#This Row],[OverTime]]=1,1,0)</f>
        <v>0</v>
      </c>
      <c r="AK677">
        <f>IF(tbl_HR_Data[[#This Row],[DistanceFromHome]]&gt;15,1,0)</f>
        <v>0</v>
      </c>
      <c r="AL677">
        <f>IF(tbl_HR_Data[[#This Row],[JobSatisfaction]]&lt;=2,1,0)</f>
        <v>0</v>
      </c>
      <c r="AM677">
        <f>IF(tbl_HR_Data[[#This Row],[MonthlyIncome]]&lt;$AT$2,1,0)</f>
        <v>1</v>
      </c>
      <c r="AN677">
        <f>IF(tbl_HR_Data[[#This Row],[Travel_Code]]=2,1,0)</f>
        <v>0</v>
      </c>
      <c r="AO677">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677" s="15">
        <f>tbl_HR_Data[[#This Row],[Risk_Score_Raw]] / SUM(Logic_Parameters!$B$2:$B$6)</f>
        <v>0.22374939857982484</v>
      </c>
      <c r="AQ677" s="16" t="str" cm="1">
        <f t="array" ref="AQ677">_xlfn.IFS(tbl_HR_Data[[#This Row],[Attrition_Risk_Percentage]] &gt;= 0.75, "Critical",tbl_HR_Data[ [#This Row],[Attrition_Risk_Percentage] ]&gt;= 0.5, "High",tbl_HR_Data[[#This Row],[Attrition_Risk_Percentage]] &gt;= 0.25, "Medium",TRUE, "Low")</f>
        <v>Low</v>
      </c>
      <c r="AR677" s="16" cm="1">
        <f t="array" ref="AR677">IFERROR(_xlfn.IFS(tbl_HR_Data[[#This Row],[Risk_Category]]="Critical",tbl_HR_Data[[#This Row],[MonthlyIncome]]*1.5,tbl_HR_Data[[#This Row],[Risk_Category]]="High",tbl_HR_Data[[#This Row],[MonthlyIncome]]*1.5),0)</f>
        <v>0</v>
      </c>
    </row>
    <row r="678" spans="1:44" x14ac:dyDescent="0.35">
      <c r="A678" t="s">
        <v>1069</v>
      </c>
      <c r="B678">
        <v>35</v>
      </c>
      <c r="C678" t="s">
        <v>31</v>
      </c>
      <c r="D678">
        <v>1137</v>
      </c>
      <c r="E678" t="s">
        <v>38</v>
      </c>
      <c r="F678">
        <v>21</v>
      </c>
      <c r="G678">
        <v>1</v>
      </c>
      <c r="H678" t="s">
        <v>33</v>
      </c>
      <c r="I678">
        <v>4</v>
      </c>
      <c r="J678" t="s">
        <v>34</v>
      </c>
      <c r="K678">
        <v>51</v>
      </c>
      <c r="L678">
        <v>3</v>
      </c>
      <c r="M678">
        <v>2</v>
      </c>
      <c r="N678" t="s">
        <v>47</v>
      </c>
      <c r="O678">
        <v>4</v>
      </c>
      <c r="P678" t="s">
        <v>41</v>
      </c>
      <c r="Q678">
        <v>4014</v>
      </c>
      <c r="R678">
        <v>19170</v>
      </c>
      <c r="S678">
        <v>1</v>
      </c>
      <c r="T678">
        <v>1</v>
      </c>
      <c r="U678" s="17">
        <v>0.25</v>
      </c>
      <c r="V678">
        <v>4</v>
      </c>
      <c r="W678">
        <v>4</v>
      </c>
      <c r="X678">
        <v>1</v>
      </c>
      <c r="Y678">
        <v>10</v>
      </c>
      <c r="Z678">
        <v>2</v>
      </c>
      <c r="AA678">
        <v>1</v>
      </c>
      <c r="AB678">
        <v>10</v>
      </c>
      <c r="AC678">
        <v>6</v>
      </c>
      <c r="AD678">
        <v>0</v>
      </c>
      <c r="AE678">
        <v>7</v>
      </c>
      <c r="AF678">
        <v>0</v>
      </c>
      <c r="AG678">
        <f>IF(tbl_HR_Data[[#This Row],[Gender]]="Male",1,0)</f>
        <v>0</v>
      </c>
      <c r="AH678" cm="1">
        <f t="array" ref="AH678">_xlfn.SWITCH(tbl_HR_Data[[#This Row],[BusinessTravel]], "Non-Travel", 0, "Travel_Rarely", 1, "Travel_Frequently", 2)</f>
        <v>1</v>
      </c>
      <c r="AI678" cm="1">
        <f t="array" ref="AI678">_xlfn.SWITCH(tbl_HR_Data[[#This Row],[MaritalStatus]],"Single",0,"Married",1,"Divorced",2)</f>
        <v>1</v>
      </c>
      <c r="AJ678">
        <f>IF(tbl_HR_Data[[#This Row],[OverTime]]=1,1,0)</f>
        <v>1</v>
      </c>
      <c r="AK678">
        <f>IF(tbl_HR_Data[[#This Row],[DistanceFromHome]]&gt;15,1,0)</f>
        <v>1</v>
      </c>
      <c r="AL678">
        <f>IF(tbl_HR_Data[[#This Row],[JobSatisfaction]]&lt;=2,1,0)</f>
        <v>0</v>
      </c>
      <c r="AM678">
        <f>IF(tbl_HR_Data[[#This Row],[MonthlyIncome]]&lt;$AT$2,1,0)</f>
        <v>1</v>
      </c>
      <c r="AN678">
        <f>IF(tbl_HR_Data[[#This Row],[Travel_Code]]=2,1,0)</f>
        <v>0</v>
      </c>
      <c r="AO678">
        <f>(tbl_HR_Data[[#This Row],[Flag_OT]] * Logic_Parameters!$B$2) +
 (tbl_HR_Data[[#This Row],[Flag_Travel]] * Logic_Parameters!$B$3) +
 (tbl_HR_Data[[#This Row],[Flag_Satisfaction]] * Logic_Parameters!$B$4) +
 (tbl_HR_Data[[#This Row],[Flag_Distance]]* Logic_Parameters!$B$5) +
 (tbl_HR_Data[[#This Row],[Flag_Income]] * Logic_Parameters!$B$6)</f>
        <v>19.660535633296206</v>
      </c>
      <c r="AP678" s="15">
        <f>tbl_HR_Data[[#This Row],[Risk_Score_Raw]] / SUM(Logic_Parameters!$B$2:$B$6)</f>
        <v>0.67735486308273574</v>
      </c>
      <c r="AQ678" s="16" t="str" cm="1">
        <f t="array" ref="AQ678">_xlfn.IFS(tbl_HR_Data[[#This Row],[Attrition_Risk_Percentage]] &gt;= 0.75, "Critical",tbl_HR_Data[ [#This Row],[Attrition_Risk_Percentage] ]&gt;= 0.5, "High",tbl_HR_Data[[#This Row],[Attrition_Risk_Percentage]] &gt;= 0.25, "Medium",TRUE, "Low")</f>
        <v>High</v>
      </c>
      <c r="AR678" s="16" cm="1">
        <f t="array" ref="AR678">IFERROR(_xlfn.IFS(tbl_HR_Data[[#This Row],[Risk_Category]]="Critical",tbl_HR_Data[[#This Row],[MonthlyIncome]]*1.5,tbl_HR_Data[[#This Row],[Risk_Category]]="High",tbl_HR_Data[[#This Row],[MonthlyIncome]]*1.5),0)</f>
        <v>6021</v>
      </c>
    </row>
    <row r="679" spans="1:44" x14ac:dyDescent="0.35">
      <c r="A679" t="s">
        <v>356</v>
      </c>
      <c r="B679">
        <v>49</v>
      </c>
      <c r="C679" t="s">
        <v>31</v>
      </c>
      <c r="D679">
        <v>527</v>
      </c>
      <c r="E679" t="s">
        <v>38</v>
      </c>
      <c r="F679">
        <v>8</v>
      </c>
      <c r="G679">
        <v>2</v>
      </c>
      <c r="H679" t="s">
        <v>42</v>
      </c>
      <c r="I679">
        <v>1</v>
      </c>
      <c r="J679" t="s">
        <v>34</v>
      </c>
      <c r="K679">
        <v>51</v>
      </c>
      <c r="L679">
        <v>3</v>
      </c>
      <c r="M679">
        <v>3</v>
      </c>
      <c r="N679" t="s">
        <v>43</v>
      </c>
      <c r="O679">
        <v>2</v>
      </c>
      <c r="P679" t="s">
        <v>41</v>
      </c>
      <c r="Q679">
        <v>7403</v>
      </c>
      <c r="R679">
        <v>22477</v>
      </c>
      <c r="S679">
        <v>4</v>
      </c>
      <c r="T679">
        <v>0</v>
      </c>
      <c r="U679" s="17">
        <v>0.11</v>
      </c>
      <c r="V679">
        <v>3</v>
      </c>
      <c r="W679">
        <v>3</v>
      </c>
      <c r="X679">
        <v>1</v>
      </c>
      <c r="Y679">
        <v>29</v>
      </c>
      <c r="Z679">
        <v>3</v>
      </c>
      <c r="AA679">
        <v>2</v>
      </c>
      <c r="AB679">
        <v>26</v>
      </c>
      <c r="AC679">
        <v>9</v>
      </c>
      <c r="AD679">
        <v>1</v>
      </c>
      <c r="AE679">
        <v>7</v>
      </c>
      <c r="AF679">
        <v>0</v>
      </c>
      <c r="AG679">
        <f>IF(tbl_HR_Data[[#This Row],[Gender]]="Male",1,0)</f>
        <v>0</v>
      </c>
      <c r="AH679" cm="1">
        <f t="array" ref="AH679">_xlfn.SWITCH(tbl_HR_Data[[#This Row],[BusinessTravel]], "Non-Travel", 0, "Travel_Rarely", 1, "Travel_Frequently", 2)</f>
        <v>1</v>
      </c>
      <c r="AI679" cm="1">
        <f t="array" ref="AI679">_xlfn.SWITCH(tbl_HR_Data[[#This Row],[MaritalStatus]],"Single",0,"Married",1,"Divorced",2)</f>
        <v>1</v>
      </c>
      <c r="AJ679">
        <f>IF(tbl_HR_Data[[#This Row],[OverTime]]=1,1,0)</f>
        <v>0</v>
      </c>
      <c r="AK679">
        <f>IF(tbl_HR_Data[[#This Row],[DistanceFromHome]]&gt;15,1,0)</f>
        <v>0</v>
      </c>
      <c r="AL679">
        <f>IF(tbl_HR_Data[[#This Row],[JobSatisfaction]]&lt;=2,1,0)</f>
        <v>1</v>
      </c>
      <c r="AM679">
        <f>IF(tbl_HR_Data[[#This Row],[MonthlyIncome]]&lt;$AT$2,1,0)</f>
        <v>0</v>
      </c>
      <c r="AN679">
        <f>IF(tbl_HR_Data[[#This Row],[Travel_Code]]=2,1,0)</f>
        <v>0</v>
      </c>
      <c r="AO679">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679" s="15">
        <f>tbl_HR_Data[[#This Row],[Risk_Score_Raw]] / SUM(Logic_Parameters!$B$2:$B$6)</f>
        <v>0.14485673308716898</v>
      </c>
      <c r="AQ679" s="16" t="str" cm="1">
        <f t="array" ref="AQ679">_xlfn.IFS(tbl_HR_Data[[#This Row],[Attrition_Risk_Percentage]] &gt;= 0.75, "Critical",tbl_HR_Data[ [#This Row],[Attrition_Risk_Percentage] ]&gt;= 0.5, "High",tbl_HR_Data[[#This Row],[Attrition_Risk_Percentage]] &gt;= 0.25, "Medium",TRUE, "Low")</f>
        <v>Low</v>
      </c>
      <c r="AR679" s="16" cm="1">
        <f t="array" ref="AR679">IFERROR(_xlfn.IFS(tbl_HR_Data[[#This Row],[Risk_Category]]="Critical",tbl_HR_Data[[#This Row],[MonthlyIncome]]*1.5,tbl_HR_Data[[#This Row],[Risk_Category]]="High",tbl_HR_Data[[#This Row],[MonthlyIncome]]*1.5),0)</f>
        <v>0</v>
      </c>
    </row>
    <row r="680" spans="1:44" x14ac:dyDescent="0.35">
      <c r="A680" t="s">
        <v>810</v>
      </c>
      <c r="B680">
        <v>48</v>
      </c>
      <c r="C680" t="s">
        <v>31</v>
      </c>
      <c r="D680">
        <v>1469</v>
      </c>
      <c r="E680" t="s">
        <v>38</v>
      </c>
      <c r="F680">
        <v>20</v>
      </c>
      <c r="G680">
        <v>4</v>
      </c>
      <c r="H680" t="s">
        <v>44</v>
      </c>
      <c r="I680">
        <v>4</v>
      </c>
      <c r="J680" t="s">
        <v>39</v>
      </c>
      <c r="K680">
        <v>51</v>
      </c>
      <c r="L680">
        <v>3</v>
      </c>
      <c r="M680">
        <v>1</v>
      </c>
      <c r="N680" t="s">
        <v>40</v>
      </c>
      <c r="O680">
        <v>3</v>
      </c>
      <c r="P680" t="s">
        <v>41</v>
      </c>
      <c r="Q680">
        <v>2259</v>
      </c>
      <c r="R680">
        <v>5543</v>
      </c>
      <c r="S680">
        <v>4</v>
      </c>
      <c r="T680">
        <v>0</v>
      </c>
      <c r="U680" s="17">
        <v>0.17</v>
      </c>
      <c r="V680">
        <v>3</v>
      </c>
      <c r="W680">
        <v>1</v>
      </c>
      <c r="X680">
        <v>2</v>
      </c>
      <c r="Y680">
        <v>13</v>
      </c>
      <c r="Z680">
        <v>2</v>
      </c>
      <c r="AA680">
        <v>2</v>
      </c>
      <c r="AB680">
        <v>0</v>
      </c>
      <c r="AC680">
        <v>0</v>
      </c>
      <c r="AD680">
        <v>0</v>
      </c>
      <c r="AE680">
        <v>0</v>
      </c>
      <c r="AF680">
        <v>0</v>
      </c>
      <c r="AG680">
        <f>IF(tbl_HR_Data[[#This Row],[Gender]]="Male",1,0)</f>
        <v>1</v>
      </c>
      <c r="AH680" cm="1">
        <f t="array" ref="AH680">_xlfn.SWITCH(tbl_HR_Data[[#This Row],[BusinessTravel]], "Non-Travel", 0, "Travel_Rarely", 1, "Travel_Frequently", 2)</f>
        <v>1</v>
      </c>
      <c r="AI680" cm="1">
        <f t="array" ref="AI680">_xlfn.SWITCH(tbl_HR_Data[[#This Row],[MaritalStatus]],"Single",0,"Married",1,"Divorced",2)</f>
        <v>1</v>
      </c>
      <c r="AJ680">
        <f>IF(tbl_HR_Data[[#This Row],[OverTime]]=1,1,0)</f>
        <v>0</v>
      </c>
      <c r="AK680">
        <f>IF(tbl_HR_Data[[#This Row],[DistanceFromHome]]&gt;15,1,0)</f>
        <v>1</v>
      </c>
      <c r="AL680">
        <f>IF(tbl_HR_Data[[#This Row],[JobSatisfaction]]&lt;=2,1,0)</f>
        <v>0</v>
      </c>
      <c r="AM680">
        <f>IF(tbl_HR_Data[[#This Row],[MonthlyIncome]]&lt;$AT$2,1,0)</f>
        <v>1</v>
      </c>
      <c r="AN680">
        <f>IF(tbl_HR_Data[[#This Row],[Travel_Code]]=2,1,0)</f>
        <v>0</v>
      </c>
      <c r="AO680">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680" s="15">
        <f>tbl_HR_Data[[#This Row],[Risk_Score_Raw]] / SUM(Logic_Parameters!$B$2:$B$6)</f>
        <v>0.33282973125692844</v>
      </c>
      <c r="AQ680" s="16" t="str" cm="1">
        <f t="array" ref="AQ680">_xlfn.IFS(tbl_HR_Data[[#This Row],[Attrition_Risk_Percentage]] &gt;= 0.75, "Critical",tbl_HR_Data[ [#This Row],[Attrition_Risk_Percentage] ]&gt;= 0.5, "High",tbl_HR_Data[[#This Row],[Attrition_Risk_Percentage]] &gt;= 0.25, "Medium",TRUE, "Low")</f>
        <v>Medium</v>
      </c>
      <c r="AR680" s="16" cm="1">
        <f t="array" ref="AR680">IFERROR(_xlfn.IFS(tbl_HR_Data[[#This Row],[Risk_Category]]="Critical",tbl_HR_Data[[#This Row],[MonthlyIncome]]*1.5,tbl_HR_Data[[#This Row],[Risk_Category]]="High",tbl_HR_Data[[#This Row],[MonthlyIncome]]*1.5),0)</f>
        <v>0</v>
      </c>
    </row>
    <row r="681" spans="1:44" x14ac:dyDescent="0.35">
      <c r="A681" t="s">
        <v>1133</v>
      </c>
      <c r="B681">
        <v>31</v>
      </c>
      <c r="C681" t="s">
        <v>1525</v>
      </c>
      <c r="D681">
        <v>1188</v>
      </c>
      <c r="E681" t="s">
        <v>32</v>
      </c>
      <c r="F681">
        <v>20</v>
      </c>
      <c r="G681">
        <v>2</v>
      </c>
      <c r="H681" t="s">
        <v>51</v>
      </c>
      <c r="I681">
        <v>4</v>
      </c>
      <c r="J681" t="s">
        <v>34</v>
      </c>
      <c r="K681">
        <v>45</v>
      </c>
      <c r="L681">
        <v>3</v>
      </c>
      <c r="M681">
        <v>2</v>
      </c>
      <c r="N681" t="s">
        <v>35</v>
      </c>
      <c r="O681">
        <v>3</v>
      </c>
      <c r="P681" t="s">
        <v>41</v>
      </c>
      <c r="Q681">
        <v>6932</v>
      </c>
      <c r="R681">
        <v>24406</v>
      </c>
      <c r="S681">
        <v>1</v>
      </c>
      <c r="T681">
        <v>0</v>
      </c>
      <c r="U681" s="17">
        <v>0.13</v>
      </c>
      <c r="V681">
        <v>3</v>
      </c>
      <c r="W681">
        <v>4</v>
      </c>
      <c r="X681">
        <v>1</v>
      </c>
      <c r="Y681">
        <v>9</v>
      </c>
      <c r="Z681">
        <v>2</v>
      </c>
      <c r="AA681">
        <v>2</v>
      </c>
      <c r="AB681">
        <v>9</v>
      </c>
      <c r="AC681">
        <v>8</v>
      </c>
      <c r="AD681">
        <v>0</v>
      </c>
      <c r="AE681">
        <v>0</v>
      </c>
      <c r="AF681">
        <v>0</v>
      </c>
      <c r="AG681">
        <f>IF(tbl_HR_Data[[#This Row],[Gender]]="Male",1,0)</f>
        <v>0</v>
      </c>
      <c r="AH681" cm="1">
        <f t="array" ref="AH681">_xlfn.SWITCH(tbl_HR_Data[[#This Row],[BusinessTravel]], "Non-Travel", 0, "Travel_Rarely", 1, "Travel_Frequently", 2)</f>
        <v>0</v>
      </c>
      <c r="AI681" cm="1">
        <f t="array" ref="AI681">_xlfn.SWITCH(tbl_HR_Data[[#This Row],[MaritalStatus]],"Single",0,"Married",1,"Divorced",2)</f>
        <v>1</v>
      </c>
      <c r="AJ681">
        <f>IF(tbl_HR_Data[[#This Row],[OverTime]]=1,1,0)</f>
        <v>0</v>
      </c>
      <c r="AK681">
        <f>IF(tbl_HR_Data[[#This Row],[DistanceFromHome]]&gt;15,1,0)</f>
        <v>1</v>
      </c>
      <c r="AL681">
        <f>IF(tbl_HR_Data[[#This Row],[JobSatisfaction]]&lt;=2,1,0)</f>
        <v>0</v>
      </c>
      <c r="AM681">
        <f>IF(tbl_HR_Data[[#This Row],[MonthlyIncome]]&lt;$AT$2,1,0)</f>
        <v>0</v>
      </c>
      <c r="AN681">
        <f>IF(tbl_HR_Data[[#This Row],[Travel_Code]]=2,1,0)</f>
        <v>0</v>
      </c>
      <c r="AO681">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681" s="15">
        <f>tbl_HR_Data[[#This Row],[Risk_Score_Raw]] / SUM(Logic_Parameters!$B$2:$B$6)</f>
        <v>0.10908033267710357</v>
      </c>
      <c r="AQ681" s="16" t="str" cm="1">
        <f t="array" ref="AQ681">_xlfn.IFS(tbl_HR_Data[[#This Row],[Attrition_Risk_Percentage]] &gt;= 0.75, "Critical",tbl_HR_Data[ [#This Row],[Attrition_Risk_Percentage] ]&gt;= 0.5, "High",tbl_HR_Data[[#This Row],[Attrition_Risk_Percentage]] &gt;= 0.25, "Medium",TRUE, "Low")</f>
        <v>Low</v>
      </c>
      <c r="AR681" s="16" cm="1">
        <f t="array" ref="AR681">IFERROR(_xlfn.IFS(tbl_HR_Data[[#This Row],[Risk_Category]]="Critical",tbl_HR_Data[[#This Row],[MonthlyIncome]]*1.5,tbl_HR_Data[[#This Row],[Risk_Category]]="High",tbl_HR_Data[[#This Row],[MonthlyIncome]]*1.5),0)</f>
        <v>0</v>
      </c>
    </row>
    <row r="682" spans="1:44" x14ac:dyDescent="0.35">
      <c r="A682" t="s">
        <v>1294</v>
      </c>
      <c r="B682">
        <v>36</v>
      </c>
      <c r="C682" t="s">
        <v>31</v>
      </c>
      <c r="D682">
        <v>188</v>
      </c>
      <c r="E682" t="s">
        <v>38</v>
      </c>
      <c r="F682">
        <v>7</v>
      </c>
      <c r="G682">
        <v>4</v>
      </c>
      <c r="H682" t="s">
        <v>42</v>
      </c>
      <c r="I682">
        <v>2</v>
      </c>
      <c r="J682" t="s">
        <v>39</v>
      </c>
      <c r="K682">
        <v>65</v>
      </c>
      <c r="L682">
        <v>3</v>
      </c>
      <c r="M682">
        <v>1</v>
      </c>
      <c r="N682" t="s">
        <v>40</v>
      </c>
      <c r="O682">
        <v>4</v>
      </c>
      <c r="P682" t="s">
        <v>36</v>
      </c>
      <c r="Q682">
        <v>4678</v>
      </c>
      <c r="R682">
        <v>23293</v>
      </c>
      <c r="S682">
        <v>2</v>
      </c>
      <c r="T682">
        <v>0</v>
      </c>
      <c r="U682" s="17">
        <v>0.18</v>
      </c>
      <c r="V682">
        <v>3</v>
      </c>
      <c r="W682">
        <v>3</v>
      </c>
      <c r="X682">
        <v>0</v>
      </c>
      <c r="Y682">
        <v>8</v>
      </c>
      <c r="Z682">
        <v>6</v>
      </c>
      <c r="AA682">
        <v>3</v>
      </c>
      <c r="AB682">
        <v>6</v>
      </c>
      <c r="AC682">
        <v>2</v>
      </c>
      <c r="AD682">
        <v>0</v>
      </c>
      <c r="AE682">
        <v>1</v>
      </c>
      <c r="AF682">
        <v>0</v>
      </c>
      <c r="AG682">
        <f>IF(tbl_HR_Data[[#This Row],[Gender]]="Male",1,0)</f>
        <v>1</v>
      </c>
      <c r="AH682" cm="1">
        <f t="array" ref="AH682">_xlfn.SWITCH(tbl_HR_Data[[#This Row],[BusinessTravel]], "Non-Travel", 0, "Travel_Rarely", 1, "Travel_Frequently", 2)</f>
        <v>1</v>
      </c>
      <c r="AI682" cm="1">
        <f t="array" ref="AI682">_xlfn.SWITCH(tbl_HR_Data[[#This Row],[MaritalStatus]],"Single",0,"Married",1,"Divorced",2)</f>
        <v>0</v>
      </c>
      <c r="AJ682">
        <f>IF(tbl_HR_Data[[#This Row],[OverTime]]=1,1,0)</f>
        <v>0</v>
      </c>
      <c r="AK682">
        <f>IF(tbl_HR_Data[[#This Row],[DistanceFromHome]]&gt;15,1,0)</f>
        <v>0</v>
      </c>
      <c r="AL682">
        <f>IF(tbl_HR_Data[[#This Row],[JobSatisfaction]]&lt;=2,1,0)</f>
        <v>0</v>
      </c>
      <c r="AM682">
        <f>IF(tbl_HR_Data[[#This Row],[MonthlyIncome]]&lt;$AT$2,1,0)</f>
        <v>1</v>
      </c>
      <c r="AN682">
        <f>IF(tbl_HR_Data[[#This Row],[Travel_Code]]=2,1,0)</f>
        <v>0</v>
      </c>
      <c r="AO682">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682" s="15">
        <f>tbl_HR_Data[[#This Row],[Risk_Score_Raw]] / SUM(Logic_Parameters!$B$2:$B$6)</f>
        <v>0.22374939857982484</v>
      </c>
      <c r="AQ682" s="16" t="str" cm="1">
        <f t="array" ref="AQ682">_xlfn.IFS(tbl_HR_Data[[#This Row],[Attrition_Risk_Percentage]] &gt;= 0.75, "Critical",tbl_HR_Data[ [#This Row],[Attrition_Risk_Percentage] ]&gt;= 0.5, "High",tbl_HR_Data[[#This Row],[Attrition_Risk_Percentage]] &gt;= 0.25, "Medium",TRUE, "Low")</f>
        <v>Low</v>
      </c>
      <c r="AR682" s="16" cm="1">
        <f t="array" ref="AR682">IFERROR(_xlfn.IFS(tbl_HR_Data[[#This Row],[Risk_Category]]="Critical",tbl_HR_Data[[#This Row],[MonthlyIncome]]*1.5,tbl_HR_Data[[#This Row],[Risk_Category]]="High",tbl_HR_Data[[#This Row],[MonthlyIncome]]*1.5),0)</f>
        <v>0</v>
      </c>
    </row>
    <row r="683" spans="1:44" x14ac:dyDescent="0.35">
      <c r="A683" t="s">
        <v>336</v>
      </c>
      <c r="B683">
        <v>38</v>
      </c>
      <c r="C683" t="s">
        <v>31</v>
      </c>
      <c r="D683">
        <v>1333</v>
      </c>
      <c r="E683" t="s">
        <v>38</v>
      </c>
      <c r="F683">
        <v>1</v>
      </c>
      <c r="G683">
        <v>3</v>
      </c>
      <c r="H683" t="s">
        <v>52</v>
      </c>
      <c r="I683">
        <v>4</v>
      </c>
      <c r="J683" t="s">
        <v>34</v>
      </c>
      <c r="K683">
        <v>80</v>
      </c>
      <c r="L683">
        <v>3</v>
      </c>
      <c r="M683">
        <v>3</v>
      </c>
      <c r="N683" t="s">
        <v>50</v>
      </c>
      <c r="O683">
        <v>1</v>
      </c>
      <c r="P683" t="s">
        <v>41</v>
      </c>
      <c r="Q683">
        <v>13582</v>
      </c>
      <c r="R683">
        <v>16292</v>
      </c>
      <c r="S683">
        <v>1</v>
      </c>
      <c r="T683">
        <v>0</v>
      </c>
      <c r="U683" s="17">
        <v>0.13</v>
      </c>
      <c r="V683">
        <v>3</v>
      </c>
      <c r="W683">
        <v>2</v>
      </c>
      <c r="X683">
        <v>1</v>
      </c>
      <c r="Y683">
        <v>15</v>
      </c>
      <c r="Z683">
        <v>3</v>
      </c>
      <c r="AA683">
        <v>3</v>
      </c>
      <c r="AB683">
        <v>15</v>
      </c>
      <c r="AC683">
        <v>12</v>
      </c>
      <c r="AD683">
        <v>5</v>
      </c>
      <c r="AE683">
        <v>11</v>
      </c>
      <c r="AF683">
        <v>0</v>
      </c>
      <c r="AG683">
        <f>IF(tbl_HR_Data[[#This Row],[Gender]]="Male",1,0)</f>
        <v>0</v>
      </c>
      <c r="AH683" cm="1">
        <f t="array" ref="AH683">_xlfn.SWITCH(tbl_HR_Data[[#This Row],[BusinessTravel]], "Non-Travel", 0, "Travel_Rarely", 1, "Travel_Frequently", 2)</f>
        <v>1</v>
      </c>
      <c r="AI683" cm="1">
        <f t="array" ref="AI683">_xlfn.SWITCH(tbl_HR_Data[[#This Row],[MaritalStatus]],"Single",0,"Married",1,"Divorced",2)</f>
        <v>1</v>
      </c>
      <c r="AJ683">
        <f>IF(tbl_HR_Data[[#This Row],[OverTime]]=1,1,0)</f>
        <v>0</v>
      </c>
      <c r="AK683">
        <f>IF(tbl_HR_Data[[#This Row],[DistanceFromHome]]&gt;15,1,0)</f>
        <v>0</v>
      </c>
      <c r="AL683">
        <f>IF(tbl_HR_Data[[#This Row],[JobSatisfaction]]&lt;=2,1,0)</f>
        <v>1</v>
      </c>
      <c r="AM683">
        <f>IF(tbl_HR_Data[[#This Row],[MonthlyIncome]]&lt;$AT$2,1,0)</f>
        <v>0</v>
      </c>
      <c r="AN683">
        <f>IF(tbl_HR_Data[[#This Row],[Travel_Code]]=2,1,0)</f>
        <v>0</v>
      </c>
      <c r="AO683">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683" s="15">
        <f>tbl_HR_Data[[#This Row],[Risk_Score_Raw]] / SUM(Logic_Parameters!$B$2:$B$6)</f>
        <v>0.14485673308716898</v>
      </c>
      <c r="AQ683" s="16" t="str" cm="1">
        <f t="array" ref="AQ683">_xlfn.IFS(tbl_HR_Data[[#This Row],[Attrition_Risk_Percentage]] &gt;= 0.75, "Critical",tbl_HR_Data[ [#This Row],[Attrition_Risk_Percentage] ]&gt;= 0.5, "High",tbl_HR_Data[[#This Row],[Attrition_Risk_Percentage]] &gt;= 0.25, "Medium",TRUE, "Low")</f>
        <v>Low</v>
      </c>
      <c r="AR683" s="16" cm="1">
        <f t="array" ref="AR683">IFERROR(_xlfn.IFS(tbl_HR_Data[[#This Row],[Risk_Category]]="Critical",tbl_HR_Data[[#This Row],[MonthlyIncome]]*1.5,tbl_HR_Data[[#This Row],[Risk_Category]]="High",tbl_HR_Data[[#This Row],[MonthlyIncome]]*1.5),0)</f>
        <v>0</v>
      </c>
    </row>
    <row r="684" spans="1:44" x14ac:dyDescent="0.35">
      <c r="A684" t="s">
        <v>1194</v>
      </c>
      <c r="B684">
        <v>32</v>
      </c>
      <c r="C684" t="s">
        <v>1525</v>
      </c>
      <c r="D684">
        <v>1184</v>
      </c>
      <c r="E684" t="s">
        <v>38</v>
      </c>
      <c r="F684">
        <v>1</v>
      </c>
      <c r="G684">
        <v>3</v>
      </c>
      <c r="H684" t="s">
        <v>33</v>
      </c>
      <c r="I684">
        <v>3</v>
      </c>
      <c r="J684" t="s">
        <v>34</v>
      </c>
      <c r="K684">
        <v>70</v>
      </c>
      <c r="L684">
        <v>2</v>
      </c>
      <c r="M684">
        <v>1</v>
      </c>
      <c r="N684" t="s">
        <v>43</v>
      </c>
      <c r="O684">
        <v>2</v>
      </c>
      <c r="P684" t="s">
        <v>41</v>
      </c>
      <c r="Q684">
        <v>2332</v>
      </c>
      <c r="R684">
        <v>3974</v>
      </c>
      <c r="S684">
        <v>6</v>
      </c>
      <c r="T684">
        <v>0</v>
      </c>
      <c r="U684" s="17">
        <v>0.2</v>
      </c>
      <c r="V684">
        <v>4</v>
      </c>
      <c r="W684">
        <v>3</v>
      </c>
      <c r="X684">
        <v>0</v>
      </c>
      <c r="Y684">
        <v>5</v>
      </c>
      <c r="Z684">
        <v>3</v>
      </c>
      <c r="AA684">
        <v>3</v>
      </c>
      <c r="AB684">
        <v>3</v>
      </c>
      <c r="AC684">
        <v>0</v>
      </c>
      <c r="AD684">
        <v>0</v>
      </c>
      <c r="AE684">
        <v>2</v>
      </c>
      <c r="AF684">
        <v>0</v>
      </c>
      <c r="AG684">
        <f>IF(tbl_HR_Data[[#This Row],[Gender]]="Male",1,0)</f>
        <v>0</v>
      </c>
      <c r="AH684" cm="1">
        <f t="array" ref="AH684">_xlfn.SWITCH(tbl_HR_Data[[#This Row],[BusinessTravel]], "Non-Travel", 0, "Travel_Rarely", 1, "Travel_Frequently", 2)</f>
        <v>0</v>
      </c>
      <c r="AI684" cm="1">
        <f t="array" ref="AI684">_xlfn.SWITCH(tbl_HR_Data[[#This Row],[MaritalStatus]],"Single",0,"Married",1,"Divorced",2)</f>
        <v>1</v>
      </c>
      <c r="AJ684">
        <f>IF(tbl_HR_Data[[#This Row],[OverTime]]=1,1,0)</f>
        <v>0</v>
      </c>
      <c r="AK684">
        <f>IF(tbl_HR_Data[[#This Row],[DistanceFromHome]]&gt;15,1,0)</f>
        <v>0</v>
      </c>
      <c r="AL684">
        <f>IF(tbl_HR_Data[[#This Row],[JobSatisfaction]]&lt;=2,1,0)</f>
        <v>1</v>
      </c>
      <c r="AM684">
        <f>IF(tbl_HR_Data[[#This Row],[MonthlyIncome]]&lt;$AT$2,1,0)</f>
        <v>1</v>
      </c>
      <c r="AN684">
        <f>IF(tbl_HR_Data[[#This Row],[Travel_Code]]=2,1,0)</f>
        <v>0</v>
      </c>
      <c r="AO684">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684" s="15">
        <f>tbl_HR_Data[[#This Row],[Risk_Score_Raw]] / SUM(Logic_Parameters!$B$2:$B$6)</f>
        <v>0.3686061316669938</v>
      </c>
      <c r="AQ684" s="16" t="str" cm="1">
        <f t="array" ref="AQ684">_xlfn.IFS(tbl_HR_Data[[#This Row],[Attrition_Risk_Percentage]] &gt;= 0.75, "Critical",tbl_HR_Data[ [#This Row],[Attrition_Risk_Percentage] ]&gt;= 0.5, "High",tbl_HR_Data[[#This Row],[Attrition_Risk_Percentage]] &gt;= 0.25, "Medium",TRUE, "Low")</f>
        <v>Medium</v>
      </c>
      <c r="AR684" s="16" cm="1">
        <f t="array" ref="AR684">IFERROR(_xlfn.IFS(tbl_HR_Data[[#This Row],[Risk_Category]]="Critical",tbl_HR_Data[[#This Row],[MonthlyIncome]]*1.5,tbl_HR_Data[[#This Row],[Risk_Category]]="High",tbl_HR_Data[[#This Row],[MonthlyIncome]]*1.5),0)</f>
        <v>0</v>
      </c>
    </row>
    <row r="685" spans="1:44" x14ac:dyDescent="0.35">
      <c r="A685" t="s">
        <v>607</v>
      </c>
      <c r="B685">
        <v>25</v>
      </c>
      <c r="C685" t="s">
        <v>31</v>
      </c>
      <c r="D685">
        <v>867</v>
      </c>
      <c r="E685" t="s">
        <v>32</v>
      </c>
      <c r="F685">
        <v>19</v>
      </c>
      <c r="G685">
        <v>2</v>
      </c>
      <c r="H685" t="s">
        <v>51</v>
      </c>
      <c r="I685">
        <v>3</v>
      </c>
      <c r="J685" t="s">
        <v>39</v>
      </c>
      <c r="K685">
        <v>36</v>
      </c>
      <c r="L685">
        <v>2</v>
      </c>
      <c r="M685">
        <v>1</v>
      </c>
      <c r="N685" t="s">
        <v>49</v>
      </c>
      <c r="O685">
        <v>2</v>
      </c>
      <c r="P685" t="s">
        <v>41</v>
      </c>
      <c r="Q685">
        <v>2413</v>
      </c>
      <c r="R685">
        <v>18798</v>
      </c>
      <c r="S685">
        <v>1</v>
      </c>
      <c r="T685">
        <v>1</v>
      </c>
      <c r="U685" s="17">
        <v>0.18</v>
      </c>
      <c r="V685">
        <v>3</v>
      </c>
      <c r="W685">
        <v>3</v>
      </c>
      <c r="X685">
        <v>3</v>
      </c>
      <c r="Y685">
        <v>1</v>
      </c>
      <c r="Z685">
        <v>2</v>
      </c>
      <c r="AA685">
        <v>3</v>
      </c>
      <c r="AB685">
        <v>1</v>
      </c>
      <c r="AC685">
        <v>0</v>
      </c>
      <c r="AD685">
        <v>0</v>
      </c>
      <c r="AE685">
        <v>0</v>
      </c>
      <c r="AF685">
        <v>1</v>
      </c>
      <c r="AG685">
        <f>IF(tbl_HR_Data[[#This Row],[Gender]]="Male",1,0)</f>
        <v>1</v>
      </c>
      <c r="AH685" cm="1">
        <f t="array" ref="AH685">_xlfn.SWITCH(tbl_HR_Data[[#This Row],[BusinessTravel]], "Non-Travel", 0, "Travel_Rarely", 1, "Travel_Frequently", 2)</f>
        <v>1</v>
      </c>
      <c r="AI685" cm="1">
        <f t="array" ref="AI685">_xlfn.SWITCH(tbl_HR_Data[[#This Row],[MaritalStatus]],"Single",0,"Married",1,"Divorced",2)</f>
        <v>1</v>
      </c>
      <c r="AJ685">
        <f>IF(tbl_HR_Data[[#This Row],[OverTime]]=1,1,0)</f>
        <v>1</v>
      </c>
      <c r="AK685">
        <f>IF(tbl_HR_Data[[#This Row],[DistanceFromHome]]&gt;15,1,0)</f>
        <v>1</v>
      </c>
      <c r="AL685">
        <f>IF(tbl_HR_Data[[#This Row],[JobSatisfaction]]&lt;=2,1,0)</f>
        <v>1</v>
      </c>
      <c r="AM685">
        <f>IF(tbl_HR_Data[[#This Row],[MonthlyIncome]]&lt;$AT$2,1,0)</f>
        <v>1</v>
      </c>
      <c r="AN685">
        <f>IF(tbl_HR_Data[[#This Row],[Travel_Code]]=2,1,0)</f>
        <v>0</v>
      </c>
      <c r="AO685">
        <f>(tbl_HR_Data[[#This Row],[Flag_OT]] * Logic_Parameters!$B$2) +
 (tbl_HR_Data[[#This Row],[Flag_Travel]] * Logic_Parameters!$B$3) +
 (tbl_HR_Data[[#This Row],[Flag_Satisfaction]] * Logic_Parameters!$B$4) +
 (tbl_HR_Data[[#This Row],[Flag_Distance]]* Logic_Parameters!$B$5) +
 (tbl_HR_Data[[#This Row],[Flag_Income]] * Logic_Parameters!$B$6)</f>
        <v>23.865068763274337</v>
      </c>
      <c r="AP685" s="15">
        <f>tbl_HR_Data[[#This Row],[Risk_Score_Raw]] / SUM(Logic_Parameters!$B$2:$B$6)</f>
        <v>0.82221159616990469</v>
      </c>
      <c r="AQ685" s="16" t="str" cm="1">
        <f t="array" ref="AQ685">_xlfn.IFS(tbl_HR_Data[[#This Row],[Attrition_Risk_Percentage]] &gt;= 0.75, "Critical",tbl_HR_Data[ [#This Row],[Attrition_Risk_Percentage] ]&gt;= 0.5, "High",tbl_HR_Data[[#This Row],[Attrition_Risk_Percentage]] &gt;= 0.25, "Medium",TRUE, "Low")</f>
        <v>Critical</v>
      </c>
      <c r="AR685" s="16" cm="1">
        <f t="array" ref="AR685">IFERROR(_xlfn.IFS(tbl_HR_Data[[#This Row],[Risk_Category]]="Critical",tbl_HR_Data[[#This Row],[MonthlyIncome]]*1.5,tbl_HR_Data[[#This Row],[Risk_Category]]="High",tbl_HR_Data[[#This Row],[MonthlyIncome]]*1.5),0)</f>
        <v>3619.5</v>
      </c>
    </row>
    <row r="686" spans="1:44" x14ac:dyDescent="0.35">
      <c r="A686" t="s">
        <v>569</v>
      </c>
      <c r="B686">
        <v>40</v>
      </c>
      <c r="C686" t="s">
        <v>31</v>
      </c>
      <c r="D686">
        <v>658</v>
      </c>
      <c r="E686" t="s">
        <v>32</v>
      </c>
      <c r="F686">
        <v>10</v>
      </c>
      <c r="G686">
        <v>4</v>
      </c>
      <c r="H686" t="s">
        <v>51</v>
      </c>
      <c r="I686">
        <v>1</v>
      </c>
      <c r="J686" t="s">
        <v>39</v>
      </c>
      <c r="K686">
        <v>67</v>
      </c>
      <c r="L686">
        <v>2</v>
      </c>
      <c r="M686">
        <v>3</v>
      </c>
      <c r="N686" t="s">
        <v>35</v>
      </c>
      <c r="O686">
        <v>2</v>
      </c>
      <c r="P686" t="s">
        <v>45</v>
      </c>
      <c r="Q686">
        <v>9705</v>
      </c>
      <c r="R686">
        <v>20652</v>
      </c>
      <c r="S686">
        <v>2</v>
      </c>
      <c r="T686">
        <v>0</v>
      </c>
      <c r="U686" s="17">
        <v>0.12</v>
      </c>
      <c r="V686">
        <v>3</v>
      </c>
      <c r="W686">
        <v>2</v>
      </c>
      <c r="X686">
        <v>1</v>
      </c>
      <c r="Y686">
        <v>11</v>
      </c>
      <c r="Z686">
        <v>2</v>
      </c>
      <c r="AA686">
        <v>2</v>
      </c>
      <c r="AB686">
        <v>1</v>
      </c>
      <c r="AC686">
        <v>0</v>
      </c>
      <c r="AD686">
        <v>0</v>
      </c>
      <c r="AE686">
        <v>0</v>
      </c>
      <c r="AF686">
        <v>0</v>
      </c>
      <c r="AG686">
        <f>IF(tbl_HR_Data[[#This Row],[Gender]]="Male",1,0)</f>
        <v>1</v>
      </c>
      <c r="AH686" cm="1">
        <f t="array" ref="AH686">_xlfn.SWITCH(tbl_HR_Data[[#This Row],[BusinessTravel]], "Non-Travel", 0, "Travel_Rarely", 1, "Travel_Frequently", 2)</f>
        <v>1</v>
      </c>
      <c r="AI686" cm="1">
        <f t="array" ref="AI686">_xlfn.SWITCH(tbl_HR_Data[[#This Row],[MaritalStatus]],"Single",0,"Married",1,"Divorced",2)</f>
        <v>2</v>
      </c>
      <c r="AJ686">
        <f>IF(tbl_HR_Data[[#This Row],[OverTime]]=1,1,0)</f>
        <v>0</v>
      </c>
      <c r="AK686">
        <f>IF(tbl_HR_Data[[#This Row],[DistanceFromHome]]&gt;15,1,0)</f>
        <v>0</v>
      </c>
      <c r="AL686">
        <f>IF(tbl_HR_Data[[#This Row],[JobSatisfaction]]&lt;=2,1,0)</f>
        <v>1</v>
      </c>
      <c r="AM686">
        <f>IF(tbl_HR_Data[[#This Row],[MonthlyIncome]]&lt;$AT$2,1,0)</f>
        <v>0</v>
      </c>
      <c r="AN686">
        <f>IF(tbl_HR_Data[[#This Row],[Travel_Code]]=2,1,0)</f>
        <v>0</v>
      </c>
      <c r="AO686">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686" s="15">
        <f>tbl_HR_Data[[#This Row],[Risk_Score_Raw]] / SUM(Logic_Parameters!$B$2:$B$6)</f>
        <v>0.14485673308716898</v>
      </c>
      <c r="AQ686" s="16" t="str" cm="1">
        <f t="array" ref="AQ686">_xlfn.IFS(tbl_HR_Data[[#This Row],[Attrition_Risk_Percentage]] &gt;= 0.75, "Critical",tbl_HR_Data[ [#This Row],[Attrition_Risk_Percentage] ]&gt;= 0.5, "High",tbl_HR_Data[[#This Row],[Attrition_Risk_Percentage]] &gt;= 0.25, "Medium",TRUE, "Low")</f>
        <v>Low</v>
      </c>
      <c r="AR686" s="16" cm="1">
        <f t="array" ref="AR686">IFERROR(_xlfn.IFS(tbl_HR_Data[[#This Row],[Risk_Category]]="Critical",tbl_HR_Data[[#This Row],[MonthlyIncome]]*1.5,tbl_HR_Data[[#This Row],[Risk_Category]]="High",tbl_HR_Data[[#This Row],[MonthlyIncome]]*1.5),0)</f>
        <v>0</v>
      </c>
    </row>
    <row r="687" spans="1:44" x14ac:dyDescent="0.35">
      <c r="A687" t="s">
        <v>1507</v>
      </c>
      <c r="B687">
        <v>26</v>
      </c>
      <c r="C687" t="s">
        <v>37</v>
      </c>
      <c r="D687">
        <v>1283</v>
      </c>
      <c r="E687" t="s">
        <v>32</v>
      </c>
      <c r="F687">
        <v>1</v>
      </c>
      <c r="G687">
        <v>3</v>
      </c>
      <c r="H687" t="s">
        <v>44</v>
      </c>
      <c r="I687">
        <v>3</v>
      </c>
      <c r="J687" t="s">
        <v>39</v>
      </c>
      <c r="K687">
        <v>52</v>
      </c>
      <c r="L687">
        <v>2</v>
      </c>
      <c r="M687">
        <v>2</v>
      </c>
      <c r="N687" t="s">
        <v>35</v>
      </c>
      <c r="O687">
        <v>1</v>
      </c>
      <c r="P687" t="s">
        <v>36</v>
      </c>
      <c r="Q687">
        <v>4294</v>
      </c>
      <c r="R687">
        <v>11148</v>
      </c>
      <c r="S687">
        <v>1</v>
      </c>
      <c r="T687">
        <v>0</v>
      </c>
      <c r="U687" s="17">
        <v>0.12</v>
      </c>
      <c r="V687">
        <v>3</v>
      </c>
      <c r="W687">
        <v>2</v>
      </c>
      <c r="X687">
        <v>0</v>
      </c>
      <c r="Y687">
        <v>7</v>
      </c>
      <c r="Z687">
        <v>2</v>
      </c>
      <c r="AA687">
        <v>3</v>
      </c>
      <c r="AB687">
        <v>7</v>
      </c>
      <c r="AC687">
        <v>7</v>
      </c>
      <c r="AD687">
        <v>0</v>
      </c>
      <c r="AE687">
        <v>7</v>
      </c>
      <c r="AF687">
        <v>0</v>
      </c>
      <c r="AG687">
        <f>IF(tbl_HR_Data[[#This Row],[Gender]]="Male",1,0)</f>
        <v>1</v>
      </c>
      <c r="AH687" cm="1">
        <f t="array" ref="AH687">_xlfn.SWITCH(tbl_HR_Data[[#This Row],[BusinessTravel]], "Non-Travel", 0, "Travel_Rarely", 1, "Travel_Frequently", 2)</f>
        <v>2</v>
      </c>
      <c r="AI687" cm="1">
        <f t="array" ref="AI687">_xlfn.SWITCH(tbl_HR_Data[[#This Row],[MaritalStatus]],"Single",0,"Married",1,"Divorced",2)</f>
        <v>0</v>
      </c>
      <c r="AJ687">
        <f>IF(tbl_HR_Data[[#This Row],[OverTime]]=1,1,0)</f>
        <v>0</v>
      </c>
      <c r="AK687">
        <f>IF(tbl_HR_Data[[#This Row],[DistanceFromHome]]&gt;15,1,0)</f>
        <v>0</v>
      </c>
      <c r="AL687">
        <f>IF(tbl_HR_Data[[#This Row],[JobSatisfaction]]&lt;=2,1,0)</f>
        <v>1</v>
      </c>
      <c r="AM687">
        <f>IF(tbl_HR_Data[[#This Row],[MonthlyIncome]]&lt;$AT$2,1,0)</f>
        <v>1</v>
      </c>
      <c r="AN687">
        <f>IF(tbl_HR_Data[[#This Row],[Travel_Code]]=2,1,0)</f>
        <v>1</v>
      </c>
      <c r="AO687">
        <f>(tbl_HR_Data[[#This Row],[Flag_OT]] * Logic_Parameters!$B$2) +
 (tbl_HR_Data[[#This Row],[Flag_Travel]] * Logic_Parameters!$B$3) +
 (tbl_HR_Data[[#This Row],[Flag_Satisfaction]] * Logic_Parameters!$B$4) +
 (tbl_HR_Data[[#This Row],[Flag_Distance]]* Logic_Parameters!$B$5) +
 (tbl_HR_Data[[#This Row],[Flag_Income]] * Logic_Parameters!$B$6)</f>
        <v>15.859352047889136</v>
      </c>
      <c r="AP687" s="15">
        <f>tbl_HR_Data[[#This Row],[Risk_Score_Raw]] / SUM(Logic_Parameters!$B$2:$B$6)</f>
        <v>0.54639453549708916</v>
      </c>
      <c r="AQ687" s="16" t="str" cm="1">
        <f t="array" ref="AQ687">_xlfn.IFS(tbl_HR_Data[[#This Row],[Attrition_Risk_Percentage]] &gt;= 0.75, "Critical",tbl_HR_Data[ [#This Row],[Attrition_Risk_Percentage] ]&gt;= 0.5, "High",tbl_HR_Data[[#This Row],[Attrition_Risk_Percentage]] &gt;= 0.25, "Medium",TRUE, "Low")</f>
        <v>High</v>
      </c>
      <c r="AR687" s="16" cm="1">
        <f t="array" ref="AR687">IFERROR(_xlfn.IFS(tbl_HR_Data[[#This Row],[Risk_Category]]="Critical",tbl_HR_Data[[#This Row],[MonthlyIncome]]*1.5,tbl_HR_Data[[#This Row],[Risk_Category]]="High",tbl_HR_Data[[#This Row],[MonthlyIncome]]*1.5),0)</f>
        <v>6441</v>
      </c>
    </row>
    <row r="688" spans="1:44" x14ac:dyDescent="0.35">
      <c r="A688" t="s">
        <v>354</v>
      </c>
      <c r="B688">
        <v>41</v>
      </c>
      <c r="C688" t="s">
        <v>31</v>
      </c>
      <c r="D688">
        <v>263</v>
      </c>
      <c r="E688" t="s">
        <v>38</v>
      </c>
      <c r="F688">
        <v>6</v>
      </c>
      <c r="G688">
        <v>3</v>
      </c>
      <c r="H688" t="s">
        <v>44</v>
      </c>
      <c r="I688">
        <v>4</v>
      </c>
      <c r="J688" t="s">
        <v>39</v>
      </c>
      <c r="K688">
        <v>59</v>
      </c>
      <c r="L688">
        <v>3</v>
      </c>
      <c r="M688">
        <v>1</v>
      </c>
      <c r="N688" t="s">
        <v>43</v>
      </c>
      <c r="O688">
        <v>1</v>
      </c>
      <c r="P688" t="s">
        <v>36</v>
      </c>
      <c r="Q688">
        <v>4721</v>
      </c>
      <c r="R688">
        <v>3119</v>
      </c>
      <c r="S688">
        <v>2</v>
      </c>
      <c r="T688">
        <v>1</v>
      </c>
      <c r="U688" s="17">
        <v>0.13</v>
      </c>
      <c r="V688">
        <v>3</v>
      </c>
      <c r="W688">
        <v>3</v>
      </c>
      <c r="X688">
        <v>0</v>
      </c>
      <c r="Y688">
        <v>20</v>
      </c>
      <c r="Z688">
        <v>3</v>
      </c>
      <c r="AA688">
        <v>3</v>
      </c>
      <c r="AB688">
        <v>18</v>
      </c>
      <c r="AC688">
        <v>13</v>
      </c>
      <c r="AD688">
        <v>2</v>
      </c>
      <c r="AE688">
        <v>17</v>
      </c>
      <c r="AF688">
        <v>0</v>
      </c>
      <c r="AG688">
        <f>IF(tbl_HR_Data[[#This Row],[Gender]]="Male",1,0)</f>
        <v>1</v>
      </c>
      <c r="AH688" cm="1">
        <f t="array" ref="AH688">_xlfn.SWITCH(tbl_HR_Data[[#This Row],[BusinessTravel]], "Non-Travel", 0, "Travel_Rarely", 1, "Travel_Frequently", 2)</f>
        <v>1</v>
      </c>
      <c r="AI688" cm="1">
        <f t="array" ref="AI688">_xlfn.SWITCH(tbl_HR_Data[[#This Row],[MaritalStatus]],"Single",0,"Married",1,"Divorced",2)</f>
        <v>0</v>
      </c>
      <c r="AJ688">
        <f>IF(tbl_HR_Data[[#This Row],[OverTime]]=1,1,0)</f>
        <v>1</v>
      </c>
      <c r="AK688">
        <f>IF(tbl_HR_Data[[#This Row],[DistanceFromHome]]&gt;15,1,0)</f>
        <v>0</v>
      </c>
      <c r="AL688">
        <f>IF(tbl_HR_Data[[#This Row],[JobSatisfaction]]&lt;=2,1,0)</f>
        <v>1</v>
      </c>
      <c r="AM688">
        <f>IF(tbl_HR_Data[[#This Row],[MonthlyIncome]]&lt;$AT$2,1,0)</f>
        <v>1</v>
      </c>
      <c r="AN688">
        <f>IF(tbl_HR_Data[[#This Row],[Travel_Code]]=2,1,0)</f>
        <v>0</v>
      </c>
      <c r="AO688">
        <f>(tbl_HR_Data[[#This Row],[Flag_OT]] * Logic_Parameters!$B$2) +
 (tbl_HR_Data[[#This Row],[Flag_Travel]] * Logic_Parameters!$B$3) +
 (tbl_HR_Data[[#This Row],[Flag_Satisfaction]] * Logic_Parameters!$B$4) +
 (tbl_HR_Data[[#This Row],[Flag_Distance]]* Logic_Parameters!$B$5) +
 (tbl_HR_Data[[#This Row],[Flag_Income]] * Logic_Parameters!$B$6)</f>
        <v>20.698962067398959</v>
      </c>
      <c r="AP688" s="15">
        <f>tbl_HR_Data[[#This Row],[Risk_Score_Raw]] / SUM(Logic_Parameters!$B$2:$B$6)</f>
        <v>0.71313126349280109</v>
      </c>
      <c r="AQ688" s="16" t="str" cm="1">
        <f t="array" ref="AQ688">_xlfn.IFS(tbl_HR_Data[[#This Row],[Attrition_Risk_Percentage]] &gt;= 0.75, "Critical",tbl_HR_Data[ [#This Row],[Attrition_Risk_Percentage] ]&gt;= 0.5, "High",tbl_HR_Data[[#This Row],[Attrition_Risk_Percentage]] &gt;= 0.25, "Medium",TRUE, "Low")</f>
        <v>High</v>
      </c>
      <c r="AR688" s="16" cm="1">
        <f t="array" ref="AR688">IFERROR(_xlfn.IFS(tbl_HR_Data[[#This Row],[Risk_Category]]="Critical",tbl_HR_Data[[#This Row],[MonthlyIncome]]*1.5,tbl_HR_Data[[#This Row],[Risk_Category]]="High",tbl_HR_Data[[#This Row],[MonthlyIncome]]*1.5),0)</f>
        <v>7081.5</v>
      </c>
    </row>
    <row r="689" spans="1:44" x14ac:dyDescent="0.35">
      <c r="A689" t="s">
        <v>1435</v>
      </c>
      <c r="B689">
        <v>36</v>
      </c>
      <c r="C689" t="s">
        <v>31</v>
      </c>
      <c r="D689">
        <v>938</v>
      </c>
      <c r="E689" t="s">
        <v>38</v>
      </c>
      <c r="F689">
        <v>2</v>
      </c>
      <c r="G689">
        <v>4</v>
      </c>
      <c r="H689" t="s">
        <v>44</v>
      </c>
      <c r="I689">
        <v>3</v>
      </c>
      <c r="J689" t="s">
        <v>39</v>
      </c>
      <c r="K689">
        <v>79</v>
      </c>
      <c r="L689">
        <v>3</v>
      </c>
      <c r="M689">
        <v>1</v>
      </c>
      <c r="N689" t="s">
        <v>43</v>
      </c>
      <c r="O689">
        <v>3</v>
      </c>
      <c r="P689" t="s">
        <v>36</v>
      </c>
      <c r="Q689">
        <v>2519</v>
      </c>
      <c r="R689">
        <v>12287</v>
      </c>
      <c r="S689">
        <v>4</v>
      </c>
      <c r="T689">
        <v>0</v>
      </c>
      <c r="U689" s="17">
        <v>0.21</v>
      </c>
      <c r="V689">
        <v>4</v>
      </c>
      <c r="W689">
        <v>3</v>
      </c>
      <c r="X689">
        <v>0</v>
      </c>
      <c r="Y689">
        <v>16</v>
      </c>
      <c r="Z689">
        <v>6</v>
      </c>
      <c r="AA689">
        <v>3</v>
      </c>
      <c r="AB689">
        <v>11</v>
      </c>
      <c r="AC689">
        <v>8</v>
      </c>
      <c r="AD689">
        <v>3</v>
      </c>
      <c r="AE689">
        <v>9</v>
      </c>
      <c r="AF689">
        <v>0</v>
      </c>
      <c r="AG689">
        <f>IF(tbl_HR_Data[[#This Row],[Gender]]="Male",1,0)</f>
        <v>1</v>
      </c>
      <c r="AH689" cm="1">
        <f t="array" ref="AH689">_xlfn.SWITCH(tbl_HR_Data[[#This Row],[BusinessTravel]], "Non-Travel", 0, "Travel_Rarely", 1, "Travel_Frequently", 2)</f>
        <v>1</v>
      </c>
      <c r="AI689" cm="1">
        <f t="array" ref="AI689">_xlfn.SWITCH(tbl_HR_Data[[#This Row],[MaritalStatus]],"Single",0,"Married",1,"Divorced",2)</f>
        <v>0</v>
      </c>
      <c r="AJ689">
        <f>IF(tbl_HR_Data[[#This Row],[OverTime]]=1,1,0)</f>
        <v>0</v>
      </c>
      <c r="AK689">
        <f>IF(tbl_HR_Data[[#This Row],[DistanceFromHome]]&gt;15,1,0)</f>
        <v>0</v>
      </c>
      <c r="AL689">
        <f>IF(tbl_HR_Data[[#This Row],[JobSatisfaction]]&lt;=2,1,0)</f>
        <v>0</v>
      </c>
      <c r="AM689">
        <f>IF(tbl_HR_Data[[#This Row],[MonthlyIncome]]&lt;$AT$2,1,0)</f>
        <v>1</v>
      </c>
      <c r="AN689">
        <f>IF(tbl_HR_Data[[#This Row],[Travel_Code]]=2,1,0)</f>
        <v>0</v>
      </c>
      <c r="AO689">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689" s="15">
        <f>tbl_HR_Data[[#This Row],[Risk_Score_Raw]] / SUM(Logic_Parameters!$B$2:$B$6)</f>
        <v>0.22374939857982484</v>
      </c>
      <c r="AQ689" s="16" t="str" cm="1">
        <f t="array" ref="AQ689">_xlfn.IFS(tbl_HR_Data[[#This Row],[Attrition_Risk_Percentage]] &gt;= 0.75, "Critical",tbl_HR_Data[ [#This Row],[Attrition_Risk_Percentage] ]&gt;= 0.5, "High",tbl_HR_Data[[#This Row],[Attrition_Risk_Percentage]] &gt;= 0.25, "Medium",TRUE, "Low")</f>
        <v>Low</v>
      </c>
      <c r="AR689" s="16" cm="1">
        <f t="array" ref="AR689">IFERROR(_xlfn.IFS(tbl_HR_Data[[#This Row],[Risk_Category]]="Critical",tbl_HR_Data[[#This Row],[MonthlyIncome]]*1.5,tbl_HR_Data[[#This Row],[Risk_Category]]="High",tbl_HR_Data[[#This Row],[MonthlyIncome]]*1.5),0)</f>
        <v>0</v>
      </c>
    </row>
    <row r="690" spans="1:44" x14ac:dyDescent="0.35">
      <c r="A690" t="s">
        <v>556</v>
      </c>
      <c r="B690">
        <v>19</v>
      </c>
      <c r="C690" t="s">
        <v>31</v>
      </c>
      <c r="D690">
        <v>419</v>
      </c>
      <c r="E690" t="s">
        <v>32</v>
      </c>
      <c r="F690">
        <v>21</v>
      </c>
      <c r="G690">
        <v>3</v>
      </c>
      <c r="H690" t="s">
        <v>42</v>
      </c>
      <c r="I690">
        <v>4</v>
      </c>
      <c r="J690" t="s">
        <v>39</v>
      </c>
      <c r="K690">
        <v>37</v>
      </c>
      <c r="L690">
        <v>2</v>
      </c>
      <c r="M690">
        <v>1</v>
      </c>
      <c r="N690" t="s">
        <v>49</v>
      </c>
      <c r="O690">
        <v>2</v>
      </c>
      <c r="P690" t="s">
        <v>36</v>
      </c>
      <c r="Q690">
        <v>2121</v>
      </c>
      <c r="R690">
        <v>9947</v>
      </c>
      <c r="S690">
        <v>1</v>
      </c>
      <c r="T690">
        <v>1</v>
      </c>
      <c r="U690" s="17">
        <v>0.13</v>
      </c>
      <c r="V690">
        <v>3</v>
      </c>
      <c r="W690">
        <v>2</v>
      </c>
      <c r="X690">
        <v>0</v>
      </c>
      <c r="Y690">
        <v>1</v>
      </c>
      <c r="Z690">
        <v>3</v>
      </c>
      <c r="AA690">
        <v>4</v>
      </c>
      <c r="AB690">
        <v>1</v>
      </c>
      <c r="AC690">
        <v>0</v>
      </c>
      <c r="AD690">
        <v>0</v>
      </c>
      <c r="AE690">
        <v>0</v>
      </c>
      <c r="AF690">
        <v>1</v>
      </c>
      <c r="AG690">
        <f>IF(tbl_HR_Data[[#This Row],[Gender]]="Male",1,0)</f>
        <v>1</v>
      </c>
      <c r="AH690" cm="1">
        <f t="array" ref="AH690">_xlfn.SWITCH(tbl_HR_Data[[#This Row],[BusinessTravel]], "Non-Travel", 0, "Travel_Rarely", 1, "Travel_Frequently", 2)</f>
        <v>1</v>
      </c>
      <c r="AI690" cm="1">
        <f t="array" ref="AI690">_xlfn.SWITCH(tbl_HR_Data[[#This Row],[MaritalStatus]],"Single",0,"Married",1,"Divorced",2)</f>
        <v>0</v>
      </c>
      <c r="AJ690">
        <f>IF(tbl_HR_Data[[#This Row],[OverTime]]=1,1,0)</f>
        <v>1</v>
      </c>
      <c r="AK690">
        <f>IF(tbl_HR_Data[[#This Row],[DistanceFromHome]]&gt;15,1,0)</f>
        <v>1</v>
      </c>
      <c r="AL690">
        <f>IF(tbl_HR_Data[[#This Row],[JobSatisfaction]]&lt;=2,1,0)</f>
        <v>1</v>
      </c>
      <c r="AM690">
        <f>IF(tbl_HR_Data[[#This Row],[MonthlyIncome]]&lt;$AT$2,1,0)</f>
        <v>1</v>
      </c>
      <c r="AN690">
        <f>IF(tbl_HR_Data[[#This Row],[Travel_Code]]=2,1,0)</f>
        <v>0</v>
      </c>
      <c r="AO690">
        <f>(tbl_HR_Data[[#This Row],[Flag_OT]] * Logic_Parameters!$B$2) +
 (tbl_HR_Data[[#This Row],[Flag_Travel]] * Logic_Parameters!$B$3) +
 (tbl_HR_Data[[#This Row],[Flag_Satisfaction]] * Logic_Parameters!$B$4) +
 (tbl_HR_Data[[#This Row],[Flag_Distance]]* Logic_Parameters!$B$5) +
 (tbl_HR_Data[[#This Row],[Flag_Income]] * Logic_Parameters!$B$6)</f>
        <v>23.865068763274337</v>
      </c>
      <c r="AP690" s="15">
        <f>tbl_HR_Data[[#This Row],[Risk_Score_Raw]] / SUM(Logic_Parameters!$B$2:$B$6)</f>
        <v>0.82221159616990469</v>
      </c>
      <c r="AQ690" s="16" t="str" cm="1">
        <f t="array" ref="AQ690">_xlfn.IFS(tbl_HR_Data[[#This Row],[Attrition_Risk_Percentage]] &gt;= 0.75, "Critical",tbl_HR_Data[ [#This Row],[Attrition_Risk_Percentage] ]&gt;= 0.5, "High",tbl_HR_Data[[#This Row],[Attrition_Risk_Percentage]] &gt;= 0.25, "Medium",TRUE, "Low")</f>
        <v>Critical</v>
      </c>
      <c r="AR690" s="16" cm="1">
        <f t="array" ref="AR690">IFERROR(_xlfn.IFS(tbl_HR_Data[[#This Row],[Risk_Category]]="Critical",tbl_HR_Data[[#This Row],[MonthlyIncome]]*1.5,tbl_HR_Data[[#This Row],[Risk_Category]]="High",tbl_HR_Data[[#This Row],[MonthlyIncome]]*1.5),0)</f>
        <v>3181.5</v>
      </c>
    </row>
    <row r="691" spans="1:44" x14ac:dyDescent="0.35">
      <c r="A691" t="s">
        <v>713</v>
      </c>
      <c r="B691">
        <v>20</v>
      </c>
      <c r="C691" t="s">
        <v>31</v>
      </c>
      <c r="D691">
        <v>129</v>
      </c>
      <c r="E691" t="s">
        <v>38</v>
      </c>
      <c r="F691">
        <v>4</v>
      </c>
      <c r="G691">
        <v>3</v>
      </c>
      <c r="H691" t="s">
        <v>52</v>
      </c>
      <c r="I691">
        <v>1</v>
      </c>
      <c r="J691" t="s">
        <v>39</v>
      </c>
      <c r="K691">
        <v>84</v>
      </c>
      <c r="L691">
        <v>3</v>
      </c>
      <c r="M691">
        <v>1</v>
      </c>
      <c r="N691" t="s">
        <v>43</v>
      </c>
      <c r="O691">
        <v>1</v>
      </c>
      <c r="P691" t="s">
        <v>36</v>
      </c>
      <c r="Q691">
        <v>2973</v>
      </c>
      <c r="R691">
        <v>13008</v>
      </c>
      <c r="S691">
        <v>1</v>
      </c>
      <c r="T691">
        <v>0</v>
      </c>
      <c r="U691" s="17">
        <v>0.19</v>
      </c>
      <c r="V691">
        <v>3</v>
      </c>
      <c r="W691">
        <v>2</v>
      </c>
      <c r="X691">
        <v>0</v>
      </c>
      <c r="Y691">
        <v>1</v>
      </c>
      <c r="Z691">
        <v>2</v>
      </c>
      <c r="AA691">
        <v>3</v>
      </c>
      <c r="AB691">
        <v>1</v>
      </c>
      <c r="AC691">
        <v>0</v>
      </c>
      <c r="AD691">
        <v>0</v>
      </c>
      <c r="AE691">
        <v>0</v>
      </c>
      <c r="AF691">
        <v>1</v>
      </c>
      <c r="AG691">
        <f>IF(tbl_HR_Data[[#This Row],[Gender]]="Male",1,0)</f>
        <v>1</v>
      </c>
      <c r="AH691" cm="1">
        <f t="array" ref="AH691">_xlfn.SWITCH(tbl_HR_Data[[#This Row],[BusinessTravel]], "Non-Travel", 0, "Travel_Rarely", 1, "Travel_Frequently", 2)</f>
        <v>1</v>
      </c>
      <c r="AI691" cm="1">
        <f t="array" ref="AI691">_xlfn.SWITCH(tbl_HR_Data[[#This Row],[MaritalStatus]],"Single",0,"Married",1,"Divorced",2)</f>
        <v>0</v>
      </c>
      <c r="AJ691">
        <f>IF(tbl_HR_Data[[#This Row],[OverTime]]=1,1,0)</f>
        <v>0</v>
      </c>
      <c r="AK691">
        <f>IF(tbl_HR_Data[[#This Row],[DistanceFromHome]]&gt;15,1,0)</f>
        <v>0</v>
      </c>
      <c r="AL691">
        <f>IF(tbl_HR_Data[[#This Row],[JobSatisfaction]]&lt;=2,1,0)</f>
        <v>1</v>
      </c>
      <c r="AM691">
        <f>IF(tbl_HR_Data[[#This Row],[MonthlyIncome]]&lt;$AT$2,1,0)</f>
        <v>1</v>
      </c>
      <c r="AN691">
        <f>IF(tbl_HR_Data[[#This Row],[Travel_Code]]=2,1,0)</f>
        <v>0</v>
      </c>
      <c r="AO691">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691" s="15">
        <f>tbl_HR_Data[[#This Row],[Risk_Score_Raw]] / SUM(Logic_Parameters!$B$2:$B$6)</f>
        <v>0.3686061316669938</v>
      </c>
      <c r="AQ691" s="16" t="str" cm="1">
        <f t="array" ref="AQ691">_xlfn.IFS(tbl_HR_Data[[#This Row],[Attrition_Risk_Percentage]] &gt;= 0.75, "Critical",tbl_HR_Data[ [#This Row],[Attrition_Risk_Percentage] ]&gt;= 0.5, "High",tbl_HR_Data[[#This Row],[Attrition_Risk_Percentage]] &gt;= 0.25, "Medium",TRUE, "Low")</f>
        <v>Medium</v>
      </c>
      <c r="AR691" s="16" cm="1">
        <f t="array" ref="AR691">IFERROR(_xlfn.IFS(tbl_HR_Data[[#This Row],[Risk_Category]]="Critical",tbl_HR_Data[[#This Row],[MonthlyIncome]]*1.5,tbl_HR_Data[[#This Row],[Risk_Category]]="High",tbl_HR_Data[[#This Row],[MonthlyIncome]]*1.5),0)</f>
        <v>0</v>
      </c>
    </row>
    <row r="692" spans="1:44" x14ac:dyDescent="0.35">
      <c r="A692" t="s">
        <v>1144</v>
      </c>
      <c r="B692">
        <v>31</v>
      </c>
      <c r="C692" t="s">
        <v>31</v>
      </c>
      <c r="D692">
        <v>616</v>
      </c>
      <c r="E692" t="s">
        <v>38</v>
      </c>
      <c r="F692">
        <v>12</v>
      </c>
      <c r="G692">
        <v>3</v>
      </c>
      <c r="H692" t="s">
        <v>44</v>
      </c>
      <c r="I692">
        <v>4</v>
      </c>
      <c r="J692" t="s">
        <v>34</v>
      </c>
      <c r="K692">
        <v>41</v>
      </c>
      <c r="L692">
        <v>3</v>
      </c>
      <c r="M692">
        <v>2</v>
      </c>
      <c r="N692" t="s">
        <v>47</v>
      </c>
      <c r="O692">
        <v>4</v>
      </c>
      <c r="P692" t="s">
        <v>41</v>
      </c>
      <c r="Q692">
        <v>5855</v>
      </c>
      <c r="R692">
        <v>17369</v>
      </c>
      <c r="S692">
        <v>0</v>
      </c>
      <c r="T692">
        <v>1</v>
      </c>
      <c r="U692" s="17">
        <v>0.11</v>
      </c>
      <c r="V692">
        <v>3</v>
      </c>
      <c r="W692">
        <v>3</v>
      </c>
      <c r="X692">
        <v>2</v>
      </c>
      <c r="Y692">
        <v>10</v>
      </c>
      <c r="Z692">
        <v>2</v>
      </c>
      <c r="AA692">
        <v>1</v>
      </c>
      <c r="AB692">
        <v>9</v>
      </c>
      <c r="AC692">
        <v>7</v>
      </c>
      <c r="AD692">
        <v>8</v>
      </c>
      <c r="AE692">
        <v>5</v>
      </c>
      <c r="AF692">
        <v>0</v>
      </c>
      <c r="AG692">
        <f>IF(tbl_HR_Data[[#This Row],[Gender]]="Male",1,0)</f>
        <v>0</v>
      </c>
      <c r="AH692" cm="1">
        <f t="array" ref="AH692">_xlfn.SWITCH(tbl_HR_Data[[#This Row],[BusinessTravel]], "Non-Travel", 0, "Travel_Rarely", 1, "Travel_Frequently", 2)</f>
        <v>1</v>
      </c>
      <c r="AI692" cm="1">
        <f t="array" ref="AI692">_xlfn.SWITCH(tbl_HR_Data[[#This Row],[MaritalStatus]],"Single",0,"Married",1,"Divorced",2)</f>
        <v>1</v>
      </c>
      <c r="AJ692">
        <f>IF(tbl_HR_Data[[#This Row],[OverTime]]=1,1,0)</f>
        <v>1</v>
      </c>
      <c r="AK692">
        <f>IF(tbl_HR_Data[[#This Row],[DistanceFromHome]]&gt;15,1,0)</f>
        <v>0</v>
      </c>
      <c r="AL692">
        <f>IF(tbl_HR_Data[[#This Row],[JobSatisfaction]]&lt;=2,1,0)</f>
        <v>0</v>
      </c>
      <c r="AM692">
        <f>IF(tbl_HR_Data[[#This Row],[MonthlyIncome]]&lt;$AT$2,1,0)</f>
        <v>0</v>
      </c>
      <c r="AN692">
        <f>IF(tbl_HR_Data[[#This Row],[Travel_Code]]=2,1,0)</f>
        <v>0</v>
      </c>
      <c r="AO692">
        <f>(tbl_HR_Data[[#This Row],[Flag_OT]] * Logic_Parameters!$B$2) +
 (tbl_HR_Data[[#This Row],[Flag_Travel]] * Logic_Parameters!$B$3) +
 (tbl_HR_Data[[#This Row],[Flag_Satisfaction]] * Logic_Parameters!$B$4) +
 (tbl_HR_Data[[#This Row],[Flag_Distance]]* Logic_Parameters!$B$5) +
 (tbl_HR_Data[[#This Row],[Flag_Income]] * Logic_Parameters!$B$6)</f>
        <v>10</v>
      </c>
      <c r="AP692" s="15">
        <f>tbl_HR_Data[[#This Row],[Risk_Score_Raw]] / SUM(Logic_Parameters!$B$2:$B$6)</f>
        <v>0.3445251318258073</v>
      </c>
      <c r="AQ692" s="16" t="str" cm="1">
        <f t="array" ref="AQ692">_xlfn.IFS(tbl_HR_Data[[#This Row],[Attrition_Risk_Percentage]] &gt;= 0.75, "Critical",tbl_HR_Data[ [#This Row],[Attrition_Risk_Percentage] ]&gt;= 0.5, "High",tbl_HR_Data[[#This Row],[Attrition_Risk_Percentage]] &gt;= 0.25, "Medium",TRUE, "Low")</f>
        <v>Medium</v>
      </c>
      <c r="AR692" s="16" cm="1">
        <f t="array" ref="AR692">IFERROR(_xlfn.IFS(tbl_HR_Data[[#This Row],[Risk_Category]]="Critical",tbl_HR_Data[[#This Row],[MonthlyIncome]]*1.5,tbl_HR_Data[[#This Row],[Risk_Category]]="High",tbl_HR_Data[[#This Row],[MonthlyIncome]]*1.5),0)</f>
        <v>0</v>
      </c>
    </row>
    <row r="693" spans="1:44" x14ac:dyDescent="0.35">
      <c r="A693" t="s">
        <v>1110</v>
      </c>
      <c r="B693">
        <v>40</v>
      </c>
      <c r="C693" t="s">
        <v>37</v>
      </c>
      <c r="D693">
        <v>1469</v>
      </c>
      <c r="E693" t="s">
        <v>38</v>
      </c>
      <c r="F693">
        <v>9</v>
      </c>
      <c r="G693">
        <v>4</v>
      </c>
      <c r="H693" t="s">
        <v>44</v>
      </c>
      <c r="I693">
        <v>4</v>
      </c>
      <c r="J693" t="s">
        <v>39</v>
      </c>
      <c r="K693">
        <v>35</v>
      </c>
      <c r="L693">
        <v>3</v>
      </c>
      <c r="M693">
        <v>1</v>
      </c>
      <c r="N693" t="s">
        <v>40</v>
      </c>
      <c r="O693">
        <v>2</v>
      </c>
      <c r="P693" t="s">
        <v>45</v>
      </c>
      <c r="Q693">
        <v>3617</v>
      </c>
      <c r="R693">
        <v>25063</v>
      </c>
      <c r="S693">
        <v>8</v>
      </c>
      <c r="T693">
        <v>1</v>
      </c>
      <c r="U693" s="17">
        <v>0.14000000000000001</v>
      </c>
      <c r="V693">
        <v>3</v>
      </c>
      <c r="W693">
        <v>4</v>
      </c>
      <c r="X693">
        <v>1</v>
      </c>
      <c r="Y693">
        <v>3</v>
      </c>
      <c r="Z693">
        <v>2</v>
      </c>
      <c r="AA693">
        <v>3</v>
      </c>
      <c r="AB693">
        <v>1</v>
      </c>
      <c r="AC693">
        <v>1</v>
      </c>
      <c r="AD693">
        <v>0</v>
      </c>
      <c r="AE693">
        <v>0</v>
      </c>
      <c r="AF693">
        <v>0</v>
      </c>
      <c r="AG693">
        <f>IF(tbl_HR_Data[[#This Row],[Gender]]="Male",1,0)</f>
        <v>1</v>
      </c>
      <c r="AH693" cm="1">
        <f t="array" ref="AH693">_xlfn.SWITCH(tbl_HR_Data[[#This Row],[BusinessTravel]], "Non-Travel", 0, "Travel_Rarely", 1, "Travel_Frequently", 2)</f>
        <v>2</v>
      </c>
      <c r="AI693" cm="1">
        <f t="array" ref="AI693">_xlfn.SWITCH(tbl_HR_Data[[#This Row],[MaritalStatus]],"Single",0,"Married",1,"Divorced",2)</f>
        <v>2</v>
      </c>
      <c r="AJ693">
        <f>IF(tbl_HR_Data[[#This Row],[OverTime]]=1,1,0)</f>
        <v>1</v>
      </c>
      <c r="AK693">
        <f>IF(tbl_HR_Data[[#This Row],[DistanceFromHome]]&gt;15,1,0)</f>
        <v>0</v>
      </c>
      <c r="AL693">
        <f>IF(tbl_HR_Data[[#This Row],[JobSatisfaction]]&lt;=2,1,0)</f>
        <v>1</v>
      </c>
      <c r="AM693">
        <f>IF(tbl_HR_Data[[#This Row],[MonthlyIncome]]&lt;$AT$2,1,0)</f>
        <v>1</v>
      </c>
      <c r="AN693">
        <f>IF(tbl_HR_Data[[#This Row],[Travel_Code]]=2,1,0)</f>
        <v>1</v>
      </c>
      <c r="AO693">
        <f>(tbl_HR_Data[[#This Row],[Flag_OT]] * Logic_Parameters!$B$2) +
 (tbl_HR_Data[[#This Row],[Flag_Travel]] * Logic_Parameters!$B$3) +
 (tbl_HR_Data[[#This Row],[Flag_Satisfaction]] * Logic_Parameters!$B$4) +
 (tbl_HR_Data[[#This Row],[Flag_Distance]]* Logic_Parameters!$B$5) +
 (tbl_HR_Data[[#This Row],[Flag_Income]] * Logic_Parameters!$B$6)</f>
        <v>25.859352047889136</v>
      </c>
      <c r="AP693" s="15">
        <f>tbl_HR_Data[[#This Row],[Risk_Score_Raw]] / SUM(Logic_Parameters!$B$2:$B$6)</f>
        <v>0.8909196673228964</v>
      </c>
      <c r="AQ693" s="16" t="str" cm="1">
        <f t="array" ref="AQ693">_xlfn.IFS(tbl_HR_Data[[#This Row],[Attrition_Risk_Percentage]] &gt;= 0.75, "Critical",tbl_HR_Data[ [#This Row],[Attrition_Risk_Percentage] ]&gt;= 0.5, "High",tbl_HR_Data[[#This Row],[Attrition_Risk_Percentage]] &gt;= 0.25, "Medium",TRUE, "Low")</f>
        <v>Critical</v>
      </c>
      <c r="AR693" s="16" cm="1">
        <f t="array" ref="AR693">IFERROR(_xlfn.IFS(tbl_HR_Data[[#This Row],[Risk_Category]]="Critical",tbl_HR_Data[[#This Row],[MonthlyIncome]]*1.5,tbl_HR_Data[[#This Row],[Risk_Category]]="High",tbl_HR_Data[[#This Row],[MonthlyIncome]]*1.5),0)</f>
        <v>5425.5</v>
      </c>
    </row>
    <row r="694" spans="1:44" x14ac:dyDescent="0.35">
      <c r="A694" t="s">
        <v>931</v>
      </c>
      <c r="B694">
        <v>32</v>
      </c>
      <c r="C694" t="s">
        <v>31</v>
      </c>
      <c r="D694">
        <v>498</v>
      </c>
      <c r="E694" t="s">
        <v>38</v>
      </c>
      <c r="F694">
        <v>3</v>
      </c>
      <c r="G694">
        <v>4</v>
      </c>
      <c r="H694" t="s">
        <v>44</v>
      </c>
      <c r="I694">
        <v>3</v>
      </c>
      <c r="J694" t="s">
        <v>34</v>
      </c>
      <c r="K694">
        <v>93</v>
      </c>
      <c r="L694">
        <v>3</v>
      </c>
      <c r="M694">
        <v>2</v>
      </c>
      <c r="N694" t="s">
        <v>46</v>
      </c>
      <c r="O694">
        <v>1</v>
      </c>
      <c r="P694" t="s">
        <v>41</v>
      </c>
      <c r="Q694">
        <v>6725</v>
      </c>
      <c r="R694">
        <v>13554</v>
      </c>
      <c r="S694">
        <v>1</v>
      </c>
      <c r="T694">
        <v>0</v>
      </c>
      <c r="U694" s="17">
        <v>0.12</v>
      </c>
      <c r="V694">
        <v>3</v>
      </c>
      <c r="W694">
        <v>3</v>
      </c>
      <c r="X694">
        <v>1</v>
      </c>
      <c r="Y694">
        <v>8</v>
      </c>
      <c r="Z694">
        <v>2</v>
      </c>
      <c r="AA694">
        <v>4</v>
      </c>
      <c r="AB694">
        <v>8</v>
      </c>
      <c r="AC694">
        <v>7</v>
      </c>
      <c r="AD694">
        <v>6</v>
      </c>
      <c r="AE694">
        <v>3</v>
      </c>
      <c r="AF694">
        <v>0</v>
      </c>
      <c r="AG694">
        <f>IF(tbl_HR_Data[[#This Row],[Gender]]="Male",1,0)</f>
        <v>0</v>
      </c>
      <c r="AH694" cm="1">
        <f t="array" ref="AH694">_xlfn.SWITCH(tbl_HR_Data[[#This Row],[BusinessTravel]], "Non-Travel", 0, "Travel_Rarely", 1, "Travel_Frequently", 2)</f>
        <v>1</v>
      </c>
      <c r="AI694" cm="1">
        <f t="array" ref="AI694">_xlfn.SWITCH(tbl_HR_Data[[#This Row],[MaritalStatus]],"Single",0,"Married",1,"Divorced",2)</f>
        <v>1</v>
      </c>
      <c r="AJ694">
        <f>IF(tbl_HR_Data[[#This Row],[OverTime]]=1,1,0)</f>
        <v>0</v>
      </c>
      <c r="AK694">
        <f>IF(tbl_HR_Data[[#This Row],[DistanceFromHome]]&gt;15,1,0)</f>
        <v>0</v>
      </c>
      <c r="AL694">
        <f>IF(tbl_HR_Data[[#This Row],[JobSatisfaction]]&lt;=2,1,0)</f>
        <v>1</v>
      </c>
      <c r="AM694">
        <f>IF(tbl_HR_Data[[#This Row],[MonthlyIncome]]&lt;$AT$2,1,0)</f>
        <v>0</v>
      </c>
      <c r="AN694">
        <f>IF(tbl_HR_Data[[#This Row],[Travel_Code]]=2,1,0)</f>
        <v>0</v>
      </c>
      <c r="AO694">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694" s="15">
        <f>tbl_HR_Data[[#This Row],[Risk_Score_Raw]] / SUM(Logic_Parameters!$B$2:$B$6)</f>
        <v>0.14485673308716898</v>
      </c>
      <c r="AQ694" s="16" t="str" cm="1">
        <f t="array" ref="AQ694">_xlfn.IFS(tbl_HR_Data[[#This Row],[Attrition_Risk_Percentage]] &gt;= 0.75, "Critical",tbl_HR_Data[ [#This Row],[Attrition_Risk_Percentage] ]&gt;= 0.5, "High",tbl_HR_Data[[#This Row],[Attrition_Risk_Percentage]] &gt;= 0.25, "Medium",TRUE, "Low")</f>
        <v>Low</v>
      </c>
      <c r="AR694" s="16" cm="1">
        <f t="array" ref="AR694">IFERROR(_xlfn.IFS(tbl_HR_Data[[#This Row],[Risk_Category]]="Critical",tbl_HR_Data[[#This Row],[MonthlyIncome]]*1.5,tbl_HR_Data[[#This Row],[Risk_Category]]="High",tbl_HR_Data[[#This Row],[MonthlyIncome]]*1.5),0)</f>
        <v>0</v>
      </c>
    </row>
    <row r="695" spans="1:44" x14ac:dyDescent="0.35">
      <c r="A695" t="s">
        <v>656</v>
      </c>
      <c r="B695">
        <v>36</v>
      </c>
      <c r="C695" t="s">
        <v>31</v>
      </c>
      <c r="D695">
        <v>530</v>
      </c>
      <c r="E695" t="s">
        <v>32</v>
      </c>
      <c r="F695">
        <v>3</v>
      </c>
      <c r="G695">
        <v>1</v>
      </c>
      <c r="H695" t="s">
        <v>33</v>
      </c>
      <c r="I695">
        <v>3</v>
      </c>
      <c r="J695" t="s">
        <v>39</v>
      </c>
      <c r="K695">
        <v>51</v>
      </c>
      <c r="L695">
        <v>2</v>
      </c>
      <c r="M695">
        <v>3</v>
      </c>
      <c r="N695" t="s">
        <v>35</v>
      </c>
      <c r="O695">
        <v>4</v>
      </c>
      <c r="P695" t="s">
        <v>41</v>
      </c>
      <c r="Q695">
        <v>10325</v>
      </c>
      <c r="R695">
        <v>5518</v>
      </c>
      <c r="S695">
        <v>1</v>
      </c>
      <c r="T695">
        <v>1</v>
      </c>
      <c r="U695" s="17">
        <v>0.11</v>
      </c>
      <c r="V695">
        <v>3</v>
      </c>
      <c r="W695">
        <v>1</v>
      </c>
      <c r="X695">
        <v>1</v>
      </c>
      <c r="Y695">
        <v>16</v>
      </c>
      <c r="Z695">
        <v>6</v>
      </c>
      <c r="AA695">
        <v>3</v>
      </c>
      <c r="AB695">
        <v>16</v>
      </c>
      <c r="AC695">
        <v>7</v>
      </c>
      <c r="AD695">
        <v>3</v>
      </c>
      <c r="AE695">
        <v>7</v>
      </c>
      <c r="AF695">
        <v>1</v>
      </c>
      <c r="AG695">
        <f>IF(tbl_HR_Data[[#This Row],[Gender]]="Male",1,0)</f>
        <v>1</v>
      </c>
      <c r="AH695" cm="1">
        <f t="array" ref="AH695">_xlfn.SWITCH(tbl_HR_Data[[#This Row],[BusinessTravel]], "Non-Travel", 0, "Travel_Rarely", 1, "Travel_Frequently", 2)</f>
        <v>1</v>
      </c>
      <c r="AI695" cm="1">
        <f t="array" ref="AI695">_xlfn.SWITCH(tbl_HR_Data[[#This Row],[MaritalStatus]],"Single",0,"Married",1,"Divorced",2)</f>
        <v>1</v>
      </c>
      <c r="AJ695">
        <f>IF(tbl_HR_Data[[#This Row],[OverTime]]=1,1,0)</f>
        <v>1</v>
      </c>
      <c r="AK695">
        <f>IF(tbl_HR_Data[[#This Row],[DistanceFromHome]]&gt;15,1,0)</f>
        <v>0</v>
      </c>
      <c r="AL695">
        <f>IF(tbl_HR_Data[[#This Row],[JobSatisfaction]]&lt;=2,1,0)</f>
        <v>0</v>
      </c>
      <c r="AM695">
        <f>IF(tbl_HR_Data[[#This Row],[MonthlyIncome]]&lt;$AT$2,1,0)</f>
        <v>0</v>
      </c>
      <c r="AN695">
        <f>IF(tbl_HR_Data[[#This Row],[Travel_Code]]=2,1,0)</f>
        <v>0</v>
      </c>
      <c r="AO695">
        <f>(tbl_HR_Data[[#This Row],[Flag_OT]] * Logic_Parameters!$B$2) +
 (tbl_HR_Data[[#This Row],[Flag_Travel]] * Logic_Parameters!$B$3) +
 (tbl_HR_Data[[#This Row],[Flag_Satisfaction]] * Logic_Parameters!$B$4) +
 (tbl_HR_Data[[#This Row],[Flag_Distance]]* Logic_Parameters!$B$5) +
 (tbl_HR_Data[[#This Row],[Flag_Income]] * Logic_Parameters!$B$6)</f>
        <v>10</v>
      </c>
      <c r="AP695" s="15">
        <f>tbl_HR_Data[[#This Row],[Risk_Score_Raw]] / SUM(Logic_Parameters!$B$2:$B$6)</f>
        <v>0.3445251318258073</v>
      </c>
      <c r="AQ695" s="16" t="str" cm="1">
        <f t="array" ref="AQ695">_xlfn.IFS(tbl_HR_Data[[#This Row],[Attrition_Risk_Percentage]] &gt;= 0.75, "Critical",tbl_HR_Data[ [#This Row],[Attrition_Risk_Percentage] ]&gt;= 0.5, "High",tbl_HR_Data[[#This Row],[Attrition_Risk_Percentage]] &gt;= 0.25, "Medium",TRUE, "Low")</f>
        <v>Medium</v>
      </c>
      <c r="AR695" s="16" cm="1">
        <f t="array" ref="AR695">IFERROR(_xlfn.IFS(tbl_HR_Data[[#This Row],[Risk_Category]]="Critical",tbl_HR_Data[[#This Row],[MonthlyIncome]]*1.5,tbl_HR_Data[[#This Row],[Risk_Category]]="High",tbl_HR_Data[[#This Row],[MonthlyIncome]]*1.5),0)</f>
        <v>0</v>
      </c>
    </row>
    <row r="696" spans="1:44" x14ac:dyDescent="0.35">
      <c r="A696" t="s">
        <v>54</v>
      </c>
      <c r="B696">
        <v>33</v>
      </c>
      <c r="C696" t="s">
        <v>31</v>
      </c>
      <c r="D696">
        <v>1069</v>
      </c>
      <c r="E696" t="s">
        <v>38</v>
      </c>
      <c r="F696">
        <v>1</v>
      </c>
      <c r="G696">
        <v>3</v>
      </c>
      <c r="H696" t="s">
        <v>33</v>
      </c>
      <c r="I696">
        <v>2</v>
      </c>
      <c r="J696" t="s">
        <v>34</v>
      </c>
      <c r="K696">
        <v>42</v>
      </c>
      <c r="L696">
        <v>2</v>
      </c>
      <c r="M696">
        <v>2</v>
      </c>
      <c r="N696" t="s">
        <v>47</v>
      </c>
      <c r="O696">
        <v>4</v>
      </c>
      <c r="P696" t="s">
        <v>36</v>
      </c>
      <c r="Q696">
        <v>6949</v>
      </c>
      <c r="R696">
        <v>12291</v>
      </c>
      <c r="S696">
        <v>0</v>
      </c>
      <c r="T696">
        <v>0</v>
      </c>
      <c r="U696" s="17">
        <v>0.14000000000000001</v>
      </c>
      <c r="V696">
        <v>3</v>
      </c>
      <c r="W696">
        <v>1</v>
      </c>
      <c r="X696">
        <v>0</v>
      </c>
      <c r="Y696">
        <v>6</v>
      </c>
      <c r="Z696">
        <v>3</v>
      </c>
      <c r="AA696">
        <v>3</v>
      </c>
      <c r="AB696">
        <v>5</v>
      </c>
      <c r="AC696">
        <v>0</v>
      </c>
      <c r="AD696">
        <v>1</v>
      </c>
      <c r="AE696">
        <v>4</v>
      </c>
      <c r="AF696">
        <v>0</v>
      </c>
      <c r="AG696">
        <f>IF(tbl_HR_Data[[#This Row],[Gender]]="Male",1,0)</f>
        <v>0</v>
      </c>
      <c r="AH696" cm="1">
        <f t="array" ref="AH696">_xlfn.SWITCH(tbl_HR_Data[[#This Row],[BusinessTravel]], "Non-Travel", 0, "Travel_Rarely", 1, "Travel_Frequently", 2)</f>
        <v>1</v>
      </c>
      <c r="AI696" cm="1">
        <f t="array" ref="AI696">_xlfn.SWITCH(tbl_HR_Data[[#This Row],[MaritalStatus]],"Single",0,"Married",1,"Divorced",2)</f>
        <v>0</v>
      </c>
      <c r="AJ696">
        <f>IF(tbl_HR_Data[[#This Row],[OverTime]]=1,1,0)</f>
        <v>0</v>
      </c>
      <c r="AK696">
        <f>IF(tbl_HR_Data[[#This Row],[DistanceFromHome]]&gt;15,1,0)</f>
        <v>0</v>
      </c>
      <c r="AL696">
        <f>IF(tbl_HR_Data[[#This Row],[JobSatisfaction]]&lt;=2,1,0)</f>
        <v>0</v>
      </c>
      <c r="AM696">
        <f>IF(tbl_HR_Data[[#This Row],[MonthlyIncome]]&lt;$AT$2,1,0)</f>
        <v>0</v>
      </c>
      <c r="AN696">
        <f>IF(tbl_HR_Data[[#This Row],[Travel_Code]]=2,1,0)</f>
        <v>0</v>
      </c>
      <c r="AO696">
        <f>(tbl_HR_Data[[#This Row],[Flag_OT]] * Logic_Parameters!$B$2) +
 (tbl_HR_Data[[#This Row],[Flag_Travel]] * Logic_Parameters!$B$3) +
 (tbl_HR_Data[[#This Row],[Flag_Satisfaction]] * Logic_Parameters!$B$4) +
 (tbl_HR_Data[[#This Row],[Flag_Distance]]* Logic_Parameters!$B$5) +
 (tbl_HR_Data[[#This Row],[Flag_Income]] * Logic_Parameters!$B$6)</f>
        <v>0</v>
      </c>
      <c r="AP696" s="15">
        <f>tbl_HR_Data[[#This Row],[Risk_Score_Raw]] / SUM(Logic_Parameters!$B$2:$B$6)</f>
        <v>0</v>
      </c>
      <c r="AQ696" s="16" t="str" cm="1">
        <f t="array" ref="AQ696">_xlfn.IFS(tbl_HR_Data[[#This Row],[Attrition_Risk_Percentage]] &gt;= 0.75, "Critical",tbl_HR_Data[ [#This Row],[Attrition_Risk_Percentage] ]&gt;= 0.5, "High",tbl_HR_Data[[#This Row],[Attrition_Risk_Percentage]] &gt;= 0.25, "Medium",TRUE, "Low")</f>
        <v>Low</v>
      </c>
      <c r="AR696" s="16" cm="1">
        <f t="array" ref="AR696">IFERROR(_xlfn.IFS(tbl_HR_Data[[#This Row],[Risk_Category]]="Critical",tbl_HR_Data[[#This Row],[MonthlyIncome]]*1.5,tbl_HR_Data[[#This Row],[Risk_Category]]="High",tbl_HR_Data[[#This Row],[MonthlyIncome]]*1.5),0)</f>
        <v>0</v>
      </c>
    </row>
    <row r="697" spans="1:44" x14ac:dyDescent="0.35">
      <c r="A697" t="s">
        <v>265</v>
      </c>
      <c r="B697">
        <v>37</v>
      </c>
      <c r="C697" t="s">
        <v>31</v>
      </c>
      <c r="D697">
        <v>625</v>
      </c>
      <c r="E697" t="s">
        <v>32</v>
      </c>
      <c r="F697">
        <v>1</v>
      </c>
      <c r="G697">
        <v>4</v>
      </c>
      <c r="H697" t="s">
        <v>33</v>
      </c>
      <c r="I697">
        <v>1</v>
      </c>
      <c r="J697" t="s">
        <v>39</v>
      </c>
      <c r="K697">
        <v>46</v>
      </c>
      <c r="L697">
        <v>2</v>
      </c>
      <c r="M697">
        <v>3</v>
      </c>
      <c r="N697" t="s">
        <v>35</v>
      </c>
      <c r="O697">
        <v>3</v>
      </c>
      <c r="P697" t="s">
        <v>41</v>
      </c>
      <c r="Q697">
        <v>10609</v>
      </c>
      <c r="R697">
        <v>14922</v>
      </c>
      <c r="S697">
        <v>5</v>
      </c>
      <c r="T697">
        <v>0</v>
      </c>
      <c r="U697" s="17">
        <v>0.11</v>
      </c>
      <c r="V697">
        <v>3</v>
      </c>
      <c r="W697">
        <v>3</v>
      </c>
      <c r="X697">
        <v>0</v>
      </c>
      <c r="Y697">
        <v>17</v>
      </c>
      <c r="Z697">
        <v>2</v>
      </c>
      <c r="AA697">
        <v>1</v>
      </c>
      <c r="AB697">
        <v>14</v>
      </c>
      <c r="AC697">
        <v>1</v>
      </c>
      <c r="AD697">
        <v>11</v>
      </c>
      <c r="AE697">
        <v>7</v>
      </c>
      <c r="AF697">
        <v>1</v>
      </c>
      <c r="AG697">
        <f>IF(tbl_HR_Data[[#This Row],[Gender]]="Male",1,0)</f>
        <v>1</v>
      </c>
      <c r="AH697" cm="1">
        <f t="array" ref="AH697">_xlfn.SWITCH(tbl_HR_Data[[#This Row],[BusinessTravel]], "Non-Travel", 0, "Travel_Rarely", 1, "Travel_Frequently", 2)</f>
        <v>1</v>
      </c>
      <c r="AI697" cm="1">
        <f t="array" ref="AI697">_xlfn.SWITCH(tbl_HR_Data[[#This Row],[MaritalStatus]],"Single",0,"Married",1,"Divorced",2)</f>
        <v>1</v>
      </c>
      <c r="AJ697">
        <f>IF(tbl_HR_Data[[#This Row],[OverTime]]=1,1,0)</f>
        <v>0</v>
      </c>
      <c r="AK697">
        <f>IF(tbl_HR_Data[[#This Row],[DistanceFromHome]]&gt;15,1,0)</f>
        <v>0</v>
      </c>
      <c r="AL697">
        <f>IF(tbl_HR_Data[[#This Row],[JobSatisfaction]]&lt;=2,1,0)</f>
        <v>0</v>
      </c>
      <c r="AM697">
        <f>IF(tbl_HR_Data[[#This Row],[MonthlyIncome]]&lt;$AT$2,1,0)</f>
        <v>0</v>
      </c>
      <c r="AN697">
        <f>IF(tbl_HR_Data[[#This Row],[Travel_Code]]=2,1,0)</f>
        <v>0</v>
      </c>
      <c r="AO697">
        <f>(tbl_HR_Data[[#This Row],[Flag_OT]] * Logic_Parameters!$B$2) +
 (tbl_HR_Data[[#This Row],[Flag_Travel]] * Logic_Parameters!$B$3) +
 (tbl_HR_Data[[#This Row],[Flag_Satisfaction]] * Logic_Parameters!$B$4) +
 (tbl_HR_Data[[#This Row],[Flag_Distance]]* Logic_Parameters!$B$5) +
 (tbl_HR_Data[[#This Row],[Flag_Income]] * Logic_Parameters!$B$6)</f>
        <v>0</v>
      </c>
      <c r="AP697" s="15">
        <f>tbl_HR_Data[[#This Row],[Risk_Score_Raw]] / SUM(Logic_Parameters!$B$2:$B$6)</f>
        <v>0</v>
      </c>
      <c r="AQ697" s="16" t="str" cm="1">
        <f t="array" ref="AQ697">_xlfn.IFS(tbl_HR_Data[[#This Row],[Attrition_Risk_Percentage]] &gt;= 0.75, "Critical",tbl_HR_Data[ [#This Row],[Attrition_Risk_Percentage] ]&gt;= 0.5, "High",tbl_HR_Data[[#This Row],[Attrition_Risk_Percentage]] &gt;= 0.25, "Medium",TRUE, "Low")</f>
        <v>Low</v>
      </c>
      <c r="AR697" s="16" cm="1">
        <f t="array" ref="AR697">IFERROR(_xlfn.IFS(tbl_HR_Data[[#This Row],[Risk_Category]]="Critical",tbl_HR_Data[[#This Row],[MonthlyIncome]]*1.5,tbl_HR_Data[[#This Row],[Risk_Category]]="High",tbl_HR_Data[[#This Row],[MonthlyIncome]]*1.5),0)</f>
        <v>0</v>
      </c>
    </row>
    <row r="698" spans="1:44" x14ac:dyDescent="0.35">
      <c r="A698" t="s">
        <v>1061</v>
      </c>
      <c r="B698">
        <v>45</v>
      </c>
      <c r="C698" t="s">
        <v>1525</v>
      </c>
      <c r="D698">
        <v>805</v>
      </c>
      <c r="E698" t="s">
        <v>38</v>
      </c>
      <c r="F698">
        <v>4</v>
      </c>
      <c r="G698">
        <v>2</v>
      </c>
      <c r="H698" t="s">
        <v>33</v>
      </c>
      <c r="I698">
        <v>3</v>
      </c>
      <c r="J698" t="s">
        <v>39</v>
      </c>
      <c r="K698">
        <v>57</v>
      </c>
      <c r="L698">
        <v>3</v>
      </c>
      <c r="M698">
        <v>2</v>
      </c>
      <c r="N698" t="s">
        <v>43</v>
      </c>
      <c r="O698">
        <v>2</v>
      </c>
      <c r="P698" t="s">
        <v>41</v>
      </c>
      <c r="Q698">
        <v>4447</v>
      </c>
      <c r="R698">
        <v>23163</v>
      </c>
      <c r="S698">
        <v>1</v>
      </c>
      <c r="T698">
        <v>0</v>
      </c>
      <c r="U698" s="17">
        <v>0.12</v>
      </c>
      <c r="V698">
        <v>3</v>
      </c>
      <c r="W698">
        <v>2</v>
      </c>
      <c r="X698">
        <v>0</v>
      </c>
      <c r="Y698">
        <v>9</v>
      </c>
      <c r="Z698">
        <v>5</v>
      </c>
      <c r="AA698">
        <v>2</v>
      </c>
      <c r="AB698">
        <v>9</v>
      </c>
      <c r="AC698">
        <v>7</v>
      </c>
      <c r="AD698">
        <v>0</v>
      </c>
      <c r="AE698">
        <v>8</v>
      </c>
      <c r="AF698">
        <v>0</v>
      </c>
      <c r="AG698">
        <f>IF(tbl_HR_Data[[#This Row],[Gender]]="Male",1,0)</f>
        <v>1</v>
      </c>
      <c r="AH698" cm="1">
        <f t="array" ref="AH698">_xlfn.SWITCH(tbl_HR_Data[[#This Row],[BusinessTravel]], "Non-Travel", 0, "Travel_Rarely", 1, "Travel_Frequently", 2)</f>
        <v>0</v>
      </c>
      <c r="AI698" cm="1">
        <f t="array" ref="AI698">_xlfn.SWITCH(tbl_HR_Data[[#This Row],[MaritalStatus]],"Single",0,"Married",1,"Divorced",2)</f>
        <v>1</v>
      </c>
      <c r="AJ698">
        <f>IF(tbl_HR_Data[[#This Row],[OverTime]]=1,1,0)</f>
        <v>0</v>
      </c>
      <c r="AK698">
        <f>IF(tbl_HR_Data[[#This Row],[DistanceFromHome]]&gt;15,1,0)</f>
        <v>0</v>
      </c>
      <c r="AL698">
        <f>IF(tbl_HR_Data[[#This Row],[JobSatisfaction]]&lt;=2,1,0)</f>
        <v>1</v>
      </c>
      <c r="AM698">
        <f>IF(tbl_HR_Data[[#This Row],[MonthlyIncome]]&lt;$AT$2,1,0)</f>
        <v>1</v>
      </c>
      <c r="AN698">
        <f>IF(tbl_HR_Data[[#This Row],[Travel_Code]]=2,1,0)</f>
        <v>0</v>
      </c>
      <c r="AO698">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698" s="15">
        <f>tbl_HR_Data[[#This Row],[Risk_Score_Raw]] / SUM(Logic_Parameters!$B$2:$B$6)</f>
        <v>0.3686061316669938</v>
      </c>
      <c r="AQ698" s="16" t="str" cm="1">
        <f t="array" ref="AQ698">_xlfn.IFS(tbl_HR_Data[[#This Row],[Attrition_Risk_Percentage]] &gt;= 0.75, "Critical",tbl_HR_Data[ [#This Row],[Attrition_Risk_Percentage] ]&gt;= 0.5, "High",tbl_HR_Data[[#This Row],[Attrition_Risk_Percentage]] &gt;= 0.25, "Medium",TRUE, "Low")</f>
        <v>Medium</v>
      </c>
      <c r="AR698" s="16" cm="1">
        <f t="array" ref="AR698">IFERROR(_xlfn.IFS(tbl_HR_Data[[#This Row],[Risk_Category]]="Critical",tbl_HR_Data[[#This Row],[MonthlyIncome]]*1.5,tbl_HR_Data[[#This Row],[Risk_Category]]="High",tbl_HR_Data[[#This Row],[MonthlyIncome]]*1.5),0)</f>
        <v>0</v>
      </c>
    </row>
    <row r="699" spans="1:44" x14ac:dyDescent="0.35">
      <c r="A699" t="s">
        <v>623</v>
      </c>
      <c r="B699">
        <v>29</v>
      </c>
      <c r="C699" t="s">
        <v>37</v>
      </c>
      <c r="D699">
        <v>1404</v>
      </c>
      <c r="E699" t="s">
        <v>32</v>
      </c>
      <c r="F699">
        <v>20</v>
      </c>
      <c r="G699">
        <v>3</v>
      </c>
      <c r="H699" t="s">
        <v>52</v>
      </c>
      <c r="I699">
        <v>3</v>
      </c>
      <c r="J699" t="s">
        <v>34</v>
      </c>
      <c r="K699">
        <v>84</v>
      </c>
      <c r="L699">
        <v>3</v>
      </c>
      <c r="M699">
        <v>1</v>
      </c>
      <c r="N699" t="s">
        <v>49</v>
      </c>
      <c r="O699">
        <v>4</v>
      </c>
      <c r="P699" t="s">
        <v>41</v>
      </c>
      <c r="Q699">
        <v>2157</v>
      </c>
      <c r="R699">
        <v>18203</v>
      </c>
      <c r="S699">
        <v>1</v>
      </c>
      <c r="T699">
        <v>0</v>
      </c>
      <c r="U699" s="17">
        <v>0.15</v>
      </c>
      <c r="V699">
        <v>3</v>
      </c>
      <c r="W699">
        <v>2</v>
      </c>
      <c r="X699">
        <v>1</v>
      </c>
      <c r="Y699">
        <v>3</v>
      </c>
      <c r="Z699">
        <v>5</v>
      </c>
      <c r="AA699">
        <v>3</v>
      </c>
      <c r="AB699">
        <v>3</v>
      </c>
      <c r="AC699">
        <v>1</v>
      </c>
      <c r="AD699">
        <v>0</v>
      </c>
      <c r="AE699">
        <v>2</v>
      </c>
      <c r="AF699">
        <v>0</v>
      </c>
      <c r="AG699">
        <f>IF(tbl_HR_Data[[#This Row],[Gender]]="Male",1,0)</f>
        <v>0</v>
      </c>
      <c r="AH699" cm="1">
        <f t="array" ref="AH699">_xlfn.SWITCH(tbl_HR_Data[[#This Row],[BusinessTravel]], "Non-Travel", 0, "Travel_Rarely", 1, "Travel_Frequently", 2)</f>
        <v>2</v>
      </c>
      <c r="AI699" cm="1">
        <f t="array" ref="AI699">_xlfn.SWITCH(tbl_HR_Data[[#This Row],[MaritalStatus]],"Single",0,"Married",1,"Divorced",2)</f>
        <v>1</v>
      </c>
      <c r="AJ699">
        <f>IF(tbl_HR_Data[[#This Row],[OverTime]]=1,1,0)</f>
        <v>0</v>
      </c>
      <c r="AK699">
        <f>IF(tbl_HR_Data[[#This Row],[DistanceFromHome]]&gt;15,1,0)</f>
        <v>1</v>
      </c>
      <c r="AL699">
        <f>IF(tbl_HR_Data[[#This Row],[JobSatisfaction]]&lt;=2,1,0)</f>
        <v>0</v>
      </c>
      <c r="AM699">
        <f>IF(tbl_HR_Data[[#This Row],[MonthlyIncome]]&lt;$AT$2,1,0)</f>
        <v>1</v>
      </c>
      <c r="AN699">
        <f>IF(tbl_HR_Data[[#This Row],[Travel_Code]]=2,1,0)</f>
        <v>1</v>
      </c>
      <c r="AO699">
        <f>(tbl_HR_Data[[#This Row],[Flag_OT]] * Logic_Parameters!$B$2) +
 (tbl_HR_Data[[#This Row],[Flag_Travel]] * Logic_Parameters!$B$3) +
 (tbl_HR_Data[[#This Row],[Flag_Satisfaction]] * Logic_Parameters!$B$4) +
 (tbl_HR_Data[[#This Row],[Flag_Distance]]* Logic_Parameters!$B$5) +
 (tbl_HR_Data[[#This Row],[Flag_Income]] * Logic_Parameters!$B$6)</f>
        <v>14.820925613786383</v>
      </c>
      <c r="AP699" s="15">
        <f>tbl_HR_Data[[#This Row],[Risk_Score_Raw]] / SUM(Logic_Parameters!$B$2:$B$6)</f>
        <v>0.51061813508702369</v>
      </c>
      <c r="AQ699" s="16" t="str" cm="1">
        <f t="array" ref="AQ699">_xlfn.IFS(tbl_HR_Data[[#This Row],[Attrition_Risk_Percentage]] &gt;= 0.75, "Critical",tbl_HR_Data[ [#This Row],[Attrition_Risk_Percentage] ]&gt;= 0.5, "High",tbl_HR_Data[[#This Row],[Attrition_Risk_Percentage]] &gt;= 0.25, "Medium",TRUE, "Low")</f>
        <v>High</v>
      </c>
      <c r="AR699" s="16" cm="1">
        <f t="array" ref="AR699">IFERROR(_xlfn.IFS(tbl_HR_Data[[#This Row],[Risk_Category]]="Critical",tbl_HR_Data[[#This Row],[MonthlyIncome]]*1.5,tbl_HR_Data[[#This Row],[Risk_Category]]="High",tbl_HR_Data[[#This Row],[MonthlyIncome]]*1.5),0)</f>
        <v>3235.5</v>
      </c>
    </row>
    <row r="700" spans="1:44" x14ac:dyDescent="0.35">
      <c r="A700" t="s">
        <v>740</v>
      </c>
      <c r="B700">
        <v>35</v>
      </c>
      <c r="C700" t="s">
        <v>31</v>
      </c>
      <c r="D700">
        <v>1219</v>
      </c>
      <c r="E700" t="s">
        <v>32</v>
      </c>
      <c r="F700">
        <v>18</v>
      </c>
      <c r="G700">
        <v>3</v>
      </c>
      <c r="H700" t="s">
        <v>44</v>
      </c>
      <c r="I700">
        <v>3</v>
      </c>
      <c r="J700" t="s">
        <v>34</v>
      </c>
      <c r="K700">
        <v>86</v>
      </c>
      <c r="L700">
        <v>3</v>
      </c>
      <c r="M700">
        <v>2</v>
      </c>
      <c r="N700" t="s">
        <v>35</v>
      </c>
      <c r="O700">
        <v>3</v>
      </c>
      <c r="P700" t="s">
        <v>41</v>
      </c>
      <c r="Q700">
        <v>4601</v>
      </c>
      <c r="R700">
        <v>6179</v>
      </c>
      <c r="S700">
        <v>1</v>
      </c>
      <c r="T700">
        <v>0</v>
      </c>
      <c r="U700" s="17">
        <v>0.16</v>
      </c>
      <c r="V700">
        <v>3</v>
      </c>
      <c r="W700">
        <v>2</v>
      </c>
      <c r="X700">
        <v>0</v>
      </c>
      <c r="Y700">
        <v>5</v>
      </c>
      <c r="Z700">
        <v>3</v>
      </c>
      <c r="AA700">
        <v>3</v>
      </c>
      <c r="AB700">
        <v>5</v>
      </c>
      <c r="AC700">
        <v>2</v>
      </c>
      <c r="AD700">
        <v>1</v>
      </c>
      <c r="AE700">
        <v>0</v>
      </c>
      <c r="AF700">
        <v>0</v>
      </c>
      <c r="AG700">
        <f>IF(tbl_HR_Data[[#This Row],[Gender]]="Male",1,0)</f>
        <v>0</v>
      </c>
      <c r="AH700" cm="1">
        <f t="array" ref="AH700">_xlfn.SWITCH(tbl_HR_Data[[#This Row],[BusinessTravel]], "Non-Travel", 0, "Travel_Rarely", 1, "Travel_Frequently", 2)</f>
        <v>1</v>
      </c>
      <c r="AI700" cm="1">
        <f t="array" ref="AI700">_xlfn.SWITCH(tbl_HR_Data[[#This Row],[MaritalStatus]],"Single",0,"Married",1,"Divorced",2)</f>
        <v>1</v>
      </c>
      <c r="AJ700">
        <f>IF(tbl_HR_Data[[#This Row],[OverTime]]=1,1,0)</f>
        <v>0</v>
      </c>
      <c r="AK700">
        <f>IF(tbl_HR_Data[[#This Row],[DistanceFromHome]]&gt;15,1,0)</f>
        <v>1</v>
      </c>
      <c r="AL700">
        <f>IF(tbl_HR_Data[[#This Row],[JobSatisfaction]]&lt;=2,1,0)</f>
        <v>0</v>
      </c>
      <c r="AM700">
        <f>IF(tbl_HR_Data[[#This Row],[MonthlyIncome]]&lt;$AT$2,1,0)</f>
        <v>1</v>
      </c>
      <c r="AN700">
        <f>IF(tbl_HR_Data[[#This Row],[Travel_Code]]=2,1,0)</f>
        <v>0</v>
      </c>
      <c r="AO700">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700" s="15">
        <f>tbl_HR_Data[[#This Row],[Risk_Score_Raw]] / SUM(Logic_Parameters!$B$2:$B$6)</f>
        <v>0.33282973125692844</v>
      </c>
      <c r="AQ700" s="16" t="str" cm="1">
        <f t="array" ref="AQ700">_xlfn.IFS(tbl_HR_Data[[#This Row],[Attrition_Risk_Percentage]] &gt;= 0.75, "Critical",tbl_HR_Data[ [#This Row],[Attrition_Risk_Percentage] ]&gt;= 0.5, "High",tbl_HR_Data[[#This Row],[Attrition_Risk_Percentage]] &gt;= 0.25, "Medium",TRUE, "Low")</f>
        <v>Medium</v>
      </c>
      <c r="AR700" s="16" cm="1">
        <f t="array" ref="AR700">IFERROR(_xlfn.IFS(tbl_HR_Data[[#This Row],[Risk_Category]]="Critical",tbl_HR_Data[[#This Row],[MonthlyIncome]]*1.5,tbl_HR_Data[[#This Row],[Risk_Category]]="High",tbl_HR_Data[[#This Row],[MonthlyIncome]]*1.5),0)</f>
        <v>0</v>
      </c>
    </row>
    <row r="701" spans="1:44" x14ac:dyDescent="0.35">
      <c r="A701" t="s">
        <v>1089</v>
      </c>
      <c r="B701">
        <v>52</v>
      </c>
      <c r="C701" t="s">
        <v>31</v>
      </c>
      <c r="D701">
        <v>1053</v>
      </c>
      <c r="E701" t="s">
        <v>38</v>
      </c>
      <c r="F701">
        <v>1</v>
      </c>
      <c r="G701">
        <v>2</v>
      </c>
      <c r="H701" t="s">
        <v>33</v>
      </c>
      <c r="I701">
        <v>4</v>
      </c>
      <c r="J701" t="s">
        <v>39</v>
      </c>
      <c r="K701">
        <v>70</v>
      </c>
      <c r="L701">
        <v>3</v>
      </c>
      <c r="M701">
        <v>4</v>
      </c>
      <c r="N701" t="s">
        <v>48</v>
      </c>
      <c r="O701">
        <v>4</v>
      </c>
      <c r="P701" t="s">
        <v>41</v>
      </c>
      <c r="Q701">
        <v>17099</v>
      </c>
      <c r="R701">
        <v>13829</v>
      </c>
      <c r="S701">
        <v>2</v>
      </c>
      <c r="T701">
        <v>0</v>
      </c>
      <c r="U701" s="17">
        <v>0.15</v>
      </c>
      <c r="V701">
        <v>3</v>
      </c>
      <c r="W701">
        <v>2</v>
      </c>
      <c r="X701">
        <v>1</v>
      </c>
      <c r="Y701">
        <v>26</v>
      </c>
      <c r="Z701">
        <v>2</v>
      </c>
      <c r="AA701">
        <v>2</v>
      </c>
      <c r="AB701">
        <v>9</v>
      </c>
      <c r="AC701">
        <v>8</v>
      </c>
      <c r="AD701">
        <v>7</v>
      </c>
      <c r="AE701">
        <v>8</v>
      </c>
      <c r="AF701">
        <v>0</v>
      </c>
      <c r="AG701">
        <f>IF(tbl_HR_Data[[#This Row],[Gender]]="Male",1,0)</f>
        <v>1</v>
      </c>
      <c r="AH701" cm="1">
        <f t="array" ref="AH701">_xlfn.SWITCH(tbl_HR_Data[[#This Row],[BusinessTravel]], "Non-Travel", 0, "Travel_Rarely", 1, "Travel_Frequently", 2)</f>
        <v>1</v>
      </c>
      <c r="AI701" cm="1">
        <f t="array" ref="AI701">_xlfn.SWITCH(tbl_HR_Data[[#This Row],[MaritalStatus]],"Single",0,"Married",1,"Divorced",2)</f>
        <v>1</v>
      </c>
      <c r="AJ701">
        <f>IF(tbl_HR_Data[[#This Row],[OverTime]]=1,1,0)</f>
        <v>0</v>
      </c>
      <c r="AK701">
        <f>IF(tbl_HR_Data[[#This Row],[DistanceFromHome]]&gt;15,1,0)</f>
        <v>0</v>
      </c>
      <c r="AL701">
        <f>IF(tbl_HR_Data[[#This Row],[JobSatisfaction]]&lt;=2,1,0)</f>
        <v>0</v>
      </c>
      <c r="AM701">
        <f>IF(tbl_HR_Data[[#This Row],[MonthlyIncome]]&lt;$AT$2,1,0)</f>
        <v>0</v>
      </c>
      <c r="AN701">
        <f>IF(tbl_HR_Data[[#This Row],[Travel_Code]]=2,1,0)</f>
        <v>0</v>
      </c>
      <c r="AO701">
        <f>(tbl_HR_Data[[#This Row],[Flag_OT]] * Logic_Parameters!$B$2) +
 (tbl_HR_Data[[#This Row],[Flag_Travel]] * Logic_Parameters!$B$3) +
 (tbl_HR_Data[[#This Row],[Flag_Satisfaction]] * Logic_Parameters!$B$4) +
 (tbl_HR_Data[[#This Row],[Flag_Distance]]* Logic_Parameters!$B$5) +
 (tbl_HR_Data[[#This Row],[Flag_Income]] * Logic_Parameters!$B$6)</f>
        <v>0</v>
      </c>
      <c r="AP701" s="15">
        <f>tbl_HR_Data[[#This Row],[Risk_Score_Raw]] / SUM(Logic_Parameters!$B$2:$B$6)</f>
        <v>0</v>
      </c>
      <c r="AQ701" s="16" t="str" cm="1">
        <f t="array" ref="AQ701">_xlfn.IFS(tbl_HR_Data[[#This Row],[Attrition_Risk_Percentage]] &gt;= 0.75, "Critical",tbl_HR_Data[ [#This Row],[Attrition_Risk_Percentage] ]&gt;= 0.5, "High",tbl_HR_Data[[#This Row],[Attrition_Risk_Percentage]] &gt;= 0.25, "Medium",TRUE, "Low")</f>
        <v>Low</v>
      </c>
      <c r="AR701" s="16" cm="1">
        <f t="array" ref="AR701">IFERROR(_xlfn.IFS(tbl_HR_Data[[#This Row],[Risk_Category]]="Critical",tbl_HR_Data[[#This Row],[MonthlyIncome]]*1.5,tbl_HR_Data[[#This Row],[Risk_Category]]="High",tbl_HR_Data[[#This Row],[MonthlyIncome]]*1.5),0)</f>
        <v>0</v>
      </c>
    </row>
    <row r="702" spans="1:44" x14ac:dyDescent="0.35">
      <c r="A702" t="s">
        <v>359</v>
      </c>
      <c r="B702">
        <v>58</v>
      </c>
      <c r="C702" t="s">
        <v>31</v>
      </c>
      <c r="D702">
        <v>289</v>
      </c>
      <c r="E702" t="s">
        <v>38</v>
      </c>
      <c r="F702">
        <v>2</v>
      </c>
      <c r="G702">
        <v>3</v>
      </c>
      <c r="H702" t="s">
        <v>52</v>
      </c>
      <c r="I702">
        <v>4</v>
      </c>
      <c r="J702" t="s">
        <v>39</v>
      </c>
      <c r="K702">
        <v>51</v>
      </c>
      <c r="L702">
        <v>3</v>
      </c>
      <c r="M702">
        <v>1</v>
      </c>
      <c r="N702" t="s">
        <v>40</v>
      </c>
      <c r="O702">
        <v>3</v>
      </c>
      <c r="P702" t="s">
        <v>36</v>
      </c>
      <c r="Q702">
        <v>2479</v>
      </c>
      <c r="R702">
        <v>26227</v>
      </c>
      <c r="S702">
        <v>4</v>
      </c>
      <c r="T702">
        <v>0</v>
      </c>
      <c r="U702" s="17">
        <v>0.24</v>
      </c>
      <c r="V702">
        <v>4</v>
      </c>
      <c r="W702">
        <v>1</v>
      </c>
      <c r="X702">
        <v>0</v>
      </c>
      <c r="Y702">
        <v>7</v>
      </c>
      <c r="Z702">
        <v>4</v>
      </c>
      <c r="AA702">
        <v>3</v>
      </c>
      <c r="AB702">
        <v>1</v>
      </c>
      <c r="AC702">
        <v>0</v>
      </c>
      <c r="AD702">
        <v>0</v>
      </c>
      <c r="AE702">
        <v>0</v>
      </c>
      <c r="AF702">
        <v>1</v>
      </c>
      <c r="AG702">
        <f>IF(tbl_HR_Data[[#This Row],[Gender]]="Male",1,0)</f>
        <v>1</v>
      </c>
      <c r="AH702" cm="1">
        <f t="array" ref="AH702">_xlfn.SWITCH(tbl_HR_Data[[#This Row],[BusinessTravel]], "Non-Travel", 0, "Travel_Rarely", 1, "Travel_Frequently", 2)</f>
        <v>1</v>
      </c>
      <c r="AI702" cm="1">
        <f t="array" ref="AI702">_xlfn.SWITCH(tbl_HR_Data[[#This Row],[MaritalStatus]],"Single",0,"Married",1,"Divorced",2)</f>
        <v>0</v>
      </c>
      <c r="AJ702">
        <f>IF(tbl_HR_Data[[#This Row],[OverTime]]=1,1,0)</f>
        <v>0</v>
      </c>
      <c r="AK702">
        <f>IF(tbl_HR_Data[[#This Row],[DistanceFromHome]]&gt;15,1,0)</f>
        <v>0</v>
      </c>
      <c r="AL702">
        <f>IF(tbl_HR_Data[[#This Row],[JobSatisfaction]]&lt;=2,1,0)</f>
        <v>0</v>
      </c>
      <c r="AM702">
        <f>IF(tbl_HR_Data[[#This Row],[MonthlyIncome]]&lt;$AT$2,1,0)</f>
        <v>1</v>
      </c>
      <c r="AN702">
        <f>IF(tbl_HR_Data[[#This Row],[Travel_Code]]=2,1,0)</f>
        <v>0</v>
      </c>
      <c r="AO702">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702" s="15">
        <f>tbl_HR_Data[[#This Row],[Risk_Score_Raw]] / SUM(Logic_Parameters!$B$2:$B$6)</f>
        <v>0.22374939857982484</v>
      </c>
      <c r="AQ702" s="16" t="str" cm="1">
        <f t="array" ref="AQ702">_xlfn.IFS(tbl_HR_Data[[#This Row],[Attrition_Risk_Percentage]] &gt;= 0.75, "Critical",tbl_HR_Data[ [#This Row],[Attrition_Risk_Percentage] ]&gt;= 0.5, "High",tbl_HR_Data[[#This Row],[Attrition_Risk_Percentage]] &gt;= 0.25, "Medium",TRUE, "Low")</f>
        <v>Low</v>
      </c>
      <c r="AR702" s="16" cm="1">
        <f t="array" ref="AR702">IFERROR(_xlfn.IFS(tbl_HR_Data[[#This Row],[Risk_Category]]="Critical",tbl_HR_Data[[#This Row],[MonthlyIncome]]*1.5,tbl_HR_Data[[#This Row],[Risk_Category]]="High",tbl_HR_Data[[#This Row],[MonthlyIncome]]*1.5),0)</f>
        <v>0</v>
      </c>
    </row>
    <row r="703" spans="1:44" x14ac:dyDescent="0.35">
      <c r="A703" t="s">
        <v>844</v>
      </c>
      <c r="B703">
        <v>53</v>
      </c>
      <c r="C703" t="s">
        <v>31</v>
      </c>
      <c r="D703">
        <v>1376</v>
      </c>
      <c r="E703" t="s">
        <v>32</v>
      </c>
      <c r="F703">
        <v>2</v>
      </c>
      <c r="G703">
        <v>2</v>
      </c>
      <c r="H703" t="s">
        <v>44</v>
      </c>
      <c r="I703">
        <v>3</v>
      </c>
      <c r="J703" t="s">
        <v>39</v>
      </c>
      <c r="K703">
        <v>45</v>
      </c>
      <c r="L703">
        <v>3</v>
      </c>
      <c r="M703">
        <v>4</v>
      </c>
      <c r="N703" t="s">
        <v>48</v>
      </c>
      <c r="O703">
        <v>3</v>
      </c>
      <c r="P703" t="s">
        <v>45</v>
      </c>
      <c r="Q703">
        <v>14852</v>
      </c>
      <c r="R703">
        <v>13938</v>
      </c>
      <c r="S703">
        <v>6</v>
      </c>
      <c r="T703">
        <v>0</v>
      </c>
      <c r="U703" s="17">
        <v>0.13</v>
      </c>
      <c r="V703">
        <v>3</v>
      </c>
      <c r="W703">
        <v>3</v>
      </c>
      <c r="X703">
        <v>1</v>
      </c>
      <c r="Y703">
        <v>22</v>
      </c>
      <c r="Z703">
        <v>3</v>
      </c>
      <c r="AA703">
        <v>4</v>
      </c>
      <c r="AB703">
        <v>17</v>
      </c>
      <c r="AC703">
        <v>13</v>
      </c>
      <c r="AD703">
        <v>15</v>
      </c>
      <c r="AE703">
        <v>2</v>
      </c>
      <c r="AF703">
        <v>0</v>
      </c>
      <c r="AG703">
        <f>IF(tbl_HR_Data[[#This Row],[Gender]]="Male",1,0)</f>
        <v>1</v>
      </c>
      <c r="AH703" cm="1">
        <f t="array" ref="AH703">_xlfn.SWITCH(tbl_HR_Data[[#This Row],[BusinessTravel]], "Non-Travel", 0, "Travel_Rarely", 1, "Travel_Frequently", 2)</f>
        <v>1</v>
      </c>
      <c r="AI703" cm="1">
        <f t="array" ref="AI703">_xlfn.SWITCH(tbl_HR_Data[[#This Row],[MaritalStatus]],"Single",0,"Married",1,"Divorced",2)</f>
        <v>2</v>
      </c>
      <c r="AJ703">
        <f>IF(tbl_HR_Data[[#This Row],[OverTime]]=1,1,0)</f>
        <v>0</v>
      </c>
      <c r="AK703">
        <f>IF(tbl_HR_Data[[#This Row],[DistanceFromHome]]&gt;15,1,0)</f>
        <v>0</v>
      </c>
      <c r="AL703">
        <f>IF(tbl_HR_Data[[#This Row],[JobSatisfaction]]&lt;=2,1,0)</f>
        <v>0</v>
      </c>
      <c r="AM703">
        <f>IF(tbl_HR_Data[[#This Row],[MonthlyIncome]]&lt;$AT$2,1,0)</f>
        <v>0</v>
      </c>
      <c r="AN703">
        <f>IF(tbl_HR_Data[[#This Row],[Travel_Code]]=2,1,0)</f>
        <v>0</v>
      </c>
      <c r="AO703">
        <f>(tbl_HR_Data[[#This Row],[Flag_OT]] * Logic_Parameters!$B$2) +
 (tbl_HR_Data[[#This Row],[Flag_Travel]] * Logic_Parameters!$B$3) +
 (tbl_HR_Data[[#This Row],[Flag_Satisfaction]] * Logic_Parameters!$B$4) +
 (tbl_HR_Data[[#This Row],[Flag_Distance]]* Logic_Parameters!$B$5) +
 (tbl_HR_Data[[#This Row],[Flag_Income]] * Logic_Parameters!$B$6)</f>
        <v>0</v>
      </c>
      <c r="AP703" s="15">
        <f>tbl_HR_Data[[#This Row],[Risk_Score_Raw]] / SUM(Logic_Parameters!$B$2:$B$6)</f>
        <v>0</v>
      </c>
      <c r="AQ703" s="16" t="str" cm="1">
        <f t="array" ref="AQ703">_xlfn.IFS(tbl_HR_Data[[#This Row],[Attrition_Risk_Percentage]] &gt;= 0.75, "Critical",tbl_HR_Data[ [#This Row],[Attrition_Risk_Percentage] ]&gt;= 0.5, "High",tbl_HR_Data[[#This Row],[Attrition_Risk_Percentage]] &gt;= 0.25, "Medium",TRUE, "Low")</f>
        <v>Low</v>
      </c>
      <c r="AR703" s="16" cm="1">
        <f t="array" ref="AR703">IFERROR(_xlfn.IFS(tbl_HR_Data[[#This Row],[Risk_Category]]="Critical",tbl_HR_Data[[#This Row],[MonthlyIncome]]*1.5,tbl_HR_Data[[#This Row],[Risk_Category]]="High",tbl_HR_Data[[#This Row],[MonthlyIncome]]*1.5),0)</f>
        <v>0</v>
      </c>
    </row>
    <row r="704" spans="1:44" x14ac:dyDescent="0.35">
      <c r="A704" t="s">
        <v>116</v>
      </c>
      <c r="B704">
        <v>30</v>
      </c>
      <c r="C704" t="s">
        <v>31</v>
      </c>
      <c r="D704">
        <v>231</v>
      </c>
      <c r="E704" t="s">
        <v>32</v>
      </c>
      <c r="F704">
        <v>8</v>
      </c>
      <c r="G704">
        <v>2</v>
      </c>
      <c r="H704" t="s">
        <v>42</v>
      </c>
      <c r="I704">
        <v>3</v>
      </c>
      <c r="J704" t="s">
        <v>39</v>
      </c>
      <c r="K704">
        <v>62</v>
      </c>
      <c r="L704">
        <v>3</v>
      </c>
      <c r="M704">
        <v>3</v>
      </c>
      <c r="N704" t="s">
        <v>35</v>
      </c>
      <c r="O704">
        <v>3</v>
      </c>
      <c r="P704" t="s">
        <v>45</v>
      </c>
      <c r="Q704">
        <v>7264</v>
      </c>
      <c r="R704">
        <v>9977</v>
      </c>
      <c r="S704">
        <v>5</v>
      </c>
      <c r="T704">
        <v>0</v>
      </c>
      <c r="U704" s="17">
        <v>0.11</v>
      </c>
      <c r="V704">
        <v>3</v>
      </c>
      <c r="W704">
        <v>1</v>
      </c>
      <c r="X704">
        <v>1</v>
      </c>
      <c r="Y704">
        <v>10</v>
      </c>
      <c r="Z704">
        <v>2</v>
      </c>
      <c r="AA704">
        <v>4</v>
      </c>
      <c r="AB704">
        <v>8</v>
      </c>
      <c r="AC704">
        <v>4</v>
      </c>
      <c r="AD704">
        <v>7</v>
      </c>
      <c r="AE704">
        <v>7</v>
      </c>
      <c r="AF704">
        <v>0</v>
      </c>
      <c r="AG704">
        <f>IF(tbl_HR_Data[[#This Row],[Gender]]="Male",1,0)</f>
        <v>1</v>
      </c>
      <c r="AH704" cm="1">
        <f t="array" ref="AH704">_xlfn.SWITCH(tbl_HR_Data[[#This Row],[BusinessTravel]], "Non-Travel", 0, "Travel_Rarely", 1, "Travel_Frequently", 2)</f>
        <v>1</v>
      </c>
      <c r="AI704" cm="1">
        <f t="array" ref="AI704">_xlfn.SWITCH(tbl_HR_Data[[#This Row],[MaritalStatus]],"Single",0,"Married",1,"Divorced",2)</f>
        <v>2</v>
      </c>
      <c r="AJ704">
        <f>IF(tbl_HR_Data[[#This Row],[OverTime]]=1,1,0)</f>
        <v>0</v>
      </c>
      <c r="AK704">
        <f>IF(tbl_HR_Data[[#This Row],[DistanceFromHome]]&gt;15,1,0)</f>
        <v>0</v>
      </c>
      <c r="AL704">
        <f>IF(tbl_HR_Data[[#This Row],[JobSatisfaction]]&lt;=2,1,0)</f>
        <v>0</v>
      </c>
      <c r="AM704">
        <f>IF(tbl_HR_Data[[#This Row],[MonthlyIncome]]&lt;$AT$2,1,0)</f>
        <v>0</v>
      </c>
      <c r="AN704">
        <f>IF(tbl_HR_Data[[#This Row],[Travel_Code]]=2,1,0)</f>
        <v>0</v>
      </c>
      <c r="AO704">
        <f>(tbl_HR_Data[[#This Row],[Flag_OT]] * Logic_Parameters!$B$2) +
 (tbl_HR_Data[[#This Row],[Flag_Travel]] * Logic_Parameters!$B$3) +
 (tbl_HR_Data[[#This Row],[Flag_Satisfaction]] * Logic_Parameters!$B$4) +
 (tbl_HR_Data[[#This Row],[Flag_Distance]]* Logic_Parameters!$B$5) +
 (tbl_HR_Data[[#This Row],[Flag_Income]] * Logic_Parameters!$B$6)</f>
        <v>0</v>
      </c>
      <c r="AP704" s="15">
        <f>tbl_HR_Data[[#This Row],[Risk_Score_Raw]] / SUM(Logic_Parameters!$B$2:$B$6)</f>
        <v>0</v>
      </c>
      <c r="AQ704" s="16" t="str" cm="1">
        <f t="array" ref="AQ704">_xlfn.IFS(tbl_HR_Data[[#This Row],[Attrition_Risk_Percentage]] &gt;= 0.75, "Critical",tbl_HR_Data[ [#This Row],[Attrition_Risk_Percentage] ]&gt;= 0.5, "High",tbl_HR_Data[[#This Row],[Attrition_Risk_Percentage]] &gt;= 0.25, "Medium",TRUE, "Low")</f>
        <v>Low</v>
      </c>
      <c r="AR704" s="16" cm="1">
        <f t="array" ref="AR704">IFERROR(_xlfn.IFS(tbl_HR_Data[[#This Row],[Risk_Category]]="Critical",tbl_HR_Data[[#This Row],[MonthlyIncome]]*1.5,tbl_HR_Data[[#This Row],[Risk_Category]]="High",tbl_HR_Data[[#This Row],[MonthlyIncome]]*1.5),0)</f>
        <v>0</v>
      </c>
    </row>
    <row r="705" spans="1:44" x14ac:dyDescent="0.35">
      <c r="A705" t="s">
        <v>578</v>
      </c>
      <c r="B705">
        <v>38</v>
      </c>
      <c r="C705" t="s">
        <v>1525</v>
      </c>
      <c r="D705">
        <v>152</v>
      </c>
      <c r="E705" t="s">
        <v>32</v>
      </c>
      <c r="F705">
        <v>10</v>
      </c>
      <c r="G705">
        <v>3</v>
      </c>
      <c r="H705" t="s">
        <v>52</v>
      </c>
      <c r="I705">
        <v>3</v>
      </c>
      <c r="J705" t="s">
        <v>34</v>
      </c>
      <c r="K705">
        <v>85</v>
      </c>
      <c r="L705">
        <v>3</v>
      </c>
      <c r="M705">
        <v>2</v>
      </c>
      <c r="N705" t="s">
        <v>35</v>
      </c>
      <c r="O705">
        <v>4</v>
      </c>
      <c r="P705" t="s">
        <v>36</v>
      </c>
      <c r="Q705">
        <v>5666</v>
      </c>
      <c r="R705">
        <v>19899</v>
      </c>
      <c r="S705">
        <v>1</v>
      </c>
      <c r="T705">
        <v>1</v>
      </c>
      <c r="U705" s="17">
        <v>0.13</v>
      </c>
      <c r="V705">
        <v>3</v>
      </c>
      <c r="W705">
        <v>2</v>
      </c>
      <c r="X705">
        <v>0</v>
      </c>
      <c r="Y705">
        <v>6</v>
      </c>
      <c r="Z705">
        <v>1</v>
      </c>
      <c r="AA705">
        <v>3</v>
      </c>
      <c r="AB705">
        <v>5</v>
      </c>
      <c r="AC705">
        <v>3</v>
      </c>
      <c r="AD705">
        <v>1</v>
      </c>
      <c r="AE705">
        <v>3</v>
      </c>
      <c r="AF705">
        <v>0</v>
      </c>
      <c r="AG705">
        <f>IF(tbl_HR_Data[[#This Row],[Gender]]="Male",1,0)</f>
        <v>0</v>
      </c>
      <c r="AH705" cm="1">
        <f t="array" ref="AH705">_xlfn.SWITCH(tbl_HR_Data[[#This Row],[BusinessTravel]], "Non-Travel", 0, "Travel_Rarely", 1, "Travel_Frequently", 2)</f>
        <v>0</v>
      </c>
      <c r="AI705" cm="1">
        <f t="array" ref="AI705">_xlfn.SWITCH(tbl_HR_Data[[#This Row],[MaritalStatus]],"Single",0,"Married",1,"Divorced",2)</f>
        <v>0</v>
      </c>
      <c r="AJ705">
        <f>IF(tbl_HR_Data[[#This Row],[OverTime]]=1,1,0)</f>
        <v>1</v>
      </c>
      <c r="AK705">
        <f>IF(tbl_HR_Data[[#This Row],[DistanceFromHome]]&gt;15,1,0)</f>
        <v>0</v>
      </c>
      <c r="AL705">
        <f>IF(tbl_HR_Data[[#This Row],[JobSatisfaction]]&lt;=2,1,0)</f>
        <v>0</v>
      </c>
      <c r="AM705">
        <f>IF(tbl_HR_Data[[#This Row],[MonthlyIncome]]&lt;$AT$2,1,0)</f>
        <v>0</v>
      </c>
      <c r="AN705">
        <f>IF(tbl_HR_Data[[#This Row],[Travel_Code]]=2,1,0)</f>
        <v>0</v>
      </c>
      <c r="AO705">
        <f>(tbl_HR_Data[[#This Row],[Flag_OT]] * Logic_Parameters!$B$2) +
 (tbl_HR_Data[[#This Row],[Flag_Travel]] * Logic_Parameters!$B$3) +
 (tbl_HR_Data[[#This Row],[Flag_Satisfaction]] * Logic_Parameters!$B$4) +
 (tbl_HR_Data[[#This Row],[Flag_Distance]]* Logic_Parameters!$B$5) +
 (tbl_HR_Data[[#This Row],[Flag_Income]] * Logic_Parameters!$B$6)</f>
        <v>10</v>
      </c>
      <c r="AP705" s="15">
        <f>tbl_HR_Data[[#This Row],[Risk_Score_Raw]] / SUM(Logic_Parameters!$B$2:$B$6)</f>
        <v>0.3445251318258073</v>
      </c>
      <c r="AQ705" s="16" t="str" cm="1">
        <f t="array" ref="AQ705">_xlfn.IFS(tbl_HR_Data[[#This Row],[Attrition_Risk_Percentage]] &gt;= 0.75, "Critical",tbl_HR_Data[ [#This Row],[Attrition_Risk_Percentage] ]&gt;= 0.5, "High",tbl_HR_Data[[#This Row],[Attrition_Risk_Percentage]] &gt;= 0.25, "Medium",TRUE, "Low")</f>
        <v>Medium</v>
      </c>
      <c r="AR705" s="16" cm="1">
        <f t="array" ref="AR705">IFERROR(_xlfn.IFS(tbl_HR_Data[[#This Row],[Risk_Category]]="Critical",tbl_HR_Data[[#This Row],[MonthlyIncome]]*1.5,tbl_HR_Data[[#This Row],[Risk_Category]]="High",tbl_HR_Data[[#This Row],[MonthlyIncome]]*1.5),0)</f>
        <v>0</v>
      </c>
    </row>
    <row r="706" spans="1:44" x14ac:dyDescent="0.35">
      <c r="A706" t="s">
        <v>138</v>
      </c>
      <c r="B706">
        <v>35</v>
      </c>
      <c r="C706" t="s">
        <v>31</v>
      </c>
      <c r="D706">
        <v>882</v>
      </c>
      <c r="E706" t="s">
        <v>32</v>
      </c>
      <c r="F706">
        <v>3</v>
      </c>
      <c r="G706">
        <v>4</v>
      </c>
      <c r="H706" t="s">
        <v>33</v>
      </c>
      <c r="I706">
        <v>4</v>
      </c>
      <c r="J706" t="s">
        <v>39</v>
      </c>
      <c r="K706">
        <v>92</v>
      </c>
      <c r="L706">
        <v>3</v>
      </c>
      <c r="M706">
        <v>3</v>
      </c>
      <c r="N706" t="s">
        <v>35</v>
      </c>
      <c r="O706">
        <v>4</v>
      </c>
      <c r="P706" t="s">
        <v>45</v>
      </c>
      <c r="Q706">
        <v>7823</v>
      </c>
      <c r="R706">
        <v>6812</v>
      </c>
      <c r="S706">
        <v>6</v>
      </c>
      <c r="T706">
        <v>0</v>
      </c>
      <c r="U706" s="17">
        <v>0.13</v>
      </c>
      <c r="V706">
        <v>3</v>
      </c>
      <c r="W706">
        <v>2</v>
      </c>
      <c r="X706">
        <v>1</v>
      </c>
      <c r="Y706">
        <v>12</v>
      </c>
      <c r="Z706">
        <v>2</v>
      </c>
      <c r="AA706">
        <v>3</v>
      </c>
      <c r="AB706">
        <v>10</v>
      </c>
      <c r="AC706">
        <v>9</v>
      </c>
      <c r="AD706">
        <v>0</v>
      </c>
      <c r="AE706">
        <v>8</v>
      </c>
      <c r="AF706">
        <v>0</v>
      </c>
      <c r="AG706">
        <f>IF(tbl_HR_Data[[#This Row],[Gender]]="Male",1,0)</f>
        <v>1</v>
      </c>
      <c r="AH706" cm="1">
        <f t="array" ref="AH706">_xlfn.SWITCH(tbl_HR_Data[[#This Row],[BusinessTravel]], "Non-Travel", 0, "Travel_Rarely", 1, "Travel_Frequently", 2)</f>
        <v>1</v>
      </c>
      <c r="AI706" cm="1">
        <f t="array" ref="AI706">_xlfn.SWITCH(tbl_HR_Data[[#This Row],[MaritalStatus]],"Single",0,"Married",1,"Divorced",2)</f>
        <v>2</v>
      </c>
      <c r="AJ706">
        <f>IF(tbl_HR_Data[[#This Row],[OverTime]]=1,1,0)</f>
        <v>0</v>
      </c>
      <c r="AK706">
        <f>IF(tbl_HR_Data[[#This Row],[DistanceFromHome]]&gt;15,1,0)</f>
        <v>0</v>
      </c>
      <c r="AL706">
        <f>IF(tbl_HR_Data[[#This Row],[JobSatisfaction]]&lt;=2,1,0)</f>
        <v>0</v>
      </c>
      <c r="AM706">
        <f>IF(tbl_HR_Data[[#This Row],[MonthlyIncome]]&lt;$AT$2,1,0)</f>
        <v>0</v>
      </c>
      <c r="AN706">
        <f>IF(tbl_HR_Data[[#This Row],[Travel_Code]]=2,1,0)</f>
        <v>0</v>
      </c>
      <c r="AO706">
        <f>(tbl_HR_Data[[#This Row],[Flag_OT]] * Logic_Parameters!$B$2) +
 (tbl_HR_Data[[#This Row],[Flag_Travel]] * Logic_Parameters!$B$3) +
 (tbl_HR_Data[[#This Row],[Flag_Satisfaction]] * Logic_Parameters!$B$4) +
 (tbl_HR_Data[[#This Row],[Flag_Distance]]* Logic_Parameters!$B$5) +
 (tbl_HR_Data[[#This Row],[Flag_Income]] * Logic_Parameters!$B$6)</f>
        <v>0</v>
      </c>
      <c r="AP706" s="15">
        <f>tbl_HR_Data[[#This Row],[Risk_Score_Raw]] / SUM(Logic_Parameters!$B$2:$B$6)</f>
        <v>0</v>
      </c>
      <c r="AQ706" s="16" t="str" cm="1">
        <f t="array" ref="AQ706">_xlfn.IFS(tbl_HR_Data[[#This Row],[Attrition_Risk_Percentage]] &gt;= 0.75, "Critical",tbl_HR_Data[ [#This Row],[Attrition_Risk_Percentage] ]&gt;= 0.5, "High",tbl_HR_Data[[#This Row],[Attrition_Risk_Percentage]] &gt;= 0.25, "Medium",TRUE, "Low")</f>
        <v>Low</v>
      </c>
      <c r="AR706" s="16" cm="1">
        <f t="array" ref="AR706">IFERROR(_xlfn.IFS(tbl_HR_Data[[#This Row],[Risk_Category]]="Critical",tbl_HR_Data[[#This Row],[MonthlyIncome]]*1.5,tbl_HR_Data[[#This Row],[Risk_Category]]="High",tbl_HR_Data[[#This Row],[MonthlyIncome]]*1.5),0)</f>
        <v>0</v>
      </c>
    </row>
    <row r="707" spans="1:44" x14ac:dyDescent="0.35">
      <c r="A707" t="s">
        <v>1373</v>
      </c>
      <c r="B707">
        <v>39</v>
      </c>
      <c r="C707" t="s">
        <v>31</v>
      </c>
      <c r="D707">
        <v>903</v>
      </c>
      <c r="E707" t="s">
        <v>32</v>
      </c>
      <c r="F707">
        <v>2</v>
      </c>
      <c r="G707">
        <v>5</v>
      </c>
      <c r="H707" t="s">
        <v>33</v>
      </c>
      <c r="I707">
        <v>1</v>
      </c>
      <c r="J707" t="s">
        <v>39</v>
      </c>
      <c r="K707">
        <v>41</v>
      </c>
      <c r="L707">
        <v>4</v>
      </c>
      <c r="M707">
        <v>3</v>
      </c>
      <c r="N707" t="s">
        <v>35</v>
      </c>
      <c r="O707">
        <v>3</v>
      </c>
      <c r="P707" t="s">
        <v>36</v>
      </c>
      <c r="Q707">
        <v>7880</v>
      </c>
      <c r="R707">
        <v>2560</v>
      </c>
      <c r="S707">
        <v>0</v>
      </c>
      <c r="T707">
        <v>0</v>
      </c>
      <c r="U707" s="17">
        <v>0.18</v>
      </c>
      <c r="V707">
        <v>3</v>
      </c>
      <c r="W707">
        <v>4</v>
      </c>
      <c r="X707">
        <v>0</v>
      </c>
      <c r="Y707">
        <v>9</v>
      </c>
      <c r="Z707">
        <v>3</v>
      </c>
      <c r="AA707">
        <v>3</v>
      </c>
      <c r="AB707">
        <v>8</v>
      </c>
      <c r="AC707">
        <v>7</v>
      </c>
      <c r="AD707">
        <v>0</v>
      </c>
      <c r="AE707">
        <v>7</v>
      </c>
      <c r="AF707">
        <v>0</v>
      </c>
      <c r="AG707">
        <f>IF(tbl_HR_Data[[#This Row],[Gender]]="Male",1,0)</f>
        <v>1</v>
      </c>
      <c r="AH707" cm="1">
        <f t="array" ref="AH707">_xlfn.SWITCH(tbl_HR_Data[[#This Row],[BusinessTravel]], "Non-Travel", 0, "Travel_Rarely", 1, "Travel_Frequently", 2)</f>
        <v>1</v>
      </c>
      <c r="AI707" cm="1">
        <f t="array" ref="AI707">_xlfn.SWITCH(tbl_HR_Data[[#This Row],[MaritalStatus]],"Single",0,"Married",1,"Divorced",2)</f>
        <v>0</v>
      </c>
      <c r="AJ707">
        <f>IF(tbl_HR_Data[[#This Row],[OverTime]]=1,1,0)</f>
        <v>0</v>
      </c>
      <c r="AK707">
        <f>IF(tbl_HR_Data[[#This Row],[DistanceFromHome]]&gt;15,1,0)</f>
        <v>0</v>
      </c>
      <c r="AL707">
        <f>IF(tbl_HR_Data[[#This Row],[JobSatisfaction]]&lt;=2,1,0)</f>
        <v>0</v>
      </c>
      <c r="AM707">
        <f>IF(tbl_HR_Data[[#This Row],[MonthlyIncome]]&lt;$AT$2,1,0)</f>
        <v>0</v>
      </c>
      <c r="AN707">
        <f>IF(tbl_HR_Data[[#This Row],[Travel_Code]]=2,1,0)</f>
        <v>0</v>
      </c>
      <c r="AO707">
        <f>(tbl_HR_Data[[#This Row],[Flag_OT]] * Logic_Parameters!$B$2) +
 (tbl_HR_Data[[#This Row],[Flag_Travel]] * Logic_Parameters!$B$3) +
 (tbl_HR_Data[[#This Row],[Flag_Satisfaction]] * Logic_Parameters!$B$4) +
 (tbl_HR_Data[[#This Row],[Flag_Distance]]* Logic_Parameters!$B$5) +
 (tbl_HR_Data[[#This Row],[Flag_Income]] * Logic_Parameters!$B$6)</f>
        <v>0</v>
      </c>
      <c r="AP707" s="15">
        <f>tbl_HR_Data[[#This Row],[Risk_Score_Raw]] / SUM(Logic_Parameters!$B$2:$B$6)</f>
        <v>0</v>
      </c>
      <c r="AQ707" s="16" t="str" cm="1">
        <f t="array" ref="AQ707">_xlfn.IFS(tbl_HR_Data[[#This Row],[Attrition_Risk_Percentage]] &gt;= 0.75, "Critical",tbl_HR_Data[ [#This Row],[Attrition_Risk_Percentage] ]&gt;= 0.5, "High",tbl_HR_Data[[#This Row],[Attrition_Risk_Percentage]] &gt;= 0.25, "Medium",TRUE, "Low")</f>
        <v>Low</v>
      </c>
      <c r="AR707" s="16" cm="1">
        <f t="array" ref="AR707">IFERROR(_xlfn.IFS(tbl_HR_Data[[#This Row],[Risk_Category]]="Critical",tbl_HR_Data[[#This Row],[MonthlyIncome]]*1.5,tbl_HR_Data[[#This Row],[Risk_Category]]="High",tbl_HR_Data[[#This Row],[MonthlyIncome]]*1.5),0)</f>
        <v>0</v>
      </c>
    </row>
    <row r="708" spans="1:44" x14ac:dyDescent="0.35">
      <c r="A708" t="s">
        <v>1478</v>
      </c>
      <c r="B708">
        <v>40</v>
      </c>
      <c r="C708" t="s">
        <v>1525</v>
      </c>
      <c r="D708">
        <v>1479</v>
      </c>
      <c r="E708" t="s">
        <v>32</v>
      </c>
      <c r="F708">
        <v>24</v>
      </c>
      <c r="G708">
        <v>3</v>
      </c>
      <c r="H708" t="s">
        <v>33</v>
      </c>
      <c r="I708">
        <v>2</v>
      </c>
      <c r="J708" t="s">
        <v>34</v>
      </c>
      <c r="K708">
        <v>100</v>
      </c>
      <c r="L708">
        <v>4</v>
      </c>
      <c r="M708">
        <v>4</v>
      </c>
      <c r="N708" t="s">
        <v>35</v>
      </c>
      <c r="O708">
        <v>2</v>
      </c>
      <c r="P708" t="s">
        <v>36</v>
      </c>
      <c r="Q708">
        <v>13194</v>
      </c>
      <c r="R708">
        <v>17071</v>
      </c>
      <c r="S708">
        <v>4</v>
      </c>
      <c r="T708">
        <v>1</v>
      </c>
      <c r="U708" s="17">
        <v>0.16</v>
      </c>
      <c r="V708">
        <v>3</v>
      </c>
      <c r="W708">
        <v>4</v>
      </c>
      <c r="X708">
        <v>0</v>
      </c>
      <c r="Y708">
        <v>22</v>
      </c>
      <c r="Z708">
        <v>2</v>
      </c>
      <c r="AA708">
        <v>2</v>
      </c>
      <c r="AB708">
        <v>1</v>
      </c>
      <c r="AC708">
        <v>0</v>
      </c>
      <c r="AD708">
        <v>0</v>
      </c>
      <c r="AE708">
        <v>0</v>
      </c>
      <c r="AF708">
        <v>1</v>
      </c>
      <c r="AG708">
        <f>IF(tbl_HR_Data[[#This Row],[Gender]]="Male",1,0)</f>
        <v>0</v>
      </c>
      <c r="AH708" cm="1">
        <f t="array" ref="AH708">_xlfn.SWITCH(tbl_HR_Data[[#This Row],[BusinessTravel]], "Non-Travel", 0, "Travel_Rarely", 1, "Travel_Frequently", 2)</f>
        <v>0</v>
      </c>
      <c r="AI708" cm="1">
        <f t="array" ref="AI708">_xlfn.SWITCH(tbl_HR_Data[[#This Row],[MaritalStatus]],"Single",0,"Married",1,"Divorced",2)</f>
        <v>0</v>
      </c>
      <c r="AJ708">
        <f>IF(tbl_HR_Data[[#This Row],[OverTime]]=1,1,0)</f>
        <v>1</v>
      </c>
      <c r="AK708">
        <f>IF(tbl_HR_Data[[#This Row],[DistanceFromHome]]&gt;15,1,0)</f>
        <v>1</v>
      </c>
      <c r="AL708">
        <f>IF(tbl_HR_Data[[#This Row],[JobSatisfaction]]&lt;=2,1,0)</f>
        <v>1</v>
      </c>
      <c r="AM708">
        <f>IF(tbl_HR_Data[[#This Row],[MonthlyIncome]]&lt;$AT$2,1,0)</f>
        <v>0</v>
      </c>
      <c r="AN708">
        <f>IF(tbl_HR_Data[[#This Row],[Travel_Code]]=2,1,0)</f>
        <v>0</v>
      </c>
      <c r="AO708">
        <f>(tbl_HR_Data[[#This Row],[Flag_OT]] * Logic_Parameters!$B$2) +
 (tbl_HR_Data[[#This Row],[Flag_Travel]] * Logic_Parameters!$B$3) +
 (tbl_HR_Data[[#This Row],[Flag_Satisfaction]] * Logic_Parameters!$B$4) +
 (tbl_HR_Data[[#This Row],[Flag_Distance]]* Logic_Parameters!$B$5) +
 (tbl_HR_Data[[#This Row],[Flag_Income]] * Logic_Parameters!$B$6)</f>
        <v>17.370639825853509</v>
      </c>
      <c r="AP708" s="15">
        <f>tbl_HR_Data[[#This Row],[Risk_Score_Raw]] / SUM(Logic_Parameters!$B$2:$B$6)</f>
        <v>0.59846219759007979</v>
      </c>
      <c r="AQ708" s="16" t="str" cm="1">
        <f t="array" ref="AQ708">_xlfn.IFS(tbl_HR_Data[[#This Row],[Attrition_Risk_Percentage]] &gt;= 0.75, "Critical",tbl_HR_Data[ [#This Row],[Attrition_Risk_Percentage] ]&gt;= 0.5, "High",tbl_HR_Data[[#This Row],[Attrition_Risk_Percentage]] &gt;= 0.25, "Medium",TRUE, "Low")</f>
        <v>High</v>
      </c>
      <c r="AR708" s="16" cm="1">
        <f t="array" ref="AR708">IFERROR(_xlfn.IFS(tbl_HR_Data[[#This Row],[Risk_Category]]="Critical",tbl_HR_Data[[#This Row],[MonthlyIncome]]*1.5,tbl_HR_Data[[#This Row],[Risk_Category]]="High",tbl_HR_Data[[#This Row],[MonthlyIncome]]*1.5),0)</f>
        <v>19791</v>
      </c>
    </row>
    <row r="709" spans="1:44" x14ac:dyDescent="0.35">
      <c r="A709" t="s">
        <v>1193</v>
      </c>
      <c r="B709">
        <v>47</v>
      </c>
      <c r="C709" t="s">
        <v>37</v>
      </c>
      <c r="D709">
        <v>1379</v>
      </c>
      <c r="E709" t="s">
        <v>38</v>
      </c>
      <c r="F709">
        <v>16</v>
      </c>
      <c r="G709">
        <v>4</v>
      </c>
      <c r="H709" t="s">
        <v>44</v>
      </c>
      <c r="I709">
        <v>3</v>
      </c>
      <c r="J709" t="s">
        <v>39</v>
      </c>
      <c r="K709">
        <v>64</v>
      </c>
      <c r="L709">
        <v>4</v>
      </c>
      <c r="M709">
        <v>2</v>
      </c>
      <c r="N709" t="s">
        <v>46</v>
      </c>
      <c r="O709">
        <v>3</v>
      </c>
      <c r="P709" t="s">
        <v>45</v>
      </c>
      <c r="Q709">
        <v>5067</v>
      </c>
      <c r="R709">
        <v>6759</v>
      </c>
      <c r="S709">
        <v>1</v>
      </c>
      <c r="T709">
        <v>1</v>
      </c>
      <c r="U709" s="17">
        <v>0.19</v>
      </c>
      <c r="V709">
        <v>3</v>
      </c>
      <c r="W709">
        <v>3</v>
      </c>
      <c r="X709">
        <v>0</v>
      </c>
      <c r="Y709">
        <v>20</v>
      </c>
      <c r="Z709">
        <v>3</v>
      </c>
      <c r="AA709">
        <v>4</v>
      </c>
      <c r="AB709">
        <v>19</v>
      </c>
      <c r="AC709">
        <v>10</v>
      </c>
      <c r="AD709">
        <v>2</v>
      </c>
      <c r="AE709">
        <v>7</v>
      </c>
      <c r="AF709">
        <v>0</v>
      </c>
      <c r="AG709">
        <f>IF(tbl_HR_Data[[#This Row],[Gender]]="Male",1,0)</f>
        <v>1</v>
      </c>
      <c r="AH709" cm="1">
        <f t="array" ref="AH709">_xlfn.SWITCH(tbl_HR_Data[[#This Row],[BusinessTravel]], "Non-Travel", 0, "Travel_Rarely", 1, "Travel_Frequently", 2)</f>
        <v>2</v>
      </c>
      <c r="AI709" cm="1">
        <f t="array" ref="AI709">_xlfn.SWITCH(tbl_HR_Data[[#This Row],[MaritalStatus]],"Single",0,"Married",1,"Divorced",2)</f>
        <v>2</v>
      </c>
      <c r="AJ709">
        <f>IF(tbl_HR_Data[[#This Row],[OverTime]]=1,1,0)</f>
        <v>1</v>
      </c>
      <c r="AK709">
        <f>IF(tbl_HR_Data[[#This Row],[DistanceFromHome]]&gt;15,1,0)</f>
        <v>1</v>
      </c>
      <c r="AL709">
        <f>IF(tbl_HR_Data[[#This Row],[JobSatisfaction]]&lt;=2,1,0)</f>
        <v>0</v>
      </c>
      <c r="AM709">
        <f>IF(tbl_HR_Data[[#This Row],[MonthlyIncome]]&lt;$AT$2,1,0)</f>
        <v>0</v>
      </c>
      <c r="AN709">
        <f>IF(tbl_HR_Data[[#This Row],[Travel_Code]]=2,1,0)</f>
        <v>1</v>
      </c>
      <c r="AO709">
        <f>(tbl_HR_Data[[#This Row],[Flag_OT]] * Logic_Parameters!$B$2) +
 (tbl_HR_Data[[#This Row],[Flag_Travel]] * Logic_Parameters!$B$3) +
 (tbl_HR_Data[[#This Row],[Flag_Satisfaction]] * Logic_Parameters!$B$4) +
 (tbl_HR_Data[[#This Row],[Flag_Distance]]* Logic_Parameters!$B$5) +
 (tbl_HR_Data[[#This Row],[Flag_Income]] * Logic_Parameters!$B$6)</f>
        <v>18.326496676365554</v>
      </c>
      <c r="AP709" s="15">
        <f>tbl_HR_Data[[#This Row],[Risk_Score_Raw]] / SUM(Logic_Parameters!$B$2:$B$6)</f>
        <v>0.63139386833300615</v>
      </c>
      <c r="AQ709" s="16" t="str" cm="1">
        <f t="array" ref="AQ709">_xlfn.IFS(tbl_HR_Data[[#This Row],[Attrition_Risk_Percentage]] &gt;= 0.75, "Critical",tbl_HR_Data[ [#This Row],[Attrition_Risk_Percentage] ]&gt;= 0.5, "High",tbl_HR_Data[[#This Row],[Attrition_Risk_Percentage]] &gt;= 0.25, "Medium",TRUE, "Low")</f>
        <v>High</v>
      </c>
      <c r="AR709" s="16" cm="1">
        <f t="array" ref="AR709">IFERROR(_xlfn.IFS(tbl_HR_Data[[#This Row],[Risk_Category]]="Critical",tbl_HR_Data[[#This Row],[MonthlyIncome]]*1.5,tbl_HR_Data[[#This Row],[Risk_Category]]="High",tbl_HR_Data[[#This Row],[MonthlyIncome]]*1.5),0)</f>
        <v>7600.5</v>
      </c>
    </row>
    <row r="710" spans="1:44" x14ac:dyDescent="0.35">
      <c r="A710" t="s">
        <v>1109</v>
      </c>
      <c r="B710">
        <v>36</v>
      </c>
      <c r="C710" t="s">
        <v>1525</v>
      </c>
      <c r="D710">
        <v>1229</v>
      </c>
      <c r="E710" t="s">
        <v>32</v>
      </c>
      <c r="F710">
        <v>8</v>
      </c>
      <c r="G710">
        <v>4</v>
      </c>
      <c r="H710" t="s">
        <v>52</v>
      </c>
      <c r="I710">
        <v>1</v>
      </c>
      <c r="J710" t="s">
        <v>39</v>
      </c>
      <c r="K710">
        <v>84</v>
      </c>
      <c r="L710">
        <v>3</v>
      </c>
      <c r="M710">
        <v>2</v>
      </c>
      <c r="N710" t="s">
        <v>35</v>
      </c>
      <c r="O710">
        <v>4</v>
      </c>
      <c r="P710" t="s">
        <v>45</v>
      </c>
      <c r="Q710">
        <v>5079</v>
      </c>
      <c r="R710">
        <v>25952</v>
      </c>
      <c r="S710">
        <v>4</v>
      </c>
      <c r="T710">
        <v>0</v>
      </c>
      <c r="U710" s="17">
        <v>0.13</v>
      </c>
      <c r="V710">
        <v>3</v>
      </c>
      <c r="W710">
        <v>4</v>
      </c>
      <c r="X710">
        <v>2</v>
      </c>
      <c r="Y710">
        <v>12</v>
      </c>
      <c r="Z710">
        <v>3</v>
      </c>
      <c r="AA710">
        <v>3</v>
      </c>
      <c r="AB710">
        <v>7</v>
      </c>
      <c r="AC710">
        <v>7</v>
      </c>
      <c r="AD710">
        <v>0</v>
      </c>
      <c r="AE710">
        <v>7</v>
      </c>
      <c r="AF710">
        <v>0</v>
      </c>
      <c r="AG710">
        <f>IF(tbl_HR_Data[[#This Row],[Gender]]="Male",1,0)</f>
        <v>1</v>
      </c>
      <c r="AH710" cm="1">
        <f t="array" ref="AH710">_xlfn.SWITCH(tbl_HR_Data[[#This Row],[BusinessTravel]], "Non-Travel", 0, "Travel_Rarely", 1, "Travel_Frequently", 2)</f>
        <v>0</v>
      </c>
      <c r="AI710" cm="1">
        <f t="array" ref="AI710">_xlfn.SWITCH(tbl_HR_Data[[#This Row],[MaritalStatus]],"Single",0,"Married",1,"Divorced",2)</f>
        <v>2</v>
      </c>
      <c r="AJ710">
        <f>IF(tbl_HR_Data[[#This Row],[OverTime]]=1,1,0)</f>
        <v>0</v>
      </c>
      <c r="AK710">
        <f>IF(tbl_HR_Data[[#This Row],[DistanceFromHome]]&gt;15,1,0)</f>
        <v>0</v>
      </c>
      <c r="AL710">
        <f>IF(tbl_HR_Data[[#This Row],[JobSatisfaction]]&lt;=2,1,0)</f>
        <v>0</v>
      </c>
      <c r="AM710">
        <f>IF(tbl_HR_Data[[#This Row],[MonthlyIncome]]&lt;$AT$2,1,0)</f>
        <v>0</v>
      </c>
      <c r="AN710">
        <f>IF(tbl_HR_Data[[#This Row],[Travel_Code]]=2,1,0)</f>
        <v>0</v>
      </c>
      <c r="AO710">
        <f>(tbl_HR_Data[[#This Row],[Flag_OT]] * Logic_Parameters!$B$2) +
 (tbl_HR_Data[[#This Row],[Flag_Travel]] * Logic_Parameters!$B$3) +
 (tbl_HR_Data[[#This Row],[Flag_Satisfaction]] * Logic_Parameters!$B$4) +
 (tbl_HR_Data[[#This Row],[Flag_Distance]]* Logic_Parameters!$B$5) +
 (tbl_HR_Data[[#This Row],[Flag_Income]] * Logic_Parameters!$B$6)</f>
        <v>0</v>
      </c>
      <c r="AP710" s="15">
        <f>tbl_HR_Data[[#This Row],[Risk_Score_Raw]] / SUM(Logic_Parameters!$B$2:$B$6)</f>
        <v>0</v>
      </c>
      <c r="AQ710" s="16" t="str" cm="1">
        <f t="array" ref="AQ710">_xlfn.IFS(tbl_HR_Data[[#This Row],[Attrition_Risk_Percentage]] &gt;= 0.75, "Critical",tbl_HR_Data[ [#This Row],[Attrition_Risk_Percentage] ]&gt;= 0.5, "High",tbl_HR_Data[[#This Row],[Attrition_Risk_Percentage]] &gt;= 0.25, "Medium",TRUE, "Low")</f>
        <v>Low</v>
      </c>
      <c r="AR710" s="16" cm="1">
        <f t="array" ref="AR710">IFERROR(_xlfn.IFS(tbl_HR_Data[[#This Row],[Risk_Category]]="Critical",tbl_HR_Data[[#This Row],[MonthlyIncome]]*1.5,tbl_HR_Data[[#This Row],[Risk_Category]]="High",tbl_HR_Data[[#This Row],[MonthlyIncome]]*1.5),0)</f>
        <v>0</v>
      </c>
    </row>
    <row r="711" spans="1:44" x14ac:dyDescent="0.35">
      <c r="A711" t="s">
        <v>1385</v>
      </c>
      <c r="B711">
        <v>31</v>
      </c>
      <c r="C711" t="s">
        <v>1525</v>
      </c>
      <c r="D711">
        <v>335</v>
      </c>
      <c r="E711" t="s">
        <v>38</v>
      </c>
      <c r="F711">
        <v>9</v>
      </c>
      <c r="G711">
        <v>2</v>
      </c>
      <c r="H711" t="s">
        <v>44</v>
      </c>
      <c r="I711">
        <v>3</v>
      </c>
      <c r="J711" t="s">
        <v>39</v>
      </c>
      <c r="K711">
        <v>46</v>
      </c>
      <c r="L711">
        <v>2</v>
      </c>
      <c r="M711">
        <v>1</v>
      </c>
      <c r="N711" t="s">
        <v>40</v>
      </c>
      <c r="O711">
        <v>1</v>
      </c>
      <c r="P711" t="s">
        <v>36</v>
      </c>
      <c r="Q711">
        <v>2321</v>
      </c>
      <c r="R711">
        <v>10322</v>
      </c>
      <c r="S711">
        <v>0</v>
      </c>
      <c r="T711">
        <v>1</v>
      </c>
      <c r="U711" s="17">
        <v>0.22</v>
      </c>
      <c r="V711">
        <v>4</v>
      </c>
      <c r="W711">
        <v>1</v>
      </c>
      <c r="X711">
        <v>0</v>
      </c>
      <c r="Y711">
        <v>4</v>
      </c>
      <c r="Z711">
        <v>0</v>
      </c>
      <c r="AA711">
        <v>3</v>
      </c>
      <c r="AB711">
        <v>3</v>
      </c>
      <c r="AC711">
        <v>2</v>
      </c>
      <c r="AD711">
        <v>1</v>
      </c>
      <c r="AE711">
        <v>2</v>
      </c>
      <c r="AF711">
        <v>1</v>
      </c>
      <c r="AG711">
        <f>IF(tbl_HR_Data[[#This Row],[Gender]]="Male",1,0)</f>
        <v>1</v>
      </c>
      <c r="AH711" cm="1">
        <f t="array" ref="AH711">_xlfn.SWITCH(tbl_HR_Data[[#This Row],[BusinessTravel]], "Non-Travel", 0, "Travel_Rarely", 1, "Travel_Frequently", 2)</f>
        <v>0</v>
      </c>
      <c r="AI711" cm="1">
        <f t="array" ref="AI711">_xlfn.SWITCH(tbl_HR_Data[[#This Row],[MaritalStatus]],"Single",0,"Married",1,"Divorced",2)</f>
        <v>0</v>
      </c>
      <c r="AJ711">
        <f>IF(tbl_HR_Data[[#This Row],[OverTime]]=1,1,0)</f>
        <v>1</v>
      </c>
      <c r="AK711">
        <f>IF(tbl_HR_Data[[#This Row],[DistanceFromHome]]&gt;15,1,0)</f>
        <v>0</v>
      </c>
      <c r="AL711">
        <f>IF(tbl_HR_Data[[#This Row],[JobSatisfaction]]&lt;=2,1,0)</f>
        <v>1</v>
      </c>
      <c r="AM711">
        <f>IF(tbl_HR_Data[[#This Row],[MonthlyIncome]]&lt;$AT$2,1,0)</f>
        <v>1</v>
      </c>
      <c r="AN711">
        <f>IF(tbl_HR_Data[[#This Row],[Travel_Code]]=2,1,0)</f>
        <v>0</v>
      </c>
      <c r="AO711">
        <f>(tbl_HR_Data[[#This Row],[Flag_OT]] * Logic_Parameters!$B$2) +
 (tbl_HR_Data[[#This Row],[Flag_Travel]] * Logic_Parameters!$B$3) +
 (tbl_HR_Data[[#This Row],[Flag_Satisfaction]] * Logic_Parameters!$B$4) +
 (tbl_HR_Data[[#This Row],[Flag_Distance]]* Logic_Parameters!$B$5) +
 (tbl_HR_Data[[#This Row],[Flag_Income]] * Logic_Parameters!$B$6)</f>
        <v>20.698962067398959</v>
      </c>
      <c r="AP711" s="15">
        <f>tbl_HR_Data[[#This Row],[Risk_Score_Raw]] / SUM(Logic_Parameters!$B$2:$B$6)</f>
        <v>0.71313126349280109</v>
      </c>
      <c r="AQ711" s="16" t="str" cm="1">
        <f t="array" ref="AQ711">_xlfn.IFS(tbl_HR_Data[[#This Row],[Attrition_Risk_Percentage]] &gt;= 0.75, "Critical",tbl_HR_Data[ [#This Row],[Attrition_Risk_Percentage] ]&gt;= 0.5, "High",tbl_HR_Data[[#This Row],[Attrition_Risk_Percentage]] &gt;= 0.25, "Medium",TRUE, "Low")</f>
        <v>High</v>
      </c>
      <c r="AR711" s="16" cm="1">
        <f t="array" ref="AR711">IFERROR(_xlfn.IFS(tbl_HR_Data[[#This Row],[Risk_Category]]="Critical",tbl_HR_Data[[#This Row],[MonthlyIncome]]*1.5,tbl_HR_Data[[#This Row],[Risk_Category]]="High",tbl_HR_Data[[#This Row],[MonthlyIncome]]*1.5),0)</f>
        <v>3481.5</v>
      </c>
    </row>
    <row r="712" spans="1:44" x14ac:dyDescent="0.35">
      <c r="A712" t="s">
        <v>1516</v>
      </c>
      <c r="B712">
        <v>33</v>
      </c>
      <c r="C712" t="s">
        <v>1525</v>
      </c>
      <c r="D712">
        <v>722</v>
      </c>
      <c r="E712" t="s">
        <v>32</v>
      </c>
      <c r="F712">
        <v>17</v>
      </c>
      <c r="G712">
        <v>3</v>
      </c>
      <c r="H712" t="s">
        <v>33</v>
      </c>
      <c r="I712">
        <v>4</v>
      </c>
      <c r="J712" t="s">
        <v>39</v>
      </c>
      <c r="K712">
        <v>38</v>
      </c>
      <c r="L712">
        <v>3</v>
      </c>
      <c r="M712">
        <v>4</v>
      </c>
      <c r="N712" t="s">
        <v>48</v>
      </c>
      <c r="O712">
        <v>3</v>
      </c>
      <c r="P712" t="s">
        <v>36</v>
      </c>
      <c r="Q712">
        <v>17444</v>
      </c>
      <c r="R712">
        <v>20489</v>
      </c>
      <c r="S712">
        <v>1</v>
      </c>
      <c r="T712">
        <v>0</v>
      </c>
      <c r="U712" s="17">
        <v>0.11</v>
      </c>
      <c r="V712">
        <v>3</v>
      </c>
      <c r="W712">
        <v>4</v>
      </c>
      <c r="X712">
        <v>0</v>
      </c>
      <c r="Y712">
        <v>10</v>
      </c>
      <c r="Z712">
        <v>2</v>
      </c>
      <c r="AA712">
        <v>3</v>
      </c>
      <c r="AB712">
        <v>10</v>
      </c>
      <c r="AC712">
        <v>8</v>
      </c>
      <c r="AD712">
        <v>6</v>
      </c>
      <c r="AE712">
        <v>0</v>
      </c>
      <c r="AF712">
        <v>0</v>
      </c>
      <c r="AG712">
        <f>IF(tbl_HR_Data[[#This Row],[Gender]]="Male",1,0)</f>
        <v>1</v>
      </c>
      <c r="AH712" cm="1">
        <f t="array" ref="AH712">_xlfn.SWITCH(tbl_HR_Data[[#This Row],[BusinessTravel]], "Non-Travel", 0, "Travel_Rarely", 1, "Travel_Frequently", 2)</f>
        <v>0</v>
      </c>
      <c r="AI712" cm="1">
        <f t="array" ref="AI712">_xlfn.SWITCH(tbl_HR_Data[[#This Row],[MaritalStatus]],"Single",0,"Married",1,"Divorced",2)</f>
        <v>0</v>
      </c>
      <c r="AJ712">
        <f>IF(tbl_HR_Data[[#This Row],[OverTime]]=1,1,0)</f>
        <v>0</v>
      </c>
      <c r="AK712">
        <f>IF(tbl_HR_Data[[#This Row],[DistanceFromHome]]&gt;15,1,0)</f>
        <v>1</v>
      </c>
      <c r="AL712">
        <f>IF(tbl_HR_Data[[#This Row],[JobSatisfaction]]&lt;=2,1,0)</f>
        <v>0</v>
      </c>
      <c r="AM712">
        <f>IF(tbl_HR_Data[[#This Row],[MonthlyIncome]]&lt;$AT$2,1,0)</f>
        <v>0</v>
      </c>
      <c r="AN712">
        <f>IF(tbl_HR_Data[[#This Row],[Travel_Code]]=2,1,0)</f>
        <v>0</v>
      </c>
      <c r="AO712">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712" s="15">
        <f>tbl_HR_Data[[#This Row],[Risk_Score_Raw]] / SUM(Logic_Parameters!$B$2:$B$6)</f>
        <v>0.10908033267710357</v>
      </c>
      <c r="AQ712" s="16" t="str" cm="1">
        <f t="array" ref="AQ712">_xlfn.IFS(tbl_HR_Data[[#This Row],[Attrition_Risk_Percentage]] &gt;= 0.75, "Critical",tbl_HR_Data[ [#This Row],[Attrition_Risk_Percentage] ]&gt;= 0.5, "High",tbl_HR_Data[[#This Row],[Attrition_Risk_Percentage]] &gt;= 0.25, "Medium",TRUE, "Low")</f>
        <v>Low</v>
      </c>
      <c r="AR712" s="16" cm="1">
        <f t="array" ref="AR712">IFERROR(_xlfn.IFS(tbl_HR_Data[[#This Row],[Risk_Category]]="Critical",tbl_HR_Data[[#This Row],[MonthlyIncome]]*1.5,tbl_HR_Data[[#This Row],[Risk_Category]]="High",tbl_HR_Data[[#This Row],[MonthlyIncome]]*1.5),0)</f>
        <v>0</v>
      </c>
    </row>
    <row r="713" spans="1:44" x14ac:dyDescent="0.35">
      <c r="A713" t="s">
        <v>126</v>
      </c>
      <c r="B713">
        <v>29</v>
      </c>
      <c r="C713" t="s">
        <v>31</v>
      </c>
      <c r="D713">
        <v>906</v>
      </c>
      <c r="E713" t="s">
        <v>38</v>
      </c>
      <c r="F713">
        <v>10</v>
      </c>
      <c r="G713">
        <v>3</v>
      </c>
      <c r="H713" t="s">
        <v>33</v>
      </c>
      <c r="I713">
        <v>4</v>
      </c>
      <c r="J713" t="s">
        <v>34</v>
      </c>
      <c r="K713">
        <v>92</v>
      </c>
      <c r="L713">
        <v>2</v>
      </c>
      <c r="M713">
        <v>1</v>
      </c>
      <c r="N713" t="s">
        <v>40</v>
      </c>
      <c r="O713">
        <v>1</v>
      </c>
      <c r="P713" t="s">
        <v>36</v>
      </c>
      <c r="Q713">
        <v>2404</v>
      </c>
      <c r="R713">
        <v>11479</v>
      </c>
      <c r="S713">
        <v>6</v>
      </c>
      <c r="T713">
        <v>1</v>
      </c>
      <c r="U713" s="17">
        <v>0.2</v>
      </c>
      <c r="V713">
        <v>4</v>
      </c>
      <c r="W713">
        <v>3</v>
      </c>
      <c r="X713">
        <v>0</v>
      </c>
      <c r="Y713">
        <v>3</v>
      </c>
      <c r="Z713">
        <v>5</v>
      </c>
      <c r="AA713">
        <v>3</v>
      </c>
      <c r="AB713">
        <v>0</v>
      </c>
      <c r="AC713">
        <v>0</v>
      </c>
      <c r="AD713">
        <v>0</v>
      </c>
      <c r="AE713">
        <v>0</v>
      </c>
      <c r="AF713">
        <v>1</v>
      </c>
      <c r="AG713">
        <f>IF(tbl_HR_Data[[#This Row],[Gender]]="Male",1,0)</f>
        <v>0</v>
      </c>
      <c r="AH713" cm="1">
        <f t="array" ref="AH713">_xlfn.SWITCH(tbl_HR_Data[[#This Row],[BusinessTravel]], "Non-Travel", 0, "Travel_Rarely", 1, "Travel_Frequently", 2)</f>
        <v>1</v>
      </c>
      <c r="AI713" cm="1">
        <f t="array" ref="AI713">_xlfn.SWITCH(tbl_HR_Data[[#This Row],[MaritalStatus]],"Single",0,"Married",1,"Divorced",2)</f>
        <v>0</v>
      </c>
      <c r="AJ713">
        <f>IF(tbl_HR_Data[[#This Row],[OverTime]]=1,1,0)</f>
        <v>1</v>
      </c>
      <c r="AK713">
        <f>IF(tbl_HR_Data[[#This Row],[DistanceFromHome]]&gt;15,1,0)</f>
        <v>0</v>
      </c>
      <c r="AL713">
        <f>IF(tbl_HR_Data[[#This Row],[JobSatisfaction]]&lt;=2,1,0)</f>
        <v>1</v>
      </c>
      <c r="AM713">
        <f>IF(tbl_HR_Data[[#This Row],[MonthlyIncome]]&lt;$AT$2,1,0)</f>
        <v>1</v>
      </c>
      <c r="AN713">
        <f>IF(tbl_HR_Data[[#This Row],[Travel_Code]]=2,1,0)</f>
        <v>0</v>
      </c>
      <c r="AO713">
        <f>(tbl_HR_Data[[#This Row],[Flag_OT]] * Logic_Parameters!$B$2) +
 (tbl_HR_Data[[#This Row],[Flag_Travel]] * Logic_Parameters!$B$3) +
 (tbl_HR_Data[[#This Row],[Flag_Satisfaction]] * Logic_Parameters!$B$4) +
 (tbl_HR_Data[[#This Row],[Flag_Distance]]* Logic_Parameters!$B$5) +
 (tbl_HR_Data[[#This Row],[Flag_Income]] * Logic_Parameters!$B$6)</f>
        <v>20.698962067398959</v>
      </c>
      <c r="AP713" s="15">
        <f>tbl_HR_Data[[#This Row],[Risk_Score_Raw]] / SUM(Logic_Parameters!$B$2:$B$6)</f>
        <v>0.71313126349280109</v>
      </c>
      <c r="AQ713" s="16" t="str" cm="1">
        <f t="array" ref="AQ713">_xlfn.IFS(tbl_HR_Data[[#This Row],[Attrition_Risk_Percentage]] &gt;= 0.75, "Critical",tbl_HR_Data[ [#This Row],[Attrition_Risk_Percentage] ]&gt;= 0.5, "High",tbl_HR_Data[[#This Row],[Attrition_Risk_Percentage]] &gt;= 0.25, "Medium",TRUE, "Low")</f>
        <v>High</v>
      </c>
      <c r="AR713" s="16" cm="1">
        <f t="array" ref="AR713">IFERROR(_xlfn.IFS(tbl_HR_Data[[#This Row],[Risk_Category]]="Critical",tbl_HR_Data[[#This Row],[MonthlyIncome]]*1.5,tbl_HR_Data[[#This Row],[Risk_Category]]="High",tbl_HR_Data[[#This Row],[MonthlyIncome]]*1.5),0)</f>
        <v>3606</v>
      </c>
    </row>
    <row r="714" spans="1:44" x14ac:dyDescent="0.35">
      <c r="A714" t="s">
        <v>954</v>
      </c>
      <c r="B714">
        <v>33</v>
      </c>
      <c r="C714" t="s">
        <v>31</v>
      </c>
      <c r="D714">
        <v>461</v>
      </c>
      <c r="E714" t="s">
        <v>38</v>
      </c>
      <c r="F714">
        <v>13</v>
      </c>
      <c r="G714">
        <v>1</v>
      </c>
      <c r="H714" t="s">
        <v>33</v>
      </c>
      <c r="I714">
        <v>2</v>
      </c>
      <c r="J714" t="s">
        <v>34</v>
      </c>
      <c r="K714">
        <v>53</v>
      </c>
      <c r="L714">
        <v>3</v>
      </c>
      <c r="M714">
        <v>1</v>
      </c>
      <c r="N714" t="s">
        <v>40</v>
      </c>
      <c r="O714">
        <v>4</v>
      </c>
      <c r="P714" t="s">
        <v>36</v>
      </c>
      <c r="Q714">
        <v>3452</v>
      </c>
      <c r="R714">
        <v>17241</v>
      </c>
      <c r="S714">
        <v>3</v>
      </c>
      <c r="T714">
        <v>0</v>
      </c>
      <c r="U714" s="17">
        <v>0.18</v>
      </c>
      <c r="V714">
        <v>3</v>
      </c>
      <c r="W714">
        <v>1</v>
      </c>
      <c r="X714">
        <v>0</v>
      </c>
      <c r="Y714">
        <v>5</v>
      </c>
      <c r="Z714">
        <v>4</v>
      </c>
      <c r="AA714">
        <v>3</v>
      </c>
      <c r="AB714">
        <v>3</v>
      </c>
      <c r="AC714">
        <v>2</v>
      </c>
      <c r="AD714">
        <v>0</v>
      </c>
      <c r="AE714">
        <v>2</v>
      </c>
      <c r="AF714">
        <v>0</v>
      </c>
      <c r="AG714">
        <f>IF(tbl_HR_Data[[#This Row],[Gender]]="Male",1,0)</f>
        <v>0</v>
      </c>
      <c r="AH714" cm="1">
        <f t="array" ref="AH714">_xlfn.SWITCH(tbl_HR_Data[[#This Row],[BusinessTravel]], "Non-Travel", 0, "Travel_Rarely", 1, "Travel_Frequently", 2)</f>
        <v>1</v>
      </c>
      <c r="AI714" cm="1">
        <f t="array" ref="AI714">_xlfn.SWITCH(tbl_HR_Data[[#This Row],[MaritalStatus]],"Single",0,"Married",1,"Divorced",2)</f>
        <v>0</v>
      </c>
      <c r="AJ714">
        <f>IF(tbl_HR_Data[[#This Row],[OverTime]]=1,1,0)</f>
        <v>0</v>
      </c>
      <c r="AK714">
        <f>IF(tbl_HR_Data[[#This Row],[DistanceFromHome]]&gt;15,1,0)</f>
        <v>0</v>
      </c>
      <c r="AL714">
        <f>IF(tbl_HR_Data[[#This Row],[JobSatisfaction]]&lt;=2,1,0)</f>
        <v>0</v>
      </c>
      <c r="AM714">
        <f>IF(tbl_HR_Data[[#This Row],[MonthlyIncome]]&lt;$AT$2,1,0)</f>
        <v>1</v>
      </c>
      <c r="AN714">
        <f>IF(tbl_HR_Data[[#This Row],[Travel_Code]]=2,1,0)</f>
        <v>0</v>
      </c>
      <c r="AO714">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714" s="15">
        <f>tbl_HR_Data[[#This Row],[Risk_Score_Raw]] / SUM(Logic_Parameters!$B$2:$B$6)</f>
        <v>0.22374939857982484</v>
      </c>
      <c r="AQ714" s="16" t="str" cm="1">
        <f t="array" ref="AQ714">_xlfn.IFS(tbl_HR_Data[[#This Row],[Attrition_Risk_Percentage]] &gt;= 0.75, "Critical",tbl_HR_Data[ [#This Row],[Attrition_Risk_Percentage] ]&gt;= 0.5, "High",tbl_HR_Data[[#This Row],[Attrition_Risk_Percentage]] &gt;= 0.25, "Medium",TRUE, "Low")</f>
        <v>Low</v>
      </c>
      <c r="AR714" s="16" cm="1">
        <f t="array" ref="AR714">IFERROR(_xlfn.IFS(tbl_HR_Data[[#This Row],[Risk_Category]]="Critical",tbl_HR_Data[[#This Row],[MonthlyIncome]]*1.5,tbl_HR_Data[[#This Row],[Risk_Category]]="High",tbl_HR_Data[[#This Row],[MonthlyIncome]]*1.5),0)</f>
        <v>0</v>
      </c>
    </row>
    <row r="715" spans="1:44" x14ac:dyDescent="0.35">
      <c r="A715" t="s">
        <v>970</v>
      </c>
      <c r="B715">
        <v>45</v>
      </c>
      <c r="C715" t="s">
        <v>31</v>
      </c>
      <c r="D715">
        <v>974</v>
      </c>
      <c r="E715" t="s">
        <v>38</v>
      </c>
      <c r="F715">
        <v>1</v>
      </c>
      <c r="G715">
        <v>4</v>
      </c>
      <c r="H715" t="s">
        <v>44</v>
      </c>
      <c r="I715">
        <v>4</v>
      </c>
      <c r="J715" t="s">
        <v>34</v>
      </c>
      <c r="K715">
        <v>91</v>
      </c>
      <c r="L715">
        <v>3</v>
      </c>
      <c r="M715">
        <v>1</v>
      </c>
      <c r="N715" t="s">
        <v>43</v>
      </c>
      <c r="O715">
        <v>4</v>
      </c>
      <c r="P715" t="s">
        <v>45</v>
      </c>
      <c r="Q715">
        <v>2270</v>
      </c>
      <c r="R715">
        <v>11005</v>
      </c>
      <c r="S715">
        <v>3</v>
      </c>
      <c r="T715">
        <v>0</v>
      </c>
      <c r="U715" s="17">
        <v>0.14000000000000001</v>
      </c>
      <c r="V715">
        <v>3</v>
      </c>
      <c r="W715">
        <v>4</v>
      </c>
      <c r="X715">
        <v>2</v>
      </c>
      <c r="Y715">
        <v>8</v>
      </c>
      <c r="Z715">
        <v>2</v>
      </c>
      <c r="AA715">
        <v>3</v>
      </c>
      <c r="AB715">
        <v>5</v>
      </c>
      <c r="AC715">
        <v>3</v>
      </c>
      <c r="AD715">
        <v>0</v>
      </c>
      <c r="AE715">
        <v>2</v>
      </c>
      <c r="AF715">
        <v>0</v>
      </c>
      <c r="AG715">
        <f>IF(tbl_HR_Data[[#This Row],[Gender]]="Male",1,0)</f>
        <v>0</v>
      </c>
      <c r="AH715" cm="1">
        <f t="array" ref="AH715">_xlfn.SWITCH(tbl_HR_Data[[#This Row],[BusinessTravel]], "Non-Travel", 0, "Travel_Rarely", 1, "Travel_Frequently", 2)</f>
        <v>1</v>
      </c>
      <c r="AI715" cm="1">
        <f t="array" ref="AI715">_xlfn.SWITCH(tbl_HR_Data[[#This Row],[MaritalStatus]],"Single",0,"Married",1,"Divorced",2)</f>
        <v>2</v>
      </c>
      <c r="AJ715">
        <f>IF(tbl_HR_Data[[#This Row],[OverTime]]=1,1,0)</f>
        <v>0</v>
      </c>
      <c r="AK715">
        <f>IF(tbl_HR_Data[[#This Row],[DistanceFromHome]]&gt;15,1,0)</f>
        <v>0</v>
      </c>
      <c r="AL715">
        <f>IF(tbl_HR_Data[[#This Row],[JobSatisfaction]]&lt;=2,1,0)</f>
        <v>0</v>
      </c>
      <c r="AM715">
        <f>IF(tbl_HR_Data[[#This Row],[MonthlyIncome]]&lt;$AT$2,1,0)</f>
        <v>1</v>
      </c>
      <c r="AN715">
        <f>IF(tbl_HR_Data[[#This Row],[Travel_Code]]=2,1,0)</f>
        <v>0</v>
      </c>
      <c r="AO715">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715" s="15">
        <f>tbl_HR_Data[[#This Row],[Risk_Score_Raw]] / SUM(Logic_Parameters!$B$2:$B$6)</f>
        <v>0.22374939857982484</v>
      </c>
      <c r="AQ715" s="16" t="str" cm="1">
        <f t="array" ref="AQ715">_xlfn.IFS(tbl_HR_Data[[#This Row],[Attrition_Risk_Percentage]] &gt;= 0.75, "Critical",tbl_HR_Data[ [#This Row],[Attrition_Risk_Percentage] ]&gt;= 0.5, "High",tbl_HR_Data[[#This Row],[Attrition_Risk_Percentage]] &gt;= 0.25, "Medium",TRUE, "Low")</f>
        <v>Low</v>
      </c>
      <c r="AR715" s="16" cm="1">
        <f t="array" ref="AR715">IFERROR(_xlfn.IFS(tbl_HR_Data[[#This Row],[Risk_Category]]="Critical",tbl_HR_Data[[#This Row],[MonthlyIncome]]*1.5,tbl_HR_Data[[#This Row],[Risk_Category]]="High",tbl_HR_Data[[#This Row],[MonthlyIncome]]*1.5),0)</f>
        <v>0</v>
      </c>
    </row>
    <row r="716" spans="1:44" x14ac:dyDescent="0.35">
      <c r="A716" t="s">
        <v>689</v>
      </c>
      <c r="B716">
        <v>50</v>
      </c>
      <c r="C716" t="s">
        <v>31</v>
      </c>
      <c r="D716">
        <v>1126</v>
      </c>
      <c r="E716" t="s">
        <v>38</v>
      </c>
      <c r="F716">
        <v>1</v>
      </c>
      <c r="G716">
        <v>2</v>
      </c>
      <c r="H716" t="s">
        <v>44</v>
      </c>
      <c r="I716">
        <v>4</v>
      </c>
      <c r="J716" t="s">
        <v>39</v>
      </c>
      <c r="K716">
        <v>66</v>
      </c>
      <c r="L716">
        <v>3</v>
      </c>
      <c r="M716">
        <v>4</v>
      </c>
      <c r="N716" t="s">
        <v>50</v>
      </c>
      <c r="O716">
        <v>4</v>
      </c>
      <c r="P716" t="s">
        <v>45</v>
      </c>
      <c r="Q716">
        <v>17399</v>
      </c>
      <c r="R716">
        <v>6615</v>
      </c>
      <c r="S716">
        <v>9</v>
      </c>
      <c r="T716">
        <v>0</v>
      </c>
      <c r="U716" s="17">
        <v>0.22</v>
      </c>
      <c r="V716">
        <v>4</v>
      </c>
      <c r="W716">
        <v>3</v>
      </c>
      <c r="X716">
        <v>1</v>
      </c>
      <c r="Y716">
        <v>32</v>
      </c>
      <c r="Z716">
        <v>1</v>
      </c>
      <c r="AA716">
        <v>2</v>
      </c>
      <c r="AB716">
        <v>5</v>
      </c>
      <c r="AC716">
        <v>4</v>
      </c>
      <c r="AD716">
        <v>1</v>
      </c>
      <c r="AE716">
        <v>3</v>
      </c>
      <c r="AF716">
        <v>0</v>
      </c>
      <c r="AG716">
        <f>IF(tbl_HR_Data[[#This Row],[Gender]]="Male",1,0)</f>
        <v>1</v>
      </c>
      <c r="AH716" cm="1">
        <f t="array" ref="AH716">_xlfn.SWITCH(tbl_HR_Data[[#This Row],[BusinessTravel]], "Non-Travel", 0, "Travel_Rarely", 1, "Travel_Frequently", 2)</f>
        <v>1</v>
      </c>
      <c r="AI716" cm="1">
        <f t="array" ref="AI716">_xlfn.SWITCH(tbl_HR_Data[[#This Row],[MaritalStatus]],"Single",0,"Married",1,"Divorced",2)</f>
        <v>2</v>
      </c>
      <c r="AJ716">
        <f>IF(tbl_HR_Data[[#This Row],[OverTime]]=1,1,0)</f>
        <v>0</v>
      </c>
      <c r="AK716">
        <f>IF(tbl_HR_Data[[#This Row],[DistanceFromHome]]&gt;15,1,0)</f>
        <v>0</v>
      </c>
      <c r="AL716">
        <f>IF(tbl_HR_Data[[#This Row],[JobSatisfaction]]&lt;=2,1,0)</f>
        <v>0</v>
      </c>
      <c r="AM716">
        <f>IF(tbl_HR_Data[[#This Row],[MonthlyIncome]]&lt;$AT$2,1,0)</f>
        <v>0</v>
      </c>
      <c r="AN716">
        <f>IF(tbl_HR_Data[[#This Row],[Travel_Code]]=2,1,0)</f>
        <v>0</v>
      </c>
      <c r="AO716">
        <f>(tbl_HR_Data[[#This Row],[Flag_OT]] * Logic_Parameters!$B$2) +
 (tbl_HR_Data[[#This Row],[Flag_Travel]] * Logic_Parameters!$B$3) +
 (tbl_HR_Data[[#This Row],[Flag_Satisfaction]] * Logic_Parameters!$B$4) +
 (tbl_HR_Data[[#This Row],[Flag_Distance]]* Logic_Parameters!$B$5) +
 (tbl_HR_Data[[#This Row],[Flag_Income]] * Logic_Parameters!$B$6)</f>
        <v>0</v>
      </c>
      <c r="AP716" s="15">
        <f>tbl_HR_Data[[#This Row],[Risk_Score_Raw]] / SUM(Logic_Parameters!$B$2:$B$6)</f>
        <v>0</v>
      </c>
      <c r="AQ716" s="16" t="str" cm="1">
        <f t="array" ref="AQ716">_xlfn.IFS(tbl_HR_Data[[#This Row],[Attrition_Risk_Percentage]] &gt;= 0.75, "Critical",tbl_HR_Data[ [#This Row],[Attrition_Risk_Percentage] ]&gt;= 0.5, "High",tbl_HR_Data[[#This Row],[Attrition_Risk_Percentage]] &gt;= 0.25, "Medium",TRUE, "Low")</f>
        <v>Low</v>
      </c>
      <c r="AR716" s="16" cm="1">
        <f t="array" ref="AR716">IFERROR(_xlfn.IFS(tbl_HR_Data[[#This Row],[Risk_Category]]="Critical",tbl_HR_Data[[#This Row],[MonthlyIncome]]*1.5,tbl_HR_Data[[#This Row],[Risk_Category]]="High",tbl_HR_Data[[#This Row],[MonthlyIncome]]*1.5),0)</f>
        <v>0</v>
      </c>
    </row>
    <row r="717" spans="1:44" x14ac:dyDescent="0.35">
      <c r="A717" t="s">
        <v>1271</v>
      </c>
      <c r="B717">
        <v>33</v>
      </c>
      <c r="C717" t="s">
        <v>37</v>
      </c>
      <c r="D717">
        <v>827</v>
      </c>
      <c r="E717" t="s">
        <v>38</v>
      </c>
      <c r="F717">
        <v>1</v>
      </c>
      <c r="G717">
        <v>4</v>
      </c>
      <c r="H717" t="s">
        <v>42</v>
      </c>
      <c r="I717">
        <v>3</v>
      </c>
      <c r="J717" t="s">
        <v>34</v>
      </c>
      <c r="K717">
        <v>84</v>
      </c>
      <c r="L717">
        <v>4</v>
      </c>
      <c r="M717">
        <v>2</v>
      </c>
      <c r="N717" t="s">
        <v>47</v>
      </c>
      <c r="O717">
        <v>2</v>
      </c>
      <c r="P717" t="s">
        <v>41</v>
      </c>
      <c r="Q717">
        <v>5488</v>
      </c>
      <c r="R717">
        <v>20161</v>
      </c>
      <c r="S717">
        <v>1</v>
      </c>
      <c r="T717">
        <v>1</v>
      </c>
      <c r="U717" s="17">
        <v>0.13</v>
      </c>
      <c r="V717">
        <v>3</v>
      </c>
      <c r="W717">
        <v>1</v>
      </c>
      <c r="X717">
        <v>1</v>
      </c>
      <c r="Y717">
        <v>6</v>
      </c>
      <c r="Z717">
        <v>2</v>
      </c>
      <c r="AA717">
        <v>3</v>
      </c>
      <c r="AB717">
        <v>6</v>
      </c>
      <c r="AC717">
        <v>5</v>
      </c>
      <c r="AD717">
        <v>1</v>
      </c>
      <c r="AE717">
        <v>2</v>
      </c>
      <c r="AF717">
        <v>0</v>
      </c>
      <c r="AG717">
        <f>IF(tbl_HR_Data[[#This Row],[Gender]]="Male",1,0)</f>
        <v>0</v>
      </c>
      <c r="AH717" cm="1">
        <f t="array" ref="AH717">_xlfn.SWITCH(tbl_HR_Data[[#This Row],[BusinessTravel]], "Non-Travel", 0, "Travel_Rarely", 1, "Travel_Frequently", 2)</f>
        <v>2</v>
      </c>
      <c r="AI717" cm="1">
        <f t="array" ref="AI717">_xlfn.SWITCH(tbl_HR_Data[[#This Row],[MaritalStatus]],"Single",0,"Married",1,"Divorced",2)</f>
        <v>1</v>
      </c>
      <c r="AJ717">
        <f>IF(tbl_HR_Data[[#This Row],[OverTime]]=1,1,0)</f>
        <v>1</v>
      </c>
      <c r="AK717">
        <f>IF(tbl_HR_Data[[#This Row],[DistanceFromHome]]&gt;15,1,0)</f>
        <v>0</v>
      </c>
      <c r="AL717">
        <f>IF(tbl_HR_Data[[#This Row],[JobSatisfaction]]&lt;=2,1,0)</f>
        <v>1</v>
      </c>
      <c r="AM717">
        <f>IF(tbl_HR_Data[[#This Row],[MonthlyIncome]]&lt;$AT$2,1,0)</f>
        <v>0</v>
      </c>
      <c r="AN717">
        <f>IF(tbl_HR_Data[[#This Row],[Travel_Code]]=2,1,0)</f>
        <v>1</v>
      </c>
      <c r="AO717">
        <f>(tbl_HR_Data[[#This Row],[Flag_OT]] * Logic_Parameters!$B$2) +
 (tbl_HR_Data[[#This Row],[Flag_Travel]] * Logic_Parameters!$B$3) +
 (tbl_HR_Data[[#This Row],[Flag_Satisfaction]] * Logic_Parameters!$B$4) +
 (tbl_HR_Data[[#This Row],[Flag_Distance]]* Logic_Parameters!$B$5) +
 (tbl_HR_Data[[#This Row],[Flag_Income]] * Logic_Parameters!$B$6)</f>
        <v>19.364923110468307</v>
      </c>
      <c r="AP717" s="15">
        <f>tbl_HR_Data[[#This Row],[Risk_Score_Raw]] / SUM(Logic_Parameters!$B$2:$B$6)</f>
        <v>0.66717026874307161</v>
      </c>
      <c r="AQ717" s="16" t="str" cm="1">
        <f t="array" ref="AQ717">_xlfn.IFS(tbl_HR_Data[[#This Row],[Attrition_Risk_Percentage]] &gt;= 0.75, "Critical",tbl_HR_Data[ [#This Row],[Attrition_Risk_Percentage] ]&gt;= 0.5, "High",tbl_HR_Data[[#This Row],[Attrition_Risk_Percentage]] &gt;= 0.25, "Medium",TRUE, "Low")</f>
        <v>High</v>
      </c>
      <c r="AR717" s="16" cm="1">
        <f t="array" ref="AR717">IFERROR(_xlfn.IFS(tbl_HR_Data[[#This Row],[Risk_Category]]="Critical",tbl_HR_Data[[#This Row],[MonthlyIncome]]*1.5,tbl_HR_Data[[#This Row],[Risk_Category]]="High",tbl_HR_Data[[#This Row],[MonthlyIncome]]*1.5),0)</f>
        <v>8232</v>
      </c>
    </row>
    <row r="718" spans="1:44" x14ac:dyDescent="0.35">
      <c r="A718" t="s">
        <v>863</v>
      </c>
      <c r="B718">
        <v>41</v>
      </c>
      <c r="C718" t="s">
        <v>37</v>
      </c>
      <c r="D718">
        <v>840</v>
      </c>
      <c r="E718" t="s">
        <v>38</v>
      </c>
      <c r="F718">
        <v>9</v>
      </c>
      <c r="G718">
        <v>3</v>
      </c>
      <c r="H718" t="s">
        <v>44</v>
      </c>
      <c r="I718">
        <v>1</v>
      </c>
      <c r="J718" t="s">
        <v>39</v>
      </c>
      <c r="K718">
        <v>64</v>
      </c>
      <c r="L718">
        <v>3</v>
      </c>
      <c r="M718">
        <v>5</v>
      </c>
      <c r="N718" t="s">
        <v>50</v>
      </c>
      <c r="O718">
        <v>3</v>
      </c>
      <c r="P718" t="s">
        <v>45</v>
      </c>
      <c r="Q718">
        <v>19419</v>
      </c>
      <c r="R718">
        <v>3735</v>
      </c>
      <c r="S718">
        <v>2</v>
      </c>
      <c r="T718">
        <v>0</v>
      </c>
      <c r="U718" s="17">
        <v>0.17</v>
      </c>
      <c r="V718">
        <v>3</v>
      </c>
      <c r="W718">
        <v>2</v>
      </c>
      <c r="X718">
        <v>1</v>
      </c>
      <c r="Y718">
        <v>21</v>
      </c>
      <c r="Z718">
        <v>2</v>
      </c>
      <c r="AA718">
        <v>4</v>
      </c>
      <c r="AB718">
        <v>18</v>
      </c>
      <c r="AC718">
        <v>16</v>
      </c>
      <c r="AD718">
        <v>0</v>
      </c>
      <c r="AE718">
        <v>11</v>
      </c>
      <c r="AF718">
        <v>0</v>
      </c>
      <c r="AG718">
        <f>IF(tbl_HR_Data[[#This Row],[Gender]]="Male",1,0)</f>
        <v>1</v>
      </c>
      <c r="AH718" cm="1">
        <f t="array" ref="AH718">_xlfn.SWITCH(tbl_HR_Data[[#This Row],[BusinessTravel]], "Non-Travel", 0, "Travel_Rarely", 1, "Travel_Frequently", 2)</f>
        <v>2</v>
      </c>
      <c r="AI718" cm="1">
        <f t="array" ref="AI718">_xlfn.SWITCH(tbl_HR_Data[[#This Row],[MaritalStatus]],"Single",0,"Married",1,"Divorced",2)</f>
        <v>2</v>
      </c>
      <c r="AJ718">
        <f>IF(tbl_HR_Data[[#This Row],[OverTime]]=1,1,0)</f>
        <v>0</v>
      </c>
      <c r="AK718">
        <f>IF(tbl_HR_Data[[#This Row],[DistanceFromHome]]&gt;15,1,0)</f>
        <v>0</v>
      </c>
      <c r="AL718">
        <f>IF(tbl_HR_Data[[#This Row],[JobSatisfaction]]&lt;=2,1,0)</f>
        <v>0</v>
      </c>
      <c r="AM718">
        <f>IF(tbl_HR_Data[[#This Row],[MonthlyIncome]]&lt;$AT$2,1,0)</f>
        <v>0</v>
      </c>
      <c r="AN718">
        <f>IF(tbl_HR_Data[[#This Row],[Travel_Code]]=2,1,0)</f>
        <v>1</v>
      </c>
      <c r="AO718">
        <f>(tbl_HR_Data[[#This Row],[Flag_OT]] * Logic_Parameters!$B$2) +
 (tbl_HR_Data[[#This Row],[Flag_Travel]] * Logic_Parameters!$B$3) +
 (tbl_HR_Data[[#This Row],[Flag_Satisfaction]] * Logic_Parameters!$B$4) +
 (tbl_HR_Data[[#This Row],[Flag_Distance]]* Logic_Parameters!$B$5) +
 (tbl_HR_Data[[#This Row],[Flag_Income]] * Logic_Parameters!$B$6)</f>
        <v>5.1603899804901765</v>
      </c>
      <c r="AP718" s="15">
        <f>tbl_HR_Data[[#This Row],[Risk_Score_Raw]] / SUM(Logic_Parameters!$B$2:$B$6)</f>
        <v>0.17778840383009531</v>
      </c>
      <c r="AQ718" s="16" t="str" cm="1">
        <f t="array" ref="AQ718">_xlfn.IFS(tbl_HR_Data[[#This Row],[Attrition_Risk_Percentage]] &gt;= 0.75, "Critical",tbl_HR_Data[ [#This Row],[Attrition_Risk_Percentage] ]&gt;= 0.5, "High",tbl_HR_Data[[#This Row],[Attrition_Risk_Percentage]] &gt;= 0.25, "Medium",TRUE, "Low")</f>
        <v>Low</v>
      </c>
      <c r="AR718" s="16" cm="1">
        <f t="array" ref="AR718">IFERROR(_xlfn.IFS(tbl_HR_Data[[#This Row],[Risk_Category]]="Critical",tbl_HR_Data[[#This Row],[MonthlyIncome]]*1.5,tbl_HR_Data[[#This Row],[Risk_Category]]="High",tbl_HR_Data[[#This Row],[MonthlyIncome]]*1.5),0)</f>
        <v>0</v>
      </c>
    </row>
    <row r="719" spans="1:44" x14ac:dyDescent="0.35">
      <c r="A719" t="s">
        <v>831</v>
      </c>
      <c r="B719">
        <v>27</v>
      </c>
      <c r="C719" t="s">
        <v>31</v>
      </c>
      <c r="D719">
        <v>1134</v>
      </c>
      <c r="E719" t="s">
        <v>38</v>
      </c>
      <c r="F719">
        <v>16</v>
      </c>
      <c r="G719">
        <v>4</v>
      </c>
      <c r="H719" t="s">
        <v>52</v>
      </c>
      <c r="I719">
        <v>3</v>
      </c>
      <c r="J719" t="s">
        <v>34</v>
      </c>
      <c r="K719">
        <v>37</v>
      </c>
      <c r="L719">
        <v>3</v>
      </c>
      <c r="M719">
        <v>1</v>
      </c>
      <c r="N719" t="s">
        <v>43</v>
      </c>
      <c r="O719">
        <v>2</v>
      </c>
      <c r="P719" t="s">
        <v>41</v>
      </c>
      <c r="Q719">
        <v>2811</v>
      </c>
      <c r="R719">
        <v>12086</v>
      </c>
      <c r="S719">
        <v>9</v>
      </c>
      <c r="T719">
        <v>0</v>
      </c>
      <c r="U719" s="17">
        <v>0.14000000000000001</v>
      </c>
      <c r="V719">
        <v>3</v>
      </c>
      <c r="W719">
        <v>2</v>
      </c>
      <c r="X719">
        <v>1</v>
      </c>
      <c r="Y719">
        <v>4</v>
      </c>
      <c r="Z719">
        <v>2</v>
      </c>
      <c r="AA719">
        <v>3</v>
      </c>
      <c r="AB719">
        <v>2</v>
      </c>
      <c r="AC719">
        <v>2</v>
      </c>
      <c r="AD719">
        <v>2</v>
      </c>
      <c r="AE719">
        <v>2</v>
      </c>
      <c r="AF719">
        <v>0</v>
      </c>
      <c r="AG719">
        <f>IF(tbl_HR_Data[[#This Row],[Gender]]="Male",1,0)</f>
        <v>0</v>
      </c>
      <c r="AH719" cm="1">
        <f t="array" ref="AH719">_xlfn.SWITCH(tbl_HR_Data[[#This Row],[BusinessTravel]], "Non-Travel", 0, "Travel_Rarely", 1, "Travel_Frequently", 2)</f>
        <v>1</v>
      </c>
      <c r="AI719" cm="1">
        <f t="array" ref="AI719">_xlfn.SWITCH(tbl_HR_Data[[#This Row],[MaritalStatus]],"Single",0,"Married",1,"Divorced",2)</f>
        <v>1</v>
      </c>
      <c r="AJ719">
        <f>IF(tbl_HR_Data[[#This Row],[OverTime]]=1,1,0)</f>
        <v>0</v>
      </c>
      <c r="AK719">
        <f>IF(tbl_HR_Data[[#This Row],[DistanceFromHome]]&gt;15,1,0)</f>
        <v>1</v>
      </c>
      <c r="AL719">
        <f>IF(tbl_HR_Data[[#This Row],[JobSatisfaction]]&lt;=2,1,0)</f>
        <v>1</v>
      </c>
      <c r="AM719">
        <f>IF(tbl_HR_Data[[#This Row],[MonthlyIncome]]&lt;$AT$2,1,0)</f>
        <v>1</v>
      </c>
      <c r="AN719">
        <f>IF(tbl_HR_Data[[#This Row],[Travel_Code]]=2,1,0)</f>
        <v>0</v>
      </c>
      <c r="AO719">
        <f>(tbl_HR_Data[[#This Row],[Flag_OT]] * Logic_Parameters!$B$2) +
 (tbl_HR_Data[[#This Row],[Flag_Travel]] * Logic_Parameters!$B$3) +
 (tbl_HR_Data[[#This Row],[Flag_Satisfaction]] * Logic_Parameters!$B$4) +
 (tbl_HR_Data[[#This Row],[Flag_Distance]]* Logic_Parameters!$B$5) +
 (tbl_HR_Data[[#This Row],[Flag_Income]] * Logic_Parameters!$B$6)</f>
        <v>13.865068763274337</v>
      </c>
      <c r="AP719" s="15">
        <f>tbl_HR_Data[[#This Row],[Risk_Score_Raw]] / SUM(Logic_Parameters!$B$2:$B$6)</f>
        <v>0.47768646434409739</v>
      </c>
      <c r="AQ719" s="16" t="str" cm="1">
        <f t="array" ref="AQ719">_xlfn.IFS(tbl_HR_Data[[#This Row],[Attrition_Risk_Percentage]] &gt;= 0.75, "Critical",tbl_HR_Data[ [#This Row],[Attrition_Risk_Percentage] ]&gt;= 0.5, "High",tbl_HR_Data[[#This Row],[Attrition_Risk_Percentage]] &gt;= 0.25, "Medium",TRUE, "Low")</f>
        <v>Medium</v>
      </c>
      <c r="AR719" s="16" cm="1">
        <f t="array" ref="AR719">IFERROR(_xlfn.IFS(tbl_HR_Data[[#This Row],[Risk_Category]]="Critical",tbl_HR_Data[[#This Row],[MonthlyIncome]]*1.5,tbl_HR_Data[[#This Row],[Risk_Category]]="High",tbl_HR_Data[[#This Row],[MonthlyIncome]]*1.5),0)</f>
        <v>0</v>
      </c>
    </row>
    <row r="720" spans="1:44" x14ac:dyDescent="0.35">
      <c r="A720" t="s">
        <v>813</v>
      </c>
      <c r="B720">
        <v>45</v>
      </c>
      <c r="C720" t="s">
        <v>1525</v>
      </c>
      <c r="D720">
        <v>248</v>
      </c>
      <c r="E720" t="s">
        <v>38</v>
      </c>
      <c r="F720">
        <v>23</v>
      </c>
      <c r="G720">
        <v>2</v>
      </c>
      <c r="H720" t="s">
        <v>33</v>
      </c>
      <c r="I720">
        <v>4</v>
      </c>
      <c r="J720" t="s">
        <v>39</v>
      </c>
      <c r="K720">
        <v>42</v>
      </c>
      <c r="L720">
        <v>3</v>
      </c>
      <c r="M720">
        <v>2</v>
      </c>
      <c r="N720" t="s">
        <v>43</v>
      </c>
      <c r="O720">
        <v>1</v>
      </c>
      <c r="P720" t="s">
        <v>41</v>
      </c>
      <c r="Q720">
        <v>3633</v>
      </c>
      <c r="R720">
        <v>14039</v>
      </c>
      <c r="S720">
        <v>1</v>
      </c>
      <c r="T720">
        <v>1</v>
      </c>
      <c r="U720" s="17">
        <v>0.15</v>
      </c>
      <c r="V720">
        <v>3</v>
      </c>
      <c r="W720">
        <v>3</v>
      </c>
      <c r="X720">
        <v>1</v>
      </c>
      <c r="Y720">
        <v>9</v>
      </c>
      <c r="Z720">
        <v>2</v>
      </c>
      <c r="AA720">
        <v>3</v>
      </c>
      <c r="AB720">
        <v>9</v>
      </c>
      <c r="AC720">
        <v>8</v>
      </c>
      <c r="AD720">
        <v>0</v>
      </c>
      <c r="AE720">
        <v>8</v>
      </c>
      <c r="AF720">
        <v>0</v>
      </c>
      <c r="AG720">
        <f>IF(tbl_HR_Data[[#This Row],[Gender]]="Male",1,0)</f>
        <v>1</v>
      </c>
      <c r="AH720" cm="1">
        <f t="array" ref="AH720">_xlfn.SWITCH(tbl_HR_Data[[#This Row],[BusinessTravel]], "Non-Travel", 0, "Travel_Rarely", 1, "Travel_Frequently", 2)</f>
        <v>0</v>
      </c>
      <c r="AI720" cm="1">
        <f t="array" ref="AI720">_xlfn.SWITCH(tbl_HR_Data[[#This Row],[MaritalStatus]],"Single",0,"Married",1,"Divorced",2)</f>
        <v>1</v>
      </c>
      <c r="AJ720">
        <f>IF(tbl_HR_Data[[#This Row],[OverTime]]=1,1,0)</f>
        <v>1</v>
      </c>
      <c r="AK720">
        <f>IF(tbl_HR_Data[[#This Row],[DistanceFromHome]]&gt;15,1,0)</f>
        <v>1</v>
      </c>
      <c r="AL720">
        <f>IF(tbl_HR_Data[[#This Row],[JobSatisfaction]]&lt;=2,1,0)</f>
        <v>1</v>
      </c>
      <c r="AM720">
        <f>IF(tbl_HR_Data[[#This Row],[MonthlyIncome]]&lt;$AT$2,1,0)</f>
        <v>1</v>
      </c>
      <c r="AN720">
        <f>IF(tbl_HR_Data[[#This Row],[Travel_Code]]=2,1,0)</f>
        <v>0</v>
      </c>
      <c r="AO720">
        <f>(tbl_HR_Data[[#This Row],[Flag_OT]] * Logic_Parameters!$B$2) +
 (tbl_HR_Data[[#This Row],[Flag_Travel]] * Logic_Parameters!$B$3) +
 (tbl_HR_Data[[#This Row],[Flag_Satisfaction]] * Logic_Parameters!$B$4) +
 (tbl_HR_Data[[#This Row],[Flag_Distance]]* Logic_Parameters!$B$5) +
 (tbl_HR_Data[[#This Row],[Flag_Income]] * Logic_Parameters!$B$6)</f>
        <v>23.865068763274337</v>
      </c>
      <c r="AP720" s="15">
        <f>tbl_HR_Data[[#This Row],[Risk_Score_Raw]] / SUM(Logic_Parameters!$B$2:$B$6)</f>
        <v>0.82221159616990469</v>
      </c>
      <c r="AQ720" s="16" t="str" cm="1">
        <f t="array" ref="AQ720">_xlfn.IFS(tbl_HR_Data[[#This Row],[Attrition_Risk_Percentage]] &gt;= 0.75, "Critical",tbl_HR_Data[ [#This Row],[Attrition_Risk_Percentage] ]&gt;= 0.5, "High",tbl_HR_Data[[#This Row],[Attrition_Risk_Percentage]] &gt;= 0.25, "Medium",TRUE, "Low")</f>
        <v>Critical</v>
      </c>
      <c r="AR720" s="16" cm="1">
        <f t="array" ref="AR720">IFERROR(_xlfn.IFS(tbl_HR_Data[[#This Row],[Risk_Category]]="Critical",tbl_HR_Data[[#This Row],[MonthlyIncome]]*1.5,tbl_HR_Data[[#This Row],[Risk_Category]]="High",tbl_HR_Data[[#This Row],[MonthlyIncome]]*1.5),0)</f>
        <v>5449.5</v>
      </c>
    </row>
    <row r="721" spans="1:44" x14ac:dyDescent="0.35">
      <c r="A721" t="s">
        <v>249</v>
      </c>
      <c r="B721">
        <v>47</v>
      </c>
      <c r="C721" t="s">
        <v>31</v>
      </c>
      <c r="D721">
        <v>955</v>
      </c>
      <c r="E721" t="s">
        <v>32</v>
      </c>
      <c r="F721">
        <v>4</v>
      </c>
      <c r="G721">
        <v>2</v>
      </c>
      <c r="H721" t="s">
        <v>33</v>
      </c>
      <c r="I721">
        <v>4</v>
      </c>
      <c r="J721" t="s">
        <v>34</v>
      </c>
      <c r="K721">
        <v>83</v>
      </c>
      <c r="L721">
        <v>3</v>
      </c>
      <c r="M721">
        <v>2</v>
      </c>
      <c r="N721" t="s">
        <v>35</v>
      </c>
      <c r="O721">
        <v>4</v>
      </c>
      <c r="P721" t="s">
        <v>36</v>
      </c>
      <c r="Q721">
        <v>4163</v>
      </c>
      <c r="R721">
        <v>8571</v>
      </c>
      <c r="S721">
        <v>1</v>
      </c>
      <c r="T721">
        <v>1</v>
      </c>
      <c r="U721" s="17">
        <v>0.17</v>
      </c>
      <c r="V721">
        <v>3</v>
      </c>
      <c r="W721">
        <v>3</v>
      </c>
      <c r="X721">
        <v>0</v>
      </c>
      <c r="Y721">
        <v>9</v>
      </c>
      <c r="Z721">
        <v>0</v>
      </c>
      <c r="AA721">
        <v>3</v>
      </c>
      <c r="AB721">
        <v>9</v>
      </c>
      <c r="AC721">
        <v>0</v>
      </c>
      <c r="AD721">
        <v>0</v>
      </c>
      <c r="AE721">
        <v>7</v>
      </c>
      <c r="AF721">
        <v>0</v>
      </c>
      <c r="AG721">
        <f>IF(tbl_HR_Data[[#This Row],[Gender]]="Male",1,0)</f>
        <v>0</v>
      </c>
      <c r="AH721" cm="1">
        <f t="array" ref="AH721">_xlfn.SWITCH(tbl_HR_Data[[#This Row],[BusinessTravel]], "Non-Travel", 0, "Travel_Rarely", 1, "Travel_Frequently", 2)</f>
        <v>1</v>
      </c>
      <c r="AI721" cm="1">
        <f t="array" ref="AI721">_xlfn.SWITCH(tbl_HR_Data[[#This Row],[MaritalStatus]],"Single",0,"Married",1,"Divorced",2)</f>
        <v>0</v>
      </c>
      <c r="AJ721">
        <f>IF(tbl_HR_Data[[#This Row],[OverTime]]=1,1,0)</f>
        <v>1</v>
      </c>
      <c r="AK721">
        <f>IF(tbl_HR_Data[[#This Row],[DistanceFromHome]]&gt;15,1,0)</f>
        <v>0</v>
      </c>
      <c r="AL721">
        <f>IF(tbl_HR_Data[[#This Row],[JobSatisfaction]]&lt;=2,1,0)</f>
        <v>0</v>
      </c>
      <c r="AM721">
        <f>IF(tbl_HR_Data[[#This Row],[MonthlyIncome]]&lt;$AT$2,1,0)</f>
        <v>1</v>
      </c>
      <c r="AN721">
        <f>IF(tbl_HR_Data[[#This Row],[Travel_Code]]=2,1,0)</f>
        <v>0</v>
      </c>
      <c r="AO721">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721" s="15">
        <f>tbl_HR_Data[[#This Row],[Risk_Score_Raw]] / SUM(Logic_Parameters!$B$2:$B$6)</f>
        <v>0.56827453040563214</v>
      </c>
      <c r="AQ721" s="16" t="str" cm="1">
        <f t="array" ref="AQ721">_xlfn.IFS(tbl_HR_Data[[#This Row],[Attrition_Risk_Percentage]] &gt;= 0.75, "Critical",tbl_HR_Data[ [#This Row],[Attrition_Risk_Percentage] ]&gt;= 0.5, "High",tbl_HR_Data[[#This Row],[Attrition_Risk_Percentage]] &gt;= 0.25, "Medium",TRUE, "Low")</f>
        <v>High</v>
      </c>
      <c r="AR721" s="16" cm="1">
        <f t="array" ref="AR721">IFERROR(_xlfn.IFS(tbl_HR_Data[[#This Row],[Risk_Category]]="Critical",tbl_HR_Data[[#This Row],[MonthlyIncome]]*1.5,tbl_HR_Data[[#This Row],[Risk_Category]]="High",tbl_HR_Data[[#This Row],[MonthlyIncome]]*1.5),0)</f>
        <v>6244.5</v>
      </c>
    </row>
    <row r="722" spans="1:44" x14ac:dyDescent="0.35">
      <c r="A722" t="s">
        <v>338</v>
      </c>
      <c r="B722">
        <v>30</v>
      </c>
      <c r="C722" t="s">
        <v>31</v>
      </c>
      <c r="D722">
        <v>138</v>
      </c>
      <c r="E722" t="s">
        <v>38</v>
      </c>
      <c r="F722">
        <v>22</v>
      </c>
      <c r="G722">
        <v>3</v>
      </c>
      <c r="H722" t="s">
        <v>33</v>
      </c>
      <c r="I722">
        <v>1</v>
      </c>
      <c r="J722" t="s">
        <v>34</v>
      </c>
      <c r="K722">
        <v>48</v>
      </c>
      <c r="L722">
        <v>3</v>
      </c>
      <c r="M722">
        <v>1</v>
      </c>
      <c r="N722" t="s">
        <v>40</v>
      </c>
      <c r="O722">
        <v>3</v>
      </c>
      <c r="P722" t="s">
        <v>41</v>
      </c>
      <c r="Q722">
        <v>2132</v>
      </c>
      <c r="R722">
        <v>11539</v>
      </c>
      <c r="S722">
        <v>4</v>
      </c>
      <c r="T722">
        <v>1</v>
      </c>
      <c r="U722" s="17">
        <v>0.11</v>
      </c>
      <c r="V722">
        <v>3</v>
      </c>
      <c r="W722">
        <v>2</v>
      </c>
      <c r="X722">
        <v>0</v>
      </c>
      <c r="Y722">
        <v>7</v>
      </c>
      <c r="Z722">
        <v>2</v>
      </c>
      <c r="AA722">
        <v>3</v>
      </c>
      <c r="AB722">
        <v>5</v>
      </c>
      <c r="AC722">
        <v>2</v>
      </c>
      <c r="AD722">
        <v>0</v>
      </c>
      <c r="AE722">
        <v>1</v>
      </c>
      <c r="AF722">
        <v>1</v>
      </c>
      <c r="AG722">
        <f>IF(tbl_HR_Data[[#This Row],[Gender]]="Male",1,0)</f>
        <v>0</v>
      </c>
      <c r="AH722" cm="1">
        <f t="array" ref="AH722">_xlfn.SWITCH(tbl_HR_Data[[#This Row],[BusinessTravel]], "Non-Travel", 0, "Travel_Rarely", 1, "Travel_Frequently", 2)</f>
        <v>1</v>
      </c>
      <c r="AI722" cm="1">
        <f t="array" ref="AI722">_xlfn.SWITCH(tbl_HR_Data[[#This Row],[MaritalStatus]],"Single",0,"Married",1,"Divorced",2)</f>
        <v>1</v>
      </c>
      <c r="AJ722">
        <f>IF(tbl_HR_Data[[#This Row],[OverTime]]=1,1,0)</f>
        <v>1</v>
      </c>
      <c r="AK722">
        <f>IF(tbl_HR_Data[[#This Row],[DistanceFromHome]]&gt;15,1,0)</f>
        <v>1</v>
      </c>
      <c r="AL722">
        <f>IF(tbl_HR_Data[[#This Row],[JobSatisfaction]]&lt;=2,1,0)</f>
        <v>0</v>
      </c>
      <c r="AM722">
        <f>IF(tbl_HR_Data[[#This Row],[MonthlyIncome]]&lt;$AT$2,1,0)</f>
        <v>1</v>
      </c>
      <c r="AN722">
        <f>IF(tbl_HR_Data[[#This Row],[Travel_Code]]=2,1,0)</f>
        <v>0</v>
      </c>
      <c r="AO722">
        <f>(tbl_HR_Data[[#This Row],[Flag_OT]] * Logic_Parameters!$B$2) +
 (tbl_HR_Data[[#This Row],[Flag_Travel]] * Logic_Parameters!$B$3) +
 (tbl_HR_Data[[#This Row],[Flag_Satisfaction]] * Logic_Parameters!$B$4) +
 (tbl_HR_Data[[#This Row],[Flag_Distance]]* Logic_Parameters!$B$5) +
 (tbl_HR_Data[[#This Row],[Flag_Income]] * Logic_Parameters!$B$6)</f>
        <v>19.660535633296206</v>
      </c>
      <c r="AP722" s="15">
        <f>tbl_HR_Data[[#This Row],[Risk_Score_Raw]] / SUM(Logic_Parameters!$B$2:$B$6)</f>
        <v>0.67735486308273574</v>
      </c>
      <c r="AQ722" s="16" t="str" cm="1">
        <f t="array" ref="AQ722">_xlfn.IFS(tbl_HR_Data[[#This Row],[Attrition_Risk_Percentage]] &gt;= 0.75, "Critical",tbl_HR_Data[ [#This Row],[Attrition_Risk_Percentage] ]&gt;= 0.5, "High",tbl_HR_Data[[#This Row],[Attrition_Risk_Percentage]] &gt;= 0.25, "Medium",TRUE, "Low")</f>
        <v>High</v>
      </c>
      <c r="AR722" s="16" cm="1">
        <f t="array" ref="AR722">IFERROR(_xlfn.IFS(tbl_HR_Data[[#This Row],[Risk_Category]]="Critical",tbl_HR_Data[[#This Row],[MonthlyIncome]]*1.5,tbl_HR_Data[[#This Row],[Risk_Category]]="High",tbl_HR_Data[[#This Row],[MonthlyIncome]]*1.5),0)</f>
        <v>3198</v>
      </c>
    </row>
    <row r="723" spans="1:44" x14ac:dyDescent="0.35">
      <c r="A723" t="s">
        <v>792</v>
      </c>
      <c r="B723">
        <v>50</v>
      </c>
      <c r="C723" t="s">
        <v>31</v>
      </c>
      <c r="D723">
        <v>939</v>
      </c>
      <c r="E723" t="s">
        <v>38</v>
      </c>
      <c r="F723">
        <v>24</v>
      </c>
      <c r="G723">
        <v>3</v>
      </c>
      <c r="H723" t="s">
        <v>33</v>
      </c>
      <c r="I723">
        <v>4</v>
      </c>
      <c r="J723" t="s">
        <v>39</v>
      </c>
      <c r="K723">
        <v>95</v>
      </c>
      <c r="L723">
        <v>3</v>
      </c>
      <c r="M723">
        <v>4</v>
      </c>
      <c r="N723" t="s">
        <v>46</v>
      </c>
      <c r="O723">
        <v>3</v>
      </c>
      <c r="P723" t="s">
        <v>41</v>
      </c>
      <c r="Q723">
        <v>13973</v>
      </c>
      <c r="R723">
        <v>4161</v>
      </c>
      <c r="S723">
        <v>3</v>
      </c>
      <c r="T723">
        <v>1</v>
      </c>
      <c r="U723" s="17">
        <v>0.18</v>
      </c>
      <c r="V723">
        <v>3</v>
      </c>
      <c r="W723">
        <v>4</v>
      </c>
      <c r="X723">
        <v>1</v>
      </c>
      <c r="Y723">
        <v>22</v>
      </c>
      <c r="Z723">
        <v>2</v>
      </c>
      <c r="AA723">
        <v>3</v>
      </c>
      <c r="AB723">
        <v>12</v>
      </c>
      <c r="AC723">
        <v>11</v>
      </c>
      <c r="AD723">
        <v>1</v>
      </c>
      <c r="AE723">
        <v>5</v>
      </c>
      <c r="AF723">
        <v>0</v>
      </c>
      <c r="AG723">
        <f>IF(tbl_HR_Data[[#This Row],[Gender]]="Male",1,0)</f>
        <v>1</v>
      </c>
      <c r="AH723" cm="1">
        <f t="array" ref="AH723">_xlfn.SWITCH(tbl_HR_Data[[#This Row],[BusinessTravel]], "Non-Travel", 0, "Travel_Rarely", 1, "Travel_Frequently", 2)</f>
        <v>1</v>
      </c>
      <c r="AI723" cm="1">
        <f t="array" ref="AI723">_xlfn.SWITCH(tbl_HR_Data[[#This Row],[MaritalStatus]],"Single",0,"Married",1,"Divorced",2)</f>
        <v>1</v>
      </c>
      <c r="AJ723">
        <f>IF(tbl_HR_Data[[#This Row],[OverTime]]=1,1,0)</f>
        <v>1</v>
      </c>
      <c r="AK723">
        <f>IF(tbl_HR_Data[[#This Row],[DistanceFromHome]]&gt;15,1,0)</f>
        <v>1</v>
      </c>
      <c r="AL723">
        <f>IF(tbl_HR_Data[[#This Row],[JobSatisfaction]]&lt;=2,1,0)</f>
        <v>0</v>
      </c>
      <c r="AM723">
        <f>IF(tbl_HR_Data[[#This Row],[MonthlyIncome]]&lt;$AT$2,1,0)</f>
        <v>0</v>
      </c>
      <c r="AN723">
        <f>IF(tbl_HR_Data[[#This Row],[Travel_Code]]=2,1,0)</f>
        <v>0</v>
      </c>
      <c r="AO723">
        <f>(tbl_HR_Data[[#This Row],[Flag_OT]] * Logic_Parameters!$B$2) +
 (tbl_HR_Data[[#This Row],[Flag_Travel]] * Logic_Parameters!$B$3) +
 (tbl_HR_Data[[#This Row],[Flag_Satisfaction]] * Logic_Parameters!$B$4) +
 (tbl_HR_Data[[#This Row],[Flag_Distance]]* Logic_Parameters!$B$5) +
 (tbl_HR_Data[[#This Row],[Flag_Income]] * Logic_Parameters!$B$6)</f>
        <v>13.166106695875378</v>
      </c>
      <c r="AP723" s="15">
        <f>tbl_HR_Data[[#This Row],[Risk_Score_Raw]] / SUM(Logic_Parameters!$B$2:$B$6)</f>
        <v>0.45360546450291089</v>
      </c>
      <c r="AQ723" s="16" t="str" cm="1">
        <f t="array" ref="AQ723">_xlfn.IFS(tbl_HR_Data[[#This Row],[Attrition_Risk_Percentage]] &gt;= 0.75, "Critical",tbl_HR_Data[ [#This Row],[Attrition_Risk_Percentage] ]&gt;= 0.5, "High",tbl_HR_Data[[#This Row],[Attrition_Risk_Percentage]] &gt;= 0.25, "Medium",TRUE, "Low")</f>
        <v>Medium</v>
      </c>
      <c r="AR723" s="16" cm="1">
        <f t="array" ref="AR723">IFERROR(_xlfn.IFS(tbl_HR_Data[[#This Row],[Risk_Category]]="Critical",tbl_HR_Data[[#This Row],[MonthlyIncome]]*1.5,tbl_HR_Data[[#This Row],[Risk_Category]]="High",tbl_HR_Data[[#This Row],[MonthlyIncome]]*1.5),0)</f>
        <v>0</v>
      </c>
    </row>
    <row r="724" spans="1:44" x14ac:dyDescent="0.35">
      <c r="A724" t="s">
        <v>807</v>
      </c>
      <c r="B724">
        <v>38</v>
      </c>
      <c r="C724" t="s">
        <v>37</v>
      </c>
      <c r="D724">
        <v>1391</v>
      </c>
      <c r="E724" t="s">
        <v>38</v>
      </c>
      <c r="F724">
        <v>10</v>
      </c>
      <c r="G724">
        <v>1</v>
      </c>
      <c r="H724" t="s">
        <v>44</v>
      </c>
      <c r="I724">
        <v>3</v>
      </c>
      <c r="J724" t="s">
        <v>39</v>
      </c>
      <c r="K724">
        <v>66</v>
      </c>
      <c r="L724">
        <v>3</v>
      </c>
      <c r="M724">
        <v>1</v>
      </c>
      <c r="N724" t="s">
        <v>40</v>
      </c>
      <c r="O724">
        <v>3</v>
      </c>
      <c r="P724" t="s">
        <v>41</v>
      </c>
      <c r="Q724">
        <v>2684</v>
      </c>
      <c r="R724">
        <v>12127</v>
      </c>
      <c r="S724">
        <v>0</v>
      </c>
      <c r="T724">
        <v>0</v>
      </c>
      <c r="U724" s="17">
        <v>0.17</v>
      </c>
      <c r="V724">
        <v>3</v>
      </c>
      <c r="W724">
        <v>2</v>
      </c>
      <c r="X724">
        <v>1</v>
      </c>
      <c r="Y724">
        <v>3</v>
      </c>
      <c r="Z724">
        <v>0</v>
      </c>
      <c r="AA724">
        <v>2</v>
      </c>
      <c r="AB724">
        <v>2</v>
      </c>
      <c r="AC724">
        <v>1</v>
      </c>
      <c r="AD724">
        <v>0</v>
      </c>
      <c r="AE724">
        <v>2</v>
      </c>
      <c r="AF724">
        <v>0</v>
      </c>
      <c r="AG724">
        <f>IF(tbl_HR_Data[[#This Row],[Gender]]="Male",1,0)</f>
        <v>1</v>
      </c>
      <c r="AH724" cm="1">
        <f t="array" ref="AH724">_xlfn.SWITCH(tbl_HR_Data[[#This Row],[BusinessTravel]], "Non-Travel", 0, "Travel_Rarely", 1, "Travel_Frequently", 2)</f>
        <v>2</v>
      </c>
      <c r="AI724" cm="1">
        <f t="array" ref="AI724">_xlfn.SWITCH(tbl_HR_Data[[#This Row],[MaritalStatus]],"Single",0,"Married",1,"Divorced",2)</f>
        <v>1</v>
      </c>
      <c r="AJ724">
        <f>IF(tbl_HR_Data[[#This Row],[OverTime]]=1,1,0)</f>
        <v>0</v>
      </c>
      <c r="AK724">
        <f>IF(tbl_HR_Data[[#This Row],[DistanceFromHome]]&gt;15,1,0)</f>
        <v>0</v>
      </c>
      <c r="AL724">
        <f>IF(tbl_HR_Data[[#This Row],[JobSatisfaction]]&lt;=2,1,0)</f>
        <v>0</v>
      </c>
      <c r="AM724">
        <f>IF(tbl_HR_Data[[#This Row],[MonthlyIncome]]&lt;$AT$2,1,0)</f>
        <v>1</v>
      </c>
      <c r="AN724">
        <f>IF(tbl_HR_Data[[#This Row],[Travel_Code]]=2,1,0)</f>
        <v>1</v>
      </c>
      <c r="AO724">
        <f>(tbl_HR_Data[[#This Row],[Flag_OT]] * Logic_Parameters!$B$2) +
 (tbl_HR_Data[[#This Row],[Flag_Travel]] * Logic_Parameters!$B$3) +
 (tbl_HR_Data[[#This Row],[Flag_Satisfaction]] * Logic_Parameters!$B$4) +
 (tbl_HR_Data[[#This Row],[Flag_Distance]]* Logic_Parameters!$B$5) +
 (tbl_HR_Data[[#This Row],[Flag_Income]] * Logic_Parameters!$B$6)</f>
        <v>11.654818917911005</v>
      </c>
      <c r="AP724" s="15">
        <f>tbl_HR_Data[[#This Row],[Risk_Score_Raw]] / SUM(Logic_Parameters!$B$2:$B$6)</f>
        <v>0.40153780240992015</v>
      </c>
      <c r="AQ724" s="16" t="str" cm="1">
        <f t="array" ref="AQ724">_xlfn.IFS(tbl_HR_Data[[#This Row],[Attrition_Risk_Percentage]] &gt;= 0.75, "Critical",tbl_HR_Data[ [#This Row],[Attrition_Risk_Percentage] ]&gt;= 0.5, "High",tbl_HR_Data[[#This Row],[Attrition_Risk_Percentage]] &gt;= 0.25, "Medium",TRUE, "Low")</f>
        <v>Medium</v>
      </c>
      <c r="AR724" s="16" cm="1">
        <f t="array" ref="AR724">IFERROR(_xlfn.IFS(tbl_HR_Data[[#This Row],[Risk_Category]]="Critical",tbl_HR_Data[[#This Row],[MonthlyIncome]]*1.5,tbl_HR_Data[[#This Row],[Risk_Category]]="High",tbl_HR_Data[[#This Row],[MonthlyIncome]]*1.5),0)</f>
        <v>0</v>
      </c>
    </row>
    <row r="725" spans="1:44" x14ac:dyDescent="0.35">
      <c r="A725" t="s">
        <v>696</v>
      </c>
      <c r="B725">
        <v>46</v>
      </c>
      <c r="C725" t="s">
        <v>31</v>
      </c>
      <c r="D725">
        <v>566</v>
      </c>
      <c r="E725" t="s">
        <v>38</v>
      </c>
      <c r="F725">
        <v>7</v>
      </c>
      <c r="G725">
        <v>2</v>
      </c>
      <c r="H725" t="s">
        <v>44</v>
      </c>
      <c r="I725">
        <v>4</v>
      </c>
      <c r="J725" t="s">
        <v>39</v>
      </c>
      <c r="K725">
        <v>75</v>
      </c>
      <c r="L725">
        <v>3</v>
      </c>
      <c r="M725">
        <v>3</v>
      </c>
      <c r="N725" t="s">
        <v>46</v>
      </c>
      <c r="O725">
        <v>3</v>
      </c>
      <c r="P725" t="s">
        <v>45</v>
      </c>
      <c r="Q725">
        <v>10845</v>
      </c>
      <c r="R725">
        <v>24208</v>
      </c>
      <c r="S725">
        <v>6</v>
      </c>
      <c r="T725">
        <v>0</v>
      </c>
      <c r="U725" s="17">
        <v>0.13</v>
      </c>
      <c r="V725">
        <v>3</v>
      </c>
      <c r="W725">
        <v>2</v>
      </c>
      <c r="X725">
        <v>1</v>
      </c>
      <c r="Y725">
        <v>13</v>
      </c>
      <c r="Z725">
        <v>3</v>
      </c>
      <c r="AA725">
        <v>3</v>
      </c>
      <c r="AB725">
        <v>8</v>
      </c>
      <c r="AC725">
        <v>7</v>
      </c>
      <c r="AD725">
        <v>0</v>
      </c>
      <c r="AE725">
        <v>7</v>
      </c>
      <c r="AF725">
        <v>0</v>
      </c>
      <c r="AG725">
        <f>IF(tbl_HR_Data[[#This Row],[Gender]]="Male",1,0)</f>
        <v>1</v>
      </c>
      <c r="AH725" cm="1">
        <f t="array" ref="AH725">_xlfn.SWITCH(tbl_HR_Data[[#This Row],[BusinessTravel]], "Non-Travel", 0, "Travel_Rarely", 1, "Travel_Frequently", 2)</f>
        <v>1</v>
      </c>
      <c r="AI725" cm="1">
        <f t="array" ref="AI725">_xlfn.SWITCH(tbl_HR_Data[[#This Row],[MaritalStatus]],"Single",0,"Married",1,"Divorced",2)</f>
        <v>2</v>
      </c>
      <c r="AJ725">
        <f>IF(tbl_HR_Data[[#This Row],[OverTime]]=1,1,0)</f>
        <v>0</v>
      </c>
      <c r="AK725">
        <f>IF(tbl_HR_Data[[#This Row],[DistanceFromHome]]&gt;15,1,0)</f>
        <v>0</v>
      </c>
      <c r="AL725">
        <f>IF(tbl_HR_Data[[#This Row],[JobSatisfaction]]&lt;=2,1,0)</f>
        <v>0</v>
      </c>
      <c r="AM725">
        <f>IF(tbl_HR_Data[[#This Row],[MonthlyIncome]]&lt;$AT$2,1,0)</f>
        <v>0</v>
      </c>
      <c r="AN725">
        <f>IF(tbl_HR_Data[[#This Row],[Travel_Code]]=2,1,0)</f>
        <v>0</v>
      </c>
      <c r="AO725">
        <f>(tbl_HR_Data[[#This Row],[Flag_OT]] * Logic_Parameters!$B$2) +
 (tbl_HR_Data[[#This Row],[Flag_Travel]] * Logic_Parameters!$B$3) +
 (tbl_HR_Data[[#This Row],[Flag_Satisfaction]] * Logic_Parameters!$B$4) +
 (tbl_HR_Data[[#This Row],[Flag_Distance]]* Logic_Parameters!$B$5) +
 (tbl_HR_Data[[#This Row],[Flag_Income]] * Logic_Parameters!$B$6)</f>
        <v>0</v>
      </c>
      <c r="AP725" s="15">
        <f>tbl_HR_Data[[#This Row],[Risk_Score_Raw]] / SUM(Logic_Parameters!$B$2:$B$6)</f>
        <v>0</v>
      </c>
      <c r="AQ725" s="16" t="str" cm="1">
        <f t="array" ref="AQ725">_xlfn.IFS(tbl_HR_Data[[#This Row],[Attrition_Risk_Percentage]] &gt;= 0.75, "Critical",tbl_HR_Data[ [#This Row],[Attrition_Risk_Percentage] ]&gt;= 0.5, "High",tbl_HR_Data[[#This Row],[Attrition_Risk_Percentage]] &gt;= 0.25, "Medium",TRUE, "Low")</f>
        <v>Low</v>
      </c>
      <c r="AR725" s="16" cm="1">
        <f t="array" ref="AR725">IFERROR(_xlfn.IFS(tbl_HR_Data[[#This Row],[Risk_Category]]="Critical",tbl_HR_Data[[#This Row],[MonthlyIncome]]*1.5,tbl_HR_Data[[#This Row],[Risk_Category]]="High",tbl_HR_Data[[#This Row],[MonthlyIncome]]*1.5),0)</f>
        <v>0</v>
      </c>
    </row>
    <row r="726" spans="1:44" x14ac:dyDescent="0.35">
      <c r="A726" t="s">
        <v>721</v>
      </c>
      <c r="B726">
        <v>24</v>
      </c>
      <c r="C726" t="s">
        <v>31</v>
      </c>
      <c r="D726">
        <v>1206</v>
      </c>
      <c r="E726" t="s">
        <v>38</v>
      </c>
      <c r="F726">
        <v>17</v>
      </c>
      <c r="G726">
        <v>1</v>
      </c>
      <c r="H726" t="s">
        <v>44</v>
      </c>
      <c r="I726">
        <v>4</v>
      </c>
      <c r="J726" t="s">
        <v>34</v>
      </c>
      <c r="K726">
        <v>41</v>
      </c>
      <c r="L726">
        <v>2</v>
      </c>
      <c r="M726">
        <v>2</v>
      </c>
      <c r="N726" t="s">
        <v>46</v>
      </c>
      <c r="O726">
        <v>3</v>
      </c>
      <c r="P726" t="s">
        <v>45</v>
      </c>
      <c r="Q726">
        <v>4377</v>
      </c>
      <c r="R726">
        <v>24117</v>
      </c>
      <c r="S726">
        <v>1</v>
      </c>
      <c r="T726">
        <v>0</v>
      </c>
      <c r="U726" s="17">
        <v>0.15</v>
      </c>
      <c r="V726">
        <v>3</v>
      </c>
      <c r="W726">
        <v>2</v>
      </c>
      <c r="X726">
        <v>2</v>
      </c>
      <c r="Y726">
        <v>5</v>
      </c>
      <c r="Z726">
        <v>6</v>
      </c>
      <c r="AA726">
        <v>3</v>
      </c>
      <c r="AB726">
        <v>4</v>
      </c>
      <c r="AC726">
        <v>2</v>
      </c>
      <c r="AD726">
        <v>3</v>
      </c>
      <c r="AE726">
        <v>2</v>
      </c>
      <c r="AF726">
        <v>0</v>
      </c>
      <c r="AG726">
        <f>IF(tbl_HR_Data[[#This Row],[Gender]]="Male",1,0)</f>
        <v>0</v>
      </c>
      <c r="AH726" cm="1">
        <f t="array" ref="AH726">_xlfn.SWITCH(tbl_HR_Data[[#This Row],[BusinessTravel]], "Non-Travel", 0, "Travel_Rarely", 1, "Travel_Frequently", 2)</f>
        <v>1</v>
      </c>
      <c r="AI726" cm="1">
        <f t="array" ref="AI726">_xlfn.SWITCH(tbl_HR_Data[[#This Row],[MaritalStatus]],"Single",0,"Married",1,"Divorced",2)</f>
        <v>2</v>
      </c>
      <c r="AJ726">
        <f>IF(tbl_HR_Data[[#This Row],[OverTime]]=1,1,0)</f>
        <v>0</v>
      </c>
      <c r="AK726">
        <f>IF(tbl_HR_Data[[#This Row],[DistanceFromHome]]&gt;15,1,0)</f>
        <v>1</v>
      </c>
      <c r="AL726">
        <f>IF(tbl_HR_Data[[#This Row],[JobSatisfaction]]&lt;=2,1,0)</f>
        <v>0</v>
      </c>
      <c r="AM726">
        <f>IF(tbl_HR_Data[[#This Row],[MonthlyIncome]]&lt;$AT$2,1,0)</f>
        <v>1</v>
      </c>
      <c r="AN726">
        <f>IF(tbl_HR_Data[[#This Row],[Travel_Code]]=2,1,0)</f>
        <v>0</v>
      </c>
      <c r="AO726">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726" s="15">
        <f>tbl_HR_Data[[#This Row],[Risk_Score_Raw]] / SUM(Logic_Parameters!$B$2:$B$6)</f>
        <v>0.33282973125692844</v>
      </c>
      <c r="AQ726" s="16" t="str" cm="1">
        <f t="array" ref="AQ726">_xlfn.IFS(tbl_HR_Data[[#This Row],[Attrition_Risk_Percentage]] &gt;= 0.75, "Critical",tbl_HR_Data[ [#This Row],[Attrition_Risk_Percentage] ]&gt;= 0.5, "High",tbl_HR_Data[[#This Row],[Attrition_Risk_Percentage]] &gt;= 0.25, "Medium",TRUE, "Low")</f>
        <v>Medium</v>
      </c>
      <c r="AR726" s="16" cm="1">
        <f t="array" ref="AR726">IFERROR(_xlfn.IFS(tbl_HR_Data[[#This Row],[Risk_Category]]="Critical",tbl_HR_Data[[#This Row],[MonthlyIncome]]*1.5,tbl_HR_Data[[#This Row],[Risk_Category]]="High",tbl_HR_Data[[#This Row],[MonthlyIncome]]*1.5),0)</f>
        <v>0</v>
      </c>
    </row>
    <row r="727" spans="1:44" x14ac:dyDescent="0.35">
      <c r="A727" t="s">
        <v>318</v>
      </c>
      <c r="B727">
        <v>35</v>
      </c>
      <c r="C727" t="s">
        <v>31</v>
      </c>
      <c r="D727">
        <v>622</v>
      </c>
      <c r="E727" t="s">
        <v>38</v>
      </c>
      <c r="F727">
        <v>14</v>
      </c>
      <c r="G727">
        <v>4</v>
      </c>
      <c r="H727" t="s">
        <v>42</v>
      </c>
      <c r="I727">
        <v>3</v>
      </c>
      <c r="J727" t="s">
        <v>39</v>
      </c>
      <c r="K727">
        <v>39</v>
      </c>
      <c r="L727">
        <v>2</v>
      </c>
      <c r="M727">
        <v>1</v>
      </c>
      <c r="N727" t="s">
        <v>43</v>
      </c>
      <c r="O727">
        <v>2</v>
      </c>
      <c r="P727" t="s">
        <v>45</v>
      </c>
      <c r="Q727">
        <v>3743</v>
      </c>
      <c r="R727">
        <v>10074</v>
      </c>
      <c r="S727">
        <v>1</v>
      </c>
      <c r="T727">
        <v>1</v>
      </c>
      <c r="U727" s="17">
        <v>0.24</v>
      </c>
      <c r="V727">
        <v>4</v>
      </c>
      <c r="W727">
        <v>4</v>
      </c>
      <c r="X727">
        <v>1</v>
      </c>
      <c r="Y727">
        <v>5</v>
      </c>
      <c r="Z727">
        <v>2</v>
      </c>
      <c r="AA727">
        <v>1</v>
      </c>
      <c r="AB727">
        <v>4</v>
      </c>
      <c r="AC727">
        <v>2</v>
      </c>
      <c r="AD727">
        <v>0</v>
      </c>
      <c r="AE727">
        <v>2</v>
      </c>
      <c r="AF727">
        <v>1</v>
      </c>
      <c r="AG727">
        <f>IF(tbl_HR_Data[[#This Row],[Gender]]="Male",1,0)</f>
        <v>1</v>
      </c>
      <c r="AH727" cm="1">
        <f t="array" ref="AH727">_xlfn.SWITCH(tbl_HR_Data[[#This Row],[BusinessTravel]], "Non-Travel", 0, "Travel_Rarely", 1, "Travel_Frequently", 2)</f>
        <v>1</v>
      </c>
      <c r="AI727" cm="1">
        <f t="array" ref="AI727">_xlfn.SWITCH(tbl_HR_Data[[#This Row],[MaritalStatus]],"Single",0,"Married",1,"Divorced",2)</f>
        <v>2</v>
      </c>
      <c r="AJ727">
        <f>IF(tbl_HR_Data[[#This Row],[OverTime]]=1,1,0)</f>
        <v>1</v>
      </c>
      <c r="AK727">
        <f>IF(tbl_HR_Data[[#This Row],[DistanceFromHome]]&gt;15,1,0)</f>
        <v>0</v>
      </c>
      <c r="AL727">
        <f>IF(tbl_HR_Data[[#This Row],[JobSatisfaction]]&lt;=2,1,0)</f>
        <v>1</v>
      </c>
      <c r="AM727">
        <f>IF(tbl_HR_Data[[#This Row],[MonthlyIncome]]&lt;$AT$2,1,0)</f>
        <v>1</v>
      </c>
      <c r="AN727">
        <f>IF(tbl_HR_Data[[#This Row],[Travel_Code]]=2,1,0)</f>
        <v>0</v>
      </c>
      <c r="AO727">
        <f>(tbl_HR_Data[[#This Row],[Flag_OT]] * Logic_Parameters!$B$2) +
 (tbl_HR_Data[[#This Row],[Flag_Travel]] * Logic_Parameters!$B$3) +
 (tbl_HR_Data[[#This Row],[Flag_Satisfaction]] * Logic_Parameters!$B$4) +
 (tbl_HR_Data[[#This Row],[Flag_Distance]]* Logic_Parameters!$B$5) +
 (tbl_HR_Data[[#This Row],[Flag_Income]] * Logic_Parameters!$B$6)</f>
        <v>20.698962067398959</v>
      </c>
      <c r="AP727" s="15">
        <f>tbl_HR_Data[[#This Row],[Risk_Score_Raw]] / SUM(Logic_Parameters!$B$2:$B$6)</f>
        <v>0.71313126349280109</v>
      </c>
      <c r="AQ727" s="16" t="str" cm="1">
        <f t="array" ref="AQ727">_xlfn.IFS(tbl_HR_Data[[#This Row],[Attrition_Risk_Percentage]] &gt;= 0.75, "Critical",tbl_HR_Data[ [#This Row],[Attrition_Risk_Percentage] ]&gt;= 0.5, "High",tbl_HR_Data[[#This Row],[Attrition_Risk_Percentage]] &gt;= 0.25, "Medium",TRUE, "Low")</f>
        <v>High</v>
      </c>
      <c r="AR727" s="16" cm="1">
        <f t="array" ref="AR727">IFERROR(_xlfn.IFS(tbl_HR_Data[[#This Row],[Risk_Category]]="Critical",tbl_HR_Data[[#This Row],[MonthlyIncome]]*1.5,tbl_HR_Data[[#This Row],[Risk_Category]]="High",tbl_HR_Data[[#This Row],[MonthlyIncome]]*1.5),0)</f>
        <v>5614.5</v>
      </c>
    </row>
    <row r="728" spans="1:44" x14ac:dyDescent="0.35">
      <c r="A728" t="s">
        <v>685</v>
      </c>
      <c r="B728">
        <v>31</v>
      </c>
      <c r="C728" t="s">
        <v>37</v>
      </c>
      <c r="D728">
        <v>853</v>
      </c>
      <c r="E728" t="s">
        <v>38</v>
      </c>
      <c r="F728">
        <v>1</v>
      </c>
      <c r="G728">
        <v>1</v>
      </c>
      <c r="H728" t="s">
        <v>33</v>
      </c>
      <c r="I728">
        <v>3</v>
      </c>
      <c r="J728" t="s">
        <v>34</v>
      </c>
      <c r="K728">
        <v>96</v>
      </c>
      <c r="L728">
        <v>3</v>
      </c>
      <c r="M728">
        <v>2</v>
      </c>
      <c r="N728" t="s">
        <v>46</v>
      </c>
      <c r="O728">
        <v>1</v>
      </c>
      <c r="P728" t="s">
        <v>41</v>
      </c>
      <c r="Q728">
        <v>4148</v>
      </c>
      <c r="R728">
        <v>11275</v>
      </c>
      <c r="S728">
        <v>1</v>
      </c>
      <c r="T728">
        <v>0</v>
      </c>
      <c r="U728" s="17">
        <v>0.12</v>
      </c>
      <c r="V728">
        <v>3</v>
      </c>
      <c r="W728">
        <v>3</v>
      </c>
      <c r="X728">
        <v>1</v>
      </c>
      <c r="Y728">
        <v>4</v>
      </c>
      <c r="Z728">
        <v>1</v>
      </c>
      <c r="AA728">
        <v>3</v>
      </c>
      <c r="AB728">
        <v>4</v>
      </c>
      <c r="AC728">
        <v>3</v>
      </c>
      <c r="AD728">
        <v>0</v>
      </c>
      <c r="AE728">
        <v>3</v>
      </c>
      <c r="AF728">
        <v>0</v>
      </c>
      <c r="AG728">
        <f>IF(tbl_HR_Data[[#This Row],[Gender]]="Male",1,0)</f>
        <v>0</v>
      </c>
      <c r="AH728" cm="1">
        <f t="array" ref="AH728">_xlfn.SWITCH(tbl_HR_Data[[#This Row],[BusinessTravel]], "Non-Travel", 0, "Travel_Rarely", 1, "Travel_Frequently", 2)</f>
        <v>2</v>
      </c>
      <c r="AI728" cm="1">
        <f t="array" ref="AI728">_xlfn.SWITCH(tbl_HR_Data[[#This Row],[MaritalStatus]],"Single",0,"Married",1,"Divorced",2)</f>
        <v>1</v>
      </c>
      <c r="AJ728">
        <f>IF(tbl_HR_Data[[#This Row],[OverTime]]=1,1,0)</f>
        <v>0</v>
      </c>
      <c r="AK728">
        <f>IF(tbl_HR_Data[[#This Row],[DistanceFromHome]]&gt;15,1,0)</f>
        <v>0</v>
      </c>
      <c r="AL728">
        <f>IF(tbl_HR_Data[[#This Row],[JobSatisfaction]]&lt;=2,1,0)</f>
        <v>1</v>
      </c>
      <c r="AM728">
        <f>IF(tbl_HR_Data[[#This Row],[MonthlyIncome]]&lt;$AT$2,1,0)</f>
        <v>1</v>
      </c>
      <c r="AN728">
        <f>IF(tbl_HR_Data[[#This Row],[Travel_Code]]=2,1,0)</f>
        <v>1</v>
      </c>
      <c r="AO728">
        <f>(tbl_HR_Data[[#This Row],[Flag_OT]] * Logic_Parameters!$B$2) +
 (tbl_HR_Data[[#This Row],[Flag_Travel]] * Logic_Parameters!$B$3) +
 (tbl_HR_Data[[#This Row],[Flag_Satisfaction]] * Logic_Parameters!$B$4) +
 (tbl_HR_Data[[#This Row],[Flag_Distance]]* Logic_Parameters!$B$5) +
 (tbl_HR_Data[[#This Row],[Flag_Income]] * Logic_Parameters!$B$6)</f>
        <v>15.859352047889136</v>
      </c>
      <c r="AP728" s="15">
        <f>tbl_HR_Data[[#This Row],[Risk_Score_Raw]] / SUM(Logic_Parameters!$B$2:$B$6)</f>
        <v>0.54639453549708916</v>
      </c>
      <c r="AQ728" s="16" t="str" cm="1">
        <f t="array" ref="AQ728">_xlfn.IFS(tbl_HR_Data[[#This Row],[Attrition_Risk_Percentage]] &gt;= 0.75, "Critical",tbl_HR_Data[ [#This Row],[Attrition_Risk_Percentage] ]&gt;= 0.5, "High",tbl_HR_Data[[#This Row],[Attrition_Risk_Percentage]] &gt;= 0.25, "Medium",TRUE, "Low")</f>
        <v>High</v>
      </c>
      <c r="AR728" s="16" cm="1">
        <f t="array" ref="AR728">IFERROR(_xlfn.IFS(tbl_HR_Data[[#This Row],[Risk_Category]]="Critical",tbl_HR_Data[[#This Row],[MonthlyIncome]]*1.5,tbl_HR_Data[[#This Row],[Risk_Category]]="High",tbl_HR_Data[[#This Row],[MonthlyIncome]]*1.5),0)</f>
        <v>6222</v>
      </c>
    </row>
    <row r="729" spans="1:44" x14ac:dyDescent="0.35">
      <c r="A729" t="s">
        <v>1170</v>
      </c>
      <c r="B729">
        <v>18</v>
      </c>
      <c r="C729" t="s">
        <v>1525</v>
      </c>
      <c r="D729">
        <v>287</v>
      </c>
      <c r="E729" t="s">
        <v>38</v>
      </c>
      <c r="F729">
        <v>5</v>
      </c>
      <c r="G729">
        <v>2</v>
      </c>
      <c r="H729" t="s">
        <v>33</v>
      </c>
      <c r="I729">
        <v>2</v>
      </c>
      <c r="J729" t="s">
        <v>39</v>
      </c>
      <c r="K729">
        <v>73</v>
      </c>
      <c r="L729">
        <v>3</v>
      </c>
      <c r="M729">
        <v>1</v>
      </c>
      <c r="N729" t="s">
        <v>40</v>
      </c>
      <c r="O729">
        <v>4</v>
      </c>
      <c r="P729" t="s">
        <v>36</v>
      </c>
      <c r="Q729">
        <v>1051</v>
      </c>
      <c r="R729">
        <v>13493</v>
      </c>
      <c r="S729">
        <v>1</v>
      </c>
      <c r="T729">
        <v>0</v>
      </c>
      <c r="U729" s="17">
        <v>0.15</v>
      </c>
      <c r="V729">
        <v>3</v>
      </c>
      <c r="W729">
        <v>4</v>
      </c>
      <c r="X729">
        <v>0</v>
      </c>
      <c r="Y729">
        <v>0</v>
      </c>
      <c r="Z729">
        <v>2</v>
      </c>
      <c r="AA729">
        <v>3</v>
      </c>
      <c r="AB729">
        <v>0</v>
      </c>
      <c r="AC729">
        <v>0</v>
      </c>
      <c r="AD729">
        <v>0</v>
      </c>
      <c r="AE729">
        <v>0</v>
      </c>
      <c r="AF729">
        <v>0</v>
      </c>
      <c r="AG729">
        <f>IF(tbl_HR_Data[[#This Row],[Gender]]="Male",1,0)</f>
        <v>1</v>
      </c>
      <c r="AH729" cm="1">
        <f t="array" ref="AH729">_xlfn.SWITCH(tbl_HR_Data[[#This Row],[BusinessTravel]], "Non-Travel", 0, "Travel_Rarely", 1, "Travel_Frequently", 2)</f>
        <v>0</v>
      </c>
      <c r="AI729" cm="1">
        <f t="array" ref="AI729">_xlfn.SWITCH(tbl_HR_Data[[#This Row],[MaritalStatus]],"Single",0,"Married",1,"Divorced",2)</f>
        <v>0</v>
      </c>
      <c r="AJ729">
        <f>IF(tbl_HR_Data[[#This Row],[OverTime]]=1,1,0)</f>
        <v>0</v>
      </c>
      <c r="AK729">
        <f>IF(tbl_HR_Data[[#This Row],[DistanceFromHome]]&gt;15,1,0)</f>
        <v>0</v>
      </c>
      <c r="AL729">
        <f>IF(tbl_HR_Data[[#This Row],[JobSatisfaction]]&lt;=2,1,0)</f>
        <v>0</v>
      </c>
      <c r="AM729">
        <f>IF(tbl_HR_Data[[#This Row],[MonthlyIncome]]&lt;$AT$2,1,0)</f>
        <v>1</v>
      </c>
      <c r="AN729">
        <f>IF(tbl_HR_Data[[#This Row],[Travel_Code]]=2,1,0)</f>
        <v>0</v>
      </c>
      <c r="AO729">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729" s="15">
        <f>tbl_HR_Data[[#This Row],[Risk_Score_Raw]] / SUM(Logic_Parameters!$B$2:$B$6)</f>
        <v>0.22374939857982484</v>
      </c>
      <c r="AQ729" s="16" t="str" cm="1">
        <f t="array" ref="AQ729">_xlfn.IFS(tbl_HR_Data[[#This Row],[Attrition_Risk_Percentage]] &gt;= 0.75, "Critical",tbl_HR_Data[ [#This Row],[Attrition_Risk_Percentage] ]&gt;= 0.5, "High",tbl_HR_Data[[#This Row],[Attrition_Risk_Percentage]] &gt;= 0.25, "Medium",TRUE, "Low")</f>
        <v>Low</v>
      </c>
      <c r="AR729" s="16" cm="1">
        <f t="array" ref="AR729">IFERROR(_xlfn.IFS(tbl_HR_Data[[#This Row],[Risk_Category]]="Critical",tbl_HR_Data[[#This Row],[MonthlyIncome]]*1.5,tbl_HR_Data[[#This Row],[Risk_Category]]="High",tbl_HR_Data[[#This Row],[MonthlyIncome]]*1.5),0)</f>
        <v>0</v>
      </c>
    </row>
    <row r="730" spans="1:44" x14ac:dyDescent="0.35">
      <c r="A730" t="s">
        <v>56</v>
      </c>
      <c r="B730">
        <v>54</v>
      </c>
      <c r="C730" t="s">
        <v>31</v>
      </c>
      <c r="D730">
        <v>1441</v>
      </c>
      <c r="E730" t="s">
        <v>38</v>
      </c>
      <c r="F730">
        <v>17</v>
      </c>
      <c r="G730">
        <v>3</v>
      </c>
      <c r="H730" t="s">
        <v>52</v>
      </c>
      <c r="I730">
        <v>3</v>
      </c>
      <c r="J730" t="s">
        <v>34</v>
      </c>
      <c r="K730">
        <v>56</v>
      </c>
      <c r="L730">
        <v>3</v>
      </c>
      <c r="M730">
        <v>3</v>
      </c>
      <c r="N730" t="s">
        <v>46</v>
      </c>
      <c r="O730">
        <v>3</v>
      </c>
      <c r="P730" t="s">
        <v>41</v>
      </c>
      <c r="Q730">
        <v>10739</v>
      </c>
      <c r="R730">
        <v>13943</v>
      </c>
      <c r="S730">
        <v>8</v>
      </c>
      <c r="T730">
        <v>0</v>
      </c>
      <c r="U730" s="17">
        <v>0.11</v>
      </c>
      <c r="V730">
        <v>3</v>
      </c>
      <c r="W730">
        <v>3</v>
      </c>
      <c r="X730">
        <v>1</v>
      </c>
      <c r="Y730">
        <v>22</v>
      </c>
      <c r="Z730">
        <v>2</v>
      </c>
      <c r="AA730">
        <v>3</v>
      </c>
      <c r="AB730">
        <v>10</v>
      </c>
      <c r="AC730">
        <v>7</v>
      </c>
      <c r="AD730">
        <v>0</v>
      </c>
      <c r="AE730">
        <v>8</v>
      </c>
      <c r="AF730">
        <v>0</v>
      </c>
      <c r="AG730">
        <f>IF(tbl_HR_Data[[#This Row],[Gender]]="Male",1,0)</f>
        <v>0</v>
      </c>
      <c r="AH730" cm="1">
        <f t="array" ref="AH730">_xlfn.SWITCH(tbl_HR_Data[[#This Row],[BusinessTravel]], "Non-Travel", 0, "Travel_Rarely", 1, "Travel_Frequently", 2)</f>
        <v>1</v>
      </c>
      <c r="AI730" cm="1">
        <f t="array" ref="AI730">_xlfn.SWITCH(tbl_HR_Data[[#This Row],[MaritalStatus]],"Single",0,"Married",1,"Divorced",2)</f>
        <v>1</v>
      </c>
      <c r="AJ730">
        <f>IF(tbl_HR_Data[[#This Row],[OverTime]]=1,1,0)</f>
        <v>0</v>
      </c>
      <c r="AK730">
        <f>IF(tbl_HR_Data[[#This Row],[DistanceFromHome]]&gt;15,1,0)</f>
        <v>1</v>
      </c>
      <c r="AL730">
        <f>IF(tbl_HR_Data[[#This Row],[JobSatisfaction]]&lt;=2,1,0)</f>
        <v>0</v>
      </c>
      <c r="AM730">
        <f>IF(tbl_HR_Data[[#This Row],[MonthlyIncome]]&lt;$AT$2,1,0)</f>
        <v>0</v>
      </c>
      <c r="AN730">
        <f>IF(tbl_HR_Data[[#This Row],[Travel_Code]]=2,1,0)</f>
        <v>0</v>
      </c>
      <c r="AO730">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730" s="15">
        <f>tbl_HR_Data[[#This Row],[Risk_Score_Raw]] / SUM(Logic_Parameters!$B$2:$B$6)</f>
        <v>0.10908033267710357</v>
      </c>
      <c r="AQ730" s="16" t="str" cm="1">
        <f t="array" ref="AQ730">_xlfn.IFS(tbl_HR_Data[[#This Row],[Attrition_Risk_Percentage]] &gt;= 0.75, "Critical",tbl_HR_Data[ [#This Row],[Attrition_Risk_Percentage] ]&gt;= 0.5, "High",tbl_HR_Data[[#This Row],[Attrition_Risk_Percentage]] &gt;= 0.25, "Medium",TRUE, "Low")</f>
        <v>Low</v>
      </c>
      <c r="AR730" s="16" cm="1">
        <f t="array" ref="AR730">IFERROR(_xlfn.IFS(tbl_HR_Data[[#This Row],[Risk_Category]]="Critical",tbl_HR_Data[[#This Row],[MonthlyIncome]]*1.5,tbl_HR_Data[[#This Row],[Risk_Category]]="High",tbl_HR_Data[[#This Row],[MonthlyIncome]]*1.5),0)</f>
        <v>0</v>
      </c>
    </row>
    <row r="731" spans="1:44" x14ac:dyDescent="0.35">
      <c r="A731" t="s">
        <v>825</v>
      </c>
      <c r="B731">
        <v>35</v>
      </c>
      <c r="C731" t="s">
        <v>31</v>
      </c>
      <c r="D731">
        <v>583</v>
      </c>
      <c r="E731" t="s">
        <v>38</v>
      </c>
      <c r="F731">
        <v>25</v>
      </c>
      <c r="G731">
        <v>4</v>
      </c>
      <c r="H731" t="s">
        <v>44</v>
      </c>
      <c r="I731">
        <v>3</v>
      </c>
      <c r="J731" t="s">
        <v>34</v>
      </c>
      <c r="K731">
        <v>57</v>
      </c>
      <c r="L731">
        <v>3</v>
      </c>
      <c r="M731">
        <v>3</v>
      </c>
      <c r="N731" t="s">
        <v>47</v>
      </c>
      <c r="O731">
        <v>3</v>
      </c>
      <c r="P731" t="s">
        <v>45</v>
      </c>
      <c r="Q731">
        <v>10388</v>
      </c>
      <c r="R731">
        <v>6975</v>
      </c>
      <c r="S731">
        <v>1</v>
      </c>
      <c r="T731">
        <v>1</v>
      </c>
      <c r="U731" s="17">
        <v>0.11</v>
      </c>
      <c r="V731">
        <v>3</v>
      </c>
      <c r="W731">
        <v>3</v>
      </c>
      <c r="X731">
        <v>1</v>
      </c>
      <c r="Y731">
        <v>16</v>
      </c>
      <c r="Z731">
        <v>3</v>
      </c>
      <c r="AA731">
        <v>2</v>
      </c>
      <c r="AB731">
        <v>16</v>
      </c>
      <c r="AC731">
        <v>10</v>
      </c>
      <c r="AD731">
        <v>10</v>
      </c>
      <c r="AE731">
        <v>1</v>
      </c>
      <c r="AF731">
        <v>0</v>
      </c>
      <c r="AG731">
        <f>IF(tbl_HR_Data[[#This Row],[Gender]]="Male",1,0)</f>
        <v>0</v>
      </c>
      <c r="AH731" cm="1">
        <f t="array" ref="AH731">_xlfn.SWITCH(tbl_HR_Data[[#This Row],[BusinessTravel]], "Non-Travel", 0, "Travel_Rarely", 1, "Travel_Frequently", 2)</f>
        <v>1</v>
      </c>
      <c r="AI731" cm="1">
        <f t="array" ref="AI731">_xlfn.SWITCH(tbl_HR_Data[[#This Row],[MaritalStatus]],"Single",0,"Married",1,"Divorced",2)</f>
        <v>2</v>
      </c>
      <c r="AJ731">
        <f>IF(tbl_HR_Data[[#This Row],[OverTime]]=1,1,0)</f>
        <v>1</v>
      </c>
      <c r="AK731">
        <f>IF(tbl_HR_Data[[#This Row],[DistanceFromHome]]&gt;15,1,0)</f>
        <v>1</v>
      </c>
      <c r="AL731">
        <f>IF(tbl_HR_Data[[#This Row],[JobSatisfaction]]&lt;=2,1,0)</f>
        <v>0</v>
      </c>
      <c r="AM731">
        <f>IF(tbl_HR_Data[[#This Row],[MonthlyIncome]]&lt;$AT$2,1,0)</f>
        <v>0</v>
      </c>
      <c r="AN731">
        <f>IF(tbl_HR_Data[[#This Row],[Travel_Code]]=2,1,0)</f>
        <v>0</v>
      </c>
      <c r="AO731">
        <f>(tbl_HR_Data[[#This Row],[Flag_OT]] * Logic_Parameters!$B$2) +
 (tbl_HR_Data[[#This Row],[Flag_Travel]] * Logic_Parameters!$B$3) +
 (tbl_HR_Data[[#This Row],[Flag_Satisfaction]] * Logic_Parameters!$B$4) +
 (tbl_HR_Data[[#This Row],[Flag_Distance]]* Logic_Parameters!$B$5) +
 (tbl_HR_Data[[#This Row],[Flag_Income]] * Logic_Parameters!$B$6)</f>
        <v>13.166106695875378</v>
      </c>
      <c r="AP731" s="15">
        <f>tbl_HR_Data[[#This Row],[Risk_Score_Raw]] / SUM(Logic_Parameters!$B$2:$B$6)</f>
        <v>0.45360546450291089</v>
      </c>
      <c r="AQ731" s="16" t="str" cm="1">
        <f t="array" ref="AQ731">_xlfn.IFS(tbl_HR_Data[[#This Row],[Attrition_Risk_Percentage]] &gt;= 0.75, "Critical",tbl_HR_Data[ [#This Row],[Attrition_Risk_Percentage] ]&gt;= 0.5, "High",tbl_HR_Data[[#This Row],[Attrition_Risk_Percentage]] &gt;= 0.25, "Medium",TRUE, "Low")</f>
        <v>Medium</v>
      </c>
      <c r="AR731" s="16" cm="1">
        <f t="array" ref="AR731">IFERROR(_xlfn.IFS(tbl_HR_Data[[#This Row],[Risk_Category]]="Critical",tbl_HR_Data[[#This Row],[MonthlyIncome]]*1.5,tbl_HR_Data[[#This Row],[Risk_Category]]="High",tbl_HR_Data[[#This Row],[MonthlyIncome]]*1.5),0)</f>
        <v>0</v>
      </c>
    </row>
    <row r="732" spans="1:44" x14ac:dyDescent="0.35">
      <c r="A732" t="s">
        <v>598</v>
      </c>
      <c r="B732">
        <v>30</v>
      </c>
      <c r="C732" t="s">
        <v>31</v>
      </c>
      <c r="D732">
        <v>153</v>
      </c>
      <c r="E732" t="s">
        <v>38</v>
      </c>
      <c r="F732">
        <v>8</v>
      </c>
      <c r="G732">
        <v>2</v>
      </c>
      <c r="H732" t="s">
        <v>33</v>
      </c>
      <c r="I732">
        <v>2</v>
      </c>
      <c r="J732" t="s">
        <v>34</v>
      </c>
      <c r="K732">
        <v>73</v>
      </c>
      <c r="L732">
        <v>4</v>
      </c>
      <c r="M732">
        <v>3</v>
      </c>
      <c r="N732" t="s">
        <v>50</v>
      </c>
      <c r="O732">
        <v>1</v>
      </c>
      <c r="P732" t="s">
        <v>41</v>
      </c>
      <c r="Q732">
        <v>11416</v>
      </c>
      <c r="R732">
        <v>17802</v>
      </c>
      <c r="S732">
        <v>0</v>
      </c>
      <c r="T732">
        <v>1</v>
      </c>
      <c r="U732" s="17">
        <v>0.12</v>
      </c>
      <c r="V732">
        <v>3</v>
      </c>
      <c r="W732">
        <v>3</v>
      </c>
      <c r="X732">
        <v>3</v>
      </c>
      <c r="Y732">
        <v>9</v>
      </c>
      <c r="Z732">
        <v>4</v>
      </c>
      <c r="AA732">
        <v>2</v>
      </c>
      <c r="AB732">
        <v>8</v>
      </c>
      <c r="AC732">
        <v>7</v>
      </c>
      <c r="AD732">
        <v>1</v>
      </c>
      <c r="AE732">
        <v>7</v>
      </c>
      <c r="AF732">
        <v>0</v>
      </c>
      <c r="AG732">
        <f>IF(tbl_HR_Data[[#This Row],[Gender]]="Male",1,0)</f>
        <v>0</v>
      </c>
      <c r="AH732" cm="1">
        <f t="array" ref="AH732">_xlfn.SWITCH(tbl_HR_Data[[#This Row],[BusinessTravel]], "Non-Travel", 0, "Travel_Rarely", 1, "Travel_Frequently", 2)</f>
        <v>1</v>
      </c>
      <c r="AI732" cm="1">
        <f t="array" ref="AI732">_xlfn.SWITCH(tbl_HR_Data[[#This Row],[MaritalStatus]],"Single",0,"Married",1,"Divorced",2)</f>
        <v>1</v>
      </c>
      <c r="AJ732">
        <f>IF(tbl_HR_Data[[#This Row],[OverTime]]=1,1,0)</f>
        <v>1</v>
      </c>
      <c r="AK732">
        <f>IF(tbl_HR_Data[[#This Row],[DistanceFromHome]]&gt;15,1,0)</f>
        <v>0</v>
      </c>
      <c r="AL732">
        <f>IF(tbl_HR_Data[[#This Row],[JobSatisfaction]]&lt;=2,1,0)</f>
        <v>1</v>
      </c>
      <c r="AM732">
        <f>IF(tbl_HR_Data[[#This Row],[MonthlyIncome]]&lt;$AT$2,1,0)</f>
        <v>0</v>
      </c>
      <c r="AN732">
        <f>IF(tbl_HR_Data[[#This Row],[Travel_Code]]=2,1,0)</f>
        <v>0</v>
      </c>
      <c r="AO732">
        <f>(tbl_HR_Data[[#This Row],[Flag_OT]] * Logic_Parameters!$B$2) +
 (tbl_HR_Data[[#This Row],[Flag_Travel]] * Logic_Parameters!$B$3) +
 (tbl_HR_Data[[#This Row],[Flag_Satisfaction]] * Logic_Parameters!$B$4) +
 (tbl_HR_Data[[#This Row],[Flag_Distance]]* Logic_Parameters!$B$5) +
 (tbl_HR_Data[[#This Row],[Flag_Income]] * Logic_Parameters!$B$6)</f>
        <v>14.204533129978131</v>
      </c>
      <c r="AP732" s="15">
        <f>tbl_HR_Data[[#This Row],[Risk_Score_Raw]] / SUM(Logic_Parameters!$B$2:$B$6)</f>
        <v>0.48938186491297625</v>
      </c>
      <c r="AQ732" s="16" t="str" cm="1">
        <f t="array" ref="AQ732">_xlfn.IFS(tbl_HR_Data[[#This Row],[Attrition_Risk_Percentage]] &gt;= 0.75, "Critical",tbl_HR_Data[ [#This Row],[Attrition_Risk_Percentage] ]&gt;= 0.5, "High",tbl_HR_Data[[#This Row],[Attrition_Risk_Percentage]] &gt;= 0.25, "Medium",TRUE, "Low")</f>
        <v>Medium</v>
      </c>
      <c r="AR732" s="16" cm="1">
        <f t="array" ref="AR732">IFERROR(_xlfn.IFS(tbl_HR_Data[[#This Row],[Risk_Category]]="Critical",tbl_HR_Data[[#This Row],[MonthlyIncome]]*1.5,tbl_HR_Data[[#This Row],[Risk_Category]]="High",tbl_HR_Data[[#This Row],[MonthlyIncome]]*1.5),0)</f>
        <v>0</v>
      </c>
    </row>
    <row r="733" spans="1:44" x14ac:dyDescent="0.35">
      <c r="A733" t="s">
        <v>82</v>
      </c>
      <c r="B733">
        <v>20</v>
      </c>
      <c r="C733" t="s">
        <v>31</v>
      </c>
      <c r="D733">
        <v>1097</v>
      </c>
      <c r="E733" t="s">
        <v>38</v>
      </c>
      <c r="F733">
        <v>11</v>
      </c>
      <c r="G733">
        <v>3</v>
      </c>
      <c r="H733" t="s">
        <v>44</v>
      </c>
      <c r="I733">
        <v>4</v>
      </c>
      <c r="J733" t="s">
        <v>34</v>
      </c>
      <c r="K733">
        <v>98</v>
      </c>
      <c r="L733">
        <v>2</v>
      </c>
      <c r="M733">
        <v>1</v>
      </c>
      <c r="N733" t="s">
        <v>40</v>
      </c>
      <c r="O733">
        <v>1</v>
      </c>
      <c r="P733" t="s">
        <v>36</v>
      </c>
      <c r="Q733">
        <v>2600</v>
      </c>
      <c r="R733">
        <v>18275</v>
      </c>
      <c r="S733">
        <v>1</v>
      </c>
      <c r="T733">
        <v>1</v>
      </c>
      <c r="U733" s="17">
        <v>0.15</v>
      </c>
      <c r="V733">
        <v>3</v>
      </c>
      <c r="W733">
        <v>1</v>
      </c>
      <c r="X733">
        <v>0</v>
      </c>
      <c r="Y733">
        <v>1</v>
      </c>
      <c r="Z733">
        <v>2</v>
      </c>
      <c r="AA733">
        <v>3</v>
      </c>
      <c r="AB733">
        <v>1</v>
      </c>
      <c r="AC733">
        <v>0</v>
      </c>
      <c r="AD733">
        <v>0</v>
      </c>
      <c r="AE733">
        <v>0</v>
      </c>
      <c r="AF733">
        <v>1</v>
      </c>
      <c r="AG733">
        <f>IF(tbl_HR_Data[[#This Row],[Gender]]="Male",1,0)</f>
        <v>0</v>
      </c>
      <c r="AH733" cm="1">
        <f t="array" ref="AH733">_xlfn.SWITCH(tbl_HR_Data[[#This Row],[BusinessTravel]], "Non-Travel", 0, "Travel_Rarely", 1, "Travel_Frequently", 2)</f>
        <v>1</v>
      </c>
      <c r="AI733" cm="1">
        <f t="array" ref="AI733">_xlfn.SWITCH(tbl_HR_Data[[#This Row],[MaritalStatus]],"Single",0,"Married",1,"Divorced",2)</f>
        <v>0</v>
      </c>
      <c r="AJ733">
        <f>IF(tbl_HR_Data[[#This Row],[OverTime]]=1,1,0)</f>
        <v>1</v>
      </c>
      <c r="AK733">
        <f>IF(tbl_HR_Data[[#This Row],[DistanceFromHome]]&gt;15,1,0)</f>
        <v>0</v>
      </c>
      <c r="AL733">
        <f>IF(tbl_HR_Data[[#This Row],[JobSatisfaction]]&lt;=2,1,0)</f>
        <v>1</v>
      </c>
      <c r="AM733">
        <f>IF(tbl_HR_Data[[#This Row],[MonthlyIncome]]&lt;$AT$2,1,0)</f>
        <v>1</v>
      </c>
      <c r="AN733">
        <f>IF(tbl_HR_Data[[#This Row],[Travel_Code]]=2,1,0)</f>
        <v>0</v>
      </c>
      <c r="AO733">
        <f>(tbl_HR_Data[[#This Row],[Flag_OT]] * Logic_Parameters!$B$2) +
 (tbl_HR_Data[[#This Row],[Flag_Travel]] * Logic_Parameters!$B$3) +
 (tbl_HR_Data[[#This Row],[Flag_Satisfaction]] * Logic_Parameters!$B$4) +
 (tbl_HR_Data[[#This Row],[Flag_Distance]]* Logic_Parameters!$B$5) +
 (tbl_HR_Data[[#This Row],[Flag_Income]] * Logic_Parameters!$B$6)</f>
        <v>20.698962067398959</v>
      </c>
      <c r="AP733" s="15">
        <f>tbl_HR_Data[[#This Row],[Risk_Score_Raw]] / SUM(Logic_Parameters!$B$2:$B$6)</f>
        <v>0.71313126349280109</v>
      </c>
      <c r="AQ733" s="16" t="str" cm="1">
        <f t="array" ref="AQ733">_xlfn.IFS(tbl_HR_Data[[#This Row],[Attrition_Risk_Percentage]] &gt;= 0.75, "Critical",tbl_HR_Data[ [#This Row],[Attrition_Risk_Percentage] ]&gt;= 0.5, "High",tbl_HR_Data[[#This Row],[Attrition_Risk_Percentage]] &gt;= 0.25, "Medium",TRUE, "Low")</f>
        <v>High</v>
      </c>
      <c r="AR733" s="16" cm="1">
        <f t="array" ref="AR733">IFERROR(_xlfn.IFS(tbl_HR_Data[[#This Row],[Risk_Category]]="Critical",tbl_HR_Data[[#This Row],[MonthlyIncome]]*1.5,tbl_HR_Data[[#This Row],[Risk_Category]]="High",tbl_HR_Data[[#This Row],[MonthlyIncome]]*1.5),0)</f>
        <v>3900</v>
      </c>
    </row>
    <row r="734" spans="1:44" x14ac:dyDescent="0.35">
      <c r="A734" t="s">
        <v>1060</v>
      </c>
      <c r="B734">
        <v>30</v>
      </c>
      <c r="C734" t="s">
        <v>37</v>
      </c>
      <c r="D734">
        <v>109</v>
      </c>
      <c r="E734" t="s">
        <v>38</v>
      </c>
      <c r="F734">
        <v>5</v>
      </c>
      <c r="G734">
        <v>3</v>
      </c>
      <c r="H734" t="s">
        <v>44</v>
      </c>
      <c r="I734">
        <v>2</v>
      </c>
      <c r="J734" t="s">
        <v>34</v>
      </c>
      <c r="K734">
        <v>60</v>
      </c>
      <c r="L734">
        <v>3</v>
      </c>
      <c r="M734">
        <v>1</v>
      </c>
      <c r="N734" t="s">
        <v>43</v>
      </c>
      <c r="O734">
        <v>2</v>
      </c>
      <c r="P734" t="s">
        <v>36</v>
      </c>
      <c r="Q734">
        <v>2422</v>
      </c>
      <c r="R734">
        <v>25725</v>
      </c>
      <c r="S734">
        <v>0</v>
      </c>
      <c r="T734">
        <v>0</v>
      </c>
      <c r="U734" s="17">
        <v>0.17</v>
      </c>
      <c r="V734">
        <v>3</v>
      </c>
      <c r="W734">
        <v>1</v>
      </c>
      <c r="X734">
        <v>0</v>
      </c>
      <c r="Y734">
        <v>4</v>
      </c>
      <c r="Z734">
        <v>3</v>
      </c>
      <c r="AA734">
        <v>3</v>
      </c>
      <c r="AB734">
        <v>3</v>
      </c>
      <c r="AC734">
        <v>2</v>
      </c>
      <c r="AD734">
        <v>1</v>
      </c>
      <c r="AE734">
        <v>2</v>
      </c>
      <c r="AF734">
        <v>1</v>
      </c>
      <c r="AG734">
        <f>IF(tbl_HR_Data[[#This Row],[Gender]]="Male",1,0)</f>
        <v>0</v>
      </c>
      <c r="AH734" cm="1">
        <f t="array" ref="AH734">_xlfn.SWITCH(tbl_HR_Data[[#This Row],[BusinessTravel]], "Non-Travel", 0, "Travel_Rarely", 1, "Travel_Frequently", 2)</f>
        <v>2</v>
      </c>
      <c r="AI734" cm="1">
        <f t="array" ref="AI734">_xlfn.SWITCH(tbl_HR_Data[[#This Row],[MaritalStatus]],"Single",0,"Married",1,"Divorced",2)</f>
        <v>0</v>
      </c>
      <c r="AJ734">
        <f>IF(tbl_HR_Data[[#This Row],[OverTime]]=1,1,0)</f>
        <v>0</v>
      </c>
      <c r="AK734">
        <f>IF(tbl_HR_Data[[#This Row],[DistanceFromHome]]&gt;15,1,0)</f>
        <v>0</v>
      </c>
      <c r="AL734">
        <f>IF(tbl_HR_Data[[#This Row],[JobSatisfaction]]&lt;=2,1,0)</f>
        <v>1</v>
      </c>
      <c r="AM734">
        <f>IF(tbl_HR_Data[[#This Row],[MonthlyIncome]]&lt;$AT$2,1,0)</f>
        <v>1</v>
      </c>
      <c r="AN734">
        <f>IF(tbl_HR_Data[[#This Row],[Travel_Code]]=2,1,0)</f>
        <v>1</v>
      </c>
      <c r="AO734">
        <f>(tbl_HR_Data[[#This Row],[Flag_OT]] * Logic_Parameters!$B$2) +
 (tbl_HR_Data[[#This Row],[Flag_Travel]] * Logic_Parameters!$B$3) +
 (tbl_HR_Data[[#This Row],[Flag_Satisfaction]] * Logic_Parameters!$B$4) +
 (tbl_HR_Data[[#This Row],[Flag_Distance]]* Logic_Parameters!$B$5) +
 (tbl_HR_Data[[#This Row],[Flag_Income]] * Logic_Parameters!$B$6)</f>
        <v>15.859352047889136</v>
      </c>
      <c r="AP734" s="15">
        <f>tbl_HR_Data[[#This Row],[Risk_Score_Raw]] / SUM(Logic_Parameters!$B$2:$B$6)</f>
        <v>0.54639453549708916</v>
      </c>
      <c r="AQ734" s="16" t="str" cm="1">
        <f t="array" ref="AQ734">_xlfn.IFS(tbl_HR_Data[[#This Row],[Attrition_Risk_Percentage]] &gt;= 0.75, "Critical",tbl_HR_Data[ [#This Row],[Attrition_Risk_Percentage] ]&gt;= 0.5, "High",tbl_HR_Data[[#This Row],[Attrition_Risk_Percentage]] &gt;= 0.25, "Medium",TRUE, "Low")</f>
        <v>High</v>
      </c>
      <c r="AR734" s="16" cm="1">
        <f t="array" ref="AR734">IFERROR(_xlfn.IFS(tbl_HR_Data[[#This Row],[Risk_Category]]="Critical",tbl_HR_Data[[#This Row],[MonthlyIncome]]*1.5,tbl_HR_Data[[#This Row],[Risk_Category]]="High",tbl_HR_Data[[#This Row],[MonthlyIncome]]*1.5),0)</f>
        <v>3633</v>
      </c>
    </row>
    <row r="735" spans="1:44" x14ac:dyDescent="0.35">
      <c r="A735" t="s">
        <v>271</v>
      </c>
      <c r="B735">
        <v>26</v>
      </c>
      <c r="C735" t="s">
        <v>31</v>
      </c>
      <c r="D735">
        <v>1066</v>
      </c>
      <c r="E735" t="s">
        <v>38</v>
      </c>
      <c r="F735">
        <v>2</v>
      </c>
      <c r="G735">
        <v>2</v>
      </c>
      <c r="H735" t="s">
        <v>44</v>
      </c>
      <c r="I735">
        <v>4</v>
      </c>
      <c r="J735" t="s">
        <v>39</v>
      </c>
      <c r="K735">
        <v>32</v>
      </c>
      <c r="L735">
        <v>4</v>
      </c>
      <c r="M735">
        <v>2</v>
      </c>
      <c r="N735" t="s">
        <v>46</v>
      </c>
      <c r="O735">
        <v>4</v>
      </c>
      <c r="P735" t="s">
        <v>41</v>
      </c>
      <c r="Q735">
        <v>5472</v>
      </c>
      <c r="R735">
        <v>3334</v>
      </c>
      <c r="S735">
        <v>1</v>
      </c>
      <c r="T735">
        <v>0</v>
      </c>
      <c r="U735" s="17">
        <v>0.12</v>
      </c>
      <c r="V735">
        <v>3</v>
      </c>
      <c r="W735">
        <v>2</v>
      </c>
      <c r="X735">
        <v>0</v>
      </c>
      <c r="Y735">
        <v>8</v>
      </c>
      <c r="Z735">
        <v>2</v>
      </c>
      <c r="AA735">
        <v>3</v>
      </c>
      <c r="AB735">
        <v>8</v>
      </c>
      <c r="AC735">
        <v>7</v>
      </c>
      <c r="AD735">
        <v>1</v>
      </c>
      <c r="AE735">
        <v>3</v>
      </c>
      <c r="AF735">
        <v>0</v>
      </c>
      <c r="AG735">
        <f>IF(tbl_HR_Data[[#This Row],[Gender]]="Male",1,0)</f>
        <v>1</v>
      </c>
      <c r="AH735" cm="1">
        <f t="array" ref="AH735">_xlfn.SWITCH(tbl_HR_Data[[#This Row],[BusinessTravel]], "Non-Travel", 0, "Travel_Rarely", 1, "Travel_Frequently", 2)</f>
        <v>1</v>
      </c>
      <c r="AI735" cm="1">
        <f t="array" ref="AI735">_xlfn.SWITCH(tbl_HR_Data[[#This Row],[MaritalStatus]],"Single",0,"Married",1,"Divorced",2)</f>
        <v>1</v>
      </c>
      <c r="AJ735">
        <f>IF(tbl_HR_Data[[#This Row],[OverTime]]=1,1,0)</f>
        <v>0</v>
      </c>
      <c r="AK735">
        <f>IF(tbl_HR_Data[[#This Row],[DistanceFromHome]]&gt;15,1,0)</f>
        <v>0</v>
      </c>
      <c r="AL735">
        <f>IF(tbl_HR_Data[[#This Row],[JobSatisfaction]]&lt;=2,1,0)</f>
        <v>0</v>
      </c>
      <c r="AM735">
        <f>IF(tbl_HR_Data[[#This Row],[MonthlyIncome]]&lt;$AT$2,1,0)</f>
        <v>0</v>
      </c>
      <c r="AN735">
        <f>IF(tbl_HR_Data[[#This Row],[Travel_Code]]=2,1,0)</f>
        <v>0</v>
      </c>
      <c r="AO735">
        <f>(tbl_HR_Data[[#This Row],[Flag_OT]] * Logic_Parameters!$B$2) +
 (tbl_HR_Data[[#This Row],[Flag_Travel]] * Logic_Parameters!$B$3) +
 (tbl_HR_Data[[#This Row],[Flag_Satisfaction]] * Logic_Parameters!$B$4) +
 (tbl_HR_Data[[#This Row],[Flag_Distance]]* Logic_Parameters!$B$5) +
 (tbl_HR_Data[[#This Row],[Flag_Income]] * Logic_Parameters!$B$6)</f>
        <v>0</v>
      </c>
      <c r="AP735" s="15">
        <f>tbl_HR_Data[[#This Row],[Risk_Score_Raw]] / SUM(Logic_Parameters!$B$2:$B$6)</f>
        <v>0</v>
      </c>
      <c r="AQ735" s="16" t="str" cm="1">
        <f t="array" ref="AQ735">_xlfn.IFS(tbl_HR_Data[[#This Row],[Attrition_Risk_Percentage]] &gt;= 0.75, "Critical",tbl_HR_Data[ [#This Row],[Attrition_Risk_Percentage] ]&gt;= 0.5, "High",tbl_HR_Data[[#This Row],[Attrition_Risk_Percentage]] &gt;= 0.25, "Medium",TRUE, "Low")</f>
        <v>Low</v>
      </c>
      <c r="AR735" s="16" cm="1">
        <f t="array" ref="AR735">IFERROR(_xlfn.IFS(tbl_HR_Data[[#This Row],[Risk_Category]]="Critical",tbl_HR_Data[[#This Row],[MonthlyIncome]]*1.5,tbl_HR_Data[[#This Row],[Risk_Category]]="High",tbl_HR_Data[[#This Row],[MonthlyIncome]]*1.5),0)</f>
        <v>0</v>
      </c>
    </row>
    <row r="736" spans="1:44" x14ac:dyDescent="0.35">
      <c r="A736" t="s">
        <v>530</v>
      </c>
      <c r="B736">
        <v>22</v>
      </c>
      <c r="C736" t="s">
        <v>31</v>
      </c>
      <c r="D736">
        <v>217</v>
      </c>
      <c r="E736" t="s">
        <v>38</v>
      </c>
      <c r="F736">
        <v>8</v>
      </c>
      <c r="G736">
        <v>1</v>
      </c>
      <c r="H736" t="s">
        <v>33</v>
      </c>
      <c r="I736">
        <v>2</v>
      </c>
      <c r="J736" t="s">
        <v>39</v>
      </c>
      <c r="K736">
        <v>94</v>
      </c>
      <c r="L736">
        <v>1</v>
      </c>
      <c r="M736">
        <v>1</v>
      </c>
      <c r="N736" t="s">
        <v>43</v>
      </c>
      <c r="O736">
        <v>1</v>
      </c>
      <c r="P736" t="s">
        <v>41</v>
      </c>
      <c r="Q736">
        <v>2451</v>
      </c>
      <c r="R736">
        <v>6881</v>
      </c>
      <c r="S736">
        <v>1</v>
      </c>
      <c r="T736">
        <v>0</v>
      </c>
      <c r="U736" s="17">
        <v>0.15</v>
      </c>
      <c r="V736">
        <v>3</v>
      </c>
      <c r="W736">
        <v>1</v>
      </c>
      <c r="X736">
        <v>1</v>
      </c>
      <c r="Y736">
        <v>4</v>
      </c>
      <c r="Z736">
        <v>3</v>
      </c>
      <c r="AA736">
        <v>2</v>
      </c>
      <c r="AB736">
        <v>4</v>
      </c>
      <c r="AC736">
        <v>3</v>
      </c>
      <c r="AD736">
        <v>1</v>
      </c>
      <c r="AE736">
        <v>1</v>
      </c>
      <c r="AF736">
        <v>0</v>
      </c>
      <c r="AG736">
        <f>IF(tbl_HR_Data[[#This Row],[Gender]]="Male",1,0)</f>
        <v>1</v>
      </c>
      <c r="AH736" cm="1">
        <f t="array" ref="AH736">_xlfn.SWITCH(tbl_HR_Data[[#This Row],[BusinessTravel]], "Non-Travel", 0, "Travel_Rarely", 1, "Travel_Frequently", 2)</f>
        <v>1</v>
      </c>
      <c r="AI736" cm="1">
        <f t="array" ref="AI736">_xlfn.SWITCH(tbl_HR_Data[[#This Row],[MaritalStatus]],"Single",0,"Married",1,"Divorced",2)</f>
        <v>1</v>
      </c>
      <c r="AJ736">
        <f>IF(tbl_HR_Data[[#This Row],[OverTime]]=1,1,0)</f>
        <v>0</v>
      </c>
      <c r="AK736">
        <f>IF(tbl_HR_Data[[#This Row],[DistanceFromHome]]&gt;15,1,0)</f>
        <v>0</v>
      </c>
      <c r="AL736">
        <f>IF(tbl_HR_Data[[#This Row],[JobSatisfaction]]&lt;=2,1,0)</f>
        <v>1</v>
      </c>
      <c r="AM736">
        <f>IF(tbl_HR_Data[[#This Row],[MonthlyIncome]]&lt;$AT$2,1,0)</f>
        <v>1</v>
      </c>
      <c r="AN736">
        <f>IF(tbl_HR_Data[[#This Row],[Travel_Code]]=2,1,0)</f>
        <v>0</v>
      </c>
      <c r="AO736">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736" s="15">
        <f>tbl_HR_Data[[#This Row],[Risk_Score_Raw]] / SUM(Logic_Parameters!$B$2:$B$6)</f>
        <v>0.3686061316669938</v>
      </c>
      <c r="AQ736" s="16" t="str" cm="1">
        <f t="array" ref="AQ736">_xlfn.IFS(tbl_HR_Data[[#This Row],[Attrition_Risk_Percentage]] &gt;= 0.75, "Critical",tbl_HR_Data[ [#This Row],[Attrition_Risk_Percentage] ]&gt;= 0.5, "High",tbl_HR_Data[[#This Row],[Attrition_Risk_Percentage]] &gt;= 0.25, "Medium",TRUE, "Low")</f>
        <v>Medium</v>
      </c>
      <c r="AR736" s="16" cm="1">
        <f t="array" ref="AR736">IFERROR(_xlfn.IFS(tbl_HR_Data[[#This Row],[Risk_Category]]="Critical",tbl_HR_Data[[#This Row],[MonthlyIncome]]*1.5,tbl_HR_Data[[#This Row],[Risk_Category]]="High",tbl_HR_Data[[#This Row],[MonthlyIncome]]*1.5),0)</f>
        <v>0</v>
      </c>
    </row>
    <row r="737" spans="1:44" x14ac:dyDescent="0.35">
      <c r="A737" t="s">
        <v>925</v>
      </c>
      <c r="B737">
        <v>48</v>
      </c>
      <c r="C737" t="s">
        <v>31</v>
      </c>
      <c r="D737">
        <v>277</v>
      </c>
      <c r="E737" t="s">
        <v>38</v>
      </c>
      <c r="F737">
        <v>6</v>
      </c>
      <c r="G737">
        <v>3</v>
      </c>
      <c r="H737" t="s">
        <v>33</v>
      </c>
      <c r="I737">
        <v>1</v>
      </c>
      <c r="J737" t="s">
        <v>39</v>
      </c>
      <c r="K737">
        <v>97</v>
      </c>
      <c r="L737">
        <v>2</v>
      </c>
      <c r="M737">
        <v>2</v>
      </c>
      <c r="N737" t="s">
        <v>47</v>
      </c>
      <c r="O737">
        <v>3</v>
      </c>
      <c r="P737" t="s">
        <v>36</v>
      </c>
      <c r="Q737">
        <v>4240</v>
      </c>
      <c r="R737">
        <v>13119</v>
      </c>
      <c r="S737">
        <v>2</v>
      </c>
      <c r="T737">
        <v>0</v>
      </c>
      <c r="U737" s="17">
        <v>0.13</v>
      </c>
      <c r="V737">
        <v>3</v>
      </c>
      <c r="W737">
        <v>4</v>
      </c>
      <c r="X737">
        <v>0</v>
      </c>
      <c r="Y737">
        <v>19</v>
      </c>
      <c r="Z737">
        <v>0</v>
      </c>
      <c r="AA737">
        <v>3</v>
      </c>
      <c r="AB737">
        <v>2</v>
      </c>
      <c r="AC737">
        <v>2</v>
      </c>
      <c r="AD737">
        <v>2</v>
      </c>
      <c r="AE737">
        <v>2</v>
      </c>
      <c r="AF737">
        <v>0</v>
      </c>
      <c r="AG737">
        <f>IF(tbl_HR_Data[[#This Row],[Gender]]="Male",1,0)</f>
        <v>1</v>
      </c>
      <c r="AH737" cm="1">
        <f t="array" ref="AH737">_xlfn.SWITCH(tbl_HR_Data[[#This Row],[BusinessTravel]], "Non-Travel", 0, "Travel_Rarely", 1, "Travel_Frequently", 2)</f>
        <v>1</v>
      </c>
      <c r="AI737" cm="1">
        <f t="array" ref="AI737">_xlfn.SWITCH(tbl_HR_Data[[#This Row],[MaritalStatus]],"Single",0,"Married",1,"Divorced",2)</f>
        <v>0</v>
      </c>
      <c r="AJ737">
        <f>IF(tbl_HR_Data[[#This Row],[OverTime]]=1,1,0)</f>
        <v>0</v>
      </c>
      <c r="AK737">
        <f>IF(tbl_HR_Data[[#This Row],[DistanceFromHome]]&gt;15,1,0)</f>
        <v>0</v>
      </c>
      <c r="AL737">
        <f>IF(tbl_HR_Data[[#This Row],[JobSatisfaction]]&lt;=2,1,0)</f>
        <v>0</v>
      </c>
      <c r="AM737">
        <f>IF(tbl_HR_Data[[#This Row],[MonthlyIncome]]&lt;$AT$2,1,0)</f>
        <v>1</v>
      </c>
      <c r="AN737">
        <f>IF(tbl_HR_Data[[#This Row],[Travel_Code]]=2,1,0)</f>
        <v>0</v>
      </c>
      <c r="AO737">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737" s="15">
        <f>tbl_HR_Data[[#This Row],[Risk_Score_Raw]] / SUM(Logic_Parameters!$B$2:$B$6)</f>
        <v>0.22374939857982484</v>
      </c>
      <c r="AQ737" s="16" t="str" cm="1">
        <f t="array" ref="AQ737">_xlfn.IFS(tbl_HR_Data[[#This Row],[Attrition_Risk_Percentage]] &gt;= 0.75, "Critical",tbl_HR_Data[ [#This Row],[Attrition_Risk_Percentage] ]&gt;= 0.5, "High",tbl_HR_Data[[#This Row],[Attrition_Risk_Percentage]] &gt;= 0.25, "Medium",TRUE, "Low")</f>
        <v>Low</v>
      </c>
      <c r="AR737" s="16" cm="1">
        <f t="array" ref="AR737">IFERROR(_xlfn.IFS(tbl_HR_Data[[#This Row],[Risk_Category]]="Critical",tbl_HR_Data[[#This Row],[MonthlyIncome]]*1.5,tbl_HR_Data[[#This Row],[Risk_Category]]="High",tbl_HR_Data[[#This Row],[MonthlyIncome]]*1.5),0)</f>
        <v>0</v>
      </c>
    </row>
    <row r="738" spans="1:44" x14ac:dyDescent="0.35">
      <c r="A738" t="s">
        <v>1014</v>
      </c>
      <c r="B738">
        <v>48</v>
      </c>
      <c r="C738" t="s">
        <v>31</v>
      </c>
      <c r="D738">
        <v>1355</v>
      </c>
      <c r="E738" t="s">
        <v>38</v>
      </c>
      <c r="F738">
        <v>4</v>
      </c>
      <c r="G738">
        <v>4</v>
      </c>
      <c r="H738" t="s">
        <v>33</v>
      </c>
      <c r="I738">
        <v>3</v>
      </c>
      <c r="J738" t="s">
        <v>39</v>
      </c>
      <c r="K738">
        <v>78</v>
      </c>
      <c r="L738">
        <v>2</v>
      </c>
      <c r="M738">
        <v>3</v>
      </c>
      <c r="N738" t="s">
        <v>47</v>
      </c>
      <c r="O738">
        <v>3</v>
      </c>
      <c r="P738" t="s">
        <v>36</v>
      </c>
      <c r="Q738">
        <v>10999</v>
      </c>
      <c r="R738">
        <v>22245</v>
      </c>
      <c r="S738">
        <v>7</v>
      </c>
      <c r="T738">
        <v>0</v>
      </c>
      <c r="U738" s="17">
        <v>0.14000000000000001</v>
      </c>
      <c r="V738">
        <v>3</v>
      </c>
      <c r="W738">
        <v>2</v>
      </c>
      <c r="X738">
        <v>0</v>
      </c>
      <c r="Y738">
        <v>27</v>
      </c>
      <c r="Z738">
        <v>3</v>
      </c>
      <c r="AA738">
        <v>3</v>
      </c>
      <c r="AB738">
        <v>15</v>
      </c>
      <c r="AC738">
        <v>11</v>
      </c>
      <c r="AD738">
        <v>4</v>
      </c>
      <c r="AE738">
        <v>8</v>
      </c>
      <c r="AF738">
        <v>0</v>
      </c>
      <c r="AG738">
        <f>IF(tbl_HR_Data[[#This Row],[Gender]]="Male",1,0)</f>
        <v>1</v>
      </c>
      <c r="AH738" cm="1">
        <f t="array" ref="AH738">_xlfn.SWITCH(tbl_HR_Data[[#This Row],[BusinessTravel]], "Non-Travel", 0, "Travel_Rarely", 1, "Travel_Frequently", 2)</f>
        <v>1</v>
      </c>
      <c r="AI738" cm="1">
        <f t="array" ref="AI738">_xlfn.SWITCH(tbl_HR_Data[[#This Row],[MaritalStatus]],"Single",0,"Married",1,"Divorced",2)</f>
        <v>0</v>
      </c>
      <c r="AJ738">
        <f>IF(tbl_HR_Data[[#This Row],[OverTime]]=1,1,0)</f>
        <v>0</v>
      </c>
      <c r="AK738">
        <f>IF(tbl_HR_Data[[#This Row],[DistanceFromHome]]&gt;15,1,0)</f>
        <v>0</v>
      </c>
      <c r="AL738">
        <f>IF(tbl_HR_Data[[#This Row],[JobSatisfaction]]&lt;=2,1,0)</f>
        <v>0</v>
      </c>
      <c r="AM738">
        <f>IF(tbl_HR_Data[[#This Row],[MonthlyIncome]]&lt;$AT$2,1,0)</f>
        <v>0</v>
      </c>
      <c r="AN738">
        <f>IF(tbl_HR_Data[[#This Row],[Travel_Code]]=2,1,0)</f>
        <v>0</v>
      </c>
      <c r="AO738">
        <f>(tbl_HR_Data[[#This Row],[Flag_OT]] * Logic_Parameters!$B$2) +
 (tbl_HR_Data[[#This Row],[Flag_Travel]] * Logic_Parameters!$B$3) +
 (tbl_HR_Data[[#This Row],[Flag_Satisfaction]] * Logic_Parameters!$B$4) +
 (tbl_HR_Data[[#This Row],[Flag_Distance]]* Logic_Parameters!$B$5) +
 (tbl_HR_Data[[#This Row],[Flag_Income]] * Logic_Parameters!$B$6)</f>
        <v>0</v>
      </c>
      <c r="AP738" s="15">
        <f>tbl_HR_Data[[#This Row],[Risk_Score_Raw]] / SUM(Logic_Parameters!$B$2:$B$6)</f>
        <v>0</v>
      </c>
      <c r="AQ738" s="16" t="str" cm="1">
        <f t="array" ref="AQ738">_xlfn.IFS(tbl_HR_Data[[#This Row],[Attrition_Risk_Percentage]] &gt;= 0.75, "Critical",tbl_HR_Data[ [#This Row],[Attrition_Risk_Percentage] ]&gt;= 0.5, "High",tbl_HR_Data[[#This Row],[Attrition_Risk_Percentage]] &gt;= 0.25, "Medium",TRUE, "Low")</f>
        <v>Low</v>
      </c>
      <c r="AR738" s="16" cm="1">
        <f t="array" ref="AR738">IFERROR(_xlfn.IFS(tbl_HR_Data[[#This Row],[Risk_Category]]="Critical",tbl_HR_Data[[#This Row],[MonthlyIncome]]*1.5,tbl_HR_Data[[#This Row],[Risk_Category]]="High",tbl_HR_Data[[#This Row],[MonthlyIncome]]*1.5),0)</f>
        <v>0</v>
      </c>
    </row>
    <row r="739" spans="1:44" x14ac:dyDescent="0.35">
      <c r="A739" t="s">
        <v>555</v>
      </c>
      <c r="B739">
        <v>41</v>
      </c>
      <c r="C739" t="s">
        <v>31</v>
      </c>
      <c r="D739">
        <v>549</v>
      </c>
      <c r="E739" t="s">
        <v>38</v>
      </c>
      <c r="F739">
        <v>7</v>
      </c>
      <c r="G739">
        <v>2</v>
      </c>
      <c r="H739" t="s">
        <v>44</v>
      </c>
      <c r="I739">
        <v>4</v>
      </c>
      <c r="J739" t="s">
        <v>34</v>
      </c>
      <c r="K739">
        <v>42</v>
      </c>
      <c r="L739">
        <v>3</v>
      </c>
      <c r="M739">
        <v>2</v>
      </c>
      <c r="N739" t="s">
        <v>46</v>
      </c>
      <c r="O739">
        <v>3</v>
      </c>
      <c r="P739" t="s">
        <v>36</v>
      </c>
      <c r="Q739">
        <v>5003</v>
      </c>
      <c r="R739">
        <v>23371</v>
      </c>
      <c r="S739">
        <v>6</v>
      </c>
      <c r="T739">
        <v>0</v>
      </c>
      <c r="U739" s="17">
        <v>0.14000000000000001</v>
      </c>
      <c r="V739">
        <v>3</v>
      </c>
      <c r="W739">
        <v>2</v>
      </c>
      <c r="X739">
        <v>0</v>
      </c>
      <c r="Y739">
        <v>8</v>
      </c>
      <c r="Z739">
        <v>6</v>
      </c>
      <c r="AA739">
        <v>3</v>
      </c>
      <c r="AB739">
        <v>2</v>
      </c>
      <c r="AC739">
        <v>2</v>
      </c>
      <c r="AD739">
        <v>2</v>
      </c>
      <c r="AE739">
        <v>1</v>
      </c>
      <c r="AF739">
        <v>0</v>
      </c>
      <c r="AG739">
        <f>IF(tbl_HR_Data[[#This Row],[Gender]]="Male",1,0)</f>
        <v>0</v>
      </c>
      <c r="AH739" cm="1">
        <f t="array" ref="AH739">_xlfn.SWITCH(tbl_HR_Data[[#This Row],[BusinessTravel]], "Non-Travel", 0, "Travel_Rarely", 1, "Travel_Frequently", 2)</f>
        <v>1</v>
      </c>
      <c r="AI739" cm="1">
        <f t="array" ref="AI739">_xlfn.SWITCH(tbl_HR_Data[[#This Row],[MaritalStatus]],"Single",0,"Married",1,"Divorced",2)</f>
        <v>0</v>
      </c>
      <c r="AJ739">
        <f>IF(tbl_HR_Data[[#This Row],[OverTime]]=1,1,0)</f>
        <v>0</v>
      </c>
      <c r="AK739">
        <f>IF(tbl_HR_Data[[#This Row],[DistanceFromHome]]&gt;15,1,0)</f>
        <v>0</v>
      </c>
      <c r="AL739">
        <f>IF(tbl_HR_Data[[#This Row],[JobSatisfaction]]&lt;=2,1,0)</f>
        <v>0</v>
      </c>
      <c r="AM739">
        <f>IF(tbl_HR_Data[[#This Row],[MonthlyIncome]]&lt;$AT$2,1,0)</f>
        <v>0</v>
      </c>
      <c r="AN739">
        <f>IF(tbl_HR_Data[[#This Row],[Travel_Code]]=2,1,0)</f>
        <v>0</v>
      </c>
      <c r="AO739">
        <f>(tbl_HR_Data[[#This Row],[Flag_OT]] * Logic_Parameters!$B$2) +
 (tbl_HR_Data[[#This Row],[Flag_Travel]] * Logic_Parameters!$B$3) +
 (tbl_HR_Data[[#This Row],[Flag_Satisfaction]] * Logic_Parameters!$B$4) +
 (tbl_HR_Data[[#This Row],[Flag_Distance]]* Logic_Parameters!$B$5) +
 (tbl_HR_Data[[#This Row],[Flag_Income]] * Logic_Parameters!$B$6)</f>
        <v>0</v>
      </c>
      <c r="AP739" s="15">
        <f>tbl_HR_Data[[#This Row],[Risk_Score_Raw]] / SUM(Logic_Parameters!$B$2:$B$6)</f>
        <v>0</v>
      </c>
      <c r="AQ739" s="16" t="str" cm="1">
        <f t="array" ref="AQ739">_xlfn.IFS(tbl_HR_Data[[#This Row],[Attrition_Risk_Percentage]] &gt;= 0.75, "Critical",tbl_HR_Data[ [#This Row],[Attrition_Risk_Percentage] ]&gt;= 0.5, "High",tbl_HR_Data[[#This Row],[Attrition_Risk_Percentage]] &gt;= 0.25, "Medium",TRUE, "Low")</f>
        <v>Low</v>
      </c>
      <c r="AR739" s="16" cm="1">
        <f t="array" ref="AR739">IFERROR(_xlfn.IFS(tbl_HR_Data[[#This Row],[Risk_Category]]="Critical",tbl_HR_Data[[#This Row],[MonthlyIncome]]*1.5,tbl_HR_Data[[#This Row],[Risk_Category]]="High",tbl_HR_Data[[#This Row],[MonthlyIncome]]*1.5),0)</f>
        <v>0</v>
      </c>
    </row>
    <row r="740" spans="1:44" x14ac:dyDescent="0.35">
      <c r="A740" t="s">
        <v>778</v>
      </c>
      <c r="B740">
        <v>39</v>
      </c>
      <c r="C740" t="s">
        <v>31</v>
      </c>
      <c r="D740">
        <v>466</v>
      </c>
      <c r="E740" t="s">
        <v>38</v>
      </c>
      <c r="F740">
        <v>1</v>
      </c>
      <c r="G740">
        <v>1</v>
      </c>
      <c r="H740" t="s">
        <v>33</v>
      </c>
      <c r="I740">
        <v>4</v>
      </c>
      <c r="J740" t="s">
        <v>34</v>
      </c>
      <c r="K740">
        <v>65</v>
      </c>
      <c r="L740">
        <v>2</v>
      </c>
      <c r="M740">
        <v>4</v>
      </c>
      <c r="N740" t="s">
        <v>46</v>
      </c>
      <c r="O740">
        <v>4</v>
      </c>
      <c r="P740" t="s">
        <v>41</v>
      </c>
      <c r="Q740">
        <v>12742</v>
      </c>
      <c r="R740">
        <v>7060</v>
      </c>
      <c r="S740">
        <v>1</v>
      </c>
      <c r="T740">
        <v>0</v>
      </c>
      <c r="U740" s="17">
        <v>0.16</v>
      </c>
      <c r="V740">
        <v>3</v>
      </c>
      <c r="W740">
        <v>3</v>
      </c>
      <c r="X740">
        <v>1</v>
      </c>
      <c r="Y740">
        <v>21</v>
      </c>
      <c r="Z740">
        <v>3</v>
      </c>
      <c r="AA740">
        <v>3</v>
      </c>
      <c r="AB740">
        <v>21</v>
      </c>
      <c r="AC740">
        <v>6</v>
      </c>
      <c r="AD740">
        <v>11</v>
      </c>
      <c r="AE740">
        <v>8</v>
      </c>
      <c r="AF740">
        <v>0</v>
      </c>
      <c r="AG740">
        <f>IF(tbl_HR_Data[[#This Row],[Gender]]="Male",1,0)</f>
        <v>0</v>
      </c>
      <c r="AH740" cm="1">
        <f t="array" ref="AH740">_xlfn.SWITCH(tbl_HR_Data[[#This Row],[BusinessTravel]], "Non-Travel", 0, "Travel_Rarely", 1, "Travel_Frequently", 2)</f>
        <v>1</v>
      </c>
      <c r="AI740" cm="1">
        <f t="array" ref="AI740">_xlfn.SWITCH(tbl_HR_Data[[#This Row],[MaritalStatus]],"Single",0,"Married",1,"Divorced",2)</f>
        <v>1</v>
      </c>
      <c r="AJ740">
        <f>IF(tbl_HR_Data[[#This Row],[OverTime]]=1,1,0)</f>
        <v>0</v>
      </c>
      <c r="AK740">
        <f>IF(tbl_HR_Data[[#This Row],[DistanceFromHome]]&gt;15,1,0)</f>
        <v>0</v>
      </c>
      <c r="AL740">
        <f>IF(tbl_HR_Data[[#This Row],[JobSatisfaction]]&lt;=2,1,0)</f>
        <v>0</v>
      </c>
      <c r="AM740">
        <f>IF(tbl_HR_Data[[#This Row],[MonthlyIncome]]&lt;$AT$2,1,0)</f>
        <v>0</v>
      </c>
      <c r="AN740">
        <f>IF(tbl_HR_Data[[#This Row],[Travel_Code]]=2,1,0)</f>
        <v>0</v>
      </c>
      <c r="AO740">
        <f>(tbl_HR_Data[[#This Row],[Flag_OT]] * Logic_Parameters!$B$2) +
 (tbl_HR_Data[[#This Row],[Flag_Travel]] * Logic_Parameters!$B$3) +
 (tbl_HR_Data[[#This Row],[Flag_Satisfaction]] * Logic_Parameters!$B$4) +
 (tbl_HR_Data[[#This Row],[Flag_Distance]]* Logic_Parameters!$B$5) +
 (tbl_HR_Data[[#This Row],[Flag_Income]] * Logic_Parameters!$B$6)</f>
        <v>0</v>
      </c>
      <c r="AP740" s="15">
        <f>tbl_HR_Data[[#This Row],[Risk_Score_Raw]] / SUM(Logic_Parameters!$B$2:$B$6)</f>
        <v>0</v>
      </c>
      <c r="AQ740" s="16" t="str" cm="1">
        <f t="array" ref="AQ740">_xlfn.IFS(tbl_HR_Data[[#This Row],[Attrition_Risk_Percentage]] &gt;= 0.75, "Critical",tbl_HR_Data[ [#This Row],[Attrition_Risk_Percentage] ]&gt;= 0.5, "High",tbl_HR_Data[[#This Row],[Attrition_Risk_Percentage]] &gt;= 0.25, "Medium",TRUE, "Low")</f>
        <v>Low</v>
      </c>
      <c r="AR740" s="16" cm="1">
        <f t="array" ref="AR740">IFERROR(_xlfn.IFS(tbl_HR_Data[[#This Row],[Risk_Category]]="Critical",tbl_HR_Data[[#This Row],[MonthlyIncome]]*1.5,tbl_HR_Data[[#This Row],[Risk_Category]]="High",tbl_HR_Data[[#This Row],[MonthlyIncome]]*1.5),0)</f>
        <v>0</v>
      </c>
    </row>
    <row r="741" spans="1:44" x14ac:dyDescent="0.35">
      <c r="A741" t="s">
        <v>1238</v>
      </c>
      <c r="B741">
        <v>27</v>
      </c>
      <c r="C741" t="s">
        <v>31</v>
      </c>
      <c r="D741">
        <v>1055</v>
      </c>
      <c r="E741" t="s">
        <v>38</v>
      </c>
      <c r="F741">
        <v>2</v>
      </c>
      <c r="G741">
        <v>4</v>
      </c>
      <c r="H741" t="s">
        <v>33</v>
      </c>
      <c r="I741">
        <v>1</v>
      </c>
      <c r="J741" t="s">
        <v>34</v>
      </c>
      <c r="K741">
        <v>47</v>
      </c>
      <c r="L741">
        <v>3</v>
      </c>
      <c r="M741">
        <v>2</v>
      </c>
      <c r="N741" t="s">
        <v>46</v>
      </c>
      <c r="O741">
        <v>4</v>
      </c>
      <c r="P741" t="s">
        <v>41</v>
      </c>
      <c r="Q741">
        <v>4227</v>
      </c>
      <c r="R741">
        <v>4658</v>
      </c>
      <c r="S741">
        <v>0</v>
      </c>
      <c r="T741">
        <v>0</v>
      </c>
      <c r="U741" s="17">
        <v>0.18</v>
      </c>
      <c r="V741">
        <v>3</v>
      </c>
      <c r="W741">
        <v>2</v>
      </c>
      <c r="X741">
        <v>1</v>
      </c>
      <c r="Y741">
        <v>4</v>
      </c>
      <c r="Z741">
        <v>2</v>
      </c>
      <c r="AA741">
        <v>3</v>
      </c>
      <c r="AB741">
        <v>3</v>
      </c>
      <c r="AC741">
        <v>2</v>
      </c>
      <c r="AD741">
        <v>2</v>
      </c>
      <c r="AE741">
        <v>2</v>
      </c>
      <c r="AF741">
        <v>0</v>
      </c>
      <c r="AG741">
        <f>IF(tbl_HR_Data[[#This Row],[Gender]]="Male",1,0)</f>
        <v>0</v>
      </c>
      <c r="AH741" cm="1">
        <f t="array" ref="AH741">_xlfn.SWITCH(tbl_HR_Data[[#This Row],[BusinessTravel]], "Non-Travel", 0, "Travel_Rarely", 1, "Travel_Frequently", 2)</f>
        <v>1</v>
      </c>
      <c r="AI741" cm="1">
        <f t="array" ref="AI741">_xlfn.SWITCH(tbl_HR_Data[[#This Row],[MaritalStatus]],"Single",0,"Married",1,"Divorced",2)</f>
        <v>1</v>
      </c>
      <c r="AJ741">
        <f>IF(tbl_HR_Data[[#This Row],[OverTime]]=1,1,0)</f>
        <v>0</v>
      </c>
      <c r="AK741">
        <f>IF(tbl_HR_Data[[#This Row],[DistanceFromHome]]&gt;15,1,0)</f>
        <v>0</v>
      </c>
      <c r="AL741">
        <f>IF(tbl_HR_Data[[#This Row],[JobSatisfaction]]&lt;=2,1,0)</f>
        <v>0</v>
      </c>
      <c r="AM741">
        <f>IF(tbl_HR_Data[[#This Row],[MonthlyIncome]]&lt;$AT$2,1,0)</f>
        <v>1</v>
      </c>
      <c r="AN741">
        <f>IF(tbl_HR_Data[[#This Row],[Travel_Code]]=2,1,0)</f>
        <v>0</v>
      </c>
      <c r="AO741">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741" s="15">
        <f>tbl_HR_Data[[#This Row],[Risk_Score_Raw]] / SUM(Logic_Parameters!$B$2:$B$6)</f>
        <v>0.22374939857982484</v>
      </c>
      <c r="AQ741" s="16" t="str" cm="1">
        <f t="array" ref="AQ741">_xlfn.IFS(tbl_HR_Data[[#This Row],[Attrition_Risk_Percentage]] &gt;= 0.75, "Critical",tbl_HR_Data[ [#This Row],[Attrition_Risk_Percentage] ]&gt;= 0.5, "High",tbl_HR_Data[[#This Row],[Attrition_Risk_Percentage]] &gt;= 0.25, "Medium",TRUE, "Low")</f>
        <v>Low</v>
      </c>
      <c r="AR741" s="16" cm="1">
        <f t="array" ref="AR741">IFERROR(_xlfn.IFS(tbl_HR_Data[[#This Row],[Risk_Category]]="Critical",tbl_HR_Data[[#This Row],[MonthlyIncome]]*1.5,tbl_HR_Data[[#This Row],[Risk_Category]]="High",tbl_HR_Data[[#This Row],[MonthlyIncome]]*1.5),0)</f>
        <v>0</v>
      </c>
    </row>
    <row r="742" spans="1:44" x14ac:dyDescent="0.35">
      <c r="A742" t="s">
        <v>1523</v>
      </c>
      <c r="B742">
        <v>35</v>
      </c>
      <c r="C742" t="s">
        <v>31</v>
      </c>
      <c r="D742">
        <v>802</v>
      </c>
      <c r="E742" t="s">
        <v>38</v>
      </c>
      <c r="F742">
        <v>10</v>
      </c>
      <c r="G742">
        <v>3</v>
      </c>
      <c r="H742" t="s">
        <v>42</v>
      </c>
      <c r="I742">
        <v>2</v>
      </c>
      <c r="J742" t="s">
        <v>39</v>
      </c>
      <c r="K742">
        <v>45</v>
      </c>
      <c r="L742">
        <v>3</v>
      </c>
      <c r="M742">
        <v>1</v>
      </c>
      <c r="N742" t="s">
        <v>43</v>
      </c>
      <c r="O742">
        <v>4</v>
      </c>
      <c r="P742" t="s">
        <v>45</v>
      </c>
      <c r="Q742">
        <v>3917</v>
      </c>
      <c r="R742">
        <v>9541</v>
      </c>
      <c r="S742">
        <v>1</v>
      </c>
      <c r="T742">
        <v>0</v>
      </c>
      <c r="U742" s="17">
        <v>0.2</v>
      </c>
      <c r="V742">
        <v>4</v>
      </c>
      <c r="W742">
        <v>1</v>
      </c>
      <c r="X742">
        <v>1</v>
      </c>
      <c r="Y742">
        <v>3</v>
      </c>
      <c r="Z742">
        <v>4</v>
      </c>
      <c r="AA742">
        <v>2</v>
      </c>
      <c r="AB742">
        <v>3</v>
      </c>
      <c r="AC742">
        <v>2</v>
      </c>
      <c r="AD742">
        <v>1</v>
      </c>
      <c r="AE742">
        <v>2</v>
      </c>
      <c r="AF742">
        <v>0</v>
      </c>
      <c r="AG742">
        <f>IF(tbl_HR_Data[[#This Row],[Gender]]="Male",1,0)</f>
        <v>1</v>
      </c>
      <c r="AH742" cm="1">
        <f t="array" ref="AH742">_xlfn.SWITCH(tbl_HR_Data[[#This Row],[BusinessTravel]], "Non-Travel", 0, "Travel_Rarely", 1, "Travel_Frequently", 2)</f>
        <v>1</v>
      </c>
      <c r="AI742" cm="1">
        <f t="array" ref="AI742">_xlfn.SWITCH(tbl_HR_Data[[#This Row],[MaritalStatus]],"Single",0,"Married",1,"Divorced",2)</f>
        <v>2</v>
      </c>
      <c r="AJ742">
        <f>IF(tbl_HR_Data[[#This Row],[OverTime]]=1,1,0)</f>
        <v>0</v>
      </c>
      <c r="AK742">
        <f>IF(tbl_HR_Data[[#This Row],[DistanceFromHome]]&gt;15,1,0)</f>
        <v>0</v>
      </c>
      <c r="AL742">
        <f>IF(tbl_HR_Data[[#This Row],[JobSatisfaction]]&lt;=2,1,0)</f>
        <v>0</v>
      </c>
      <c r="AM742">
        <f>IF(tbl_HR_Data[[#This Row],[MonthlyIncome]]&lt;$AT$2,1,0)</f>
        <v>1</v>
      </c>
      <c r="AN742">
        <f>IF(tbl_HR_Data[[#This Row],[Travel_Code]]=2,1,0)</f>
        <v>0</v>
      </c>
      <c r="AO742">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742" s="15">
        <f>tbl_HR_Data[[#This Row],[Risk_Score_Raw]] / SUM(Logic_Parameters!$B$2:$B$6)</f>
        <v>0.22374939857982484</v>
      </c>
      <c r="AQ742" s="16" t="str" cm="1">
        <f t="array" ref="AQ742">_xlfn.IFS(tbl_HR_Data[[#This Row],[Attrition_Risk_Percentage]] &gt;= 0.75, "Critical",tbl_HR_Data[ [#This Row],[Attrition_Risk_Percentage] ]&gt;= 0.5, "High",tbl_HR_Data[[#This Row],[Attrition_Risk_Percentage]] &gt;= 0.25, "Medium",TRUE, "Low")</f>
        <v>Low</v>
      </c>
      <c r="AR742" s="16" cm="1">
        <f t="array" ref="AR742">IFERROR(_xlfn.IFS(tbl_HR_Data[[#This Row],[Risk_Category]]="Critical",tbl_HR_Data[[#This Row],[MonthlyIncome]]*1.5,tbl_HR_Data[[#This Row],[Risk_Category]]="High",tbl_HR_Data[[#This Row],[MonthlyIncome]]*1.5),0)</f>
        <v>0</v>
      </c>
    </row>
    <row r="743" spans="1:44" x14ac:dyDescent="0.35">
      <c r="A743" t="s">
        <v>1473</v>
      </c>
      <c r="B743">
        <v>42</v>
      </c>
      <c r="C743" t="s">
        <v>31</v>
      </c>
      <c r="D743">
        <v>265</v>
      </c>
      <c r="E743" t="s">
        <v>32</v>
      </c>
      <c r="F743">
        <v>5</v>
      </c>
      <c r="G743">
        <v>2</v>
      </c>
      <c r="H743" t="s">
        <v>51</v>
      </c>
      <c r="I743">
        <v>4</v>
      </c>
      <c r="J743" t="s">
        <v>39</v>
      </c>
      <c r="K743">
        <v>90</v>
      </c>
      <c r="L743">
        <v>3</v>
      </c>
      <c r="M743">
        <v>5</v>
      </c>
      <c r="N743" t="s">
        <v>48</v>
      </c>
      <c r="O743">
        <v>3</v>
      </c>
      <c r="P743" t="s">
        <v>41</v>
      </c>
      <c r="Q743">
        <v>18303</v>
      </c>
      <c r="R743">
        <v>7770</v>
      </c>
      <c r="S743">
        <v>6</v>
      </c>
      <c r="T743">
        <v>0</v>
      </c>
      <c r="U743" s="17">
        <v>0.13</v>
      </c>
      <c r="V743">
        <v>3</v>
      </c>
      <c r="W743">
        <v>2</v>
      </c>
      <c r="X743">
        <v>0</v>
      </c>
      <c r="Y743">
        <v>21</v>
      </c>
      <c r="Z743">
        <v>3</v>
      </c>
      <c r="AA743">
        <v>4</v>
      </c>
      <c r="AB743">
        <v>1</v>
      </c>
      <c r="AC743">
        <v>0</v>
      </c>
      <c r="AD743">
        <v>0</v>
      </c>
      <c r="AE743">
        <v>0</v>
      </c>
      <c r="AF743">
        <v>0</v>
      </c>
      <c r="AG743">
        <f>IF(tbl_HR_Data[[#This Row],[Gender]]="Male",1,0)</f>
        <v>1</v>
      </c>
      <c r="AH743" cm="1">
        <f t="array" ref="AH743">_xlfn.SWITCH(tbl_HR_Data[[#This Row],[BusinessTravel]], "Non-Travel", 0, "Travel_Rarely", 1, "Travel_Frequently", 2)</f>
        <v>1</v>
      </c>
      <c r="AI743" cm="1">
        <f t="array" ref="AI743">_xlfn.SWITCH(tbl_HR_Data[[#This Row],[MaritalStatus]],"Single",0,"Married",1,"Divorced",2)</f>
        <v>1</v>
      </c>
      <c r="AJ743">
        <f>IF(tbl_HR_Data[[#This Row],[OverTime]]=1,1,0)</f>
        <v>0</v>
      </c>
      <c r="AK743">
        <f>IF(tbl_HR_Data[[#This Row],[DistanceFromHome]]&gt;15,1,0)</f>
        <v>0</v>
      </c>
      <c r="AL743">
        <f>IF(tbl_HR_Data[[#This Row],[JobSatisfaction]]&lt;=2,1,0)</f>
        <v>0</v>
      </c>
      <c r="AM743">
        <f>IF(tbl_HR_Data[[#This Row],[MonthlyIncome]]&lt;$AT$2,1,0)</f>
        <v>0</v>
      </c>
      <c r="AN743">
        <f>IF(tbl_HR_Data[[#This Row],[Travel_Code]]=2,1,0)</f>
        <v>0</v>
      </c>
      <c r="AO743">
        <f>(tbl_HR_Data[[#This Row],[Flag_OT]] * Logic_Parameters!$B$2) +
 (tbl_HR_Data[[#This Row],[Flag_Travel]] * Logic_Parameters!$B$3) +
 (tbl_HR_Data[[#This Row],[Flag_Satisfaction]] * Logic_Parameters!$B$4) +
 (tbl_HR_Data[[#This Row],[Flag_Distance]]* Logic_Parameters!$B$5) +
 (tbl_HR_Data[[#This Row],[Flag_Income]] * Logic_Parameters!$B$6)</f>
        <v>0</v>
      </c>
      <c r="AP743" s="15">
        <f>tbl_HR_Data[[#This Row],[Risk_Score_Raw]] / SUM(Logic_Parameters!$B$2:$B$6)</f>
        <v>0</v>
      </c>
      <c r="AQ743" s="16" t="str" cm="1">
        <f t="array" ref="AQ743">_xlfn.IFS(tbl_HR_Data[[#This Row],[Attrition_Risk_Percentage]] &gt;= 0.75, "Critical",tbl_HR_Data[ [#This Row],[Attrition_Risk_Percentage] ]&gt;= 0.5, "High",tbl_HR_Data[[#This Row],[Attrition_Risk_Percentage]] &gt;= 0.25, "Medium",TRUE, "Low")</f>
        <v>Low</v>
      </c>
      <c r="AR743" s="16" cm="1">
        <f t="array" ref="AR743">IFERROR(_xlfn.IFS(tbl_HR_Data[[#This Row],[Risk_Category]]="Critical",tbl_HR_Data[[#This Row],[MonthlyIncome]]*1.5,tbl_HR_Data[[#This Row],[Risk_Category]]="High",tbl_HR_Data[[#This Row],[MonthlyIncome]]*1.5),0)</f>
        <v>0</v>
      </c>
    </row>
    <row r="744" spans="1:44" x14ac:dyDescent="0.35">
      <c r="A744" t="s">
        <v>509</v>
      </c>
      <c r="B744">
        <v>50</v>
      </c>
      <c r="C744" t="s">
        <v>31</v>
      </c>
      <c r="D744">
        <v>804</v>
      </c>
      <c r="E744" t="s">
        <v>38</v>
      </c>
      <c r="F744">
        <v>9</v>
      </c>
      <c r="G744">
        <v>3</v>
      </c>
      <c r="H744" t="s">
        <v>33</v>
      </c>
      <c r="I744">
        <v>1</v>
      </c>
      <c r="J744" t="s">
        <v>39</v>
      </c>
      <c r="K744">
        <v>64</v>
      </c>
      <c r="L744">
        <v>3</v>
      </c>
      <c r="M744">
        <v>1</v>
      </c>
      <c r="N744" t="s">
        <v>43</v>
      </c>
      <c r="O744">
        <v>4</v>
      </c>
      <c r="P744" t="s">
        <v>41</v>
      </c>
      <c r="Q744">
        <v>2380</v>
      </c>
      <c r="R744">
        <v>20165</v>
      </c>
      <c r="S744">
        <v>4</v>
      </c>
      <c r="T744">
        <v>0</v>
      </c>
      <c r="U744" s="17">
        <v>0.18</v>
      </c>
      <c r="V744">
        <v>3</v>
      </c>
      <c r="W744">
        <v>2</v>
      </c>
      <c r="X744">
        <v>0</v>
      </c>
      <c r="Y744">
        <v>8</v>
      </c>
      <c r="Z744">
        <v>5</v>
      </c>
      <c r="AA744">
        <v>3</v>
      </c>
      <c r="AB744">
        <v>1</v>
      </c>
      <c r="AC744">
        <v>0</v>
      </c>
      <c r="AD744">
        <v>0</v>
      </c>
      <c r="AE744">
        <v>0</v>
      </c>
      <c r="AF744">
        <v>0</v>
      </c>
      <c r="AG744">
        <f>IF(tbl_HR_Data[[#This Row],[Gender]]="Male",1,0)</f>
        <v>1</v>
      </c>
      <c r="AH744" cm="1">
        <f t="array" ref="AH744">_xlfn.SWITCH(tbl_HR_Data[[#This Row],[BusinessTravel]], "Non-Travel", 0, "Travel_Rarely", 1, "Travel_Frequently", 2)</f>
        <v>1</v>
      </c>
      <c r="AI744" cm="1">
        <f t="array" ref="AI744">_xlfn.SWITCH(tbl_HR_Data[[#This Row],[MaritalStatus]],"Single",0,"Married",1,"Divorced",2)</f>
        <v>1</v>
      </c>
      <c r="AJ744">
        <f>IF(tbl_HR_Data[[#This Row],[OverTime]]=1,1,0)</f>
        <v>0</v>
      </c>
      <c r="AK744">
        <f>IF(tbl_HR_Data[[#This Row],[DistanceFromHome]]&gt;15,1,0)</f>
        <v>0</v>
      </c>
      <c r="AL744">
        <f>IF(tbl_HR_Data[[#This Row],[JobSatisfaction]]&lt;=2,1,0)</f>
        <v>0</v>
      </c>
      <c r="AM744">
        <f>IF(tbl_HR_Data[[#This Row],[MonthlyIncome]]&lt;$AT$2,1,0)</f>
        <v>1</v>
      </c>
      <c r="AN744">
        <f>IF(tbl_HR_Data[[#This Row],[Travel_Code]]=2,1,0)</f>
        <v>0</v>
      </c>
      <c r="AO744">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744" s="15">
        <f>tbl_HR_Data[[#This Row],[Risk_Score_Raw]] / SUM(Logic_Parameters!$B$2:$B$6)</f>
        <v>0.22374939857982484</v>
      </c>
      <c r="AQ744" s="16" t="str" cm="1">
        <f t="array" ref="AQ744">_xlfn.IFS(tbl_HR_Data[[#This Row],[Attrition_Risk_Percentage]] &gt;= 0.75, "Critical",tbl_HR_Data[ [#This Row],[Attrition_Risk_Percentage] ]&gt;= 0.5, "High",tbl_HR_Data[[#This Row],[Attrition_Risk_Percentage]] &gt;= 0.25, "Medium",TRUE, "Low")</f>
        <v>Low</v>
      </c>
      <c r="AR744" s="16" cm="1">
        <f t="array" ref="AR744">IFERROR(_xlfn.IFS(tbl_HR_Data[[#This Row],[Risk_Category]]="Critical",tbl_HR_Data[[#This Row],[MonthlyIncome]]*1.5,tbl_HR_Data[[#This Row],[Risk_Category]]="High",tbl_HR_Data[[#This Row],[MonthlyIncome]]*1.5),0)</f>
        <v>0</v>
      </c>
    </row>
    <row r="745" spans="1:44" x14ac:dyDescent="0.35">
      <c r="A745" t="s">
        <v>1518</v>
      </c>
      <c r="B745">
        <v>59</v>
      </c>
      <c r="C745" t="s">
        <v>31</v>
      </c>
      <c r="D745">
        <v>715</v>
      </c>
      <c r="E745" t="s">
        <v>38</v>
      </c>
      <c r="F745">
        <v>2</v>
      </c>
      <c r="G745">
        <v>3</v>
      </c>
      <c r="H745" t="s">
        <v>33</v>
      </c>
      <c r="I745">
        <v>3</v>
      </c>
      <c r="J745" t="s">
        <v>34</v>
      </c>
      <c r="K745">
        <v>69</v>
      </c>
      <c r="L745">
        <v>2</v>
      </c>
      <c r="M745">
        <v>4</v>
      </c>
      <c r="N745" t="s">
        <v>46</v>
      </c>
      <c r="O745">
        <v>4</v>
      </c>
      <c r="P745" t="s">
        <v>36</v>
      </c>
      <c r="Q745">
        <v>13726</v>
      </c>
      <c r="R745">
        <v>21829</v>
      </c>
      <c r="S745">
        <v>3</v>
      </c>
      <c r="T745">
        <v>1</v>
      </c>
      <c r="U745" s="17">
        <v>0.13</v>
      </c>
      <c r="V745">
        <v>3</v>
      </c>
      <c r="W745">
        <v>1</v>
      </c>
      <c r="X745">
        <v>0</v>
      </c>
      <c r="Y745">
        <v>30</v>
      </c>
      <c r="Z745">
        <v>4</v>
      </c>
      <c r="AA745">
        <v>3</v>
      </c>
      <c r="AB745">
        <v>5</v>
      </c>
      <c r="AC745">
        <v>3</v>
      </c>
      <c r="AD745">
        <v>4</v>
      </c>
      <c r="AE745">
        <v>3</v>
      </c>
      <c r="AF745">
        <v>0</v>
      </c>
      <c r="AG745">
        <f>IF(tbl_HR_Data[[#This Row],[Gender]]="Male",1,0)</f>
        <v>0</v>
      </c>
      <c r="AH745" cm="1">
        <f t="array" ref="AH745">_xlfn.SWITCH(tbl_HR_Data[[#This Row],[BusinessTravel]], "Non-Travel", 0, "Travel_Rarely", 1, "Travel_Frequently", 2)</f>
        <v>1</v>
      </c>
      <c r="AI745" cm="1">
        <f t="array" ref="AI745">_xlfn.SWITCH(tbl_HR_Data[[#This Row],[MaritalStatus]],"Single",0,"Married",1,"Divorced",2)</f>
        <v>0</v>
      </c>
      <c r="AJ745">
        <f>IF(tbl_HR_Data[[#This Row],[OverTime]]=1,1,0)</f>
        <v>1</v>
      </c>
      <c r="AK745">
        <f>IF(tbl_HR_Data[[#This Row],[DistanceFromHome]]&gt;15,1,0)</f>
        <v>0</v>
      </c>
      <c r="AL745">
        <f>IF(tbl_HR_Data[[#This Row],[JobSatisfaction]]&lt;=2,1,0)</f>
        <v>0</v>
      </c>
      <c r="AM745">
        <f>IF(tbl_HR_Data[[#This Row],[MonthlyIncome]]&lt;$AT$2,1,0)</f>
        <v>0</v>
      </c>
      <c r="AN745">
        <f>IF(tbl_HR_Data[[#This Row],[Travel_Code]]=2,1,0)</f>
        <v>0</v>
      </c>
      <c r="AO745">
        <f>(tbl_HR_Data[[#This Row],[Flag_OT]] * Logic_Parameters!$B$2) +
 (tbl_HR_Data[[#This Row],[Flag_Travel]] * Logic_Parameters!$B$3) +
 (tbl_HR_Data[[#This Row],[Flag_Satisfaction]] * Logic_Parameters!$B$4) +
 (tbl_HR_Data[[#This Row],[Flag_Distance]]* Logic_Parameters!$B$5) +
 (tbl_HR_Data[[#This Row],[Flag_Income]] * Logic_Parameters!$B$6)</f>
        <v>10</v>
      </c>
      <c r="AP745" s="15">
        <f>tbl_HR_Data[[#This Row],[Risk_Score_Raw]] / SUM(Logic_Parameters!$B$2:$B$6)</f>
        <v>0.3445251318258073</v>
      </c>
      <c r="AQ745" s="16" t="str" cm="1">
        <f t="array" ref="AQ745">_xlfn.IFS(tbl_HR_Data[[#This Row],[Attrition_Risk_Percentage]] &gt;= 0.75, "Critical",tbl_HR_Data[ [#This Row],[Attrition_Risk_Percentage] ]&gt;= 0.5, "High",tbl_HR_Data[[#This Row],[Attrition_Risk_Percentage]] &gt;= 0.25, "Medium",TRUE, "Low")</f>
        <v>Medium</v>
      </c>
      <c r="AR745" s="16" cm="1">
        <f t="array" ref="AR745">IFERROR(_xlfn.IFS(tbl_HR_Data[[#This Row],[Risk_Category]]="Critical",tbl_HR_Data[[#This Row],[MonthlyIncome]]*1.5,tbl_HR_Data[[#This Row],[Risk_Category]]="High",tbl_HR_Data[[#This Row],[MonthlyIncome]]*1.5),0)</f>
        <v>0</v>
      </c>
    </row>
    <row r="746" spans="1:44" x14ac:dyDescent="0.35">
      <c r="A746" t="s">
        <v>983</v>
      </c>
      <c r="B746">
        <v>37</v>
      </c>
      <c r="C746" t="s">
        <v>31</v>
      </c>
      <c r="D746">
        <v>1141</v>
      </c>
      <c r="E746" t="s">
        <v>38</v>
      </c>
      <c r="F746">
        <v>11</v>
      </c>
      <c r="G746">
        <v>2</v>
      </c>
      <c r="H746" t="s">
        <v>44</v>
      </c>
      <c r="I746">
        <v>1</v>
      </c>
      <c r="J746" t="s">
        <v>34</v>
      </c>
      <c r="K746">
        <v>61</v>
      </c>
      <c r="L746">
        <v>1</v>
      </c>
      <c r="M746">
        <v>2</v>
      </c>
      <c r="N746" t="s">
        <v>47</v>
      </c>
      <c r="O746">
        <v>2</v>
      </c>
      <c r="P746" t="s">
        <v>41</v>
      </c>
      <c r="Q746">
        <v>4777</v>
      </c>
      <c r="R746">
        <v>14382</v>
      </c>
      <c r="S746">
        <v>5</v>
      </c>
      <c r="T746">
        <v>0</v>
      </c>
      <c r="U746" s="17">
        <v>0.15</v>
      </c>
      <c r="V746">
        <v>3</v>
      </c>
      <c r="W746">
        <v>1</v>
      </c>
      <c r="X746">
        <v>0</v>
      </c>
      <c r="Y746">
        <v>15</v>
      </c>
      <c r="Z746">
        <v>2</v>
      </c>
      <c r="AA746">
        <v>1</v>
      </c>
      <c r="AB746">
        <v>1</v>
      </c>
      <c r="AC746">
        <v>0</v>
      </c>
      <c r="AD746">
        <v>0</v>
      </c>
      <c r="AE746">
        <v>0</v>
      </c>
      <c r="AF746">
        <v>1</v>
      </c>
      <c r="AG746">
        <f>IF(tbl_HR_Data[[#This Row],[Gender]]="Male",1,0)</f>
        <v>0</v>
      </c>
      <c r="AH746" cm="1">
        <f t="array" ref="AH746">_xlfn.SWITCH(tbl_HR_Data[[#This Row],[BusinessTravel]], "Non-Travel", 0, "Travel_Rarely", 1, "Travel_Frequently", 2)</f>
        <v>1</v>
      </c>
      <c r="AI746" cm="1">
        <f t="array" ref="AI746">_xlfn.SWITCH(tbl_HR_Data[[#This Row],[MaritalStatus]],"Single",0,"Married",1,"Divorced",2)</f>
        <v>1</v>
      </c>
      <c r="AJ746">
        <f>IF(tbl_HR_Data[[#This Row],[OverTime]]=1,1,0)</f>
        <v>0</v>
      </c>
      <c r="AK746">
        <f>IF(tbl_HR_Data[[#This Row],[DistanceFromHome]]&gt;15,1,0)</f>
        <v>0</v>
      </c>
      <c r="AL746">
        <f>IF(tbl_HR_Data[[#This Row],[JobSatisfaction]]&lt;=2,1,0)</f>
        <v>1</v>
      </c>
      <c r="AM746">
        <f>IF(tbl_HR_Data[[#This Row],[MonthlyIncome]]&lt;$AT$2,1,0)</f>
        <v>1</v>
      </c>
      <c r="AN746">
        <f>IF(tbl_HR_Data[[#This Row],[Travel_Code]]=2,1,0)</f>
        <v>0</v>
      </c>
      <c r="AO746">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746" s="15">
        <f>tbl_HR_Data[[#This Row],[Risk_Score_Raw]] / SUM(Logic_Parameters!$B$2:$B$6)</f>
        <v>0.3686061316669938</v>
      </c>
      <c r="AQ746" s="16" t="str" cm="1">
        <f t="array" ref="AQ746">_xlfn.IFS(tbl_HR_Data[[#This Row],[Attrition_Risk_Percentage]] &gt;= 0.75, "Critical",tbl_HR_Data[ [#This Row],[Attrition_Risk_Percentage] ]&gt;= 0.5, "High",tbl_HR_Data[[#This Row],[Attrition_Risk_Percentage]] &gt;= 0.25, "Medium",TRUE, "Low")</f>
        <v>Medium</v>
      </c>
      <c r="AR746" s="16" cm="1">
        <f t="array" ref="AR746">IFERROR(_xlfn.IFS(tbl_HR_Data[[#This Row],[Risk_Category]]="Critical",tbl_HR_Data[[#This Row],[MonthlyIncome]]*1.5,tbl_HR_Data[[#This Row],[Risk_Category]]="High",tbl_HR_Data[[#This Row],[MonthlyIncome]]*1.5),0)</f>
        <v>0</v>
      </c>
    </row>
    <row r="747" spans="1:44" x14ac:dyDescent="0.35">
      <c r="A747" t="s">
        <v>1482</v>
      </c>
      <c r="B747">
        <v>55</v>
      </c>
      <c r="C747" t="s">
        <v>37</v>
      </c>
      <c r="D747">
        <v>135</v>
      </c>
      <c r="E747" t="s">
        <v>38</v>
      </c>
      <c r="F747">
        <v>18</v>
      </c>
      <c r="G747">
        <v>4</v>
      </c>
      <c r="H747" t="s">
        <v>44</v>
      </c>
      <c r="I747">
        <v>3</v>
      </c>
      <c r="J747" t="s">
        <v>39</v>
      </c>
      <c r="K747">
        <v>62</v>
      </c>
      <c r="L747">
        <v>3</v>
      </c>
      <c r="M747">
        <v>2</v>
      </c>
      <c r="N747" t="s">
        <v>47</v>
      </c>
      <c r="O747">
        <v>2</v>
      </c>
      <c r="P747" t="s">
        <v>41</v>
      </c>
      <c r="Q747">
        <v>6385</v>
      </c>
      <c r="R747">
        <v>12992</v>
      </c>
      <c r="S747">
        <v>3</v>
      </c>
      <c r="T747">
        <v>1</v>
      </c>
      <c r="U747" s="17">
        <v>0.14000000000000001</v>
      </c>
      <c r="V747">
        <v>3</v>
      </c>
      <c r="W747">
        <v>4</v>
      </c>
      <c r="X747">
        <v>2</v>
      </c>
      <c r="Y747">
        <v>17</v>
      </c>
      <c r="Z747">
        <v>3</v>
      </c>
      <c r="AA747">
        <v>3</v>
      </c>
      <c r="AB747">
        <v>8</v>
      </c>
      <c r="AC747">
        <v>7</v>
      </c>
      <c r="AD747">
        <v>6</v>
      </c>
      <c r="AE747">
        <v>7</v>
      </c>
      <c r="AF747">
        <v>0</v>
      </c>
      <c r="AG747">
        <f>IF(tbl_HR_Data[[#This Row],[Gender]]="Male",1,0)</f>
        <v>1</v>
      </c>
      <c r="AH747" cm="1">
        <f t="array" ref="AH747">_xlfn.SWITCH(tbl_HR_Data[[#This Row],[BusinessTravel]], "Non-Travel", 0, "Travel_Rarely", 1, "Travel_Frequently", 2)</f>
        <v>2</v>
      </c>
      <c r="AI747" cm="1">
        <f t="array" ref="AI747">_xlfn.SWITCH(tbl_HR_Data[[#This Row],[MaritalStatus]],"Single",0,"Married",1,"Divorced",2)</f>
        <v>1</v>
      </c>
      <c r="AJ747">
        <f>IF(tbl_HR_Data[[#This Row],[OverTime]]=1,1,0)</f>
        <v>1</v>
      </c>
      <c r="AK747">
        <f>IF(tbl_HR_Data[[#This Row],[DistanceFromHome]]&gt;15,1,0)</f>
        <v>1</v>
      </c>
      <c r="AL747">
        <f>IF(tbl_HR_Data[[#This Row],[JobSatisfaction]]&lt;=2,1,0)</f>
        <v>1</v>
      </c>
      <c r="AM747">
        <f>IF(tbl_HR_Data[[#This Row],[MonthlyIncome]]&lt;$AT$2,1,0)</f>
        <v>0</v>
      </c>
      <c r="AN747">
        <f>IF(tbl_HR_Data[[#This Row],[Travel_Code]]=2,1,0)</f>
        <v>1</v>
      </c>
      <c r="AO747">
        <f>(tbl_HR_Data[[#This Row],[Flag_OT]] * Logic_Parameters!$B$2) +
 (tbl_HR_Data[[#This Row],[Flag_Travel]] * Logic_Parameters!$B$3) +
 (tbl_HR_Data[[#This Row],[Flag_Satisfaction]] * Logic_Parameters!$B$4) +
 (tbl_HR_Data[[#This Row],[Flag_Distance]]* Logic_Parameters!$B$5) +
 (tbl_HR_Data[[#This Row],[Flag_Income]] * Logic_Parameters!$B$6)</f>
        <v>22.531029806343685</v>
      </c>
      <c r="AP747" s="15">
        <f>tbl_HR_Data[[#This Row],[Risk_Score_Raw]] / SUM(Logic_Parameters!$B$2:$B$6)</f>
        <v>0.77625060142017521</v>
      </c>
      <c r="AQ747" s="16" t="str" cm="1">
        <f t="array" ref="AQ747">_xlfn.IFS(tbl_HR_Data[[#This Row],[Attrition_Risk_Percentage]] &gt;= 0.75, "Critical",tbl_HR_Data[ [#This Row],[Attrition_Risk_Percentage] ]&gt;= 0.5, "High",tbl_HR_Data[[#This Row],[Attrition_Risk_Percentage]] &gt;= 0.25, "Medium",TRUE, "Low")</f>
        <v>Critical</v>
      </c>
      <c r="AR747" s="16" cm="1">
        <f t="array" ref="AR747">IFERROR(_xlfn.IFS(tbl_HR_Data[[#This Row],[Risk_Category]]="Critical",tbl_HR_Data[[#This Row],[MonthlyIncome]]*1.5,tbl_HR_Data[[#This Row],[Risk_Category]]="High",tbl_HR_Data[[#This Row],[MonthlyIncome]]*1.5),0)</f>
        <v>9577.5</v>
      </c>
    </row>
    <row r="748" spans="1:44" x14ac:dyDescent="0.35">
      <c r="A748" t="s">
        <v>1175</v>
      </c>
      <c r="B748">
        <v>41</v>
      </c>
      <c r="C748" t="s">
        <v>1525</v>
      </c>
      <c r="D748">
        <v>247</v>
      </c>
      <c r="E748" t="s">
        <v>38</v>
      </c>
      <c r="F748">
        <v>7</v>
      </c>
      <c r="G748">
        <v>1</v>
      </c>
      <c r="H748" t="s">
        <v>33</v>
      </c>
      <c r="I748">
        <v>2</v>
      </c>
      <c r="J748" t="s">
        <v>34</v>
      </c>
      <c r="K748">
        <v>55</v>
      </c>
      <c r="L748">
        <v>1</v>
      </c>
      <c r="M748">
        <v>5</v>
      </c>
      <c r="N748" t="s">
        <v>50</v>
      </c>
      <c r="O748">
        <v>3</v>
      </c>
      <c r="P748" t="s">
        <v>45</v>
      </c>
      <c r="Q748">
        <v>19973</v>
      </c>
      <c r="R748">
        <v>20284</v>
      </c>
      <c r="S748">
        <v>1</v>
      </c>
      <c r="T748">
        <v>0</v>
      </c>
      <c r="U748" s="17">
        <v>0.22</v>
      </c>
      <c r="V748">
        <v>4</v>
      </c>
      <c r="W748">
        <v>2</v>
      </c>
      <c r="X748">
        <v>2</v>
      </c>
      <c r="Y748">
        <v>21</v>
      </c>
      <c r="Z748">
        <v>3</v>
      </c>
      <c r="AA748">
        <v>3</v>
      </c>
      <c r="AB748">
        <v>21</v>
      </c>
      <c r="AC748">
        <v>16</v>
      </c>
      <c r="AD748">
        <v>5</v>
      </c>
      <c r="AE748">
        <v>10</v>
      </c>
      <c r="AF748">
        <v>0</v>
      </c>
      <c r="AG748">
        <f>IF(tbl_HR_Data[[#This Row],[Gender]]="Male",1,0)</f>
        <v>0</v>
      </c>
      <c r="AH748" cm="1">
        <f t="array" ref="AH748">_xlfn.SWITCH(tbl_HR_Data[[#This Row],[BusinessTravel]], "Non-Travel", 0, "Travel_Rarely", 1, "Travel_Frequently", 2)</f>
        <v>0</v>
      </c>
      <c r="AI748" cm="1">
        <f t="array" ref="AI748">_xlfn.SWITCH(tbl_HR_Data[[#This Row],[MaritalStatus]],"Single",0,"Married",1,"Divorced",2)</f>
        <v>2</v>
      </c>
      <c r="AJ748">
        <f>IF(tbl_HR_Data[[#This Row],[OverTime]]=1,1,0)</f>
        <v>0</v>
      </c>
      <c r="AK748">
        <f>IF(tbl_HR_Data[[#This Row],[DistanceFromHome]]&gt;15,1,0)</f>
        <v>0</v>
      </c>
      <c r="AL748">
        <f>IF(tbl_HR_Data[[#This Row],[JobSatisfaction]]&lt;=2,1,0)</f>
        <v>0</v>
      </c>
      <c r="AM748">
        <f>IF(tbl_HR_Data[[#This Row],[MonthlyIncome]]&lt;$AT$2,1,0)</f>
        <v>0</v>
      </c>
      <c r="AN748">
        <f>IF(tbl_HR_Data[[#This Row],[Travel_Code]]=2,1,0)</f>
        <v>0</v>
      </c>
      <c r="AO748">
        <f>(tbl_HR_Data[[#This Row],[Flag_OT]] * Logic_Parameters!$B$2) +
 (tbl_HR_Data[[#This Row],[Flag_Travel]] * Logic_Parameters!$B$3) +
 (tbl_HR_Data[[#This Row],[Flag_Satisfaction]] * Logic_Parameters!$B$4) +
 (tbl_HR_Data[[#This Row],[Flag_Distance]]* Logic_Parameters!$B$5) +
 (tbl_HR_Data[[#This Row],[Flag_Income]] * Logic_Parameters!$B$6)</f>
        <v>0</v>
      </c>
      <c r="AP748" s="15">
        <f>tbl_HR_Data[[#This Row],[Risk_Score_Raw]] / SUM(Logic_Parameters!$B$2:$B$6)</f>
        <v>0</v>
      </c>
      <c r="AQ748" s="16" t="str" cm="1">
        <f t="array" ref="AQ748">_xlfn.IFS(tbl_HR_Data[[#This Row],[Attrition_Risk_Percentage]] &gt;= 0.75, "Critical",tbl_HR_Data[ [#This Row],[Attrition_Risk_Percentage] ]&gt;= 0.5, "High",tbl_HR_Data[[#This Row],[Attrition_Risk_Percentage]] &gt;= 0.25, "Medium",TRUE, "Low")</f>
        <v>Low</v>
      </c>
      <c r="AR748" s="16" cm="1">
        <f t="array" ref="AR748">IFERROR(_xlfn.IFS(tbl_HR_Data[[#This Row],[Risk_Category]]="Critical",tbl_HR_Data[[#This Row],[MonthlyIncome]]*1.5,tbl_HR_Data[[#This Row],[Risk_Category]]="High",tbl_HR_Data[[#This Row],[MonthlyIncome]]*1.5),0)</f>
        <v>0</v>
      </c>
    </row>
    <row r="749" spans="1:44" x14ac:dyDescent="0.35">
      <c r="A749" t="s">
        <v>153</v>
      </c>
      <c r="B749">
        <v>38</v>
      </c>
      <c r="C749" t="s">
        <v>31</v>
      </c>
      <c r="D749">
        <v>1035</v>
      </c>
      <c r="E749" t="s">
        <v>32</v>
      </c>
      <c r="F749">
        <v>3</v>
      </c>
      <c r="G749">
        <v>4</v>
      </c>
      <c r="H749" t="s">
        <v>33</v>
      </c>
      <c r="I749">
        <v>2</v>
      </c>
      <c r="J749" t="s">
        <v>39</v>
      </c>
      <c r="K749">
        <v>42</v>
      </c>
      <c r="L749">
        <v>3</v>
      </c>
      <c r="M749">
        <v>2</v>
      </c>
      <c r="N749" t="s">
        <v>35</v>
      </c>
      <c r="O749">
        <v>4</v>
      </c>
      <c r="P749" t="s">
        <v>36</v>
      </c>
      <c r="Q749">
        <v>6861</v>
      </c>
      <c r="R749">
        <v>4981</v>
      </c>
      <c r="S749">
        <v>8</v>
      </c>
      <c r="T749">
        <v>1</v>
      </c>
      <c r="U749" s="17">
        <v>0.12</v>
      </c>
      <c r="V749">
        <v>3</v>
      </c>
      <c r="W749">
        <v>3</v>
      </c>
      <c r="X749">
        <v>0</v>
      </c>
      <c r="Y749">
        <v>19</v>
      </c>
      <c r="Z749">
        <v>1</v>
      </c>
      <c r="AA749">
        <v>3</v>
      </c>
      <c r="AB749">
        <v>1</v>
      </c>
      <c r="AC749">
        <v>0</v>
      </c>
      <c r="AD749">
        <v>0</v>
      </c>
      <c r="AE749">
        <v>0</v>
      </c>
      <c r="AF749">
        <v>0</v>
      </c>
      <c r="AG749">
        <f>IF(tbl_HR_Data[[#This Row],[Gender]]="Male",1,0)</f>
        <v>1</v>
      </c>
      <c r="AH749" cm="1">
        <f t="array" ref="AH749">_xlfn.SWITCH(tbl_HR_Data[[#This Row],[BusinessTravel]], "Non-Travel", 0, "Travel_Rarely", 1, "Travel_Frequently", 2)</f>
        <v>1</v>
      </c>
      <c r="AI749" cm="1">
        <f t="array" ref="AI749">_xlfn.SWITCH(tbl_HR_Data[[#This Row],[MaritalStatus]],"Single",0,"Married",1,"Divorced",2)</f>
        <v>0</v>
      </c>
      <c r="AJ749">
        <f>IF(tbl_HR_Data[[#This Row],[OverTime]]=1,1,0)</f>
        <v>1</v>
      </c>
      <c r="AK749">
        <f>IF(tbl_HR_Data[[#This Row],[DistanceFromHome]]&gt;15,1,0)</f>
        <v>0</v>
      </c>
      <c r="AL749">
        <f>IF(tbl_HR_Data[[#This Row],[JobSatisfaction]]&lt;=2,1,0)</f>
        <v>0</v>
      </c>
      <c r="AM749">
        <f>IF(tbl_HR_Data[[#This Row],[MonthlyIncome]]&lt;$AT$2,1,0)</f>
        <v>0</v>
      </c>
      <c r="AN749">
        <f>IF(tbl_HR_Data[[#This Row],[Travel_Code]]=2,1,0)</f>
        <v>0</v>
      </c>
      <c r="AO749">
        <f>(tbl_HR_Data[[#This Row],[Flag_OT]] * Logic_Parameters!$B$2) +
 (tbl_HR_Data[[#This Row],[Flag_Travel]] * Logic_Parameters!$B$3) +
 (tbl_HR_Data[[#This Row],[Flag_Satisfaction]] * Logic_Parameters!$B$4) +
 (tbl_HR_Data[[#This Row],[Flag_Distance]]* Logic_Parameters!$B$5) +
 (tbl_HR_Data[[#This Row],[Flag_Income]] * Logic_Parameters!$B$6)</f>
        <v>10</v>
      </c>
      <c r="AP749" s="15">
        <f>tbl_HR_Data[[#This Row],[Risk_Score_Raw]] / SUM(Logic_Parameters!$B$2:$B$6)</f>
        <v>0.3445251318258073</v>
      </c>
      <c r="AQ749" s="16" t="str" cm="1">
        <f t="array" ref="AQ749">_xlfn.IFS(tbl_HR_Data[[#This Row],[Attrition_Risk_Percentage]] &gt;= 0.75, "Critical",tbl_HR_Data[ [#This Row],[Attrition_Risk_Percentage] ]&gt;= 0.5, "High",tbl_HR_Data[[#This Row],[Attrition_Risk_Percentage]] &gt;= 0.25, "Medium",TRUE, "Low")</f>
        <v>Medium</v>
      </c>
      <c r="AR749" s="16" cm="1">
        <f t="array" ref="AR749">IFERROR(_xlfn.IFS(tbl_HR_Data[[#This Row],[Risk_Category]]="Critical",tbl_HR_Data[[#This Row],[MonthlyIncome]]*1.5,tbl_HR_Data[[#This Row],[Risk_Category]]="High",tbl_HR_Data[[#This Row],[MonthlyIncome]]*1.5),0)</f>
        <v>0</v>
      </c>
    </row>
    <row r="750" spans="1:44" x14ac:dyDescent="0.35">
      <c r="A750" t="s">
        <v>1499</v>
      </c>
      <c r="B750">
        <v>26</v>
      </c>
      <c r="C750" t="s">
        <v>1525</v>
      </c>
      <c r="D750">
        <v>265</v>
      </c>
      <c r="E750" t="s">
        <v>32</v>
      </c>
      <c r="F750">
        <v>29</v>
      </c>
      <c r="G750">
        <v>2</v>
      </c>
      <c r="H750" t="s">
        <v>44</v>
      </c>
      <c r="I750">
        <v>2</v>
      </c>
      <c r="J750" t="s">
        <v>39</v>
      </c>
      <c r="K750">
        <v>79</v>
      </c>
      <c r="L750">
        <v>1</v>
      </c>
      <c r="M750">
        <v>2</v>
      </c>
      <c r="N750" t="s">
        <v>35</v>
      </c>
      <c r="O750">
        <v>1</v>
      </c>
      <c r="P750" t="s">
        <v>36</v>
      </c>
      <c r="Q750">
        <v>4969</v>
      </c>
      <c r="R750">
        <v>21813</v>
      </c>
      <c r="S750">
        <v>8</v>
      </c>
      <c r="T750">
        <v>0</v>
      </c>
      <c r="U750" s="17">
        <v>0.18</v>
      </c>
      <c r="V750">
        <v>3</v>
      </c>
      <c r="W750">
        <v>4</v>
      </c>
      <c r="X750">
        <v>0</v>
      </c>
      <c r="Y750">
        <v>7</v>
      </c>
      <c r="Z750">
        <v>6</v>
      </c>
      <c r="AA750">
        <v>3</v>
      </c>
      <c r="AB750">
        <v>2</v>
      </c>
      <c r="AC750">
        <v>2</v>
      </c>
      <c r="AD750">
        <v>2</v>
      </c>
      <c r="AE750">
        <v>2</v>
      </c>
      <c r="AF750">
        <v>1</v>
      </c>
      <c r="AG750">
        <f>IF(tbl_HR_Data[[#This Row],[Gender]]="Male",1,0)</f>
        <v>1</v>
      </c>
      <c r="AH750" cm="1">
        <f t="array" ref="AH750">_xlfn.SWITCH(tbl_HR_Data[[#This Row],[BusinessTravel]], "Non-Travel", 0, "Travel_Rarely", 1, "Travel_Frequently", 2)</f>
        <v>0</v>
      </c>
      <c r="AI750" cm="1">
        <f t="array" ref="AI750">_xlfn.SWITCH(tbl_HR_Data[[#This Row],[MaritalStatus]],"Single",0,"Married",1,"Divorced",2)</f>
        <v>0</v>
      </c>
      <c r="AJ750">
        <f>IF(tbl_HR_Data[[#This Row],[OverTime]]=1,1,0)</f>
        <v>0</v>
      </c>
      <c r="AK750">
        <f>IF(tbl_HR_Data[[#This Row],[DistanceFromHome]]&gt;15,1,0)</f>
        <v>1</v>
      </c>
      <c r="AL750">
        <f>IF(tbl_HR_Data[[#This Row],[JobSatisfaction]]&lt;=2,1,0)</f>
        <v>1</v>
      </c>
      <c r="AM750">
        <f>IF(tbl_HR_Data[[#This Row],[MonthlyIncome]]&lt;$AT$2,1,0)</f>
        <v>0</v>
      </c>
      <c r="AN750">
        <f>IF(tbl_HR_Data[[#This Row],[Travel_Code]]=2,1,0)</f>
        <v>0</v>
      </c>
      <c r="AO750">
        <f>(tbl_HR_Data[[#This Row],[Flag_OT]] * Logic_Parameters!$B$2) +
 (tbl_HR_Data[[#This Row],[Flag_Travel]] * Logic_Parameters!$B$3) +
 (tbl_HR_Data[[#This Row],[Flag_Satisfaction]] * Logic_Parameters!$B$4) +
 (tbl_HR_Data[[#This Row],[Flag_Distance]]* Logic_Parameters!$B$5) +
 (tbl_HR_Data[[#This Row],[Flag_Income]] * Logic_Parameters!$B$6)</f>
        <v>7.3706398258535089</v>
      </c>
      <c r="AP750" s="15">
        <f>tbl_HR_Data[[#This Row],[Risk_Score_Raw]] / SUM(Logic_Parameters!$B$2:$B$6)</f>
        <v>0.25393706576427255</v>
      </c>
      <c r="AQ750" s="16" t="str" cm="1">
        <f t="array" ref="AQ750">_xlfn.IFS(tbl_HR_Data[[#This Row],[Attrition_Risk_Percentage]] &gt;= 0.75, "Critical",tbl_HR_Data[ [#This Row],[Attrition_Risk_Percentage] ]&gt;= 0.5, "High",tbl_HR_Data[[#This Row],[Attrition_Risk_Percentage]] &gt;= 0.25, "Medium",TRUE, "Low")</f>
        <v>Medium</v>
      </c>
      <c r="AR750" s="16" cm="1">
        <f t="array" ref="AR750">IFERROR(_xlfn.IFS(tbl_HR_Data[[#This Row],[Risk_Category]]="Critical",tbl_HR_Data[[#This Row],[MonthlyIncome]]*1.5,tbl_HR_Data[[#This Row],[Risk_Category]]="High",tbl_HR_Data[[#This Row],[MonthlyIncome]]*1.5),0)</f>
        <v>0</v>
      </c>
    </row>
    <row r="751" spans="1:44" x14ac:dyDescent="0.35">
      <c r="A751" t="s">
        <v>1434</v>
      </c>
      <c r="B751">
        <v>52</v>
      </c>
      <c r="C751" t="s">
        <v>31</v>
      </c>
      <c r="D751">
        <v>266</v>
      </c>
      <c r="E751" t="s">
        <v>32</v>
      </c>
      <c r="F751">
        <v>2</v>
      </c>
      <c r="G751">
        <v>1</v>
      </c>
      <c r="H751" t="s">
        <v>51</v>
      </c>
      <c r="I751">
        <v>1</v>
      </c>
      <c r="J751" t="s">
        <v>34</v>
      </c>
      <c r="K751">
        <v>57</v>
      </c>
      <c r="L751">
        <v>1</v>
      </c>
      <c r="M751">
        <v>5</v>
      </c>
      <c r="N751" t="s">
        <v>48</v>
      </c>
      <c r="O751">
        <v>4</v>
      </c>
      <c r="P751" t="s">
        <v>41</v>
      </c>
      <c r="Q751">
        <v>19845</v>
      </c>
      <c r="R751">
        <v>25846</v>
      </c>
      <c r="S751">
        <v>1</v>
      </c>
      <c r="T751">
        <v>0</v>
      </c>
      <c r="U751" s="17">
        <v>0.15</v>
      </c>
      <c r="V751">
        <v>3</v>
      </c>
      <c r="W751">
        <v>4</v>
      </c>
      <c r="X751">
        <v>1</v>
      </c>
      <c r="Y751">
        <v>33</v>
      </c>
      <c r="Z751">
        <v>3</v>
      </c>
      <c r="AA751">
        <v>3</v>
      </c>
      <c r="AB751">
        <v>32</v>
      </c>
      <c r="AC751">
        <v>14</v>
      </c>
      <c r="AD751">
        <v>6</v>
      </c>
      <c r="AE751">
        <v>9</v>
      </c>
      <c r="AF751">
        <v>1</v>
      </c>
      <c r="AG751">
        <f>IF(tbl_HR_Data[[#This Row],[Gender]]="Male",1,0)</f>
        <v>0</v>
      </c>
      <c r="AH751" cm="1">
        <f t="array" ref="AH751">_xlfn.SWITCH(tbl_HR_Data[[#This Row],[BusinessTravel]], "Non-Travel", 0, "Travel_Rarely", 1, "Travel_Frequently", 2)</f>
        <v>1</v>
      </c>
      <c r="AI751" cm="1">
        <f t="array" ref="AI751">_xlfn.SWITCH(tbl_HR_Data[[#This Row],[MaritalStatus]],"Single",0,"Married",1,"Divorced",2)</f>
        <v>1</v>
      </c>
      <c r="AJ751">
        <f>IF(tbl_HR_Data[[#This Row],[OverTime]]=1,1,0)</f>
        <v>0</v>
      </c>
      <c r="AK751">
        <f>IF(tbl_HR_Data[[#This Row],[DistanceFromHome]]&gt;15,1,0)</f>
        <v>0</v>
      </c>
      <c r="AL751">
        <f>IF(tbl_HR_Data[[#This Row],[JobSatisfaction]]&lt;=2,1,0)</f>
        <v>0</v>
      </c>
      <c r="AM751">
        <f>IF(tbl_HR_Data[[#This Row],[MonthlyIncome]]&lt;$AT$2,1,0)</f>
        <v>0</v>
      </c>
      <c r="AN751">
        <f>IF(tbl_HR_Data[[#This Row],[Travel_Code]]=2,1,0)</f>
        <v>0</v>
      </c>
      <c r="AO751">
        <f>(tbl_HR_Data[[#This Row],[Flag_OT]] * Logic_Parameters!$B$2) +
 (tbl_HR_Data[[#This Row],[Flag_Travel]] * Logic_Parameters!$B$3) +
 (tbl_HR_Data[[#This Row],[Flag_Satisfaction]] * Logic_Parameters!$B$4) +
 (tbl_HR_Data[[#This Row],[Flag_Distance]]* Logic_Parameters!$B$5) +
 (tbl_HR_Data[[#This Row],[Flag_Income]] * Logic_Parameters!$B$6)</f>
        <v>0</v>
      </c>
      <c r="AP751" s="15">
        <f>tbl_HR_Data[[#This Row],[Risk_Score_Raw]] / SUM(Logic_Parameters!$B$2:$B$6)</f>
        <v>0</v>
      </c>
      <c r="AQ751" s="16" t="str" cm="1">
        <f t="array" ref="AQ751">_xlfn.IFS(tbl_HR_Data[[#This Row],[Attrition_Risk_Percentage]] &gt;= 0.75, "Critical",tbl_HR_Data[ [#This Row],[Attrition_Risk_Percentage] ]&gt;= 0.5, "High",tbl_HR_Data[[#This Row],[Attrition_Risk_Percentage]] &gt;= 0.25, "Medium",TRUE, "Low")</f>
        <v>Low</v>
      </c>
      <c r="AR751" s="16" cm="1">
        <f t="array" ref="AR751">IFERROR(_xlfn.IFS(tbl_HR_Data[[#This Row],[Risk_Category]]="Critical",tbl_HR_Data[[#This Row],[MonthlyIncome]]*1.5,tbl_HR_Data[[#This Row],[Risk_Category]]="High",tbl_HR_Data[[#This Row],[MonthlyIncome]]*1.5),0)</f>
        <v>0</v>
      </c>
    </row>
    <row r="752" spans="1:44" x14ac:dyDescent="0.35">
      <c r="A752" t="s">
        <v>545</v>
      </c>
      <c r="B752">
        <v>44</v>
      </c>
      <c r="C752" t="s">
        <v>31</v>
      </c>
      <c r="D752">
        <v>1448</v>
      </c>
      <c r="E752" t="s">
        <v>32</v>
      </c>
      <c r="F752">
        <v>28</v>
      </c>
      <c r="G752">
        <v>3</v>
      </c>
      <c r="H752" t="s">
        <v>44</v>
      </c>
      <c r="I752">
        <v>4</v>
      </c>
      <c r="J752" t="s">
        <v>34</v>
      </c>
      <c r="K752">
        <v>53</v>
      </c>
      <c r="L752">
        <v>4</v>
      </c>
      <c r="M752">
        <v>4</v>
      </c>
      <c r="N752" t="s">
        <v>35</v>
      </c>
      <c r="O752">
        <v>4</v>
      </c>
      <c r="P752" t="s">
        <v>41</v>
      </c>
      <c r="Q752">
        <v>13320</v>
      </c>
      <c r="R752">
        <v>11737</v>
      </c>
      <c r="S752">
        <v>3</v>
      </c>
      <c r="T752">
        <v>1</v>
      </c>
      <c r="U752" s="17">
        <v>0.18</v>
      </c>
      <c r="V752">
        <v>3</v>
      </c>
      <c r="W752">
        <v>3</v>
      </c>
      <c r="X752">
        <v>1</v>
      </c>
      <c r="Y752">
        <v>23</v>
      </c>
      <c r="Z752">
        <v>2</v>
      </c>
      <c r="AA752">
        <v>3</v>
      </c>
      <c r="AB752">
        <v>12</v>
      </c>
      <c r="AC752">
        <v>11</v>
      </c>
      <c r="AD752">
        <v>11</v>
      </c>
      <c r="AE752">
        <v>11</v>
      </c>
      <c r="AF752">
        <v>0</v>
      </c>
      <c r="AG752">
        <f>IF(tbl_HR_Data[[#This Row],[Gender]]="Male",1,0)</f>
        <v>0</v>
      </c>
      <c r="AH752" cm="1">
        <f t="array" ref="AH752">_xlfn.SWITCH(tbl_HR_Data[[#This Row],[BusinessTravel]], "Non-Travel", 0, "Travel_Rarely", 1, "Travel_Frequently", 2)</f>
        <v>1</v>
      </c>
      <c r="AI752" cm="1">
        <f t="array" ref="AI752">_xlfn.SWITCH(tbl_HR_Data[[#This Row],[MaritalStatus]],"Single",0,"Married",1,"Divorced",2)</f>
        <v>1</v>
      </c>
      <c r="AJ752">
        <f>IF(tbl_HR_Data[[#This Row],[OverTime]]=1,1,0)</f>
        <v>1</v>
      </c>
      <c r="AK752">
        <f>IF(tbl_HR_Data[[#This Row],[DistanceFromHome]]&gt;15,1,0)</f>
        <v>1</v>
      </c>
      <c r="AL752">
        <f>IF(tbl_HR_Data[[#This Row],[JobSatisfaction]]&lt;=2,1,0)</f>
        <v>0</v>
      </c>
      <c r="AM752">
        <f>IF(tbl_HR_Data[[#This Row],[MonthlyIncome]]&lt;$AT$2,1,0)</f>
        <v>0</v>
      </c>
      <c r="AN752">
        <f>IF(tbl_HR_Data[[#This Row],[Travel_Code]]=2,1,0)</f>
        <v>0</v>
      </c>
      <c r="AO752">
        <f>(tbl_HR_Data[[#This Row],[Flag_OT]] * Logic_Parameters!$B$2) +
 (tbl_HR_Data[[#This Row],[Flag_Travel]] * Logic_Parameters!$B$3) +
 (tbl_HR_Data[[#This Row],[Flag_Satisfaction]] * Logic_Parameters!$B$4) +
 (tbl_HR_Data[[#This Row],[Flag_Distance]]* Logic_Parameters!$B$5) +
 (tbl_HR_Data[[#This Row],[Flag_Income]] * Logic_Parameters!$B$6)</f>
        <v>13.166106695875378</v>
      </c>
      <c r="AP752" s="15">
        <f>tbl_HR_Data[[#This Row],[Risk_Score_Raw]] / SUM(Logic_Parameters!$B$2:$B$6)</f>
        <v>0.45360546450291089</v>
      </c>
      <c r="AQ752" s="16" t="str" cm="1">
        <f t="array" ref="AQ752">_xlfn.IFS(tbl_HR_Data[[#This Row],[Attrition_Risk_Percentage]] &gt;= 0.75, "Critical",tbl_HR_Data[ [#This Row],[Attrition_Risk_Percentage] ]&gt;= 0.5, "High",tbl_HR_Data[[#This Row],[Attrition_Risk_Percentage]] &gt;= 0.25, "Medium",TRUE, "Low")</f>
        <v>Medium</v>
      </c>
      <c r="AR752" s="16" cm="1">
        <f t="array" ref="AR752">IFERROR(_xlfn.IFS(tbl_HR_Data[[#This Row],[Risk_Category]]="Critical",tbl_HR_Data[[#This Row],[MonthlyIncome]]*1.5,tbl_HR_Data[[#This Row],[Risk_Category]]="High",tbl_HR_Data[[#This Row],[MonthlyIncome]]*1.5),0)</f>
        <v>0</v>
      </c>
    </row>
    <row r="753" spans="1:44" x14ac:dyDescent="0.35">
      <c r="A753" t="s">
        <v>1260</v>
      </c>
      <c r="B753">
        <v>50</v>
      </c>
      <c r="C753" t="s">
        <v>1525</v>
      </c>
      <c r="D753">
        <v>145</v>
      </c>
      <c r="E753" t="s">
        <v>32</v>
      </c>
      <c r="F753">
        <v>1</v>
      </c>
      <c r="G753">
        <v>3</v>
      </c>
      <c r="H753" t="s">
        <v>33</v>
      </c>
      <c r="I753">
        <v>4</v>
      </c>
      <c r="J753" t="s">
        <v>34</v>
      </c>
      <c r="K753">
        <v>95</v>
      </c>
      <c r="L753">
        <v>3</v>
      </c>
      <c r="M753">
        <v>2</v>
      </c>
      <c r="N753" t="s">
        <v>35</v>
      </c>
      <c r="O753">
        <v>3</v>
      </c>
      <c r="P753" t="s">
        <v>41</v>
      </c>
      <c r="Q753">
        <v>6347</v>
      </c>
      <c r="R753">
        <v>24920</v>
      </c>
      <c r="S753">
        <v>0</v>
      </c>
      <c r="T753">
        <v>0</v>
      </c>
      <c r="U753" s="17">
        <v>0.12</v>
      </c>
      <c r="V753">
        <v>3</v>
      </c>
      <c r="W753">
        <v>1</v>
      </c>
      <c r="X753">
        <v>1</v>
      </c>
      <c r="Y753">
        <v>19</v>
      </c>
      <c r="Z753">
        <v>3</v>
      </c>
      <c r="AA753">
        <v>3</v>
      </c>
      <c r="AB753">
        <v>18</v>
      </c>
      <c r="AC753">
        <v>7</v>
      </c>
      <c r="AD753">
        <v>0</v>
      </c>
      <c r="AE753">
        <v>13</v>
      </c>
      <c r="AF753">
        <v>0</v>
      </c>
      <c r="AG753">
        <f>IF(tbl_HR_Data[[#This Row],[Gender]]="Male",1,0)</f>
        <v>0</v>
      </c>
      <c r="AH753" cm="1">
        <f t="array" ref="AH753">_xlfn.SWITCH(tbl_HR_Data[[#This Row],[BusinessTravel]], "Non-Travel", 0, "Travel_Rarely", 1, "Travel_Frequently", 2)</f>
        <v>0</v>
      </c>
      <c r="AI753" cm="1">
        <f t="array" ref="AI753">_xlfn.SWITCH(tbl_HR_Data[[#This Row],[MaritalStatus]],"Single",0,"Married",1,"Divorced",2)</f>
        <v>1</v>
      </c>
      <c r="AJ753">
        <f>IF(tbl_HR_Data[[#This Row],[OverTime]]=1,1,0)</f>
        <v>0</v>
      </c>
      <c r="AK753">
        <f>IF(tbl_HR_Data[[#This Row],[DistanceFromHome]]&gt;15,1,0)</f>
        <v>0</v>
      </c>
      <c r="AL753">
        <f>IF(tbl_HR_Data[[#This Row],[JobSatisfaction]]&lt;=2,1,0)</f>
        <v>0</v>
      </c>
      <c r="AM753">
        <f>IF(tbl_HR_Data[[#This Row],[MonthlyIncome]]&lt;$AT$2,1,0)</f>
        <v>0</v>
      </c>
      <c r="AN753">
        <f>IF(tbl_HR_Data[[#This Row],[Travel_Code]]=2,1,0)</f>
        <v>0</v>
      </c>
      <c r="AO753">
        <f>(tbl_HR_Data[[#This Row],[Flag_OT]] * Logic_Parameters!$B$2) +
 (tbl_HR_Data[[#This Row],[Flag_Travel]] * Logic_Parameters!$B$3) +
 (tbl_HR_Data[[#This Row],[Flag_Satisfaction]] * Logic_Parameters!$B$4) +
 (tbl_HR_Data[[#This Row],[Flag_Distance]]* Logic_Parameters!$B$5) +
 (tbl_HR_Data[[#This Row],[Flag_Income]] * Logic_Parameters!$B$6)</f>
        <v>0</v>
      </c>
      <c r="AP753" s="15">
        <f>tbl_HR_Data[[#This Row],[Risk_Score_Raw]] / SUM(Logic_Parameters!$B$2:$B$6)</f>
        <v>0</v>
      </c>
      <c r="AQ753" s="16" t="str" cm="1">
        <f t="array" ref="AQ753">_xlfn.IFS(tbl_HR_Data[[#This Row],[Attrition_Risk_Percentage]] &gt;= 0.75, "Critical",tbl_HR_Data[ [#This Row],[Attrition_Risk_Percentage] ]&gt;= 0.5, "High",tbl_HR_Data[[#This Row],[Attrition_Risk_Percentage]] &gt;= 0.25, "Medium",TRUE, "Low")</f>
        <v>Low</v>
      </c>
      <c r="AR753" s="16" cm="1">
        <f t="array" ref="AR753">IFERROR(_xlfn.IFS(tbl_HR_Data[[#This Row],[Risk_Category]]="Critical",tbl_HR_Data[[#This Row],[MonthlyIncome]]*1.5,tbl_HR_Data[[#This Row],[Risk_Category]]="High",tbl_HR_Data[[#This Row],[MonthlyIncome]]*1.5),0)</f>
        <v>0</v>
      </c>
    </row>
    <row r="754" spans="1:44" x14ac:dyDescent="0.35">
      <c r="A754" t="s">
        <v>1511</v>
      </c>
      <c r="B754">
        <v>36</v>
      </c>
      <c r="C754" t="s">
        <v>31</v>
      </c>
      <c r="D754">
        <v>885</v>
      </c>
      <c r="E754" t="s">
        <v>38</v>
      </c>
      <c r="F754">
        <v>16</v>
      </c>
      <c r="G754">
        <v>4</v>
      </c>
      <c r="H754" t="s">
        <v>33</v>
      </c>
      <c r="I754">
        <v>3</v>
      </c>
      <c r="J754" t="s">
        <v>34</v>
      </c>
      <c r="K754">
        <v>43</v>
      </c>
      <c r="L754">
        <v>4</v>
      </c>
      <c r="M754">
        <v>1</v>
      </c>
      <c r="N754" t="s">
        <v>43</v>
      </c>
      <c r="O754">
        <v>1</v>
      </c>
      <c r="P754" t="s">
        <v>36</v>
      </c>
      <c r="Q754">
        <v>2743</v>
      </c>
      <c r="R754">
        <v>8269</v>
      </c>
      <c r="S754">
        <v>1</v>
      </c>
      <c r="T754">
        <v>0</v>
      </c>
      <c r="U754" s="17">
        <v>0.16</v>
      </c>
      <c r="V754">
        <v>3</v>
      </c>
      <c r="W754">
        <v>3</v>
      </c>
      <c r="X754">
        <v>0</v>
      </c>
      <c r="Y754">
        <v>18</v>
      </c>
      <c r="Z754">
        <v>1</v>
      </c>
      <c r="AA754">
        <v>3</v>
      </c>
      <c r="AB754">
        <v>17</v>
      </c>
      <c r="AC754">
        <v>13</v>
      </c>
      <c r="AD754">
        <v>15</v>
      </c>
      <c r="AE754">
        <v>14</v>
      </c>
      <c r="AF754">
        <v>1</v>
      </c>
      <c r="AG754">
        <f>IF(tbl_HR_Data[[#This Row],[Gender]]="Male",1,0)</f>
        <v>0</v>
      </c>
      <c r="AH754" cm="1">
        <f t="array" ref="AH754">_xlfn.SWITCH(tbl_HR_Data[[#This Row],[BusinessTravel]], "Non-Travel", 0, "Travel_Rarely", 1, "Travel_Frequently", 2)</f>
        <v>1</v>
      </c>
      <c r="AI754" cm="1">
        <f t="array" ref="AI754">_xlfn.SWITCH(tbl_HR_Data[[#This Row],[MaritalStatus]],"Single",0,"Married",1,"Divorced",2)</f>
        <v>0</v>
      </c>
      <c r="AJ754">
        <f>IF(tbl_HR_Data[[#This Row],[OverTime]]=1,1,0)</f>
        <v>0</v>
      </c>
      <c r="AK754">
        <f>IF(tbl_HR_Data[[#This Row],[DistanceFromHome]]&gt;15,1,0)</f>
        <v>1</v>
      </c>
      <c r="AL754">
        <f>IF(tbl_HR_Data[[#This Row],[JobSatisfaction]]&lt;=2,1,0)</f>
        <v>1</v>
      </c>
      <c r="AM754">
        <f>IF(tbl_HR_Data[[#This Row],[MonthlyIncome]]&lt;$AT$2,1,0)</f>
        <v>1</v>
      </c>
      <c r="AN754">
        <f>IF(tbl_HR_Data[[#This Row],[Travel_Code]]=2,1,0)</f>
        <v>0</v>
      </c>
      <c r="AO754">
        <f>(tbl_HR_Data[[#This Row],[Flag_OT]] * Logic_Parameters!$B$2) +
 (tbl_HR_Data[[#This Row],[Flag_Travel]] * Logic_Parameters!$B$3) +
 (tbl_HR_Data[[#This Row],[Flag_Satisfaction]] * Logic_Parameters!$B$4) +
 (tbl_HR_Data[[#This Row],[Flag_Distance]]* Logic_Parameters!$B$5) +
 (tbl_HR_Data[[#This Row],[Flag_Income]] * Logic_Parameters!$B$6)</f>
        <v>13.865068763274337</v>
      </c>
      <c r="AP754" s="15">
        <f>tbl_HR_Data[[#This Row],[Risk_Score_Raw]] / SUM(Logic_Parameters!$B$2:$B$6)</f>
        <v>0.47768646434409739</v>
      </c>
      <c r="AQ754" s="16" t="str" cm="1">
        <f t="array" ref="AQ754">_xlfn.IFS(tbl_HR_Data[[#This Row],[Attrition_Risk_Percentage]] &gt;= 0.75, "Critical",tbl_HR_Data[ [#This Row],[Attrition_Risk_Percentage] ]&gt;= 0.5, "High",tbl_HR_Data[[#This Row],[Attrition_Risk_Percentage]] &gt;= 0.25, "Medium",TRUE, "Low")</f>
        <v>Medium</v>
      </c>
      <c r="AR754" s="16" cm="1">
        <f t="array" ref="AR754">IFERROR(_xlfn.IFS(tbl_HR_Data[[#This Row],[Risk_Category]]="Critical",tbl_HR_Data[[#This Row],[MonthlyIncome]]*1.5,tbl_HR_Data[[#This Row],[Risk_Category]]="High",tbl_HR_Data[[#This Row],[MonthlyIncome]]*1.5),0)</f>
        <v>0</v>
      </c>
    </row>
    <row r="755" spans="1:44" x14ac:dyDescent="0.35">
      <c r="A755" t="s">
        <v>1406</v>
      </c>
      <c r="B755">
        <v>39</v>
      </c>
      <c r="C755" t="s">
        <v>37</v>
      </c>
      <c r="D755">
        <v>945</v>
      </c>
      <c r="E755" t="s">
        <v>38</v>
      </c>
      <c r="F755">
        <v>22</v>
      </c>
      <c r="G755">
        <v>3</v>
      </c>
      <c r="H755" t="s">
        <v>44</v>
      </c>
      <c r="I755">
        <v>4</v>
      </c>
      <c r="J755" t="s">
        <v>34</v>
      </c>
      <c r="K755">
        <v>82</v>
      </c>
      <c r="L755">
        <v>3</v>
      </c>
      <c r="M755">
        <v>3</v>
      </c>
      <c r="N755" t="s">
        <v>46</v>
      </c>
      <c r="O755">
        <v>1</v>
      </c>
      <c r="P755" t="s">
        <v>36</v>
      </c>
      <c r="Q755">
        <v>10880</v>
      </c>
      <c r="R755">
        <v>5083</v>
      </c>
      <c r="S755">
        <v>1</v>
      </c>
      <c r="T755">
        <v>1</v>
      </c>
      <c r="U755" s="17">
        <v>0.13</v>
      </c>
      <c r="V755">
        <v>3</v>
      </c>
      <c r="W755">
        <v>3</v>
      </c>
      <c r="X755">
        <v>0</v>
      </c>
      <c r="Y755">
        <v>21</v>
      </c>
      <c r="Z755">
        <v>2</v>
      </c>
      <c r="AA755">
        <v>3</v>
      </c>
      <c r="AB755">
        <v>21</v>
      </c>
      <c r="AC755">
        <v>6</v>
      </c>
      <c r="AD755">
        <v>2</v>
      </c>
      <c r="AE755">
        <v>8</v>
      </c>
      <c r="AF755">
        <v>0</v>
      </c>
      <c r="AG755">
        <f>IF(tbl_HR_Data[[#This Row],[Gender]]="Male",1,0)</f>
        <v>0</v>
      </c>
      <c r="AH755" cm="1">
        <f t="array" ref="AH755">_xlfn.SWITCH(tbl_HR_Data[[#This Row],[BusinessTravel]], "Non-Travel", 0, "Travel_Rarely", 1, "Travel_Frequently", 2)</f>
        <v>2</v>
      </c>
      <c r="AI755" cm="1">
        <f t="array" ref="AI755">_xlfn.SWITCH(tbl_HR_Data[[#This Row],[MaritalStatus]],"Single",0,"Married",1,"Divorced",2)</f>
        <v>0</v>
      </c>
      <c r="AJ755">
        <f>IF(tbl_HR_Data[[#This Row],[OverTime]]=1,1,0)</f>
        <v>1</v>
      </c>
      <c r="AK755">
        <f>IF(tbl_HR_Data[[#This Row],[DistanceFromHome]]&gt;15,1,0)</f>
        <v>1</v>
      </c>
      <c r="AL755">
        <f>IF(tbl_HR_Data[[#This Row],[JobSatisfaction]]&lt;=2,1,0)</f>
        <v>1</v>
      </c>
      <c r="AM755">
        <f>IF(tbl_HR_Data[[#This Row],[MonthlyIncome]]&lt;$AT$2,1,0)</f>
        <v>0</v>
      </c>
      <c r="AN755">
        <f>IF(tbl_HR_Data[[#This Row],[Travel_Code]]=2,1,0)</f>
        <v>1</v>
      </c>
      <c r="AO755">
        <f>(tbl_HR_Data[[#This Row],[Flag_OT]] * Logic_Parameters!$B$2) +
 (tbl_HR_Data[[#This Row],[Flag_Travel]] * Logic_Parameters!$B$3) +
 (tbl_HR_Data[[#This Row],[Flag_Satisfaction]] * Logic_Parameters!$B$4) +
 (tbl_HR_Data[[#This Row],[Flag_Distance]]* Logic_Parameters!$B$5) +
 (tbl_HR_Data[[#This Row],[Flag_Income]] * Logic_Parameters!$B$6)</f>
        <v>22.531029806343685</v>
      </c>
      <c r="AP755" s="15">
        <f>tbl_HR_Data[[#This Row],[Risk_Score_Raw]] / SUM(Logic_Parameters!$B$2:$B$6)</f>
        <v>0.77625060142017521</v>
      </c>
      <c r="AQ755" s="16" t="str" cm="1">
        <f t="array" ref="AQ755">_xlfn.IFS(tbl_HR_Data[[#This Row],[Attrition_Risk_Percentage]] &gt;= 0.75, "Critical",tbl_HR_Data[ [#This Row],[Attrition_Risk_Percentage] ]&gt;= 0.5, "High",tbl_HR_Data[[#This Row],[Attrition_Risk_Percentage]] &gt;= 0.25, "Medium",TRUE, "Low")</f>
        <v>Critical</v>
      </c>
      <c r="AR755" s="16" cm="1">
        <f t="array" ref="AR755">IFERROR(_xlfn.IFS(tbl_HR_Data[[#This Row],[Risk_Category]]="Critical",tbl_HR_Data[[#This Row],[MonthlyIncome]]*1.5,tbl_HR_Data[[#This Row],[Risk_Category]]="High",tbl_HR_Data[[#This Row],[MonthlyIncome]]*1.5),0)</f>
        <v>16320</v>
      </c>
    </row>
    <row r="756" spans="1:44" x14ac:dyDescent="0.35">
      <c r="A756" t="s">
        <v>419</v>
      </c>
      <c r="B756">
        <v>33</v>
      </c>
      <c r="C756" t="s">
        <v>1525</v>
      </c>
      <c r="D756">
        <v>1038</v>
      </c>
      <c r="E756" t="s">
        <v>32</v>
      </c>
      <c r="F756">
        <v>8</v>
      </c>
      <c r="G756">
        <v>1</v>
      </c>
      <c r="H756" t="s">
        <v>33</v>
      </c>
      <c r="I756">
        <v>2</v>
      </c>
      <c r="J756" t="s">
        <v>34</v>
      </c>
      <c r="K756">
        <v>88</v>
      </c>
      <c r="L756">
        <v>2</v>
      </c>
      <c r="M756">
        <v>1</v>
      </c>
      <c r="N756" t="s">
        <v>49</v>
      </c>
      <c r="O756">
        <v>4</v>
      </c>
      <c r="P756" t="s">
        <v>36</v>
      </c>
      <c r="Q756">
        <v>2342</v>
      </c>
      <c r="R756">
        <v>21437</v>
      </c>
      <c r="S756">
        <v>0</v>
      </c>
      <c r="T756">
        <v>0</v>
      </c>
      <c r="U756" s="17">
        <v>0.19</v>
      </c>
      <c r="V756">
        <v>3</v>
      </c>
      <c r="W756">
        <v>4</v>
      </c>
      <c r="X756">
        <v>0</v>
      </c>
      <c r="Y756">
        <v>3</v>
      </c>
      <c r="Z756">
        <v>2</v>
      </c>
      <c r="AA756">
        <v>2</v>
      </c>
      <c r="AB756">
        <v>2</v>
      </c>
      <c r="AC756">
        <v>2</v>
      </c>
      <c r="AD756">
        <v>2</v>
      </c>
      <c r="AE756">
        <v>2</v>
      </c>
      <c r="AF756">
        <v>0</v>
      </c>
      <c r="AG756">
        <f>IF(tbl_HR_Data[[#This Row],[Gender]]="Male",1,0)</f>
        <v>0</v>
      </c>
      <c r="AH756" cm="1">
        <f t="array" ref="AH756">_xlfn.SWITCH(tbl_HR_Data[[#This Row],[BusinessTravel]], "Non-Travel", 0, "Travel_Rarely", 1, "Travel_Frequently", 2)</f>
        <v>0</v>
      </c>
      <c r="AI756" cm="1">
        <f t="array" ref="AI756">_xlfn.SWITCH(tbl_HR_Data[[#This Row],[MaritalStatus]],"Single",0,"Married",1,"Divorced",2)</f>
        <v>0</v>
      </c>
      <c r="AJ756">
        <f>IF(tbl_HR_Data[[#This Row],[OverTime]]=1,1,0)</f>
        <v>0</v>
      </c>
      <c r="AK756">
        <f>IF(tbl_HR_Data[[#This Row],[DistanceFromHome]]&gt;15,1,0)</f>
        <v>0</v>
      </c>
      <c r="AL756">
        <f>IF(tbl_HR_Data[[#This Row],[JobSatisfaction]]&lt;=2,1,0)</f>
        <v>0</v>
      </c>
      <c r="AM756">
        <f>IF(tbl_HR_Data[[#This Row],[MonthlyIncome]]&lt;$AT$2,1,0)</f>
        <v>1</v>
      </c>
      <c r="AN756">
        <f>IF(tbl_HR_Data[[#This Row],[Travel_Code]]=2,1,0)</f>
        <v>0</v>
      </c>
      <c r="AO756">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756" s="15">
        <f>tbl_HR_Data[[#This Row],[Risk_Score_Raw]] / SUM(Logic_Parameters!$B$2:$B$6)</f>
        <v>0.22374939857982484</v>
      </c>
      <c r="AQ756" s="16" t="str" cm="1">
        <f t="array" ref="AQ756">_xlfn.IFS(tbl_HR_Data[[#This Row],[Attrition_Risk_Percentage]] &gt;= 0.75, "Critical",tbl_HR_Data[ [#This Row],[Attrition_Risk_Percentage] ]&gt;= 0.5, "High",tbl_HR_Data[[#This Row],[Attrition_Risk_Percentage]] &gt;= 0.25, "Medium",TRUE, "Low")</f>
        <v>Low</v>
      </c>
      <c r="AR756" s="16" cm="1">
        <f t="array" ref="AR756">IFERROR(_xlfn.IFS(tbl_HR_Data[[#This Row],[Risk_Category]]="Critical",tbl_HR_Data[[#This Row],[MonthlyIncome]]*1.5,tbl_HR_Data[[#This Row],[Risk_Category]]="High",tbl_HR_Data[[#This Row],[MonthlyIncome]]*1.5),0)</f>
        <v>0</v>
      </c>
    </row>
    <row r="757" spans="1:44" x14ac:dyDescent="0.35">
      <c r="A757" t="s">
        <v>1306</v>
      </c>
      <c r="B757">
        <v>45</v>
      </c>
      <c r="C757" t="s">
        <v>31</v>
      </c>
      <c r="D757">
        <v>1234</v>
      </c>
      <c r="E757" t="s">
        <v>32</v>
      </c>
      <c r="F757">
        <v>11</v>
      </c>
      <c r="G757">
        <v>2</v>
      </c>
      <c r="H757" t="s">
        <v>33</v>
      </c>
      <c r="I757">
        <v>4</v>
      </c>
      <c r="J757" t="s">
        <v>34</v>
      </c>
      <c r="K757">
        <v>90</v>
      </c>
      <c r="L757">
        <v>3</v>
      </c>
      <c r="M757">
        <v>4</v>
      </c>
      <c r="N757" t="s">
        <v>48</v>
      </c>
      <c r="O757">
        <v>4</v>
      </c>
      <c r="P757" t="s">
        <v>41</v>
      </c>
      <c r="Q757">
        <v>17650</v>
      </c>
      <c r="R757">
        <v>5404</v>
      </c>
      <c r="S757">
        <v>3</v>
      </c>
      <c r="T757">
        <v>0</v>
      </c>
      <c r="U757" s="17">
        <v>0.13</v>
      </c>
      <c r="V757">
        <v>3</v>
      </c>
      <c r="W757">
        <v>2</v>
      </c>
      <c r="X757">
        <v>1</v>
      </c>
      <c r="Y757">
        <v>26</v>
      </c>
      <c r="Z757">
        <v>4</v>
      </c>
      <c r="AA757">
        <v>4</v>
      </c>
      <c r="AB757">
        <v>9</v>
      </c>
      <c r="AC757">
        <v>3</v>
      </c>
      <c r="AD757">
        <v>1</v>
      </c>
      <c r="AE757">
        <v>1</v>
      </c>
      <c r="AF757">
        <v>0</v>
      </c>
      <c r="AG757">
        <f>IF(tbl_HR_Data[[#This Row],[Gender]]="Male",1,0)</f>
        <v>0</v>
      </c>
      <c r="AH757" cm="1">
        <f t="array" ref="AH757">_xlfn.SWITCH(tbl_HR_Data[[#This Row],[BusinessTravel]], "Non-Travel", 0, "Travel_Rarely", 1, "Travel_Frequently", 2)</f>
        <v>1</v>
      </c>
      <c r="AI757" cm="1">
        <f t="array" ref="AI757">_xlfn.SWITCH(tbl_HR_Data[[#This Row],[MaritalStatus]],"Single",0,"Married",1,"Divorced",2)</f>
        <v>1</v>
      </c>
      <c r="AJ757">
        <f>IF(tbl_HR_Data[[#This Row],[OverTime]]=1,1,0)</f>
        <v>0</v>
      </c>
      <c r="AK757">
        <f>IF(tbl_HR_Data[[#This Row],[DistanceFromHome]]&gt;15,1,0)</f>
        <v>0</v>
      </c>
      <c r="AL757">
        <f>IF(tbl_HR_Data[[#This Row],[JobSatisfaction]]&lt;=2,1,0)</f>
        <v>0</v>
      </c>
      <c r="AM757">
        <f>IF(tbl_HR_Data[[#This Row],[MonthlyIncome]]&lt;$AT$2,1,0)</f>
        <v>0</v>
      </c>
      <c r="AN757">
        <f>IF(tbl_HR_Data[[#This Row],[Travel_Code]]=2,1,0)</f>
        <v>0</v>
      </c>
      <c r="AO757">
        <f>(tbl_HR_Data[[#This Row],[Flag_OT]] * Logic_Parameters!$B$2) +
 (tbl_HR_Data[[#This Row],[Flag_Travel]] * Logic_Parameters!$B$3) +
 (tbl_HR_Data[[#This Row],[Flag_Satisfaction]] * Logic_Parameters!$B$4) +
 (tbl_HR_Data[[#This Row],[Flag_Distance]]* Logic_Parameters!$B$5) +
 (tbl_HR_Data[[#This Row],[Flag_Income]] * Logic_Parameters!$B$6)</f>
        <v>0</v>
      </c>
      <c r="AP757" s="15">
        <f>tbl_HR_Data[[#This Row],[Risk_Score_Raw]] / SUM(Logic_Parameters!$B$2:$B$6)</f>
        <v>0</v>
      </c>
      <c r="AQ757" s="16" t="str" cm="1">
        <f t="array" ref="AQ757">_xlfn.IFS(tbl_HR_Data[[#This Row],[Attrition_Risk_Percentage]] &gt;= 0.75, "Critical",tbl_HR_Data[ [#This Row],[Attrition_Risk_Percentage] ]&gt;= 0.5, "High",tbl_HR_Data[[#This Row],[Attrition_Risk_Percentage]] &gt;= 0.25, "Medium",TRUE, "Low")</f>
        <v>Low</v>
      </c>
      <c r="AR757" s="16" cm="1">
        <f t="array" ref="AR757">IFERROR(_xlfn.IFS(tbl_HR_Data[[#This Row],[Risk_Category]]="Critical",tbl_HR_Data[[#This Row],[MonthlyIncome]]*1.5,tbl_HR_Data[[#This Row],[Risk_Category]]="High",tbl_HR_Data[[#This Row],[MonthlyIncome]]*1.5),0)</f>
        <v>0</v>
      </c>
    </row>
    <row r="758" spans="1:44" x14ac:dyDescent="0.35">
      <c r="A758" t="s">
        <v>206</v>
      </c>
      <c r="B758">
        <v>32</v>
      </c>
      <c r="C758" t="s">
        <v>1525</v>
      </c>
      <c r="D758">
        <v>1109</v>
      </c>
      <c r="E758" t="s">
        <v>38</v>
      </c>
      <c r="F758">
        <v>29</v>
      </c>
      <c r="G758">
        <v>4</v>
      </c>
      <c r="H758" t="s">
        <v>44</v>
      </c>
      <c r="I758">
        <v>4</v>
      </c>
      <c r="J758" t="s">
        <v>34</v>
      </c>
      <c r="K758">
        <v>69</v>
      </c>
      <c r="L758">
        <v>3</v>
      </c>
      <c r="M758">
        <v>1</v>
      </c>
      <c r="N758" t="s">
        <v>43</v>
      </c>
      <c r="O758">
        <v>3</v>
      </c>
      <c r="P758" t="s">
        <v>36</v>
      </c>
      <c r="Q758">
        <v>4025</v>
      </c>
      <c r="R758">
        <v>11135</v>
      </c>
      <c r="S758">
        <v>9</v>
      </c>
      <c r="T758">
        <v>0</v>
      </c>
      <c r="U758" s="17">
        <v>0.12</v>
      </c>
      <c r="V758">
        <v>3</v>
      </c>
      <c r="W758">
        <v>2</v>
      </c>
      <c r="X758">
        <v>0</v>
      </c>
      <c r="Y758">
        <v>10</v>
      </c>
      <c r="Z758">
        <v>2</v>
      </c>
      <c r="AA758">
        <v>3</v>
      </c>
      <c r="AB758">
        <v>8</v>
      </c>
      <c r="AC758">
        <v>7</v>
      </c>
      <c r="AD758">
        <v>7</v>
      </c>
      <c r="AE758">
        <v>7</v>
      </c>
      <c r="AF758">
        <v>0</v>
      </c>
      <c r="AG758">
        <f>IF(tbl_HR_Data[[#This Row],[Gender]]="Male",1,0)</f>
        <v>0</v>
      </c>
      <c r="AH758" cm="1">
        <f t="array" ref="AH758">_xlfn.SWITCH(tbl_HR_Data[[#This Row],[BusinessTravel]], "Non-Travel", 0, "Travel_Rarely", 1, "Travel_Frequently", 2)</f>
        <v>0</v>
      </c>
      <c r="AI758" cm="1">
        <f t="array" ref="AI758">_xlfn.SWITCH(tbl_HR_Data[[#This Row],[MaritalStatus]],"Single",0,"Married",1,"Divorced",2)</f>
        <v>0</v>
      </c>
      <c r="AJ758">
        <f>IF(tbl_HR_Data[[#This Row],[OverTime]]=1,1,0)</f>
        <v>0</v>
      </c>
      <c r="AK758">
        <f>IF(tbl_HR_Data[[#This Row],[DistanceFromHome]]&gt;15,1,0)</f>
        <v>1</v>
      </c>
      <c r="AL758">
        <f>IF(tbl_HR_Data[[#This Row],[JobSatisfaction]]&lt;=2,1,0)</f>
        <v>0</v>
      </c>
      <c r="AM758">
        <f>IF(tbl_HR_Data[[#This Row],[MonthlyIncome]]&lt;$AT$2,1,0)</f>
        <v>1</v>
      </c>
      <c r="AN758">
        <f>IF(tbl_HR_Data[[#This Row],[Travel_Code]]=2,1,0)</f>
        <v>0</v>
      </c>
      <c r="AO758">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758" s="15">
        <f>tbl_HR_Data[[#This Row],[Risk_Score_Raw]] / SUM(Logic_Parameters!$B$2:$B$6)</f>
        <v>0.33282973125692844</v>
      </c>
      <c r="AQ758" s="16" t="str" cm="1">
        <f t="array" ref="AQ758">_xlfn.IFS(tbl_HR_Data[[#This Row],[Attrition_Risk_Percentage]] &gt;= 0.75, "Critical",tbl_HR_Data[ [#This Row],[Attrition_Risk_Percentage] ]&gt;= 0.5, "High",tbl_HR_Data[[#This Row],[Attrition_Risk_Percentage]] &gt;= 0.25, "Medium",TRUE, "Low")</f>
        <v>Medium</v>
      </c>
      <c r="AR758" s="16" cm="1">
        <f t="array" ref="AR758">IFERROR(_xlfn.IFS(tbl_HR_Data[[#This Row],[Risk_Category]]="Critical",tbl_HR_Data[[#This Row],[MonthlyIncome]]*1.5,tbl_HR_Data[[#This Row],[Risk_Category]]="High",tbl_HR_Data[[#This Row],[MonthlyIncome]]*1.5),0)</f>
        <v>0</v>
      </c>
    </row>
    <row r="759" spans="1:44" x14ac:dyDescent="0.35">
      <c r="A759" t="s">
        <v>917</v>
      </c>
      <c r="B759">
        <v>34</v>
      </c>
      <c r="C759" t="s">
        <v>31</v>
      </c>
      <c r="D759">
        <v>216</v>
      </c>
      <c r="E759" t="s">
        <v>32</v>
      </c>
      <c r="F759">
        <v>1</v>
      </c>
      <c r="G759">
        <v>4</v>
      </c>
      <c r="H759" t="s">
        <v>51</v>
      </c>
      <c r="I759">
        <v>2</v>
      </c>
      <c r="J759" t="s">
        <v>39</v>
      </c>
      <c r="K759">
        <v>75</v>
      </c>
      <c r="L759">
        <v>4</v>
      </c>
      <c r="M759">
        <v>2</v>
      </c>
      <c r="N759" t="s">
        <v>35</v>
      </c>
      <c r="O759">
        <v>4</v>
      </c>
      <c r="P759" t="s">
        <v>45</v>
      </c>
      <c r="Q759">
        <v>9725</v>
      </c>
      <c r="R759">
        <v>12278</v>
      </c>
      <c r="S759">
        <v>0</v>
      </c>
      <c r="T759">
        <v>0</v>
      </c>
      <c r="U759" s="17">
        <v>0.11</v>
      </c>
      <c r="V759">
        <v>3</v>
      </c>
      <c r="W759">
        <v>4</v>
      </c>
      <c r="X759">
        <v>1</v>
      </c>
      <c r="Y759">
        <v>16</v>
      </c>
      <c r="Z759">
        <v>2</v>
      </c>
      <c r="AA759">
        <v>2</v>
      </c>
      <c r="AB759">
        <v>15</v>
      </c>
      <c r="AC759">
        <v>1</v>
      </c>
      <c r="AD759">
        <v>0</v>
      </c>
      <c r="AE759">
        <v>9</v>
      </c>
      <c r="AF759">
        <v>0</v>
      </c>
      <c r="AG759">
        <f>IF(tbl_HR_Data[[#This Row],[Gender]]="Male",1,0)</f>
        <v>1</v>
      </c>
      <c r="AH759" cm="1">
        <f t="array" ref="AH759">_xlfn.SWITCH(tbl_HR_Data[[#This Row],[BusinessTravel]], "Non-Travel", 0, "Travel_Rarely", 1, "Travel_Frequently", 2)</f>
        <v>1</v>
      </c>
      <c r="AI759" cm="1">
        <f t="array" ref="AI759">_xlfn.SWITCH(tbl_HR_Data[[#This Row],[MaritalStatus]],"Single",0,"Married",1,"Divorced",2)</f>
        <v>2</v>
      </c>
      <c r="AJ759">
        <f>IF(tbl_HR_Data[[#This Row],[OverTime]]=1,1,0)</f>
        <v>0</v>
      </c>
      <c r="AK759">
        <f>IF(tbl_HR_Data[[#This Row],[DistanceFromHome]]&gt;15,1,0)</f>
        <v>0</v>
      </c>
      <c r="AL759">
        <f>IF(tbl_HR_Data[[#This Row],[JobSatisfaction]]&lt;=2,1,0)</f>
        <v>0</v>
      </c>
      <c r="AM759">
        <f>IF(tbl_HR_Data[[#This Row],[MonthlyIncome]]&lt;$AT$2,1,0)</f>
        <v>0</v>
      </c>
      <c r="AN759">
        <f>IF(tbl_HR_Data[[#This Row],[Travel_Code]]=2,1,0)</f>
        <v>0</v>
      </c>
      <c r="AO759">
        <f>(tbl_HR_Data[[#This Row],[Flag_OT]] * Logic_Parameters!$B$2) +
 (tbl_HR_Data[[#This Row],[Flag_Travel]] * Logic_Parameters!$B$3) +
 (tbl_HR_Data[[#This Row],[Flag_Satisfaction]] * Logic_Parameters!$B$4) +
 (tbl_HR_Data[[#This Row],[Flag_Distance]]* Logic_Parameters!$B$5) +
 (tbl_HR_Data[[#This Row],[Flag_Income]] * Logic_Parameters!$B$6)</f>
        <v>0</v>
      </c>
      <c r="AP759" s="15">
        <f>tbl_HR_Data[[#This Row],[Risk_Score_Raw]] / SUM(Logic_Parameters!$B$2:$B$6)</f>
        <v>0</v>
      </c>
      <c r="AQ759" s="16" t="str" cm="1">
        <f t="array" ref="AQ759">_xlfn.IFS(tbl_HR_Data[[#This Row],[Attrition_Risk_Percentage]] &gt;= 0.75, "Critical",tbl_HR_Data[ [#This Row],[Attrition_Risk_Percentage] ]&gt;= 0.5, "High",tbl_HR_Data[[#This Row],[Attrition_Risk_Percentage]] &gt;= 0.25, "Medium",TRUE, "Low")</f>
        <v>Low</v>
      </c>
      <c r="AR759" s="16" cm="1">
        <f t="array" ref="AR759">IFERROR(_xlfn.IFS(tbl_HR_Data[[#This Row],[Risk_Category]]="Critical",tbl_HR_Data[[#This Row],[MonthlyIncome]]*1.5,tbl_HR_Data[[#This Row],[Risk_Category]]="High",tbl_HR_Data[[#This Row],[MonthlyIncome]]*1.5),0)</f>
        <v>0</v>
      </c>
    </row>
    <row r="760" spans="1:44" x14ac:dyDescent="0.35">
      <c r="A760" t="s">
        <v>893</v>
      </c>
      <c r="B760">
        <v>59</v>
      </c>
      <c r="C760" t="s">
        <v>31</v>
      </c>
      <c r="D760">
        <v>1089</v>
      </c>
      <c r="E760" t="s">
        <v>32</v>
      </c>
      <c r="F760">
        <v>1</v>
      </c>
      <c r="G760">
        <v>2</v>
      </c>
      <c r="H760" t="s">
        <v>52</v>
      </c>
      <c r="I760">
        <v>2</v>
      </c>
      <c r="J760" t="s">
        <v>39</v>
      </c>
      <c r="K760">
        <v>66</v>
      </c>
      <c r="L760">
        <v>3</v>
      </c>
      <c r="M760">
        <v>3</v>
      </c>
      <c r="N760" t="s">
        <v>48</v>
      </c>
      <c r="O760">
        <v>4</v>
      </c>
      <c r="P760" t="s">
        <v>41</v>
      </c>
      <c r="Q760">
        <v>11904</v>
      </c>
      <c r="R760">
        <v>11038</v>
      </c>
      <c r="S760">
        <v>3</v>
      </c>
      <c r="T760">
        <v>1</v>
      </c>
      <c r="U760" s="17">
        <v>0.14000000000000001</v>
      </c>
      <c r="V760">
        <v>3</v>
      </c>
      <c r="W760">
        <v>3</v>
      </c>
      <c r="X760">
        <v>1</v>
      </c>
      <c r="Y760">
        <v>14</v>
      </c>
      <c r="Z760">
        <v>1</v>
      </c>
      <c r="AA760">
        <v>1</v>
      </c>
      <c r="AB760">
        <v>6</v>
      </c>
      <c r="AC760">
        <v>4</v>
      </c>
      <c r="AD760">
        <v>0</v>
      </c>
      <c r="AE760">
        <v>4</v>
      </c>
      <c r="AF760">
        <v>0</v>
      </c>
      <c r="AG760">
        <f>IF(tbl_HR_Data[[#This Row],[Gender]]="Male",1,0)</f>
        <v>1</v>
      </c>
      <c r="AH760" cm="1">
        <f t="array" ref="AH760">_xlfn.SWITCH(tbl_HR_Data[[#This Row],[BusinessTravel]], "Non-Travel", 0, "Travel_Rarely", 1, "Travel_Frequently", 2)</f>
        <v>1</v>
      </c>
      <c r="AI760" cm="1">
        <f t="array" ref="AI760">_xlfn.SWITCH(tbl_HR_Data[[#This Row],[MaritalStatus]],"Single",0,"Married",1,"Divorced",2)</f>
        <v>1</v>
      </c>
      <c r="AJ760">
        <f>IF(tbl_HR_Data[[#This Row],[OverTime]]=1,1,0)</f>
        <v>1</v>
      </c>
      <c r="AK760">
        <f>IF(tbl_HR_Data[[#This Row],[DistanceFromHome]]&gt;15,1,0)</f>
        <v>0</v>
      </c>
      <c r="AL760">
        <f>IF(tbl_HR_Data[[#This Row],[JobSatisfaction]]&lt;=2,1,0)</f>
        <v>0</v>
      </c>
      <c r="AM760">
        <f>IF(tbl_HR_Data[[#This Row],[MonthlyIncome]]&lt;$AT$2,1,0)</f>
        <v>0</v>
      </c>
      <c r="AN760">
        <f>IF(tbl_HR_Data[[#This Row],[Travel_Code]]=2,1,0)</f>
        <v>0</v>
      </c>
      <c r="AO760">
        <f>(tbl_HR_Data[[#This Row],[Flag_OT]] * Logic_Parameters!$B$2) +
 (tbl_HR_Data[[#This Row],[Flag_Travel]] * Logic_Parameters!$B$3) +
 (tbl_HR_Data[[#This Row],[Flag_Satisfaction]] * Logic_Parameters!$B$4) +
 (tbl_HR_Data[[#This Row],[Flag_Distance]]* Logic_Parameters!$B$5) +
 (tbl_HR_Data[[#This Row],[Flag_Income]] * Logic_Parameters!$B$6)</f>
        <v>10</v>
      </c>
      <c r="AP760" s="15">
        <f>tbl_HR_Data[[#This Row],[Risk_Score_Raw]] / SUM(Logic_Parameters!$B$2:$B$6)</f>
        <v>0.3445251318258073</v>
      </c>
      <c r="AQ760" s="16" t="str" cm="1">
        <f t="array" ref="AQ760">_xlfn.IFS(tbl_HR_Data[[#This Row],[Attrition_Risk_Percentage]] &gt;= 0.75, "Critical",tbl_HR_Data[ [#This Row],[Attrition_Risk_Percentage] ]&gt;= 0.5, "High",tbl_HR_Data[[#This Row],[Attrition_Risk_Percentage]] &gt;= 0.25, "Medium",TRUE, "Low")</f>
        <v>Medium</v>
      </c>
      <c r="AR760" s="16" cm="1">
        <f t="array" ref="AR760">IFERROR(_xlfn.IFS(tbl_HR_Data[[#This Row],[Risk_Category]]="Critical",tbl_HR_Data[[#This Row],[MonthlyIncome]]*1.5,tbl_HR_Data[[#This Row],[Risk_Category]]="High",tbl_HR_Data[[#This Row],[MonthlyIncome]]*1.5),0)</f>
        <v>0</v>
      </c>
    </row>
    <row r="761" spans="1:44" x14ac:dyDescent="0.35">
      <c r="A761" t="s">
        <v>968</v>
      </c>
      <c r="B761">
        <v>45</v>
      </c>
      <c r="C761" t="s">
        <v>31</v>
      </c>
      <c r="D761">
        <v>788</v>
      </c>
      <c r="E761" t="s">
        <v>53</v>
      </c>
      <c r="F761">
        <v>24</v>
      </c>
      <c r="G761">
        <v>4</v>
      </c>
      <c r="H761" t="s">
        <v>44</v>
      </c>
      <c r="I761">
        <v>2</v>
      </c>
      <c r="J761" t="s">
        <v>39</v>
      </c>
      <c r="K761">
        <v>36</v>
      </c>
      <c r="L761">
        <v>3</v>
      </c>
      <c r="M761">
        <v>1</v>
      </c>
      <c r="N761" t="s">
        <v>53</v>
      </c>
      <c r="O761">
        <v>2</v>
      </c>
      <c r="P761" t="s">
        <v>36</v>
      </c>
      <c r="Q761">
        <v>2177</v>
      </c>
      <c r="R761">
        <v>8318</v>
      </c>
      <c r="S761">
        <v>1</v>
      </c>
      <c r="T761">
        <v>0</v>
      </c>
      <c r="U761" s="17">
        <v>0.16</v>
      </c>
      <c r="V761">
        <v>3</v>
      </c>
      <c r="W761">
        <v>1</v>
      </c>
      <c r="X761">
        <v>0</v>
      </c>
      <c r="Y761">
        <v>6</v>
      </c>
      <c r="Z761">
        <v>3</v>
      </c>
      <c r="AA761">
        <v>3</v>
      </c>
      <c r="AB761">
        <v>6</v>
      </c>
      <c r="AC761">
        <v>3</v>
      </c>
      <c r="AD761">
        <v>0</v>
      </c>
      <c r="AE761">
        <v>4</v>
      </c>
      <c r="AF761">
        <v>0</v>
      </c>
      <c r="AG761">
        <f>IF(tbl_HR_Data[[#This Row],[Gender]]="Male",1,0)</f>
        <v>1</v>
      </c>
      <c r="AH761" cm="1">
        <f t="array" ref="AH761">_xlfn.SWITCH(tbl_HR_Data[[#This Row],[BusinessTravel]], "Non-Travel", 0, "Travel_Rarely", 1, "Travel_Frequently", 2)</f>
        <v>1</v>
      </c>
      <c r="AI761" cm="1">
        <f t="array" ref="AI761">_xlfn.SWITCH(tbl_HR_Data[[#This Row],[MaritalStatus]],"Single",0,"Married",1,"Divorced",2)</f>
        <v>0</v>
      </c>
      <c r="AJ761">
        <f>IF(tbl_HR_Data[[#This Row],[OverTime]]=1,1,0)</f>
        <v>0</v>
      </c>
      <c r="AK761">
        <f>IF(tbl_HR_Data[[#This Row],[DistanceFromHome]]&gt;15,1,0)</f>
        <v>1</v>
      </c>
      <c r="AL761">
        <f>IF(tbl_HR_Data[[#This Row],[JobSatisfaction]]&lt;=2,1,0)</f>
        <v>1</v>
      </c>
      <c r="AM761">
        <f>IF(tbl_HR_Data[[#This Row],[MonthlyIncome]]&lt;$AT$2,1,0)</f>
        <v>1</v>
      </c>
      <c r="AN761">
        <f>IF(tbl_HR_Data[[#This Row],[Travel_Code]]=2,1,0)</f>
        <v>0</v>
      </c>
      <c r="AO761">
        <f>(tbl_HR_Data[[#This Row],[Flag_OT]] * Logic_Parameters!$B$2) +
 (tbl_HR_Data[[#This Row],[Flag_Travel]] * Logic_Parameters!$B$3) +
 (tbl_HR_Data[[#This Row],[Flag_Satisfaction]] * Logic_Parameters!$B$4) +
 (tbl_HR_Data[[#This Row],[Flag_Distance]]* Logic_Parameters!$B$5) +
 (tbl_HR_Data[[#This Row],[Flag_Income]] * Logic_Parameters!$B$6)</f>
        <v>13.865068763274337</v>
      </c>
      <c r="AP761" s="15">
        <f>tbl_HR_Data[[#This Row],[Risk_Score_Raw]] / SUM(Logic_Parameters!$B$2:$B$6)</f>
        <v>0.47768646434409739</v>
      </c>
      <c r="AQ761" s="16" t="str" cm="1">
        <f t="array" ref="AQ761">_xlfn.IFS(tbl_HR_Data[[#This Row],[Attrition_Risk_Percentage]] &gt;= 0.75, "Critical",tbl_HR_Data[ [#This Row],[Attrition_Risk_Percentage] ]&gt;= 0.5, "High",tbl_HR_Data[[#This Row],[Attrition_Risk_Percentage]] &gt;= 0.25, "Medium",TRUE, "Low")</f>
        <v>Medium</v>
      </c>
      <c r="AR761" s="16" cm="1">
        <f t="array" ref="AR761">IFERROR(_xlfn.IFS(tbl_HR_Data[[#This Row],[Risk_Category]]="Critical",tbl_HR_Data[[#This Row],[MonthlyIncome]]*1.5,tbl_HR_Data[[#This Row],[Risk_Category]]="High",tbl_HR_Data[[#This Row],[MonthlyIncome]]*1.5),0)</f>
        <v>0</v>
      </c>
    </row>
    <row r="762" spans="1:44" x14ac:dyDescent="0.35">
      <c r="A762" t="s">
        <v>981</v>
      </c>
      <c r="B762">
        <v>53</v>
      </c>
      <c r="C762" t="s">
        <v>37</v>
      </c>
      <c r="D762">
        <v>124</v>
      </c>
      <c r="E762" t="s">
        <v>32</v>
      </c>
      <c r="F762">
        <v>2</v>
      </c>
      <c r="G762">
        <v>3</v>
      </c>
      <c r="H762" t="s">
        <v>51</v>
      </c>
      <c r="I762">
        <v>3</v>
      </c>
      <c r="J762" t="s">
        <v>34</v>
      </c>
      <c r="K762">
        <v>38</v>
      </c>
      <c r="L762">
        <v>2</v>
      </c>
      <c r="M762">
        <v>3</v>
      </c>
      <c r="N762" t="s">
        <v>35</v>
      </c>
      <c r="O762">
        <v>2</v>
      </c>
      <c r="P762" t="s">
        <v>41</v>
      </c>
      <c r="Q762">
        <v>7525</v>
      </c>
      <c r="R762">
        <v>23537</v>
      </c>
      <c r="S762">
        <v>2</v>
      </c>
      <c r="T762">
        <v>0</v>
      </c>
      <c r="U762" s="17">
        <v>0.12</v>
      </c>
      <c r="V762">
        <v>3</v>
      </c>
      <c r="W762">
        <v>1</v>
      </c>
      <c r="X762">
        <v>1</v>
      </c>
      <c r="Y762">
        <v>30</v>
      </c>
      <c r="Z762">
        <v>2</v>
      </c>
      <c r="AA762">
        <v>3</v>
      </c>
      <c r="AB762">
        <v>15</v>
      </c>
      <c r="AC762">
        <v>7</v>
      </c>
      <c r="AD762">
        <v>6</v>
      </c>
      <c r="AE762">
        <v>12</v>
      </c>
      <c r="AF762">
        <v>0</v>
      </c>
      <c r="AG762">
        <f>IF(tbl_HR_Data[[#This Row],[Gender]]="Male",1,0)</f>
        <v>0</v>
      </c>
      <c r="AH762" cm="1">
        <f t="array" ref="AH762">_xlfn.SWITCH(tbl_HR_Data[[#This Row],[BusinessTravel]], "Non-Travel", 0, "Travel_Rarely", 1, "Travel_Frequently", 2)</f>
        <v>2</v>
      </c>
      <c r="AI762" cm="1">
        <f t="array" ref="AI762">_xlfn.SWITCH(tbl_HR_Data[[#This Row],[MaritalStatus]],"Single",0,"Married",1,"Divorced",2)</f>
        <v>1</v>
      </c>
      <c r="AJ762">
        <f>IF(tbl_HR_Data[[#This Row],[OverTime]]=1,1,0)</f>
        <v>0</v>
      </c>
      <c r="AK762">
        <f>IF(tbl_HR_Data[[#This Row],[DistanceFromHome]]&gt;15,1,0)</f>
        <v>0</v>
      </c>
      <c r="AL762">
        <f>IF(tbl_HR_Data[[#This Row],[JobSatisfaction]]&lt;=2,1,0)</f>
        <v>1</v>
      </c>
      <c r="AM762">
        <f>IF(tbl_HR_Data[[#This Row],[MonthlyIncome]]&lt;$AT$2,1,0)</f>
        <v>0</v>
      </c>
      <c r="AN762">
        <f>IF(tbl_HR_Data[[#This Row],[Travel_Code]]=2,1,0)</f>
        <v>1</v>
      </c>
      <c r="AO762">
        <f>(tbl_HR_Data[[#This Row],[Flag_OT]] * Logic_Parameters!$B$2) +
 (tbl_HR_Data[[#This Row],[Flag_Travel]] * Logic_Parameters!$B$3) +
 (tbl_HR_Data[[#This Row],[Flag_Satisfaction]] * Logic_Parameters!$B$4) +
 (tbl_HR_Data[[#This Row],[Flag_Distance]]* Logic_Parameters!$B$5) +
 (tbl_HR_Data[[#This Row],[Flag_Income]] * Logic_Parameters!$B$6)</f>
        <v>9.3649231104683075</v>
      </c>
      <c r="AP762" s="15">
        <f>tbl_HR_Data[[#This Row],[Risk_Score_Raw]] / SUM(Logic_Parameters!$B$2:$B$6)</f>
        <v>0.32264513691726432</v>
      </c>
      <c r="AQ762" s="16" t="str" cm="1">
        <f t="array" ref="AQ762">_xlfn.IFS(tbl_HR_Data[[#This Row],[Attrition_Risk_Percentage]] &gt;= 0.75, "Critical",tbl_HR_Data[ [#This Row],[Attrition_Risk_Percentage] ]&gt;= 0.5, "High",tbl_HR_Data[[#This Row],[Attrition_Risk_Percentage]] &gt;= 0.25, "Medium",TRUE, "Low")</f>
        <v>Medium</v>
      </c>
      <c r="AR762" s="16" cm="1">
        <f t="array" ref="AR762">IFERROR(_xlfn.IFS(tbl_HR_Data[[#This Row],[Risk_Category]]="Critical",tbl_HR_Data[[#This Row],[MonthlyIncome]]*1.5,tbl_HR_Data[[#This Row],[Risk_Category]]="High",tbl_HR_Data[[#This Row],[MonthlyIncome]]*1.5),0)</f>
        <v>0</v>
      </c>
    </row>
    <row r="763" spans="1:44" x14ac:dyDescent="0.35">
      <c r="A763" t="s">
        <v>1346</v>
      </c>
      <c r="B763">
        <v>36</v>
      </c>
      <c r="C763" t="s">
        <v>31</v>
      </c>
      <c r="D763">
        <v>660</v>
      </c>
      <c r="E763" t="s">
        <v>38</v>
      </c>
      <c r="F763">
        <v>15</v>
      </c>
      <c r="G763">
        <v>3</v>
      </c>
      <c r="H763" t="s">
        <v>42</v>
      </c>
      <c r="I763">
        <v>1</v>
      </c>
      <c r="J763" t="s">
        <v>39</v>
      </c>
      <c r="K763">
        <v>81</v>
      </c>
      <c r="L763">
        <v>3</v>
      </c>
      <c r="M763">
        <v>2</v>
      </c>
      <c r="N763" t="s">
        <v>43</v>
      </c>
      <c r="O763">
        <v>3</v>
      </c>
      <c r="P763" t="s">
        <v>45</v>
      </c>
      <c r="Q763">
        <v>4834</v>
      </c>
      <c r="R763">
        <v>7858</v>
      </c>
      <c r="S763">
        <v>7</v>
      </c>
      <c r="T763">
        <v>0</v>
      </c>
      <c r="U763" s="17">
        <v>0.14000000000000001</v>
      </c>
      <c r="V763">
        <v>3</v>
      </c>
      <c r="W763">
        <v>2</v>
      </c>
      <c r="X763">
        <v>1</v>
      </c>
      <c r="Y763">
        <v>9</v>
      </c>
      <c r="Z763">
        <v>3</v>
      </c>
      <c r="AA763">
        <v>2</v>
      </c>
      <c r="AB763">
        <v>1</v>
      </c>
      <c r="AC763">
        <v>0</v>
      </c>
      <c r="AD763">
        <v>0</v>
      </c>
      <c r="AE763">
        <v>0</v>
      </c>
      <c r="AF763">
        <v>1</v>
      </c>
      <c r="AG763">
        <f>IF(tbl_HR_Data[[#This Row],[Gender]]="Male",1,0)</f>
        <v>1</v>
      </c>
      <c r="AH763" cm="1">
        <f t="array" ref="AH763">_xlfn.SWITCH(tbl_HR_Data[[#This Row],[BusinessTravel]], "Non-Travel", 0, "Travel_Rarely", 1, "Travel_Frequently", 2)</f>
        <v>1</v>
      </c>
      <c r="AI763" cm="1">
        <f t="array" ref="AI763">_xlfn.SWITCH(tbl_HR_Data[[#This Row],[MaritalStatus]],"Single",0,"Married",1,"Divorced",2)</f>
        <v>2</v>
      </c>
      <c r="AJ763">
        <f>IF(tbl_HR_Data[[#This Row],[OverTime]]=1,1,0)</f>
        <v>0</v>
      </c>
      <c r="AK763">
        <f>IF(tbl_HR_Data[[#This Row],[DistanceFromHome]]&gt;15,1,0)</f>
        <v>0</v>
      </c>
      <c r="AL763">
        <f>IF(tbl_HR_Data[[#This Row],[JobSatisfaction]]&lt;=2,1,0)</f>
        <v>0</v>
      </c>
      <c r="AM763">
        <f>IF(tbl_HR_Data[[#This Row],[MonthlyIncome]]&lt;$AT$2,1,0)</f>
        <v>1</v>
      </c>
      <c r="AN763">
        <f>IF(tbl_HR_Data[[#This Row],[Travel_Code]]=2,1,0)</f>
        <v>0</v>
      </c>
      <c r="AO763">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763" s="15">
        <f>tbl_HR_Data[[#This Row],[Risk_Score_Raw]] / SUM(Logic_Parameters!$B$2:$B$6)</f>
        <v>0.22374939857982484</v>
      </c>
      <c r="AQ763" s="16" t="str" cm="1">
        <f t="array" ref="AQ763">_xlfn.IFS(tbl_HR_Data[[#This Row],[Attrition_Risk_Percentage]] &gt;= 0.75, "Critical",tbl_HR_Data[ [#This Row],[Attrition_Risk_Percentage] ]&gt;= 0.5, "High",tbl_HR_Data[[#This Row],[Attrition_Risk_Percentage]] &gt;= 0.25, "Medium",TRUE, "Low")</f>
        <v>Low</v>
      </c>
      <c r="AR763" s="16" cm="1">
        <f t="array" ref="AR763">IFERROR(_xlfn.IFS(tbl_HR_Data[[#This Row],[Risk_Category]]="Critical",tbl_HR_Data[[#This Row],[MonthlyIncome]]*1.5,tbl_HR_Data[[#This Row],[Risk_Category]]="High",tbl_HR_Data[[#This Row],[MonthlyIncome]]*1.5),0)</f>
        <v>0</v>
      </c>
    </row>
    <row r="764" spans="1:44" x14ac:dyDescent="0.35">
      <c r="A764" t="s">
        <v>703</v>
      </c>
      <c r="B764">
        <v>26</v>
      </c>
      <c r="C764" t="s">
        <v>37</v>
      </c>
      <c r="D764">
        <v>342</v>
      </c>
      <c r="E764" t="s">
        <v>38</v>
      </c>
      <c r="F764">
        <v>2</v>
      </c>
      <c r="G764">
        <v>3</v>
      </c>
      <c r="H764" t="s">
        <v>33</v>
      </c>
      <c r="I764">
        <v>1</v>
      </c>
      <c r="J764" t="s">
        <v>39</v>
      </c>
      <c r="K764">
        <v>57</v>
      </c>
      <c r="L764">
        <v>3</v>
      </c>
      <c r="M764">
        <v>1</v>
      </c>
      <c r="N764" t="s">
        <v>40</v>
      </c>
      <c r="O764">
        <v>1</v>
      </c>
      <c r="P764" t="s">
        <v>41</v>
      </c>
      <c r="Q764">
        <v>2042</v>
      </c>
      <c r="R764">
        <v>15346</v>
      </c>
      <c r="S764">
        <v>6</v>
      </c>
      <c r="T764">
        <v>1</v>
      </c>
      <c r="U764" s="17">
        <v>0.14000000000000001</v>
      </c>
      <c r="V764">
        <v>3</v>
      </c>
      <c r="W764">
        <v>2</v>
      </c>
      <c r="X764">
        <v>1</v>
      </c>
      <c r="Y764">
        <v>6</v>
      </c>
      <c r="Z764">
        <v>2</v>
      </c>
      <c r="AA764">
        <v>3</v>
      </c>
      <c r="AB764">
        <v>3</v>
      </c>
      <c r="AC764">
        <v>2</v>
      </c>
      <c r="AD764">
        <v>1</v>
      </c>
      <c r="AE764">
        <v>2</v>
      </c>
      <c r="AF764">
        <v>1</v>
      </c>
      <c r="AG764">
        <f>IF(tbl_HR_Data[[#This Row],[Gender]]="Male",1,0)</f>
        <v>1</v>
      </c>
      <c r="AH764" cm="1">
        <f t="array" ref="AH764">_xlfn.SWITCH(tbl_HR_Data[[#This Row],[BusinessTravel]], "Non-Travel", 0, "Travel_Rarely", 1, "Travel_Frequently", 2)</f>
        <v>2</v>
      </c>
      <c r="AI764" cm="1">
        <f t="array" ref="AI764">_xlfn.SWITCH(tbl_HR_Data[[#This Row],[MaritalStatus]],"Single",0,"Married",1,"Divorced",2)</f>
        <v>1</v>
      </c>
      <c r="AJ764">
        <f>IF(tbl_HR_Data[[#This Row],[OverTime]]=1,1,0)</f>
        <v>1</v>
      </c>
      <c r="AK764">
        <f>IF(tbl_HR_Data[[#This Row],[DistanceFromHome]]&gt;15,1,0)</f>
        <v>0</v>
      </c>
      <c r="AL764">
        <f>IF(tbl_HR_Data[[#This Row],[JobSatisfaction]]&lt;=2,1,0)</f>
        <v>1</v>
      </c>
      <c r="AM764">
        <f>IF(tbl_HR_Data[[#This Row],[MonthlyIncome]]&lt;$AT$2,1,0)</f>
        <v>1</v>
      </c>
      <c r="AN764">
        <f>IF(tbl_HR_Data[[#This Row],[Travel_Code]]=2,1,0)</f>
        <v>1</v>
      </c>
      <c r="AO764">
        <f>(tbl_HR_Data[[#This Row],[Flag_OT]] * Logic_Parameters!$B$2) +
 (tbl_HR_Data[[#This Row],[Flag_Travel]] * Logic_Parameters!$B$3) +
 (tbl_HR_Data[[#This Row],[Flag_Satisfaction]] * Logic_Parameters!$B$4) +
 (tbl_HR_Data[[#This Row],[Flag_Distance]]* Logic_Parameters!$B$5) +
 (tbl_HR_Data[[#This Row],[Flag_Income]] * Logic_Parameters!$B$6)</f>
        <v>25.859352047889136</v>
      </c>
      <c r="AP764" s="15">
        <f>tbl_HR_Data[[#This Row],[Risk_Score_Raw]] / SUM(Logic_Parameters!$B$2:$B$6)</f>
        <v>0.8909196673228964</v>
      </c>
      <c r="AQ764" s="16" t="str" cm="1">
        <f t="array" ref="AQ764">_xlfn.IFS(tbl_HR_Data[[#This Row],[Attrition_Risk_Percentage]] &gt;= 0.75, "Critical",tbl_HR_Data[ [#This Row],[Attrition_Risk_Percentage] ]&gt;= 0.5, "High",tbl_HR_Data[[#This Row],[Attrition_Risk_Percentage]] &gt;= 0.25, "Medium",TRUE, "Low")</f>
        <v>Critical</v>
      </c>
      <c r="AR764" s="16" cm="1">
        <f t="array" ref="AR764">IFERROR(_xlfn.IFS(tbl_HR_Data[[#This Row],[Risk_Category]]="Critical",tbl_HR_Data[[#This Row],[MonthlyIncome]]*1.5,tbl_HR_Data[[#This Row],[Risk_Category]]="High",tbl_HR_Data[[#This Row],[MonthlyIncome]]*1.5),0)</f>
        <v>3063</v>
      </c>
    </row>
    <row r="765" spans="1:44" x14ac:dyDescent="0.35">
      <c r="A765" t="s">
        <v>1510</v>
      </c>
      <c r="B765">
        <v>34</v>
      </c>
      <c r="C765" t="s">
        <v>31</v>
      </c>
      <c r="D765">
        <v>1333</v>
      </c>
      <c r="E765" t="s">
        <v>32</v>
      </c>
      <c r="F765">
        <v>10</v>
      </c>
      <c r="G765">
        <v>4</v>
      </c>
      <c r="H765" t="s">
        <v>33</v>
      </c>
      <c r="I765">
        <v>3</v>
      </c>
      <c r="J765" t="s">
        <v>34</v>
      </c>
      <c r="K765">
        <v>87</v>
      </c>
      <c r="L765">
        <v>3</v>
      </c>
      <c r="M765">
        <v>1</v>
      </c>
      <c r="N765" t="s">
        <v>49</v>
      </c>
      <c r="O765">
        <v>3</v>
      </c>
      <c r="P765" t="s">
        <v>41</v>
      </c>
      <c r="Q765">
        <v>2220</v>
      </c>
      <c r="R765">
        <v>18410</v>
      </c>
      <c r="S765">
        <v>1</v>
      </c>
      <c r="T765">
        <v>1</v>
      </c>
      <c r="U765" s="17">
        <v>0.19</v>
      </c>
      <c r="V765">
        <v>3</v>
      </c>
      <c r="W765">
        <v>4</v>
      </c>
      <c r="X765">
        <v>1</v>
      </c>
      <c r="Y765">
        <v>1</v>
      </c>
      <c r="Z765">
        <v>2</v>
      </c>
      <c r="AA765">
        <v>3</v>
      </c>
      <c r="AB765">
        <v>1</v>
      </c>
      <c r="AC765">
        <v>1</v>
      </c>
      <c r="AD765">
        <v>0</v>
      </c>
      <c r="AE765">
        <v>0</v>
      </c>
      <c r="AF765">
        <v>0</v>
      </c>
      <c r="AG765">
        <f>IF(tbl_HR_Data[[#This Row],[Gender]]="Male",1,0)</f>
        <v>0</v>
      </c>
      <c r="AH765" cm="1">
        <f t="array" ref="AH765">_xlfn.SWITCH(tbl_HR_Data[[#This Row],[BusinessTravel]], "Non-Travel", 0, "Travel_Rarely", 1, "Travel_Frequently", 2)</f>
        <v>1</v>
      </c>
      <c r="AI765" cm="1">
        <f t="array" ref="AI765">_xlfn.SWITCH(tbl_HR_Data[[#This Row],[MaritalStatus]],"Single",0,"Married",1,"Divorced",2)</f>
        <v>1</v>
      </c>
      <c r="AJ765">
        <f>IF(tbl_HR_Data[[#This Row],[OverTime]]=1,1,0)</f>
        <v>1</v>
      </c>
      <c r="AK765">
        <f>IF(tbl_HR_Data[[#This Row],[DistanceFromHome]]&gt;15,1,0)</f>
        <v>0</v>
      </c>
      <c r="AL765">
        <f>IF(tbl_HR_Data[[#This Row],[JobSatisfaction]]&lt;=2,1,0)</f>
        <v>0</v>
      </c>
      <c r="AM765">
        <f>IF(tbl_HR_Data[[#This Row],[MonthlyIncome]]&lt;$AT$2,1,0)</f>
        <v>1</v>
      </c>
      <c r="AN765">
        <f>IF(tbl_HR_Data[[#This Row],[Travel_Code]]=2,1,0)</f>
        <v>0</v>
      </c>
      <c r="AO765">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765" s="15">
        <f>tbl_HR_Data[[#This Row],[Risk_Score_Raw]] / SUM(Logic_Parameters!$B$2:$B$6)</f>
        <v>0.56827453040563214</v>
      </c>
      <c r="AQ765" s="16" t="str" cm="1">
        <f t="array" ref="AQ765">_xlfn.IFS(tbl_HR_Data[[#This Row],[Attrition_Risk_Percentage]] &gt;= 0.75, "Critical",tbl_HR_Data[ [#This Row],[Attrition_Risk_Percentage] ]&gt;= 0.5, "High",tbl_HR_Data[[#This Row],[Attrition_Risk_Percentage]] &gt;= 0.25, "Medium",TRUE, "Low")</f>
        <v>High</v>
      </c>
      <c r="AR765" s="16" cm="1">
        <f t="array" ref="AR765">IFERROR(_xlfn.IFS(tbl_HR_Data[[#This Row],[Risk_Category]]="Critical",tbl_HR_Data[[#This Row],[MonthlyIncome]]*1.5,tbl_HR_Data[[#This Row],[Risk_Category]]="High",tbl_HR_Data[[#This Row],[MonthlyIncome]]*1.5),0)</f>
        <v>3330</v>
      </c>
    </row>
    <row r="766" spans="1:44" x14ac:dyDescent="0.35">
      <c r="A766" t="s">
        <v>1125</v>
      </c>
      <c r="B766">
        <v>28</v>
      </c>
      <c r="C766" t="s">
        <v>31</v>
      </c>
      <c r="D766">
        <v>1144</v>
      </c>
      <c r="E766" t="s">
        <v>32</v>
      </c>
      <c r="F766">
        <v>10</v>
      </c>
      <c r="G766">
        <v>1</v>
      </c>
      <c r="H766" t="s">
        <v>44</v>
      </c>
      <c r="I766">
        <v>4</v>
      </c>
      <c r="J766" t="s">
        <v>39</v>
      </c>
      <c r="K766">
        <v>74</v>
      </c>
      <c r="L766">
        <v>3</v>
      </c>
      <c r="M766">
        <v>1</v>
      </c>
      <c r="N766" t="s">
        <v>49</v>
      </c>
      <c r="O766">
        <v>2</v>
      </c>
      <c r="P766" t="s">
        <v>41</v>
      </c>
      <c r="Q766">
        <v>1052</v>
      </c>
      <c r="R766">
        <v>23384</v>
      </c>
      <c r="S766">
        <v>1</v>
      </c>
      <c r="T766">
        <v>0</v>
      </c>
      <c r="U766" s="17">
        <v>0.22</v>
      </c>
      <c r="V766">
        <v>4</v>
      </c>
      <c r="W766">
        <v>2</v>
      </c>
      <c r="X766">
        <v>0</v>
      </c>
      <c r="Y766">
        <v>1</v>
      </c>
      <c r="Z766">
        <v>5</v>
      </c>
      <c r="AA766">
        <v>3</v>
      </c>
      <c r="AB766">
        <v>1</v>
      </c>
      <c r="AC766">
        <v>0</v>
      </c>
      <c r="AD766">
        <v>0</v>
      </c>
      <c r="AE766">
        <v>0</v>
      </c>
      <c r="AF766">
        <v>0</v>
      </c>
      <c r="AG766">
        <f>IF(tbl_HR_Data[[#This Row],[Gender]]="Male",1,0)</f>
        <v>1</v>
      </c>
      <c r="AH766" cm="1">
        <f t="array" ref="AH766">_xlfn.SWITCH(tbl_HR_Data[[#This Row],[BusinessTravel]], "Non-Travel", 0, "Travel_Rarely", 1, "Travel_Frequently", 2)</f>
        <v>1</v>
      </c>
      <c r="AI766" cm="1">
        <f t="array" ref="AI766">_xlfn.SWITCH(tbl_HR_Data[[#This Row],[MaritalStatus]],"Single",0,"Married",1,"Divorced",2)</f>
        <v>1</v>
      </c>
      <c r="AJ766">
        <f>IF(tbl_HR_Data[[#This Row],[OverTime]]=1,1,0)</f>
        <v>0</v>
      </c>
      <c r="AK766">
        <f>IF(tbl_HR_Data[[#This Row],[DistanceFromHome]]&gt;15,1,0)</f>
        <v>0</v>
      </c>
      <c r="AL766">
        <f>IF(tbl_HR_Data[[#This Row],[JobSatisfaction]]&lt;=2,1,0)</f>
        <v>1</v>
      </c>
      <c r="AM766">
        <f>IF(tbl_HR_Data[[#This Row],[MonthlyIncome]]&lt;$AT$2,1,0)</f>
        <v>1</v>
      </c>
      <c r="AN766">
        <f>IF(tbl_HR_Data[[#This Row],[Travel_Code]]=2,1,0)</f>
        <v>0</v>
      </c>
      <c r="AO766">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766" s="15">
        <f>tbl_HR_Data[[#This Row],[Risk_Score_Raw]] / SUM(Logic_Parameters!$B$2:$B$6)</f>
        <v>0.3686061316669938</v>
      </c>
      <c r="AQ766" s="16" t="str" cm="1">
        <f t="array" ref="AQ766">_xlfn.IFS(tbl_HR_Data[[#This Row],[Attrition_Risk_Percentage]] &gt;= 0.75, "Critical",tbl_HR_Data[ [#This Row],[Attrition_Risk_Percentage] ]&gt;= 0.5, "High",tbl_HR_Data[[#This Row],[Attrition_Risk_Percentage]] &gt;= 0.25, "Medium",TRUE, "Low")</f>
        <v>Medium</v>
      </c>
      <c r="AR766" s="16" cm="1">
        <f t="array" ref="AR766">IFERROR(_xlfn.IFS(tbl_HR_Data[[#This Row],[Risk_Category]]="Critical",tbl_HR_Data[[#This Row],[MonthlyIncome]]*1.5,tbl_HR_Data[[#This Row],[Risk_Category]]="High",tbl_HR_Data[[#This Row],[MonthlyIncome]]*1.5),0)</f>
        <v>0</v>
      </c>
    </row>
    <row r="767" spans="1:44" x14ac:dyDescent="0.35">
      <c r="A767" t="s">
        <v>1489</v>
      </c>
      <c r="B767">
        <v>38</v>
      </c>
      <c r="C767" t="s">
        <v>37</v>
      </c>
      <c r="D767">
        <v>1186</v>
      </c>
      <c r="E767" t="s">
        <v>38</v>
      </c>
      <c r="F767">
        <v>3</v>
      </c>
      <c r="G767">
        <v>4</v>
      </c>
      <c r="H767" t="s">
        <v>42</v>
      </c>
      <c r="I767">
        <v>3</v>
      </c>
      <c r="J767" t="s">
        <v>39</v>
      </c>
      <c r="K767">
        <v>44</v>
      </c>
      <c r="L767">
        <v>3</v>
      </c>
      <c r="M767">
        <v>1</v>
      </c>
      <c r="N767" t="s">
        <v>40</v>
      </c>
      <c r="O767">
        <v>3</v>
      </c>
      <c r="P767" t="s">
        <v>41</v>
      </c>
      <c r="Q767">
        <v>2821</v>
      </c>
      <c r="R767">
        <v>2997</v>
      </c>
      <c r="S767">
        <v>3</v>
      </c>
      <c r="T767">
        <v>0</v>
      </c>
      <c r="U767" s="17">
        <v>0.16</v>
      </c>
      <c r="V767">
        <v>3</v>
      </c>
      <c r="W767">
        <v>1</v>
      </c>
      <c r="X767">
        <v>1</v>
      </c>
      <c r="Y767">
        <v>8</v>
      </c>
      <c r="Z767">
        <v>2</v>
      </c>
      <c r="AA767">
        <v>3</v>
      </c>
      <c r="AB767">
        <v>2</v>
      </c>
      <c r="AC767">
        <v>2</v>
      </c>
      <c r="AD767">
        <v>2</v>
      </c>
      <c r="AE767">
        <v>2</v>
      </c>
      <c r="AF767">
        <v>0</v>
      </c>
      <c r="AG767">
        <f>IF(tbl_HR_Data[[#This Row],[Gender]]="Male",1,0)</f>
        <v>1</v>
      </c>
      <c r="AH767" cm="1">
        <f t="array" ref="AH767">_xlfn.SWITCH(tbl_HR_Data[[#This Row],[BusinessTravel]], "Non-Travel", 0, "Travel_Rarely", 1, "Travel_Frequently", 2)</f>
        <v>2</v>
      </c>
      <c r="AI767" cm="1">
        <f t="array" ref="AI767">_xlfn.SWITCH(tbl_HR_Data[[#This Row],[MaritalStatus]],"Single",0,"Married",1,"Divorced",2)</f>
        <v>1</v>
      </c>
      <c r="AJ767">
        <f>IF(tbl_HR_Data[[#This Row],[OverTime]]=1,1,0)</f>
        <v>0</v>
      </c>
      <c r="AK767">
        <f>IF(tbl_HR_Data[[#This Row],[DistanceFromHome]]&gt;15,1,0)</f>
        <v>0</v>
      </c>
      <c r="AL767">
        <f>IF(tbl_HR_Data[[#This Row],[JobSatisfaction]]&lt;=2,1,0)</f>
        <v>0</v>
      </c>
      <c r="AM767">
        <f>IF(tbl_HR_Data[[#This Row],[MonthlyIncome]]&lt;$AT$2,1,0)</f>
        <v>1</v>
      </c>
      <c r="AN767">
        <f>IF(tbl_HR_Data[[#This Row],[Travel_Code]]=2,1,0)</f>
        <v>1</v>
      </c>
      <c r="AO767">
        <f>(tbl_HR_Data[[#This Row],[Flag_OT]] * Logic_Parameters!$B$2) +
 (tbl_HR_Data[[#This Row],[Flag_Travel]] * Logic_Parameters!$B$3) +
 (tbl_HR_Data[[#This Row],[Flag_Satisfaction]] * Logic_Parameters!$B$4) +
 (tbl_HR_Data[[#This Row],[Flag_Distance]]* Logic_Parameters!$B$5) +
 (tbl_HR_Data[[#This Row],[Flag_Income]] * Logic_Parameters!$B$6)</f>
        <v>11.654818917911005</v>
      </c>
      <c r="AP767" s="15">
        <f>tbl_HR_Data[[#This Row],[Risk_Score_Raw]] / SUM(Logic_Parameters!$B$2:$B$6)</f>
        <v>0.40153780240992015</v>
      </c>
      <c r="AQ767" s="16" t="str" cm="1">
        <f t="array" ref="AQ767">_xlfn.IFS(tbl_HR_Data[[#This Row],[Attrition_Risk_Percentage]] &gt;= 0.75, "Critical",tbl_HR_Data[ [#This Row],[Attrition_Risk_Percentage] ]&gt;= 0.5, "High",tbl_HR_Data[[#This Row],[Attrition_Risk_Percentage]] &gt;= 0.25, "Medium",TRUE, "Low")</f>
        <v>Medium</v>
      </c>
      <c r="AR767" s="16" cm="1">
        <f t="array" ref="AR767">IFERROR(_xlfn.IFS(tbl_HR_Data[[#This Row],[Risk_Category]]="Critical",tbl_HR_Data[[#This Row],[MonthlyIncome]]*1.5,tbl_HR_Data[[#This Row],[Risk_Category]]="High",tbl_HR_Data[[#This Row],[MonthlyIncome]]*1.5),0)</f>
        <v>0</v>
      </c>
    </row>
    <row r="768" spans="1:44" x14ac:dyDescent="0.35">
      <c r="A768" t="s">
        <v>1395</v>
      </c>
      <c r="B768">
        <v>50</v>
      </c>
      <c r="C768" t="s">
        <v>31</v>
      </c>
      <c r="D768">
        <v>1464</v>
      </c>
      <c r="E768" t="s">
        <v>38</v>
      </c>
      <c r="F768">
        <v>2</v>
      </c>
      <c r="G768">
        <v>4</v>
      </c>
      <c r="H768" t="s">
        <v>44</v>
      </c>
      <c r="I768">
        <v>2</v>
      </c>
      <c r="J768" t="s">
        <v>39</v>
      </c>
      <c r="K768">
        <v>62</v>
      </c>
      <c r="L768">
        <v>3</v>
      </c>
      <c r="M768">
        <v>5</v>
      </c>
      <c r="N768" t="s">
        <v>50</v>
      </c>
      <c r="O768">
        <v>3</v>
      </c>
      <c r="P768" t="s">
        <v>41</v>
      </c>
      <c r="Q768">
        <v>19237</v>
      </c>
      <c r="R768">
        <v>12853</v>
      </c>
      <c r="S768">
        <v>2</v>
      </c>
      <c r="T768">
        <v>1</v>
      </c>
      <c r="U768" s="17">
        <v>0.11</v>
      </c>
      <c r="V768">
        <v>3</v>
      </c>
      <c r="W768">
        <v>4</v>
      </c>
      <c r="X768">
        <v>1</v>
      </c>
      <c r="Y768">
        <v>29</v>
      </c>
      <c r="Z768">
        <v>2</v>
      </c>
      <c r="AA768">
        <v>2</v>
      </c>
      <c r="AB768">
        <v>8</v>
      </c>
      <c r="AC768">
        <v>1</v>
      </c>
      <c r="AD768">
        <v>7</v>
      </c>
      <c r="AE768">
        <v>7</v>
      </c>
      <c r="AF768">
        <v>0</v>
      </c>
      <c r="AG768">
        <f>IF(tbl_HR_Data[[#This Row],[Gender]]="Male",1,0)</f>
        <v>1</v>
      </c>
      <c r="AH768" cm="1">
        <f t="array" ref="AH768">_xlfn.SWITCH(tbl_HR_Data[[#This Row],[BusinessTravel]], "Non-Travel", 0, "Travel_Rarely", 1, "Travel_Frequently", 2)</f>
        <v>1</v>
      </c>
      <c r="AI768" cm="1">
        <f t="array" ref="AI768">_xlfn.SWITCH(tbl_HR_Data[[#This Row],[MaritalStatus]],"Single",0,"Married",1,"Divorced",2)</f>
        <v>1</v>
      </c>
      <c r="AJ768">
        <f>IF(tbl_HR_Data[[#This Row],[OverTime]]=1,1,0)</f>
        <v>1</v>
      </c>
      <c r="AK768">
        <f>IF(tbl_HR_Data[[#This Row],[DistanceFromHome]]&gt;15,1,0)</f>
        <v>0</v>
      </c>
      <c r="AL768">
        <f>IF(tbl_HR_Data[[#This Row],[JobSatisfaction]]&lt;=2,1,0)</f>
        <v>0</v>
      </c>
      <c r="AM768">
        <f>IF(tbl_HR_Data[[#This Row],[MonthlyIncome]]&lt;$AT$2,1,0)</f>
        <v>0</v>
      </c>
      <c r="AN768">
        <f>IF(tbl_HR_Data[[#This Row],[Travel_Code]]=2,1,0)</f>
        <v>0</v>
      </c>
      <c r="AO768">
        <f>(tbl_HR_Data[[#This Row],[Flag_OT]] * Logic_Parameters!$B$2) +
 (tbl_HR_Data[[#This Row],[Flag_Travel]] * Logic_Parameters!$B$3) +
 (tbl_HR_Data[[#This Row],[Flag_Satisfaction]] * Logic_Parameters!$B$4) +
 (tbl_HR_Data[[#This Row],[Flag_Distance]]* Logic_Parameters!$B$5) +
 (tbl_HR_Data[[#This Row],[Flag_Income]] * Logic_Parameters!$B$6)</f>
        <v>10</v>
      </c>
      <c r="AP768" s="15">
        <f>tbl_HR_Data[[#This Row],[Risk_Score_Raw]] / SUM(Logic_Parameters!$B$2:$B$6)</f>
        <v>0.3445251318258073</v>
      </c>
      <c r="AQ768" s="16" t="str" cm="1">
        <f t="array" ref="AQ768">_xlfn.IFS(tbl_HR_Data[[#This Row],[Attrition_Risk_Percentage]] &gt;= 0.75, "Critical",tbl_HR_Data[ [#This Row],[Attrition_Risk_Percentage] ]&gt;= 0.5, "High",tbl_HR_Data[[#This Row],[Attrition_Risk_Percentage]] &gt;= 0.25, "Medium",TRUE, "Low")</f>
        <v>Medium</v>
      </c>
      <c r="AR768" s="16" cm="1">
        <f t="array" ref="AR768">IFERROR(_xlfn.IFS(tbl_HR_Data[[#This Row],[Risk_Category]]="Critical",tbl_HR_Data[[#This Row],[MonthlyIncome]]*1.5,tbl_HR_Data[[#This Row],[Risk_Category]]="High",tbl_HR_Data[[#This Row],[MonthlyIncome]]*1.5),0)</f>
        <v>0</v>
      </c>
    </row>
    <row r="769" spans="1:44" x14ac:dyDescent="0.35">
      <c r="A769" t="s">
        <v>165</v>
      </c>
      <c r="B769">
        <v>37</v>
      </c>
      <c r="C769" t="s">
        <v>31</v>
      </c>
      <c r="D769">
        <v>124</v>
      </c>
      <c r="E769" t="s">
        <v>38</v>
      </c>
      <c r="F769">
        <v>3</v>
      </c>
      <c r="G769">
        <v>3</v>
      </c>
      <c r="H769" t="s">
        <v>42</v>
      </c>
      <c r="I769">
        <v>4</v>
      </c>
      <c r="J769" t="s">
        <v>34</v>
      </c>
      <c r="K769">
        <v>35</v>
      </c>
      <c r="L769">
        <v>3</v>
      </c>
      <c r="M769">
        <v>2</v>
      </c>
      <c r="N769" t="s">
        <v>47</v>
      </c>
      <c r="O769">
        <v>2</v>
      </c>
      <c r="P769" t="s">
        <v>36</v>
      </c>
      <c r="Q769">
        <v>4107</v>
      </c>
      <c r="R769">
        <v>13848</v>
      </c>
      <c r="S769">
        <v>3</v>
      </c>
      <c r="T769">
        <v>0</v>
      </c>
      <c r="U769" s="17">
        <v>0.15</v>
      </c>
      <c r="V769">
        <v>3</v>
      </c>
      <c r="W769">
        <v>1</v>
      </c>
      <c r="X769">
        <v>0</v>
      </c>
      <c r="Y769">
        <v>8</v>
      </c>
      <c r="Z769">
        <v>3</v>
      </c>
      <c r="AA769">
        <v>2</v>
      </c>
      <c r="AB769">
        <v>4</v>
      </c>
      <c r="AC769">
        <v>3</v>
      </c>
      <c r="AD769">
        <v>0</v>
      </c>
      <c r="AE769">
        <v>1</v>
      </c>
      <c r="AF769">
        <v>0</v>
      </c>
      <c r="AG769">
        <f>IF(tbl_HR_Data[[#This Row],[Gender]]="Male",1,0)</f>
        <v>0</v>
      </c>
      <c r="AH769" cm="1">
        <f t="array" ref="AH769">_xlfn.SWITCH(tbl_HR_Data[[#This Row],[BusinessTravel]], "Non-Travel", 0, "Travel_Rarely", 1, "Travel_Frequently", 2)</f>
        <v>1</v>
      </c>
      <c r="AI769" cm="1">
        <f t="array" ref="AI769">_xlfn.SWITCH(tbl_HR_Data[[#This Row],[MaritalStatus]],"Single",0,"Married",1,"Divorced",2)</f>
        <v>0</v>
      </c>
      <c r="AJ769">
        <f>IF(tbl_HR_Data[[#This Row],[OverTime]]=1,1,0)</f>
        <v>0</v>
      </c>
      <c r="AK769">
        <f>IF(tbl_HR_Data[[#This Row],[DistanceFromHome]]&gt;15,1,0)</f>
        <v>0</v>
      </c>
      <c r="AL769">
        <f>IF(tbl_HR_Data[[#This Row],[JobSatisfaction]]&lt;=2,1,0)</f>
        <v>1</v>
      </c>
      <c r="AM769">
        <f>IF(tbl_HR_Data[[#This Row],[MonthlyIncome]]&lt;$AT$2,1,0)</f>
        <v>1</v>
      </c>
      <c r="AN769">
        <f>IF(tbl_HR_Data[[#This Row],[Travel_Code]]=2,1,0)</f>
        <v>0</v>
      </c>
      <c r="AO769">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769" s="15">
        <f>tbl_HR_Data[[#This Row],[Risk_Score_Raw]] / SUM(Logic_Parameters!$B$2:$B$6)</f>
        <v>0.3686061316669938</v>
      </c>
      <c r="AQ769" s="16" t="str" cm="1">
        <f t="array" ref="AQ769">_xlfn.IFS(tbl_HR_Data[[#This Row],[Attrition_Risk_Percentage]] &gt;= 0.75, "Critical",tbl_HR_Data[ [#This Row],[Attrition_Risk_Percentage] ]&gt;= 0.5, "High",tbl_HR_Data[[#This Row],[Attrition_Risk_Percentage]] &gt;= 0.25, "Medium",TRUE, "Low")</f>
        <v>Medium</v>
      </c>
      <c r="AR769" s="16" cm="1">
        <f t="array" ref="AR769">IFERROR(_xlfn.IFS(tbl_HR_Data[[#This Row],[Risk_Category]]="Critical",tbl_HR_Data[[#This Row],[MonthlyIncome]]*1.5,tbl_HR_Data[[#This Row],[Risk_Category]]="High",tbl_HR_Data[[#This Row],[MonthlyIncome]]*1.5),0)</f>
        <v>0</v>
      </c>
    </row>
    <row r="770" spans="1:44" x14ac:dyDescent="0.35">
      <c r="A770" t="s">
        <v>1093</v>
      </c>
      <c r="B770">
        <v>40</v>
      </c>
      <c r="C770" t="s">
        <v>31</v>
      </c>
      <c r="D770">
        <v>300</v>
      </c>
      <c r="E770" t="s">
        <v>32</v>
      </c>
      <c r="F770">
        <v>26</v>
      </c>
      <c r="G770">
        <v>3</v>
      </c>
      <c r="H770" t="s">
        <v>51</v>
      </c>
      <c r="I770">
        <v>3</v>
      </c>
      <c r="J770" t="s">
        <v>39</v>
      </c>
      <c r="K770">
        <v>74</v>
      </c>
      <c r="L770">
        <v>3</v>
      </c>
      <c r="M770">
        <v>2</v>
      </c>
      <c r="N770" t="s">
        <v>35</v>
      </c>
      <c r="O770">
        <v>1</v>
      </c>
      <c r="P770" t="s">
        <v>41</v>
      </c>
      <c r="Q770">
        <v>8396</v>
      </c>
      <c r="R770">
        <v>22217</v>
      </c>
      <c r="S770">
        <v>1</v>
      </c>
      <c r="T770">
        <v>0</v>
      </c>
      <c r="U770" s="17">
        <v>0.14000000000000001</v>
      </c>
      <c r="V770">
        <v>3</v>
      </c>
      <c r="W770">
        <v>2</v>
      </c>
      <c r="X770">
        <v>1</v>
      </c>
      <c r="Y770">
        <v>8</v>
      </c>
      <c r="Z770">
        <v>3</v>
      </c>
      <c r="AA770">
        <v>2</v>
      </c>
      <c r="AB770">
        <v>7</v>
      </c>
      <c r="AC770">
        <v>7</v>
      </c>
      <c r="AD770">
        <v>7</v>
      </c>
      <c r="AE770">
        <v>5</v>
      </c>
      <c r="AF770">
        <v>0</v>
      </c>
      <c r="AG770">
        <f>IF(tbl_HR_Data[[#This Row],[Gender]]="Male",1,0)</f>
        <v>1</v>
      </c>
      <c r="AH770" cm="1">
        <f t="array" ref="AH770">_xlfn.SWITCH(tbl_HR_Data[[#This Row],[BusinessTravel]], "Non-Travel", 0, "Travel_Rarely", 1, "Travel_Frequently", 2)</f>
        <v>1</v>
      </c>
      <c r="AI770" cm="1">
        <f t="array" ref="AI770">_xlfn.SWITCH(tbl_HR_Data[[#This Row],[MaritalStatus]],"Single",0,"Married",1,"Divorced",2)</f>
        <v>1</v>
      </c>
      <c r="AJ770">
        <f>IF(tbl_HR_Data[[#This Row],[OverTime]]=1,1,0)</f>
        <v>0</v>
      </c>
      <c r="AK770">
        <f>IF(tbl_HR_Data[[#This Row],[DistanceFromHome]]&gt;15,1,0)</f>
        <v>1</v>
      </c>
      <c r="AL770">
        <f>IF(tbl_HR_Data[[#This Row],[JobSatisfaction]]&lt;=2,1,0)</f>
        <v>1</v>
      </c>
      <c r="AM770">
        <f>IF(tbl_HR_Data[[#This Row],[MonthlyIncome]]&lt;$AT$2,1,0)</f>
        <v>0</v>
      </c>
      <c r="AN770">
        <f>IF(tbl_HR_Data[[#This Row],[Travel_Code]]=2,1,0)</f>
        <v>0</v>
      </c>
      <c r="AO770">
        <f>(tbl_HR_Data[[#This Row],[Flag_OT]] * Logic_Parameters!$B$2) +
 (tbl_HR_Data[[#This Row],[Flag_Travel]] * Logic_Parameters!$B$3) +
 (tbl_HR_Data[[#This Row],[Flag_Satisfaction]] * Logic_Parameters!$B$4) +
 (tbl_HR_Data[[#This Row],[Flag_Distance]]* Logic_Parameters!$B$5) +
 (tbl_HR_Data[[#This Row],[Flag_Income]] * Logic_Parameters!$B$6)</f>
        <v>7.3706398258535089</v>
      </c>
      <c r="AP770" s="15">
        <f>tbl_HR_Data[[#This Row],[Risk_Score_Raw]] / SUM(Logic_Parameters!$B$2:$B$6)</f>
        <v>0.25393706576427255</v>
      </c>
      <c r="AQ770" s="16" t="str" cm="1">
        <f t="array" ref="AQ770">_xlfn.IFS(tbl_HR_Data[[#This Row],[Attrition_Risk_Percentage]] &gt;= 0.75, "Critical",tbl_HR_Data[ [#This Row],[Attrition_Risk_Percentage] ]&gt;= 0.5, "High",tbl_HR_Data[[#This Row],[Attrition_Risk_Percentage]] &gt;= 0.25, "Medium",TRUE, "Low")</f>
        <v>Medium</v>
      </c>
      <c r="AR770" s="16" cm="1">
        <f t="array" ref="AR770">IFERROR(_xlfn.IFS(tbl_HR_Data[[#This Row],[Risk_Category]]="Critical",tbl_HR_Data[[#This Row],[MonthlyIncome]]*1.5,tbl_HR_Data[[#This Row],[Risk_Category]]="High",tbl_HR_Data[[#This Row],[MonthlyIncome]]*1.5),0)</f>
        <v>0</v>
      </c>
    </row>
    <row r="771" spans="1:44" x14ac:dyDescent="0.35">
      <c r="A771" t="s">
        <v>1240</v>
      </c>
      <c r="B771">
        <v>26</v>
      </c>
      <c r="C771" t="s">
        <v>37</v>
      </c>
      <c r="D771">
        <v>921</v>
      </c>
      <c r="E771" t="s">
        <v>38</v>
      </c>
      <c r="F771">
        <v>1</v>
      </c>
      <c r="G771">
        <v>1</v>
      </c>
      <c r="H771" t="s">
        <v>44</v>
      </c>
      <c r="I771">
        <v>1</v>
      </c>
      <c r="J771" t="s">
        <v>34</v>
      </c>
      <c r="K771">
        <v>66</v>
      </c>
      <c r="L771">
        <v>2</v>
      </c>
      <c r="M771">
        <v>1</v>
      </c>
      <c r="N771" t="s">
        <v>40</v>
      </c>
      <c r="O771">
        <v>3</v>
      </c>
      <c r="P771" t="s">
        <v>45</v>
      </c>
      <c r="Q771">
        <v>2007</v>
      </c>
      <c r="R771">
        <v>25265</v>
      </c>
      <c r="S771">
        <v>1</v>
      </c>
      <c r="T771">
        <v>0</v>
      </c>
      <c r="U771" s="17">
        <v>0.13</v>
      </c>
      <c r="V771">
        <v>3</v>
      </c>
      <c r="W771">
        <v>3</v>
      </c>
      <c r="X771">
        <v>2</v>
      </c>
      <c r="Y771">
        <v>5</v>
      </c>
      <c r="Z771">
        <v>5</v>
      </c>
      <c r="AA771">
        <v>3</v>
      </c>
      <c r="AB771">
        <v>5</v>
      </c>
      <c r="AC771">
        <v>3</v>
      </c>
      <c r="AD771">
        <v>1</v>
      </c>
      <c r="AE771">
        <v>3</v>
      </c>
      <c r="AF771">
        <v>0</v>
      </c>
      <c r="AG771">
        <f>IF(tbl_HR_Data[[#This Row],[Gender]]="Male",1,0)</f>
        <v>0</v>
      </c>
      <c r="AH771" cm="1">
        <f t="array" ref="AH771">_xlfn.SWITCH(tbl_HR_Data[[#This Row],[BusinessTravel]], "Non-Travel", 0, "Travel_Rarely", 1, "Travel_Frequently", 2)</f>
        <v>2</v>
      </c>
      <c r="AI771" cm="1">
        <f t="array" ref="AI771">_xlfn.SWITCH(tbl_HR_Data[[#This Row],[MaritalStatus]],"Single",0,"Married",1,"Divorced",2)</f>
        <v>2</v>
      </c>
      <c r="AJ771">
        <f>IF(tbl_HR_Data[[#This Row],[OverTime]]=1,1,0)</f>
        <v>0</v>
      </c>
      <c r="AK771">
        <f>IF(tbl_HR_Data[[#This Row],[DistanceFromHome]]&gt;15,1,0)</f>
        <v>0</v>
      </c>
      <c r="AL771">
        <f>IF(tbl_HR_Data[[#This Row],[JobSatisfaction]]&lt;=2,1,0)</f>
        <v>0</v>
      </c>
      <c r="AM771">
        <f>IF(tbl_HR_Data[[#This Row],[MonthlyIncome]]&lt;$AT$2,1,0)</f>
        <v>1</v>
      </c>
      <c r="AN771">
        <f>IF(tbl_HR_Data[[#This Row],[Travel_Code]]=2,1,0)</f>
        <v>1</v>
      </c>
      <c r="AO771">
        <f>(tbl_HR_Data[[#This Row],[Flag_OT]] * Logic_Parameters!$B$2) +
 (tbl_HR_Data[[#This Row],[Flag_Travel]] * Logic_Parameters!$B$3) +
 (tbl_HR_Data[[#This Row],[Flag_Satisfaction]] * Logic_Parameters!$B$4) +
 (tbl_HR_Data[[#This Row],[Flag_Distance]]* Logic_Parameters!$B$5) +
 (tbl_HR_Data[[#This Row],[Flag_Income]] * Logic_Parameters!$B$6)</f>
        <v>11.654818917911005</v>
      </c>
      <c r="AP771" s="15">
        <f>tbl_HR_Data[[#This Row],[Risk_Score_Raw]] / SUM(Logic_Parameters!$B$2:$B$6)</f>
        <v>0.40153780240992015</v>
      </c>
      <c r="AQ771" s="16" t="str" cm="1">
        <f t="array" ref="AQ771">_xlfn.IFS(tbl_HR_Data[[#This Row],[Attrition_Risk_Percentage]] &gt;= 0.75, "Critical",tbl_HR_Data[ [#This Row],[Attrition_Risk_Percentage] ]&gt;= 0.5, "High",tbl_HR_Data[[#This Row],[Attrition_Risk_Percentage]] &gt;= 0.25, "Medium",TRUE, "Low")</f>
        <v>Medium</v>
      </c>
      <c r="AR771" s="16" cm="1">
        <f t="array" ref="AR771">IFERROR(_xlfn.IFS(tbl_HR_Data[[#This Row],[Risk_Category]]="Critical",tbl_HR_Data[[#This Row],[MonthlyIncome]]*1.5,tbl_HR_Data[[#This Row],[Risk_Category]]="High",tbl_HR_Data[[#This Row],[MonthlyIncome]]*1.5),0)</f>
        <v>0</v>
      </c>
    </row>
    <row r="772" spans="1:44" x14ac:dyDescent="0.35">
      <c r="A772" t="s">
        <v>1259</v>
      </c>
      <c r="B772">
        <v>46</v>
      </c>
      <c r="C772" t="s">
        <v>31</v>
      </c>
      <c r="D772">
        <v>430</v>
      </c>
      <c r="E772" t="s">
        <v>38</v>
      </c>
      <c r="F772">
        <v>1</v>
      </c>
      <c r="G772">
        <v>4</v>
      </c>
      <c r="H772" t="s">
        <v>44</v>
      </c>
      <c r="I772">
        <v>4</v>
      </c>
      <c r="J772" t="s">
        <v>39</v>
      </c>
      <c r="K772">
        <v>40</v>
      </c>
      <c r="L772">
        <v>3</v>
      </c>
      <c r="M772">
        <v>5</v>
      </c>
      <c r="N772" t="s">
        <v>50</v>
      </c>
      <c r="O772">
        <v>4</v>
      </c>
      <c r="P772" t="s">
        <v>45</v>
      </c>
      <c r="Q772">
        <v>19627</v>
      </c>
      <c r="R772">
        <v>21445</v>
      </c>
      <c r="S772">
        <v>9</v>
      </c>
      <c r="T772">
        <v>0</v>
      </c>
      <c r="U772" s="17">
        <v>0.17</v>
      </c>
      <c r="V772">
        <v>3</v>
      </c>
      <c r="W772">
        <v>4</v>
      </c>
      <c r="X772">
        <v>2</v>
      </c>
      <c r="Y772">
        <v>23</v>
      </c>
      <c r="Z772">
        <v>0</v>
      </c>
      <c r="AA772">
        <v>3</v>
      </c>
      <c r="AB772">
        <v>2</v>
      </c>
      <c r="AC772">
        <v>2</v>
      </c>
      <c r="AD772">
        <v>2</v>
      </c>
      <c r="AE772">
        <v>2</v>
      </c>
      <c r="AF772">
        <v>0</v>
      </c>
      <c r="AG772">
        <f>IF(tbl_HR_Data[[#This Row],[Gender]]="Male",1,0)</f>
        <v>1</v>
      </c>
      <c r="AH772" cm="1">
        <f t="array" ref="AH772">_xlfn.SWITCH(tbl_HR_Data[[#This Row],[BusinessTravel]], "Non-Travel", 0, "Travel_Rarely", 1, "Travel_Frequently", 2)</f>
        <v>1</v>
      </c>
      <c r="AI772" cm="1">
        <f t="array" ref="AI772">_xlfn.SWITCH(tbl_HR_Data[[#This Row],[MaritalStatus]],"Single",0,"Married",1,"Divorced",2)</f>
        <v>2</v>
      </c>
      <c r="AJ772">
        <f>IF(tbl_HR_Data[[#This Row],[OverTime]]=1,1,0)</f>
        <v>0</v>
      </c>
      <c r="AK772">
        <f>IF(tbl_HR_Data[[#This Row],[DistanceFromHome]]&gt;15,1,0)</f>
        <v>0</v>
      </c>
      <c r="AL772">
        <f>IF(tbl_HR_Data[[#This Row],[JobSatisfaction]]&lt;=2,1,0)</f>
        <v>0</v>
      </c>
      <c r="AM772">
        <f>IF(tbl_HR_Data[[#This Row],[MonthlyIncome]]&lt;$AT$2,1,0)</f>
        <v>0</v>
      </c>
      <c r="AN772">
        <f>IF(tbl_HR_Data[[#This Row],[Travel_Code]]=2,1,0)</f>
        <v>0</v>
      </c>
      <c r="AO772">
        <f>(tbl_HR_Data[[#This Row],[Flag_OT]] * Logic_Parameters!$B$2) +
 (tbl_HR_Data[[#This Row],[Flag_Travel]] * Logic_Parameters!$B$3) +
 (tbl_HR_Data[[#This Row],[Flag_Satisfaction]] * Logic_Parameters!$B$4) +
 (tbl_HR_Data[[#This Row],[Flag_Distance]]* Logic_Parameters!$B$5) +
 (tbl_HR_Data[[#This Row],[Flag_Income]] * Logic_Parameters!$B$6)</f>
        <v>0</v>
      </c>
      <c r="AP772" s="15">
        <f>tbl_HR_Data[[#This Row],[Risk_Score_Raw]] / SUM(Logic_Parameters!$B$2:$B$6)</f>
        <v>0</v>
      </c>
      <c r="AQ772" s="16" t="str" cm="1">
        <f t="array" ref="AQ772">_xlfn.IFS(tbl_HR_Data[[#This Row],[Attrition_Risk_Percentage]] &gt;= 0.75, "Critical",tbl_HR_Data[ [#This Row],[Attrition_Risk_Percentage] ]&gt;= 0.5, "High",tbl_HR_Data[[#This Row],[Attrition_Risk_Percentage]] &gt;= 0.25, "Medium",TRUE, "Low")</f>
        <v>Low</v>
      </c>
      <c r="AR772" s="16" cm="1">
        <f t="array" ref="AR772">IFERROR(_xlfn.IFS(tbl_HR_Data[[#This Row],[Risk_Category]]="Critical",tbl_HR_Data[[#This Row],[MonthlyIncome]]*1.5,tbl_HR_Data[[#This Row],[Risk_Category]]="High",tbl_HR_Data[[#This Row],[MonthlyIncome]]*1.5),0)</f>
        <v>0</v>
      </c>
    </row>
    <row r="773" spans="1:44" x14ac:dyDescent="0.35">
      <c r="A773" t="s">
        <v>568</v>
      </c>
      <c r="B773">
        <v>54</v>
      </c>
      <c r="C773" t="s">
        <v>31</v>
      </c>
      <c r="D773">
        <v>1082</v>
      </c>
      <c r="E773" t="s">
        <v>32</v>
      </c>
      <c r="F773">
        <v>2</v>
      </c>
      <c r="G773">
        <v>4</v>
      </c>
      <c r="H773" t="s">
        <v>33</v>
      </c>
      <c r="I773">
        <v>3</v>
      </c>
      <c r="J773" t="s">
        <v>34</v>
      </c>
      <c r="K773">
        <v>41</v>
      </c>
      <c r="L773">
        <v>2</v>
      </c>
      <c r="M773">
        <v>3</v>
      </c>
      <c r="N773" t="s">
        <v>35</v>
      </c>
      <c r="O773">
        <v>3</v>
      </c>
      <c r="P773" t="s">
        <v>41</v>
      </c>
      <c r="Q773">
        <v>10686</v>
      </c>
      <c r="R773">
        <v>8392</v>
      </c>
      <c r="S773">
        <v>6</v>
      </c>
      <c r="T773">
        <v>0</v>
      </c>
      <c r="U773" s="17">
        <v>0.11</v>
      </c>
      <c r="V773">
        <v>3</v>
      </c>
      <c r="W773">
        <v>2</v>
      </c>
      <c r="X773">
        <v>1</v>
      </c>
      <c r="Y773">
        <v>13</v>
      </c>
      <c r="Z773">
        <v>4</v>
      </c>
      <c r="AA773">
        <v>3</v>
      </c>
      <c r="AB773">
        <v>9</v>
      </c>
      <c r="AC773">
        <v>4</v>
      </c>
      <c r="AD773">
        <v>7</v>
      </c>
      <c r="AE773">
        <v>0</v>
      </c>
      <c r="AF773">
        <v>0</v>
      </c>
      <c r="AG773">
        <f>IF(tbl_HR_Data[[#This Row],[Gender]]="Male",1,0)</f>
        <v>0</v>
      </c>
      <c r="AH773" cm="1">
        <f t="array" ref="AH773">_xlfn.SWITCH(tbl_HR_Data[[#This Row],[BusinessTravel]], "Non-Travel", 0, "Travel_Rarely", 1, "Travel_Frequently", 2)</f>
        <v>1</v>
      </c>
      <c r="AI773" cm="1">
        <f t="array" ref="AI773">_xlfn.SWITCH(tbl_HR_Data[[#This Row],[MaritalStatus]],"Single",0,"Married",1,"Divorced",2)</f>
        <v>1</v>
      </c>
      <c r="AJ773">
        <f>IF(tbl_HR_Data[[#This Row],[OverTime]]=1,1,0)</f>
        <v>0</v>
      </c>
      <c r="AK773">
        <f>IF(tbl_HR_Data[[#This Row],[DistanceFromHome]]&gt;15,1,0)</f>
        <v>0</v>
      </c>
      <c r="AL773">
        <f>IF(tbl_HR_Data[[#This Row],[JobSatisfaction]]&lt;=2,1,0)</f>
        <v>0</v>
      </c>
      <c r="AM773">
        <f>IF(tbl_HR_Data[[#This Row],[MonthlyIncome]]&lt;$AT$2,1,0)</f>
        <v>0</v>
      </c>
      <c r="AN773">
        <f>IF(tbl_HR_Data[[#This Row],[Travel_Code]]=2,1,0)</f>
        <v>0</v>
      </c>
      <c r="AO773">
        <f>(tbl_HR_Data[[#This Row],[Flag_OT]] * Logic_Parameters!$B$2) +
 (tbl_HR_Data[[#This Row],[Flag_Travel]] * Logic_Parameters!$B$3) +
 (tbl_HR_Data[[#This Row],[Flag_Satisfaction]] * Logic_Parameters!$B$4) +
 (tbl_HR_Data[[#This Row],[Flag_Distance]]* Logic_Parameters!$B$5) +
 (tbl_HR_Data[[#This Row],[Flag_Income]] * Logic_Parameters!$B$6)</f>
        <v>0</v>
      </c>
      <c r="AP773" s="15">
        <f>tbl_HR_Data[[#This Row],[Risk_Score_Raw]] / SUM(Logic_Parameters!$B$2:$B$6)</f>
        <v>0</v>
      </c>
      <c r="AQ773" s="16" t="str" cm="1">
        <f t="array" ref="AQ773">_xlfn.IFS(tbl_HR_Data[[#This Row],[Attrition_Risk_Percentage]] &gt;= 0.75, "Critical",tbl_HR_Data[ [#This Row],[Attrition_Risk_Percentage] ]&gt;= 0.5, "High",tbl_HR_Data[[#This Row],[Attrition_Risk_Percentage]] &gt;= 0.25, "Medium",TRUE, "Low")</f>
        <v>Low</v>
      </c>
      <c r="AR773" s="16" cm="1">
        <f t="array" ref="AR773">IFERROR(_xlfn.IFS(tbl_HR_Data[[#This Row],[Risk_Category]]="Critical",tbl_HR_Data[[#This Row],[MonthlyIncome]]*1.5,tbl_HR_Data[[#This Row],[Risk_Category]]="High",tbl_HR_Data[[#This Row],[MonthlyIncome]]*1.5),0)</f>
        <v>0</v>
      </c>
    </row>
    <row r="774" spans="1:44" x14ac:dyDescent="0.35">
      <c r="A774" t="s">
        <v>940</v>
      </c>
      <c r="B774">
        <v>56</v>
      </c>
      <c r="C774" t="s">
        <v>37</v>
      </c>
      <c r="D774">
        <v>1240</v>
      </c>
      <c r="E774" t="s">
        <v>38</v>
      </c>
      <c r="F774">
        <v>9</v>
      </c>
      <c r="G774">
        <v>3</v>
      </c>
      <c r="H774" t="s">
        <v>44</v>
      </c>
      <c r="I774">
        <v>1</v>
      </c>
      <c r="J774" t="s">
        <v>34</v>
      </c>
      <c r="K774">
        <v>63</v>
      </c>
      <c r="L774">
        <v>3</v>
      </c>
      <c r="M774">
        <v>1</v>
      </c>
      <c r="N774" t="s">
        <v>40</v>
      </c>
      <c r="O774">
        <v>3</v>
      </c>
      <c r="P774" t="s">
        <v>41</v>
      </c>
      <c r="Q774">
        <v>2942</v>
      </c>
      <c r="R774">
        <v>12154</v>
      </c>
      <c r="S774">
        <v>2</v>
      </c>
      <c r="T774">
        <v>0</v>
      </c>
      <c r="U774" s="17">
        <v>0.19</v>
      </c>
      <c r="V774">
        <v>3</v>
      </c>
      <c r="W774">
        <v>2</v>
      </c>
      <c r="X774">
        <v>1</v>
      </c>
      <c r="Y774">
        <v>18</v>
      </c>
      <c r="Z774">
        <v>4</v>
      </c>
      <c r="AA774">
        <v>3</v>
      </c>
      <c r="AB774">
        <v>5</v>
      </c>
      <c r="AC774">
        <v>4</v>
      </c>
      <c r="AD774">
        <v>0</v>
      </c>
      <c r="AE774">
        <v>3</v>
      </c>
      <c r="AF774">
        <v>0</v>
      </c>
      <c r="AG774">
        <f>IF(tbl_HR_Data[[#This Row],[Gender]]="Male",1,0)</f>
        <v>0</v>
      </c>
      <c r="AH774" cm="1">
        <f t="array" ref="AH774">_xlfn.SWITCH(tbl_HR_Data[[#This Row],[BusinessTravel]], "Non-Travel", 0, "Travel_Rarely", 1, "Travel_Frequently", 2)</f>
        <v>2</v>
      </c>
      <c r="AI774" cm="1">
        <f t="array" ref="AI774">_xlfn.SWITCH(tbl_HR_Data[[#This Row],[MaritalStatus]],"Single",0,"Married",1,"Divorced",2)</f>
        <v>1</v>
      </c>
      <c r="AJ774">
        <f>IF(tbl_HR_Data[[#This Row],[OverTime]]=1,1,0)</f>
        <v>0</v>
      </c>
      <c r="AK774">
        <f>IF(tbl_HR_Data[[#This Row],[DistanceFromHome]]&gt;15,1,0)</f>
        <v>0</v>
      </c>
      <c r="AL774">
        <f>IF(tbl_HR_Data[[#This Row],[JobSatisfaction]]&lt;=2,1,0)</f>
        <v>0</v>
      </c>
      <c r="AM774">
        <f>IF(tbl_HR_Data[[#This Row],[MonthlyIncome]]&lt;$AT$2,1,0)</f>
        <v>1</v>
      </c>
      <c r="AN774">
        <f>IF(tbl_HR_Data[[#This Row],[Travel_Code]]=2,1,0)</f>
        <v>1</v>
      </c>
      <c r="AO774">
        <f>(tbl_HR_Data[[#This Row],[Flag_OT]] * Logic_Parameters!$B$2) +
 (tbl_HR_Data[[#This Row],[Flag_Travel]] * Logic_Parameters!$B$3) +
 (tbl_HR_Data[[#This Row],[Flag_Satisfaction]] * Logic_Parameters!$B$4) +
 (tbl_HR_Data[[#This Row],[Flag_Distance]]* Logic_Parameters!$B$5) +
 (tbl_HR_Data[[#This Row],[Flag_Income]] * Logic_Parameters!$B$6)</f>
        <v>11.654818917911005</v>
      </c>
      <c r="AP774" s="15">
        <f>tbl_HR_Data[[#This Row],[Risk_Score_Raw]] / SUM(Logic_Parameters!$B$2:$B$6)</f>
        <v>0.40153780240992015</v>
      </c>
      <c r="AQ774" s="16" t="str" cm="1">
        <f t="array" ref="AQ774">_xlfn.IFS(tbl_HR_Data[[#This Row],[Attrition_Risk_Percentage]] &gt;= 0.75, "Critical",tbl_HR_Data[ [#This Row],[Attrition_Risk_Percentage] ]&gt;= 0.5, "High",tbl_HR_Data[[#This Row],[Attrition_Risk_Percentage]] &gt;= 0.25, "Medium",TRUE, "Low")</f>
        <v>Medium</v>
      </c>
      <c r="AR774" s="16" cm="1">
        <f t="array" ref="AR774">IFERROR(_xlfn.IFS(tbl_HR_Data[[#This Row],[Risk_Category]]="Critical",tbl_HR_Data[[#This Row],[MonthlyIncome]]*1.5,tbl_HR_Data[[#This Row],[Risk_Category]]="High",tbl_HR_Data[[#This Row],[MonthlyIncome]]*1.5),0)</f>
        <v>0</v>
      </c>
    </row>
    <row r="775" spans="1:44" x14ac:dyDescent="0.35">
      <c r="A775" t="s">
        <v>884</v>
      </c>
      <c r="B775">
        <v>36</v>
      </c>
      <c r="C775" t="s">
        <v>31</v>
      </c>
      <c r="D775">
        <v>796</v>
      </c>
      <c r="E775" t="s">
        <v>38</v>
      </c>
      <c r="F775">
        <v>12</v>
      </c>
      <c r="G775">
        <v>5</v>
      </c>
      <c r="H775" t="s">
        <v>44</v>
      </c>
      <c r="I775">
        <v>4</v>
      </c>
      <c r="J775" t="s">
        <v>34</v>
      </c>
      <c r="K775">
        <v>51</v>
      </c>
      <c r="L775">
        <v>2</v>
      </c>
      <c r="M775">
        <v>3</v>
      </c>
      <c r="N775" t="s">
        <v>46</v>
      </c>
      <c r="O775">
        <v>4</v>
      </c>
      <c r="P775" t="s">
        <v>36</v>
      </c>
      <c r="Q775">
        <v>8858</v>
      </c>
      <c r="R775">
        <v>15669</v>
      </c>
      <c r="S775">
        <v>0</v>
      </c>
      <c r="T775">
        <v>0</v>
      </c>
      <c r="U775" s="17">
        <v>0.11</v>
      </c>
      <c r="V775">
        <v>3</v>
      </c>
      <c r="W775">
        <v>2</v>
      </c>
      <c r="X775">
        <v>0</v>
      </c>
      <c r="Y775">
        <v>15</v>
      </c>
      <c r="Z775">
        <v>2</v>
      </c>
      <c r="AA775">
        <v>2</v>
      </c>
      <c r="AB775">
        <v>14</v>
      </c>
      <c r="AC775">
        <v>8</v>
      </c>
      <c r="AD775">
        <v>7</v>
      </c>
      <c r="AE775">
        <v>8</v>
      </c>
      <c r="AF775">
        <v>0</v>
      </c>
      <c r="AG775">
        <f>IF(tbl_HR_Data[[#This Row],[Gender]]="Male",1,0)</f>
        <v>0</v>
      </c>
      <c r="AH775" cm="1">
        <f t="array" ref="AH775">_xlfn.SWITCH(tbl_HR_Data[[#This Row],[BusinessTravel]], "Non-Travel", 0, "Travel_Rarely", 1, "Travel_Frequently", 2)</f>
        <v>1</v>
      </c>
      <c r="AI775" cm="1">
        <f t="array" ref="AI775">_xlfn.SWITCH(tbl_HR_Data[[#This Row],[MaritalStatus]],"Single",0,"Married",1,"Divorced",2)</f>
        <v>0</v>
      </c>
      <c r="AJ775">
        <f>IF(tbl_HR_Data[[#This Row],[OverTime]]=1,1,0)</f>
        <v>0</v>
      </c>
      <c r="AK775">
        <f>IF(tbl_HR_Data[[#This Row],[DistanceFromHome]]&gt;15,1,0)</f>
        <v>0</v>
      </c>
      <c r="AL775">
        <f>IF(tbl_HR_Data[[#This Row],[JobSatisfaction]]&lt;=2,1,0)</f>
        <v>0</v>
      </c>
      <c r="AM775">
        <f>IF(tbl_HR_Data[[#This Row],[MonthlyIncome]]&lt;$AT$2,1,0)</f>
        <v>0</v>
      </c>
      <c r="AN775">
        <f>IF(tbl_HR_Data[[#This Row],[Travel_Code]]=2,1,0)</f>
        <v>0</v>
      </c>
      <c r="AO775">
        <f>(tbl_HR_Data[[#This Row],[Flag_OT]] * Logic_Parameters!$B$2) +
 (tbl_HR_Data[[#This Row],[Flag_Travel]] * Logic_Parameters!$B$3) +
 (tbl_HR_Data[[#This Row],[Flag_Satisfaction]] * Logic_Parameters!$B$4) +
 (tbl_HR_Data[[#This Row],[Flag_Distance]]* Logic_Parameters!$B$5) +
 (tbl_HR_Data[[#This Row],[Flag_Income]] * Logic_Parameters!$B$6)</f>
        <v>0</v>
      </c>
      <c r="AP775" s="15">
        <f>tbl_HR_Data[[#This Row],[Risk_Score_Raw]] / SUM(Logic_Parameters!$B$2:$B$6)</f>
        <v>0</v>
      </c>
      <c r="AQ775" s="16" t="str" cm="1">
        <f t="array" ref="AQ775">_xlfn.IFS(tbl_HR_Data[[#This Row],[Attrition_Risk_Percentage]] &gt;= 0.75, "Critical",tbl_HR_Data[ [#This Row],[Attrition_Risk_Percentage] ]&gt;= 0.5, "High",tbl_HR_Data[[#This Row],[Attrition_Risk_Percentage]] &gt;= 0.25, "Medium",TRUE, "Low")</f>
        <v>Low</v>
      </c>
      <c r="AR775" s="16" cm="1">
        <f t="array" ref="AR775">IFERROR(_xlfn.IFS(tbl_HR_Data[[#This Row],[Risk_Category]]="Critical",tbl_HR_Data[[#This Row],[MonthlyIncome]]*1.5,tbl_HR_Data[[#This Row],[Risk_Category]]="High",tbl_HR_Data[[#This Row],[MonthlyIncome]]*1.5),0)</f>
        <v>0</v>
      </c>
    </row>
    <row r="776" spans="1:44" x14ac:dyDescent="0.35">
      <c r="A776" t="s">
        <v>1121</v>
      </c>
      <c r="B776">
        <v>55</v>
      </c>
      <c r="C776" t="s">
        <v>1525</v>
      </c>
      <c r="D776">
        <v>444</v>
      </c>
      <c r="E776" t="s">
        <v>38</v>
      </c>
      <c r="F776">
        <v>2</v>
      </c>
      <c r="G776">
        <v>1</v>
      </c>
      <c r="H776" t="s">
        <v>44</v>
      </c>
      <c r="I776">
        <v>3</v>
      </c>
      <c r="J776" t="s">
        <v>39</v>
      </c>
      <c r="K776">
        <v>40</v>
      </c>
      <c r="L776">
        <v>2</v>
      </c>
      <c r="M776">
        <v>4</v>
      </c>
      <c r="N776" t="s">
        <v>48</v>
      </c>
      <c r="O776">
        <v>1</v>
      </c>
      <c r="P776" t="s">
        <v>36</v>
      </c>
      <c r="Q776">
        <v>16756</v>
      </c>
      <c r="R776">
        <v>17323</v>
      </c>
      <c r="S776">
        <v>7</v>
      </c>
      <c r="T776">
        <v>0</v>
      </c>
      <c r="U776" s="17">
        <v>0.15</v>
      </c>
      <c r="V776">
        <v>3</v>
      </c>
      <c r="W776">
        <v>2</v>
      </c>
      <c r="X776">
        <v>0</v>
      </c>
      <c r="Y776">
        <v>31</v>
      </c>
      <c r="Z776">
        <v>3</v>
      </c>
      <c r="AA776">
        <v>4</v>
      </c>
      <c r="AB776">
        <v>9</v>
      </c>
      <c r="AC776">
        <v>7</v>
      </c>
      <c r="AD776">
        <v>6</v>
      </c>
      <c r="AE776">
        <v>2</v>
      </c>
      <c r="AF776">
        <v>0</v>
      </c>
      <c r="AG776">
        <f>IF(tbl_HR_Data[[#This Row],[Gender]]="Male",1,0)</f>
        <v>1</v>
      </c>
      <c r="AH776" cm="1">
        <f t="array" ref="AH776">_xlfn.SWITCH(tbl_HR_Data[[#This Row],[BusinessTravel]], "Non-Travel", 0, "Travel_Rarely", 1, "Travel_Frequently", 2)</f>
        <v>0</v>
      </c>
      <c r="AI776" cm="1">
        <f t="array" ref="AI776">_xlfn.SWITCH(tbl_HR_Data[[#This Row],[MaritalStatus]],"Single",0,"Married",1,"Divorced",2)</f>
        <v>0</v>
      </c>
      <c r="AJ776">
        <f>IF(tbl_HR_Data[[#This Row],[OverTime]]=1,1,0)</f>
        <v>0</v>
      </c>
      <c r="AK776">
        <f>IF(tbl_HR_Data[[#This Row],[DistanceFromHome]]&gt;15,1,0)</f>
        <v>0</v>
      </c>
      <c r="AL776">
        <f>IF(tbl_HR_Data[[#This Row],[JobSatisfaction]]&lt;=2,1,0)</f>
        <v>1</v>
      </c>
      <c r="AM776">
        <f>IF(tbl_HR_Data[[#This Row],[MonthlyIncome]]&lt;$AT$2,1,0)</f>
        <v>0</v>
      </c>
      <c r="AN776">
        <f>IF(tbl_HR_Data[[#This Row],[Travel_Code]]=2,1,0)</f>
        <v>0</v>
      </c>
      <c r="AO776">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776" s="15">
        <f>tbl_HR_Data[[#This Row],[Risk_Score_Raw]] / SUM(Logic_Parameters!$B$2:$B$6)</f>
        <v>0.14485673308716898</v>
      </c>
      <c r="AQ776" s="16" t="str" cm="1">
        <f t="array" ref="AQ776">_xlfn.IFS(tbl_HR_Data[[#This Row],[Attrition_Risk_Percentage]] &gt;= 0.75, "Critical",tbl_HR_Data[ [#This Row],[Attrition_Risk_Percentage] ]&gt;= 0.5, "High",tbl_HR_Data[[#This Row],[Attrition_Risk_Percentage]] &gt;= 0.25, "Medium",TRUE, "Low")</f>
        <v>Low</v>
      </c>
      <c r="AR776" s="16" cm="1">
        <f t="array" ref="AR776">IFERROR(_xlfn.IFS(tbl_HR_Data[[#This Row],[Risk_Category]]="Critical",tbl_HR_Data[[#This Row],[MonthlyIncome]]*1.5,tbl_HR_Data[[#This Row],[Risk_Category]]="High",tbl_HR_Data[[#This Row],[MonthlyIncome]]*1.5),0)</f>
        <v>0</v>
      </c>
    </row>
    <row r="777" spans="1:44" x14ac:dyDescent="0.35">
      <c r="A777" t="s">
        <v>254</v>
      </c>
      <c r="B777">
        <v>43</v>
      </c>
      <c r="C777" t="s">
        <v>31</v>
      </c>
      <c r="D777">
        <v>415</v>
      </c>
      <c r="E777" t="s">
        <v>32</v>
      </c>
      <c r="F777">
        <v>25</v>
      </c>
      <c r="G777">
        <v>3</v>
      </c>
      <c r="H777" t="s">
        <v>44</v>
      </c>
      <c r="I777">
        <v>3</v>
      </c>
      <c r="J777" t="s">
        <v>39</v>
      </c>
      <c r="K777">
        <v>79</v>
      </c>
      <c r="L777">
        <v>2</v>
      </c>
      <c r="M777">
        <v>3</v>
      </c>
      <c r="N777" t="s">
        <v>35</v>
      </c>
      <c r="O777">
        <v>4</v>
      </c>
      <c r="P777" t="s">
        <v>45</v>
      </c>
      <c r="Q777">
        <v>10798</v>
      </c>
      <c r="R777">
        <v>5268</v>
      </c>
      <c r="S777">
        <v>5</v>
      </c>
      <c r="T777">
        <v>0</v>
      </c>
      <c r="U777" s="17">
        <v>0.13</v>
      </c>
      <c r="V777">
        <v>3</v>
      </c>
      <c r="W777">
        <v>3</v>
      </c>
      <c r="X777">
        <v>1</v>
      </c>
      <c r="Y777">
        <v>18</v>
      </c>
      <c r="Z777">
        <v>5</v>
      </c>
      <c r="AA777">
        <v>3</v>
      </c>
      <c r="AB777">
        <v>1</v>
      </c>
      <c r="AC777">
        <v>0</v>
      </c>
      <c r="AD777">
        <v>0</v>
      </c>
      <c r="AE777">
        <v>0</v>
      </c>
      <c r="AF777">
        <v>0</v>
      </c>
      <c r="AG777">
        <f>IF(tbl_HR_Data[[#This Row],[Gender]]="Male",1,0)</f>
        <v>1</v>
      </c>
      <c r="AH777" cm="1">
        <f t="array" ref="AH777">_xlfn.SWITCH(tbl_HR_Data[[#This Row],[BusinessTravel]], "Non-Travel", 0, "Travel_Rarely", 1, "Travel_Frequently", 2)</f>
        <v>1</v>
      </c>
      <c r="AI777" cm="1">
        <f t="array" ref="AI777">_xlfn.SWITCH(tbl_HR_Data[[#This Row],[MaritalStatus]],"Single",0,"Married",1,"Divorced",2)</f>
        <v>2</v>
      </c>
      <c r="AJ777">
        <f>IF(tbl_HR_Data[[#This Row],[OverTime]]=1,1,0)</f>
        <v>0</v>
      </c>
      <c r="AK777">
        <f>IF(tbl_HR_Data[[#This Row],[DistanceFromHome]]&gt;15,1,0)</f>
        <v>1</v>
      </c>
      <c r="AL777">
        <f>IF(tbl_HR_Data[[#This Row],[JobSatisfaction]]&lt;=2,1,0)</f>
        <v>0</v>
      </c>
      <c r="AM777">
        <f>IF(tbl_HR_Data[[#This Row],[MonthlyIncome]]&lt;$AT$2,1,0)</f>
        <v>0</v>
      </c>
      <c r="AN777">
        <f>IF(tbl_HR_Data[[#This Row],[Travel_Code]]=2,1,0)</f>
        <v>0</v>
      </c>
      <c r="AO777">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777" s="15">
        <f>tbl_HR_Data[[#This Row],[Risk_Score_Raw]] / SUM(Logic_Parameters!$B$2:$B$6)</f>
        <v>0.10908033267710357</v>
      </c>
      <c r="AQ777" s="16" t="str" cm="1">
        <f t="array" ref="AQ777">_xlfn.IFS(tbl_HR_Data[[#This Row],[Attrition_Risk_Percentage]] &gt;= 0.75, "Critical",tbl_HR_Data[ [#This Row],[Attrition_Risk_Percentage] ]&gt;= 0.5, "High",tbl_HR_Data[[#This Row],[Attrition_Risk_Percentage]] &gt;= 0.25, "Medium",TRUE, "Low")</f>
        <v>Low</v>
      </c>
      <c r="AR777" s="16" cm="1">
        <f t="array" ref="AR777">IFERROR(_xlfn.IFS(tbl_HR_Data[[#This Row],[Risk_Category]]="Critical",tbl_HR_Data[[#This Row],[MonthlyIncome]]*1.5,tbl_HR_Data[[#This Row],[Risk_Category]]="High",tbl_HR_Data[[#This Row],[MonthlyIncome]]*1.5),0)</f>
        <v>0</v>
      </c>
    </row>
    <row r="778" spans="1:44" x14ac:dyDescent="0.35">
      <c r="A778" t="s">
        <v>1399</v>
      </c>
      <c r="B778">
        <v>20</v>
      </c>
      <c r="C778" t="s">
        <v>37</v>
      </c>
      <c r="D778">
        <v>769</v>
      </c>
      <c r="E778" t="s">
        <v>32</v>
      </c>
      <c r="F778">
        <v>9</v>
      </c>
      <c r="G778">
        <v>3</v>
      </c>
      <c r="H778" t="s">
        <v>51</v>
      </c>
      <c r="I778">
        <v>4</v>
      </c>
      <c r="J778" t="s">
        <v>34</v>
      </c>
      <c r="K778">
        <v>54</v>
      </c>
      <c r="L778">
        <v>3</v>
      </c>
      <c r="M778">
        <v>1</v>
      </c>
      <c r="N778" t="s">
        <v>49</v>
      </c>
      <c r="O778">
        <v>4</v>
      </c>
      <c r="P778" t="s">
        <v>36</v>
      </c>
      <c r="Q778">
        <v>2323</v>
      </c>
      <c r="R778">
        <v>17205</v>
      </c>
      <c r="S778">
        <v>1</v>
      </c>
      <c r="T778">
        <v>1</v>
      </c>
      <c r="U778" s="17">
        <v>0.14000000000000001</v>
      </c>
      <c r="V778">
        <v>3</v>
      </c>
      <c r="W778">
        <v>2</v>
      </c>
      <c r="X778">
        <v>0</v>
      </c>
      <c r="Y778">
        <v>2</v>
      </c>
      <c r="Z778">
        <v>3</v>
      </c>
      <c r="AA778">
        <v>3</v>
      </c>
      <c r="AB778">
        <v>2</v>
      </c>
      <c r="AC778">
        <v>2</v>
      </c>
      <c r="AD778">
        <v>0</v>
      </c>
      <c r="AE778">
        <v>2</v>
      </c>
      <c r="AF778">
        <v>1</v>
      </c>
      <c r="AG778">
        <f>IF(tbl_HR_Data[[#This Row],[Gender]]="Male",1,0)</f>
        <v>0</v>
      </c>
      <c r="AH778" cm="1">
        <f t="array" ref="AH778">_xlfn.SWITCH(tbl_HR_Data[[#This Row],[BusinessTravel]], "Non-Travel", 0, "Travel_Rarely", 1, "Travel_Frequently", 2)</f>
        <v>2</v>
      </c>
      <c r="AI778" cm="1">
        <f t="array" ref="AI778">_xlfn.SWITCH(tbl_HR_Data[[#This Row],[MaritalStatus]],"Single",0,"Married",1,"Divorced",2)</f>
        <v>0</v>
      </c>
      <c r="AJ778">
        <f>IF(tbl_HR_Data[[#This Row],[OverTime]]=1,1,0)</f>
        <v>1</v>
      </c>
      <c r="AK778">
        <f>IF(tbl_HR_Data[[#This Row],[DistanceFromHome]]&gt;15,1,0)</f>
        <v>0</v>
      </c>
      <c r="AL778">
        <f>IF(tbl_HR_Data[[#This Row],[JobSatisfaction]]&lt;=2,1,0)</f>
        <v>0</v>
      </c>
      <c r="AM778">
        <f>IF(tbl_HR_Data[[#This Row],[MonthlyIncome]]&lt;$AT$2,1,0)</f>
        <v>1</v>
      </c>
      <c r="AN778">
        <f>IF(tbl_HR_Data[[#This Row],[Travel_Code]]=2,1,0)</f>
        <v>1</v>
      </c>
      <c r="AO778">
        <f>(tbl_HR_Data[[#This Row],[Flag_OT]] * Logic_Parameters!$B$2) +
 (tbl_HR_Data[[#This Row],[Flag_Travel]] * Logic_Parameters!$B$3) +
 (tbl_HR_Data[[#This Row],[Flag_Satisfaction]] * Logic_Parameters!$B$4) +
 (tbl_HR_Data[[#This Row],[Flag_Distance]]* Logic_Parameters!$B$5) +
 (tbl_HR_Data[[#This Row],[Flag_Income]] * Logic_Parameters!$B$6)</f>
        <v>21.654818917911005</v>
      </c>
      <c r="AP778" s="15">
        <f>tbl_HR_Data[[#This Row],[Risk_Score_Raw]] / SUM(Logic_Parameters!$B$2:$B$6)</f>
        <v>0.74606293423572745</v>
      </c>
      <c r="AQ778" s="16" t="str" cm="1">
        <f t="array" ref="AQ778">_xlfn.IFS(tbl_HR_Data[[#This Row],[Attrition_Risk_Percentage]] &gt;= 0.75, "Critical",tbl_HR_Data[ [#This Row],[Attrition_Risk_Percentage] ]&gt;= 0.5, "High",tbl_HR_Data[[#This Row],[Attrition_Risk_Percentage]] &gt;= 0.25, "Medium",TRUE, "Low")</f>
        <v>High</v>
      </c>
      <c r="AR778" s="16" cm="1">
        <f t="array" ref="AR778">IFERROR(_xlfn.IFS(tbl_HR_Data[[#This Row],[Risk_Category]]="Critical",tbl_HR_Data[[#This Row],[MonthlyIncome]]*1.5,tbl_HR_Data[[#This Row],[Risk_Category]]="High",tbl_HR_Data[[#This Row],[MonthlyIncome]]*1.5),0)</f>
        <v>3484.5</v>
      </c>
    </row>
    <row r="779" spans="1:44" x14ac:dyDescent="0.35">
      <c r="A779" t="s">
        <v>583</v>
      </c>
      <c r="B779">
        <v>21</v>
      </c>
      <c r="C779" t="s">
        <v>31</v>
      </c>
      <c r="D779">
        <v>1334</v>
      </c>
      <c r="E779" t="s">
        <v>38</v>
      </c>
      <c r="F779">
        <v>10</v>
      </c>
      <c r="G779">
        <v>3</v>
      </c>
      <c r="H779" t="s">
        <v>33</v>
      </c>
      <c r="I779">
        <v>3</v>
      </c>
      <c r="J779" t="s">
        <v>34</v>
      </c>
      <c r="K779">
        <v>36</v>
      </c>
      <c r="L779">
        <v>2</v>
      </c>
      <c r="M779">
        <v>1</v>
      </c>
      <c r="N779" t="s">
        <v>43</v>
      </c>
      <c r="O779">
        <v>1</v>
      </c>
      <c r="P779" t="s">
        <v>36</v>
      </c>
      <c r="Q779">
        <v>1416</v>
      </c>
      <c r="R779">
        <v>17258</v>
      </c>
      <c r="S779">
        <v>1</v>
      </c>
      <c r="T779">
        <v>0</v>
      </c>
      <c r="U779" s="17">
        <v>0.13</v>
      </c>
      <c r="V779">
        <v>3</v>
      </c>
      <c r="W779">
        <v>1</v>
      </c>
      <c r="X779">
        <v>0</v>
      </c>
      <c r="Y779">
        <v>1</v>
      </c>
      <c r="Z779">
        <v>6</v>
      </c>
      <c r="AA779">
        <v>2</v>
      </c>
      <c r="AB779">
        <v>1</v>
      </c>
      <c r="AC779">
        <v>0</v>
      </c>
      <c r="AD779">
        <v>1</v>
      </c>
      <c r="AE779">
        <v>0</v>
      </c>
      <c r="AF779">
        <v>1</v>
      </c>
      <c r="AG779">
        <f>IF(tbl_HR_Data[[#This Row],[Gender]]="Male",1,0)</f>
        <v>0</v>
      </c>
      <c r="AH779" cm="1">
        <f t="array" ref="AH779">_xlfn.SWITCH(tbl_HR_Data[[#This Row],[BusinessTravel]], "Non-Travel", 0, "Travel_Rarely", 1, "Travel_Frequently", 2)</f>
        <v>1</v>
      </c>
      <c r="AI779" cm="1">
        <f t="array" ref="AI779">_xlfn.SWITCH(tbl_HR_Data[[#This Row],[MaritalStatus]],"Single",0,"Married",1,"Divorced",2)</f>
        <v>0</v>
      </c>
      <c r="AJ779">
        <f>IF(tbl_HR_Data[[#This Row],[OverTime]]=1,1,0)</f>
        <v>0</v>
      </c>
      <c r="AK779">
        <f>IF(tbl_HR_Data[[#This Row],[DistanceFromHome]]&gt;15,1,0)</f>
        <v>0</v>
      </c>
      <c r="AL779">
        <f>IF(tbl_HR_Data[[#This Row],[JobSatisfaction]]&lt;=2,1,0)</f>
        <v>1</v>
      </c>
      <c r="AM779">
        <f>IF(tbl_HR_Data[[#This Row],[MonthlyIncome]]&lt;$AT$2,1,0)</f>
        <v>1</v>
      </c>
      <c r="AN779">
        <f>IF(tbl_HR_Data[[#This Row],[Travel_Code]]=2,1,0)</f>
        <v>0</v>
      </c>
      <c r="AO779">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779" s="15">
        <f>tbl_HR_Data[[#This Row],[Risk_Score_Raw]] / SUM(Logic_Parameters!$B$2:$B$6)</f>
        <v>0.3686061316669938</v>
      </c>
      <c r="AQ779" s="16" t="str" cm="1">
        <f t="array" ref="AQ779">_xlfn.IFS(tbl_HR_Data[[#This Row],[Attrition_Risk_Percentage]] &gt;= 0.75, "Critical",tbl_HR_Data[ [#This Row],[Attrition_Risk_Percentage] ]&gt;= 0.5, "High",tbl_HR_Data[[#This Row],[Attrition_Risk_Percentage]] &gt;= 0.25, "Medium",TRUE, "Low")</f>
        <v>Medium</v>
      </c>
      <c r="AR779" s="16" cm="1">
        <f t="array" ref="AR779">IFERROR(_xlfn.IFS(tbl_HR_Data[[#This Row],[Risk_Category]]="Critical",tbl_HR_Data[[#This Row],[MonthlyIncome]]*1.5,tbl_HR_Data[[#This Row],[Risk_Category]]="High",tbl_HR_Data[[#This Row],[MonthlyIncome]]*1.5),0)</f>
        <v>0</v>
      </c>
    </row>
    <row r="780" spans="1:44" x14ac:dyDescent="0.35">
      <c r="A780" t="s">
        <v>1095</v>
      </c>
      <c r="B780">
        <v>46</v>
      </c>
      <c r="C780" t="s">
        <v>31</v>
      </c>
      <c r="D780">
        <v>1003</v>
      </c>
      <c r="E780" t="s">
        <v>38</v>
      </c>
      <c r="F780">
        <v>8</v>
      </c>
      <c r="G780">
        <v>4</v>
      </c>
      <c r="H780" t="s">
        <v>33</v>
      </c>
      <c r="I780">
        <v>4</v>
      </c>
      <c r="J780" t="s">
        <v>34</v>
      </c>
      <c r="K780">
        <v>74</v>
      </c>
      <c r="L780">
        <v>2</v>
      </c>
      <c r="M780">
        <v>2</v>
      </c>
      <c r="N780" t="s">
        <v>40</v>
      </c>
      <c r="O780">
        <v>1</v>
      </c>
      <c r="P780" t="s">
        <v>45</v>
      </c>
      <c r="Q780">
        <v>4615</v>
      </c>
      <c r="R780">
        <v>21029</v>
      </c>
      <c r="S780">
        <v>8</v>
      </c>
      <c r="T780">
        <v>1</v>
      </c>
      <c r="U780" s="17">
        <v>0.23</v>
      </c>
      <c r="V780">
        <v>4</v>
      </c>
      <c r="W780">
        <v>1</v>
      </c>
      <c r="X780">
        <v>3</v>
      </c>
      <c r="Y780">
        <v>19</v>
      </c>
      <c r="Z780">
        <v>2</v>
      </c>
      <c r="AA780">
        <v>3</v>
      </c>
      <c r="AB780">
        <v>16</v>
      </c>
      <c r="AC780">
        <v>13</v>
      </c>
      <c r="AD780">
        <v>1</v>
      </c>
      <c r="AE780">
        <v>7</v>
      </c>
      <c r="AF780">
        <v>0</v>
      </c>
      <c r="AG780">
        <f>IF(tbl_HR_Data[[#This Row],[Gender]]="Male",1,0)</f>
        <v>0</v>
      </c>
      <c r="AH780" cm="1">
        <f t="array" ref="AH780">_xlfn.SWITCH(tbl_HR_Data[[#This Row],[BusinessTravel]], "Non-Travel", 0, "Travel_Rarely", 1, "Travel_Frequently", 2)</f>
        <v>1</v>
      </c>
      <c r="AI780" cm="1">
        <f t="array" ref="AI780">_xlfn.SWITCH(tbl_HR_Data[[#This Row],[MaritalStatus]],"Single",0,"Married",1,"Divorced",2)</f>
        <v>2</v>
      </c>
      <c r="AJ780">
        <f>IF(tbl_HR_Data[[#This Row],[OverTime]]=1,1,0)</f>
        <v>1</v>
      </c>
      <c r="AK780">
        <f>IF(tbl_HR_Data[[#This Row],[DistanceFromHome]]&gt;15,1,0)</f>
        <v>0</v>
      </c>
      <c r="AL780">
        <f>IF(tbl_HR_Data[[#This Row],[JobSatisfaction]]&lt;=2,1,0)</f>
        <v>1</v>
      </c>
      <c r="AM780">
        <f>IF(tbl_HR_Data[[#This Row],[MonthlyIncome]]&lt;$AT$2,1,0)</f>
        <v>1</v>
      </c>
      <c r="AN780">
        <f>IF(tbl_HR_Data[[#This Row],[Travel_Code]]=2,1,0)</f>
        <v>0</v>
      </c>
      <c r="AO780">
        <f>(tbl_HR_Data[[#This Row],[Flag_OT]] * Logic_Parameters!$B$2) +
 (tbl_HR_Data[[#This Row],[Flag_Travel]] * Logic_Parameters!$B$3) +
 (tbl_HR_Data[[#This Row],[Flag_Satisfaction]] * Logic_Parameters!$B$4) +
 (tbl_HR_Data[[#This Row],[Flag_Distance]]* Logic_Parameters!$B$5) +
 (tbl_HR_Data[[#This Row],[Flag_Income]] * Logic_Parameters!$B$6)</f>
        <v>20.698962067398959</v>
      </c>
      <c r="AP780" s="15">
        <f>tbl_HR_Data[[#This Row],[Risk_Score_Raw]] / SUM(Logic_Parameters!$B$2:$B$6)</f>
        <v>0.71313126349280109</v>
      </c>
      <c r="AQ780" s="16" t="str" cm="1">
        <f t="array" ref="AQ780">_xlfn.IFS(tbl_HR_Data[[#This Row],[Attrition_Risk_Percentage]] &gt;= 0.75, "Critical",tbl_HR_Data[ [#This Row],[Attrition_Risk_Percentage] ]&gt;= 0.5, "High",tbl_HR_Data[[#This Row],[Attrition_Risk_Percentage]] &gt;= 0.25, "Medium",TRUE, "Low")</f>
        <v>High</v>
      </c>
      <c r="AR780" s="16" cm="1">
        <f t="array" ref="AR780">IFERROR(_xlfn.IFS(tbl_HR_Data[[#This Row],[Risk_Category]]="Critical",tbl_HR_Data[[#This Row],[MonthlyIncome]]*1.5,tbl_HR_Data[[#This Row],[Risk_Category]]="High",tbl_HR_Data[[#This Row],[MonthlyIncome]]*1.5),0)</f>
        <v>6922.5</v>
      </c>
    </row>
    <row r="781" spans="1:44" x14ac:dyDescent="0.35">
      <c r="A781" t="s">
        <v>1275</v>
      </c>
      <c r="B781">
        <v>51</v>
      </c>
      <c r="C781" t="s">
        <v>31</v>
      </c>
      <c r="D781">
        <v>1323</v>
      </c>
      <c r="E781" t="s">
        <v>38</v>
      </c>
      <c r="F781">
        <v>4</v>
      </c>
      <c r="G781">
        <v>4</v>
      </c>
      <c r="H781" t="s">
        <v>33</v>
      </c>
      <c r="I781">
        <v>1</v>
      </c>
      <c r="J781" t="s">
        <v>39</v>
      </c>
      <c r="K781">
        <v>34</v>
      </c>
      <c r="L781">
        <v>3</v>
      </c>
      <c r="M781">
        <v>1</v>
      </c>
      <c r="N781" t="s">
        <v>40</v>
      </c>
      <c r="O781">
        <v>3</v>
      </c>
      <c r="P781" t="s">
        <v>41</v>
      </c>
      <c r="Q781">
        <v>2461</v>
      </c>
      <c r="R781">
        <v>10332</v>
      </c>
      <c r="S781">
        <v>9</v>
      </c>
      <c r="T781">
        <v>1</v>
      </c>
      <c r="U781" s="17">
        <v>0.12</v>
      </c>
      <c r="V781">
        <v>3</v>
      </c>
      <c r="W781">
        <v>3</v>
      </c>
      <c r="X781">
        <v>3</v>
      </c>
      <c r="Y781">
        <v>18</v>
      </c>
      <c r="Z781">
        <v>2</v>
      </c>
      <c r="AA781">
        <v>4</v>
      </c>
      <c r="AB781">
        <v>10</v>
      </c>
      <c r="AC781">
        <v>0</v>
      </c>
      <c r="AD781">
        <v>2</v>
      </c>
      <c r="AE781">
        <v>7</v>
      </c>
      <c r="AF781">
        <v>1</v>
      </c>
      <c r="AG781">
        <f>IF(tbl_HR_Data[[#This Row],[Gender]]="Male",1,0)</f>
        <v>1</v>
      </c>
      <c r="AH781" cm="1">
        <f t="array" ref="AH781">_xlfn.SWITCH(tbl_HR_Data[[#This Row],[BusinessTravel]], "Non-Travel", 0, "Travel_Rarely", 1, "Travel_Frequently", 2)</f>
        <v>1</v>
      </c>
      <c r="AI781" cm="1">
        <f t="array" ref="AI781">_xlfn.SWITCH(tbl_HR_Data[[#This Row],[MaritalStatus]],"Single",0,"Married",1,"Divorced",2)</f>
        <v>1</v>
      </c>
      <c r="AJ781">
        <f>IF(tbl_HR_Data[[#This Row],[OverTime]]=1,1,0)</f>
        <v>1</v>
      </c>
      <c r="AK781">
        <f>IF(tbl_HR_Data[[#This Row],[DistanceFromHome]]&gt;15,1,0)</f>
        <v>0</v>
      </c>
      <c r="AL781">
        <f>IF(tbl_HR_Data[[#This Row],[JobSatisfaction]]&lt;=2,1,0)</f>
        <v>0</v>
      </c>
      <c r="AM781">
        <f>IF(tbl_HR_Data[[#This Row],[MonthlyIncome]]&lt;$AT$2,1,0)</f>
        <v>1</v>
      </c>
      <c r="AN781">
        <f>IF(tbl_HR_Data[[#This Row],[Travel_Code]]=2,1,0)</f>
        <v>0</v>
      </c>
      <c r="AO781">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781" s="15">
        <f>tbl_HR_Data[[#This Row],[Risk_Score_Raw]] / SUM(Logic_Parameters!$B$2:$B$6)</f>
        <v>0.56827453040563214</v>
      </c>
      <c r="AQ781" s="16" t="str" cm="1">
        <f t="array" ref="AQ781">_xlfn.IFS(tbl_HR_Data[[#This Row],[Attrition_Risk_Percentage]] &gt;= 0.75, "Critical",tbl_HR_Data[ [#This Row],[Attrition_Risk_Percentage] ]&gt;= 0.5, "High",tbl_HR_Data[[#This Row],[Attrition_Risk_Percentage]] &gt;= 0.25, "Medium",TRUE, "Low")</f>
        <v>High</v>
      </c>
      <c r="AR781" s="16" cm="1">
        <f t="array" ref="AR781">IFERROR(_xlfn.IFS(tbl_HR_Data[[#This Row],[Risk_Category]]="Critical",tbl_HR_Data[[#This Row],[MonthlyIncome]]*1.5,tbl_HR_Data[[#This Row],[Risk_Category]]="High",tbl_HR_Data[[#This Row],[MonthlyIncome]]*1.5),0)</f>
        <v>3691.5</v>
      </c>
    </row>
    <row r="782" spans="1:44" x14ac:dyDescent="0.35">
      <c r="A782" t="s">
        <v>534</v>
      </c>
      <c r="B782">
        <v>28</v>
      </c>
      <c r="C782" t="s">
        <v>1525</v>
      </c>
      <c r="D782">
        <v>1366</v>
      </c>
      <c r="E782" t="s">
        <v>38</v>
      </c>
      <c r="F782">
        <v>24</v>
      </c>
      <c r="G782">
        <v>2</v>
      </c>
      <c r="H782" t="s">
        <v>52</v>
      </c>
      <c r="I782">
        <v>2</v>
      </c>
      <c r="J782" t="s">
        <v>39</v>
      </c>
      <c r="K782">
        <v>72</v>
      </c>
      <c r="L782">
        <v>2</v>
      </c>
      <c r="M782">
        <v>3</v>
      </c>
      <c r="N782" t="s">
        <v>47</v>
      </c>
      <c r="O782">
        <v>1</v>
      </c>
      <c r="P782" t="s">
        <v>36</v>
      </c>
      <c r="Q782">
        <v>8722</v>
      </c>
      <c r="R782">
        <v>12355</v>
      </c>
      <c r="S782">
        <v>1</v>
      </c>
      <c r="T782">
        <v>0</v>
      </c>
      <c r="U782" s="17">
        <v>0.12</v>
      </c>
      <c r="V782">
        <v>3</v>
      </c>
      <c r="W782">
        <v>1</v>
      </c>
      <c r="X782">
        <v>0</v>
      </c>
      <c r="Y782">
        <v>10</v>
      </c>
      <c r="Z782">
        <v>2</v>
      </c>
      <c r="AA782">
        <v>2</v>
      </c>
      <c r="AB782">
        <v>10</v>
      </c>
      <c r="AC782">
        <v>7</v>
      </c>
      <c r="AD782">
        <v>1</v>
      </c>
      <c r="AE782">
        <v>9</v>
      </c>
      <c r="AF782">
        <v>1</v>
      </c>
      <c r="AG782">
        <f>IF(tbl_HR_Data[[#This Row],[Gender]]="Male",1,0)</f>
        <v>1</v>
      </c>
      <c r="AH782" cm="1">
        <f t="array" ref="AH782">_xlfn.SWITCH(tbl_HR_Data[[#This Row],[BusinessTravel]], "Non-Travel", 0, "Travel_Rarely", 1, "Travel_Frequently", 2)</f>
        <v>0</v>
      </c>
      <c r="AI782" cm="1">
        <f t="array" ref="AI782">_xlfn.SWITCH(tbl_HR_Data[[#This Row],[MaritalStatus]],"Single",0,"Married",1,"Divorced",2)</f>
        <v>0</v>
      </c>
      <c r="AJ782">
        <f>IF(tbl_HR_Data[[#This Row],[OverTime]]=1,1,0)</f>
        <v>0</v>
      </c>
      <c r="AK782">
        <f>IF(tbl_HR_Data[[#This Row],[DistanceFromHome]]&gt;15,1,0)</f>
        <v>1</v>
      </c>
      <c r="AL782">
        <f>IF(tbl_HR_Data[[#This Row],[JobSatisfaction]]&lt;=2,1,0)</f>
        <v>1</v>
      </c>
      <c r="AM782">
        <f>IF(tbl_HR_Data[[#This Row],[MonthlyIncome]]&lt;$AT$2,1,0)</f>
        <v>0</v>
      </c>
      <c r="AN782">
        <f>IF(tbl_HR_Data[[#This Row],[Travel_Code]]=2,1,0)</f>
        <v>0</v>
      </c>
      <c r="AO782">
        <f>(tbl_HR_Data[[#This Row],[Flag_OT]] * Logic_Parameters!$B$2) +
 (tbl_HR_Data[[#This Row],[Flag_Travel]] * Logic_Parameters!$B$3) +
 (tbl_HR_Data[[#This Row],[Flag_Satisfaction]] * Logic_Parameters!$B$4) +
 (tbl_HR_Data[[#This Row],[Flag_Distance]]* Logic_Parameters!$B$5) +
 (tbl_HR_Data[[#This Row],[Flag_Income]] * Logic_Parameters!$B$6)</f>
        <v>7.3706398258535089</v>
      </c>
      <c r="AP782" s="15">
        <f>tbl_HR_Data[[#This Row],[Risk_Score_Raw]] / SUM(Logic_Parameters!$B$2:$B$6)</f>
        <v>0.25393706576427255</v>
      </c>
      <c r="AQ782" s="16" t="str" cm="1">
        <f t="array" ref="AQ782">_xlfn.IFS(tbl_HR_Data[[#This Row],[Attrition_Risk_Percentage]] &gt;= 0.75, "Critical",tbl_HR_Data[ [#This Row],[Attrition_Risk_Percentage] ]&gt;= 0.5, "High",tbl_HR_Data[[#This Row],[Attrition_Risk_Percentage]] &gt;= 0.25, "Medium",TRUE, "Low")</f>
        <v>Medium</v>
      </c>
      <c r="AR782" s="16" cm="1">
        <f t="array" ref="AR782">IFERROR(_xlfn.IFS(tbl_HR_Data[[#This Row],[Risk_Category]]="Critical",tbl_HR_Data[[#This Row],[MonthlyIncome]]*1.5,tbl_HR_Data[[#This Row],[Risk_Category]]="High",tbl_HR_Data[[#This Row],[MonthlyIncome]]*1.5),0)</f>
        <v>0</v>
      </c>
    </row>
    <row r="783" spans="1:44" x14ac:dyDescent="0.35">
      <c r="A783" t="s">
        <v>1059</v>
      </c>
      <c r="B783">
        <v>26</v>
      </c>
      <c r="C783" t="s">
        <v>31</v>
      </c>
      <c r="D783">
        <v>192</v>
      </c>
      <c r="E783" t="s">
        <v>38</v>
      </c>
      <c r="F783">
        <v>1</v>
      </c>
      <c r="G783">
        <v>2</v>
      </c>
      <c r="H783" t="s">
        <v>44</v>
      </c>
      <c r="I783">
        <v>1</v>
      </c>
      <c r="J783" t="s">
        <v>39</v>
      </c>
      <c r="K783">
        <v>59</v>
      </c>
      <c r="L783">
        <v>2</v>
      </c>
      <c r="M783">
        <v>1</v>
      </c>
      <c r="N783" t="s">
        <v>43</v>
      </c>
      <c r="O783">
        <v>1</v>
      </c>
      <c r="P783" t="s">
        <v>41</v>
      </c>
      <c r="Q783">
        <v>3955</v>
      </c>
      <c r="R783">
        <v>11141</v>
      </c>
      <c r="S783">
        <v>1</v>
      </c>
      <c r="T783">
        <v>0</v>
      </c>
      <c r="U783" s="17">
        <v>0.16</v>
      </c>
      <c r="V783">
        <v>3</v>
      </c>
      <c r="W783">
        <v>1</v>
      </c>
      <c r="X783">
        <v>2</v>
      </c>
      <c r="Y783">
        <v>6</v>
      </c>
      <c r="Z783">
        <v>2</v>
      </c>
      <c r="AA783">
        <v>3</v>
      </c>
      <c r="AB783">
        <v>5</v>
      </c>
      <c r="AC783">
        <v>3</v>
      </c>
      <c r="AD783">
        <v>1</v>
      </c>
      <c r="AE783">
        <v>3</v>
      </c>
      <c r="AF783">
        <v>0</v>
      </c>
      <c r="AG783">
        <f>IF(tbl_HR_Data[[#This Row],[Gender]]="Male",1,0)</f>
        <v>1</v>
      </c>
      <c r="AH783" cm="1">
        <f t="array" ref="AH783">_xlfn.SWITCH(tbl_HR_Data[[#This Row],[BusinessTravel]], "Non-Travel", 0, "Travel_Rarely", 1, "Travel_Frequently", 2)</f>
        <v>1</v>
      </c>
      <c r="AI783" cm="1">
        <f t="array" ref="AI783">_xlfn.SWITCH(tbl_HR_Data[[#This Row],[MaritalStatus]],"Single",0,"Married",1,"Divorced",2)</f>
        <v>1</v>
      </c>
      <c r="AJ783">
        <f>IF(tbl_HR_Data[[#This Row],[OverTime]]=1,1,0)</f>
        <v>0</v>
      </c>
      <c r="AK783">
        <f>IF(tbl_HR_Data[[#This Row],[DistanceFromHome]]&gt;15,1,0)</f>
        <v>0</v>
      </c>
      <c r="AL783">
        <f>IF(tbl_HR_Data[[#This Row],[JobSatisfaction]]&lt;=2,1,0)</f>
        <v>1</v>
      </c>
      <c r="AM783">
        <f>IF(tbl_HR_Data[[#This Row],[MonthlyIncome]]&lt;$AT$2,1,0)</f>
        <v>1</v>
      </c>
      <c r="AN783">
        <f>IF(tbl_HR_Data[[#This Row],[Travel_Code]]=2,1,0)</f>
        <v>0</v>
      </c>
      <c r="AO783">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783" s="15">
        <f>tbl_HR_Data[[#This Row],[Risk_Score_Raw]] / SUM(Logic_Parameters!$B$2:$B$6)</f>
        <v>0.3686061316669938</v>
      </c>
      <c r="AQ783" s="16" t="str" cm="1">
        <f t="array" ref="AQ783">_xlfn.IFS(tbl_HR_Data[[#This Row],[Attrition_Risk_Percentage]] &gt;= 0.75, "Critical",tbl_HR_Data[ [#This Row],[Attrition_Risk_Percentage] ]&gt;= 0.5, "High",tbl_HR_Data[[#This Row],[Attrition_Risk_Percentage]] &gt;= 0.25, "Medium",TRUE, "Low")</f>
        <v>Medium</v>
      </c>
      <c r="AR783" s="16" cm="1">
        <f t="array" ref="AR783">IFERROR(_xlfn.IFS(tbl_HR_Data[[#This Row],[Risk_Category]]="Critical",tbl_HR_Data[[#This Row],[MonthlyIncome]]*1.5,tbl_HR_Data[[#This Row],[Risk_Category]]="High",tbl_HR_Data[[#This Row],[MonthlyIncome]]*1.5),0)</f>
        <v>0</v>
      </c>
    </row>
    <row r="784" spans="1:44" x14ac:dyDescent="0.35">
      <c r="A784" t="s">
        <v>1179</v>
      </c>
      <c r="B784">
        <v>30</v>
      </c>
      <c r="C784" t="s">
        <v>31</v>
      </c>
      <c r="D784">
        <v>1176</v>
      </c>
      <c r="E784" t="s">
        <v>38</v>
      </c>
      <c r="F784">
        <v>20</v>
      </c>
      <c r="G784">
        <v>3</v>
      </c>
      <c r="H784" t="s">
        <v>42</v>
      </c>
      <c r="I784">
        <v>3</v>
      </c>
      <c r="J784" t="s">
        <v>39</v>
      </c>
      <c r="K784">
        <v>85</v>
      </c>
      <c r="L784">
        <v>3</v>
      </c>
      <c r="M784">
        <v>2</v>
      </c>
      <c r="N784" t="s">
        <v>46</v>
      </c>
      <c r="O784">
        <v>1</v>
      </c>
      <c r="P784" t="s">
        <v>41</v>
      </c>
      <c r="Q784">
        <v>9957</v>
      </c>
      <c r="R784">
        <v>9096</v>
      </c>
      <c r="S784">
        <v>0</v>
      </c>
      <c r="T784">
        <v>0</v>
      </c>
      <c r="U784" s="17">
        <v>0.15</v>
      </c>
      <c r="V784">
        <v>3</v>
      </c>
      <c r="W784">
        <v>3</v>
      </c>
      <c r="X784">
        <v>1</v>
      </c>
      <c r="Y784">
        <v>7</v>
      </c>
      <c r="Z784">
        <v>1</v>
      </c>
      <c r="AA784">
        <v>2</v>
      </c>
      <c r="AB784">
        <v>6</v>
      </c>
      <c r="AC784">
        <v>2</v>
      </c>
      <c r="AD784">
        <v>0</v>
      </c>
      <c r="AE784">
        <v>2</v>
      </c>
      <c r="AF784">
        <v>0</v>
      </c>
      <c r="AG784">
        <f>IF(tbl_HR_Data[[#This Row],[Gender]]="Male",1,0)</f>
        <v>1</v>
      </c>
      <c r="AH784" cm="1">
        <f t="array" ref="AH784">_xlfn.SWITCH(tbl_HR_Data[[#This Row],[BusinessTravel]], "Non-Travel", 0, "Travel_Rarely", 1, "Travel_Frequently", 2)</f>
        <v>1</v>
      </c>
      <c r="AI784" cm="1">
        <f t="array" ref="AI784">_xlfn.SWITCH(tbl_HR_Data[[#This Row],[MaritalStatus]],"Single",0,"Married",1,"Divorced",2)</f>
        <v>1</v>
      </c>
      <c r="AJ784">
        <f>IF(tbl_HR_Data[[#This Row],[OverTime]]=1,1,0)</f>
        <v>0</v>
      </c>
      <c r="AK784">
        <f>IF(tbl_HR_Data[[#This Row],[DistanceFromHome]]&gt;15,1,0)</f>
        <v>1</v>
      </c>
      <c r="AL784">
        <f>IF(tbl_HR_Data[[#This Row],[JobSatisfaction]]&lt;=2,1,0)</f>
        <v>1</v>
      </c>
      <c r="AM784">
        <f>IF(tbl_HR_Data[[#This Row],[MonthlyIncome]]&lt;$AT$2,1,0)</f>
        <v>0</v>
      </c>
      <c r="AN784">
        <f>IF(tbl_HR_Data[[#This Row],[Travel_Code]]=2,1,0)</f>
        <v>0</v>
      </c>
      <c r="AO784">
        <f>(tbl_HR_Data[[#This Row],[Flag_OT]] * Logic_Parameters!$B$2) +
 (tbl_HR_Data[[#This Row],[Flag_Travel]] * Logic_Parameters!$B$3) +
 (tbl_HR_Data[[#This Row],[Flag_Satisfaction]] * Logic_Parameters!$B$4) +
 (tbl_HR_Data[[#This Row],[Flag_Distance]]* Logic_Parameters!$B$5) +
 (tbl_HR_Data[[#This Row],[Flag_Income]] * Logic_Parameters!$B$6)</f>
        <v>7.3706398258535089</v>
      </c>
      <c r="AP784" s="15">
        <f>tbl_HR_Data[[#This Row],[Risk_Score_Raw]] / SUM(Logic_Parameters!$B$2:$B$6)</f>
        <v>0.25393706576427255</v>
      </c>
      <c r="AQ784" s="16" t="str" cm="1">
        <f t="array" ref="AQ784">_xlfn.IFS(tbl_HR_Data[[#This Row],[Attrition_Risk_Percentage]] &gt;= 0.75, "Critical",tbl_HR_Data[ [#This Row],[Attrition_Risk_Percentage] ]&gt;= 0.5, "High",tbl_HR_Data[[#This Row],[Attrition_Risk_Percentage]] &gt;= 0.25, "Medium",TRUE, "Low")</f>
        <v>Medium</v>
      </c>
      <c r="AR784" s="16" cm="1">
        <f t="array" ref="AR784">IFERROR(_xlfn.IFS(tbl_HR_Data[[#This Row],[Risk_Category]]="Critical",tbl_HR_Data[[#This Row],[MonthlyIncome]]*1.5,tbl_HR_Data[[#This Row],[Risk_Category]]="High",tbl_HR_Data[[#This Row],[MonthlyIncome]]*1.5),0)</f>
        <v>0</v>
      </c>
    </row>
    <row r="785" spans="1:44" x14ac:dyDescent="0.35">
      <c r="A785" t="s">
        <v>133</v>
      </c>
      <c r="B785">
        <v>41</v>
      </c>
      <c r="C785" t="s">
        <v>31</v>
      </c>
      <c r="D785">
        <v>509</v>
      </c>
      <c r="E785" t="s">
        <v>38</v>
      </c>
      <c r="F785">
        <v>7</v>
      </c>
      <c r="G785">
        <v>2</v>
      </c>
      <c r="H785" t="s">
        <v>52</v>
      </c>
      <c r="I785">
        <v>2</v>
      </c>
      <c r="J785" t="s">
        <v>34</v>
      </c>
      <c r="K785">
        <v>43</v>
      </c>
      <c r="L785">
        <v>4</v>
      </c>
      <c r="M785">
        <v>1</v>
      </c>
      <c r="N785" t="s">
        <v>40</v>
      </c>
      <c r="O785">
        <v>3</v>
      </c>
      <c r="P785" t="s">
        <v>41</v>
      </c>
      <c r="Q785">
        <v>3376</v>
      </c>
      <c r="R785">
        <v>18863</v>
      </c>
      <c r="S785">
        <v>1</v>
      </c>
      <c r="T785">
        <v>0</v>
      </c>
      <c r="U785" s="17">
        <v>0.13</v>
      </c>
      <c r="V785">
        <v>3</v>
      </c>
      <c r="W785">
        <v>3</v>
      </c>
      <c r="X785">
        <v>0</v>
      </c>
      <c r="Y785">
        <v>10</v>
      </c>
      <c r="Z785">
        <v>3</v>
      </c>
      <c r="AA785">
        <v>3</v>
      </c>
      <c r="AB785">
        <v>10</v>
      </c>
      <c r="AC785">
        <v>6</v>
      </c>
      <c r="AD785">
        <v>0</v>
      </c>
      <c r="AE785">
        <v>8</v>
      </c>
      <c r="AF785">
        <v>0</v>
      </c>
      <c r="AG785">
        <f>IF(tbl_HR_Data[[#This Row],[Gender]]="Male",1,0)</f>
        <v>0</v>
      </c>
      <c r="AH785" cm="1">
        <f t="array" ref="AH785">_xlfn.SWITCH(tbl_HR_Data[[#This Row],[BusinessTravel]], "Non-Travel", 0, "Travel_Rarely", 1, "Travel_Frequently", 2)</f>
        <v>1</v>
      </c>
      <c r="AI785" cm="1">
        <f t="array" ref="AI785">_xlfn.SWITCH(tbl_HR_Data[[#This Row],[MaritalStatus]],"Single",0,"Married",1,"Divorced",2)</f>
        <v>1</v>
      </c>
      <c r="AJ785">
        <f>IF(tbl_HR_Data[[#This Row],[OverTime]]=1,1,0)</f>
        <v>0</v>
      </c>
      <c r="AK785">
        <f>IF(tbl_HR_Data[[#This Row],[DistanceFromHome]]&gt;15,1,0)</f>
        <v>0</v>
      </c>
      <c r="AL785">
        <f>IF(tbl_HR_Data[[#This Row],[JobSatisfaction]]&lt;=2,1,0)</f>
        <v>0</v>
      </c>
      <c r="AM785">
        <f>IF(tbl_HR_Data[[#This Row],[MonthlyIncome]]&lt;$AT$2,1,0)</f>
        <v>1</v>
      </c>
      <c r="AN785">
        <f>IF(tbl_HR_Data[[#This Row],[Travel_Code]]=2,1,0)</f>
        <v>0</v>
      </c>
      <c r="AO785">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785" s="15">
        <f>tbl_HR_Data[[#This Row],[Risk_Score_Raw]] / SUM(Logic_Parameters!$B$2:$B$6)</f>
        <v>0.22374939857982484</v>
      </c>
      <c r="AQ785" s="16" t="str" cm="1">
        <f t="array" ref="AQ785">_xlfn.IFS(tbl_HR_Data[[#This Row],[Attrition_Risk_Percentage]] &gt;= 0.75, "Critical",tbl_HR_Data[ [#This Row],[Attrition_Risk_Percentage] ]&gt;= 0.5, "High",tbl_HR_Data[[#This Row],[Attrition_Risk_Percentage]] &gt;= 0.25, "Medium",TRUE, "Low")</f>
        <v>Low</v>
      </c>
      <c r="AR785" s="16" cm="1">
        <f t="array" ref="AR785">IFERROR(_xlfn.IFS(tbl_HR_Data[[#This Row],[Risk_Category]]="Critical",tbl_HR_Data[[#This Row],[MonthlyIncome]]*1.5,tbl_HR_Data[[#This Row],[Risk_Category]]="High",tbl_HR_Data[[#This Row],[MonthlyIncome]]*1.5),0)</f>
        <v>0</v>
      </c>
    </row>
    <row r="786" spans="1:44" x14ac:dyDescent="0.35">
      <c r="A786" t="s">
        <v>168</v>
      </c>
      <c r="B786">
        <v>38</v>
      </c>
      <c r="C786" t="s">
        <v>31</v>
      </c>
      <c r="D786">
        <v>330</v>
      </c>
      <c r="E786" t="s">
        <v>38</v>
      </c>
      <c r="F786">
        <v>17</v>
      </c>
      <c r="G786">
        <v>1</v>
      </c>
      <c r="H786" t="s">
        <v>33</v>
      </c>
      <c r="I786">
        <v>3</v>
      </c>
      <c r="J786" t="s">
        <v>34</v>
      </c>
      <c r="K786">
        <v>65</v>
      </c>
      <c r="L786">
        <v>2</v>
      </c>
      <c r="M786">
        <v>3</v>
      </c>
      <c r="N786" t="s">
        <v>47</v>
      </c>
      <c r="O786">
        <v>3</v>
      </c>
      <c r="P786" t="s">
        <v>41</v>
      </c>
      <c r="Q786">
        <v>8823</v>
      </c>
      <c r="R786">
        <v>24608</v>
      </c>
      <c r="S786">
        <v>0</v>
      </c>
      <c r="T786">
        <v>0</v>
      </c>
      <c r="U786" s="17">
        <v>0.18</v>
      </c>
      <c r="V786">
        <v>3</v>
      </c>
      <c r="W786">
        <v>1</v>
      </c>
      <c r="X786">
        <v>1</v>
      </c>
      <c r="Y786">
        <v>20</v>
      </c>
      <c r="Z786">
        <v>4</v>
      </c>
      <c r="AA786">
        <v>2</v>
      </c>
      <c r="AB786">
        <v>19</v>
      </c>
      <c r="AC786">
        <v>9</v>
      </c>
      <c r="AD786">
        <v>1</v>
      </c>
      <c r="AE786">
        <v>9</v>
      </c>
      <c r="AF786">
        <v>0</v>
      </c>
      <c r="AG786">
        <f>IF(tbl_HR_Data[[#This Row],[Gender]]="Male",1,0)</f>
        <v>0</v>
      </c>
      <c r="AH786" cm="1">
        <f t="array" ref="AH786">_xlfn.SWITCH(tbl_HR_Data[[#This Row],[BusinessTravel]], "Non-Travel", 0, "Travel_Rarely", 1, "Travel_Frequently", 2)</f>
        <v>1</v>
      </c>
      <c r="AI786" cm="1">
        <f t="array" ref="AI786">_xlfn.SWITCH(tbl_HR_Data[[#This Row],[MaritalStatus]],"Single",0,"Married",1,"Divorced",2)</f>
        <v>1</v>
      </c>
      <c r="AJ786">
        <f>IF(tbl_HR_Data[[#This Row],[OverTime]]=1,1,0)</f>
        <v>0</v>
      </c>
      <c r="AK786">
        <f>IF(tbl_HR_Data[[#This Row],[DistanceFromHome]]&gt;15,1,0)</f>
        <v>1</v>
      </c>
      <c r="AL786">
        <f>IF(tbl_HR_Data[[#This Row],[JobSatisfaction]]&lt;=2,1,0)</f>
        <v>0</v>
      </c>
      <c r="AM786">
        <f>IF(tbl_HR_Data[[#This Row],[MonthlyIncome]]&lt;$AT$2,1,0)</f>
        <v>0</v>
      </c>
      <c r="AN786">
        <f>IF(tbl_HR_Data[[#This Row],[Travel_Code]]=2,1,0)</f>
        <v>0</v>
      </c>
      <c r="AO786">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786" s="15">
        <f>tbl_HR_Data[[#This Row],[Risk_Score_Raw]] / SUM(Logic_Parameters!$B$2:$B$6)</f>
        <v>0.10908033267710357</v>
      </c>
      <c r="AQ786" s="16" t="str" cm="1">
        <f t="array" ref="AQ786">_xlfn.IFS(tbl_HR_Data[[#This Row],[Attrition_Risk_Percentage]] &gt;= 0.75, "Critical",tbl_HR_Data[ [#This Row],[Attrition_Risk_Percentage] ]&gt;= 0.5, "High",tbl_HR_Data[[#This Row],[Attrition_Risk_Percentage]] &gt;= 0.25, "Medium",TRUE, "Low")</f>
        <v>Low</v>
      </c>
      <c r="AR786" s="16" cm="1">
        <f t="array" ref="AR786">IFERROR(_xlfn.IFS(tbl_HR_Data[[#This Row],[Risk_Category]]="Critical",tbl_HR_Data[[#This Row],[MonthlyIncome]]*1.5,tbl_HR_Data[[#This Row],[Risk_Category]]="High",tbl_HR_Data[[#This Row],[MonthlyIncome]]*1.5),0)</f>
        <v>0</v>
      </c>
    </row>
    <row r="787" spans="1:44" x14ac:dyDescent="0.35">
      <c r="A787" t="s">
        <v>186</v>
      </c>
      <c r="B787">
        <v>40</v>
      </c>
      <c r="C787" t="s">
        <v>31</v>
      </c>
      <c r="D787">
        <v>1492</v>
      </c>
      <c r="E787" t="s">
        <v>38</v>
      </c>
      <c r="F787">
        <v>20</v>
      </c>
      <c r="G787">
        <v>4</v>
      </c>
      <c r="H787" t="s">
        <v>52</v>
      </c>
      <c r="I787">
        <v>1</v>
      </c>
      <c r="J787" t="s">
        <v>39</v>
      </c>
      <c r="K787">
        <v>61</v>
      </c>
      <c r="L787">
        <v>3</v>
      </c>
      <c r="M787">
        <v>3</v>
      </c>
      <c r="N787" t="s">
        <v>47</v>
      </c>
      <c r="O787">
        <v>4</v>
      </c>
      <c r="P787" t="s">
        <v>41</v>
      </c>
      <c r="Q787">
        <v>10322</v>
      </c>
      <c r="R787">
        <v>26542</v>
      </c>
      <c r="S787">
        <v>4</v>
      </c>
      <c r="T787">
        <v>0</v>
      </c>
      <c r="U787" s="17">
        <v>0.2</v>
      </c>
      <c r="V787">
        <v>4</v>
      </c>
      <c r="W787">
        <v>4</v>
      </c>
      <c r="X787">
        <v>1</v>
      </c>
      <c r="Y787">
        <v>14</v>
      </c>
      <c r="Z787">
        <v>6</v>
      </c>
      <c r="AA787">
        <v>3</v>
      </c>
      <c r="AB787">
        <v>11</v>
      </c>
      <c r="AC787">
        <v>10</v>
      </c>
      <c r="AD787">
        <v>11</v>
      </c>
      <c r="AE787">
        <v>1</v>
      </c>
      <c r="AF787">
        <v>0</v>
      </c>
      <c r="AG787">
        <f>IF(tbl_HR_Data[[#This Row],[Gender]]="Male",1,0)</f>
        <v>1</v>
      </c>
      <c r="AH787" cm="1">
        <f t="array" ref="AH787">_xlfn.SWITCH(tbl_HR_Data[[#This Row],[BusinessTravel]], "Non-Travel", 0, "Travel_Rarely", 1, "Travel_Frequently", 2)</f>
        <v>1</v>
      </c>
      <c r="AI787" cm="1">
        <f t="array" ref="AI787">_xlfn.SWITCH(tbl_HR_Data[[#This Row],[MaritalStatus]],"Single",0,"Married",1,"Divorced",2)</f>
        <v>1</v>
      </c>
      <c r="AJ787">
        <f>IF(tbl_HR_Data[[#This Row],[OverTime]]=1,1,0)</f>
        <v>0</v>
      </c>
      <c r="AK787">
        <f>IF(tbl_HR_Data[[#This Row],[DistanceFromHome]]&gt;15,1,0)</f>
        <v>1</v>
      </c>
      <c r="AL787">
        <f>IF(tbl_HR_Data[[#This Row],[JobSatisfaction]]&lt;=2,1,0)</f>
        <v>0</v>
      </c>
      <c r="AM787">
        <f>IF(tbl_HR_Data[[#This Row],[MonthlyIncome]]&lt;$AT$2,1,0)</f>
        <v>0</v>
      </c>
      <c r="AN787">
        <f>IF(tbl_HR_Data[[#This Row],[Travel_Code]]=2,1,0)</f>
        <v>0</v>
      </c>
      <c r="AO787">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787" s="15">
        <f>tbl_HR_Data[[#This Row],[Risk_Score_Raw]] / SUM(Logic_Parameters!$B$2:$B$6)</f>
        <v>0.10908033267710357</v>
      </c>
      <c r="AQ787" s="16" t="str" cm="1">
        <f t="array" ref="AQ787">_xlfn.IFS(tbl_HR_Data[[#This Row],[Attrition_Risk_Percentage]] &gt;= 0.75, "Critical",tbl_HR_Data[ [#This Row],[Attrition_Risk_Percentage] ]&gt;= 0.5, "High",tbl_HR_Data[[#This Row],[Attrition_Risk_Percentage]] &gt;= 0.25, "Medium",TRUE, "Low")</f>
        <v>Low</v>
      </c>
      <c r="AR787" s="16" cm="1">
        <f t="array" ref="AR787">IFERROR(_xlfn.IFS(tbl_HR_Data[[#This Row],[Risk_Category]]="Critical",tbl_HR_Data[[#This Row],[MonthlyIncome]]*1.5,tbl_HR_Data[[#This Row],[Risk_Category]]="High",tbl_HR_Data[[#This Row],[MonthlyIncome]]*1.5),0)</f>
        <v>0</v>
      </c>
    </row>
    <row r="788" spans="1:44" x14ac:dyDescent="0.35">
      <c r="A788" t="s">
        <v>1305</v>
      </c>
      <c r="B788">
        <v>27</v>
      </c>
      <c r="C788" t="s">
        <v>1525</v>
      </c>
      <c r="D788">
        <v>1277</v>
      </c>
      <c r="E788" t="s">
        <v>38</v>
      </c>
      <c r="F788">
        <v>8</v>
      </c>
      <c r="G788">
        <v>5</v>
      </c>
      <c r="H788" t="s">
        <v>33</v>
      </c>
      <c r="I788">
        <v>1</v>
      </c>
      <c r="J788" t="s">
        <v>39</v>
      </c>
      <c r="K788">
        <v>87</v>
      </c>
      <c r="L788">
        <v>1</v>
      </c>
      <c r="M788">
        <v>1</v>
      </c>
      <c r="N788" t="s">
        <v>43</v>
      </c>
      <c r="O788">
        <v>3</v>
      </c>
      <c r="P788" t="s">
        <v>41</v>
      </c>
      <c r="Q788">
        <v>4621</v>
      </c>
      <c r="R788">
        <v>5869</v>
      </c>
      <c r="S788">
        <v>1</v>
      </c>
      <c r="T788">
        <v>0</v>
      </c>
      <c r="U788" s="17">
        <v>0.19</v>
      </c>
      <c r="V788">
        <v>3</v>
      </c>
      <c r="W788">
        <v>4</v>
      </c>
      <c r="X788">
        <v>3</v>
      </c>
      <c r="Y788">
        <v>3</v>
      </c>
      <c r="Z788">
        <v>4</v>
      </c>
      <c r="AA788">
        <v>3</v>
      </c>
      <c r="AB788">
        <v>3</v>
      </c>
      <c r="AC788">
        <v>2</v>
      </c>
      <c r="AD788">
        <v>1</v>
      </c>
      <c r="AE788">
        <v>2</v>
      </c>
      <c r="AF788">
        <v>0</v>
      </c>
      <c r="AG788">
        <f>IF(tbl_HR_Data[[#This Row],[Gender]]="Male",1,0)</f>
        <v>1</v>
      </c>
      <c r="AH788" cm="1">
        <f t="array" ref="AH788">_xlfn.SWITCH(tbl_HR_Data[[#This Row],[BusinessTravel]], "Non-Travel", 0, "Travel_Rarely", 1, "Travel_Frequently", 2)</f>
        <v>0</v>
      </c>
      <c r="AI788" cm="1">
        <f t="array" ref="AI788">_xlfn.SWITCH(tbl_HR_Data[[#This Row],[MaritalStatus]],"Single",0,"Married",1,"Divorced",2)</f>
        <v>1</v>
      </c>
      <c r="AJ788">
        <f>IF(tbl_HR_Data[[#This Row],[OverTime]]=1,1,0)</f>
        <v>0</v>
      </c>
      <c r="AK788">
        <f>IF(tbl_HR_Data[[#This Row],[DistanceFromHome]]&gt;15,1,0)</f>
        <v>0</v>
      </c>
      <c r="AL788">
        <f>IF(tbl_HR_Data[[#This Row],[JobSatisfaction]]&lt;=2,1,0)</f>
        <v>0</v>
      </c>
      <c r="AM788">
        <f>IF(tbl_HR_Data[[#This Row],[MonthlyIncome]]&lt;$AT$2,1,0)</f>
        <v>1</v>
      </c>
      <c r="AN788">
        <f>IF(tbl_HR_Data[[#This Row],[Travel_Code]]=2,1,0)</f>
        <v>0</v>
      </c>
      <c r="AO788">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788" s="15">
        <f>tbl_HR_Data[[#This Row],[Risk_Score_Raw]] / SUM(Logic_Parameters!$B$2:$B$6)</f>
        <v>0.22374939857982484</v>
      </c>
      <c r="AQ788" s="16" t="str" cm="1">
        <f t="array" ref="AQ788">_xlfn.IFS(tbl_HR_Data[[#This Row],[Attrition_Risk_Percentage]] &gt;= 0.75, "Critical",tbl_HR_Data[ [#This Row],[Attrition_Risk_Percentage] ]&gt;= 0.5, "High",tbl_HR_Data[[#This Row],[Attrition_Risk_Percentage]] &gt;= 0.25, "Medium",TRUE, "Low")</f>
        <v>Low</v>
      </c>
      <c r="AR788" s="16" cm="1">
        <f t="array" ref="AR788">IFERROR(_xlfn.IFS(tbl_HR_Data[[#This Row],[Risk_Category]]="Critical",tbl_HR_Data[[#This Row],[MonthlyIncome]]*1.5,tbl_HR_Data[[#This Row],[Risk_Category]]="High",tbl_HR_Data[[#This Row],[MonthlyIncome]]*1.5),0)</f>
        <v>0</v>
      </c>
    </row>
    <row r="789" spans="1:44" x14ac:dyDescent="0.35">
      <c r="A789" t="s">
        <v>1039</v>
      </c>
      <c r="B789">
        <v>55</v>
      </c>
      <c r="C789" t="s">
        <v>37</v>
      </c>
      <c r="D789">
        <v>1091</v>
      </c>
      <c r="E789" t="s">
        <v>38</v>
      </c>
      <c r="F789">
        <v>2</v>
      </c>
      <c r="G789">
        <v>1</v>
      </c>
      <c r="H789" t="s">
        <v>33</v>
      </c>
      <c r="I789">
        <v>4</v>
      </c>
      <c r="J789" t="s">
        <v>39</v>
      </c>
      <c r="K789">
        <v>65</v>
      </c>
      <c r="L789">
        <v>3</v>
      </c>
      <c r="M789">
        <v>3</v>
      </c>
      <c r="N789" t="s">
        <v>46</v>
      </c>
      <c r="O789">
        <v>2</v>
      </c>
      <c r="P789" t="s">
        <v>41</v>
      </c>
      <c r="Q789">
        <v>10976</v>
      </c>
      <c r="R789">
        <v>15813</v>
      </c>
      <c r="S789">
        <v>3</v>
      </c>
      <c r="T789">
        <v>0</v>
      </c>
      <c r="U789" s="17">
        <v>0.18</v>
      </c>
      <c r="V789">
        <v>3</v>
      </c>
      <c r="W789">
        <v>2</v>
      </c>
      <c r="X789">
        <v>1</v>
      </c>
      <c r="Y789">
        <v>23</v>
      </c>
      <c r="Z789">
        <v>4</v>
      </c>
      <c r="AA789">
        <v>3</v>
      </c>
      <c r="AB789">
        <v>3</v>
      </c>
      <c r="AC789">
        <v>2</v>
      </c>
      <c r="AD789">
        <v>1</v>
      </c>
      <c r="AE789">
        <v>2</v>
      </c>
      <c r="AF789">
        <v>0</v>
      </c>
      <c r="AG789">
        <f>IF(tbl_HR_Data[[#This Row],[Gender]]="Male",1,0)</f>
        <v>1</v>
      </c>
      <c r="AH789" cm="1">
        <f t="array" ref="AH789">_xlfn.SWITCH(tbl_HR_Data[[#This Row],[BusinessTravel]], "Non-Travel", 0, "Travel_Rarely", 1, "Travel_Frequently", 2)</f>
        <v>2</v>
      </c>
      <c r="AI789" cm="1">
        <f t="array" ref="AI789">_xlfn.SWITCH(tbl_HR_Data[[#This Row],[MaritalStatus]],"Single",0,"Married",1,"Divorced",2)</f>
        <v>1</v>
      </c>
      <c r="AJ789">
        <f>IF(tbl_HR_Data[[#This Row],[OverTime]]=1,1,0)</f>
        <v>0</v>
      </c>
      <c r="AK789">
        <f>IF(tbl_HR_Data[[#This Row],[DistanceFromHome]]&gt;15,1,0)</f>
        <v>0</v>
      </c>
      <c r="AL789">
        <f>IF(tbl_HR_Data[[#This Row],[JobSatisfaction]]&lt;=2,1,0)</f>
        <v>1</v>
      </c>
      <c r="AM789">
        <f>IF(tbl_HR_Data[[#This Row],[MonthlyIncome]]&lt;$AT$2,1,0)</f>
        <v>0</v>
      </c>
      <c r="AN789">
        <f>IF(tbl_HR_Data[[#This Row],[Travel_Code]]=2,1,0)</f>
        <v>1</v>
      </c>
      <c r="AO789">
        <f>(tbl_HR_Data[[#This Row],[Flag_OT]] * Logic_Parameters!$B$2) +
 (tbl_HR_Data[[#This Row],[Flag_Travel]] * Logic_Parameters!$B$3) +
 (tbl_HR_Data[[#This Row],[Flag_Satisfaction]] * Logic_Parameters!$B$4) +
 (tbl_HR_Data[[#This Row],[Flag_Distance]]* Logic_Parameters!$B$5) +
 (tbl_HR_Data[[#This Row],[Flag_Income]] * Logic_Parameters!$B$6)</f>
        <v>9.3649231104683075</v>
      </c>
      <c r="AP789" s="15">
        <f>tbl_HR_Data[[#This Row],[Risk_Score_Raw]] / SUM(Logic_Parameters!$B$2:$B$6)</f>
        <v>0.32264513691726432</v>
      </c>
      <c r="AQ789" s="16" t="str" cm="1">
        <f t="array" ref="AQ789">_xlfn.IFS(tbl_HR_Data[[#This Row],[Attrition_Risk_Percentage]] &gt;= 0.75, "Critical",tbl_HR_Data[ [#This Row],[Attrition_Risk_Percentage] ]&gt;= 0.5, "High",tbl_HR_Data[[#This Row],[Attrition_Risk_Percentage]] &gt;= 0.25, "Medium",TRUE, "Low")</f>
        <v>Medium</v>
      </c>
      <c r="AR789" s="16" cm="1">
        <f t="array" ref="AR789">IFERROR(_xlfn.IFS(tbl_HR_Data[[#This Row],[Risk_Category]]="Critical",tbl_HR_Data[[#This Row],[MonthlyIncome]]*1.5,tbl_HR_Data[[#This Row],[Risk_Category]]="High",tbl_HR_Data[[#This Row],[MonthlyIncome]]*1.5),0)</f>
        <v>0</v>
      </c>
    </row>
    <row r="790" spans="1:44" x14ac:dyDescent="0.35">
      <c r="A790" t="s">
        <v>1011</v>
      </c>
      <c r="B790">
        <v>28</v>
      </c>
      <c r="C790" t="s">
        <v>31</v>
      </c>
      <c r="D790">
        <v>857</v>
      </c>
      <c r="E790" t="s">
        <v>38</v>
      </c>
      <c r="F790">
        <v>10</v>
      </c>
      <c r="G790">
        <v>3</v>
      </c>
      <c r="H790" t="s">
        <v>42</v>
      </c>
      <c r="I790">
        <v>3</v>
      </c>
      <c r="J790" t="s">
        <v>34</v>
      </c>
      <c r="K790">
        <v>59</v>
      </c>
      <c r="L790">
        <v>3</v>
      </c>
      <c r="M790">
        <v>2</v>
      </c>
      <c r="N790" t="s">
        <v>40</v>
      </c>
      <c r="O790">
        <v>3</v>
      </c>
      <c r="P790" t="s">
        <v>36</v>
      </c>
      <c r="Q790">
        <v>3660</v>
      </c>
      <c r="R790">
        <v>7909</v>
      </c>
      <c r="S790">
        <v>3</v>
      </c>
      <c r="T790">
        <v>0</v>
      </c>
      <c r="U790" s="17">
        <v>0.13</v>
      </c>
      <c r="V790">
        <v>3</v>
      </c>
      <c r="W790">
        <v>4</v>
      </c>
      <c r="X790">
        <v>0</v>
      </c>
      <c r="Y790">
        <v>10</v>
      </c>
      <c r="Z790">
        <v>4</v>
      </c>
      <c r="AA790">
        <v>4</v>
      </c>
      <c r="AB790">
        <v>8</v>
      </c>
      <c r="AC790">
        <v>7</v>
      </c>
      <c r="AD790">
        <v>1</v>
      </c>
      <c r="AE790">
        <v>7</v>
      </c>
      <c r="AF790">
        <v>0</v>
      </c>
      <c r="AG790">
        <f>IF(tbl_HR_Data[[#This Row],[Gender]]="Male",1,0)</f>
        <v>0</v>
      </c>
      <c r="AH790" cm="1">
        <f t="array" ref="AH790">_xlfn.SWITCH(tbl_HR_Data[[#This Row],[BusinessTravel]], "Non-Travel", 0, "Travel_Rarely", 1, "Travel_Frequently", 2)</f>
        <v>1</v>
      </c>
      <c r="AI790" cm="1">
        <f t="array" ref="AI790">_xlfn.SWITCH(tbl_HR_Data[[#This Row],[MaritalStatus]],"Single",0,"Married",1,"Divorced",2)</f>
        <v>0</v>
      </c>
      <c r="AJ790">
        <f>IF(tbl_HR_Data[[#This Row],[OverTime]]=1,1,0)</f>
        <v>0</v>
      </c>
      <c r="AK790">
        <f>IF(tbl_HR_Data[[#This Row],[DistanceFromHome]]&gt;15,1,0)</f>
        <v>0</v>
      </c>
      <c r="AL790">
        <f>IF(tbl_HR_Data[[#This Row],[JobSatisfaction]]&lt;=2,1,0)</f>
        <v>0</v>
      </c>
      <c r="AM790">
        <f>IF(tbl_HR_Data[[#This Row],[MonthlyIncome]]&lt;$AT$2,1,0)</f>
        <v>1</v>
      </c>
      <c r="AN790">
        <f>IF(tbl_HR_Data[[#This Row],[Travel_Code]]=2,1,0)</f>
        <v>0</v>
      </c>
      <c r="AO790">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790" s="15">
        <f>tbl_HR_Data[[#This Row],[Risk_Score_Raw]] / SUM(Logic_Parameters!$B$2:$B$6)</f>
        <v>0.22374939857982484</v>
      </c>
      <c r="AQ790" s="16" t="str" cm="1">
        <f t="array" ref="AQ790">_xlfn.IFS(tbl_HR_Data[[#This Row],[Attrition_Risk_Percentage]] &gt;= 0.75, "Critical",tbl_HR_Data[ [#This Row],[Attrition_Risk_Percentage] ]&gt;= 0.5, "High",tbl_HR_Data[[#This Row],[Attrition_Risk_Percentage]] &gt;= 0.25, "Medium",TRUE, "Low")</f>
        <v>Low</v>
      </c>
      <c r="AR790" s="16" cm="1">
        <f t="array" ref="AR790">IFERROR(_xlfn.IFS(tbl_HR_Data[[#This Row],[Risk_Category]]="Critical",tbl_HR_Data[[#This Row],[MonthlyIncome]]*1.5,tbl_HR_Data[[#This Row],[Risk_Category]]="High",tbl_HR_Data[[#This Row],[MonthlyIncome]]*1.5),0)</f>
        <v>0</v>
      </c>
    </row>
    <row r="791" spans="1:44" x14ac:dyDescent="0.35">
      <c r="A791" t="s">
        <v>1333</v>
      </c>
      <c r="B791">
        <v>44</v>
      </c>
      <c r="C791" t="s">
        <v>31</v>
      </c>
      <c r="D791">
        <v>1376</v>
      </c>
      <c r="E791" t="s">
        <v>53</v>
      </c>
      <c r="F791">
        <v>1</v>
      </c>
      <c r="G791">
        <v>2</v>
      </c>
      <c r="H791" t="s">
        <v>44</v>
      </c>
      <c r="I791">
        <v>2</v>
      </c>
      <c r="J791" t="s">
        <v>39</v>
      </c>
      <c r="K791">
        <v>91</v>
      </c>
      <c r="L791">
        <v>2</v>
      </c>
      <c r="M791">
        <v>3</v>
      </c>
      <c r="N791" t="s">
        <v>53</v>
      </c>
      <c r="O791">
        <v>1</v>
      </c>
      <c r="P791" t="s">
        <v>41</v>
      </c>
      <c r="Q791">
        <v>10482</v>
      </c>
      <c r="R791">
        <v>2326</v>
      </c>
      <c r="S791">
        <v>9</v>
      </c>
      <c r="T791">
        <v>0</v>
      </c>
      <c r="U791" s="17">
        <v>0.14000000000000001</v>
      </c>
      <c r="V791">
        <v>3</v>
      </c>
      <c r="W791">
        <v>4</v>
      </c>
      <c r="X791">
        <v>1</v>
      </c>
      <c r="Y791">
        <v>24</v>
      </c>
      <c r="Z791">
        <v>1</v>
      </c>
      <c r="AA791">
        <v>3</v>
      </c>
      <c r="AB791">
        <v>20</v>
      </c>
      <c r="AC791">
        <v>6</v>
      </c>
      <c r="AD791">
        <v>3</v>
      </c>
      <c r="AE791">
        <v>6</v>
      </c>
      <c r="AF791">
        <v>1</v>
      </c>
      <c r="AG791">
        <f>IF(tbl_HR_Data[[#This Row],[Gender]]="Male",1,0)</f>
        <v>1</v>
      </c>
      <c r="AH791" cm="1">
        <f t="array" ref="AH791">_xlfn.SWITCH(tbl_HR_Data[[#This Row],[BusinessTravel]], "Non-Travel", 0, "Travel_Rarely", 1, "Travel_Frequently", 2)</f>
        <v>1</v>
      </c>
      <c r="AI791" cm="1">
        <f t="array" ref="AI791">_xlfn.SWITCH(tbl_HR_Data[[#This Row],[MaritalStatus]],"Single",0,"Married",1,"Divorced",2)</f>
        <v>1</v>
      </c>
      <c r="AJ791">
        <f>IF(tbl_HR_Data[[#This Row],[OverTime]]=1,1,0)</f>
        <v>0</v>
      </c>
      <c r="AK791">
        <f>IF(tbl_HR_Data[[#This Row],[DistanceFromHome]]&gt;15,1,0)</f>
        <v>0</v>
      </c>
      <c r="AL791">
        <f>IF(tbl_HR_Data[[#This Row],[JobSatisfaction]]&lt;=2,1,0)</f>
        <v>1</v>
      </c>
      <c r="AM791">
        <f>IF(tbl_HR_Data[[#This Row],[MonthlyIncome]]&lt;$AT$2,1,0)</f>
        <v>0</v>
      </c>
      <c r="AN791">
        <f>IF(tbl_HR_Data[[#This Row],[Travel_Code]]=2,1,0)</f>
        <v>0</v>
      </c>
      <c r="AO791">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791" s="15">
        <f>tbl_HR_Data[[#This Row],[Risk_Score_Raw]] / SUM(Logic_Parameters!$B$2:$B$6)</f>
        <v>0.14485673308716898</v>
      </c>
      <c r="AQ791" s="16" t="str" cm="1">
        <f t="array" ref="AQ791">_xlfn.IFS(tbl_HR_Data[[#This Row],[Attrition_Risk_Percentage]] &gt;= 0.75, "Critical",tbl_HR_Data[ [#This Row],[Attrition_Risk_Percentage] ]&gt;= 0.5, "High",tbl_HR_Data[[#This Row],[Attrition_Risk_Percentage]] &gt;= 0.25, "Medium",TRUE, "Low")</f>
        <v>Low</v>
      </c>
      <c r="AR791" s="16" cm="1">
        <f t="array" ref="AR791">IFERROR(_xlfn.IFS(tbl_HR_Data[[#This Row],[Risk_Category]]="Critical",tbl_HR_Data[[#This Row],[MonthlyIncome]]*1.5,tbl_HR_Data[[#This Row],[Risk_Category]]="High",tbl_HR_Data[[#This Row],[MonthlyIncome]]*1.5),0)</f>
        <v>0</v>
      </c>
    </row>
    <row r="792" spans="1:44" x14ac:dyDescent="0.35">
      <c r="A792" t="s">
        <v>1232</v>
      </c>
      <c r="B792">
        <v>33</v>
      </c>
      <c r="C792" t="s">
        <v>31</v>
      </c>
      <c r="D792">
        <v>654</v>
      </c>
      <c r="E792" t="s">
        <v>38</v>
      </c>
      <c r="F792">
        <v>5</v>
      </c>
      <c r="G792">
        <v>3</v>
      </c>
      <c r="H792" t="s">
        <v>33</v>
      </c>
      <c r="I792">
        <v>4</v>
      </c>
      <c r="J792" t="s">
        <v>39</v>
      </c>
      <c r="K792">
        <v>34</v>
      </c>
      <c r="L792">
        <v>2</v>
      </c>
      <c r="M792">
        <v>3</v>
      </c>
      <c r="N792" t="s">
        <v>47</v>
      </c>
      <c r="O792">
        <v>4</v>
      </c>
      <c r="P792" t="s">
        <v>45</v>
      </c>
      <c r="Q792">
        <v>7119</v>
      </c>
      <c r="R792">
        <v>21214</v>
      </c>
      <c r="S792">
        <v>4</v>
      </c>
      <c r="T792">
        <v>0</v>
      </c>
      <c r="U792" s="17">
        <v>0.15</v>
      </c>
      <c r="V792">
        <v>3</v>
      </c>
      <c r="W792">
        <v>3</v>
      </c>
      <c r="X792">
        <v>1</v>
      </c>
      <c r="Y792">
        <v>9</v>
      </c>
      <c r="Z792">
        <v>2</v>
      </c>
      <c r="AA792">
        <v>3</v>
      </c>
      <c r="AB792">
        <v>3</v>
      </c>
      <c r="AC792">
        <v>2</v>
      </c>
      <c r="AD792">
        <v>1</v>
      </c>
      <c r="AE792">
        <v>2</v>
      </c>
      <c r="AF792">
        <v>0</v>
      </c>
      <c r="AG792">
        <f>IF(tbl_HR_Data[[#This Row],[Gender]]="Male",1,0)</f>
        <v>1</v>
      </c>
      <c r="AH792" cm="1">
        <f t="array" ref="AH792">_xlfn.SWITCH(tbl_HR_Data[[#This Row],[BusinessTravel]], "Non-Travel", 0, "Travel_Rarely", 1, "Travel_Frequently", 2)</f>
        <v>1</v>
      </c>
      <c r="AI792" cm="1">
        <f t="array" ref="AI792">_xlfn.SWITCH(tbl_HR_Data[[#This Row],[MaritalStatus]],"Single",0,"Married",1,"Divorced",2)</f>
        <v>2</v>
      </c>
      <c r="AJ792">
        <f>IF(tbl_HR_Data[[#This Row],[OverTime]]=1,1,0)</f>
        <v>0</v>
      </c>
      <c r="AK792">
        <f>IF(tbl_HR_Data[[#This Row],[DistanceFromHome]]&gt;15,1,0)</f>
        <v>0</v>
      </c>
      <c r="AL792">
        <f>IF(tbl_HR_Data[[#This Row],[JobSatisfaction]]&lt;=2,1,0)</f>
        <v>0</v>
      </c>
      <c r="AM792">
        <f>IF(tbl_HR_Data[[#This Row],[MonthlyIncome]]&lt;$AT$2,1,0)</f>
        <v>0</v>
      </c>
      <c r="AN792">
        <f>IF(tbl_HR_Data[[#This Row],[Travel_Code]]=2,1,0)</f>
        <v>0</v>
      </c>
      <c r="AO792">
        <f>(tbl_HR_Data[[#This Row],[Flag_OT]] * Logic_Parameters!$B$2) +
 (tbl_HR_Data[[#This Row],[Flag_Travel]] * Logic_Parameters!$B$3) +
 (tbl_HR_Data[[#This Row],[Flag_Satisfaction]] * Logic_Parameters!$B$4) +
 (tbl_HR_Data[[#This Row],[Flag_Distance]]* Logic_Parameters!$B$5) +
 (tbl_HR_Data[[#This Row],[Flag_Income]] * Logic_Parameters!$B$6)</f>
        <v>0</v>
      </c>
      <c r="AP792" s="15">
        <f>tbl_HR_Data[[#This Row],[Risk_Score_Raw]] / SUM(Logic_Parameters!$B$2:$B$6)</f>
        <v>0</v>
      </c>
      <c r="AQ792" s="16" t="str" cm="1">
        <f t="array" ref="AQ792">_xlfn.IFS(tbl_HR_Data[[#This Row],[Attrition_Risk_Percentage]] &gt;= 0.75, "Critical",tbl_HR_Data[ [#This Row],[Attrition_Risk_Percentage] ]&gt;= 0.5, "High",tbl_HR_Data[[#This Row],[Attrition_Risk_Percentage]] &gt;= 0.25, "Medium",TRUE, "Low")</f>
        <v>Low</v>
      </c>
      <c r="AR792" s="16" cm="1">
        <f t="array" ref="AR792">IFERROR(_xlfn.IFS(tbl_HR_Data[[#This Row],[Risk_Category]]="Critical",tbl_HR_Data[[#This Row],[MonthlyIncome]]*1.5,tbl_HR_Data[[#This Row],[Risk_Category]]="High",tbl_HR_Data[[#This Row],[MonthlyIncome]]*1.5),0)</f>
        <v>0</v>
      </c>
    </row>
    <row r="793" spans="1:44" x14ac:dyDescent="0.35">
      <c r="A793" t="s">
        <v>1299</v>
      </c>
      <c r="B793">
        <v>35</v>
      </c>
      <c r="C793" t="s">
        <v>31</v>
      </c>
      <c r="D793">
        <v>1204</v>
      </c>
      <c r="E793" t="s">
        <v>32</v>
      </c>
      <c r="F793">
        <v>4</v>
      </c>
      <c r="G793">
        <v>3</v>
      </c>
      <c r="H793" t="s">
        <v>52</v>
      </c>
      <c r="I793">
        <v>4</v>
      </c>
      <c r="J793" t="s">
        <v>39</v>
      </c>
      <c r="K793">
        <v>86</v>
      </c>
      <c r="L793">
        <v>3</v>
      </c>
      <c r="M793">
        <v>3</v>
      </c>
      <c r="N793" t="s">
        <v>35</v>
      </c>
      <c r="O793">
        <v>1</v>
      </c>
      <c r="P793" t="s">
        <v>36</v>
      </c>
      <c r="Q793">
        <v>9582</v>
      </c>
      <c r="R793">
        <v>10333</v>
      </c>
      <c r="S793">
        <v>0</v>
      </c>
      <c r="T793">
        <v>1</v>
      </c>
      <c r="U793" s="17">
        <v>0.22</v>
      </c>
      <c r="V793">
        <v>4</v>
      </c>
      <c r="W793">
        <v>1</v>
      </c>
      <c r="X793">
        <v>0</v>
      </c>
      <c r="Y793">
        <v>9</v>
      </c>
      <c r="Z793">
        <v>2</v>
      </c>
      <c r="AA793">
        <v>3</v>
      </c>
      <c r="AB793">
        <v>8</v>
      </c>
      <c r="AC793">
        <v>7</v>
      </c>
      <c r="AD793">
        <v>4</v>
      </c>
      <c r="AE793">
        <v>7</v>
      </c>
      <c r="AF793">
        <v>1</v>
      </c>
      <c r="AG793">
        <f>IF(tbl_HR_Data[[#This Row],[Gender]]="Male",1,0)</f>
        <v>1</v>
      </c>
      <c r="AH793" cm="1">
        <f t="array" ref="AH793">_xlfn.SWITCH(tbl_HR_Data[[#This Row],[BusinessTravel]], "Non-Travel", 0, "Travel_Rarely", 1, "Travel_Frequently", 2)</f>
        <v>1</v>
      </c>
      <c r="AI793" cm="1">
        <f t="array" ref="AI793">_xlfn.SWITCH(tbl_HR_Data[[#This Row],[MaritalStatus]],"Single",0,"Married",1,"Divorced",2)</f>
        <v>0</v>
      </c>
      <c r="AJ793">
        <f>IF(tbl_HR_Data[[#This Row],[OverTime]]=1,1,0)</f>
        <v>1</v>
      </c>
      <c r="AK793">
        <f>IF(tbl_HR_Data[[#This Row],[DistanceFromHome]]&gt;15,1,0)</f>
        <v>0</v>
      </c>
      <c r="AL793">
        <f>IF(tbl_HR_Data[[#This Row],[JobSatisfaction]]&lt;=2,1,0)</f>
        <v>1</v>
      </c>
      <c r="AM793">
        <f>IF(tbl_HR_Data[[#This Row],[MonthlyIncome]]&lt;$AT$2,1,0)</f>
        <v>0</v>
      </c>
      <c r="AN793">
        <f>IF(tbl_HR_Data[[#This Row],[Travel_Code]]=2,1,0)</f>
        <v>0</v>
      </c>
      <c r="AO793">
        <f>(tbl_HR_Data[[#This Row],[Flag_OT]] * Logic_Parameters!$B$2) +
 (tbl_HR_Data[[#This Row],[Flag_Travel]] * Logic_Parameters!$B$3) +
 (tbl_HR_Data[[#This Row],[Flag_Satisfaction]] * Logic_Parameters!$B$4) +
 (tbl_HR_Data[[#This Row],[Flag_Distance]]* Logic_Parameters!$B$5) +
 (tbl_HR_Data[[#This Row],[Flag_Income]] * Logic_Parameters!$B$6)</f>
        <v>14.204533129978131</v>
      </c>
      <c r="AP793" s="15">
        <f>tbl_HR_Data[[#This Row],[Risk_Score_Raw]] / SUM(Logic_Parameters!$B$2:$B$6)</f>
        <v>0.48938186491297625</v>
      </c>
      <c r="AQ793" s="16" t="str" cm="1">
        <f t="array" ref="AQ793">_xlfn.IFS(tbl_HR_Data[[#This Row],[Attrition_Risk_Percentage]] &gt;= 0.75, "Critical",tbl_HR_Data[ [#This Row],[Attrition_Risk_Percentage] ]&gt;= 0.5, "High",tbl_HR_Data[[#This Row],[Attrition_Risk_Percentage]] &gt;= 0.25, "Medium",TRUE, "Low")</f>
        <v>Medium</v>
      </c>
      <c r="AR793" s="16" cm="1">
        <f t="array" ref="AR793">IFERROR(_xlfn.IFS(tbl_HR_Data[[#This Row],[Risk_Category]]="Critical",tbl_HR_Data[[#This Row],[MonthlyIncome]]*1.5,tbl_HR_Data[[#This Row],[Risk_Category]]="High",tbl_HR_Data[[#This Row],[MonthlyIncome]]*1.5),0)</f>
        <v>0</v>
      </c>
    </row>
    <row r="794" spans="1:44" x14ac:dyDescent="0.35">
      <c r="A794" t="s">
        <v>289</v>
      </c>
      <c r="B794">
        <v>33</v>
      </c>
      <c r="C794" t="s">
        <v>37</v>
      </c>
      <c r="D794">
        <v>827</v>
      </c>
      <c r="E794" t="s">
        <v>38</v>
      </c>
      <c r="F794">
        <v>29</v>
      </c>
      <c r="G794">
        <v>4</v>
      </c>
      <c r="H794" t="s">
        <v>44</v>
      </c>
      <c r="I794">
        <v>1</v>
      </c>
      <c r="J794" t="s">
        <v>34</v>
      </c>
      <c r="K794">
        <v>54</v>
      </c>
      <c r="L794">
        <v>2</v>
      </c>
      <c r="M794">
        <v>2</v>
      </c>
      <c r="N794" t="s">
        <v>40</v>
      </c>
      <c r="O794">
        <v>3</v>
      </c>
      <c r="P794" t="s">
        <v>36</v>
      </c>
      <c r="Q794">
        <v>4508</v>
      </c>
      <c r="R794">
        <v>3129</v>
      </c>
      <c r="S794">
        <v>1</v>
      </c>
      <c r="T794">
        <v>0</v>
      </c>
      <c r="U794" s="17">
        <v>0.22</v>
      </c>
      <c r="V794">
        <v>4</v>
      </c>
      <c r="W794">
        <v>2</v>
      </c>
      <c r="X794">
        <v>0</v>
      </c>
      <c r="Y794">
        <v>14</v>
      </c>
      <c r="Z794">
        <v>4</v>
      </c>
      <c r="AA794">
        <v>3</v>
      </c>
      <c r="AB794">
        <v>13</v>
      </c>
      <c r="AC794">
        <v>7</v>
      </c>
      <c r="AD794">
        <v>3</v>
      </c>
      <c r="AE794">
        <v>8</v>
      </c>
      <c r="AF794">
        <v>1</v>
      </c>
      <c r="AG794">
        <f>IF(tbl_HR_Data[[#This Row],[Gender]]="Male",1,0)</f>
        <v>0</v>
      </c>
      <c r="AH794" cm="1">
        <f t="array" ref="AH794">_xlfn.SWITCH(tbl_HR_Data[[#This Row],[BusinessTravel]], "Non-Travel", 0, "Travel_Rarely", 1, "Travel_Frequently", 2)</f>
        <v>2</v>
      </c>
      <c r="AI794" cm="1">
        <f t="array" ref="AI794">_xlfn.SWITCH(tbl_HR_Data[[#This Row],[MaritalStatus]],"Single",0,"Married",1,"Divorced",2)</f>
        <v>0</v>
      </c>
      <c r="AJ794">
        <f>IF(tbl_HR_Data[[#This Row],[OverTime]]=1,1,0)</f>
        <v>0</v>
      </c>
      <c r="AK794">
        <f>IF(tbl_HR_Data[[#This Row],[DistanceFromHome]]&gt;15,1,0)</f>
        <v>1</v>
      </c>
      <c r="AL794">
        <f>IF(tbl_HR_Data[[#This Row],[JobSatisfaction]]&lt;=2,1,0)</f>
        <v>0</v>
      </c>
      <c r="AM794">
        <f>IF(tbl_HR_Data[[#This Row],[MonthlyIncome]]&lt;$AT$2,1,0)</f>
        <v>1</v>
      </c>
      <c r="AN794">
        <f>IF(tbl_HR_Data[[#This Row],[Travel_Code]]=2,1,0)</f>
        <v>1</v>
      </c>
      <c r="AO794">
        <f>(tbl_HR_Data[[#This Row],[Flag_OT]] * Logic_Parameters!$B$2) +
 (tbl_HR_Data[[#This Row],[Flag_Travel]] * Logic_Parameters!$B$3) +
 (tbl_HR_Data[[#This Row],[Flag_Satisfaction]] * Logic_Parameters!$B$4) +
 (tbl_HR_Data[[#This Row],[Flag_Distance]]* Logic_Parameters!$B$5) +
 (tbl_HR_Data[[#This Row],[Flag_Income]] * Logic_Parameters!$B$6)</f>
        <v>14.820925613786383</v>
      </c>
      <c r="AP794" s="15">
        <f>tbl_HR_Data[[#This Row],[Risk_Score_Raw]] / SUM(Logic_Parameters!$B$2:$B$6)</f>
        <v>0.51061813508702369</v>
      </c>
      <c r="AQ794" s="16" t="str" cm="1">
        <f t="array" ref="AQ794">_xlfn.IFS(tbl_HR_Data[[#This Row],[Attrition_Risk_Percentage]] &gt;= 0.75, "Critical",tbl_HR_Data[ [#This Row],[Attrition_Risk_Percentage] ]&gt;= 0.5, "High",tbl_HR_Data[[#This Row],[Attrition_Risk_Percentage]] &gt;= 0.25, "Medium",TRUE, "Low")</f>
        <v>High</v>
      </c>
      <c r="AR794" s="16" cm="1">
        <f t="array" ref="AR794">IFERROR(_xlfn.IFS(tbl_HR_Data[[#This Row],[Risk_Category]]="Critical",tbl_HR_Data[[#This Row],[MonthlyIncome]]*1.5,tbl_HR_Data[[#This Row],[Risk_Category]]="High",tbl_HR_Data[[#This Row],[MonthlyIncome]]*1.5),0)</f>
        <v>6762</v>
      </c>
    </row>
    <row r="795" spans="1:44" x14ac:dyDescent="0.35">
      <c r="A795" t="s">
        <v>988</v>
      </c>
      <c r="B795">
        <v>28</v>
      </c>
      <c r="C795" t="s">
        <v>31</v>
      </c>
      <c r="D795">
        <v>895</v>
      </c>
      <c r="E795" t="s">
        <v>38</v>
      </c>
      <c r="F795">
        <v>15</v>
      </c>
      <c r="G795">
        <v>2</v>
      </c>
      <c r="H795" t="s">
        <v>33</v>
      </c>
      <c r="I795">
        <v>1</v>
      </c>
      <c r="J795" t="s">
        <v>39</v>
      </c>
      <c r="K795">
        <v>50</v>
      </c>
      <c r="L795">
        <v>3</v>
      </c>
      <c r="M795">
        <v>1</v>
      </c>
      <c r="N795" t="s">
        <v>43</v>
      </c>
      <c r="O795">
        <v>3</v>
      </c>
      <c r="P795" t="s">
        <v>45</v>
      </c>
      <c r="Q795">
        <v>2207</v>
      </c>
      <c r="R795">
        <v>22482</v>
      </c>
      <c r="S795">
        <v>1</v>
      </c>
      <c r="T795">
        <v>0</v>
      </c>
      <c r="U795" s="17">
        <v>0.16</v>
      </c>
      <c r="V795">
        <v>3</v>
      </c>
      <c r="W795">
        <v>4</v>
      </c>
      <c r="X795">
        <v>1</v>
      </c>
      <c r="Y795">
        <v>4</v>
      </c>
      <c r="Z795">
        <v>5</v>
      </c>
      <c r="AA795">
        <v>2</v>
      </c>
      <c r="AB795">
        <v>4</v>
      </c>
      <c r="AC795">
        <v>2</v>
      </c>
      <c r="AD795">
        <v>2</v>
      </c>
      <c r="AE795">
        <v>2</v>
      </c>
      <c r="AF795">
        <v>0</v>
      </c>
      <c r="AG795">
        <f>IF(tbl_HR_Data[[#This Row],[Gender]]="Male",1,0)</f>
        <v>1</v>
      </c>
      <c r="AH795" cm="1">
        <f t="array" ref="AH795">_xlfn.SWITCH(tbl_HR_Data[[#This Row],[BusinessTravel]], "Non-Travel", 0, "Travel_Rarely", 1, "Travel_Frequently", 2)</f>
        <v>1</v>
      </c>
      <c r="AI795" cm="1">
        <f t="array" ref="AI795">_xlfn.SWITCH(tbl_HR_Data[[#This Row],[MaritalStatus]],"Single",0,"Married",1,"Divorced",2)</f>
        <v>2</v>
      </c>
      <c r="AJ795">
        <f>IF(tbl_HR_Data[[#This Row],[OverTime]]=1,1,0)</f>
        <v>0</v>
      </c>
      <c r="AK795">
        <f>IF(tbl_HR_Data[[#This Row],[DistanceFromHome]]&gt;15,1,0)</f>
        <v>0</v>
      </c>
      <c r="AL795">
        <f>IF(tbl_HR_Data[[#This Row],[JobSatisfaction]]&lt;=2,1,0)</f>
        <v>0</v>
      </c>
      <c r="AM795">
        <f>IF(tbl_HR_Data[[#This Row],[MonthlyIncome]]&lt;$AT$2,1,0)</f>
        <v>1</v>
      </c>
      <c r="AN795">
        <f>IF(tbl_HR_Data[[#This Row],[Travel_Code]]=2,1,0)</f>
        <v>0</v>
      </c>
      <c r="AO795">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795" s="15">
        <f>tbl_HR_Data[[#This Row],[Risk_Score_Raw]] / SUM(Logic_Parameters!$B$2:$B$6)</f>
        <v>0.22374939857982484</v>
      </c>
      <c r="AQ795" s="16" t="str" cm="1">
        <f t="array" ref="AQ795">_xlfn.IFS(tbl_HR_Data[[#This Row],[Attrition_Risk_Percentage]] &gt;= 0.75, "Critical",tbl_HR_Data[ [#This Row],[Attrition_Risk_Percentage] ]&gt;= 0.5, "High",tbl_HR_Data[[#This Row],[Attrition_Risk_Percentage]] &gt;= 0.25, "Medium",TRUE, "Low")</f>
        <v>Low</v>
      </c>
      <c r="AR795" s="16" cm="1">
        <f t="array" ref="AR795">IFERROR(_xlfn.IFS(tbl_HR_Data[[#This Row],[Risk_Category]]="Critical",tbl_HR_Data[[#This Row],[MonthlyIncome]]*1.5,tbl_HR_Data[[#This Row],[Risk_Category]]="High",tbl_HR_Data[[#This Row],[MonthlyIncome]]*1.5),0)</f>
        <v>0</v>
      </c>
    </row>
    <row r="796" spans="1:44" x14ac:dyDescent="0.35">
      <c r="A796" t="s">
        <v>856</v>
      </c>
      <c r="B796">
        <v>34</v>
      </c>
      <c r="C796" t="s">
        <v>37</v>
      </c>
      <c r="D796">
        <v>618</v>
      </c>
      <c r="E796" t="s">
        <v>38</v>
      </c>
      <c r="F796">
        <v>3</v>
      </c>
      <c r="G796">
        <v>1</v>
      </c>
      <c r="H796" t="s">
        <v>33</v>
      </c>
      <c r="I796">
        <v>1</v>
      </c>
      <c r="J796" t="s">
        <v>39</v>
      </c>
      <c r="K796">
        <v>45</v>
      </c>
      <c r="L796">
        <v>3</v>
      </c>
      <c r="M796">
        <v>2</v>
      </c>
      <c r="N796" t="s">
        <v>47</v>
      </c>
      <c r="O796">
        <v>4</v>
      </c>
      <c r="P796" t="s">
        <v>36</v>
      </c>
      <c r="Q796">
        <v>7756</v>
      </c>
      <c r="R796">
        <v>22266</v>
      </c>
      <c r="S796">
        <v>0</v>
      </c>
      <c r="T796">
        <v>0</v>
      </c>
      <c r="U796" s="17">
        <v>0.17</v>
      </c>
      <c r="V796">
        <v>3</v>
      </c>
      <c r="W796">
        <v>3</v>
      </c>
      <c r="X796">
        <v>0</v>
      </c>
      <c r="Y796">
        <v>7</v>
      </c>
      <c r="Z796">
        <v>1</v>
      </c>
      <c r="AA796">
        <v>2</v>
      </c>
      <c r="AB796">
        <v>6</v>
      </c>
      <c r="AC796">
        <v>2</v>
      </c>
      <c r="AD796">
        <v>0</v>
      </c>
      <c r="AE796">
        <v>4</v>
      </c>
      <c r="AF796">
        <v>0</v>
      </c>
      <c r="AG796">
        <f>IF(tbl_HR_Data[[#This Row],[Gender]]="Male",1,0)</f>
        <v>1</v>
      </c>
      <c r="AH796" cm="1">
        <f t="array" ref="AH796">_xlfn.SWITCH(tbl_HR_Data[[#This Row],[BusinessTravel]], "Non-Travel", 0, "Travel_Rarely", 1, "Travel_Frequently", 2)</f>
        <v>2</v>
      </c>
      <c r="AI796" cm="1">
        <f t="array" ref="AI796">_xlfn.SWITCH(tbl_HR_Data[[#This Row],[MaritalStatus]],"Single",0,"Married",1,"Divorced",2)</f>
        <v>0</v>
      </c>
      <c r="AJ796">
        <f>IF(tbl_HR_Data[[#This Row],[OverTime]]=1,1,0)</f>
        <v>0</v>
      </c>
      <c r="AK796">
        <f>IF(tbl_HR_Data[[#This Row],[DistanceFromHome]]&gt;15,1,0)</f>
        <v>0</v>
      </c>
      <c r="AL796">
        <f>IF(tbl_HR_Data[[#This Row],[JobSatisfaction]]&lt;=2,1,0)</f>
        <v>0</v>
      </c>
      <c r="AM796">
        <f>IF(tbl_HR_Data[[#This Row],[MonthlyIncome]]&lt;$AT$2,1,0)</f>
        <v>0</v>
      </c>
      <c r="AN796">
        <f>IF(tbl_HR_Data[[#This Row],[Travel_Code]]=2,1,0)</f>
        <v>1</v>
      </c>
      <c r="AO796">
        <f>(tbl_HR_Data[[#This Row],[Flag_OT]] * Logic_Parameters!$B$2) +
 (tbl_HR_Data[[#This Row],[Flag_Travel]] * Logic_Parameters!$B$3) +
 (tbl_HR_Data[[#This Row],[Flag_Satisfaction]] * Logic_Parameters!$B$4) +
 (tbl_HR_Data[[#This Row],[Flag_Distance]]* Logic_Parameters!$B$5) +
 (tbl_HR_Data[[#This Row],[Flag_Income]] * Logic_Parameters!$B$6)</f>
        <v>5.1603899804901765</v>
      </c>
      <c r="AP796" s="15">
        <f>tbl_HR_Data[[#This Row],[Risk_Score_Raw]] / SUM(Logic_Parameters!$B$2:$B$6)</f>
        <v>0.17778840383009531</v>
      </c>
      <c r="AQ796" s="16" t="str" cm="1">
        <f t="array" ref="AQ796">_xlfn.IFS(tbl_HR_Data[[#This Row],[Attrition_Risk_Percentage]] &gt;= 0.75, "Critical",tbl_HR_Data[ [#This Row],[Attrition_Risk_Percentage] ]&gt;= 0.5, "High",tbl_HR_Data[[#This Row],[Attrition_Risk_Percentage]] &gt;= 0.25, "Medium",TRUE, "Low")</f>
        <v>Low</v>
      </c>
      <c r="AR796" s="16" cm="1">
        <f t="array" ref="AR796">IFERROR(_xlfn.IFS(tbl_HR_Data[[#This Row],[Risk_Category]]="Critical",tbl_HR_Data[[#This Row],[MonthlyIncome]]*1.5,tbl_HR_Data[[#This Row],[Risk_Category]]="High",tbl_HR_Data[[#This Row],[MonthlyIncome]]*1.5),0)</f>
        <v>0</v>
      </c>
    </row>
    <row r="797" spans="1:44" x14ac:dyDescent="0.35">
      <c r="A797" t="s">
        <v>181</v>
      </c>
      <c r="B797">
        <v>37</v>
      </c>
      <c r="C797" t="s">
        <v>31</v>
      </c>
      <c r="D797">
        <v>309</v>
      </c>
      <c r="E797" t="s">
        <v>32</v>
      </c>
      <c r="F797">
        <v>10</v>
      </c>
      <c r="G797">
        <v>4</v>
      </c>
      <c r="H797" t="s">
        <v>33</v>
      </c>
      <c r="I797">
        <v>4</v>
      </c>
      <c r="J797" t="s">
        <v>34</v>
      </c>
      <c r="K797">
        <v>88</v>
      </c>
      <c r="L797">
        <v>2</v>
      </c>
      <c r="M797">
        <v>2</v>
      </c>
      <c r="N797" t="s">
        <v>35</v>
      </c>
      <c r="O797">
        <v>4</v>
      </c>
      <c r="P797" t="s">
        <v>45</v>
      </c>
      <c r="Q797">
        <v>6694</v>
      </c>
      <c r="R797">
        <v>24223</v>
      </c>
      <c r="S797">
        <v>2</v>
      </c>
      <c r="T797">
        <v>1</v>
      </c>
      <c r="U797" s="17">
        <v>0.14000000000000001</v>
      </c>
      <c r="V797">
        <v>3</v>
      </c>
      <c r="W797">
        <v>3</v>
      </c>
      <c r="X797">
        <v>3</v>
      </c>
      <c r="Y797">
        <v>8</v>
      </c>
      <c r="Z797">
        <v>5</v>
      </c>
      <c r="AA797">
        <v>3</v>
      </c>
      <c r="AB797">
        <v>1</v>
      </c>
      <c r="AC797">
        <v>0</v>
      </c>
      <c r="AD797">
        <v>0</v>
      </c>
      <c r="AE797">
        <v>0</v>
      </c>
      <c r="AF797">
        <v>0</v>
      </c>
      <c r="AG797">
        <f>IF(tbl_HR_Data[[#This Row],[Gender]]="Male",1,0)</f>
        <v>0</v>
      </c>
      <c r="AH797" cm="1">
        <f t="array" ref="AH797">_xlfn.SWITCH(tbl_HR_Data[[#This Row],[BusinessTravel]], "Non-Travel", 0, "Travel_Rarely", 1, "Travel_Frequently", 2)</f>
        <v>1</v>
      </c>
      <c r="AI797" cm="1">
        <f t="array" ref="AI797">_xlfn.SWITCH(tbl_HR_Data[[#This Row],[MaritalStatus]],"Single",0,"Married",1,"Divorced",2)</f>
        <v>2</v>
      </c>
      <c r="AJ797">
        <f>IF(tbl_HR_Data[[#This Row],[OverTime]]=1,1,0)</f>
        <v>1</v>
      </c>
      <c r="AK797">
        <f>IF(tbl_HR_Data[[#This Row],[DistanceFromHome]]&gt;15,1,0)</f>
        <v>0</v>
      </c>
      <c r="AL797">
        <f>IF(tbl_HR_Data[[#This Row],[JobSatisfaction]]&lt;=2,1,0)</f>
        <v>0</v>
      </c>
      <c r="AM797">
        <f>IF(tbl_HR_Data[[#This Row],[MonthlyIncome]]&lt;$AT$2,1,0)</f>
        <v>0</v>
      </c>
      <c r="AN797">
        <f>IF(tbl_HR_Data[[#This Row],[Travel_Code]]=2,1,0)</f>
        <v>0</v>
      </c>
      <c r="AO797">
        <f>(tbl_HR_Data[[#This Row],[Flag_OT]] * Logic_Parameters!$B$2) +
 (tbl_HR_Data[[#This Row],[Flag_Travel]] * Logic_Parameters!$B$3) +
 (tbl_HR_Data[[#This Row],[Flag_Satisfaction]] * Logic_Parameters!$B$4) +
 (tbl_HR_Data[[#This Row],[Flag_Distance]]* Logic_Parameters!$B$5) +
 (tbl_HR_Data[[#This Row],[Flag_Income]] * Logic_Parameters!$B$6)</f>
        <v>10</v>
      </c>
      <c r="AP797" s="15">
        <f>tbl_HR_Data[[#This Row],[Risk_Score_Raw]] / SUM(Logic_Parameters!$B$2:$B$6)</f>
        <v>0.3445251318258073</v>
      </c>
      <c r="AQ797" s="16" t="str" cm="1">
        <f t="array" ref="AQ797">_xlfn.IFS(tbl_HR_Data[[#This Row],[Attrition_Risk_Percentage]] &gt;= 0.75, "Critical",tbl_HR_Data[ [#This Row],[Attrition_Risk_Percentage] ]&gt;= 0.5, "High",tbl_HR_Data[[#This Row],[Attrition_Risk_Percentage]] &gt;= 0.25, "Medium",TRUE, "Low")</f>
        <v>Medium</v>
      </c>
      <c r="AR797" s="16" cm="1">
        <f t="array" ref="AR797">IFERROR(_xlfn.IFS(tbl_HR_Data[[#This Row],[Risk_Category]]="Critical",tbl_HR_Data[[#This Row],[MonthlyIncome]]*1.5,tbl_HR_Data[[#This Row],[Risk_Category]]="High",tbl_HR_Data[[#This Row],[MonthlyIncome]]*1.5),0)</f>
        <v>0</v>
      </c>
    </row>
    <row r="798" spans="1:44" x14ac:dyDescent="0.35">
      <c r="A798" t="s">
        <v>576</v>
      </c>
      <c r="B798">
        <v>25</v>
      </c>
      <c r="C798" t="s">
        <v>31</v>
      </c>
      <c r="D798">
        <v>1219</v>
      </c>
      <c r="E798" t="s">
        <v>38</v>
      </c>
      <c r="F798">
        <v>4</v>
      </c>
      <c r="G798">
        <v>1</v>
      </c>
      <c r="H798" t="s">
        <v>52</v>
      </c>
      <c r="I798">
        <v>4</v>
      </c>
      <c r="J798" t="s">
        <v>39</v>
      </c>
      <c r="K798">
        <v>32</v>
      </c>
      <c r="L798">
        <v>3</v>
      </c>
      <c r="M798">
        <v>1</v>
      </c>
      <c r="N798" t="s">
        <v>43</v>
      </c>
      <c r="O798">
        <v>4</v>
      </c>
      <c r="P798" t="s">
        <v>41</v>
      </c>
      <c r="Q798">
        <v>3691</v>
      </c>
      <c r="R798">
        <v>4605</v>
      </c>
      <c r="S798">
        <v>1</v>
      </c>
      <c r="T798">
        <v>1</v>
      </c>
      <c r="U798" s="17">
        <v>0.15</v>
      </c>
      <c r="V798">
        <v>3</v>
      </c>
      <c r="W798">
        <v>2</v>
      </c>
      <c r="X798">
        <v>1</v>
      </c>
      <c r="Y798">
        <v>7</v>
      </c>
      <c r="Z798">
        <v>3</v>
      </c>
      <c r="AA798">
        <v>4</v>
      </c>
      <c r="AB798">
        <v>7</v>
      </c>
      <c r="AC798">
        <v>7</v>
      </c>
      <c r="AD798">
        <v>5</v>
      </c>
      <c r="AE798">
        <v>6</v>
      </c>
      <c r="AF798">
        <v>1</v>
      </c>
      <c r="AG798">
        <f>IF(tbl_HR_Data[[#This Row],[Gender]]="Male",1,0)</f>
        <v>1</v>
      </c>
      <c r="AH798" cm="1">
        <f t="array" ref="AH798">_xlfn.SWITCH(tbl_HR_Data[[#This Row],[BusinessTravel]], "Non-Travel", 0, "Travel_Rarely", 1, "Travel_Frequently", 2)</f>
        <v>1</v>
      </c>
      <c r="AI798" cm="1">
        <f t="array" ref="AI798">_xlfn.SWITCH(tbl_HR_Data[[#This Row],[MaritalStatus]],"Single",0,"Married",1,"Divorced",2)</f>
        <v>1</v>
      </c>
      <c r="AJ798">
        <f>IF(tbl_HR_Data[[#This Row],[OverTime]]=1,1,0)</f>
        <v>1</v>
      </c>
      <c r="AK798">
        <f>IF(tbl_HR_Data[[#This Row],[DistanceFromHome]]&gt;15,1,0)</f>
        <v>0</v>
      </c>
      <c r="AL798">
        <f>IF(tbl_HR_Data[[#This Row],[JobSatisfaction]]&lt;=2,1,0)</f>
        <v>0</v>
      </c>
      <c r="AM798">
        <f>IF(tbl_HR_Data[[#This Row],[MonthlyIncome]]&lt;$AT$2,1,0)</f>
        <v>1</v>
      </c>
      <c r="AN798">
        <f>IF(tbl_HR_Data[[#This Row],[Travel_Code]]=2,1,0)</f>
        <v>0</v>
      </c>
      <c r="AO798">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798" s="15">
        <f>tbl_HR_Data[[#This Row],[Risk_Score_Raw]] / SUM(Logic_Parameters!$B$2:$B$6)</f>
        <v>0.56827453040563214</v>
      </c>
      <c r="AQ798" s="16" t="str" cm="1">
        <f t="array" ref="AQ798">_xlfn.IFS(tbl_HR_Data[[#This Row],[Attrition_Risk_Percentage]] &gt;= 0.75, "Critical",tbl_HR_Data[ [#This Row],[Attrition_Risk_Percentage] ]&gt;= 0.5, "High",tbl_HR_Data[[#This Row],[Attrition_Risk_Percentage]] &gt;= 0.25, "Medium",TRUE, "Low")</f>
        <v>High</v>
      </c>
      <c r="AR798" s="16" cm="1">
        <f t="array" ref="AR798">IFERROR(_xlfn.IFS(tbl_HR_Data[[#This Row],[Risk_Category]]="Critical",tbl_HR_Data[[#This Row],[MonthlyIncome]]*1.5,tbl_HR_Data[[#This Row],[Risk_Category]]="High",tbl_HR_Data[[#This Row],[MonthlyIncome]]*1.5),0)</f>
        <v>5536.5</v>
      </c>
    </row>
    <row r="799" spans="1:44" x14ac:dyDescent="0.35">
      <c r="A799" t="s">
        <v>232</v>
      </c>
      <c r="B799">
        <v>26</v>
      </c>
      <c r="C799" t="s">
        <v>31</v>
      </c>
      <c r="D799">
        <v>1330</v>
      </c>
      <c r="E799" t="s">
        <v>38</v>
      </c>
      <c r="F799">
        <v>21</v>
      </c>
      <c r="G799">
        <v>3</v>
      </c>
      <c r="H799" t="s">
        <v>44</v>
      </c>
      <c r="I799">
        <v>1</v>
      </c>
      <c r="J799" t="s">
        <v>39</v>
      </c>
      <c r="K799">
        <v>37</v>
      </c>
      <c r="L799">
        <v>3</v>
      </c>
      <c r="M799">
        <v>1</v>
      </c>
      <c r="N799" t="s">
        <v>43</v>
      </c>
      <c r="O799">
        <v>3</v>
      </c>
      <c r="P799" t="s">
        <v>45</v>
      </c>
      <c r="Q799">
        <v>2377</v>
      </c>
      <c r="R799">
        <v>19373</v>
      </c>
      <c r="S799">
        <v>1</v>
      </c>
      <c r="T799">
        <v>0</v>
      </c>
      <c r="U799" s="17">
        <v>0.2</v>
      </c>
      <c r="V799">
        <v>4</v>
      </c>
      <c r="W799">
        <v>3</v>
      </c>
      <c r="X799">
        <v>1</v>
      </c>
      <c r="Y799">
        <v>1</v>
      </c>
      <c r="Z799">
        <v>0</v>
      </c>
      <c r="AA799">
        <v>2</v>
      </c>
      <c r="AB799">
        <v>1</v>
      </c>
      <c r="AC799">
        <v>1</v>
      </c>
      <c r="AD799">
        <v>0</v>
      </c>
      <c r="AE799">
        <v>0</v>
      </c>
      <c r="AF799">
        <v>1</v>
      </c>
      <c r="AG799">
        <f>IF(tbl_HR_Data[[#This Row],[Gender]]="Male",1,0)</f>
        <v>1</v>
      </c>
      <c r="AH799" cm="1">
        <f t="array" ref="AH799">_xlfn.SWITCH(tbl_HR_Data[[#This Row],[BusinessTravel]], "Non-Travel", 0, "Travel_Rarely", 1, "Travel_Frequently", 2)</f>
        <v>1</v>
      </c>
      <c r="AI799" cm="1">
        <f t="array" ref="AI799">_xlfn.SWITCH(tbl_HR_Data[[#This Row],[MaritalStatus]],"Single",0,"Married",1,"Divorced",2)</f>
        <v>2</v>
      </c>
      <c r="AJ799">
        <f>IF(tbl_HR_Data[[#This Row],[OverTime]]=1,1,0)</f>
        <v>0</v>
      </c>
      <c r="AK799">
        <f>IF(tbl_HR_Data[[#This Row],[DistanceFromHome]]&gt;15,1,0)</f>
        <v>1</v>
      </c>
      <c r="AL799">
        <f>IF(tbl_HR_Data[[#This Row],[JobSatisfaction]]&lt;=2,1,0)</f>
        <v>0</v>
      </c>
      <c r="AM799">
        <f>IF(tbl_HR_Data[[#This Row],[MonthlyIncome]]&lt;$AT$2,1,0)</f>
        <v>1</v>
      </c>
      <c r="AN799">
        <f>IF(tbl_HR_Data[[#This Row],[Travel_Code]]=2,1,0)</f>
        <v>0</v>
      </c>
      <c r="AO799">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799" s="15">
        <f>tbl_HR_Data[[#This Row],[Risk_Score_Raw]] / SUM(Logic_Parameters!$B$2:$B$6)</f>
        <v>0.33282973125692844</v>
      </c>
      <c r="AQ799" s="16" t="str" cm="1">
        <f t="array" ref="AQ799">_xlfn.IFS(tbl_HR_Data[[#This Row],[Attrition_Risk_Percentage]] &gt;= 0.75, "Critical",tbl_HR_Data[ [#This Row],[Attrition_Risk_Percentage] ]&gt;= 0.5, "High",tbl_HR_Data[[#This Row],[Attrition_Risk_Percentage]] &gt;= 0.25, "Medium",TRUE, "Low")</f>
        <v>Medium</v>
      </c>
      <c r="AR799" s="16" cm="1">
        <f t="array" ref="AR799">IFERROR(_xlfn.IFS(tbl_HR_Data[[#This Row],[Risk_Category]]="Critical",tbl_HR_Data[[#This Row],[MonthlyIncome]]*1.5,tbl_HR_Data[[#This Row],[Risk_Category]]="High",tbl_HR_Data[[#This Row],[MonthlyIncome]]*1.5),0)</f>
        <v>0</v>
      </c>
    </row>
    <row r="800" spans="1:44" x14ac:dyDescent="0.35">
      <c r="A800" t="s">
        <v>1314</v>
      </c>
      <c r="B800">
        <v>33</v>
      </c>
      <c r="C800" t="s">
        <v>31</v>
      </c>
      <c r="D800">
        <v>1017</v>
      </c>
      <c r="E800" t="s">
        <v>38</v>
      </c>
      <c r="F800">
        <v>25</v>
      </c>
      <c r="G800">
        <v>3</v>
      </c>
      <c r="H800" t="s">
        <v>44</v>
      </c>
      <c r="I800">
        <v>1</v>
      </c>
      <c r="J800" t="s">
        <v>39</v>
      </c>
      <c r="K800">
        <v>55</v>
      </c>
      <c r="L800">
        <v>2</v>
      </c>
      <c r="M800">
        <v>1</v>
      </c>
      <c r="N800" t="s">
        <v>40</v>
      </c>
      <c r="O800">
        <v>2</v>
      </c>
      <c r="P800" t="s">
        <v>36</v>
      </c>
      <c r="Q800">
        <v>2313</v>
      </c>
      <c r="R800">
        <v>2993</v>
      </c>
      <c r="S800">
        <v>4</v>
      </c>
      <c r="T800">
        <v>1</v>
      </c>
      <c r="U800" s="17">
        <v>0.2</v>
      </c>
      <c r="V800">
        <v>4</v>
      </c>
      <c r="W800">
        <v>2</v>
      </c>
      <c r="X800">
        <v>0</v>
      </c>
      <c r="Y800">
        <v>5</v>
      </c>
      <c r="Z800">
        <v>0</v>
      </c>
      <c r="AA800">
        <v>3</v>
      </c>
      <c r="AB800">
        <v>2</v>
      </c>
      <c r="AC800">
        <v>2</v>
      </c>
      <c r="AD800">
        <v>2</v>
      </c>
      <c r="AE800">
        <v>2</v>
      </c>
      <c r="AF800">
        <v>1</v>
      </c>
      <c r="AG800">
        <f>IF(tbl_HR_Data[[#This Row],[Gender]]="Male",1,0)</f>
        <v>1</v>
      </c>
      <c r="AH800" cm="1">
        <f t="array" ref="AH800">_xlfn.SWITCH(tbl_HR_Data[[#This Row],[BusinessTravel]], "Non-Travel", 0, "Travel_Rarely", 1, "Travel_Frequently", 2)</f>
        <v>1</v>
      </c>
      <c r="AI800" cm="1">
        <f t="array" ref="AI800">_xlfn.SWITCH(tbl_HR_Data[[#This Row],[MaritalStatus]],"Single",0,"Married",1,"Divorced",2)</f>
        <v>0</v>
      </c>
      <c r="AJ800">
        <f>IF(tbl_HR_Data[[#This Row],[OverTime]]=1,1,0)</f>
        <v>1</v>
      </c>
      <c r="AK800">
        <f>IF(tbl_HR_Data[[#This Row],[DistanceFromHome]]&gt;15,1,0)</f>
        <v>1</v>
      </c>
      <c r="AL800">
        <f>IF(tbl_HR_Data[[#This Row],[JobSatisfaction]]&lt;=2,1,0)</f>
        <v>1</v>
      </c>
      <c r="AM800">
        <f>IF(tbl_HR_Data[[#This Row],[MonthlyIncome]]&lt;$AT$2,1,0)</f>
        <v>1</v>
      </c>
      <c r="AN800">
        <f>IF(tbl_HR_Data[[#This Row],[Travel_Code]]=2,1,0)</f>
        <v>0</v>
      </c>
      <c r="AO800">
        <f>(tbl_HR_Data[[#This Row],[Flag_OT]] * Logic_Parameters!$B$2) +
 (tbl_HR_Data[[#This Row],[Flag_Travel]] * Logic_Parameters!$B$3) +
 (tbl_HR_Data[[#This Row],[Flag_Satisfaction]] * Logic_Parameters!$B$4) +
 (tbl_HR_Data[[#This Row],[Flag_Distance]]* Logic_Parameters!$B$5) +
 (tbl_HR_Data[[#This Row],[Flag_Income]] * Logic_Parameters!$B$6)</f>
        <v>23.865068763274337</v>
      </c>
      <c r="AP800" s="15">
        <f>tbl_HR_Data[[#This Row],[Risk_Score_Raw]] / SUM(Logic_Parameters!$B$2:$B$6)</f>
        <v>0.82221159616990469</v>
      </c>
      <c r="AQ800" s="16" t="str" cm="1">
        <f t="array" ref="AQ800">_xlfn.IFS(tbl_HR_Data[[#This Row],[Attrition_Risk_Percentage]] &gt;= 0.75, "Critical",tbl_HR_Data[ [#This Row],[Attrition_Risk_Percentage] ]&gt;= 0.5, "High",tbl_HR_Data[[#This Row],[Attrition_Risk_Percentage]] &gt;= 0.25, "Medium",TRUE, "Low")</f>
        <v>Critical</v>
      </c>
      <c r="AR800" s="16" cm="1">
        <f t="array" ref="AR800">IFERROR(_xlfn.IFS(tbl_HR_Data[[#This Row],[Risk_Category]]="Critical",tbl_HR_Data[[#This Row],[MonthlyIncome]]*1.5,tbl_HR_Data[[#This Row],[Risk_Category]]="High",tbl_HR_Data[[#This Row],[MonthlyIncome]]*1.5),0)</f>
        <v>3469.5</v>
      </c>
    </row>
    <row r="801" spans="1:44" x14ac:dyDescent="0.35">
      <c r="A801" t="s">
        <v>732</v>
      </c>
      <c r="B801">
        <v>42</v>
      </c>
      <c r="C801" t="s">
        <v>31</v>
      </c>
      <c r="D801">
        <v>469</v>
      </c>
      <c r="E801" t="s">
        <v>38</v>
      </c>
      <c r="F801">
        <v>2</v>
      </c>
      <c r="G801">
        <v>2</v>
      </c>
      <c r="H801" t="s">
        <v>44</v>
      </c>
      <c r="I801">
        <v>4</v>
      </c>
      <c r="J801" t="s">
        <v>39</v>
      </c>
      <c r="K801">
        <v>35</v>
      </c>
      <c r="L801">
        <v>3</v>
      </c>
      <c r="M801">
        <v>4</v>
      </c>
      <c r="N801" t="s">
        <v>48</v>
      </c>
      <c r="O801">
        <v>1</v>
      </c>
      <c r="P801" t="s">
        <v>41</v>
      </c>
      <c r="Q801">
        <v>17665</v>
      </c>
      <c r="R801">
        <v>14399</v>
      </c>
      <c r="S801">
        <v>0</v>
      </c>
      <c r="T801">
        <v>0</v>
      </c>
      <c r="U801" s="17">
        <v>0.17</v>
      </c>
      <c r="V801">
        <v>3</v>
      </c>
      <c r="W801">
        <v>4</v>
      </c>
      <c r="X801">
        <v>1</v>
      </c>
      <c r="Y801">
        <v>23</v>
      </c>
      <c r="Z801">
        <v>3</v>
      </c>
      <c r="AA801">
        <v>3</v>
      </c>
      <c r="AB801">
        <v>22</v>
      </c>
      <c r="AC801">
        <v>6</v>
      </c>
      <c r="AD801">
        <v>13</v>
      </c>
      <c r="AE801">
        <v>7</v>
      </c>
      <c r="AF801">
        <v>0</v>
      </c>
      <c r="AG801">
        <f>IF(tbl_HR_Data[[#This Row],[Gender]]="Male",1,0)</f>
        <v>1</v>
      </c>
      <c r="AH801" cm="1">
        <f t="array" ref="AH801">_xlfn.SWITCH(tbl_HR_Data[[#This Row],[BusinessTravel]], "Non-Travel", 0, "Travel_Rarely", 1, "Travel_Frequently", 2)</f>
        <v>1</v>
      </c>
      <c r="AI801" cm="1">
        <f t="array" ref="AI801">_xlfn.SWITCH(tbl_HR_Data[[#This Row],[MaritalStatus]],"Single",0,"Married",1,"Divorced",2)</f>
        <v>1</v>
      </c>
      <c r="AJ801">
        <f>IF(tbl_HR_Data[[#This Row],[OverTime]]=1,1,0)</f>
        <v>0</v>
      </c>
      <c r="AK801">
        <f>IF(tbl_HR_Data[[#This Row],[DistanceFromHome]]&gt;15,1,0)</f>
        <v>0</v>
      </c>
      <c r="AL801">
        <f>IF(tbl_HR_Data[[#This Row],[JobSatisfaction]]&lt;=2,1,0)</f>
        <v>1</v>
      </c>
      <c r="AM801">
        <f>IF(tbl_HR_Data[[#This Row],[MonthlyIncome]]&lt;$AT$2,1,0)</f>
        <v>0</v>
      </c>
      <c r="AN801">
        <f>IF(tbl_HR_Data[[#This Row],[Travel_Code]]=2,1,0)</f>
        <v>0</v>
      </c>
      <c r="AO801">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801" s="15">
        <f>tbl_HR_Data[[#This Row],[Risk_Score_Raw]] / SUM(Logic_Parameters!$B$2:$B$6)</f>
        <v>0.14485673308716898</v>
      </c>
      <c r="AQ801" s="16" t="str" cm="1">
        <f t="array" ref="AQ801">_xlfn.IFS(tbl_HR_Data[[#This Row],[Attrition_Risk_Percentage]] &gt;= 0.75, "Critical",tbl_HR_Data[ [#This Row],[Attrition_Risk_Percentage] ]&gt;= 0.5, "High",tbl_HR_Data[[#This Row],[Attrition_Risk_Percentage]] &gt;= 0.25, "Medium",TRUE, "Low")</f>
        <v>Low</v>
      </c>
      <c r="AR801" s="16" cm="1">
        <f t="array" ref="AR801">IFERROR(_xlfn.IFS(tbl_HR_Data[[#This Row],[Risk_Category]]="Critical",tbl_HR_Data[[#This Row],[MonthlyIncome]]*1.5,tbl_HR_Data[[#This Row],[Risk_Category]]="High",tbl_HR_Data[[#This Row],[MonthlyIncome]]*1.5),0)</f>
        <v>0</v>
      </c>
    </row>
    <row r="802" spans="1:44" x14ac:dyDescent="0.35">
      <c r="A802" t="s">
        <v>1217</v>
      </c>
      <c r="B802">
        <v>28</v>
      </c>
      <c r="C802" t="s">
        <v>37</v>
      </c>
      <c r="D802">
        <v>1009</v>
      </c>
      <c r="E802" t="s">
        <v>38</v>
      </c>
      <c r="F802">
        <v>1</v>
      </c>
      <c r="G802">
        <v>3</v>
      </c>
      <c r="H802" t="s">
        <v>44</v>
      </c>
      <c r="I802">
        <v>1</v>
      </c>
      <c r="J802" t="s">
        <v>39</v>
      </c>
      <c r="K802">
        <v>45</v>
      </c>
      <c r="L802">
        <v>2</v>
      </c>
      <c r="M802">
        <v>1</v>
      </c>
      <c r="N802" t="s">
        <v>43</v>
      </c>
      <c r="O802">
        <v>2</v>
      </c>
      <c r="P802" t="s">
        <v>45</v>
      </c>
      <c r="Q802">
        <v>2596</v>
      </c>
      <c r="R802">
        <v>7160</v>
      </c>
      <c r="S802">
        <v>1</v>
      </c>
      <c r="T802">
        <v>0</v>
      </c>
      <c r="U802" s="17">
        <v>0.15</v>
      </c>
      <c r="V802">
        <v>3</v>
      </c>
      <c r="W802">
        <v>1</v>
      </c>
      <c r="X802">
        <v>2</v>
      </c>
      <c r="Y802">
        <v>1</v>
      </c>
      <c r="Z802">
        <v>2</v>
      </c>
      <c r="AA802">
        <v>3</v>
      </c>
      <c r="AB802">
        <v>1</v>
      </c>
      <c r="AC802">
        <v>0</v>
      </c>
      <c r="AD802">
        <v>0</v>
      </c>
      <c r="AE802">
        <v>0</v>
      </c>
      <c r="AF802">
        <v>1</v>
      </c>
      <c r="AG802">
        <f>IF(tbl_HR_Data[[#This Row],[Gender]]="Male",1,0)</f>
        <v>1</v>
      </c>
      <c r="AH802" cm="1">
        <f t="array" ref="AH802">_xlfn.SWITCH(tbl_HR_Data[[#This Row],[BusinessTravel]], "Non-Travel", 0, "Travel_Rarely", 1, "Travel_Frequently", 2)</f>
        <v>2</v>
      </c>
      <c r="AI802" cm="1">
        <f t="array" ref="AI802">_xlfn.SWITCH(tbl_HR_Data[[#This Row],[MaritalStatus]],"Single",0,"Married",1,"Divorced",2)</f>
        <v>2</v>
      </c>
      <c r="AJ802">
        <f>IF(tbl_HR_Data[[#This Row],[OverTime]]=1,1,0)</f>
        <v>0</v>
      </c>
      <c r="AK802">
        <f>IF(tbl_HR_Data[[#This Row],[DistanceFromHome]]&gt;15,1,0)</f>
        <v>0</v>
      </c>
      <c r="AL802">
        <f>IF(tbl_HR_Data[[#This Row],[JobSatisfaction]]&lt;=2,1,0)</f>
        <v>1</v>
      </c>
      <c r="AM802">
        <f>IF(tbl_HR_Data[[#This Row],[MonthlyIncome]]&lt;$AT$2,1,0)</f>
        <v>1</v>
      </c>
      <c r="AN802">
        <f>IF(tbl_HR_Data[[#This Row],[Travel_Code]]=2,1,0)</f>
        <v>1</v>
      </c>
      <c r="AO802">
        <f>(tbl_HR_Data[[#This Row],[Flag_OT]] * Logic_Parameters!$B$2) +
 (tbl_HR_Data[[#This Row],[Flag_Travel]] * Logic_Parameters!$B$3) +
 (tbl_HR_Data[[#This Row],[Flag_Satisfaction]] * Logic_Parameters!$B$4) +
 (tbl_HR_Data[[#This Row],[Flag_Distance]]* Logic_Parameters!$B$5) +
 (tbl_HR_Data[[#This Row],[Flag_Income]] * Logic_Parameters!$B$6)</f>
        <v>15.859352047889136</v>
      </c>
      <c r="AP802" s="15">
        <f>tbl_HR_Data[[#This Row],[Risk_Score_Raw]] / SUM(Logic_Parameters!$B$2:$B$6)</f>
        <v>0.54639453549708916</v>
      </c>
      <c r="AQ802" s="16" t="str" cm="1">
        <f t="array" ref="AQ802">_xlfn.IFS(tbl_HR_Data[[#This Row],[Attrition_Risk_Percentage]] &gt;= 0.75, "Critical",tbl_HR_Data[ [#This Row],[Attrition_Risk_Percentage] ]&gt;= 0.5, "High",tbl_HR_Data[[#This Row],[Attrition_Risk_Percentage]] &gt;= 0.25, "Medium",TRUE, "Low")</f>
        <v>High</v>
      </c>
      <c r="AR802" s="16" cm="1">
        <f t="array" ref="AR802">IFERROR(_xlfn.IFS(tbl_HR_Data[[#This Row],[Risk_Category]]="Critical",tbl_HR_Data[[#This Row],[MonthlyIncome]]*1.5,tbl_HR_Data[[#This Row],[Risk_Category]]="High",tbl_HR_Data[[#This Row],[MonthlyIncome]]*1.5),0)</f>
        <v>3894</v>
      </c>
    </row>
    <row r="803" spans="1:44" x14ac:dyDescent="0.35">
      <c r="A803" t="s">
        <v>916</v>
      </c>
      <c r="B803">
        <v>50</v>
      </c>
      <c r="C803" t="s">
        <v>37</v>
      </c>
      <c r="D803">
        <v>959</v>
      </c>
      <c r="E803" t="s">
        <v>32</v>
      </c>
      <c r="F803">
        <v>1</v>
      </c>
      <c r="G803">
        <v>4</v>
      </c>
      <c r="H803" t="s">
        <v>42</v>
      </c>
      <c r="I803">
        <v>4</v>
      </c>
      <c r="J803" t="s">
        <v>39</v>
      </c>
      <c r="K803">
        <v>81</v>
      </c>
      <c r="L803">
        <v>3</v>
      </c>
      <c r="M803">
        <v>2</v>
      </c>
      <c r="N803" t="s">
        <v>35</v>
      </c>
      <c r="O803">
        <v>3</v>
      </c>
      <c r="P803" t="s">
        <v>36</v>
      </c>
      <c r="Q803">
        <v>4728</v>
      </c>
      <c r="R803">
        <v>17251</v>
      </c>
      <c r="S803">
        <v>3</v>
      </c>
      <c r="T803">
        <v>1</v>
      </c>
      <c r="U803" s="17">
        <v>0.14000000000000001</v>
      </c>
      <c r="V803">
        <v>3</v>
      </c>
      <c r="W803">
        <v>4</v>
      </c>
      <c r="X803">
        <v>0</v>
      </c>
      <c r="Y803">
        <v>5</v>
      </c>
      <c r="Z803">
        <v>4</v>
      </c>
      <c r="AA803">
        <v>3</v>
      </c>
      <c r="AB803">
        <v>0</v>
      </c>
      <c r="AC803">
        <v>0</v>
      </c>
      <c r="AD803">
        <v>0</v>
      </c>
      <c r="AE803">
        <v>0</v>
      </c>
      <c r="AF803">
        <v>1</v>
      </c>
      <c r="AG803">
        <f>IF(tbl_HR_Data[[#This Row],[Gender]]="Male",1,0)</f>
        <v>1</v>
      </c>
      <c r="AH803" cm="1">
        <f t="array" ref="AH803">_xlfn.SWITCH(tbl_HR_Data[[#This Row],[BusinessTravel]], "Non-Travel", 0, "Travel_Rarely", 1, "Travel_Frequently", 2)</f>
        <v>2</v>
      </c>
      <c r="AI803" cm="1">
        <f t="array" ref="AI803">_xlfn.SWITCH(tbl_HR_Data[[#This Row],[MaritalStatus]],"Single",0,"Married",1,"Divorced",2)</f>
        <v>0</v>
      </c>
      <c r="AJ803">
        <f>IF(tbl_HR_Data[[#This Row],[OverTime]]=1,1,0)</f>
        <v>1</v>
      </c>
      <c r="AK803">
        <f>IF(tbl_HR_Data[[#This Row],[DistanceFromHome]]&gt;15,1,0)</f>
        <v>0</v>
      </c>
      <c r="AL803">
        <f>IF(tbl_HR_Data[[#This Row],[JobSatisfaction]]&lt;=2,1,0)</f>
        <v>0</v>
      </c>
      <c r="AM803">
        <f>IF(tbl_HR_Data[[#This Row],[MonthlyIncome]]&lt;$AT$2,1,0)</f>
        <v>1</v>
      </c>
      <c r="AN803">
        <f>IF(tbl_HR_Data[[#This Row],[Travel_Code]]=2,1,0)</f>
        <v>1</v>
      </c>
      <c r="AO803">
        <f>(tbl_HR_Data[[#This Row],[Flag_OT]] * Logic_Parameters!$B$2) +
 (tbl_HR_Data[[#This Row],[Flag_Travel]] * Logic_Parameters!$B$3) +
 (tbl_HR_Data[[#This Row],[Flag_Satisfaction]] * Logic_Parameters!$B$4) +
 (tbl_HR_Data[[#This Row],[Flag_Distance]]* Logic_Parameters!$B$5) +
 (tbl_HR_Data[[#This Row],[Flag_Income]] * Logic_Parameters!$B$6)</f>
        <v>21.654818917911005</v>
      </c>
      <c r="AP803" s="15">
        <f>tbl_HR_Data[[#This Row],[Risk_Score_Raw]] / SUM(Logic_Parameters!$B$2:$B$6)</f>
        <v>0.74606293423572745</v>
      </c>
      <c r="AQ803" s="16" t="str" cm="1">
        <f t="array" ref="AQ803">_xlfn.IFS(tbl_HR_Data[[#This Row],[Attrition_Risk_Percentage]] &gt;= 0.75, "Critical",tbl_HR_Data[ [#This Row],[Attrition_Risk_Percentage] ]&gt;= 0.5, "High",tbl_HR_Data[[#This Row],[Attrition_Risk_Percentage]] &gt;= 0.25, "Medium",TRUE, "Low")</f>
        <v>High</v>
      </c>
      <c r="AR803" s="16" cm="1">
        <f t="array" ref="AR803">IFERROR(_xlfn.IFS(tbl_HR_Data[[#This Row],[Risk_Category]]="Critical",tbl_HR_Data[[#This Row],[MonthlyIncome]]*1.5,tbl_HR_Data[[#This Row],[Risk_Category]]="High",tbl_HR_Data[[#This Row],[MonthlyIncome]]*1.5),0)</f>
        <v>7092</v>
      </c>
    </row>
    <row r="804" spans="1:44" x14ac:dyDescent="0.35">
      <c r="A804" t="s">
        <v>548</v>
      </c>
      <c r="B804">
        <v>33</v>
      </c>
      <c r="C804" t="s">
        <v>37</v>
      </c>
      <c r="D804">
        <v>970</v>
      </c>
      <c r="E804" t="s">
        <v>32</v>
      </c>
      <c r="F804">
        <v>7</v>
      </c>
      <c r="G804">
        <v>3</v>
      </c>
      <c r="H804" t="s">
        <v>33</v>
      </c>
      <c r="I804">
        <v>4</v>
      </c>
      <c r="J804" t="s">
        <v>34</v>
      </c>
      <c r="K804">
        <v>30</v>
      </c>
      <c r="L804">
        <v>3</v>
      </c>
      <c r="M804">
        <v>2</v>
      </c>
      <c r="N804" t="s">
        <v>35</v>
      </c>
      <c r="O804">
        <v>2</v>
      </c>
      <c r="P804" t="s">
        <v>41</v>
      </c>
      <c r="Q804">
        <v>4302</v>
      </c>
      <c r="R804">
        <v>13401</v>
      </c>
      <c r="S804">
        <v>0</v>
      </c>
      <c r="T804">
        <v>0</v>
      </c>
      <c r="U804" s="17">
        <v>0.17</v>
      </c>
      <c r="V804">
        <v>3</v>
      </c>
      <c r="W804">
        <v>3</v>
      </c>
      <c r="X804">
        <v>1</v>
      </c>
      <c r="Y804">
        <v>4</v>
      </c>
      <c r="Z804">
        <v>3</v>
      </c>
      <c r="AA804">
        <v>3</v>
      </c>
      <c r="AB804">
        <v>3</v>
      </c>
      <c r="AC804">
        <v>2</v>
      </c>
      <c r="AD804">
        <v>0</v>
      </c>
      <c r="AE804">
        <v>2</v>
      </c>
      <c r="AF804">
        <v>0</v>
      </c>
      <c r="AG804">
        <f>IF(tbl_HR_Data[[#This Row],[Gender]]="Male",1,0)</f>
        <v>0</v>
      </c>
      <c r="AH804" cm="1">
        <f t="array" ref="AH804">_xlfn.SWITCH(tbl_HR_Data[[#This Row],[BusinessTravel]], "Non-Travel", 0, "Travel_Rarely", 1, "Travel_Frequently", 2)</f>
        <v>2</v>
      </c>
      <c r="AI804" cm="1">
        <f t="array" ref="AI804">_xlfn.SWITCH(tbl_HR_Data[[#This Row],[MaritalStatus]],"Single",0,"Married",1,"Divorced",2)</f>
        <v>1</v>
      </c>
      <c r="AJ804">
        <f>IF(tbl_HR_Data[[#This Row],[OverTime]]=1,1,0)</f>
        <v>0</v>
      </c>
      <c r="AK804">
        <f>IF(tbl_HR_Data[[#This Row],[DistanceFromHome]]&gt;15,1,0)</f>
        <v>0</v>
      </c>
      <c r="AL804">
        <f>IF(tbl_HR_Data[[#This Row],[JobSatisfaction]]&lt;=2,1,0)</f>
        <v>1</v>
      </c>
      <c r="AM804">
        <f>IF(tbl_HR_Data[[#This Row],[MonthlyIncome]]&lt;$AT$2,1,0)</f>
        <v>1</v>
      </c>
      <c r="AN804">
        <f>IF(tbl_HR_Data[[#This Row],[Travel_Code]]=2,1,0)</f>
        <v>1</v>
      </c>
      <c r="AO804">
        <f>(tbl_HR_Data[[#This Row],[Flag_OT]] * Logic_Parameters!$B$2) +
 (tbl_HR_Data[[#This Row],[Flag_Travel]] * Logic_Parameters!$B$3) +
 (tbl_HR_Data[[#This Row],[Flag_Satisfaction]] * Logic_Parameters!$B$4) +
 (tbl_HR_Data[[#This Row],[Flag_Distance]]* Logic_Parameters!$B$5) +
 (tbl_HR_Data[[#This Row],[Flag_Income]] * Logic_Parameters!$B$6)</f>
        <v>15.859352047889136</v>
      </c>
      <c r="AP804" s="15">
        <f>tbl_HR_Data[[#This Row],[Risk_Score_Raw]] / SUM(Logic_Parameters!$B$2:$B$6)</f>
        <v>0.54639453549708916</v>
      </c>
      <c r="AQ804" s="16" t="str" cm="1">
        <f t="array" ref="AQ804">_xlfn.IFS(tbl_HR_Data[[#This Row],[Attrition_Risk_Percentage]] &gt;= 0.75, "Critical",tbl_HR_Data[ [#This Row],[Attrition_Risk_Percentage] ]&gt;= 0.5, "High",tbl_HR_Data[[#This Row],[Attrition_Risk_Percentage]] &gt;= 0.25, "Medium",TRUE, "Low")</f>
        <v>High</v>
      </c>
      <c r="AR804" s="16" cm="1">
        <f t="array" ref="AR804">IFERROR(_xlfn.IFS(tbl_HR_Data[[#This Row],[Risk_Category]]="Critical",tbl_HR_Data[[#This Row],[MonthlyIncome]]*1.5,tbl_HR_Data[[#This Row],[Risk_Category]]="High",tbl_HR_Data[[#This Row],[MonthlyIncome]]*1.5),0)</f>
        <v>6453</v>
      </c>
    </row>
    <row r="805" spans="1:44" x14ac:dyDescent="0.35">
      <c r="A805" t="s">
        <v>760</v>
      </c>
      <c r="B805">
        <v>34</v>
      </c>
      <c r="C805" t="s">
        <v>1525</v>
      </c>
      <c r="D805">
        <v>697</v>
      </c>
      <c r="E805" t="s">
        <v>38</v>
      </c>
      <c r="F805">
        <v>3</v>
      </c>
      <c r="G805">
        <v>4</v>
      </c>
      <c r="H805" t="s">
        <v>33</v>
      </c>
      <c r="I805">
        <v>3</v>
      </c>
      <c r="J805" t="s">
        <v>39</v>
      </c>
      <c r="K805">
        <v>40</v>
      </c>
      <c r="L805">
        <v>2</v>
      </c>
      <c r="M805">
        <v>1</v>
      </c>
      <c r="N805" t="s">
        <v>40</v>
      </c>
      <c r="O805">
        <v>4</v>
      </c>
      <c r="P805" t="s">
        <v>41</v>
      </c>
      <c r="Q805">
        <v>2979</v>
      </c>
      <c r="R805">
        <v>22478</v>
      </c>
      <c r="S805">
        <v>3</v>
      </c>
      <c r="T805">
        <v>0</v>
      </c>
      <c r="U805" s="17">
        <v>0.17</v>
      </c>
      <c r="V805">
        <v>3</v>
      </c>
      <c r="W805">
        <v>4</v>
      </c>
      <c r="X805">
        <v>3</v>
      </c>
      <c r="Y805">
        <v>6</v>
      </c>
      <c r="Z805">
        <v>2</v>
      </c>
      <c r="AA805">
        <v>3</v>
      </c>
      <c r="AB805">
        <v>0</v>
      </c>
      <c r="AC805">
        <v>0</v>
      </c>
      <c r="AD805">
        <v>0</v>
      </c>
      <c r="AE805">
        <v>0</v>
      </c>
      <c r="AF805">
        <v>0</v>
      </c>
      <c r="AG805">
        <f>IF(tbl_HR_Data[[#This Row],[Gender]]="Male",1,0)</f>
        <v>1</v>
      </c>
      <c r="AH805" cm="1">
        <f t="array" ref="AH805">_xlfn.SWITCH(tbl_HR_Data[[#This Row],[BusinessTravel]], "Non-Travel", 0, "Travel_Rarely", 1, "Travel_Frequently", 2)</f>
        <v>0</v>
      </c>
      <c r="AI805" cm="1">
        <f t="array" ref="AI805">_xlfn.SWITCH(tbl_HR_Data[[#This Row],[MaritalStatus]],"Single",0,"Married",1,"Divorced",2)</f>
        <v>1</v>
      </c>
      <c r="AJ805">
        <f>IF(tbl_HR_Data[[#This Row],[OverTime]]=1,1,0)</f>
        <v>0</v>
      </c>
      <c r="AK805">
        <f>IF(tbl_HR_Data[[#This Row],[DistanceFromHome]]&gt;15,1,0)</f>
        <v>0</v>
      </c>
      <c r="AL805">
        <f>IF(tbl_HR_Data[[#This Row],[JobSatisfaction]]&lt;=2,1,0)</f>
        <v>0</v>
      </c>
      <c r="AM805">
        <f>IF(tbl_HR_Data[[#This Row],[MonthlyIncome]]&lt;$AT$2,1,0)</f>
        <v>1</v>
      </c>
      <c r="AN805">
        <f>IF(tbl_HR_Data[[#This Row],[Travel_Code]]=2,1,0)</f>
        <v>0</v>
      </c>
      <c r="AO805">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805" s="15">
        <f>tbl_HR_Data[[#This Row],[Risk_Score_Raw]] / SUM(Logic_Parameters!$B$2:$B$6)</f>
        <v>0.22374939857982484</v>
      </c>
      <c r="AQ805" s="16" t="str" cm="1">
        <f t="array" ref="AQ805">_xlfn.IFS(tbl_HR_Data[[#This Row],[Attrition_Risk_Percentage]] &gt;= 0.75, "Critical",tbl_HR_Data[ [#This Row],[Attrition_Risk_Percentage] ]&gt;= 0.5, "High",tbl_HR_Data[[#This Row],[Attrition_Risk_Percentage]] &gt;= 0.25, "Medium",TRUE, "Low")</f>
        <v>Low</v>
      </c>
      <c r="AR805" s="16" cm="1">
        <f t="array" ref="AR805">IFERROR(_xlfn.IFS(tbl_HR_Data[[#This Row],[Risk_Category]]="Critical",tbl_HR_Data[[#This Row],[MonthlyIncome]]*1.5,tbl_HR_Data[[#This Row],[Risk_Category]]="High",tbl_HR_Data[[#This Row],[MonthlyIncome]]*1.5),0)</f>
        <v>0</v>
      </c>
    </row>
    <row r="806" spans="1:44" x14ac:dyDescent="0.35">
      <c r="A806" t="s">
        <v>372</v>
      </c>
      <c r="B806">
        <v>48</v>
      </c>
      <c r="C806" t="s">
        <v>1525</v>
      </c>
      <c r="D806">
        <v>1262</v>
      </c>
      <c r="E806" t="s">
        <v>38</v>
      </c>
      <c r="F806">
        <v>1</v>
      </c>
      <c r="G806">
        <v>4</v>
      </c>
      <c r="H806" t="s">
        <v>44</v>
      </c>
      <c r="I806">
        <v>1</v>
      </c>
      <c r="J806" t="s">
        <v>39</v>
      </c>
      <c r="K806">
        <v>35</v>
      </c>
      <c r="L806">
        <v>4</v>
      </c>
      <c r="M806">
        <v>4</v>
      </c>
      <c r="N806" t="s">
        <v>48</v>
      </c>
      <c r="O806">
        <v>4</v>
      </c>
      <c r="P806" t="s">
        <v>36</v>
      </c>
      <c r="Q806">
        <v>16885</v>
      </c>
      <c r="R806">
        <v>16154</v>
      </c>
      <c r="S806">
        <v>2</v>
      </c>
      <c r="T806">
        <v>0</v>
      </c>
      <c r="U806" s="17">
        <v>0.22</v>
      </c>
      <c r="V806">
        <v>4</v>
      </c>
      <c r="W806">
        <v>3</v>
      </c>
      <c r="X806">
        <v>0</v>
      </c>
      <c r="Y806">
        <v>27</v>
      </c>
      <c r="Z806">
        <v>3</v>
      </c>
      <c r="AA806">
        <v>2</v>
      </c>
      <c r="AB806">
        <v>5</v>
      </c>
      <c r="AC806">
        <v>4</v>
      </c>
      <c r="AD806">
        <v>2</v>
      </c>
      <c r="AE806">
        <v>1</v>
      </c>
      <c r="AF806">
        <v>0</v>
      </c>
      <c r="AG806">
        <f>IF(tbl_HR_Data[[#This Row],[Gender]]="Male",1,0)</f>
        <v>1</v>
      </c>
      <c r="AH806" cm="1">
        <f t="array" ref="AH806">_xlfn.SWITCH(tbl_HR_Data[[#This Row],[BusinessTravel]], "Non-Travel", 0, "Travel_Rarely", 1, "Travel_Frequently", 2)</f>
        <v>0</v>
      </c>
      <c r="AI806" cm="1">
        <f t="array" ref="AI806">_xlfn.SWITCH(tbl_HR_Data[[#This Row],[MaritalStatus]],"Single",0,"Married",1,"Divorced",2)</f>
        <v>0</v>
      </c>
      <c r="AJ806">
        <f>IF(tbl_HR_Data[[#This Row],[OverTime]]=1,1,0)</f>
        <v>0</v>
      </c>
      <c r="AK806">
        <f>IF(tbl_HR_Data[[#This Row],[DistanceFromHome]]&gt;15,1,0)</f>
        <v>0</v>
      </c>
      <c r="AL806">
        <f>IF(tbl_HR_Data[[#This Row],[JobSatisfaction]]&lt;=2,1,0)</f>
        <v>0</v>
      </c>
      <c r="AM806">
        <f>IF(tbl_HR_Data[[#This Row],[MonthlyIncome]]&lt;$AT$2,1,0)</f>
        <v>0</v>
      </c>
      <c r="AN806">
        <f>IF(tbl_HR_Data[[#This Row],[Travel_Code]]=2,1,0)</f>
        <v>0</v>
      </c>
      <c r="AO806">
        <f>(tbl_HR_Data[[#This Row],[Flag_OT]] * Logic_Parameters!$B$2) +
 (tbl_HR_Data[[#This Row],[Flag_Travel]] * Logic_Parameters!$B$3) +
 (tbl_HR_Data[[#This Row],[Flag_Satisfaction]] * Logic_Parameters!$B$4) +
 (tbl_HR_Data[[#This Row],[Flag_Distance]]* Logic_Parameters!$B$5) +
 (tbl_HR_Data[[#This Row],[Flag_Income]] * Logic_Parameters!$B$6)</f>
        <v>0</v>
      </c>
      <c r="AP806" s="15">
        <f>tbl_HR_Data[[#This Row],[Risk_Score_Raw]] / SUM(Logic_Parameters!$B$2:$B$6)</f>
        <v>0</v>
      </c>
      <c r="AQ806" s="16" t="str" cm="1">
        <f t="array" ref="AQ806">_xlfn.IFS(tbl_HR_Data[[#This Row],[Attrition_Risk_Percentage]] &gt;= 0.75, "Critical",tbl_HR_Data[ [#This Row],[Attrition_Risk_Percentage] ]&gt;= 0.5, "High",tbl_HR_Data[[#This Row],[Attrition_Risk_Percentage]] &gt;= 0.25, "Medium",TRUE, "Low")</f>
        <v>Low</v>
      </c>
      <c r="AR806" s="16" cm="1">
        <f t="array" ref="AR806">IFERROR(_xlfn.IFS(tbl_HR_Data[[#This Row],[Risk_Category]]="Critical",tbl_HR_Data[[#This Row],[MonthlyIncome]]*1.5,tbl_HR_Data[[#This Row],[Risk_Category]]="High",tbl_HR_Data[[#This Row],[MonthlyIncome]]*1.5),0)</f>
        <v>0</v>
      </c>
    </row>
    <row r="807" spans="1:44" x14ac:dyDescent="0.35">
      <c r="A807" t="s">
        <v>118</v>
      </c>
      <c r="B807">
        <v>45</v>
      </c>
      <c r="C807" t="s">
        <v>1525</v>
      </c>
      <c r="D807">
        <v>1050</v>
      </c>
      <c r="E807" t="s">
        <v>32</v>
      </c>
      <c r="F807">
        <v>9</v>
      </c>
      <c r="G807">
        <v>4</v>
      </c>
      <c r="H807" t="s">
        <v>33</v>
      </c>
      <c r="I807">
        <v>2</v>
      </c>
      <c r="J807" t="s">
        <v>34</v>
      </c>
      <c r="K807">
        <v>65</v>
      </c>
      <c r="L807">
        <v>2</v>
      </c>
      <c r="M807">
        <v>2</v>
      </c>
      <c r="N807" t="s">
        <v>35</v>
      </c>
      <c r="O807">
        <v>3</v>
      </c>
      <c r="P807" t="s">
        <v>41</v>
      </c>
      <c r="Q807">
        <v>5593</v>
      </c>
      <c r="R807">
        <v>17970</v>
      </c>
      <c r="S807">
        <v>1</v>
      </c>
      <c r="T807">
        <v>0</v>
      </c>
      <c r="U807" s="17">
        <v>0.13</v>
      </c>
      <c r="V807">
        <v>3</v>
      </c>
      <c r="W807">
        <v>4</v>
      </c>
      <c r="X807">
        <v>1</v>
      </c>
      <c r="Y807">
        <v>15</v>
      </c>
      <c r="Z807">
        <v>2</v>
      </c>
      <c r="AA807">
        <v>3</v>
      </c>
      <c r="AB807">
        <v>15</v>
      </c>
      <c r="AC807">
        <v>10</v>
      </c>
      <c r="AD807">
        <v>4</v>
      </c>
      <c r="AE807">
        <v>12</v>
      </c>
      <c r="AF807">
        <v>0</v>
      </c>
      <c r="AG807">
        <f>IF(tbl_HR_Data[[#This Row],[Gender]]="Male",1,0)</f>
        <v>0</v>
      </c>
      <c r="AH807" cm="1">
        <f t="array" ref="AH807">_xlfn.SWITCH(tbl_HR_Data[[#This Row],[BusinessTravel]], "Non-Travel", 0, "Travel_Rarely", 1, "Travel_Frequently", 2)</f>
        <v>0</v>
      </c>
      <c r="AI807" cm="1">
        <f t="array" ref="AI807">_xlfn.SWITCH(tbl_HR_Data[[#This Row],[MaritalStatus]],"Single",0,"Married",1,"Divorced",2)</f>
        <v>1</v>
      </c>
      <c r="AJ807">
        <f>IF(tbl_HR_Data[[#This Row],[OverTime]]=1,1,0)</f>
        <v>0</v>
      </c>
      <c r="AK807">
        <f>IF(tbl_HR_Data[[#This Row],[DistanceFromHome]]&gt;15,1,0)</f>
        <v>0</v>
      </c>
      <c r="AL807">
        <f>IF(tbl_HR_Data[[#This Row],[JobSatisfaction]]&lt;=2,1,0)</f>
        <v>0</v>
      </c>
      <c r="AM807">
        <f>IF(tbl_HR_Data[[#This Row],[MonthlyIncome]]&lt;$AT$2,1,0)</f>
        <v>0</v>
      </c>
      <c r="AN807">
        <f>IF(tbl_HR_Data[[#This Row],[Travel_Code]]=2,1,0)</f>
        <v>0</v>
      </c>
      <c r="AO807">
        <f>(tbl_HR_Data[[#This Row],[Flag_OT]] * Logic_Parameters!$B$2) +
 (tbl_HR_Data[[#This Row],[Flag_Travel]] * Logic_Parameters!$B$3) +
 (tbl_HR_Data[[#This Row],[Flag_Satisfaction]] * Logic_Parameters!$B$4) +
 (tbl_HR_Data[[#This Row],[Flag_Distance]]* Logic_Parameters!$B$5) +
 (tbl_HR_Data[[#This Row],[Flag_Income]] * Logic_Parameters!$B$6)</f>
        <v>0</v>
      </c>
      <c r="AP807" s="15">
        <f>tbl_HR_Data[[#This Row],[Risk_Score_Raw]] / SUM(Logic_Parameters!$B$2:$B$6)</f>
        <v>0</v>
      </c>
      <c r="AQ807" s="16" t="str" cm="1">
        <f t="array" ref="AQ807">_xlfn.IFS(tbl_HR_Data[[#This Row],[Attrition_Risk_Percentage]] &gt;= 0.75, "Critical",tbl_HR_Data[ [#This Row],[Attrition_Risk_Percentage] ]&gt;= 0.5, "High",tbl_HR_Data[[#This Row],[Attrition_Risk_Percentage]] &gt;= 0.25, "Medium",TRUE, "Low")</f>
        <v>Low</v>
      </c>
      <c r="AR807" s="16" cm="1">
        <f t="array" ref="AR807">IFERROR(_xlfn.IFS(tbl_HR_Data[[#This Row],[Risk_Category]]="Critical",tbl_HR_Data[[#This Row],[MonthlyIncome]]*1.5,tbl_HR_Data[[#This Row],[Risk_Category]]="High",tbl_HR_Data[[#This Row],[MonthlyIncome]]*1.5),0)</f>
        <v>0</v>
      </c>
    </row>
    <row r="808" spans="1:44" x14ac:dyDescent="0.35">
      <c r="A808" t="s">
        <v>584</v>
      </c>
      <c r="B808">
        <v>52</v>
      </c>
      <c r="C808" t="s">
        <v>31</v>
      </c>
      <c r="D808">
        <v>994</v>
      </c>
      <c r="E808" t="s">
        <v>38</v>
      </c>
      <c r="F808">
        <v>7</v>
      </c>
      <c r="G808">
        <v>4</v>
      </c>
      <c r="H808" t="s">
        <v>33</v>
      </c>
      <c r="I808">
        <v>2</v>
      </c>
      <c r="J808" t="s">
        <v>39</v>
      </c>
      <c r="K808">
        <v>87</v>
      </c>
      <c r="L808">
        <v>3</v>
      </c>
      <c r="M808">
        <v>3</v>
      </c>
      <c r="N808" t="s">
        <v>47</v>
      </c>
      <c r="O808">
        <v>2</v>
      </c>
      <c r="P808" t="s">
        <v>36</v>
      </c>
      <c r="Q808">
        <v>10445</v>
      </c>
      <c r="R808">
        <v>15322</v>
      </c>
      <c r="S808">
        <v>7</v>
      </c>
      <c r="T808">
        <v>0</v>
      </c>
      <c r="U808" s="17">
        <v>0.19</v>
      </c>
      <c r="V808">
        <v>3</v>
      </c>
      <c r="W808">
        <v>4</v>
      </c>
      <c r="X808">
        <v>0</v>
      </c>
      <c r="Y808">
        <v>18</v>
      </c>
      <c r="Z808">
        <v>4</v>
      </c>
      <c r="AA808">
        <v>3</v>
      </c>
      <c r="AB808">
        <v>8</v>
      </c>
      <c r="AC808">
        <v>6</v>
      </c>
      <c r="AD808">
        <v>4</v>
      </c>
      <c r="AE808">
        <v>0</v>
      </c>
      <c r="AF808">
        <v>0</v>
      </c>
      <c r="AG808">
        <f>IF(tbl_HR_Data[[#This Row],[Gender]]="Male",1,0)</f>
        <v>1</v>
      </c>
      <c r="AH808" cm="1">
        <f t="array" ref="AH808">_xlfn.SWITCH(tbl_HR_Data[[#This Row],[BusinessTravel]], "Non-Travel", 0, "Travel_Rarely", 1, "Travel_Frequently", 2)</f>
        <v>1</v>
      </c>
      <c r="AI808" cm="1">
        <f t="array" ref="AI808">_xlfn.SWITCH(tbl_HR_Data[[#This Row],[MaritalStatus]],"Single",0,"Married",1,"Divorced",2)</f>
        <v>0</v>
      </c>
      <c r="AJ808">
        <f>IF(tbl_HR_Data[[#This Row],[OverTime]]=1,1,0)</f>
        <v>0</v>
      </c>
      <c r="AK808">
        <f>IF(tbl_HR_Data[[#This Row],[DistanceFromHome]]&gt;15,1,0)</f>
        <v>0</v>
      </c>
      <c r="AL808">
        <f>IF(tbl_HR_Data[[#This Row],[JobSatisfaction]]&lt;=2,1,0)</f>
        <v>1</v>
      </c>
      <c r="AM808">
        <f>IF(tbl_HR_Data[[#This Row],[MonthlyIncome]]&lt;$AT$2,1,0)</f>
        <v>0</v>
      </c>
      <c r="AN808">
        <f>IF(tbl_HR_Data[[#This Row],[Travel_Code]]=2,1,0)</f>
        <v>0</v>
      </c>
      <c r="AO808">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808" s="15">
        <f>tbl_HR_Data[[#This Row],[Risk_Score_Raw]] / SUM(Logic_Parameters!$B$2:$B$6)</f>
        <v>0.14485673308716898</v>
      </c>
      <c r="AQ808" s="16" t="str" cm="1">
        <f t="array" ref="AQ808">_xlfn.IFS(tbl_HR_Data[[#This Row],[Attrition_Risk_Percentage]] &gt;= 0.75, "Critical",tbl_HR_Data[ [#This Row],[Attrition_Risk_Percentage] ]&gt;= 0.5, "High",tbl_HR_Data[[#This Row],[Attrition_Risk_Percentage]] &gt;= 0.25, "Medium",TRUE, "Low")</f>
        <v>Low</v>
      </c>
      <c r="AR808" s="16" cm="1">
        <f t="array" ref="AR808">IFERROR(_xlfn.IFS(tbl_HR_Data[[#This Row],[Risk_Category]]="Critical",tbl_HR_Data[[#This Row],[MonthlyIncome]]*1.5,tbl_HR_Data[[#This Row],[Risk_Category]]="High",tbl_HR_Data[[#This Row],[MonthlyIncome]]*1.5),0)</f>
        <v>0</v>
      </c>
    </row>
    <row r="809" spans="1:44" x14ac:dyDescent="0.35">
      <c r="A809" t="s">
        <v>833</v>
      </c>
      <c r="B809">
        <v>38</v>
      </c>
      <c r="C809" t="s">
        <v>31</v>
      </c>
      <c r="D809">
        <v>770</v>
      </c>
      <c r="E809" t="s">
        <v>32</v>
      </c>
      <c r="F809">
        <v>10</v>
      </c>
      <c r="G809">
        <v>4</v>
      </c>
      <c r="H809" t="s">
        <v>51</v>
      </c>
      <c r="I809">
        <v>3</v>
      </c>
      <c r="J809" t="s">
        <v>39</v>
      </c>
      <c r="K809">
        <v>73</v>
      </c>
      <c r="L809">
        <v>2</v>
      </c>
      <c r="M809">
        <v>3</v>
      </c>
      <c r="N809" t="s">
        <v>35</v>
      </c>
      <c r="O809">
        <v>3</v>
      </c>
      <c r="P809" t="s">
        <v>45</v>
      </c>
      <c r="Q809">
        <v>8740</v>
      </c>
      <c r="R809">
        <v>5569</v>
      </c>
      <c r="S809">
        <v>0</v>
      </c>
      <c r="T809">
        <v>1</v>
      </c>
      <c r="U809" s="17">
        <v>0.14000000000000001</v>
      </c>
      <c r="V809">
        <v>3</v>
      </c>
      <c r="W809">
        <v>2</v>
      </c>
      <c r="X809">
        <v>2</v>
      </c>
      <c r="Y809">
        <v>9</v>
      </c>
      <c r="Z809">
        <v>2</v>
      </c>
      <c r="AA809">
        <v>3</v>
      </c>
      <c r="AB809">
        <v>8</v>
      </c>
      <c r="AC809">
        <v>7</v>
      </c>
      <c r="AD809">
        <v>2</v>
      </c>
      <c r="AE809">
        <v>7</v>
      </c>
      <c r="AF809">
        <v>0</v>
      </c>
      <c r="AG809">
        <f>IF(tbl_HR_Data[[#This Row],[Gender]]="Male",1,0)</f>
        <v>1</v>
      </c>
      <c r="AH809" cm="1">
        <f t="array" ref="AH809">_xlfn.SWITCH(tbl_HR_Data[[#This Row],[BusinessTravel]], "Non-Travel", 0, "Travel_Rarely", 1, "Travel_Frequently", 2)</f>
        <v>1</v>
      </c>
      <c r="AI809" cm="1">
        <f t="array" ref="AI809">_xlfn.SWITCH(tbl_HR_Data[[#This Row],[MaritalStatus]],"Single",0,"Married",1,"Divorced",2)</f>
        <v>2</v>
      </c>
      <c r="AJ809">
        <f>IF(tbl_HR_Data[[#This Row],[OverTime]]=1,1,0)</f>
        <v>1</v>
      </c>
      <c r="AK809">
        <f>IF(tbl_HR_Data[[#This Row],[DistanceFromHome]]&gt;15,1,0)</f>
        <v>0</v>
      </c>
      <c r="AL809">
        <f>IF(tbl_HR_Data[[#This Row],[JobSatisfaction]]&lt;=2,1,0)</f>
        <v>0</v>
      </c>
      <c r="AM809">
        <f>IF(tbl_HR_Data[[#This Row],[MonthlyIncome]]&lt;$AT$2,1,0)</f>
        <v>0</v>
      </c>
      <c r="AN809">
        <f>IF(tbl_HR_Data[[#This Row],[Travel_Code]]=2,1,0)</f>
        <v>0</v>
      </c>
      <c r="AO809">
        <f>(tbl_HR_Data[[#This Row],[Flag_OT]] * Logic_Parameters!$B$2) +
 (tbl_HR_Data[[#This Row],[Flag_Travel]] * Logic_Parameters!$B$3) +
 (tbl_HR_Data[[#This Row],[Flag_Satisfaction]] * Logic_Parameters!$B$4) +
 (tbl_HR_Data[[#This Row],[Flag_Distance]]* Logic_Parameters!$B$5) +
 (tbl_HR_Data[[#This Row],[Flag_Income]] * Logic_Parameters!$B$6)</f>
        <v>10</v>
      </c>
      <c r="AP809" s="15">
        <f>tbl_HR_Data[[#This Row],[Risk_Score_Raw]] / SUM(Logic_Parameters!$B$2:$B$6)</f>
        <v>0.3445251318258073</v>
      </c>
      <c r="AQ809" s="16" t="str" cm="1">
        <f t="array" ref="AQ809">_xlfn.IFS(tbl_HR_Data[[#This Row],[Attrition_Risk_Percentage]] &gt;= 0.75, "Critical",tbl_HR_Data[ [#This Row],[Attrition_Risk_Percentage] ]&gt;= 0.5, "High",tbl_HR_Data[[#This Row],[Attrition_Risk_Percentage]] &gt;= 0.25, "Medium",TRUE, "Low")</f>
        <v>Medium</v>
      </c>
      <c r="AR809" s="16" cm="1">
        <f t="array" ref="AR809">IFERROR(_xlfn.IFS(tbl_HR_Data[[#This Row],[Risk_Category]]="Critical",tbl_HR_Data[[#This Row],[MonthlyIncome]]*1.5,tbl_HR_Data[[#This Row],[Risk_Category]]="High",tbl_HR_Data[[#This Row],[MonthlyIncome]]*1.5),0)</f>
        <v>0</v>
      </c>
    </row>
    <row r="810" spans="1:44" x14ac:dyDescent="0.35">
      <c r="A810" t="s">
        <v>464</v>
      </c>
      <c r="B810">
        <v>29</v>
      </c>
      <c r="C810" t="s">
        <v>31</v>
      </c>
      <c r="D810">
        <v>1107</v>
      </c>
      <c r="E810" t="s">
        <v>38</v>
      </c>
      <c r="F810">
        <v>28</v>
      </c>
      <c r="G810">
        <v>4</v>
      </c>
      <c r="H810" t="s">
        <v>33</v>
      </c>
      <c r="I810">
        <v>3</v>
      </c>
      <c r="J810" t="s">
        <v>34</v>
      </c>
      <c r="K810">
        <v>93</v>
      </c>
      <c r="L810">
        <v>3</v>
      </c>
      <c r="M810">
        <v>1</v>
      </c>
      <c r="N810" t="s">
        <v>40</v>
      </c>
      <c r="O810">
        <v>4</v>
      </c>
      <c r="P810" t="s">
        <v>45</v>
      </c>
      <c r="Q810">
        <v>2514</v>
      </c>
      <c r="R810">
        <v>26968</v>
      </c>
      <c r="S810">
        <v>4</v>
      </c>
      <c r="T810">
        <v>0</v>
      </c>
      <c r="U810" s="17">
        <v>0.22</v>
      </c>
      <c r="V810">
        <v>4</v>
      </c>
      <c r="W810">
        <v>1</v>
      </c>
      <c r="X810">
        <v>1</v>
      </c>
      <c r="Y810">
        <v>11</v>
      </c>
      <c r="Z810">
        <v>1</v>
      </c>
      <c r="AA810">
        <v>3</v>
      </c>
      <c r="AB810">
        <v>7</v>
      </c>
      <c r="AC810">
        <v>5</v>
      </c>
      <c r="AD810">
        <v>1</v>
      </c>
      <c r="AE810">
        <v>7</v>
      </c>
      <c r="AF810">
        <v>0</v>
      </c>
      <c r="AG810">
        <f>IF(tbl_HR_Data[[#This Row],[Gender]]="Male",1,0)</f>
        <v>0</v>
      </c>
      <c r="AH810" cm="1">
        <f t="array" ref="AH810">_xlfn.SWITCH(tbl_HR_Data[[#This Row],[BusinessTravel]], "Non-Travel", 0, "Travel_Rarely", 1, "Travel_Frequently", 2)</f>
        <v>1</v>
      </c>
      <c r="AI810" cm="1">
        <f t="array" ref="AI810">_xlfn.SWITCH(tbl_HR_Data[[#This Row],[MaritalStatus]],"Single",0,"Married",1,"Divorced",2)</f>
        <v>2</v>
      </c>
      <c r="AJ810">
        <f>IF(tbl_HR_Data[[#This Row],[OverTime]]=1,1,0)</f>
        <v>0</v>
      </c>
      <c r="AK810">
        <f>IF(tbl_HR_Data[[#This Row],[DistanceFromHome]]&gt;15,1,0)</f>
        <v>1</v>
      </c>
      <c r="AL810">
        <f>IF(tbl_HR_Data[[#This Row],[JobSatisfaction]]&lt;=2,1,0)</f>
        <v>0</v>
      </c>
      <c r="AM810">
        <f>IF(tbl_HR_Data[[#This Row],[MonthlyIncome]]&lt;$AT$2,1,0)</f>
        <v>1</v>
      </c>
      <c r="AN810">
        <f>IF(tbl_HR_Data[[#This Row],[Travel_Code]]=2,1,0)</f>
        <v>0</v>
      </c>
      <c r="AO810">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810" s="15">
        <f>tbl_HR_Data[[#This Row],[Risk_Score_Raw]] / SUM(Logic_Parameters!$B$2:$B$6)</f>
        <v>0.33282973125692844</v>
      </c>
      <c r="AQ810" s="16" t="str" cm="1">
        <f t="array" ref="AQ810">_xlfn.IFS(tbl_HR_Data[[#This Row],[Attrition_Risk_Percentage]] &gt;= 0.75, "Critical",tbl_HR_Data[ [#This Row],[Attrition_Risk_Percentage] ]&gt;= 0.5, "High",tbl_HR_Data[[#This Row],[Attrition_Risk_Percentage]] &gt;= 0.25, "Medium",TRUE, "Low")</f>
        <v>Medium</v>
      </c>
      <c r="AR810" s="16" cm="1">
        <f t="array" ref="AR810">IFERROR(_xlfn.IFS(tbl_HR_Data[[#This Row],[Risk_Category]]="Critical",tbl_HR_Data[[#This Row],[MonthlyIncome]]*1.5,tbl_HR_Data[[#This Row],[Risk_Category]]="High",tbl_HR_Data[[#This Row],[MonthlyIncome]]*1.5),0)</f>
        <v>0</v>
      </c>
    </row>
    <row r="811" spans="1:44" x14ac:dyDescent="0.35">
      <c r="A811" t="s">
        <v>369</v>
      </c>
      <c r="B811">
        <v>28</v>
      </c>
      <c r="C811" t="s">
        <v>31</v>
      </c>
      <c r="D811">
        <v>950</v>
      </c>
      <c r="E811" t="s">
        <v>38</v>
      </c>
      <c r="F811">
        <v>3</v>
      </c>
      <c r="G811">
        <v>3</v>
      </c>
      <c r="H811" t="s">
        <v>44</v>
      </c>
      <c r="I811">
        <v>4</v>
      </c>
      <c r="J811" t="s">
        <v>34</v>
      </c>
      <c r="K811">
        <v>93</v>
      </c>
      <c r="L811">
        <v>3</v>
      </c>
      <c r="M811">
        <v>3</v>
      </c>
      <c r="N811" t="s">
        <v>46</v>
      </c>
      <c r="O811">
        <v>2</v>
      </c>
      <c r="P811" t="s">
        <v>45</v>
      </c>
      <c r="Q811">
        <v>7655</v>
      </c>
      <c r="R811">
        <v>8039</v>
      </c>
      <c r="S811">
        <v>0</v>
      </c>
      <c r="T811">
        <v>0</v>
      </c>
      <c r="U811" s="17">
        <v>0.17</v>
      </c>
      <c r="V811">
        <v>3</v>
      </c>
      <c r="W811">
        <v>2</v>
      </c>
      <c r="X811">
        <v>3</v>
      </c>
      <c r="Y811">
        <v>10</v>
      </c>
      <c r="Z811">
        <v>3</v>
      </c>
      <c r="AA811">
        <v>2</v>
      </c>
      <c r="AB811">
        <v>9</v>
      </c>
      <c r="AC811">
        <v>7</v>
      </c>
      <c r="AD811">
        <v>1</v>
      </c>
      <c r="AE811">
        <v>7</v>
      </c>
      <c r="AF811">
        <v>0</v>
      </c>
      <c r="AG811">
        <f>IF(tbl_HR_Data[[#This Row],[Gender]]="Male",1,0)</f>
        <v>0</v>
      </c>
      <c r="AH811" cm="1">
        <f t="array" ref="AH811">_xlfn.SWITCH(tbl_HR_Data[[#This Row],[BusinessTravel]], "Non-Travel", 0, "Travel_Rarely", 1, "Travel_Frequently", 2)</f>
        <v>1</v>
      </c>
      <c r="AI811" cm="1">
        <f t="array" ref="AI811">_xlfn.SWITCH(tbl_HR_Data[[#This Row],[MaritalStatus]],"Single",0,"Married",1,"Divorced",2)</f>
        <v>2</v>
      </c>
      <c r="AJ811">
        <f>IF(tbl_HR_Data[[#This Row],[OverTime]]=1,1,0)</f>
        <v>0</v>
      </c>
      <c r="AK811">
        <f>IF(tbl_HR_Data[[#This Row],[DistanceFromHome]]&gt;15,1,0)</f>
        <v>0</v>
      </c>
      <c r="AL811">
        <f>IF(tbl_HR_Data[[#This Row],[JobSatisfaction]]&lt;=2,1,0)</f>
        <v>1</v>
      </c>
      <c r="AM811">
        <f>IF(tbl_HR_Data[[#This Row],[MonthlyIncome]]&lt;$AT$2,1,0)</f>
        <v>0</v>
      </c>
      <c r="AN811">
        <f>IF(tbl_HR_Data[[#This Row],[Travel_Code]]=2,1,0)</f>
        <v>0</v>
      </c>
      <c r="AO811">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811" s="15">
        <f>tbl_HR_Data[[#This Row],[Risk_Score_Raw]] / SUM(Logic_Parameters!$B$2:$B$6)</f>
        <v>0.14485673308716898</v>
      </c>
      <c r="AQ811" s="16" t="str" cm="1">
        <f t="array" ref="AQ811">_xlfn.IFS(tbl_HR_Data[[#This Row],[Attrition_Risk_Percentage]] &gt;= 0.75, "Critical",tbl_HR_Data[ [#This Row],[Attrition_Risk_Percentage] ]&gt;= 0.5, "High",tbl_HR_Data[[#This Row],[Attrition_Risk_Percentage]] &gt;= 0.25, "Medium",TRUE, "Low")</f>
        <v>Low</v>
      </c>
      <c r="AR811" s="16" cm="1">
        <f t="array" ref="AR811">IFERROR(_xlfn.IFS(tbl_HR_Data[[#This Row],[Risk_Category]]="Critical",tbl_HR_Data[[#This Row],[MonthlyIncome]]*1.5,tbl_HR_Data[[#This Row],[Risk_Category]]="High",tbl_HR_Data[[#This Row],[MonthlyIncome]]*1.5),0)</f>
        <v>0</v>
      </c>
    </row>
    <row r="812" spans="1:44" x14ac:dyDescent="0.35">
      <c r="A812" t="s">
        <v>211</v>
      </c>
      <c r="B812">
        <v>46</v>
      </c>
      <c r="C812" t="s">
        <v>31</v>
      </c>
      <c r="D812">
        <v>406</v>
      </c>
      <c r="E812" t="s">
        <v>32</v>
      </c>
      <c r="F812">
        <v>3</v>
      </c>
      <c r="G812">
        <v>1</v>
      </c>
      <c r="H812" t="s">
        <v>51</v>
      </c>
      <c r="I812">
        <v>1</v>
      </c>
      <c r="J812" t="s">
        <v>39</v>
      </c>
      <c r="K812">
        <v>52</v>
      </c>
      <c r="L812">
        <v>3</v>
      </c>
      <c r="M812">
        <v>4</v>
      </c>
      <c r="N812" t="s">
        <v>48</v>
      </c>
      <c r="O812">
        <v>3</v>
      </c>
      <c r="P812" t="s">
        <v>41</v>
      </c>
      <c r="Q812">
        <v>17465</v>
      </c>
      <c r="R812">
        <v>15596</v>
      </c>
      <c r="S812">
        <v>3</v>
      </c>
      <c r="T812">
        <v>0</v>
      </c>
      <c r="U812" s="17">
        <v>0.12</v>
      </c>
      <c r="V812">
        <v>3</v>
      </c>
      <c r="W812">
        <v>4</v>
      </c>
      <c r="X812">
        <v>1</v>
      </c>
      <c r="Y812">
        <v>23</v>
      </c>
      <c r="Z812">
        <v>3</v>
      </c>
      <c r="AA812">
        <v>3</v>
      </c>
      <c r="AB812">
        <v>12</v>
      </c>
      <c r="AC812">
        <v>9</v>
      </c>
      <c r="AD812">
        <v>4</v>
      </c>
      <c r="AE812">
        <v>9</v>
      </c>
      <c r="AF812">
        <v>0</v>
      </c>
      <c r="AG812">
        <f>IF(tbl_HR_Data[[#This Row],[Gender]]="Male",1,0)</f>
        <v>1</v>
      </c>
      <c r="AH812" cm="1">
        <f t="array" ref="AH812">_xlfn.SWITCH(tbl_HR_Data[[#This Row],[BusinessTravel]], "Non-Travel", 0, "Travel_Rarely", 1, "Travel_Frequently", 2)</f>
        <v>1</v>
      </c>
      <c r="AI812" cm="1">
        <f t="array" ref="AI812">_xlfn.SWITCH(tbl_HR_Data[[#This Row],[MaritalStatus]],"Single",0,"Married",1,"Divorced",2)</f>
        <v>1</v>
      </c>
      <c r="AJ812">
        <f>IF(tbl_HR_Data[[#This Row],[OverTime]]=1,1,0)</f>
        <v>0</v>
      </c>
      <c r="AK812">
        <f>IF(tbl_HR_Data[[#This Row],[DistanceFromHome]]&gt;15,1,0)</f>
        <v>0</v>
      </c>
      <c r="AL812">
        <f>IF(tbl_HR_Data[[#This Row],[JobSatisfaction]]&lt;=2,1,0)</f>
        <v>0</v>
      </c>
      <c r="AM812">
        <f>IF(tbl_HR_Data[[#This Row],[MonthlyIncome]]&lt;$AT$2,1,0)</f>
        <v>0</v>
      </c>
      <c r="AN812">
        <f>IF(tbl_HR_Data[[#This Row],[Travel_Code]]=2,1,0)</f>
        <v>0</v>
      </c>
      <c r="AO812">
        <f>(tbl_HR_Data[[#This Row],[Flag_OT]] * Logic_Parameters!$B$2) +
 (tbl_HR_Data[[#This Row],[Flag_Travel]] * Logic_Parameters!$B$3) +
 (tbl_HR_Data[[#This Row],[Flag_Satisfaction]] * Logic_Parameters!$B$4) +
 (tbl_HR_Data[[#This Row],[Flag_Distance]]* Logic_Parameters!$B$5) +
 (tbl_HR_Data[[#This Row],[Flag_Income]] * Logic_Parameters!$B$6)</f>
        <v>0</v>
      </c>
      <c r="AP812" s="15">
        <f>tbl_HR_Data[[#This Row],[Risk_Score_Raw]] / SUM(Logic_Parameters!$B$2:$B$6)</f>
        <v>0</v>
      </c>
      <c r="AQ812" s="16" t="str" cm="1">
        <f t="array" ref="AQ812">_xlfn.IFS(tbl_HR_Data[[#This Row],[Attrition_Risk_Percentage]] &gt;= 0.75, "Critical",tbl_HR_Data[ [#This Row],[Attrition_Risk_Percentage] ]&gt;= 0.5, "High",tbl_HR_Data[[#This Row],[Attrition_Risk_Percentage]] &gt;= 0.25, "Medium",TRUE, "Low")</f>
        <v>Low</v>
      </c>
      <c r="AR812" s="16" cm="1">
        <f t="array" ref="AR812">IFERROR(_xlfn.IFS(tbl_HR_Data[[#This Row],[Risk_Category]]="Critical",tbl_HR_Data[[#This Row],[MonthlyIncome]]*1.5,tbl_HR_Data[[#This Row],[Risk_Category]]="High",tbl_HR_Data[[#This Row],[MonthlyIncome]]*1.5),0)</f>
        <v>0</v>
      </c>
    </row>
    <row r="813" spans="1:44" x14ac:dyDescent="0.35">
      <c r="A813" t="s">
        <v>758</v>
      </c>
      <c r="B813">
        <v>38</v>
      </c>
      <c r="C813" t="s">
        <v>31</v>
      </c>
      <c r="D813">
        <v>130</v>
      </c>
      <c r="E813" t="s">
        <v>32</v>
      </c>
      <c r="F813">
        <v>2</v>
      </c>
      <c r="G813">
        <v>2</v>
      </c>
      <c r="H813" t="s">
        <v>51</v>
      </c>
      <c r="I813">
        <v>4</v>
      </c>
      <c r="J813" t="s">
        <v>39</v>
      </c>
      <c r="K813">
        <v>32</v>
      </c>
      <c r="L813">
        <v>3</v>
      </c>
      <c r="M813">
        <v>3</v>
      </c>
      <c r="N813" t="s">
        <v>35</v>
      </c>
      <c r="O813">
        <v>2</v>
      </c>
      <c r="P813" t="s">
        <v>36</v>
      </c>
      <c r="Q813">
        <v>7351</v>
      </c>
      <c r="R813">
        <v>20619</v>
      </c>
      <c r="S813">
        <v>7</v>
      </c>
      <c r="T813">
        <v>0</v>
      </c>
      <c r="U813" s="17">
        <v>0.16</v>
      </c>
      <c r="V813">
        <v>3</v>
      </c>
      <c r="W813">
        <v>3</v>
      </c>
      <c r="X813">
        <v>0</v>
      </c>
      <c r="Y813">
        <v>10</v>
      </c>
      <c r="Z813">
        <v>2</v>
      </c>
      <c r="AA813">
        <v>3</v>
      </c>
      <c r="AB813">
        <v>1</v>
      </c>
      <c r="AC813">
        <v>0</v>
      </c>
      <c r="AD813">
        <v>0</v>
      </c>
      <c r="AE813">
        <v>0</v>
      </c>
      <c r="AF813">
        <v>0</v>
      </c>
      <c r="AG813">
        <f>IF(tbl_HR_Data[[#This Row],[Gender]]="Male",1,0)</f>
        <v>1</v>
      </c>
      <c r="AH813" cm="1">
        <f t="array" ref="AH813">_xlfn.SWITCH(tbl_HR_Data[[#This Row],[BusinessTravel]], "Non-Travel", 0, "Travel_Rarely", 1, "Travel_Frequently", 2)</f>
        <v>1</v>
      </c>
      <c r="AI813" cm="1">
        <f t="array" ref="AI813">_xlfn.SWITCH(tbl_HR_Data[[#This Row],[MaritalStatus]],"Single",0,"Married",1,"Divorced",2)</f>
        <v>0</v>
      </c>
      <c r="AJ813">
        <f>IF(tbl_HR_Data[[#This Row],[OverTime]]=1,1,0)</f>
        <v>0</v>
      </c>
      <c r="AK813">
        <f>IF(tbl_HR_Data[[#This Row],[DistanceFromHome]]&gt;15,1,0)</f>
        <v>0</v>
      </c>
      <c r="AL813">
        <f>IF(tbl_HR_Data[[#This Row],[JobSatisfaction]]&lt;=2,1,0)</f>
        <v>1</v>
      </c>
      <c r="AM813">
        <f>IF(tbl_HR_Data[[#This Row],[MonthlyIncome]]&lt;$AT$2,1,0)</f>
        <v>0</v>
      </c>
      <c r="AN813">
        <f>IF(tbl_HR_Data[[#This Row],[Travel_Code]]=2,1,0)</f>
        <v>0</v>
      </c>
      <c r="AO813">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813" s="15">
        <f>tbl_HR_Data[[#This Row],[Risk_Score_Raw]] / SUM(Logic_Parameters!$B$2:$B$6)</f>
        <v>0.14485673308716898</v>
      </c>
      <c r="AQ813" s="16" t="str" cm="1">
        <f t="array" ref="AQ813">_xlfn.IFS(tbl_HR_Data[[#This Row],[Attrition_Risk_Percentage]] &gt;= 0.75, "Critical",tbl_HR_Data[ [#This Row],[Attrition_Risk_Percentage] ]&gt;= 0.5, "High",tbl_HR_Data[[#This Row],[Attrition_Risk_Percentage]] &gt;= 0.25, "Medium",TRUE, "Low")</f>
        <v>Low</v>
      </c>
      <c r="AR813" s="16" cm="1">
        <f t="array" ref="AR813">IFERROR(_xlfn.IFS(tbl_HR_Data[[#This Row],[Risk_Category]]="Critical",tbl_HR_Data[[#This Row],[MonthlyIncome]]*1.5,tbl_HR_Data[[#This Row],[Risk_Category]]="High",tbl_HR_Data[[#This Row],[MonthlyIncome]]*1.5),0)</f>
        <v>0</v>
      </c>
    </row>
    <row r="814" spans="1:44" x14ac:dyDescent="0.35">
      <c r="A814" t="s">
        <v>268</v>
      </c>
      <c r="B814">
        <v>43</v>
      </c>
      <c r="C814" t="s">
        <v>37</v>
      </c>
      <c r="D814">
        <v>1082</v>
      </c>
      <c r="E814" t="s">
        <v>38</v>
      </c>
      <c r="F814">
        <v>27</v>
      </c>
      <c r="G814">
        <v>3</v>
      </c>
      <c r="H814" t="s">
        <v>33</v>
      </c>
      <c r="I814">
        <v>3</v>
      </c>
      <c r="J814" t="s">
        <v>34</v>
      </c>
      <c r="K814">
        <v>83</v>
      </c>
      <c r="L814">
        <v>3</v>
      </c>
      <c r="M814">
        <v>3</v>
      </c>
      <c r="N814" t="s">
        <v>46</v>
      </c>
      <c r="O814">
        <v>1</v>
      </c>
      <c r="P814" t="s">
        <v>41</v>
      </c>
      <c r="Q814">
        <v>10820</v>
      </c>
      <c r="R814">
        <v>11535</v>
      </c>
      <c r="S814">
        <v>8</v>
      </c>
      <c r="T814">
        <v>0</v>
      </c>
      <c r="U814" s="17">
        <v>0.11</v>
      </c>
      <c r="V814">
        <v>3</v>
      </c>
      <c r="W814">
        <v>3</v>
      </c>
      <c r="X814">
        <v>1</v>
      </c>
      <c r="Y814">
        <v>18</v>
      </c>
      <c r="Z814">
        <v>1</v>
      </c>
      <c r="AA814">
        <v>3</v>
      </c>
      <c r="AB814">
        <v>8</v>
      </c>
      <c r="AC814">
        <v>7</v>
      </c>
      <c r="AD814">
        <v>0</v>
      </c>
      <c r="AE814">
        <v>1</v>
      </c>
      <c r="AF814">
        <v>0</v>
      </c>
      <c r="AG814">
        <f>IF(tbl_HR_Data[[#This Row],[Gender]]="Male",1,0)</f>
        <v>0</v>
      </c>
      <c r="AH814" cm="1">
        <f t="array" ref="AH814">_xlfn.SWITCH(tbl_HR_Data[[#This Row],[BusinessTravel]], "Non-Travel", 0, "Travel_Rarely", 1, "Travel_Frequently", 2)</f>
        <v>2</v>
      </c>
      <c r="AI814" cm="1">
        <f t="array" ref="AI814">_xlfn.SWITCH(tbl_HR_Data[[#This Row],[MaritalStatus]],"Single",0,"Married",1,"Divorced",2)</f>
        <v>1</v>
      </c>
      <c r="AJ814">
        <f>IF(tbl_HR_Data[[#This Row],[OverTime]]=1,1,0)</f>
        <v>0</v>
      </c>
      <c r="AK814">
        <f>IF(tbl_HR_Data[[#This Row],[DistanceFromHome]]&gt;15,1,0)</f>
        <v>1</v>
      </c>
      <c r="AL814">
        <f>IF(tbl_HR_Data[[#This Row],[JobSatisfaction]]&lt;=2,1,0)</f>
        <v>1</v>
      </c>
      <c r="AM814">
        <f>IF(tbl_HR_Data[[#This Row],[MonthlyIncome]]&lt;$AT$2,1,0)</f>
        <v>0</v>
      </c>
      <c r="AN814">
        <f>IF(tbl_HR_Data[[#This Row],[Travel_Code]]=2,1,0)</f>
        <v>1</v>
      </c>
      <c r="AO814">
        <f>(tbl_HR_Data[[#This Row],[Flag_OT]] * Logic_Parameters!$B$2) +
 (tbl_HR_Data[[#This Row],[Flag_Travel]] * Logic_Parameters!$B$3) +
 (tbl_HR_Data[[#This Row],[Flag_Satisfaction]] * Logic_Parameters!$B$4) +
 (tbl_HR_Data[[#This Row],[Flag_Distance]]* Logic_Parameters!$B$5) +
 (tbl_HR_Data[[#This Row],[Flag_Income]] * Logic_Parameters!$B$6)</f>
        <v>12.531029806343685</v>
      </c>
      <c r="AP814" s="15">
        <f>tbl_HR_Data[[#This Row],[Risk_Score_Raw]] / SUM(Logic_Parameters!$B$2:$B$6)</f>
        <v>0.43172546959436786</v>
      </c>
      <c r="AQ814" s="16" t="str" cm="1">
        <f t="array" ref="AQ814">_xlfn.IFS(tbl_HR_Data[[#This Row],[Attrition_Risk_Percentage]] &gt;= 0.75, "Critical",tbl_HR_Data[ [#This Row],[Attrition_Risk_Percentage] ]&gt;= 0.5, "High",tbl_HR_Data[[#This Row],[Attrition_Risk_Percentage]] &gt;= 0.25, "Medium",TRUE, "Low")</f>
        <v>Medium</v>
      </c>
      <c r="AR814" s="16" cm="1">
        <f t="array" ref="AR814">IFERROR(_xlfn.IFS(tbl_HR_Data[[#This Row],[Risk_Category]]="Critical",tbl_HR_Data[[#This Row],[MonthlyIncome]]*1.5,tbl_HR_Data[[#This Row],[Risk_Category]]="High",tbl_HR_Data[[#This Row],[MonthlyIncome]]*1.5),0)</f>
        <v>0</v>
      </c>
    </row>
    <row r="815" spans="1:44" x14ac:dyDescent="0.35">
      <c r="A815" t="s">
        <v>245</v>
      </c>
      <c r="B815">
        <v>39</v>
      </c>
      <c r="C815" t="s">
        <v>37</v>
      </c>
      <c r="D815">
        <v>203</v>
      </c>
      <c r="E815" t="s">
        <v>38</v>
      </c>
      <c r="F815">
        <v>2</v>
      </c>
      <c r="G815">
        <v>3</v>
      </c>
      <c r="H815" t="s">
        <v>33</v>
      </c>
      <c r="I815">
        <v>1</v>
      </c>
      <c r="J815" t="s">
        <v>39</v>
      </c>
      <c r="K815">
        <v>84</v>
      </c>
      <c r="L815">
        <v>3</v>
      </c>
      <c r="M815">
        <v>4</v>
      </c>
      <c r="N815" t="s">
        <v>47</v>
      </c>
      <c r="O815">
        <v>4</v>
      </c>
      <c r="P815" t="s">
        <v>45</v>
      </c>
      <c r="Q815">
        <v>12169</v>
      </c>
      <c r="R815">
        <v>13547</v>
      </c>
      <c r="S815">
        <v>7</v>
      </c>
      <c r="T815">
        <v>0</v>
      </c>
      <c r="U815" s="17">
        <v>0.11</v>
      </c>
      <c r="V815">
        <v>3</v>
      </c>
      <c r="W815">
        <v>4</v>
      </c>
      <c r="X815">
        <v>3</v>
      </c>
      <c r="Y815">
        <v>21</v>
      </c>
      <c r="Z815">
        <v>4</v>
      </c>
      <c r="AA815">
        <v>3</v>
      </c>
      <c r="AB815">
        <v>18</v>
      </c>
      <c r="AC815">
        <v>7</v>
      </c>
      <c r="AD815">
        <v>11</v>
      </c>
      <c r="AE815">
        <v>5</v>
      </c>
      <c r="AF815">
        <v>1</v>
      </c>
      <c r="AG815">
        <f>IF(tbl_HR_Data[[#This Row],[Gender]]="Male",1,0)</f>
        <v>1</v>
      </c>
      <c r="AH815" cm="1">
        <f t="array" ref="AH815">_xlfn.SWITCH(tbl_HR_Data[[#This Row],[BusinessTravel]], "Non-Travel", 0, "Travel_Rarely", 1, "Travel_Frequently", 2)</f>
        <v>2</v>
      </c>
      <c r="AI815" cm="1">
        <f t="array" ref="AI815">_xlfn.SWITCH(tbl_HR_Data[[#This Row],[MaritalStatus]],"Single",0,"Married",1,"Divorced",2)</f>
        <v>2</v>
      </c>
      <c r="AJ815">
        <f>IF(tbl_HR_Data[[#This Row],[OverTime]]=1,1,0)</f>
        <v>0</v>
      </c>
      <c r="AK815">
        <f>IF(tbl_HR_Data[[#This Row],[DistanceFromHome]]&gt;15,1,0)</f>
        <v>0</v>
      </c>
      <c r="AL815">
        <f>IF(tbl_HR_Data[[#This Row],[JobSatisfaction]]&lt;=2,1,0)</f>
        <v>0</v>
      </c>
      <c r="AM815">
        <f>IF(tbl_HR_Data[[#This Row],[MonthlyIncome]]&lt;$AT$2,1,0)</f>
        <v>0</v>
      </c>
      <c r="AN815">
        <f>IF(tbl_HR_Data[[#This Row],[Travel_Code]]=2,1,0)</f>
        <v>1</v>
      </c>
      <c r="AO815">
        <f>(tbl_HR_Data[[#This Row],[Flag_OT]] * Logic_Parameters!$B$2) +
 (tbl_HR_Data[[#This Row],[Flag_Travel]] * Logic_Parameters!$B$3) +
 (tbl_HR_Data[[#This Row],[Flag_Satisfaction]] * Logic_Parameters!$B$4) +
 (tbl_HR_Data[[#This Row],[Flag_Distance]]* Logic_Parameters!$B$5) +
 (tbl_HR_Data[[#This Row],[Flag_Income]] * Logic_Parameters!$B$6)</f>
        <v>5.1603899804901765</v>
      </c>
      <c r="AP815" s="15">
        <f>tbl_HR_Data[[#This Row],[Risk_Score_Raw]] / SUM(Logic_Parameters!$B$2:$B$6)</f>
        <v>0.17778840383009531</v>
      </c>
      <c r="AQ815" s="16" t="str" cm="1">
        <f t="array" ref="AQ815">_xlfn.IFS(tbl_HR_Data[[#This Row],[Attrition_Risk_Percentage]] &gt;= 0.75, "Critical",tbl_HR_Data[ [#This Row],[Attrition_Risk_Percentage] ]&gt;= 0.5, "High",tbl_HR_Data[[#This Row],[Attrition_Risk_Percentage]] &gt;= 0.25, "Medium",TRUE, "Low")</f>
        <v>Low</v>
      </c>
      <c r="AR815" s="16" cm="1">
        <f t="array" ref="AR815">IFERROR(_xlfn.IFS(tbl_HR_Data[[#This Row],[Risk_Category]]="Critical",tbl_HR_Data[[#This Row],[MonthlyIncome]]*1.5,tbl_HR_Data[[#This Row],[Risk_Category]]="High",tbl_HR_Data[[#This Row],[MonthlyIncome]]*1.5),0)</f>
        <v>0</v>
      </c>
    </row>
    <row r="816" spans="1:44" x14ac:dyDescent="0.35">
      <c r="A816" t="s">
        <v>1378</v>
      </c>
      <c r="B816">
        <v>40</v>
      </c>
      <c r="C816" t="s">
        <v>31</v>
      </c>
      <c r="D816">
        <v>1308</v>
      </c>
      <c r="E816" t="s">
        <v>38</v>
      </c>
      <c r="F816">
        <v>14</v>
      </c>
      <c r="G816">
        <v>3</v>
      </c>
      <c r="H816" t="s">
        <v>44</v>
      </c>
      <c r="I816">
        <v>3</v>
      </c>
      <c r="J816" t="s">
        <v>39</v>
      </c>
      <c r="K816">
        <v>44</v>
      </c>
      <c r="L816">
        <v>2</v>
      </c>
      <c r="M816">
        <v>5</v>
      </c>
      <c r="N816" t="s">
        <v>50</v>
      </c>
      <c r="O816">
        <v>3</v>
      </c>
      <c r="P816" t="s">
        <v>36</v>
      </c>
      <c r="Q816">
        <v>19626</v>
      </c>
      <c r="R816">
        <v>17544</v>
      </c>
      <c r="S816">
        <v>1</v>
      </c>
      <c r="T816">
        <v>0</v>
      </c>
      <c r="U816" s="17">
        <v>0.14000000000000001</v>
      </c>
      <c r="V816">
        <v>3</v>
      </c>
      <c r="W816">
        <v>1</v>
      </c>
      <c r="X816">
        <v>0</v>
      </c>
      <c r="Y816">
        <v>21</v>
      </c>
      <c r="Z816">
        <v>2</v>
      </c>
      <c r="AA816">
        <v>4</v>
      </c>
      <c r="AB816">
        <v>20</v>
      </c>
      <c r="AC816">
        <v>7</v>
      </c>
      <c r="AD816">
        <v>4</v>
      </c>
      <c r="AE816">
        <v>9</v>
      </c>
      <c r="AF816">
        <v>0</v>
      </c>
      <c r="AG816">
        <f>IF(tbl_HR_Data[[#This Row],[Gender]]="Male",1,0)</f>
        <v>1</v>
      </c>
      <c r="AH816" cm="1">
        <f t="array" ref="AH816">_xlfn.SWITCH(tbl_HR_Data[[#This Row],[BusinessTravel]], "Non-Travel", 0, "Travel_Rarely", 1, "Travel_Frequently", 2)</f>
        <v>1</v>
      </c>
      <c r="AI816" cm="1">
        <f t="array" ref="AI816">_xlfn.SWITCH(tbl_HR_Data[[#This Row],[MaritalStatus]],"Single",0,"Married",1,"Divorced",2)</f>
        <v>0</v>
      </c>
      <c r="AJ816">
        <f>IF(tbl_HR_Data[[#This Row],[OverTime]]=1,1,0)</f>
        <v>0</v>
      </c>
      <c r="AK816">
        <f>IF(tbl_HR_Data[[#This Row],[DistanceFromHome]]&gt;15,1,0)</f>
        <v>0</v>
      </c>
      <c r="AL816">
        <f>IF(tbl_HR_Data[[#This Row],[JobSatisfaction]]&lt;=2,1,0)</f>
        <v>0</v>
      </c>
      <c r="AM816">
        <f>IF(tbl_HR_Data[[#This Row],[MonthlyIncome]]&lt;$AT$2,1,0)</f>
        <v>0</v>
      </c>
      <c r="AN816">
        <f>IF(tbl_HR_Data[[#This Row],[Travel_Code]]=2,1,0)</f>
        <v>0</v>
      </c>
      <c r="AO816">
        <f>(tbl_HR_Data[[#This Row],[Flag_OT]] * Logic_Parameters!$B$2) +
 (tbl_HR_Data[[#This Row],[Flag_Travel]] * Logic_Parameters!$B$3) +
 (tbl_HR_Data[[#This Row],[Flag_Satisfaction]] * Logic_Parameters!$B$4) +
 (tbl_HR_Data[[#This Row],[Flag_Distance]]* Logic_Parameters!$B$5) +
 (tbl_HR_Data[[#This Row],[Flag_Income]] * Logic_Parameters!$B$6)</f>
        <v>0</v>
      </c>
      <c r="AP816" s="15">
        <f>tbl_HR_Data[[#This Row],[Risk_Score_Raw]] / SUM(Logic_Parameters!$B$2:$B$6)</f>
        <v>0</v>
      </c>
      <c r="AQ816" s="16" t="str" cm="1">
        <f t="array" ref="AQ816">_xlfn.IFS(tbl_HR_Data[[#This Row],[Attrition_Risk_Percentage]] &gt;= 0.75, "Critical",tbl_HR_Data[ [#This Row],[Attrition_Risk_Percentage] ]&gt;= 0.5, "High",tbl_HR_Data[[#This Row],[Attrition_Risk_Percentage]] &gt;= 0.25, "Medium",TRUE, "Low")</f>
        <v>Low</v>
      </c>
      <c r="AR816" s="16" cm="1">
        <f t="array" ref="AR816">IFERROR(_xlfn.IFS(tbl_HR_Data[[#This Row],[Risk_Category]]="Critical",tbl_HR_Data[[#This Row],[MonthlyIncome]]*1.5,tbl_HR_Data[[#This Row],[Risk_Category]]="High",tbl_HR_Data[[#This Row],[MonthlyIncome]]*1.5),0)</f>
        <v>0</v>
      </c>
    </row>
    <row r="817" spans="1:44" x14ac:dyDescent="0.35">
      <c r="A817" t="s">
        <v>1457</v>
      </c>
      <c r="B817">
        <v>21</v>
      </c>
      <c r="C817" t="s">
        <v>31</v>
      </c>
      <c r="D817">
        <v>984</v>
      </c>
      <c r="E817" t="s">
        <v>38</v>
      </c>
      <c r="F817">
        <v>1</v>
      </c>
      <c r="G817">
        <v>1</v>
      </c>
      <c r="H817" t="s">
        <v>52</v>
      </c>
      <c r="I817">
        <v>4</v>
      </c>
      <c r="J817" t="s">
        <v>34</v>
      </c>
      <c r="K817">
        <v>70</v>
      </c>
      <c r="L817">
        <v>2</v>
      </c>
      <c r="M817">
        <v>1</v>
      </c>
      <c r="N817" t="s">
        <v>40</v>
      </c>
      <c r="O817">
        <v>2</v>
      </c>
      <c r="P817" t="s">
        <v>36</v>
      </c>
      <c r="Q817">
        <v>2070</v>
      </c>
      <c r="R817">
        <v>25326</v>
      </c>
      <c r="S817">
        <v>1</v>
      </c>
      <c r="T817">
        <v>1</v>
      </c>
      <c r="U817" s="17">
        <v>0.11</v>
      </c>
      <c r="V817">
        <v>3</v>
      </c>
      <c r="W817">
        <v>3</v>
      </c>
      <c r="X817">
        <v>0</v>
      </c>
      <c r="Y817">
        <v>2</v>
      </c>
      <c r="Z817">
        <v>6</v>
      </c>
      <c r="AA817">
        <v>4</v>
      </c>
      <c r="AB817">
        <v>2</v>
      </c>
      <c r="AC817">
        <v>2</v>
      </c>
      <c r="AD817">
        <v>2</v>
      </c>
      <c r="AE817">
        <v>2</v>
      </c>
      <c r="AF817">
        <v>0</v>
      </c>
      <c r="AG817">
        <f>IF(tbl_HR_Data[[#This Row],[Gender]]="Male",1,0)</f>
        <v>0</v>
      </c>
      <c r="AH817" cm="1">
        <f t="array" ref="AH817">_xlfn.SWITCH(tbl_HR_Data[[#This Row],[BusinessTravel]], "Non-Travel", 0, "Travel_Rarely", 1, "Travel_Frequently", 2)</f>
        <v>1</v>
      </c>
      <c r="AI817" cm="1">
        <f t="array" ref="AI817">_xlfn.SWITCH(tbl_HR_Data[[#This Row],[MaritalStatus]],"Single",0,"Married",1,"Divorced",2)</f>
        <v>0</v>
      </c>
      <c r="AJ817">
        <f>IF(tbl_HR_Data[[#This Row],[OverTime]]=1,1,0)</f>
        <v>1</v>
      </c>
      <c r="AK817">
        <f>IF(tbl_HR_Data[[#This Row],[DistanceFromHome]]&gt;15,1,0)</f>
        <v>0</v>
      </c>
      <c r="AL817">
        <f>IF(tbl_HR_Data[[#This Row],[JobSatisfaction]]&lt;=2,1,0)</f>
        <v>1</v>
      </c>
      <c r="AM817">
        <f>IF(tbl_HR_Data[[#This Row],[MonthlyIncome]]&lt;$AT$2,1,0)</f>
        <v>1</v>
      </c>
      <c r="AN817">
        <f>IF(tbl_HR_Data[[#This Row],[Travel_Code]]=2,1,0)</f>
        <v>0</v>
      </c>
      <c r="AO817">
        <f>(tbl_HR_Data[[#This Row],[Flag_OT]] * Logic_Parameters!$B$2) +
 (tbl_HR_Data[[#This Row],[Flag_Travel]] * Logic_Parameters!$B$3) +
 (tbl_HR_Data[[#This Row],[Flag_Satisfaction]] * Logic_Parameters!$B$4) +
 (tbl_HR_Data[[#This Row],[Flag_Distance]]* Logic_Parameters!$B$5) +
 (tbl_HR_Data[[#This Row],[Flag_Income]] * Logic_Parameters!$B$6)</f>
        <v>20.698962067398959</v>
      </c>
      <c r="AP817" s="15">
        <f>tbl_HR_Data[[#This Row],[Risk_Score_Raw]] / SUM(Logic_Parameters!$B$2:$B$6)</f>
        <v>0.71313126349280109</v>
      </c>
      <c r="AQ817" s="16" t="str" cm="1">
        <f t="array" ref="AQ817">_xlfn.IFS(tbl_HR_Data[[#This Row],[Attrition_Risk_Percentage]] &gt;= 0.75, "Critical",tbl_HR_Data[ [#This Row],[Attrition_Risk_Percentage] ]&gt;= 0.5, "High",tbl_HR_Data[[#This Row],[Attrition_Risk_Percentage]] &gt;= 0.25, "Medium",TRUE, "Low")</f>
        <v>High</v>
      </c>
      <c r="AR817" s="16" cm="1">
        <f t="array" ref="AR817">IFERROR(_xlfn.IFS(tbl_HR_Data[[#This Row],[Risk_Category]]="Critical",tbl_HR_Data[[#This Row],[MonthlyIncome]]*1.5,tbl_HR_Data[[#This Row],[Risk_Category]]="High",tbl_HR_Data[[#This Row],[MonthlyIncome]]*1.5),0)</f>
        <v>3105</v>
      </c>
    </row>
    <row r="818" spans="1:44" x14ac:dyDescent="0.35">
      <c r="A818" t="s">
        <v>1491</v>
      </c>
      <c r="B818">
        <v>39</v>
      </c>
      <c r="C818" t="s">
        <v>1525</v>
      </c>
      <c r="D818">
        <v>439</v>
      </c>
      <c r="E818" t="s">
        <v>38</v>
      </c>
      <c r="F818">
        <v>9</v>
      </c>
      <c r="G818">
        <v>3</v>
      </c>
      <c r="H818" t="s">
        <v>33</v>
      </c>
      <c r="I818">
        <v>3</v>
      </c>
      <c r="J818" t="s">
        <v>39</v>
      </c>
      <c r="K818">
        <v>70</v>
      </c>
      <c r="L818">
        <v>3</v>
      </c>
      <c r="M818">
        <v>2</v>
      </c>
      <c r="N818" t="s">
        <v>43</v>
      </c>
      <c r="O818">
        <v>2</v>
      </c>
      <c r="P818" t="s">
        <v>36</v>
      </c>
      <c r="Q818">
        <v>6782</v>
      </c>
      <c r="R818">
        <v>8770</v>
      </c>
      <c r="S818">
        <v>9</v>
      </c>
      <c r="T818">
        <v>0</v>
      </c>
      <c r="U818" s="17">
        <v>0.15</v>
      </c>
      <c r="V818">
        <v>3</v>
      </c>
      <c r="W818">
        <v>3</v>
      </c>
      <c r="X818">
        <v>0</v>
      </c>
      <c r="Y818">
        <v>9</v>
      </c>
      <c r="Z818">
        <v>2</v>
      </c>
      <c r="AA818">
        <v>2</v>
      </c>
      <c r="AB818">
        <v>5</v>
      </c>
      <c r="AC818">
        <v>4</v>
      </c>
      <c r="AD818">
        <v>0</v>
      </c>
      <c r="AE818">
        <v>3</v>
      </c>
      <c r="AF818">
        <v>0</v>
      </c>
      <c r="AG818">
        <f>IF(tbl_HR_Data[[#This Row],[Gender]]="Male",1,0)</f>
        <v>1</v>
      </c>
      <c r="AH818" cm="1">
        <f t="array" ref="AH818">_xlfn.SWITCH(tbl_HR_Data[[#This Row],[BusinessTravel]], "Non-Travel", 0, "Travel_Rarely", 1, "Travel_Frequently", 2)</f>
        <v>0</v>
      </c>
      <c r="AI818" cm="1">
        <f t="array" ref="AI818">_xlfn.SWITCH(tbl_HR_Data[[#This Row],[MaritalStatus]],"Single",0,"Married",1,"Divorced",2)</f>
        <v>0</v>
      </c>
      <c r="AJ818">
        <f>IF(tbl_HR_Data[[#This Row],[OverTime]]=1,1,0)</f>
        <v>0</v>
      </c>
      <c r="AK818">
        <f>IF(tbl_HR_Data[[#This Row],[DistanceFromHome]]&gt;15,1,0)</f>
        <v>0</v>
      </c>
      <c r="AL818">
        <f>IF(tbl_HR_Data[[#This Row],[JobSatisfaction]]&lt;=2,1,0)</f>
        <v>1</v>
      </c>
      <c r="AM818">
        <f>IF(tbl_HR_Data[[#This Row],[MonthlyIncome]]&lt;$AT$2,1,0)</f>
        <v>0</v>
      </c>
      <c r="AN818">
        <f>IF(tbl_HR_Data[[#This Row],[Travel_Code]]=2,1,0)</f>
        <v>0</v>
      </c>
      <c r="AO818">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818" s="15">
        <f>tbl_HR_Data[[#This Row],[Risk_Score_Raw]] / SUM(Logic_Parameters!$B$2:$B$6)</f>
        <v>0.14485673308716898</v>
      </c>
      <c r="AQ818" s="16" t="str" cm="1">
        <f t="array" ref="AQ818">_xlfn.IFS(tbl_HR_Data[[#This Row],[Attrition_Risk_Percentage]] &gt;= 0.75, "Critical",tbl_HR_Data[ [#This Row],[Attrition_Risk_Percentage] ]&gt;= 0.5, "High",tbl_HR_Data[[#This Row],[Attrition_Risk_Percentage]] &gt;= 0.25, "Medium",TRUE, "Low")</f>
        <v>Low</v>
      </c>
      <c r="AR818" s="16" cm="1">
        <f t="array" ref="AR818">IFERROR(_xlfn.IFS(tbl_HR_Data[[#This Row],[Risk_Category]]="Critical",tbl_HR_Data[[#This Row],[MonthlyIncome]]*1.5,tbl_HR_Data[[#This Row],[Risk_Category]]="High",tbl_HR_Data[[#This Row],[MonthlyIncome]]*1.5),0)</f>
        <v>0</v>
      </c>
    </row>
    <row r="819" spans="1:44" x14ac:dyDescent="0.35">
      <c r="A819" t="s">
        <v>175</v>
      </c>
      <c r="B819">
        <v>36</v>
      </c>
      <c r="C819" t="s">
        <v>1525</v>
      </c>
      <c r="D819">
        <v>217</v>
      </c>
      <c r="E819" t="s">
        <v>38</v>
      </c>
      <c r="F819">
        <v>18</v>
      </c>
      <c r="G819">
        <v>4</v>
      </c>
      <c r="H819" t="s">
        <v>33</v>
      </c>
      <c r="I819">
        <v>1</v>
      </c>
      <c r="J819" t="s">
        <v>39</v>
      </c>
      <c r="K819">
        <v>78</v>
      </c>
      <c r="L819">
        <v>3</v>
      </c>
      <c r="M819">
        <v>2</v>
      </c>
      <c r="N819" t="s">
        <v>46</v>
      </c>
      <c r="O819">
        <v>4</v>
      </c>
      <c r="P819" t="s">
        <v>36</v>
      </c>
      <c r="Q819">
        <v>7779</v>
      </c>
      <c r="R819">
        <v>23238</v>
      </c>
      <c r="S819">
        <v>2</v>
      </c>
      <c r="T819">
        <v>0</v>
      </c>
      <c r="U819" s="17">
        <v>0.2</v>
      </c>
      <c r="V819">
        <v>4</v>
      </c>
      <c r="W819">
        <v>1</v>
      </c>
      <c r="X819">
        <v>0</v>
      </c>
      <c r="Y819">
        <v>18</v>
      </c>
      <c r="Z819">
        <v>0</v>
      </c>
      <c r="AA819">
        <v>3</v>
      </c>
      <c r="AB819">
        <v>11</v>
      </c>
      <c r="AC819">
        <v>9</v>
      </c>
      <c r="AD819">
        <v>0</v>
      </c>
      <c r="AE819">
        <v>9</v>
      </c>
      <c r="AF819">
        <v>0</v>
      </c>
      <c r="AG819">
        <f>IF(tbl_HR_Data[[#This Row],[Gender]]="Male",1,0)</f>
        <v>1</v>
      </c>
      <c r="AH819" cm="1">
        <f t="array" ref="AH819">_xlfn.SWITCH(tbl_HR_Data[[#This Row],[BusinessTravel]], "Non-Travel", 0, "Travel_Rarely", 1, "Travel_Frequently", 2)</f>
        <v>0</v>
      </c>
      <c r="AI819" cm="1">
        <f t="array" ref="AI819">_xlfn.SWITCH(tbl_HR_Data[[#This Row],[MaritalStatus]],"Single",0,"Married",1,"Divorced",2)</f>
        <v>0</v>
      </c>
      <c r="AJ819">
        <f>IF(tbl_HR_Data[[#This Row],[OverTime]]=1,1,0)</f>
        <v>0</v>
      </c>
      <c r="AK819">
        <f>IF(tbl_HR_Data[[#This Row],[DistanceFromHome]]&gt;15,1,0)</f>
        <v>1</v>
      </c>
      <c r="AL819">
        <f>IF(tbl_HR_Data[[#This Row],[JobSatisfaction]]&lt;=2,1,0)</f>
        <v>0</v>
      </c>
      <c r="AM819">
        <f>IF(tbl_HR_Data[[#This Row],[MonthlyIncome]]&lt;$AT$2,1,0)</f>
        <v>0</v>
      </c>
      <c r="AN819">
        <f>IF(tbl_HR_Data[[#This Row],[Travel_Code]]=2,1,0)</f>
        <v>0</v>
      </c>
      <c r="AO819">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819" s="15">
        <f>tbl_HR_Data[[#This Row],[Risk_Score_Raw]] / SUM(Logic_Parameters!$B$2:$B$6)</f>
        <v>0.10908033267710357</v>
      </c>
      <c r="AQ819" s="16" t="str" cm="1">
        <f t="array" ref="AQ819">_xlfn.IFS(tbl_HR_Data[[#This Row],[Attrition_Risk_Percentage]] &gt;= 0.75, "Critical",tbl_HR_Data[ [#This Row],[Attrition_Risk_Percentage] ]&gt;= 0.5, "High",tbl_HR_Data[[#This Row],[Attrition_Risk_Percentage]] &gt;= 0.25, "Medium",TRUE, "Low")</f>
        <v>Low</v>
      </c>
      <c r="AR819" s="16" cm="1">
        <f t="array" ref="AR819">IFERROR(_xlfn.IFS(tbl_HR_Data[[#This Row],[Risk_Category]]="Critical",tbl_HR_Data[[#This Row],[MonthlyIncome]]*1.5,tbl_HR_Data[[#This Row],[Risk_Category]]="High",tbl_HR_Data[[#This Row],[MonthlyIncome]]*1.5),0)</f>
        <v>0</v>
      </c>
    </row>
    <row r="820" spans="1:44" x14ac:dyDescent="0.35">
      <c r="A820" t="s">
        <v>979</v>
      </c>
      <c r="B820">
        <v>31</v>
      </c>
      <c r="C820" t="s">
        <v>37</v>
      </c>
      <c r="D820">
        <v>793</v>
      </c>
      <c r="E820" t="s">
        <v>32</v>
      </c>
      <c r="F820">
        <v>20</v>
      </c>
      <c r="G820">
        <v>3</v>
      </c>
      <c r="H820" t="s">
        <v>33</v>
      </c>
      <c r="I820">
        <v>3</v>
      </c>
      <c r="J820" t="s">
        <v>39</v>
      </c>
      <c r="K820">
        <v>67</v>
      </c>
      <c r="L820">
        <v>4</v>
      </c>
      <c r="M820">
        <v>1</v>
      </c>
      <c r="N820" t="s">
        <v>49</v>
      </c>
      <c r="O820">
        <v>4</v>
      </c>
      <c r="P820" t="s">
        <v>41</v>
      </c>
      <c r="Q820">
        <v>2791</v>
      </c>
      <c r="R820">
        <v>21981</v>
      </c>
      <c r="S820">
        <v>0</v>
      </c>
      <c r="T820">
        <v>0</v>
      </c>
      <c r="U820" s="17">
        <v>0.12</v>
      </c>
      <c r="V820">
        <v>3</v>
      </c>
      <c r="W820">
        <v>1</v>
      </c>
      <c r="X820">
        <v>1</v>
      </c>
      <c r="Y820">
        <v>3</v>
      </c>
      <c r="Z820">
        <v>4</v>
      </c>
      <c r="AA820">
        <v>3</v>
      </c>
      <c r="AB820">
        <v>2</v>
      </c>
      <c r="AC820">
        <v>2</v>
      </c>
      <c r="AD820">
        <v>2</v>
      </c>
      <c r="AE820">
        <v>2</v>
      </c>
      <c r="AF820">
        <v>0</v>
      </c>
      <c r="AG820">
        <f>IF(tbl_HR_Data[[#This Row],[Gender]]="Male",1,0)</f>
        <v>1</v>
      </c>
      <c r="AH820" cm="1">
        <f t="array" ref="AH820">_xlfn.SWITCH(tbl_HR_Data[[#This Row],[BusinessTravel]], "Non-Travel", 0, "Travel_Rarely", 1, "Travel_Frequently", 2)</f>
        <v>2</v>
      </c>
      <c r="AI820" cm="1">
        <f t="array" ref="AI820">_xlfn.SWITCH(tbl_HR_Data[[#This Row],[MaritalStatus]],"Single",0,"Married",1,"Divorced",2)</f>
        <v>1</v>
      </c>
      <c r="AJ820">
        <f>IF(tbl_HR_Data[[#This Row],[OverTime]]=1,1,0)</f>
        <v>0</v>
      </c>
      <c r="AK820">
        <f>IF(tbl_HR_Data[[#This Row],[DistanceFromHome]]&gt;15,1,0)</f>
        <v>1</v>
      </c>
      <c r="AL820">
        <f>IF(tbl_HR_Data[[#This Row],[JobSatisfaction]]&lt;=2,1,0)</f>
        <v>0</v>
      </c>
      <c r="AM820">
        <f>IF(tbl_HR_Data[[#This Row],[MonthlyIncome]]&lt;$AT$2,1,0)</f>
        <v>1</v>
      </c>
      <c r="AN820">
        <f>IF(tbl_HR_Data[[#This Row],[Travel_Code]]=2,1,0)</f>
        <v>1</v>
      </c>
      <c r="AO820">
        <f>(tbl_HR_Data[[#This Row],[Flag_OT]] * Logic_Parameters!$B$2) +
 (tbl_HR_Data[[#This Row],[Flag_Travel]] * Logic_Parameters!$B$3) +
 (tbl_HR_Data[[#This Row],[Flag_Satisfaction]] * Logic_Parameters!$B$4) +
 (tbl_HR_Data[[#This Row],[Flag_Distance]]* Logic_Parameters!$B$5) +
 (tbl_HR_Data[[#This Row],[Flag_Income]] * Logic_Parameters!$B$6)</f>
        <v>14.820925613786383</v>
      </c>
      <c r="AP820" s="15">
        <f>tbl_HR_Data[[#This Row],[Risk_Score_Raw]] / SUM(Logic_Parameters!$B$2:$B$6)</f>
        <v>0.51061813508702369</v>
      </c>
      <c r="AQ820" s="16" t="str" cm="1">
        <f t="array" ref="AQ820">_xlfn.IFS(tbl_HR_Data[[#This Row],[Attrition_Risk_Percentage]] &gt;= 0.75, "Critical",tbl_HR_Data[ [#This Row],[Attrition_Risk_Percentage] ]&gt;= 0.5, "High",tbl_HR_Data[[#This Row],[Attrition_Risk_Percentage]] &gt;= 0.25, "Medium",TRUE, "Low")</f>
        <v>High</v>
      </c>
      <c r="AR820" s="16" cm="1">
        <f t="array" ref="AR820">IFERROR(_xlfn.IFS(tbl_HR_Data[[#This Row],[Risk_Category]]="Critical",tbl_HR_Data[[#This Row],[MonthlyIncome]]*1.5,tbl_HR_Data[[#This Row],[Risk_Category]]="High",tbl_HR_Data[[#This Row],[MonthlyIncome]]*1.5),0)</f>
        <v>4186.5</v>
      </c>
    </row>
    <row r="821" spans="1:44" x14ac:dyDescent="0.35">
      <c r="A821" t="s">
        <v>210</v>
      </c>
      <c r="B821">
        <v>28</v>
      </c>
      <c r="C821" t="s">
        <v>31</v>
      </c>
      <c r="D821">
        <v>1451</v>
      </c>
      <c r="E821" t="s">
        <v>38</v>
      </c>
      <c r="F821">
        <v>2</v>
      </c>
      <c r="G821">
        <v>1</v>
      </c>
      <c r="H821" t="s">
        <v>33</v>
      </c>
      <c r="I821">
        <v>1</v>
      </c>
      <c r="J821" t="s">
        <v>39</v>
      </c>
      <c r="K821">
        <v>67</v>
      </c>
      <c r="L821">
        <v>2</v>
      </c>
      <c r="M821">
        <v>1</v>
      </c>
      <c r="N821" t="s">
        <v>40</v>
      </c>
      <c r="O821">
        <v>2</v>
      </c>
      <c r="P821" t="s">
        <v>41</v>
      </c>
      <c r="Q821">
        <v>3201</v>
      </c>
      <c r="R821">
        <v>19911</v>
      </c>
      <c r="S821">
        <v>0</v>
      </c>
      <c r="T821">
        <v>0</v>
      </c>
      <c r="U821" s="17">
        <v>0.17</v>
      </c>
      <c r="V821">
        <v>3</v>
      </c>
      <c r="W821">
        <v>1</v>
      </c>
      <c r="X821">
        <v>0</v>
      </c>
      <c r="Y821">
        <v>6</v>
      </c>
      <c r="Z821">
        <v>2</v>
      </c>
      <c r="AA821">
        <v>1</v>
      </c>
      <c r="AB821">
        <v>5</v>
      </c>
      <c r="AC821">
        <v>3</v>
      </c>
      <c r="AD821">
        <v>0</v>
      </c>
      <c r="AE821">
        <v>4</v>
      </c>
      <c r="AF821">
        <v>0</v>
      </c>
      <c r="AG821">
        <f>IF(tbl_HR_Data[[#This Row],[Gender]]="Male",1,0)</f>
        <v>1</v>
      </c>
      <c r="AH821" cm="1">
        <f t="array" ref="AH821">_xlfn.SWITCH(tbl_HR_Data[[#This Row],[BusinessTravel]], "Non-Travel", 0, "Travel_Rarely", 1, "Travel_Frequently", 2)</f>
        <v>1</v>
      </c>
      <c r="AI821" cm="1">
        <f t="array" ref="AI821">_xlfn.SWITCH(tbl_HR_Data[[#This Row],[MaritalStatus]],"Single",0,"Married",1,"Divorced",2)</f>
        <v>1</v>
      </c>
      <c r="AJ821">
        <f>IF(tbl_HR_Data[[#This Row],[OverTime]]=1,1,0)</f>
        <v>0</v>
      </c>
      <c r="AK821">
        <f>IF(tbl_HR_Data[[#This Row],[DistanceFromHome]]&gt;15,1,0)</f>
        <v>0</v>
      </c>
      <c r="AL821">
        <f>IF(tbl_HR_Data[[#This Row],[JobSatisfaction]]&lt;=2,1,0)</f>
        <v>1</v>
      </c>
      <c r="AM821">
        <f>IF(tbl_HR_Data[[#This Row],[MonthlyIncome]]&lt;$AT$2,1,0)</f>
        <v>1</v>
      </c>
      <c r="AN821">
        <f>IF(tbl_HR_Data[[#This Row],[Travel_Code]]=2,1,0)</f>
        <v>0</v>
      </c>
      <c r="AO821">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821" s="15">
        <f>tbl_HR_Data[[#This Row],[Risk_Score_Raw]] / SUM(Logic_Parameters!$B$2:$B$6)</f>
        <v>0.3686061316669938</v>
      </c>
      <c r="AQ821" s="16" t="str" cm="1">
        <f t="array" ref="AQ821">_xlfn.IFS(tbl_HR_Data[[#This Row],[Attrition_Risk_Percentage]] &gt;= 0.75, "Critical",tbl_HR_Data[ [#This Row],[Attrition_Risk_Percentage] ]&gt;= 0.5, "High",tbl_HR_Data[[#This Row],[Attrition_Risk_Percentage]] &gt;= 0.25, "Medium",TRUE, "Low")</f>
        <v>Medium</v>
      </c>
      <c r="AR821" s="16" cm="1">
        <f t="array" ref="AR821">IFERROR(_xlfn.IFS(tbl_HR_Data[[#This Row],[Risk_Category]]="Critical",tbl_HR_Data[[#This Row],[MonthlyIncome]]*1.5,tbl_HR_Data[[#This Row],[Risk_Category]]="High",tbl_HR_Data[[#This Row],[MonthlyIncome]]*1.5),0)</f>
        <v>0</v>
      </c>
    </row>
    <row r="822" spans="1:44" x14ac:dyDescent="0.35">
      <c r="A822" t="s">
        <v>1351</v>
      </c>
      <c r="B822">
        <v>35</v>
      </c>
      <c r="C822" t="s">
        <v>37</v>
      </c>
      <c r="D822">
        <v>1182</v>
      </c>
      <c r="E822" t="s">
        <v>32</v>
      </c>
      <c r="F822">
        <v>11</v>
      </c>
      <c r="G822">
        <v>2</v>
      </c>
      <c r="H822" t="s">
        <v>51</v>
      </c>
      <c r="I822">
        <v>4</v>
      </c>
      <c r="J822" t="s">
        <v>39</v>
      </c>
      <c r="K822">
        <v>54</v>
      </c>
      <c r="L822">
        <v>3</v>
      </c>
      <c r="M822">
        <v>2</v>
      </c>
      <c r="N822" t="s">
        <v>35</v>
      </c>
      <c r="O822">
        <v>4</v>
      </c>
      <c r="P822" t="s">
        <v>45</v>
      </c>
      <c r="Q822">
        <v>4968</v>
      </c>
      <c r="R822">
        <v>18500</v>
      </c>
      <c r="S822">
        <v>1</v>
      </c>
      <c r="T822">
        <v>0</v>
      </c>
      <c r="U822" s="17">
        <v>0.11</v>
      </c>
      <c r="V822">
        <v>3</v>
      </c>
      <c r="W822">
        <v>4</v>
      </c>
      <c r="X822">
        <v>1</v>
      </c>
      <c r="Y822">
        <v>5</v>
      </c>
      <c r="Z822">
        <v>3</v>
      </c>
      <c r="AA822">
        <v>3</v>
      </c>
      <c r="AB822">
        <v>5</v>
      </c>
      <c r="AC822">
        <v>2</v>
      </c>
      <c r="AD822">
        <v>0</v>
      </c>
      <c r="AE822">
        <v>2</v>
      </c>
      <c r="AF822">
        <v>0</v>
      </c>
      <c r="AG822">
        <f>IF(tbl_HR_Data[[#This Row],[Gender]]="Male",1,0)</f>
        <v>1</v>
      </c>
      <c r="AH822" cm="1">
        <f t="array" ref="AH822">_xlfn.SWITCH(tbl_HR_Data[[#This Row],[BusinessTravel]], "Non-Travel", 0, "Travel_Rarely", 1, "Travel_Frequently", 2)</f>
        <v>2</v>
      </c>
      <c r="AI822" cm="1">
        <f t="array" ref="AI822">_xlfn.SWITCH(tbl_HR_Data[[#This Row],[MaritalStatus]],"Single",0,"Married",1,"Divorced",2)</f>
        <v>2</v>
      </c>
      <c r="AJ822">
        <f>IF(tbl_HR_Data[[#This Row],[OverTime]]=1,1,0)</f>
        <v>0</v>
      </c>
      <c r="AK822">
        <f>IF(tbl_HR_Data[[#This Row],[DistanceFromHome]]&gt;15,1,0)</f>
        <v>0</v>
      </c>
      <c r="AL822">
        <f>IF(tbl_HR_Data[[#This Row],[JobSatisfaction]]&lt;=2,1,0)</f>
        <v>0</v>
      </c>
      <c r="AM822">
        <f>IF(tbl_HR_Data[[#This Row],[MonthlyIncome]]&lt;$AT$2,1,0)</f>
        <v>0</v>
      </c>
      <c r="AN822">
        <f>IF(tbl_HR_Data[[#This Row],[Travel_Code]]=2,1,0)</f>
        <v>1</v>
      </c>
      <c r="AO822">
        <f>(tbl_HR_Data[[#This Row],[Flag_OT]] * Logic_Parameters!$B$2) +
 (tbl_HR_Data[[#This Row],[Flag_Travel]] * Logic_Parameters!$B$3) +
 (tbl_HR_Data[[#This Row],[Flag_Satisfaction]] * Logic_Parameters!$B$4) +
 (tbl_HR_Data[[#This Row],[Flag_Distance]]* Logic_Parameters!$B$5) +
 (tbl_HR_Data[[#This Row],[Flag_Income]] * Logic_Parameters!$B$6)</f>
        <v>5.1603899804901765</v>
      </c>
      <c r="AP822" s="15">
        <f>tbl_HR_Data[[#This Row],[Risk_Score_Raw]] / SUM(Logic_Parameters!$B$2:$B$6)</f>
        <v>0.17778840383009531</v>
      </c>
      <c r="AQ822" s="16" t="str" cm="1">
        <f t="array" ref="AQ822">_xlfn.IFS(tbl_HR_Data[[#This Row],[Attrition_Risk_Percentage]] &gt;= 0.75, "Critical",tbl_HR_Data[ [#This Row],[Attrition_Risk_Percentage] ]&gt;= 0.5, "High",tbl_HR_Data[[#This Row],[Attrition_Risk_Percentage]] &gt;= 0.25, "Medium",TRUE, "Low")</f>
        <v>Low</v>
      </c>
      <c r="AR822" s="16" cm="1">
        <f t="array" ref="AR822">IFERROR(_xlfn.IFS(tbl_HR_Data[[#This Row],[Risk_Category]]="Critical",tbl_HR_Data[[#This Row],[MonthlyIncome]]*1.5,tbl_HR_Data[[#This Row],[Risk_Category]]="High",tbl_HR_Data[[#This Row],[MonthlyIncome]]*1.5),0)</f>
        <v>0</v>
      </c>
    </row>
    <row r="823" spans="1:44" x14ac:dyDescent="0.35">
      <c r="A823" t="s">
        <v>130</v>
      </c>
      <c r="B823">
        <v>49</v>
      </c>
      <c r="C823" t="s">
        <v>31</v>
      </c>
      <c r="D823">
        <v>174</v>
      </c>
      <c r="E823" t="s">
        <v>32</v>
      </c>
      <c r="F823">
        <v>8</v>
      </c>
      <c r="G823">
        <v>4</v>
      </c>
      <c r="H823" t="s">
        <v>52</v>
      </c>
      <c r="I823">
        <v>4</v>
      </c>
      <c r="J823" t="s">
        <v>39</v>
      </c>
      <c r="K823">
        <v>56</v>
      </c>
      <c r="L823">
        <v>2</v>
      </c>
      <c r="M823">
        <v>4</v>
      </c>
      <c r="N823" t="s">
        <v>35</v>
      </c>
      <c r="O823">
        <v>2</v>
      </c>
      <c r="P823" t="s">
        <v>41</v>
      </c>
      <c r="Q823">
        <v>13120</v>
      </c>
      <c r="R823">
        <v>11879</v>
      </c>
      <c r="S823">
        <v>6</v>
      </c>
      <c r="T823">
        <v>0</v>
      </c>
      <c r="U823" s="17">
        <v>0.17</v>
      </c>
      <c r="V823">
        <v>3</v>
      </c>
      <c r="W823">
        <v>2</v>
      </c>
      <c r="X823">
        <v>1</v>
      </c>
      <c r="Y823">
        <v>22</v>
      </c>
      <c r="Z823">
        <v>3</v>
      </c>
      <c r="AA823">
        <v>3</v>
      </c>
      <c r="AB823">
        <v>9</v>
      </c>
      <c r="AC823">
        <v>8</v>
      </c>
      <c r="AD823">
        <v>2</v>
      </c>
      <c r="AE823">
        <v>3</v>
      </c>
      <c r="AF823">
        <v>0</v>
      </c>
      <c r="AG823">
        <f>IF(tbl_HR_Data[[#This Row],[Gender]]="Male",1,0)</f>
        <v>1</v>
      </c>
      <c r="AH823" cm="1">
        <f t="array" ref="AH823">_xlfn.SWITCH(tbl_HR_Data[[#This Row],[BusinessTravel]], "Non-Travel", 0, "Travel_Rarely", 1, "Travel_Frequently", 2)</f>
        <v>1</v>
      </c>
      <c r="AI823" cm="1">
        <f t="array" ref="AI823">_xlfn.SWITCH(tbl_HR_Data[[#This Row],[MaritalStatus]],"Single",0,"Married",1,"Divorced",2)</f>
        <v>1</v>
      </c>
      <c r="AJ823">
        <f>IF(tbl_HR_Data[[#This Row],[OverTime]]=1,1,0)</f>
        <v>0</v>
      </c>
      <c r="AK823">
        <f>IF(tbl_HR_Data[[#This Row],[DistanceFromHome]]&gt;15,1,0)</f>
        <v>0</v>
      </c>
      <c r="AL823">
        <f>IF(tbl_HR_Data[[#This Row],[JobSatisfaction]]&lt;=2,1,0)</f>
        <v>1</v>
      </c>
      <c r="AM823">
        <f>IF(tbl_HR_Data[[#This Row],[MonthlyIncome]]&lt;$AT$2,1,0)</f>
        <v>0</v>
      </c>
      <c r="AN823">
        <f>IF(tbl_HR_Data[[#This Row],[Travel_Code]]=2,1,0)</f>
        <v>0</v>
      </c>
      <c r="AO823">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823" s="15">
        <f>tbl_HR_Data[[#This Row],[Risk_Score_Raw]] / SUM(Logic_Parameters!$B$2:$B$6)</f>
        <v>0.14485673308716898</v>
      </c>
      <c r="AQ823" s="16" t="str" cm="1">
        <f t="array" ref="AQ823">_xlfn.IFS(tbl_HR_Data[[#This Row],[Attrition_Risk_Percentage]] &gt;= 0.75, "Critical",tbl_HR_Data[ [#This Row],[Attrition_Risk_Percentage] ]&gt;= 0.5, "High",tbl_HR_Data[[#This Row],[Attrition_Risk_Percentage]] &gt;= 0.25, "Medium",TRUE, "Low")</f>
        <v>Low</v>
      </c>
      <c r="AR823" s="16" cm="1">
        <f t="array" ref="AR823">IFERROR(_xlfn.IFS(tbl_HR_Data[[#This Row],[Risk_Category]]="Critical",tbl_HR_Data[[#This Row],[MonthlyIncome]]*1.5,tbl_HR_Data[[#This Row],[Risk_Category]]="High",tbl_HR_Data[[#This Row],[MonthlyIncome]]*1.5),0)</f>
        <v>0</v>
      </c>
    </row>
    <row r="824" spans="1:44" x14ac:dyDescent="0.35">
      <c r="A824" t="s">
        <v>717</v>
      </c>
      <c r="B824">
        <v>34</v>
      </c>
      <c r="C824" t="s">
        <v>37</v>
      </c>
      <c r="D824">
        <v>1003</v>
      </c>
      <c r="E824" t="s">
        <v>38</v>
      </c>
      <c r="F824">
        <v>2</v>
      </c>
      <c r="G824">
        <v>2</v>
      </c>
      <c r="H824" t="s">
        <v>33</v>
      </c>
      <c r="I824">
        <v>4</v>
      </c>
      <c r="J824" t="s">
        <v>39</v>
      </c>
      <c r="K824">
        <v>95</v>
      </c>
      <c r="L824">
        <v>3</v>
      </c>
      <c r="M824">
        <v>2</v>
      </c>
      <c r="N824" t="s">
        <v>46</v>
      </c>
      <c r="O824">
        <v>3</v>
      </c>
      <c r="P824" t="s">
        <v>36</v>
      </c>
      <c r="Q824">
        <v>4033</v>
      </c>
      <c r="R824">
        <v>15834</v>
      </c>
      <c r="S824">
        <v>2</v>
      </c>
      <c r="T824">
        <v>0</v>
      </c>
      <c r="U824" s="17">
        <v>0.11</v>
      </c>
      <c r="V824">
        <v>3</v>
      </c>
      <c r="W824">
        <v>4</v>
      </c>
      <c r="X824">
        <v>0</v>
      </c>
      <c r="Y824">
        <v>5</v>
      </c>
      <c r="Z824">
        <v>3</v>
      </c>
      <c r="AA824">
        <v>2</v>
      </c>
      <c r="AB824">
        <v>3</v>
      </c>
      <c r="AC824">
        <v>2</v>
      </c>
      <c r="AD824">
        <v>0</v>
      </c>
      <c r="AE824">
        <v>2</v>
      </c>
      <c r="AF824">
        <v>0</v>
      </c>
      <c r="AG824">
        <f>IF(tbl_HR_Data[[#This Row],[Gender]]="Male",1,0)</f>
        <v>1</v>
      </c>
      <c r="AH824" cm="1">
        <f t="array" ref="AH824">_xlfn.SWITCH(tbl_HR_Data[[#This Row],[BusinessTravel]], "Non-Travel", 0, "Travel_Rarely", 1, "Travel_Frequently", 2)</f>
        <v>2</v>
      </c>
      <c r="AI824" cm="1">
        <f t="array" ref="AI824">_xlfn.SWITCH(tbl_HR_Data[[#This Row],[MaritalStatus]],"Single",0,"Married",1,"Divorced",2)</f>
        <v>0</v>
      </c>
      <c r="AJ824">
        <f>IF(tbl_HR_Data[[#This Row],[OverTime]]=1,1,0)</f>
        <v>0</v>
      </c>
      <c r="AK824">
        <f>IF(tbl_HR_Data[[#This Row],[DistanceFromHome]]&gt;15,1,0)</f>
        <v>0</v>
      </c>
      <c r="AL824">
        <f>IF(tbl_HR_Data[[#This Row],[JobSatisfaction]]&lt;=2,1,0)</f>
        <v>0</v>
      </c>
      <c r="AM824">
        <f>IF(tbl_HR_Data[[#This Row],[MonthlyIncome]]&lt;$AT$2,1,0)</f>
        <v>1</v>
      </c>
      <c r="AN824">
        <f>IF(tbl_HR_Data[[#This Row],[Travel_Code]]=2,1,0)</f>
        <v>1</v>
      </c>
      <c r="AO824">
        <f>(tbl_HR_Data[[#This Row],[Flag_OT]] * Logic_Parameters!$B$2) +
 (tbl_HR_Data[[#This Row],[Flag_Travel]] * Logic_Parameters!$B$3) +
 (tbl_HR_Data[[#This Row],[Flag_Satisfaction]] * Logic_Parameters!$B$4) +
 (tbl_HR_Data[[#This Row],[Flag_Distance]]* Logic_Parameters!$B$5) +
 (tbl_HR_Data[[#This Row],[Flag_Income]] * Logic_Parameters!$B$6)</f>
        <v>11.654818917911005</v>
      </c>
      <c r="AP824" s="15">
        <f>tbl_HR_Data[[#This Row],[Risk_Score_Raw]] / SUM(Logic_Parameters!$B$2:$B$6)</f>
        <v>0.40153780240992015</v>
      </c>
      <c r="AQ824" s="16" t="str" cm="1">
        <f t="array" ref="AQ824">_xlfn.IFS(tbl_HR_Data[[#This Row],[Attrition_Risk_Percentage]] &gt;= 0.75, "Critical",tbl_HR_Data[ [#This Row],[Attrition_Risk_Percentage] ]&gt;= 0.5, "High",tbl_HR_Data[[#This Row],[Attrition_Risk_Percentage]] &gt;= 0.25, "Medium",TRUE, "Low")</f>
        <v>Medium</v>
      </c>
      <c r="AR824" s="16" cm="1">
        <f t="array" ref="AR824">IFERROR(_xlfn.IFS(tbl_HR_Data[[#This Row],[Risk_Category]]="Critical",tbl_HR_Data[[#This Row],[MonthlyIncome]]*1.5,tbl_HR_Data[[#This Row],[Risk_Category]]="High",tbl_HR_Data[[#This Row],[MonthlyIncome]]*1.5),0)</f>
        <v>0</v>
      </c>
    </row>
    <row r="825" spans="1:44" x14ac:dyDescent="0.35">
      <c r="A825" t="s">
        <v>896</v>
      </c>
      <c r="B825">
        <v>29</v>
      </c>
      <c r="C825" t="s">
        <v>37</v>
      </c>
      <c r="D825">
        <v>490</v>
      </c>
      <c r="E825" t="s">
        <v>38</v>
      </c>
      <c r="F825">
        <v>10</v>
      </c>
      <c r="G825">
        <v>3</v>
      </c>
      <c r="H825" t="s">
        <v>33</v>
      </c>
      <c r="I825">
        <v>4</v>
      </c>
      <c r="J825" t="s">
        <v>34</v>
      </c>
      <c r="K825">
        <v>61</v>
      </c>
      <c r="L825">
        <v>3</v>
      </c>
      <c r="M825">
        <v>1</v>
      </c>
      <c r="N825" t="s">
        <v>40</v>
      </c>
      <c r="O825">
        <v>2</v>
      </c>
      <c r="P825" t="s">
        <v>45</v>
      </c>
      <c r="Q825">
        <v>3291</v>
      </c>
      <c r="R825">
        <v>17940</v>
      </c>
      <c r="S825">
        <v>0</v>
      </c>
      <c r="T825">
        <v>0</v>
      </c>
      <c r="U825" s="17">
        <v>0.14000000000000001</v>
      </c>
      <c r="V825">
        <v>3</v>
      </c>
      <c r="W825">
        <v>4</v>
      </c>
      <c r="X825">
        <v>2</v>
      </c>
      <c r="Y825">
        <v>8</v>
      </c>
      <c r="Z825">
        <v>2</v>
      </c>
      <c r="AA825">
        <v>2</v>
      </c>
      <c r="AB825">
        <v>7</v>
      </c>
      <c r="AC825">
        <v>5</v>
      </c>
      <c r="AD825">
        <v>1</v>
      </c>
      <c r="AE825">
        <v>1</v>
      </c>
      <c r="AF825">
        <v>0</v>
      </c>
      <c r="AG825">
        <f>IF(tbl_HR_Data[[#This Row],[Gender]]="Male",1,0)</f>
        <v>0</v>
      </c>
      <c r="AH825" cm="1">
        <f t="array" ref="AH825">_xlfn.SWITCH(tbl_HR_Data[[#This Row],[BusinessTravel]], "Non-Travel", 0, "Travel_Rarely", 1, "Travel_Frequently", 2)</f>
        <v>2</v>
      </c>
      <c r="AI825" cm="1">
        <f t="array" ref="AI825">_xlfn.SWITCH(tbl_HR_Data[[#This Row],[MaritalStatus]],"Single",0,"Married",1,"Divorced",2)</f>
        <v>2</v>
      </c>
      <c r="AJ825">
        <f>IF(tbl_HR_Data[[#This Row],[OverTime]]=1,1,0)</f>
        <v>0</v>
      </c>
      <c r="AK825">
        <f>IF(tbl_HR_Data[[#This Row],[DistanceFromHome]]&gt;15,1,0)</f>
        <v>0</v>
      </c>
      <c r="AL825">
        <f>IF(tbl_HR_Data[[#This Row],[JobSatisfaction]]&lt;=2,1,0)</f>
        <v>1</v>
      </c>
      <c r="AM825">
        <f>IF(tbl_HR_Data[[#This Row],[MonthlyIncome]]&lt;$AT$2,1,0)</f>
        <v>1</v>
      </c>
      <c r="AN825">
        <f>IF(tbl_HR_Data[[#This Row],[Travel_Code]]=2,1,0)</f>
        <v>1</v>
      </c>
      <c r="AO825">
        <f>(tbl_HR_Data[[#This Row],[Flag_OT]] * Logic_Parameters!$B$2) +
 (tbl_HR_Data[[#This Row],[Flag_Travel]] * Logic_Parameters!$B$3) +
 (tbl_HR_Data[[#This Row],[Flag_Satisfaction]] * Logic_Parameters!$B$4) +
 (tbl_HR_Data[[#This Row],[Flag_Distance]]* Logic_Parameters!$B$5) +
 (tbl_HR_Data[[#This Row],[Flag_Income]] * Logic_Parameters!$B$6)</f>
        <v>15.859352047889136</v>
      </c>
      <c r="AP825" s="15">
        <f>tbl_HR_Data[[#This Row],[Risk_Score_Raw]] / SUM(Logic_Parameters!$B$2:$B$6)</f>
        <v>0.54639453549708916</v>
      </c>
      <c r="AQ825" s="16" t="str" cm="1">
        <f t="array" ref="AQ825">_xlfn.IFS(tbl_HR_Data[[#This Row],[Attrition_Risk_Percentage]] &gt;= 0.75, "Critical",tbl_HR_Data[ [#This Row],[Attrition_Risk_Percentage] ]&gt;= 0.5, "High",tbl_HR_Data[[#This Row],[Attrition_Risk_Percentage]] &gt;= 0.25, "Medium",TRUE, "Low")</f>
        <v>High</v>
      </c>
      <c r="AR825" s="16" cm="1">
        <f t="array" ref="AR825">IFERROR(_xlfn.IFS(tbl_HR_Data[[#This Row],[Risk_Category]]="Critical",tbl_HR_Data[[#This Row],[MonthlyIncome]]*1.5,tbl_HR_Data[[#This Row],[Risk_Category]]="High",tbl_HR_Data[[#This Row],[MonthlyIncome]]*1.5),0)</f>
        <v>4936.5</v>
      </c>
    </row>
    <row r="826" spans="1:44" x14ac:dyDescent="0.35">
      <c r="A826" t="s">
        <v>1099</v>
      </c>
      <c r="B826">
        <v>42</v>
      </c>
      <c r="C826" t="s">
        <v>31</v>
      </c>
      <c r="D826">
        <v>188</v>
      </c>
      <c r="E826" t="s">
        <v>38</v>
      </c>
      <c r="F826">
        <v>29</v>
      </c>
      <c r="G826">
        <v>3</v>
      </c>
      <c r="H826" t="s">
        <v>44</v>
      </c>
      <c r="I826">
        <v>2</v>
      </c>
      <c r="J826" t="s">
        <v>39</v>
      </c>
      <c r="K826">
        <v>56</v>
      </c>
      <c r="L826">
        <v>1</v>
      </c>
      <c r="M826">
        <v>2</v>
      </c>
      <c r="N826" t="s">
        <v>43</v>
      </c>
      <c r="O826">
        <v>4</v>
      </c>
      <c r="P826" t="s">
        <v>36</v>
      </c>
      <c r="Q826">
        <v>4272</v>
      </c>
      <c r="R826">
        <v>9558</v>
      </c>
      <c r="S826">
        <v>4</v>
      </c>
      <c r="T826">
        <v>0</v>
      </c>
      <c r="U826" s="17">
        <v>0.19</v>
      </c>
      <c r="V826">
        <v>3</v>
      </c>
      <c r="W826">
        <v>1</v>
      </c>
      <c r="X826">
        <v>0</v>
      </c>
      <c r="Y826">
        <v>16</v>
      </c>
      <c r="Z826">
        <v>3</v>
      </c>
      <c r="AA826">
        <v>3</v>
      </c>
      <c r="AB826">
        <v>1</v>
      </c>
      <c r="AC826">
        <v>0</v>
      </c>
      <c r="AD826">
        <v>0</v>
      </c>
      <c r="AE826">
        <v>0</v>
      </c>
      <c r="AF826">
        <v>0</v>
      </c>
      <c r="AG826">
        <f>IF(tbl_HR_Data[[#This Row],[Gender]]="Male",1,0)</f>
        <v>1</v>
      </c>
      <c r="AH826" cm="1">
        <f t="array" ref="AH826">_xlfn.SWITCH(tbl_HR_Data[[#This Row],[BusinessTravel]], "Non-Travel", 0, "Travel_Rarely", 1, "Travel_Frequently", 2)</f>
        <v>1</v>
      </c>
      <c r="AI826" cm="1">
        <f t="array" ref="AI826">_xlfn.SWITCH(tbl_HR_Data[[#This Row],[MaritalStatus]],"Single",0,"Married",1,"Divorced",2)</f>
        <v>0</v>
      </c>
      <c r="AJ826">
        <f>IF(tbl_HR_Data[[#This Row],[OverTime]]=1,1,0)</f>
        <v>0</v>
      </c>
      <c r="AK826">
        <f>IF(tbl_HR_Data[[#This Row],[DistanceFromHome]]&gt;15,1,0)</f>
        <v>1</v>
      </c>
      <c r="AL826">
        <f>IF(tbl_HR_Data[[#This Row],[JobSatisfaction]]&lt;=2,1,0)</f>
        <v>0</v>
      </c>
      <c r="AM826">
        <f>IF(tbl_HR_Data[[#This Row],[MonthlyIncome]]&lt;$AT$2,1,0)</f>
        <v>1</v>
      </c>
      <c r="AN826">
        <f>IF(tbl_HR_Data[[#This Row],[Travel_Code]]=2,1,0)</f>
        <v>0</v>
      </c>
      <c r="AO826">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826" s="15">
        <f>tbl_HR_Data[[#This Row],[Risk_Score_Raw]] / SUM(Logic_Parameters!$B$2:$B$6)</f>
        <v>0.33282973125692844</v>
      </c>
      <c r="AQ826" s="16" t="str" cm="1">
        <f t="array" ref="AQ826">_xlfn.IFS(tbl_HR_Data[[#This Row],[Attrition_Risk_Percentage]] &gt;= 0.75, "Critical",tbl_HR_Data[ [#This Row],[Attrition_Risk_Percentage] ]&gt;= 0.5, "High",tbl_HR_Data[[#This Row],[Attrition_Risk_Percentage]] &gt;= 0.25, "Medium",TRUE, "Low")</f>
        <v>Medium</v>
      </c>
      <c r="AR826" s="16" cm="1">
        <f t="array" ref="AR826">IFERROR(_xlfn.IFS(tbl_HR_Data[[#This Row],[Risk_Category]]="Critical",tbl_HR_Data[[#This Row],[MonthlyIncome]]*1.5,tbl_HR_Data[[#This Row],[Risk_Category]]="High",tbl_HR_Data[[#This Row],[MonthlyIncome]]*1.5),0)</f>
        <v>0</v>
      </c>
    </row>
    <row r="827" spans="1:44" x14ac:dyDescent="0.35">
      <c r="A827" t="s">
        <v>302</v>
      </c>
      <c r="B827">
        <v>29</v>
      </c>
      <c r="C827" t="s">
        <v>31</v>
      </c>
      <c r="D827">
        <v>718</v>
      </c>
      <c r="E827" t="s">
        <v>38</v>
      </c>
      <c r="F827">
        <v>8</v>
      </c>
      <c r="G827">
        <v>1</v>
      </c>
      <c r="H827" t="s">
        <v>44</v>
      </c>
      <c r="I827">
        <v>2</v>
      </c>
      <c r="J827" t="s">
        <v>39</v>
      </c>
      <c r="K827">
        <v>79</v>
      </c>
      <c r="L827">
        <v>2</v>
      </c>
      <c r="M827">
        <v>2</v>
      </c>
      <c r="N827" t="s">
        <v>46</v>
      </c>
      <c r="O827">
        <v>4</v>
      </c>
      <c r="P827" t="s">
        <v>41</v>
      </c>
      <c r="Q827">
        <v>5056</v>
      </c>
      <c r="R827">
        <v>17689</v>
      </c>
      <c r="S827">
        <v>1</v>
      </c>
      <c r="T827">
        <v>1</v>
      </c>
      <c r="U827" s="17">
        <v>0.15</v>
      </c>
      <c r="V827">
        <v>3</v>
      </c>
      <c r="W827">
        <v>3</v>
      </c>
      <c r="X827">
        <v>1</v>
      </c>
      <c r="Y827">
        <v>10</v>
      </c>
      <c r="Z827">
        <v>2</v>
      </c>
      <c r="AA827">
        <v>2</v>
      </c>
      <c r="AB827">
        <v>10</v>
      </c>
      <c r="AC827">
        <v>7</v>
      </c>
      <c r="AD827">
        <v>1</v>
      </c>
      <c r="AE827">
        <v>2</v>
      </c>
      <c r="AF827">
        <v>0</v>
      </c>
      <c r="AG827">
        <f>IF(tbl_HR_Data[[#This Row],[Gender]]="Male",1,0)</f>
        <v>1</v>
      </c>
      <c r="AH827" cm="1">
        <f t="array" ref="AH827">_xlfn.SWITCH(tbl_HR_Data[[#This Row],[BusinessTravel]], "Non-Travel", 0, "Travel_Rarely", 1, "Travel_Frequently", 2)</f>
        <v>1</v>
      </c>
      <c r="AI827" cm="1">
        <f t="array" ref="AI827">_xlfn.SWITCH(tbl_HR_Data[[#This Row],[MaritalStatus]],"Single",0,"Married",1,"Divorced",2)</f>
        <v>1</v>
      </c>
      <c r="AJ827">
        <f>IF(tbl_HR_Data[[#This Row],[OverTime]]=1,1,0)</f>
        <v>1</v>
      </c>
      <c r="AK827">
        <f>IF(tbl_HR_Data[[#This Row],[DistanceFromHome]]&gt;15,1,0)</f>
        <v>0</v>
      </c>
      <c r="AL827">
        <f>IF(tbl_HR_Data[[#This Row],[JobSatisfaction]]&lt;=2,1,0)</f>
        <v>0</v>
      </c>
      <c r="AM827">
        <f>IF(tbl_HR_Data[[#This Row],[MonthlyIncome]]&lt;$AT$2,1,0)</f>
        <v>0</v>
      </c>
      <c r="AN827">
        <f>IF(tbl_HR_Data[[#This Row],[Travel_Code]]=2,1,0)</f>
        <v>0</v>
      </c>
      <c r="AO827">
        <f>(tbl_HR_Data[[#This Row],[Flag_OT]] * Logic_Parameters!$B$2) +
 (tbl_HR_Data[[#This Row],[Flag_Travel]] * Logic_Parameters!$B$3) +
 (tbl_HR_Data[[#This Row],[Flag_Satisfaction]] * Logic_Parameters!$B$4) +
 (tbl_HR_Data[[#This Row],[Flag_Distance]]* Logic_Parameters!$B$5) +
 (tbl_HR_Data[[#This Row],[Flag_Income]] * Logic_Parameters!$B$6)</f>
        <v>10</v>
      </c>
      <c r="AP827" s="15">
        <f>tbl_HR_Data[[#This Row],[Risk_Score_Raw]] / SUM(Logic_Parameters!$B$2:$B$6)</f>
        <v>0.3445251318258073</v>
      </c>
      <c r="AQ827" s="16" t="str" cm="1">
        <f t="array" ref="AQ827">_xlfn.IFS(tbl_HR_Data[[#This Row],[Attrition_Risk_Percentage]] &gt;= 0.75, "Critical",tbl_HR_Data[ [#This Row],[Attrition_Risk_Percentage] ]&gt;= 0.5, "High",tbl_HR_Data[[#This Row],[Attrition_Risk_Percentage]] &gt;= 0.25, "Medium",TRUE, "Low")</f>
        <v>Medium</v>
      </c>
      <c r="AR827" s="16" cm="1">
        <f t="array" ref="AR827">IFERROR(_xlfn.IFS(tbl_HR_Data[[#This Row],[Risk_Category]]="Critical",tbl_HR_Data[[#This Row],[MonthlyIncome]]*1.5,tbl_HR_Data[[#This Row],[Risk_Category]]="High",tbl_HR_Data[[#This Row],[MonthlyIncome]]*1.5),0)</f>
        <v>0</v>
      </c>
    </row>
    <row r="828" spans="1:44" x14ac:dyDescent="0.35">
      <c r="A828" t="s">
        <v>748</v>
      </c>
      <c r="B828">
        <v>38</v>
      </c>
      <c r="C828" t="s">
        <v>31</v>
      </c>
      <c r="D828">
        <v>433</v>
      </c>
      <c r="E828" t="s">
        <v>53</v>
      </c>
      <c r="F828">
        <v>1</v>
      </c>
      <c r="G828">
        <v>3</v>
      </c>
      <c r="H828" t="s">
        <v>53</v>
      </c>
      <c r="I828">
        <v>3</v>
      </c>
      <c r="J828" t="s">
        <v>39</v>
      </c>
      <c r="K828">
        <v>37</v>
      </c>
      <c r="L828">
        <v>4</v>
      </c>
      <c r="M828">
        <v>1</v>
      </c>
      <c r="N828" t="s">
        <v>53</v>
      </c>
      <c r="O828">
        <v>3</v>
      </c>
      <c r="P828" t="s">
        <v>41</v>
      </c>
      <c r="Q828">
        <v>2844</v>
      </c>
      <c r="R828">
        <v>6004</v>
      </c>
      <c r="S828">
        <v>1</v>
      </c>
      <c r="T828">
        <v>0</v>
      </c>
      <c r="U828" s="17">
        <v>0.13</v>
      </c>
      <c r="V828">
        <v>3</v>
      </c>
      <c r="W828">
        <v>4</v>
      </c>
      <c r="X828">
        <v>1</v>
      </c>
      <c r="Y828">
        <v>7</v>
      </c>
      <c r="Z828">
        <v>2</v>
      </c>
      <c r="AA828">
        <v>4</v>
      </c>
      <c r="AB828">
        <v>7</v>
      </c>
      <c r="AC828">
        <v>6</v>
      </c>
      <c r="AD828">
        <v>5</v>
      </c>
      <c r="AE828">
        <v>0</v>
      </c>
      <c r="AF828">
        <v>0</v>
      </c>
      <c r="AG828">
        <f>IF(tbl_HR_Data[[#This Row],[Gender]]="Male",1,0)</f>
        <v>1</v>
      </c>
      <c r="AH828" cm="1">
        <f t="array" ref="AH828">_xlfn.SWITCH(tbl_HR_Data[[#This Row],[BusinessTravel]], "Non-Travel", 0, "Travel_Rarely", 1, "Travel_Frequently", 2)</f>
        <v>1</v>
      </c>
      <c r="AI828" cm="1">
        <f t="array" ref="AI828">_xlfn.SWITCH(tbl_HR_Data[[#This Row],[MaritalStatus]],"Single",0,"Married",1,"Divorced",2)</f>
        <v>1</v>
      </c>
      <c r="AJ828">
        <f>IF(tbl_HR_Data[[#This Row],[OverTime]]=1,1,0)</f>
        <v>0</v>
      </c>
      <c r="AK828">
        <f>IF(tbl_HR_Data[[#This Row],[DistanceFromHome]]&gt;15,1,0)</f>
        <v>0</v>
      </c>
      <c r="AL828">
        <f>IF(tbl_HR_Data[[#This Row],[JobSatisfaction]]&lt;=2,1,0)</f>
        <v>0</v>
      </c>
      <c r="AM828">
        <f>IF(tbl_HR_Data[[#This Row],[MonthlyIncome]]&lt;$AT$2,1,0)</f>
        <v>1</v>
      </c>
      <c r="AN828">
        <f>IF(tbl_HR_Data[[#This Row],[Travel_Code]]=2,1,0)</f>
        <v>0</v>
      </c>
      <c r="AO828">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828" s="15">
        <f>tbl_HR_Data[[#This Row],[Risk_Score_Raw]] / SUM(Logic_Parameters!$B$2:$B$6)</f>
        <v>0.22374939857982484</v>
      </c>
      <c r="AQ828" s="16" t="str" cm="1">
        <f t="array" ref="AQ828">_xlfn.IFS(tbl_HR_Data[[#This Row],[Attrition_Risk_Percentage]] &gt;= 0.75, "Critical",tbl_HR_Data[ [#This Row],[Attrition_Risk_Percentage] ]&gt;= 0.5, "High",tbl_HR_Data[[#This Row],[Attrition_Risk_Percentage]] &gt;= 0.25, "Medium",TRUE, "Low")</f>
        <v>Low</v>
      </c>
      <c r="AR828" s="16" cm="1">
        <f t="array" ref="AR828">IFERROR(_xlfn.IFS(tbl_HR_Data[[#This Row],[Risk_Category]]="Critical",tbl_HR_Data[[#This Row],[MonthlyIncome]]*1.5,tbl_HR_Data[[#This Row],[Risk_Category]]="High",tbl_HR_Data[[#This Row],[MonthlyIncome]]*1.5),0)</f>
        <v>0</v>
      </c>
    </row>
    <row r="829" spans="1:44" x14ac:dyDescent="0.35">
      <c r="A829" t="s">
        <v>705</v>
      </c>
      <c r="B829">
        <v>28</v>
      </c>
      <c r="C829" t="s">
        <v>37</v>
      </c>
      <c r="D829">
        <v>773</v>
      </c>
      <c r="E829" t="s">
        <v>38</v>
      </c>
      <c r="F829">
        <v>6</v>
      </c>
      <c r="G829">
        <v>3</v>
      </c>
      <c r="H829" t="s">
        <v>33</v>
      </c>
      <c r="I829">
        <v>3</v>
      </c>
      <c r="J829" t="s">
        <v>39</v>
      </c>
      <c r="K829">
        <v>39</v>
      </c>
      <c r="L829">
        <v>2</v>
      </c>
      <c r="M829">
        <v>1</v>
      </c>
      <c r="N829" t="s">
        <v>40</v>
      </c>
      <c r="O829">
        <v>3</v>
      </c>
      <c r="P829" t="s">
        <v>45</v>
      </c>
      <c r="Q829">
        <v>2703</v>
      </c>
      <c r="R829">
        <v>22088</v>
      </c>
      <c r="S829">
        <v>1</v>
      </c>
      <c r="T829">
        <v>1</v>
      </c>
      <c r="U829" s="17">
        <v>0.14000000000000001</v>
      </c>
      <c r="V829">
        <v>3</v>
      </c>
      <c r="W829">
        <v>4</v>
      </c>
      <c r="X829">
        <v>1</v>
      </c>
      <c r="Y829">
        <v>3</v>
      </c>
      <c r="Z829">
        <v>2</v>
      </c>
      <c r="AA829">
        <v>3</v>
      </c>
      <c r="AB829">
        <v>3</v>
      </c>
      <c r="AC829">
        <v>1</v>
      </c>
      <c r="AD829">
        <v>0</v>
      </c>
      <c r="AE829">
        <v>2</v>
      </c>
      <c r="AF829">
        <v>0</v>
      </c>
      <c r="AG829">
        <f>IF(tbl_HR_Data[[#This Row],[Gender]]="Male",1,0)</f>
        <v>1</v>
      </c>
      <c r="AH829" cm="1">
        <f t="array" ref="AH829">_xlfn.SWITCH(tbl_HR_Data[[#This Row],[BusinessTravel]], "Non-Travel", 0, "Travel_Rarely", 1, "Travel_Frequently", 2)</f>
        <v>2</v>
      </c>
      <c r="AI829" cm="1">
        <f t="array" ref="AI829">_xlfn.SWITCH(tbl_HR_Data[[#This Row],[MaritalStatus]],"Single",0,"Married",1,"Divorced",2)</f>
        <v>2</v>
      </c>
      <c r="AJ829">
        <f>IF(tbl_HR_Data[[#This Row],[OverTime]]=1,1,0)</f>
        <v>1</v>
      </c>
      <c r="AK829">
        <f>IF(tbl_HR_Data[[#This Row],[DistanceFromHome]]&gt;15,1,0)</f>
        <v>0</v>
      </c>
      <c r="AL829">
        <f>IF(tbl_HR_Data[[#This Row],[JobSatisfaction]]&lt;=2,1,0)</f>
        <v>0</v>
      </c>
      <c r="AM829">
        <f>IF(tbl_HR_Data[[#This Row],[MonthlyIncome]]&lt;$AT$2,1,0)</f>
        <v>1</v>
      </c>
      <c r="AN829">
        <f>IF(tbl_HR_Data[[#This Row],[Travel_Code]]=2,1,0)</f>
        <v>1</v>
      </c>
      <c r="AO829">
        <f>(tbl_HR_Data[[#This Row],[Flag_OT]] * Logic_Parameters!$B$2) +
 (tbl_HR_Data[[#This Row],[Flag_Travel]] * Logic_Parameters!$B$3) +
 (tbl_HR_Data[[#This Row],[Flag_Satisfaction]] * Logic_Parameters!$B$4) +
 (tbl_HR_Data[[#This Row],[Flag_Distance]]* Logic_Parameters!$B$5) +
 (tbl_HR_Data[[#This Row],[Flag_Income]] * Logic_Parameters!$B$6)</f>
        <v>21.654818917911005</v>
      </c>
      <c r="AP829" s="15">
        <f>tbl_HR_Data[[#This Row],[Risk_Score_Raw]] / SUM(Logic_Parameters!$B$2:$B$6)</f>
        <v>0.74606293423572745</v>
      </c>
      <c r="AQ829" s="16" t="str" cm="1">
        <f t="array" ref="AQ829">_xlfn.IFS(tbl_HR_Data[[#This Row],[Attrition_Risk_Percentage]] &gt;= 0.75, "Critical",tbl_HR_Data[ [#This Row],[Attrition_Risk_Percentage] ]&gt;= 0.5, "High",tbl_HR_Data[[#This Row],[Attrition_Risk_Percentage]] &gt;= 0.25, "Medium",TRUE, "Low")</f>
        <v>High</v>
      </c>
      <c r="AR829" s="16" cm="1">
        <f t="array" ref="AR829">IFERROR(_xlfn.IFS(tbl_HR_Data[[#This Row],[Risk_Category]]="Critical",tbl_HR_Data[[#This Row],[MonthlyIncome]]*1.5,tbl_HR_Data[[#This Row],[Risk_Category]]="High",tbl_HR_Data[[#This Row],[MonthlyIncome]]*1.5),0)</f>
        <v>4054.5</v>
      </c>
    </row>
    <row r="830" spans="1:44" x14ac:dyDescent="0.35">
      <c r="A830" t="s">
        <v>332</v>
      </c>
      <c r="B830">
        <v>18</v>
      </c>
      <c r="C830" t="s">
        <v>1525</v>
      </c>
      <c r="D830">
        <v>247</v>
      </c>
      <c r="E830" t="s">
        <v>38</v>
      </c>
      <c r="F830">
        <v>8</v>
      </c>
      <c r="G830">
        <v>1</v>
      </c>
      <c r="H830" t="s">
        <v>44</v>
      </c>
      <c r="I830">
        <v>3</v>
      </c>
      <c r="J830" t="s">
        <v>39</v>
      </c>
      <c r="K830">
        <v>80</v>
      </c>
      <c r="L830">
        <v>3</v>
      </c>
      <c r="M830">
        <v>1</v>
      </c>
      <c r="N830" t="s">
        <v>43</v>
      </c>
      <c r="O830">
        <v>3</v>
      </c>
      <c r="P830" t="s">
        <v>36</v>
      </c>
      <c r="Q830">
        <v>1904</v>
      </c>
      <c r="R830">
        <v>13556</v>
      </c>
      <c r="S830">
        <v>1</v>
      </c>
      <c r="T830">
        <v>0</v>
      </c>
      <c r="U830" s="17">
        <v>0.12</v>
      </c>
      <c r="V830">
        <v>3</v>
      </c>
      <c r="W830">
        <v>4</v>
      </c>
      <c r="X830">
        <v>0</v>
      </c>
      <c r="Y830">
        <v>0</v>
      </c>
      <c r="Z830">
        <v>0</v>
      </c>
      <c r="AA830">
        <v>3</v>
      </c>
      <c r="AB830">
        <v>0</v>
      </c>
      <c r="AC830">
        <v>0</v>
      </c>
      <c r="AD830">
        <v>0</v>
      </c>
      <c r="AE830">
        <v>0</v>
      </c>
      <c r="AF830">
        <v>1</v>
      </c>
      <c r="AG830">
        <f>IF(tbl_HR_Data[[#This Row],[Gender]]="Male",1,0)</f>
        <v>1</v>
      </c>
      <c r="AH830" cm="1">
        <f t="array" ref="AH830">_xlfn.SWITCH(tbl_HR_Data[[#This Row],[BusinessTravel]], "Non-Travel", 0, "Travel_Rarely", 1, "Travel_Frequently", 2)</f>
        <v>0</v>
      </c>
      <c r="AI830" cm="1">
        <f t="array" ref="AI830">_xlfn.SWITCH(tbl_HR_Data[[#This Row],[MaritalStatus]],"Single",0,"Married",1,"Divorced",2)</f>
        <v>0</v>
      </c>
      <c r="AJ830">
        <f>IF(tbl_HR_Data[[#This Row],[OverTime]]=1,1,0)</f>
        <v>0</v>
      </c>
      <c r="AK830">
        <f>IF(tbl_HR_Data[[#This Row],[DistanceFromHome]]&gt;15,1,0)</f>
        <v>0</v>
      </c>
      <c r="AL830">
        <f>IF(tbl_HR_Data[[#This Row],[JobSatisfaction]]&lt;=2,1,0)</f>
        <v>0</v>
      </c>
      <c r="AM830">
        <f>IF(tbl_HR_Data[[#This Row],[MonthlyIncome]]&lt;$AT$2,1,0)</f>
        <v>1</v>
      </c>
      <c r="AN830">
        <f>IF(tbl_HR_Data[[#This Row],[Travel_Code]]=2,1,0)</f>
        <v>0</v>
      </c>
      <c r="AO830">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830" s="15">
        <f>tbl_HR_Data[[#This Row],[Risk_Score_Raw]] / SUM(Logic_Parameters!$B$2:$B$6)</f>
        <v>0.22374939857982484</v>
      </c>
      <c r="AQ830" s="16" t="str" cm="1">
        <f t="array" ref="AQ830">_xlfn.IFS(tbl_HR_Data[[#This Row],[Attrition_Risk_Percentage]] &gt;= 0.75, "Critical",tbl_HR_Data[ [#This Row],[Attrition_Risk_Percentage] ]&gt;= 0.5, "High",tbl_HR_Data[[#This Row],[Attrition_Risk_Percentage]] &gt;= 0.25, "Medium",TRUE, "Low")</f>
        <v>Low</v>
      </c>
      <c r="AR830" s="16" cm="1">
        <f t="array" ref="AR830">IFERROR(_xlfn.IFS(tbl_HR_Data[[#This Row],[Risk_Category]]="Critical",tbl_HR_Data[[#This Row],[MonthlyIncome]]*1.5,tbl_HR_Data[[#This Row],[Risk_Category]]="High",tbl_HR_Data[[#This Row],[MonthlyIncome]]*1.5),0)</f>
        <v>0</v>
      </c>
    </row>
    <row r="831" spans="1:44" x14ac:dyDescent="0.35">
      <c r="A831" t="s">
        <v>375</v>
      </c>
      <c r="B831">
        <v>33</v>
      </c>
      <c r="C831" t="s">
        <v>31</v>
      </c>
      <c r="D831">
        <v>603</v>
      </c>
      <c r="E831" t="s">
        <v>32</v>
      </c>
      <c r="F831">
        <v>9</v>
      </c>
      <c r="G831">
        <v>4</v>
      </c>
      <c r="H831" t="s">
        <v>51</v>
      </c>
      <c r="I831">
        <v>1</v>
      </c>
      <c r="J831" t="s">
        <v>34</v>
      </c>
      <c r="K831">
        <v>77</v>
      </c>
      <c r="L831">
        <v>3</v>
      </c>
      <c r="M831">
        <v>2</v>
      </c>
      <c r="N831" t="s">
        <v>35</v>
      </c>
      <c r="O831">
        <v>1</v>
      </c>
      <c r="P831" t="s">
        <v>36</v>
      </c>
      <c r="Q831">
        <v>8224</v>
      </c>
      <c r="R831">
        <v>18385</v>
      </c>
      <c r="S831">
        <v>0</v>
      </c>
      <c r="T831">
        <v>1</v>
      </c>
      <c r="U831" s="17">
        <v>0.17</v>
      </c>
      <c r="V831">
        <v>3</v>
      </c>
      <c r="W831">
        <v>1</v>
      </c>
      <c r="X831">
        <v>0</v>
      </c>
      <c r="Y831">
        <v>6</v>
      </c>
      <c r="Z831">
        <v>3</v>
      </c>
      <c r="AA831">
        <v>3</v>
      </c>
      <c r="AB831">
        <v>5</v>
      </c>
      <c r="AC831">
        <v>2</v>
      </c>
      <c r="AD831">
        <v>0</v>
      </c>
      <c r="AE831">
        <v>3</v>
      </c>
      <c r="AF831">
        <v>1</v>
      </c>
      <c r="AG831">
        <f>IF(tbl_HR_Data[[#This Row],[Gender]]="Male",1,0)</f>
        <v>0</v>
      </c>
      <c r="AH831" cm="1">
        <f t="array" ref="AH831">_xlfn.SWITCH(tbl_HR_Data[[#This Row],[BusinessTravel]], "Non-Travel", 0, "Travel_Rarely", 1, "Travel_Frequently", 2)</f>
        <v>1</v>
      </c>
      <c r="AI831" cm="1">
        <f t="array" ref="AI831">_xlfn.SWITCH(tbl_HR_Data[[#This Row],[MaritalStatus]],"Single",0,"Married",1,"Divorced",2)</f>
        <v>0</v>
      </c>
      <c r="AJ831">
        <f>IF(tbl_HR_Data[[#This Row],[OverTime]]=1,1,0)</f>
        <v>1</v>
      </c>
      <c r="AK831">
        <f>IF(tbl_HR_Data[[#This Row],[DistanceFromHome]]&gt;15,1,0)</f>
        <v>0</v>
      </c>
      <c r="AL831">
        <f>IF(tbl_HR_Data[[#This Row],[JobSatisfaction]]&lt;=2,1,0)</f>
        <v>1</v>
      </c>
      <c r="AM831">
        <f>IF(tbl_HR_Data[[#This Row],[MonthlyIncome]]&lt;$AT$2,1,0)</f>
        <v>0</v>
      </c>
      <c r="AN831">
        <f>IF(tbl_HR_Data[[#This Row],[Travel_Code]]=2,1,0)</f>
        <v>0</v>
      </c>
      <c r="AO831">
        <f>(tbl_HR_Data[[#This Row],[Flag_OT]] * Logic_Parameters!$B$2) +
 (tbl_HR_Data[[#This Row],[Flag_Travel]] * Logic_Parameters!$B$3) +
 (tbl_HR_Data[[#This Row],[Flag_Satisfaction]] * Logic_Parameters!$B$4) +
 (tbl_HR_Data[[#This Row],[Flag_Distance]]* Logic_Parameters!$B$5) +
 (tbl_HR_Data[[#This Row],[Flag_Income]] * Logic_Parameters!$B$6)</f>
        <v>14.204533129978131</v>
      </c>
      <c r="AP831" s="15">
        <f>tbl_HR_Data[[#This Row],[Risk_Score_Raw]] / SUM(Logic_Parameters!$B$2:$B$6)</f>
        <v>0.48938186491297625</v>
      </c>
      <c r="AQ831" s="16" t="str" cm="1">
        <f t="array" ref="AQ831">_xlfn.IFS(tbl_HR_Data[[#This Row],[Attrition_Risk_Percentage]] &gt;= 0.75, "Critical",tbl_HR_Data[ [#This Row],[Attrition_Risk_Percentage] ]&gt;= 0.5, "High",tbl_HR_Data[[#This Row],[Attrition_Risk_Percentage]] &gt;= 0.25, "Medium",TRUE, "Low")</f>
        <v>Medium</v>
      </c>
      <c r="AR831" s="16" cm="1">
        <f t="array" ref="AR831">IFERROR(_xlfn.IFS(tbl_HR_Data[[#This Row],[Risk_Category]]="Critical",tbl_HR_Data[[#This Row],[MonthlyIncome]]*1.5,tbl_HR_Data[[#This Row],[Risk_Category]]="High",tbl_HR_Data[[#This Row],[MonthlyIncome]]*1.5),0)</f>
        <v>0</v>
      </c>
    </row>
    <row r="832" spans="1:44" x14ac:dyDescent="0.35">
      <c r="A832" t="s">
        <v>1090</v>
      </c>
      <c r="B832">
        <v>41</v>
      </c>
      <c r="C832" t="s">
        <v>31</v>
      </c>
      <c r="D832">
        <v>167</v>
      </c>
      <c r="E832" t="s">
        <v>38</v>
      </c>
      <c r="F832">
        <v>12</v>
      </c>
      <c r="G832">
        <v>4</v>
      </c>
      <c r="H832" t="s">
        <v>33</v>
      </c>
      <c r="I832">
        <v>2</v>
      </c>
      <c r="J832" t="s">
        <v>39</v>
      </c>
      <c r="K832">
        <v>46</v>
      </c>
      <c r="L832">
        <v>3</v>
      </c>
      <c r="M832">
        <v>1</v>
      </c>
      <c r="N832" t="s">
        <v>43</v>
      </c>
      <c r="O832">
        <v>4</v>
      </c>
      <c r="P832" t="s">
        <v>41</v>
      </c>
      <c r="Q832">
        <v>4766</v>
      </c>
      <c r="R832">
        <v>9051</v>
      </c>
      <c r="S832">
        <v>3</v>
      </c>
      <c r="T832">
        <v>1</v>
      </c>
      <c r="U832" s="17">
        <v>0.11</v>
      </c>
      <c r="V832">
        <v>3</v>
      </c>
      <c r="W832">
        <v>1</v>
      </c>
      <c r="X832">
        <v>1</v>
      </c>
      <c r="Y832">
        <v>6</v>
      </c>
      <c r="Z832">
        <v>4</v>
      </c>
      <c r="AA832">
        <v>3</v>
      </c>
      <c r="AB832">
        <v>1</v>
      </c>
      <c r="AC832">
        <v>0</v>
      </c>
      <c r="AD832">
        <v>0</v>
      </c>
      <c r="AE832">
        <v>0</v>
      </c>
      <c r="AF832">
        <v>0</v>
      </c>
      <c r="AG832">
        <f>IF(tbl_HR_Data[[#This Row],[Gender]]="Male",1,0)</f>
        <v>1</v>
      </c>
      <c r="AH832" cm="1">
        <f t="array" ref="AH832">_xlfn.SWITCH(tbl_HR_Data[[#This Row],[BusinessTravel]], "Non-Travel", 0, "Travel_Rarely", 1, "Travel_Frequently", 2)</f>
        <v>1</v>
      </c>
      <c r="AI832" cm="1">
        <f t="array" ref="AI832">_xlfn.SWITCH(tbl_HR_Data[[#This Row],[MaritalStatus]],"Single",0,"Married",1,"Divorced",2)</f>
        <v>1</v>
      </c>
      <c r="AJ832">
        <f>IF(tbl_HR_Data[[#This Row],[OverTime]]=1,1,0)</f>
        <v>1</v>
      </c>
      <c r="AK832">
        <f>IF(tbl_HR_Data[[#This Row],[DistanceFromHome]]&gt;15,1,0)</f>
        <v>0</v>
      </c>
      <c r="AL832">
        <f>IF(tbl_HR_Data[[#This Row],[JobSatisfaction]]&lt;=2,1,0)</f>
        <v>0</v>
      </c>
      <c r="AM832">
        <f>IF(tbl_HR_Data[[#This Row],[MonthlyIncome]]&lt;$AT$2,1,0)</f>
        <v>1</v>
      </c>
      <c r="AN832">
        <f>IF(tbl_HR_Data[[#This Row],[Travel_Code]]=2,1,0)</f>
        <v>0</v>
      </c>
      <c r="AO832">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832" s="15">
        <f>tbl_HR_Data[[#This Row],[Risk_Score_Raw]] / SUM(Logic_Parameters!$B$2:$B$6)</f>
        <v>0.56827453040563214</v>
      </c>
      <c r="AQ832" s="16" t="str" cm="1">
        <f t="array" ref="AQ832">_xlfn.IFS(tbl_HR_Data[[#This Row],[Attrition_Risk_Percentage]] &gt;= 0.75, "Critical",tbl_HR_Data[ [#This Row],[Attrition_Risk_Percentage] ]&gt;= 0.5, "High",tbl_HR_Data[[#This Row],[Attrition_Risk_Percentage]] &gt;= 0.25, "Medium",TRUE, "Low")</f>
        <v>High</v>
      </c>
      <c r="AR832" s="16" cm="1">
        <f t="array" ref="AR832">IFERROR(_xlfn.IFS(tbl_HR_Data[[#This Row],[Risk_Category]]="Critical",tbl_HR_Data[[#This Row],[MonthlyIncome]]*1.5,tbl_HR_Data[[#This Row],[Risk_Category]]="High",tbl_HR_Data[[#This Row],[MonthlyIncome]]*1.5),0)</f>
        <v>7149</v>
      </c>
    </row>
    <row r="833" spans="1:44" x14ac:dyDescent="0.35">
      <c r="A833" t="s">
        <v>1127</v>
      </c>
      <c r="B833">
        <v>31</v>
      </c>
      <c r="C833" t="s">
        <v>37</v>
      </c>
      <c r="D833">
        <v>874</v>
      </c>
      <c r="E833" t="s">
        <v>38</v>
      </c>
      <c r="F833">
        <v>15</v>
      </c>
      <c r="G833">
        <v>3</v>
      </c>
      <c r="H833" t="s">
        <v>44</v>
      </c>
      <c r="I833">
        <v>3</v>
      </c>
      <c r="J833" t="s">
        <v>39</v>
      </c>
      <c r="K833">
        <v>72</v>
      </c>
      <c r="L833">
        <v>3</v>
      </c>
      <c r="M833">
        <v>1</v>
      </c>
      <c r="N833" t="s">
        <v>43</v>
      </c>
      <c r="O833">
        <v>3</v>
      </c>
      <c r="P833" t="s">
        <v>41</v>
      </c>
      <c r="Q833">
        <v>2610</v>
      </c>
      <c r="R833">
        <v>6233</v>
      </c>
      <c r="S833">
        <v>1</v>
      </c>
      <c r="T833">
        <v>0</v>
      </c>
      <c r="U833" s="17">
        <v>0.12</v>
      </c>
      <c r="V833">
        <v>3</v>
      </c>
      <c r="W833">
        <v>3</v>
      </c>
      <c r="X833">
        <v>1</v>
      </c>
      <c r="Y833">
        <v>2</v>
      </c>
      <c r="Z833">
        <v>5</v>
      </c>
      <c r="AA833">
        <v>2</v>
      </c>
      <c r="AB833">
        <v>2</v>
      </c>
      <c r="AC833">
        <v>2</v>
      </c>
      <c r="AD833">
        <v>2</v>
      </c>
      <c r="AE833">
        <v>2</v>
      </c>
      <c r="AF833">
        <v>1</v>
      </c>
      <c r="AG833">
        <f>IF(tbl_HR_Data[[#This Row],[Gender]]="Male",1,0)</f>
        <v>1</v>
      </c>
      <c r="AH833" cm="1">
        <f t="array" ref="AH833">_xlfn.SWITCH(tbl_HR_Data[[#This Row],[BusinessTravel]], "Non-Travel", 0, "Travel_Rarely", 1, "Travel_Frequently", 2)</f>
        <v>2</v>
      </c>
      <c r="AI833" cm="1">
        <f t="array" ref="AI833">_xlfn.SWITCH(tbl_HR_Data[[#This Row],[MaritalStatus]],"Single",0,"Married",1,"Divorced",2)</f>
        <v>1</v>
      </c>
      <c r="AJ833">
        <f>IF(tbl_HR_Data[[#This Row],[OverTime]]=1,1,0)</f>
        <v>0</v>
      </c>
      <c r="AK833">
        <f>IF(tbl_HR_Data[[#This Row],[DistanceFromHome]]&gt;15,1,0)</f>
        <v>0</v>
      </c>
      <c r="AL833">
        <f>IF(tbl_HR_Data[[#This Row],[JobSatisfaction]]&lt;=2,1,0)</f>
        <v>0</v>
      </c>
      <c r="AM833">
        <f>IF(tbl_HR_Data[[#This Row],[MonthlyIncome]]&lt;$AT$2,1,0)</f>
        <v>1</v>
      </c>
      <c r="AN833">
        <f>IF(tbl_HR_Data[[#This Row],[Travel_Code]]=2,1,0)</f>
        <v>1</v>
      </c>
      <c r="AO833">
        <f>(tbl_HR_Data[[#This Row],[Flag_OT]] * Logic_Parameters!$B$2) +
 (tbl_HR_Data[[#This Row],[Flag_Travel]] * Logic_Parameters!$B$3) +
 (tbl_HR_Data[[#This Row],[Flag_Satisfaction]] * Logic_Parameters!$B$4) +
 (tbl_HR_Data[[#This Row],[Flag_Distance]]* Logic_Parameters!$B$5) +
 (tbl_HR_Data[[#This Row],[Flag_Income]] * Logic_Parameters!$B$6)</f>
        <v>11.654818917911005</v>
      </c>
      <c r="AP833" s="15">
        <f>tbl_HR_Data[[#This Row],[Risk_Score_Raw]] / SUM(Logic_Parameters!$B$2:$B$6)</f>
        <v>0.40153780240992015</v>
      </c>
      <c r="AQ833" s="16" t="str" cm="1">
        <f t="array" ref="AQ833">_xlfn.IFS(tbl_HR_Data[[#This Row],[Attrition_Risk_Percentage]] &gt;= 0.75, "Critical",tbl_HR_Data[ [#This Row],[Attrition_Risk_Percentage] ]&gt;= 0.5, "High",tbl_HR_Data[[#This Row],[Attrition_Risk_Percentage]] &gt;= 0.25, "Medium",TRUE, "Low")</f>
        <v>Medium</v>
      </c>
      <c r="AR833" s="16" cm="1">
        <f t="array" ref="AR833">IFERROR(_xlfn.IFS(tbl_HR_Data[[#This Row],[Risk_Category]]="Critical",tbl_HR_Data[[#This Row],[MonthlyIncome]]*1.5,tbl_HR_Data[[#This Row],[Risk_Category]]="High",tbl_HR_Data[[#This Row],[MonthlyIncome]]*1.5),0)</f>
        <v>0</v>
      </c>
    </row>
    <row r="834" spans="1:44" x14ac:dyDescent="0.35">
      <c r="A834" t="s">
        <v>1480</v>
      </c>
      <c r="B834">
        <v>37</v>
      </c>
      <c r="C834" t="s">
        <v>31</v>
      </c>
      <c r="D834">
        <v>367</v>
      </c>
      <c r="E834" t="s">
        <v>38</v>
      </c>
      <c r="F834">
        <v>25</v>
      </c>
      <c r="G834">
        <v>2</v>
      </c>
      <c r="H834" t="s">
        <v>44</v>
      </c>
      <c r="I834">
        <v>3</v>
      </c>
      <c r="J834" t="s">
        <v>34</v>
      </c>
      <c r="K834">
        <v>52</v>
      </c>
      <c r="L834">
        <v>2</v>
      </c>
      <c r="M834">
        <v>2</v>
      </c>
      <c r="N834" t="s">
        <v>47</v>
      </c>
      <c r="O834">
        <v>4</v>
      </c>
      <c r="P834" t="s">
        <v>45</v>
      </c>
      <c r="Q834">
        <v>5731</v>
      </c>
      <c r="R834">
        <v>17171</v>
      </c>
      <c r="S834">
        <v>7</v>
      </c>
      <c r="T834">
        <v>0</v>
      </c>
      <c r="U834" s="17">
        <v>0.13</v>
      </c>
      <c r="V834">
        <v>3</v>
      </c>
      <c r="W834">
        <v>3</v>
      </c>
      <c r="X834">
        <v>2</v>
      </c>
      <c r="Y834">
        <v>9</v>
      </c>
      <c r="Z834">
        <v>2</v>
      </c>
      <c r="AA834">
        <v>3</v>
      </c>
      <c r="AB834">
        <v>6</v>
      </c>
      <c r="AC834">
        <v>2</v>
      </c>
      <c r="AD834">
        <v>1</v>
      </c>
      <c r="AE834">
        <v>3</v>
      </c>
      <c r="AF834">
        <v>0</v>
      </c>
      <c r="AG834">
        <f>IF(tbl_HR_Data[[#This Row],[Gender]]="Male",1,0)</f>
        <v>0</v>
      </c>
      <c r="AH834" cm="1">
        <f t="array" ref="AH834">_xlfn.SWITCH(tbl_HR_Data[[#This Row],[BusinessTravel]], "Non-Travel", 0, "Travel_Rarely", 1, "Travel_Frequently", 2)</f>
        <v>1</v>
      </c>
      <c r="AI834" cm="1">
        <f t="array" ref="AI834">_xlfn.SWITCH(tbl_HR_Data[[#This Row],[MaritalStatus]],"Single",0,"Married",1,"Divorced",2)</f>
        <v>2</v>
      </c>
      <c r="AJ834">
        <f>IF(tbl_HR_Data[[#This Row],[OverTime]]=1,1,0)</f>
        <v>0</v>
      </c>
      <c r="AK834">
        <f>IF(tbl_HR_Data[[#This Row],[DistanceFromHome]]&gt;15,1,0)</f>
        <v>1</v>
      </c>
      <c r="AL834">
        <f>IF(tbl_HR_Data[[#This Row],[JobSatisfaction]]&lt;=2,1,0)</f>
        <v>0</v>
      </c>
      <c r="AM834">
        <f>IF(tbl_HR_Data[[#This Row],[MonthlyIncome]]&lt;$AT$2,1,0)</f>
        <v>0</v>
      </c>
      <c r="AN834">
        <f>IF(tbl_HR_Data[[#This Row],[Travel_Code]]=2,1,0)</f>
        <v>0</v>
      </c>
      <c r="AO834">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834" s="15">
        <f>tbl_HR_Data[[#This Row],[Risk_Score_Raw]] / SUM(Logic_Parameters!$B$2:$B$6)</f>
        <v>0.10908033267710357</v>
      </c>
      <c r="AQ834" s="16" t="str" cm="1">
        <f t="array" ref="AQ834">_xlfn.IFS(tbl_HR_Data[[#This Row],[Attrition_Risk_Percentage]] &gt;= 0.75, "Critical",tbl_HR_Data[ [#This Row],[Attrition_Risk_Percentage] ]&gt;= 0.5, "High",tbl_HR_Data[[#This Row],[Attrition_Risk_Percentage]] &gt;= 0.25, "Medium",TRUE, "Low")</f>
        <v>Low</v>
      </c>
      <c r="AR834" s="16" cm="1">
        <f t="array" ref="AR834">IFERROR(_xlfn.IFS(tbl_HR_Data[[#This Row],[Risk_Category]]="Critical",tbl_HR_Data[[#This Row],[MonthlyIncome]]*1.5,tbl_HR_Data[[#This Row],[Risk_Category]]="High",tbl_HR_Data[[#This Row],[MonthlyIncome]]*1.5),0)</f>
        <v>0</v>
      </c>
    </row>
    <row r="835" spans="1:44" x14ac:dyDescent="0.35">
      <c r="A835" t="s">
        <v>1326</v>
      </c>
      <c r="B835">
        <v>27</v>
      </c>
      <c r="C835" t="s">
        <v>31</v>
      </c>
      <c r="D835">
        <v>199</v>
      </c>
      <c r="E835" t="s">
        <v>38</v>
      </c>
      <c r="F835">
        <v>6</v>
      </c>
      <c r="G835">
        <v>3</v>
      </c>
      <c r="H835" t="s">
        <v>33</v>
      </c>
      <c r="I835">
        <v>4</v>
      </c>
      <c r="J835" t="s">
        <v>39</v>
      </c>
      <c r="K835">
        <v>55</v>
      </c>
      <c r="L835">
        <v>2</v>
      </c>
      <c r="M835">
        <v>1</v>
      </c>
      <c r="N835" t="s">
        <v>40</v>
      </c>
      <c r="O835">
        <v>3</v>
      </c>
      <c r="P835" t="s">
        <v>41</v>
      </c>
      <c r="Q835">
        <v>2539</v>
      </c>
      <c r="R835">
        <v>7950</v>
      </c>
      <c r="S835">
        <v>1</v>
      </c>
      <c r="T835">
        <v>0</v>
      </c>
      <c r="U835" s="17">
        <v>0.13</v>
      </c>
      <c r="V835">
        <v>3</v>
      </c>
      <c r="W835">
        <v>3</v>
      </c>
      <c r="X835">
        <v>1</v>
      </c>
      <c r="Y835">
        <v>4</v>
      </c>
      <c r="Z835">
        <v>0</v>
      </c>
      <c r="AA835">
        <v>3</v>
      </c>
      <c r="AB835">
        <v>4</v>
      </c>
      <c r="AC835">
        <v>2</v>
      </c>
      <c r="AD835">
        <v>2</v>
      </c>
      <c r="AE835">
        <v>2</v>
      </c>
      <c r="AF835">
        <v>0</v>
      </c>
      <c r="AG835">
        <f>IF(tbl_HR_Data[[#This Row],[Gender]]="Male",1,0)</f>
        <v>1</v>
      </c>
      <c r="AH835" cm="1">
        <f t="array" ref="AH835">_xlfn.SWITCH(tbl_HR_Data[[#This Row],[BusinessTravel]], "Non-Travel", 0, "Travel_Rarely", 1, "Travel_Frequently", 2)</f>
        <v>1</v>
      </c>
      <c r="AI835" cm="1">
        <f t="array" ref="AI835">_xlfn.SWITCH(tbl_HR_Data[[#This Row],[MaritalStatus]],"Single",0,"Married",1,"Divorced",2)</f>
        <v>1</v>
      </c>
      <c r="AJ835">
        <f>IF(tbl_HR_Data[[#This Row],[OverTime]]=1,1,0)</f>
        <v>0</v>
      </c>
      <c r="AK835">
        <f>IF(tbl_HR_Data[[#This Row],[DistanceFromHome]]&gt;15,1,0)</f>
        <v>0</v>
      </c>
      <c r="AL835">
        <f>IF(tbl_HR_Data[[#This Row],[JobSatisfaction]]&lt;=2,1,0)</f>
        <v>0</v>
      </c>
      <c r="AM835">
        <f>IF(tbl_HR_Data[[#This Row],[MonthlyIncome]]&lt;$AT$2,1,0)</f>
        <v>1</v>
      </c>
      <c r="AN835">
        <f>IF(tbl_HR_Data[[#This Row],[Travel_Code]]=2,1,0)</f>
        <v>0</v>
      </c>
      <c r="AO835">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835" s="15">
        <f>tbl_HR_Data[[#This Row],[Risk_Score_Raw]] / SUM(Logic_Parameters!$B$2:$B$6)</f>
        <v>0.22374939857982484</v>
      </c>
      <c r="AQ835" s="16" t="str" cm="1">
        <f t="array" ref="AQ835">_xlfn.IFS(tbl_HR_Data[[#This Row],[Attrition_Risk_Percentage]] &gt;= 0.75, "Critical",tbl_HR_Data[ [#This Row],[Attrition_Risk_Percentage] ]&gt;= 0.5, "High",tbl_HR_Data[[#This Row],[Attrition_Risk_Percentage]] &gt;= 0.25, "Medium",TRUE, "Low")</f>
        <v>Low</v>
      </c>
      <c r="AR835" s="16" cm="1">
        <f t="array" ref="AR835">IFERROR(_xlfn.IFS(tbl_HR_Data[[#This Row],[Risk_Category]]="Critical",tbl_HR_Data[[#This Row],[MonthlyIncome]]*1.5,tbl_HR_Data[[#This Row],[Risk_Category]]="High",tbl_HR_Data[[#This Row],[MonthlyIncome]]*1.5),0)</f>
        <v>0</v>
      </c>
    </row>
    <row r="836" spans="1:44" x14ac:dyDescent="0.35">
      <c r="A836" t="s">
        <v>794</v>
      </c>
      <c r="B836">
        <v>34</v>
      </c>
      <c r="C836" t="s">
        <v>31</v>
      </c>
      <c r="D836">
        <v>1400</v>
      </c>
      <c r="E836" t="s">
        <v>32</v>
      </c>
      <c r="F836">
        <v>9</v>
      </c>
      <c r="G836">
        <v>1</v>
      </c>
      <c r="H836" t="s">
        <v>33</v>
      </c>
      <c r="I836">
        <v>2</v>
      </c>
      <c r="J836" t="s">
        <v>34</v>
      </c>
      <c r="K836">
        <v>70</v>
      </c>
      <c r="L836">
        <v>3</v>
      </c>
      <c r="M836">
        <v>2</v>
      </c>
      <c r="N836" t="s">
        <v>35</v>
      </c>
      <c r="O836">
        <v>3</v>
      </c>
      <c r="P836" t="s">
        <v>41</v>
      </c>
      <c r="Q836">
        <v>5714</v>
      </c>
      <c r="R836">
        <v>5829</v>
      </c>
      <c r="S836">
        <v>1</v>
      </c>
      <c r="T836">
        <v>0</v>
      </c>
      <c r="U836" s="17">
        <v>0.2</v>
      </c>
      <c r="V836">
        <v>4</v>
      </c>
      <c r="W836">
        <v>1</v>
      </c>
      <c r="X836">
        <v>0</v>
      </c>
      <c r="Y836">
        <v>6</v>
      </c>
      <c r="Z836">
        <v>3</v>
      </c>
      <c r="AA836">
        <v>2</v>
      </c>
      <c r="AB836">
        <v>6</v>
      </c>
      <c r="AC836">
        <v>5</v>
      </c>
      <c r="AD836">
        <v>1</v>
      </c>
      <c r="AE836">
        <v>3</v>
      </c>
      <c r="AF836">
        <v>0</v>
      </c>
      <c r="AG836">
        <f>IF(tbl_HR_Data[[#This Row],[Gender]]="Male",1,0)</f>
        <v>0</v>
      </c>
      <c r="AH836" cm="1">
        <f t="array" ref="AH836">_xlfn.SWITCH(tbl_HR_Data[[#This Row],[BusinessTravel]], "Non-Travel", 0, "Travel_Rarely", 1, "Travel_Frequently", 2)</f>
        <v>1</v>
      </c>
      <c r="AI836" cm="1">
        <f t="array" ref="AI836">_xlfn.SWITCH(tbl_HR_Data[[#This Row],[MaritalStatus]],"Single",0,"Married",1,"Divorced",2)</f>
        <v>1</v>
      </c>
      <c r="AJ836">
        <f>IF(tbl_HR_Data[[#This Row],[OverTime]]=1,1,0)</f>
        <v>0</v>
      </c>
      <c r="AK836">
        <f>IF(tbl_HR_Data[[#This Row],[DistanceFromHome]]&gt;15,1,0)</f>
        <v>0</v>
      </c>
      <c r="AL836">
        <f>IF(tbl_HR_Data[[#This Row],[JobSatisfaction]]&lt;=2,1,0)</f>
        <v>0</v>
      </c>
      <c r="AM836">
        <f>IF(tbl_HR_Data[[#This Row],[MonthlyIncome]]&lt;$AT$2,1,0)</f>
        <v>0</v>
      </c>
      <c r="AN836">
        <f>IF(tbl_HR_Data[[#This Row],[Travel_Code]]=2,1,0)</f>
        <v>0</v>
      </c>
      <c r="AO836">
        <f>(tbl_HR_Data[[#This Row],[Flag_OT]] * Logic_Parameters!$B$2) +
 (tbl_HR_Data[[#This Row],[Flag_Travel]] * Logic_Parameters!$B$3) +
 (tbl_HR_Data[[#This Row],[Flag_Satisfaction]] * Logic_Parameters!$B$4) +
 (tbl_HR_Data[[#This Row],[Flag_Distance]]* Logic_Parameters!$B$5) +
 (tbl_HR_Data[[#This Row],[Flag_Income]] * Logic_Parameters!$B$6)</f>
        <v>0</v>
      </c>
      <c r="AP836" s="15">
        <f>tbl_HR_Data[[#This Row],[Risk_Score_Raw]] / SUM(Logic_Parameters!$B$2:$B$6)</f>
        <v>0</v>
      </c>
      <c r="AQ836" s="16" t="str" cm="1">
        <f t="array" ref="AQ836">_xlfn.IFS(tbl_HR_Data[[#This Row],[Attrition_Risk_Percentage]] &gt;= 0.75, "Critical",tbl_HR_Data[ [#This Row],[Attrition_Risk_Percentage] ]&gt;= 0.5, "High",tbl_HR_Data[[#This Row],[Attrition_Risk_Percentage]] &gt;= 0.25, "Medium",TRUE, "Low")</f>
        <v>Low</v>
      </c>
      <c r="AR836" s="16" cm="1">
        <f t="array" ref="AR836">IFERROR(_xlfn.IFS(tbl_HR_Data[[#This Row],[Risk_Category]]="Critical",tbl_HR_Data[[#This Row],[MonthlyIncome]]*1.5,tbl_HR_Data[[#This Row],[Risk_Category]]="High",tbl_HR_Data[[#This Row],[MonthlyIncome]]*1.5),0)</f>
        <v>0</v>
      </c>
    </row>
    <row r="837" spans="1:44" x14ac:dyDescent="0.35">
      <c r="A837" t="s">
        <v>148</v>
      </c>
      <c r="B837">
        <v>35</v>
      </c>
      <c r="C837" t="s">
        <v>31</v>
      </c>
      <c r="D837">
        <v>528</v>
      </c>
      <c r="E837" t="s">
        <v>53</v>
      </c>
      <c r="F837">
        <v>8</v>
      </c>
      <c r="G837">
        <v>4</v>
      </c>
      <c r="H837" t="s">
        <v>52</v>
      </c>
      <c r="I837">
        <v>3</v>
      </c>
      <c r="J837" t="s">
        <v>39</v>
      </c>
      <c r="K837">
        <v>100</v>
      </c>
      <c r="L837">
        <v>3</v>
      </c>
      <c r="M837">
        <v>1</v>
      </c>
      <c r="N837" t="s">
        <v>53</v>
      </c>
      <c r="O837">
        <v>3</v>
      </c>
      <c r="P837" t="s">
        <v>36</v>
      </c>
      <c r="Q837">
        <v>4323</v>
      </c>
      <c r="R837">
        <v>7108</v>
      </c>
      <c r="S837">
        <v>1</v>
      </c>
      <c r="T837">
        <v>0</v>
      </c>
      <c r="U837" s="17">
        <v>0.17</v>
      </c>
      <c r="V837">
        <v>3</v>
      </c>
      <c r="W837">
        <v>2</v>
      </c>
      <c r="X837">
        <v>0</v>
      </c>
      <c r="Y837">
        <v>6</v>
      </c>
      <c r="Z837">
        <v>2</v>
      </c>
      <c r="AA837">
        <v>1</v>
      </c>
      <c r="AB837">
        <v>5</v>
      </c>
      <c r="AC837">
        <v>4</v>
      </c>
      <c r="AD837">
        <v>1</v>
      </c>
      <c r="AE837">
        <v>4</v>
      </c>
      <c r="AF837">
        <v>0</v>
      </c>
      <c r="AG837">
        <f>IF(tbl_HR_Data[[#This Row],[Gender]]="Male",1,0)</f>
        <v>1</v>
      </c>
      <c r="AH837" cm="1">
        <f t="array" ref="AH837">_xlfn.SWITCH(tbl_HR_Data[[#This Row],[BusinessTravel]], "Non-Travel", 0, "Travel_Rarely", 1, "Travel_Frequently", 2)</f>
        <v>1</v>
      </c>
      <c r="AI837" cm="1">
        <f t="array" ref="AI837">_xlfn.SWITCH(tbl_HR_Data[[#This Row],[MaritalStatus]],"Single",0,"Married",1,"Divorced",2)</f>
        <v>0</v>
      </c>
      <c r="AJ837">
        <f>IF(tbl_HR_Data[[#This Row],[OverTime]]=1,1,0)</f>
        <v>0</v>
      </c>
      <c r="AK837">
        <f>IF(tbl_HR_Data[[#This Row],[DistanceFromHome]]&gt;15,1,0)</f>
        <v>0</v>
      </c>
      <c r="AL837">
        <f>IF(tbl_HR_Data[[#This Row],[JobSatisfaction]]&lt;=2,1,0)</f>
        <v>0</v>
      </c>
      <c r="AM837">
        <f>IF(tbl_HR_Data[[#This Row],[MonthlyIncome]]&lt;$AT$2,1,0)</f>
        <v>1</v>
      </c>
      <c r="AN837">
        <f>IF(tbl_HR_Data[[#This Row],[Travel_Code]]=2,1,0)</f>
        <v>0</v>
      </c>
      <c r="AO837">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837" s="15">
        <f>tbl_HR_Data[[#This Row],[Risk_Score_Raw]] / SUM(Logic_Parameters!$B$2:$B$6)</f>
        <v>0.22374939857982484</v>
      </c>
      <c r="AQ837" s="16" t="str" cm="1">
        <f t="array" ref="AQ837">_xlfn.IFS(tbl_HR_Data[[#This Row],[Attrition_Risk_Percentage]] &gt;= 0.75, "Critical",tbl_HR_Data[ [#This Row],[Attrition_Risk_Percentage] ]&gt;= 0.5, "High",tbl_HR_Data[[#This Row],[Attrition_Risk_Percentage]] &gt;= 0.25, "Medium",TRUE, "Low")</f>
        <v>Low</v>
      </c>
      <c r="AR837" s="16" cm="1">
        <f t="array" ref="AR837">IFERROR(_xlfn.IFS(tbl_HR_Data[[#This Row],[Risk_Category]]="Critical",tbl_HR_Data[[#This Row],[MonthlyIncome]]*1.5,tbl_HR_Data[[#This Row],[Risk_Category]]="High",tbl_HR_Data[[#This Row],[MonthlyIncome]]*1.5),0)</f>
        <v>0</v>
      </c>
    </row>
    <row r="838" spans="1:44" x14ac:dyDescent="0.35">
      <c r="A838" t="s">
        <v>1504</v>
      </c>
      <c r="B838">
        <v>29</v>
      </c>
      <c r="C838" t="s">
        <v>31</v>
      </c>
      <c r="D838">
        <v>408</v>
      </c>
      <c r="E838" t="s">
        <v>32</v>
      </c>
      <c r="F838">
        <v>23</v>
      </c>
      <c r="G838">
        <v>1</v>
      </c>
      <c r="H838" t="s">
        <v>33</v>
      </c>
      <c r="I838">
        <v>4</v>
      </c>
      <c r="J838" t="s">
        <v>34</v>
      </c>
      <c r="K838">
        <v>45</v>
      </c>
      <c r="L838">
        <v>2</v>
      </c>
      <c r="M838">
        <v>3</v>
      </c>
      <c r="N838" t="s">
        <v>35</v>
      </c>
      <c r="O838">
        <v>1</v>
      </c>
      <c r="P838" t="s">
        <v>41</v>
      </c>
      <c r="Q838">
        <v>7336</v>
      </c>
      <c r="R838">
        <v>11162</v>
      </c>
      <c r="S838">
        <v>1</v>
      </c>
      <c r="T838">
        <v>0</v>
      </c>
      <c r="U838" s="17">
        <v>0.13</v>
      </c>
      <c r="V838">
        <v>3</v>
      </c>
      <c r="W838">
        <v>1</v>
      </c>
      <c r="X838">
        <v>1</v>
      </c>
      <c r="Y838">
        <v>11</v>
      </c>
      <c r="Z838">
        <v>3</v>
      </c>
      <c r="AA838">
        <v>1</v>
      </c>
      <c r="AB838">
        <v>11</v>
      </c>
      <c r="AC838">
        <v>8</v>
      </c>
      <c r="AD838">
        <v>3</v>
      </c>
      <c r="AE838">
        <v>10</v>
      </c>
      <c r="AF838">
        <v>1</v>
      </c>
      <c r="AG838">
        <f>IF(tbl_HR_Data[[#This Row],[Gender]]="Male",1,0)</f>
        <v>0</v>
      </c>
      <c r="AH838" cm="1">
        <f t="array" ref="AH838">_xlfn.SWITCH(tbl_HR_Data[[#This Row],[BusinessTravel]], "Non-Travel", 0, "Travel_Rarely", 1, "Travel_Frequently", 2)</f>
        <v>1</v>
      </c>
      <c r="AI838" cm="1">
        <f t="array" ref="AI838">_xlfn.SWITCH(tbl_HR_Data[[#This Row],[MaritalStatus]],"Single",0,"Married",1,"Divorced",2)</f>
        <v>1</v>
      </c>
      <c r="AJ838">
        <f>IF(tbl_HR_Data[[#This Row],[OverTime]]=1,1,0)</f>
        <v>0</v>
      </c>
      <c r="AK838">
        <f>IF(tbl_HR_Data[[#This Row],[DistanceFromHome]]&gt;15,1,0)</f>
        <v>1</v>
      </c>
      <c r="AL838">
        <f>IF(tbl_HR_Data[[#This Row],[JobSatisfaction]]&lt;=2,1,0)</f>
        <v>1</v>
      </c>
      <c r="AM838">
        <f>IF(tbl_HR_Data[[#This Row],[MonthlyIncome]]&lt;$AT$2,1,0)</f>
        <v>0</v>
      </c>
      <c r="AN838">
        <f>IF(tbl_HR_Data[[#This Row],[Travel_Code]]=2,1,0)</f>
        <v>0</v>
      </c>
      <c r="AO838">
        <f>(tbl_HR_Data[[#This Row],[Flag_OT]] * Logic_Parameters!$B$2) +
 (tbl_HR_Data[[#This Row],[Flag_Travel]] * Logic_Parameters!$B$3) +
 (tbl_HR_Data[[#This Row],[Flag_Satisfaction]] * Logic_Parameters!$B$4) +
 (tbl_HR_Data[[#This Row],[Flag_Distance]]* Logic_Parameters!$B$5) +
 (tbl_HR_Data[[#This Row],[Flag_Income]] * Logic_Parameters!$B$6)</f>
        <v>7.3706398258535089</v>
      </c>
      <c r="AP838" s="15">
        <f>tbl_HR_Data[[#This Row],[Risk_Score_Raw]] / SUM(Logic_Parameters!$B$2:$B$6)</f>
        <v>0.25393706576427255</v>
      </c>
      <c r="AQ838" s="16" t="str" cm="1">
        <f t="array" ref="AQ838">_xlfn.IFS(tbl_HR_Data[[#This Row],[Attrition_Risk_Percentage]] &gt;= 0.75, "Critical",tbl_HR_Data[ [#This Row],[Attrition_Risk_Percentage] ]&gt;= 0.5, "High",tbl_HR_Data[[#This Row],[Attrition_Risk_Percentage]] &gt;= 0.25, "Medium",TRUE, "Low")</f>
        <v>Medium</v>
      </c>
      <c r="AR838" s="16" cm="1">
        <f t="array" ref="AR838">IFERROR(_xlfn.IFS(tbl_HR_Data[[#This Row],[Risk_Category]]="Critical",tbl_HR_Data[[#This Row],[MonthlyIncome]]*1.5,tbl_HR_Data[[#This Row],[Risk_Category]]="High",tbl_HR_Data[[#This Row],[MonthlyIncome]]*1.5),0)</f>
        <v>0</v>
      </c>
    </row>
    <row r="839" spans="1:44" x14ac:dyDescent="0.35">
      <c r="A839" t="s">
        <v>777</v>
      </c>
      <c r="B839">
        <v>40</v>
      </c>
      <c r="C839" t="s">
        <v>37</v>
      </c>
      <c r="D839">
        <v>593</v>
      </c>
      <c r="E839" t="s">
        <v>38</v>
      </c>
      <c r="F839">
        <v>9</v>
      </c>
      <c r="G839">
        <v>4</v>
      </c>
      <c r="H839" t="s">
        <v>44</v>
      </c>
      <c r="I839">
        <v>2</v>
      </c>
      <c r="J839" t="s">
        <v>34</v>
      </c>
      <c r="K839">
        <v>88</v>
      </c>
      <c r="L839">
        <v>3</v>
      </c>
      <c r="M839">
        <v>3</v>
      </c>
      <c r="N839" t="s">
        <v>50</v>
      </c>
      <c r="O839">
        <v>3</v>
      </c>
      <c r="P839" t="s">
        <v>36</v>
      </c>
      <c r="Q839">
        <v>13499</v>
      </c>
      <c r="R839">
        <v>13782</v>
      </c>
      <c r="S839">
        <v>9</v>
      </c>
      <c r="T839">
        <v>0</v>
      </c>
      <c r="U839" s="17">
        <v>0.17</v>
      </c>
      <c r="V839">
        <v>3</v>
      </c>
      <c r="W839">
        <v>3</v>
      </c>
      <c r="X839">
        <v>0</v>
      </c>
      <c r="Y839">
        <v>20</v>
      </c>
      <c r="Z839">
        <v>3</v>
      </c>
      <c r="AA839">
        <v>2</v>
      </c>
      <c r="AB839">
        <v>18</v>
      </c>
      <c r="AC839">
        <v>7</v>
      </c>
      <c r="AD839">
        <v>2</v>
      </c>
      <c r="AE839">
        <v>13</v>
      </c>
      <c r="AF839">
        <v>0</v>
      </c>
      <c r="AG839">
        <f>IF(tbl_HR_Data[[#This Row],[Gender]]="Male",1,0)</f>
        <v>0</v>
      </c>
      <c r="AH839" cm="1">
        <f t="array" ref="AH839">_xlfn.SWITCH(tbl_HR_Data[[#This Row],[BusinessTravel]], "Non-Travel", 0, "Travel_Rarely", 1, "Travel_Frequently", 2)</f>
        <v>2</v>
      </c>
      <c r="AI839" cm="1">
        <f t="array" ref="AI839">_xlfn.SWITCH(tbl_HR_Data[[#This Row],[MaritalStatus]],"Single",0,"Married",1,"Divorced",2)</f>
        <v>0</v>
      </c>
      <c r="AJ839">
        <f>IF(tbl_HR_Data[[#This Row],[OverTime]]=1,1,0)</f>
        <v>0</v>
      </c>
      <c r="AK839">
        <f>IF(tbl_HR_Data[[#This Row],[DistanceFromHome]]&gt;15,1,0)</f>
        <v>0</v>
      </c>
      <c r="AL839">
        <f>IF(tbl_HR_Data[[#This Row],[JobSatisfaction]]&lt;=2,1,0)</f>
        <v>0</v>
      </c>
      <c r="AM839">
        <f>IF(tbl_HR_Data[[#This Row],[MonthlyIncome]]&lt;$AT$2,1,0)</f>
        <v>0</v>
      </c>
      <c r="AN839">
        <f>IF(tbl_HR_Data[[#This Row],[Travel_Code]]=2,1,0)</f>
        <v>1</v>
      </c>
      <c r="AO839">
        <f>(tbl_HR_Data[[#This Row],[Flag_OT]] * Logic_Parameters!$B$2) +
 (tbl_HR_Data[[#This Row],[Flag_Travel]] * Logic_Parameters!$B$3) +
 (tbl_HR_Data[[#This Row],[Flag_Satisfaction]] * Logic_Parameters!$B$4) +
 (tbl_HR_Data[[#This Row],[Flag_Distance]]* Logic_Parameters!$B$5) +
 (tbl_HR_Data[[#This Row],[Flag_Income]] * Logic_Parameters!$B$6)</f>
        <v>5.1603899804901765</v>
      </c>
      <c r="AP839" s="15">
        <f>tbl_HR_Data[[#This Row],[Risk_Score_Raw]] / SUM(Logic_Parameters!$B$2:$B$6)</f>
        <v>0.17778840383009531</v>
      </c>
      <c r="AQ839" s="16" t="str" cm="1">
        <f t="array" ref="AQ839">_xlfn.IFS(tbl_HR_Data[[#This Row],[Attrition_Risk_Percentage]] &gt;= 0.75, "Critical",tbl_HR_Data[ [#This Row],[Attrition_Risk_Percentage] ]&gt;= 0.5, "High",tbl_HR_Data[[#This Row],[Attrition_Risk_Percentage]] &gt;= 0.25, "Medium",TRUE, "Low")</f>
        <v>Low</v>
      </c>
      <c r="AR839" s="16" cm="1">
        <f t="array" ref="AR839">IFERROR(_xlfn.IFS(tbl_HR_Data[[#This Row],[Risk_Category]]="Critical",tbl_HR_Data[[#This Row],[MonthlyIncome]]*1.5,tbl_HR_Data[[#This Row],[Risk_Category]]="High",tbl_HR_Data[[#This Row],[MonthlyIncome]]*1.5),0)</f>
        <v>0</v>
      </c>
    </row>
    <row r="840" spans="1:44" x14ac:dyDescent="0.35">
      <c r="A840" t="s">
        <v>993</v>
      </c>
      <c r="B840">
        <v>42</v>
      </c>
      <c r="C840" t="s">
        <v>37</v>
      </c>
      <c r="D840">
        <v>481</v>
      </c>
      <c r="E840" t="s">
        <v>32</v>
      </c>
      <c r="F840">
        <v>12</v>
      </c>
      <c r="G840">
        <v>3</v>
      </c>
      <c r="H840" t="s">
        <v>33</v>
      </c>
      <c r="I840">
        <v>3</v>
      </c>
      <c r="J840" t="s">
        <v>39</v>
      </c>
      <c r="K840">
        <v>44</v>
      </c>
      <c r="L840">
        <v>3</v>
      </c>
      <c r="M840">
        <v>4</v>
      </c>
      <c r="N840" t="s">
        <v>35</v>
      </c>
      <c r="O840">
        <v>1</v>
      </c>
      <c r="P840" t="s">
        <v>36</v>
      </c>
      <c r="Q840">
        <v>13758</v>
      </c>
      <c r="R840">
        <v>2447</v>
      </c>
      <c r="S840">
        <v>0</v>
      </c>
      <c r="T840">
        <v>1</v>
      </c>
      <c r="U840" s="17">
        <v>0.12</v>
      </c>
      <c r="V840">
        <v>3</v>
      </c>
      <c r="W840">
        <v>2</v>
      </c>
      <c r="X840">
        <v>0</v>
      </c>
      <c r="Y840">
        <v>22</v>
      </c>
      <c r="Z840">
        <v>2</v>
      </c>
      <c r="AA840">
        <v>2</v>
      </c>
      <c r="AB840">
        <v>21</v>
      </c>
      <c r="AC840">
        <v>9</v>
      </c>
      <c r="AD840">
        <v>13</v>
      </c>
      <c r="AE840">
        <v>14</v>
      </c>
      <c r="AF840">
        <v>1</v>
      </c>
      <c r="AG840">
        <f>IF(tbl_HR_Data[[#This Row],[Gender]]="Male",1,0)</f>
        <v>1</v>
      </c>
      <c r="AH840" cm="1">
        <f t="array" ref="AH840">_xlfn.SWITCH(tbl_HR_Data[[#This Row],[BusinessTravel]], "Non-Travel", 0, "Travel_Rarely", 1, "Travel_Frequently", 2)</f>
        <v>2</v>
      </c>
      <c r="AI840" cm="1">
        <f t="array" ref="AI840">_xlfn.SWITCH(tbl_HR_Data[[#This Row],[MaritalStatus]],"Single",0,"Married",1,"Divorced",2)</f>
        <v>0</v>
      </c>
      <c r="AJ840">
        <f>IF(tbl_HR_Data[[#This Row],[OverTime]]=1,1,0)</f>
        <v>1</v>
      </c>
      <c r="AK840">
        <f>IF(tbl_HR_Data[[#This Row],[DistanceFromHome]]&gt;15,1,0)</f>
        <v>0</v>
      </c>
      <c r="AL840">
        <f>IF(tbl_HR_Data[[#This Row],[JobSatisfaction]]&lt;=2,1,0)</f>
        <v>1</v>
      </c>
      <c r="AM840">
        <f>IF(tbl_HR_Data[[#This Row],[MonthlyIncome]]&lt;$AT$2,1,0)</f>
        <v>0</v>
      </c>
      <c r="AN840">
        <f>IF(tbl_HR_Data[[#This Row],[Travel_Code]]=2,1,0)</f>
        <v>1</v>
      </c>
      <c r="AO840">
        <f>(tbl_HR_Data[[#This Row],[Flag_OT]] * Logic_Parameters!$B$2) +
 (tbl_HR_Data[[#This Row],[Flag_Travel]] * Logic_Parameters!$B$3) +
 (tbl_HR_Data[[#This Row],[Flag_Satisfaction]] * Logic_Parameters!$B$4) +
 (tbl_HR_Data[[#This Row],[Flag_Distance]]* Logic_Parameters!$B$5) +
 (tbl_HR_Data[[#This Row],[Flag_Income]] * Logic_Parameters!$B$6)</f>
        <v>19.364923110468307</v>
      </c>
      <c r="AP840" s="15">
        <f>tbl_HR_Data[[#This Row],[Risk_Score_Raw]] / SUM(Logic_Parameters!$B$2:$B$6)</f>
        <v>0.66717026874307161</v>
      </c>
      <c r="AQ840" s="16" t="str" cm="1">
        <f t="array" ref="AQ840">_xlfn.IFS(tbl_HR_Data[[#This Row],[Attrition_Risk_Percentage]] &gt;= 0.75, "Critical",tbl_HR_Data[ [#This Row],[Attrition_Risk_Percentage] ]&gt;= 0.5, "High",tbl_HR_Data[[#This Row],[Attrition_Risk_Percentage]] &gt;= 0.25, "Medium",TRUE, "Low")</f>
        <v>High</v>
      </c>
      <c r="AR840" s="16" cm="1">
        <f t="array" ref="AR840">IFERROR(_xlfn.IFS(tbl_HR_Data[[#This Row],[Risk_Category]]="Critical",tbl_HR_Data[[#This Row],[MonthlyIncome]]*1.5,tbl_HR_Data[[#This Row],[Risk_Category]]="High",tbl_HR_Data[[#This Row],[MonthlyIncome]]*1.5),0)</f>
        <v>20637</v>
      </c>
    </row>
    <row r="841" spans="1:44" x14ac:dyDescent="0.35">
      <c r="A841" t="s">
        <v>744</v>
      </c>
      <c r="B841">
        <v>42</v>
      </c>
      <c r="C841" t="s">
        <v>31</v>
      </c>
      <c r="D841">
        <v>647</v>
      </c>
      <c r="E841" t="s">
        <v>32</v>
      </c>
      <c r="F841">
        <v>4</v>
      </c>
      <c r="G841">
        <v>4</v>
      </c>
      <c r="H841" t="s">
        <v>51</v>
      </c>
      <c r="I841">
        <v>2</v>
      </c>
      <c r="J841" t="s">
        <v>39</v>
      </c>
      <c r="K841">
        <v>45</v>
      </c>
      <c r="L841">
        <v>3</v>
      </c>
      <c r="M841">
        <v>2</v>
      </c>
      <c r="N841" t="s">
        <v>35</v>
      </c>
      <c r="O841">
        <v>1</v>
      </c>
      <c r="P841" t="s">
        <v>36</v>
      </c>
      <c r="Q841">
        <v>5155</v>
      </c>
      <c r="R841">
        <v>2253</v>
      </c>
      <c r="S841">
        <v>7</v>
      </c>
      <c r="T841">
        <v>0</v>
      </c>
      <c r="U841" s="17">
        <v>0.13</v>
      </c>
      <c r="V841">
        <v>3</v>
      </c>
      <c r="W841">
        <v>4</v>
      </c>
      <c r="X841">
        <v>0</v>
      </c>
      <c r="Y841">
        <v>9</v>
      </c>
      <c r="Z841">
        <v>3</v>
      </c>
      <c r="AA841">
        <v>4</v>
      </c>
      <c r="AB841">
        <v>6</v>
      </c>
      <c r="AC841">
        <v>4</v>
      </c>
      <c r="AD841">
        <v>1</v>
      </c>
      <c r="AE841">
        <v>5</v>
      </c>
      <c r="AF841">
        <v>0</v>
      </c>
      <c r="AG841">
        <f>IF(tbl_HR_Data[[#This Row],[Gender]]="Male",1,0)</f>
        <v>1</v>
      </c>
      <c r="AH841" cm="1">
        <f t="array" ref="AH841">_xlfn.SWITCH(tbl_HR_Data[[#This Row],[BusinessTravel]], "Non-Travel", 0, "Travel_Rarely", 1, "Travel_Frequently", 2)</f>
        <v>1</v>
      </c>
      <c r="AI841" cm="1">
        <f t="array" ref="AI841">_xlfn.SWITCH(tbl_HR_Data[[#This Row],[MaritalStatus]],"Single",0,"Married",1,"Divorced",2)</f>
        <v>0</v>
      </c>
      <c r="AJ841">
        <f>IF(tbl_HR_Data[[#This Row],[OverTime]]=1,1,0)</f>
        <v>0</v>
      </c>
      <c r="AK841">
        <f>IF(tbl_HR_Data[[#This Row],[DistanceFromHome]]&gt;15,1,0)</f>
        <v>0</v>
      </c>
      <c r="AL841">
        <f>IF(tbl_HR_Data[[#This Row],[JobSatisfaction]]&lt;=2,1,0)</f>
        <v>1</v>
      </c>
      <c r="AM841">
        <f>IF(tbl_HR_Data[[#This Row],[MonthlyIncome]]&lt;$AT$2,1,0)</f>
        <v>0</v>
      </c>
      <c r="AN841">
        <f>IF(tbl_HR_Data[[#This Row],[Travel_Code]]=2,1,0)</f>
        <v>0</v>
      </c>
      <c r="AO841">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841" s="15">
        <f>tbl_HR_Data[[#This Row],[Risk_Score_Raw]] / SUM(Logic_Parameters!$B$2:$B$6)</f>
        <v>0.14485673308716898</v>
      </c>
      <c r="AQ841" s="16" t="str" cm="1">
        <f t="array" ref="AQ841">_xlfn.IFS(tbl_HR_Data[[#This Row],[Attrition_Risk_Percentage]] &gt;= 0.75, "Critical",tbl_HR_Data[ [#This Row],[Attrition_Risk_Percentage] ]&gt;= 0.5, "High",tbl_HR_Data[[#This Row],[Attrition_Risk_Percentage]] &gt;= 0.25, "Medium",TRUE, "Low")</f>
        <v>Low</v>
      </c>
      <c r="AR841" s="16" cm="1">
        <f t="array" ref="AR841">IFERROR(_xlfn.IFS(tbl_HR_Data[[#This Row],[Risk_Category]]="Critical",tbl_HR_Data[[#This Row],[MonthlyIncome]]*1.5,tbl_HR_Data[[#This Row],[Risk_Category]]="High",tbl_HR_Data[[#This Row],[MonthlyIncome]]*1.5),0)</f>
        <v>0</v>
      </c>
    </row>
    <row r="842" spans="1:44" x14ac:dyDescent="0.35">
      <c r="A842" t="s">
        <v>1358</v>
      </c>
      <c r="B842">
        <v>35</v>
      </c>
      <c r="C842" t="s">
        <v>31</v>
      </c>
      <c r="D842">
        <v>982</v>
      </c>
      <c r="E842" t="s">
        <v>38</v>
      </c>
      <c r="F842">
        <v>1</v>
      </c>
      <c r="G842">
        <v>4</v>
      </c>
      <c r="H842" t="s">
        <v>44</v>
      </c>
      <c r="I842">
        <v>4</v>
      </c>
      <c r="J842" t="s">
        <v>39</v>
      </c>
      <c r="K842">
        <v>58</v>
      </c>
      <c r="L842">
        <v>2</v>
      </c>
      <c r="M842">
        <v>1</v>
      </c>
      <c r="N842" t="s">
        <v>43</v>
      </c>
      <c r="O842">
        <v>3</v>
      </c>
      <c r="P842" t="s">
        <v>41</v>
      </c>
      <c r="Q842">
        <v>2258</v>
      </c>
      <c r="R842">
        <v>16340</v>
      </c>
      <c r="S842">
        <v>6</v>
      </c>
      <c r="T842">
        <v>0</v>
      </c>
      <c r="U842" s="17">
        <v>0.12</v>
      </c>
      <c r="V842">
        <v>3</v>
      </c>
      <c r="W842">
        <v>2</v>
      </c>
      <c r="X842">
        <v>1</v>
      </c>
      <c r="Y842">
        <v>10</v>
      </c>
      <c r="Z842">
        <v>2</v>
      </c>
      <c r="AA842">
        <v>3</v>
      </c>
      <c r="AB842">
        <v>8</v>
      </c>
      <c r="AC842">
        <v>0</v>
      </c>
      <c r="AD842">
        <v>1</v>
      </c>
      <c r="AE842">
        <v>7</v>
      </c>
      <c r="AF842">
        <v>0</v>
      </c>
      <c r="AG842">
        <f>IF(tbl_HR_Data[[#This Row],[Gender]]="Male",1,0)</f>
        <v>1</v>
      </c>
      <c r="AH842" cm="1">
        <f t="array" ref="AH842">_xlfn.SWITCH(tbl_HR_Data[[#This Row],[BusinessTravel]], "Non-Travel", 0, "Travel_Rarely", 1, "Travel_Frequently", 2)</f>
        <v>1</v>
      </c>
      <c r="AI842" cm="1">
        <f t="array" ref="AI842">_xlfn.SWITCH(tbl_HR_Data[[#This Row],[MaritalStatus]],"Single",0,"Married",1,"Divorced",2)</f>
        <v>1</v>
      </c>
      <c r="AJ842">
        <f>IF(tbl_HR_Data[[#This Row],[OverTime]]=1,1,0)</f>
        <v>0</v>
      </c>
      <c r="AK842">
        <f>IF(tbl_HR_Data[[#This Row],[DistanceFromHome]]&gt;15,1,0)</f>
        <v>0</v>
      </c>
      <c r="AL842">
        <f>IF(tbl_HR_Data[[#This Row],[JobSatisfaction]]&lt;=2,1,0)</f>
        <v>0</v>
      </c>
      <c r="AM842">
        <f>IF(tbl_HR_Data[[#This Row],[MonthlyIncome]]&lt;$AT$2,1,0)</f>
        <v>1</v>
      </c>
      <c r="AN842">
        <f>IF(tbl_HR_Data[[#This Row],[Travel_Code]]=2,1,0)</f>
        <v>0</v>
      </c>
      <c r="AO842">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842" s="15">
        <f>tbl_HR_Data[[#This Row],[Risk_Score_Raw]] / SUM(Logic_Parameters!$B$2:$B$6)</f>
        <v>0.22374939857982484</v>
      </c>
      <c r="AQ842" s="16" t="str" cm="1">
        <f t="array" ref="AQ842">_xlfn.IFS(tbl_HR_Data[[#This Row],[Attrition_Risk_Percentage]] &gt;= 0.75, "Critical",tbl_HR_Data[ [#This Row],[Attrition_Risk_Percentage] ]&gt;= 0.5, "High",tbl_HR_Data[[#This Row],[Attrition_Risk_Percentage]] &gt;= 0.25, "Medium",TRUE, "Low")</f>
        <v>Low</v>
      </c>
      <c r="AR842" s="16" cm="1">
        <f t="array" ref="AR842">IFERROR(_xlfn.IFS(tbl_HR_Data[[#This Row],[Risk_Category]]="Critical",tbl_HR_Data[[#This Row],[MonthlyIncome]]*1.5,tbl_HR_Data[[#This Row],[Risk_Category]]="High",tbl_HR_Data[[#This Row],[MonthlyIncome]]*1.5),0)</f>
        <v>0</v>
      </c>
    </row>
    <row r="843" spans="1:44" x14ac:dyDescent="0.35">
      <c r="A843" t="s">
        <v>482</v>
      </c>
      <c r="B843">
        <v>24</v>
      </c>
      <c r="C843" t="s">
        <v>31</v>
      </c>
      <c r="D843">
        <v>477</v>
      </c>
      <c r="E843" t="s">
        <v>38</v>
      </c>
      <c r="F843">
        <v>24</v>
      </c>
      <c r="G843">
        <v>3</v>
      </c>
      <c r="H843" t="s">
        <v>44</v>
      </c>
      <c r="I843">
        <v>4</v>
      </c>
      <c r="J843" t="s">
        <v>39</v>
      </c>
      <c r="K843">
        <v>49</v>
      </c>
      <c r="L843">
        <v>3</v>
      </c>
      <c r="M843">
        <v>1</v>
      </c>
      <c r="N843" t="s">
        <v>43</v>
      </c>
      <c r="O843">
        <v>2</v>
      </c>
      <c r="P843" t="s">
        <v>36</v>
      </c>
      <c r="Q843">
        <v>3597</v>
      </c>
      <c r="R843">
        <v>6409</v>
      </c>
      <c r="S843">
        <v>8</v>
      </c>
      <c r="T843">
        <v>0</v>
      </c>
      <c r="U843" s="17">
        <v>0.22</v>
      </c>
      <c r="V843">
        <v>4</v>
      </c>
      <c r="W843">
        <v>4</v>
      </c>
      <c r="X843">
        <v>0</v>
      </c>
      <c r="Y843">
        <v>6</v>
      </c>
      <c r="Z843">
        <v>2</v>
      </c>
      <c r="AA843">
        <v>3</v>
      </c>
      <c r="AB843">
        <v>4</v>
      </c>
      <c r="AC843">
        <v>3</v>
      </c>
      <c r="AD843">
        <v>1</v>
      </c>
      <c r="AE843">
        <v>2</v>
      </c>
      <c r="AF843">
        <v>0</v>
      </c>
      <c r="AG843">
        <f>IF(tbl_HR_Data[[#This Row],[Gender]]="Male",1,0)</f>
        <v>1</v>
      </c>
      <c r="AH843" cm="1">
        <f t="array" ref="AH843">_xlfn.SWITCH(tbl_HR_Data[[#This Row],[BusinessTravel]], "Non-Travel", 0, "Travel_Rarely", 1, "Travel_Frequently", 2)</f>
        <v>1</v>
      </c>
      <c r="AI843" cm="1">
        <f t="array" ref="AI843">_xlfn.SWITCH(tbl_HR_Data[[#This Row],[MaritalStatus]],"Single",0,"Married",1,"Divorced",2)</f>
        <v>0</v>
      </c>
      <c r="AJ843">
        <f>IF(tbl_HR_Data[[#This Row],[OverTime]]=1,1,0)</f>
        <v>0</v>
      </c>
      <c r="AK843">
        <f>IF(tbl_HR_Data[[#This Row],[DistanceFromHome]]&gt;15,1,0)</f>
        <v>1</v>
      </c>
      <c r="AL843">
        <f>IF(tbl_HR_Data[[#This Row],[JobSatisfaction]]&lt;=2,1,0)</f>
        <v>1</v>
      </c>
      <c r="AM843">
        <f>IF(tbl_HR_Data[[#This Row],[MonthlyIncome]]&lt;$AT$2,1,0)</f>
        <v>1</v>
      </c>
      <c r="AN843">
        <f>IF(tbl_HR_Data[[#This Row],[Travel_Code]]=2,1,0)</f>
        <v>0</v>
      </c>
      <c r="AO843">
        <f>(tbl_HR_Data[[#This Row],[Flag_OT]] * Logic_Parameters!$B$2) +
 (tbl_HR_Data[[#This Row],[Flag_Travel]] * Logic_Parameters!$B$3) +
 (tbl_HR_Data[[#This Row],[Flag_Satisfaction]] * Logic_Parameters!$B$4) +
 (tbl_HR_Data[[#This Row],[Flag_Distance]]* Logic_Parameters!$B$5) +
 (tbl_HR_Data[[#This Row],[Flag_Income]] * Logic_Parameters!$B$6)</f>
        <v>13.865068763274337</v>
      </c>
      <c r="AP843" s="15">
        <f>tbl_HR_Data[[#This Row],[Risk_Score_Raw]] / SUM(Logic_Parameters!$B$2:$B$6)</f>
        <v>0.47768646434409739</v>
      </c>
      <c r="AQ843" s="16" t="str" cm="1">
        <f t="array" ref="AQ843">_xlfn.IFS(tbl_HR_Data[[#This Row],[Attrition_Risk_Percentage]] &gt;= 0.75, "Critical",tbl_HR_Data[ [#This Row],[Attrition_Risk_Percentage] ]&gt;= 0.5, "High",tbl_HR_Data[[#This Row],[Attrition_Risk_Percentage]] &gt;= 0.25, "Medium",TRUE, "Low")</f>
        <v>Medium</v>
      </c>
      <c r="AR843" s="16" cm="1">
        <f t="array" ref="AR843">IFERROR(_xlfn.IFS(tbl_HR_Data[[#This Row],[Risk_Category]]="Critical",tbl_HR_Data[[#This Row],[MonthlyIncome]]*1.5,tbl_HR_Data[[#This Row],[Risk_Category]]="High",tbl_HR_Data[[#This Row],[MonthlyIncome]]*1.5),0)</f>
        <v>0</v>
      </c>
    </row>
    <row r="844" spans="1:44" x14ac:dyDescent="0.35">
      <c r="A844" t="s">
        <v>680</v>
      </c>
      <c r="B844">
        <v>28</v>
      </c>
      <c r="C844" t="s">
        <v>31</v>
      </c>
      <c r="D844">
        <v>1485</v>
      </c>
      <c r="E844" t="s">
        <v>38</v>
      </c>
      <c r="F844">
        <v>12</v>
      </c>
      <c r="G844">
        <v>1</v>
      </c>
      <c r="H844" t="s">
        <v>33</v>
      </c>
      <c r="I844">
        <v>3</v>
      </c>
      <c r="J844" t="s">
        <v>34</v>
      </c>
      <c r="K844">
        <v>79</v>
      </c>
      <c r="L844">
        <v>3</v>
      </c>
      <c r="M844">
        <v>1</v>
      </c>
      <c r="N844" t="s">
        <v>43</v>
      </c>
      <c r="O844">
        <v>4</v>
      </c>
      <c r="P844" t="s">
        <v>41</v>
      </c>
      <c r="Q844">
        <v>2515</v>
      </c>
      <c r="R844">
        <v>22955</v>
      </c>
      <c r="S844">
        <v>1</v>
      </c>
      <c r="T844">
        <v>1</v>
      </c>
      <c r="U844" s="17">
        <v>0.11</v>
      </c>
      <c r="V844">
        <v>3</v>
      </c>
      <c r="W844">
        <v>4</v>
      </c>
      <c r="X844">
        <v>0</v>
      </c>
      <c r="Y844">
        <v>1</v>
      </c>
      <c r="Z844">
        <v>4</v>
      </c>
      <c r="AA844">
        <v>2</v>
      </c>
      <c r="AB844">
        <v>1</v>
      </c>
      <c r="AC844">
        <v>1</v>
      </c>
      <c r="AD844">
        <v>0</v>
      </c>
      <c r="AE844">
        <v>0</v>
      </c>
      <c r="AF844">
        <v>1</v>
      </c>
      <c r="AG844">
        <f>IF(tbl_HR_Data[[#This Row],[Gender]]="Male",1,0)</f>
        <v>0</v>
      </c>
      <c r="AH844" cm="1">
        <f t="array" ref="AH844">_xlfn.SWITCH(tbl_HR_Data[[#This Row],[BusinessTravel]], "Non-Travel", 0, "Travel_Rarely", 1, "Travel_Frequently", 2)</f>
        <v>1</v>
      </c>
      <c r="AI844" cm="1">
        <f t="array" ref="AI844">_xlfn.SWITCH(tbl_HR_Data[[#This Row],[MaritalStatus]],"Single",0,"Married",1,"Divorced",2)</f>
        <v>1</v>
      </c>
      <c r="AJ844">
        <f>IF(tbl_HR_Data[[#This Row],[OverTime]]=1,1,0)</f>
        <v>1</v>
      </c>
      <c r="AK844">
        <f>IF(tbl_HR_Data[[#This Row],[DistanceFromHome]]&gt;15,1,0)</f>
        <v>0</v>
      </c>
      <c r="AL844">
        <f>IF(tbl_HR_Data[[#This Row],[JobSatisfaction]]&lt;=2,1,0)</f>
        <v>0</v>
      </c>
      <c r="AM844">
        <f>IF(tbl_HR_Data[[#This Row],[MonthlyIncome]]&lt;$AT$2,1,0)</f>
        <v>1</v>
      </c>
      <c r="AN844">
        <f>IF(tbl_HR_Data[[#This Row],[Travel_Code]]=2,1,0)</f>
        <v>0</v>
      </c>
      <c r="AO844">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844" s="15">
        <f>tbl_HR_Data[[#This Row],[Risk_Score_Raw]] / SUM(Logic_Parameters!$B$2:$B$6)</f>
        <v>0.56827453040563214</v>
      </c>
      <c r="AQ844" s="16" t="str" cm="1">
        <f t="array" ref="AQ844">_xlfn.IFS(tbl_HR_Data[[#This Row],[Attrition_Risk_Percentage]] &gt;= 0.75, "Critical",tbl_HR_Data[ [#This Row],[Attrition_Risk_Percentage] ]&gt;= 0.5, "High",tbl_HR_Data[[#This Row],[Attrition_Risk_Percentage]] &gt;= 0.25, "Medium",TRUE, "Low")</f>
        <v>High</v>
      </c>
      <c r="AR844" s="16" cm="1">
        <f t="array" ref="AR844">IFERROR(_xlfn.IFS(tbl_HR_Data[[#This Row],[Risk_Category]]="Critical",tbl_HR_Data[[#This Row],[MonthlyIncome]]*1.5,tbl_HR_Data[[#This Row],[Risk_Category]]="High",tbl_HR_Data[[#This Row],[MonthlyIncome]]*1.5),0)</f>
        <v>3772.5</v>
      </c>
    </row>
    <row r="845" spans="1:44" x14ac:dyDescent="0.35">
      <c r="A845" t="s">
        <v>99</v>
      </c>
      <c r="B845">
        <v>26</v>
      </c>
      <c r="C845" t="s">
        <v>31</v>
      </c>
      <c r="D845">
        <v>1384</v>
      </c>
      <c r="E845" t="s">
        <v>38</v>
      </c>
      <c r="F845">
        <v>3</v>
      </c>
      <c r="G845">
        <v>4</v>
      </c>
      <c r="H845" t="s">
        <v>44</v>
      </c>
      <c r="I845">
        <v>1</v>
      </c>
      <c r="J845" t="s">
        <v>39</v>
      </c>
      <c r="K845">
        <v>82</v>
      </c>
      <c r="L845">
        <v>4</v>
      </c>
      <c r="M845">
        <v>1</v>
      </c>
      <c r="N845" t="s">
        <v>43</v>
      </c>
      <c r="O845">
        <v>4</v>
      </c>
      <c r="P845" t="s">
        <v>41</v>
      </c>
      <c r="Q845">
        <v>4420</v>
      </c>
      <c r="R845">
        <v>13421</v>
      </c>
      <c r="S845">
        <v>1</v>
      </c>
      <c r="T845">
        <v>0</v>
      </c>
      <c r="U845" s="17">
        <v>0.22</v>
      </c>
      <c r="V845">
        <v>4</v>
      </c>
      <c r="W845">
        <v>2</v>
      </c>
      <c r="X845">
        <v>1</v>
      </c>
      <c r="Y845">
        <v>8</v>
      </c>
      <c r="Z845">
        <v>2</v>
      </c>
      <c r="AA845">
        <v>3</v>
      </c>
      <c r="AB845">
        <v>8</v>
      </c>
      <c r="AC845">
        <v>7</v>
      </c>
      <c r="AD845">
        <v>0</v>
      </c>
      <c r="AE845">
        <v>7</v>
      </c>
      <c r="AF845">
        <v>0</v>
      </c>
      <c r="AG845">
        <f>IF(tbl_HR_Data[[#This Row],[Gender]]="Male",1,0)</f>
        <v>1</v>
      </c>
      <c r="AH845" cm="1">
        <f t="array" ref="AH845">_xlfn.SWITCH(tbl_HR_Data[[#This Row],[BusinessTravel]], "Non-Travel", 0, "Travel_Rarely", 1, "Travel_Frequently", 2)</f>
        <v>1</v>
      </c>
      <c r="AI845" cm="1">
        <f t="array" ref="AI845">_xlfn.SWITCH(tbl_HR_Data[[#This Row],[MaritalStatus]],"Single",0,"Married",1,"Divorced",2)</f>
        <v>1</v>
      </c>
      <c r="AJ845">
        <f>IF(tbl_HR_Data[[#This Row],[OverTime]]=1,1,0)</f>
        <v>0</v>
      </c>
      <c r="AK845">
        <f>IF(tbl_HR_Data[[#This Row],[DistanceFromHome]]&gt;15,1,0)</f>
        <v>0</v>
      </c>
      <c r="AL845">
        <f>IF(tbl_HR_Data[[#This Row],[JobSatisfaction]]&lt;=2,1,0)</f>
        <v>0</v>
      </c>
      <c r="AM845">
        <f>IF(tbl_HR_Data[[#This Row],[MonthlyIncome]]&lt;$AT$2,1,0)</f>
        <v>1</v>
      </c>
      <c r="AN845">
        <f>IF(tbl_HR_Data[[#This Row],[Travel_Code]]=2,1,0)</f>
        <v>0</v>
      </c>
      <c r="AO845">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845" s="15">
        <f>tbl_HR_Data[[#This Row],[Risk_Score_Raw]] / SUM(Logic_Parameters!$B$2:$B$6)</f>
        <v>0.22374939857982484</v>
      </c>
      <c r="AQ845" s="16" t="str" cm="1">
        <f t="array" ref="AQ845">_xlfn.IFS(tbl_HR_Data[[#This Row],[Attrition_Risk_Percentage]] &gt;= 0.75, "Critical",tbl_HR_Data[ [#This Row],[Attrition_Risk_Percentage] ]&gt;= 0.5, "High",tbl_HR_Data[[#This Row],[Attrition_Risk_Percentage]] &gt;= 0.25, "Medium",TRUE, "Low")</f>
        <v>Low</v>
      </c>
      <c r="AR845" s="16" cm="1">
        <f t="array" ref="AR845">IFERROR(_xlfn.IFS(tbl_HR_Data[[#This Row],[Risk_Category]]="Critical",tbl_HR_Data[[#This Row],[MonthlyIncome]]*1.5,tbl_HR_Data[[#This Row],[Risk_Category]]="High",tbl_HR_Data[[#This Row],[MonthlyIncome]]*1.5),0)</f>
        <v>0</v>
      </c>
    </row>
    <row r="846" spans="1:44" x14ac:dyDescent="0.35">
      <c r="A846" t="s">
        <v>1177</v>
      </c>
      <c r="B846">
        <v>30</v>
      </c>
      <c r="C846" t="s">
        <v>31</v>
      </c>
      <c r="D846">
        <v>852</v>
      </c>
      <c r="E846" t="s">
        <v>32</v>
      </c>
      <c r="F846">
        <v>10</v>
      </c>
      <c r="G846">
        <v>3</v>
      </c>
      <c r="H846" t="s">
        <v>51</v>
      </c>
      <c r="I846">
        <v>3</v>
      </c>
      <c r="J846" t="s">
        <v>39</v>
      </c>
      <c r="K846">
        <v>72</v>
      </c>
      <c r="L846">
        <v>2</v>
      </c>
      <c r="M846">
        <v>2</v>
      </c>
      <c r="N846" t="s">
        <v>35</v>
      </c>
      <c r="O846">
        <v>3</v>
      </c>
      <c r="P846" t="s">
        <v>41</v>
      </c>
      <c r="Q846">
        <v>6578</v>
      </c>
      <c r="R846">
        <v>2706</v>
      </c>
      <c r="S846">
        <v>1</v>
      </c>
      <c r="T846">
        <v>0</v>
      </c>
      <c r="U846" s="17">
        <v>0.18</v>
      </c>
      <c r="V846">
        <v>3</v>
      </c>
      <c r="W846">
        <v>1</v>
      </c>
      <c r="X846">
        <v>1</v>
      </c>
      <c r="Y846">
        <v>10</v>
      </c>
      <c r="Z846">
        <v>3</v>
      </c>
      <c r="AA846">
        <v>3</v>
      </c>
      <c r="AB846">
        <v>10</v>
      </c>
      <c r="AC846">
        <v>3</v>
      </c>
      <c r="AD846">
        <v>1</v>
      </c>
      <c r="AE846">
        <v>4</v>
      </c>
      <c r="AF846">
        <v>0</v>
      </c>
      <c r="AG846">
        <f>IF(tbl_HR_Data[[#This Row],[Gender]]="Male",1,0)</f>
        <v>1</v>
      </c>
      <c r="AH846" cm="1">
        <f t="array" ref="AH846">_xlfn.SWITCH(tbl_HR_Data[[#This Row],[BusinessTravel]], "Non-Travel", 0, "Travel_Rarely", 1, "Travel_Frequently", 2)</f>
        <v>1</v>
      </c>
      <c r="AI846" cm="1">
        <f t="array" ref="AI846">_xlfn.SWITCH(tbl_HR_Data[[#This Row],[MaritalStatus]],"Single",0,"Married",1,"Divorced",2)</f>
        <v>1</v>
      </c>
      <c r="AJ846">
        <f>IF(tbl_HR_Data[[#This Row],[OverTime]]=1,1,0)</f>
        <v>0</v>
      </c>
      <c r="AK846">
        <f>IF(tbl_HR_Data[[#This Row],[DistanceFromHome]]&gt;15,1,0)</f>
        <v>0</v>
      </c>
      <c r="AL846">
        <f>IF(tbl_HR_Data[[#This Row],[JobSatisfaction]]&lt;=2,1,0)</f>
        <v>0</v>
      </c>
      <c r="AM846">
        <f>IF(tbl_HR_Data[[#This Row],[MonthlyIncome]]&lt;$AT$2,1,0)</f>
        <v>0</v>
      </c>
      <c r="AN846">
        <f>IF(tbl_HR_Data[[#This Row],[Travel_Code]]=2,1,0)</f>
        <v>0</v>
      </c>
      <c r="AO846">
        <f>(tbl_HR_Data[[#This Row],[Flag_OT]] * Logic_Parameters!$B$2) +
 (tbl_HR_Data[[#This Row],[Flag_Travel]] * Logic_Parameters!$B$3) +
 (tbl_HR_Data[[#This Row],[Flag_Satisfaction]] * Logic_Parameters!$B$4) +
 (tbl_HR_Data[[#This Row],[Flag_Distance]]* Logic_Parameters!$B$5) +
 (tbl_HR_Data[[#This Row],[Flag_Income]] * Logic_Parameters!$B$6)</f>
        <v>0</v>
      </c>
      <c r="AP846" s="15">
        <f>tbl_HR_Data[[#This Row],[Risk_Score_Raw]] / SUM(Logic_Parameters!$B$2:$B$6)</f>
        <v>0</v>
      </c>
      <c r="AQ846" s="16" t="str" cm="1">
        <f t="array" ref="AQ846">_xlfn.IFS(tbl_HR_Data[[#This Row],[Attrition_Risk_Percentage]] &gt;= 0.75, "Critical",tbl_HR_Data[ [#This Row],[Attrition_Risk_Percentage] ]&gt;= 0.5, "High",tbl_HR_Data[[#This Row],[Attrition_Risk_Percentage]] &gt;= 0.25, "Medium",TRUE, "Low")</f>
        <v>Low</v>
      </c>
      <c r="AR846" s="16" cm="1">
        <f t="array" ref="AR846">IFERROR(_xlfn.IFS(tbl_HR_Data[[#This Row],[Risk_Category]]="Critical",tbl_HR_Data[[#This Row],[MonthlyIncome]]*1.5,tbl_HR_Data[[#This Row],[Risk_Category]]="High",tbl_HR_Data[[#This Row],[MonthlyIncome]]*1.5),0)</f>
        <v>0</v>
      </c>
    </row>
    <row r="847" spans="1:44" x14ac:dyDescent="0.35">
      <c r="A847" t="s">
        <v>311</v>
      </c>
      <c r="B847">
        <v>40</v>
      </c>
      <c r="C847" t="s">
        <v>37</v>
      </c>
      <c r="D847">
        <v>902</v>
      </c>
      <c r="E847" t="s">
        <v>38</v>
      </c>
      <c r="F847">
        <v>26</v>
      </c>
      <c r="G847">
        <v>2</v>
      </c>
      <c r="H847" t="s">
        <v>44</v>
      </c>
      <c r="I847">
        <v>3</v>
      </c>
      <c r="J847" t="s">
        <v>34</v>
      </c>
      <c r="K847">
        <v>92</v>
      </c>
      <c r="L847">
        <v>2</v>
      </c>
      <c r="M847">
        <v>2</v>
      </c>
      <c r="N847" t="s">
        <v>40</v>
      </c>
      <c r="O847">
        <v>4</v>
      </c>
      <c r="P847" t="s">
        <v>41</v>
      </c>
      <c r="Q847">
        <v>4422</v>
      </c>
      <c r="R847">
        <v>21203</v>
      </c>
      <c r="S847">
        <v>3</v>
      </c>
      <c r="T847">
        <v>1</v>
      </c>
      <c r="U847" s="17">
        <v>0.13</v>
      </c>
      <c r="V847">
        <v>3</v>
      </c>
      <c r="W847">
        <v>4</v>
      </c>
      <c r="X847">
        <v>1</v>
      </c>
      <c r="Y847">
        <v>16</v>
      </c>
      <c r="Z847">
        <v>3</v>
      </c>
      <c r="AA847">
        <v>1</v>
      </c>
      <c r="AB847">
        <v>1</v>
      </c>
      <c r="AC847">
        <v>1</v>
      </c>
      <c r="AD847">
        <v>0</v>
      </c>
      <c r="AE847">
        <v>0</v>
      </c>
      <c r="AF847">
        <v>0</v>
      </c>
      <c r="AG847">
        <f>IF(tbl_HR_Data[[#This Row],[Gender]]="Male",1,0)</f>
        <v>0</v>
      </c>
      <c r="AH847" cm="1">
        <f t="array" ref="AH847">_xlfn.SWITCH(tbl_HR_Data[[#This Row],[BusinessTravel]], "Non-Travel", 0, "Travel_Rarely", 1, "Travel_Frequently", 2)</f>
        <v>2</v>
      </c>
      <c r="AI847" cm="1">
        <f t="array" ref="AI847">_xlfn.SWITCH(tbl_HR_Data[[#This Row],[MaritalStatus]],"Single",0,"Married",1,"Divorced",2)</f>
        <v>1</v>
      </c>
      <c r="AJ847">
        <f>IF(tbl_HR_Data[[#This Row],[OverTime]]=1,1,0)</f>
        <v>1</v>
      </c>
      <c r="AK847">
        <f>IF(tbl_HR_Data[[#This Row],[DistanceFromHome]]&gt;15,1,0)</f>
        <v>1</v>
      </c>
      <c r="AL847">
        <f>IF(tbl_HR_Data[[#This Row],[JobSatisfaction]]&lt;=2,1,0)</f>
        <v>0</v>
      </c>
      <c r="AM847">
        <f>IF(tbl_HR_Data[[#This Row],[MonthlyIncome]]&lt;$AT$2,1,0)</f>
        <v>1</v>
      </c>
      <c r="AN847">
        <f>IF(tbl_HR_Data[[#This Row],[Travel_Code]]=2,1,0)</f>
        <v>1</v>
      </c>
      <c r="AO847">
        <f>(tbl_HR_Data[[#This Row],[Flag_OT]] * Logic_Parameters!$B$2) +
 (tbl_HR_Data[[#This Row],[Flag_Travel]] * Logic_Parameters!$B$3) +
 (tbl_HR_Data[[#This Row],[Flag_Satisfaction]] * Logic_Parameters!$B$4) +
 (tbl_HR_Data[[#This Row],[Flag_Distance]]* Logic_Parameters!$B$5) +
 (tbl_HR_Data[[#This Row],[Flag_Income]] * Logic_Parameters!$B$6)</f>
        <v>24.820925613786383</v>
      </c>
      <c r="AP847" s="15">
        <f>tbl_HR_Data[[#This Row],[Risk_Score_Raw]] / SUM(Logic_Parameters!$B$2:$B$6)</f>
        <v>0.85514326691283105</v>
      </c>
      <c r="AQ847" s="16" t="str" cm="1">
        <f t="array" ref="AQ847">_xlfn.IFS(tbl_HR_Data[[#This Row],[Attrition_Risk_Percentage]] &gt;= 0.75, "Critical",tbl_HR_Data[ [#This Row],[Attrition_Risk_Percentage] ]&gt;= 0.5, "High",tbl_HR_Data[[#This Row],[Attrition_Risk_Percentage]] &gt;= 0.25, "Medium",TRUE, "Low")</f>
        <v>Critical</v>
      </c>
      <c r="AR847" s="16" cm="1">
        <f t="array" ref="AR847">IFERROR(_xlfn.IFS(tbl_HR_Data[[#This Row],[Risk_Category]]="Critical",tbl_HR_Data[[#This Row],[MonthlyIncome]]*1.5,tbl_HR_Data[[#This Row],[Risk_Category]]="High",tbl_HR_Data[[#This Row],[MonthlyIncome]]*1.5),0)</f>
        <v>6633</v>
      </c>
    </row>
    <row r="848" spans="1:44" x14ac:dyDescent="0.35">
      <c r="A848" t="s">
        <v>486</v>
      </c>
      <c r="B848">
        <v>35</v>
      </c>
      <c r="C848" t="s">
        <v>31</v>
      </c>
      <c r="D848">
        <v>819</v>
      </c>
      <c r="E848" t="s">
        <v>38</v>
      </c>
      <c r="F848">
        <v>2</v>
      </c>
      <c r="G848">
        <v>3</v>
      </c>
      <c r="H848" t="s">
        <v>33</v>
      </c>
      <c r="I848">
        <v>3</v>
      </c>
      <c r="J848" t="s">
        <v>39</v>
      </c>
      <c r="K848">
        <v>44</v>
      </c>
      <c r="L848">
        <v>2</v>
      </c>
      <c r="M848">
        <v>3</v>
      </c>
      <c r="N848" t="s">
        <v>46</v>
      </c>
      <c r="O848">
        <v>2</v>
      </c>
      <c r="P848" t="s">
        <v>45</v>
      </c>
      <c r="Q848">
        <v>10274</v>
      </c>
      <c r="R848">
        <v>19588</v>
      </c>
      <c r="S848">
        <v>2</v>
      </c>
      <c r="T848">
        <v>0</v>
      </c>
      <c r="U848" s="17">
        <v>0.18</v>
      </c>
      <c r="V848">
        <v>3</v>
      </c>
      <c r="W848">
        <v>2</v>
      </c>
      <c r="X848">
        <v>1</v>
      </c>
      <c r="Y848">
        <v>15</v>
      </c>
      <c r="Z848">
        <v>2</v>
      </c>
      <c r="AA848">
        <v>4</v>
      </c>
      <c r="AB848">
        <v>7</v>
      </c>
      <c r="AC848">
        <v>7</v>
      </c>
      <c r="AD848">
        <v>6</v>
      </c>
      <c r="AE848">
        <v>4</v>
      </c>
      <c r="AF848">
        <v>0</v>
      </c>
      <c r="AG848">
        <f>IF(tbl_HR_Data[[#This Row],[Gender]]="Male",1,0)</f>
        <v>1</v>
      </c>
      <c r="AH848" cm="1">
        <f t="array" ref="AH848">_xlfn.SWITCH(tbl_HR_Data[[#This Row],[BusinessTravel]], "Non-Travel", 0, "Travel_Rarely", 1, "Travel_Frequently", 2)</f>
        <v>1</v>
      </c>
      <c r="AI848" cm="1">
        <f t="array" ref="AI848">_xlfn.SWITCH(tbl_HR_Data[[#This Row],[MaritalStatus]],"Single",0,"Married",1,"Divorced",2)</f>
        <v>2</v>
      </c>
      <c r="AJ848">
        <f>IF(tbl_HR_Data[[#This Row],[OverTime]]=1,1,0)</f>
        <v>0</v>
      </c>
      <c r="AK848">
        <f>IF(tbl_HR_Data[[#This Row],[DistanceFromHome]]&gt;15,1,0)</f>
        <v>0</v>
      </c>
      <c r="AL848">
        <f>IF(tbl_HR_Data[[#This Row],[JobSatisfaction]]&lt;=2,1,0)</f>
        <v>1</v>
      </c>
      <c r="AM848">
        <f>IF(tbl_HR_Data[[#This Row],[MonthlyIncome]]&lt;$AT$2,1,0)</f>
        <v>0</v>
      </c>
      <c r="AN848">
        <f>IF(tbl_HR_Data[[#This Row],[Travel_Code]]=2,1,0)</f>
        <v>0</v>
      </c>
      <c r="AO848">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848" s="15">
        <f>tbl_HR_Data[[#This Row],[Risk_Score_Raw]] / SUM(Logic_Parameters!$B$2:$B$6)</f>
        <v>0.14485673308716898</v>
      </c>
      <c r="AQ848" s="16" t="str" cm="1">
        <f t="array" ref="AQ848">_xlfn.IFS(tbl_HR_Data[[#This Row],[Attrition_Risk_Percentage]] &gt;= 0.75, "Critical",tbl_HR_Data[ [#This Row],[Attrition_Risk_Percentage] ]&gt;= 0.5, "High",tbl_HR_Data[[#This Row],[Attrition_Risk_Percentage]] &gt;= 0.25, "Medium",TRUE, "Low")</f>
        <v>Low</v>
      </c>
      <c r="AR848" s="16" cm="1">
        <f t="array" ref="AR848">IFERROR(_xlfn.IFS(tbl_HR_Data[[#This Row],[Risk_Category]]="Critical",tbl_HR_Data[[#This Row],[MonthlyIncome]]*1.5,tbl_HR_Data[[#This Row],[Risk_Category]]="High",tbl_HR_Data[[#This Row],[MonthlyIncome]]*1.5),0)</f>
        <v>0</v>
      </c>
    </row>
    <row r="849" spans="1:44" x14ac:dyDescent="0.35">
      <c r="A849" t="s">
        <v>121</v>
      </c>
      <c r="B849">
        <v>34</v>
      </c>
      <c r="C849" t="s">
        <v>37</v>
      </c>
      <c r="D849">
        <v>669</v>
      </c>
      <c r="E849" t="s">
        <v>38</v>
      </c>
      <c r="F849">
        <v>1</v>
      </c>
      <c r="G849">
        <v>3</v>
      </c>
      <c r="H849" t="s">
        <v>44</v>
      </c>
      <c r="I849">
        <v>4</v>
      </c>
      <c r="J849" t="s">
        <v>39</v>
      </c>
      <c r="K849">
        <v>97</v>
      </c>
      <c r="L849">
        <v>2</v>
      </c>
      <c r="M849">
        <v>2</v>
      </c>
      <c r="N849" t="s">
        <v>47</v>
      </c>
      <c r="O849">
        <v>1</v>
      </c>
      <c r="P849" t="s">
        <v>36</v>
      </c>
      <c r="Q849">
        <v>5343</v>
      </c>
      <c r="R849">
        <v>25755</v>
      </c>
      <c r="S849">
        <v>0</v>
      </c>
      <c r="T849">
        <v>0</v>
      </c>
      <c r="U849" s="17">
        <v>0.2</v>
      </c>
      <c r="V849">
        <v>4</v>
      </c>
      <c r="W849">
        <v>3</v>
      </c>
      <c r="X849">
        <v>0</v>
      </c>
      <c r="Y849">
        <v>14</v>
      </c>
      <c r="Z849">
        <v>3</v>
      </c>
      <c r="AA849">
        <v>3</v>
      </c>
      <c r="AB849">
        <v>13</v>
      </c>
      <c r="AC849">
        <v>9</v>
      </c>
      <c r="AD849">
        <v>4</v>
      </c>
      <c r="AE849">
        <v>9</v>
      </c>
      <c r="AF849">
        <v>0</v>
      </c>
      <c r="AG849">
        <f>IF(tbl_HR_Data[[#This Row],[Gender]]="Male",1,0)</f>
        <v>1</v>
      </c>
      <c r="AH849" cm="1">
        <f t="array" ref="AH849">_xlfn.SWITCH(tbl_HR_Data[[#This Row],[BusinessTravel]], "Non-Travel", 0, "Travel_Rarely", 1, "Travel_Frequently", 2)</f>
        <v>2</v>
      </c>
      <c r="AI849" cm="1">
        <f t="array" ref="AI849">_xlfn.SWITCH(tbl_HR_Data[[#This Row],[MaritalStatus]],"Single",0,"Married",1,"Divorced",2)</f>
        <v>0</v>
      </c>
      <c r="AJ849">
        <f>IF(tbl_HR_Data[[#This Row],[OverTime]]=1,1,0)</f>
        <v>0</v>
      </c>
      <c r="AK849">
        <f>IF(tbl_HR_Data[[#This Row],[DistanceFromHome]]&gt;15,1,0)</f>
        <v>0</v>
      </c>
      <c r="AL849">
        <f>IF(tbl_HR_Data[[#This Row],[JobSatisfaction]]&lt;=2,1,0)</f>
        <v>1</v>
      </c>
      <c r="AM849">
        <f>IF(tbl_HR_Data[[#This Row],[MonthlyIncome]]&lt;$AT$2,1,0)</f>
        <v>0</v>
      </c>
      <c r="AN849">
        <f>IF(tbl_HR_Data[[#This Row],[Travel_Code]]=2,1,0)</f>
        <v>1</v>
      </c>
      <c r="AO849">
        <f>(tbl_HR_Data[[#This Row],[Flag_OT]] * Logic_Parameters!$B$2) +
 (tbl_HR_Data[[#This Row],[Flag_Travel]] * Logic_Parameters!$B$3) +
 (tbl_HR_Data[[#This Row],[Flag_Satisfaction]] * Logic_Parameters!$B$4) +
 (tbl_HR_Data[[#This Row],[Flag_Distance]]* Logic_Parameters!$B$5) +
 (tbl_HR_Data[[#This Row],[Flag_Income]] * Logic_Parameters!$B$6)</f>
        <v>9.3649231104683075</v>
      </c>
      <c r="AP849" s="15">
        <f>tbl_HR_Data[[#This Row],[Risk_Score_Raw]] / SUM(Logic_Parameters!$B$2:$B$6)</f>
        <v>0.32264513691726432</v>
      </c>
      <c r="AQ849" s="16" t="str" cm="1">
        <f t="array" ref="AQ849">_xlfn.IFS(tbl_HR_Data[[#This Row],[Attrition_Risk_Percentage]] &gt;= 0.75, "Critical",tbl_HR_Data[ [#This Row],[Attrition_Risk_Percentage] ]&gt;= 0.5, "High",tbl_HR_Data[[#This Row],[Attrition_Risk_Percentage]] &gt;= 0.25, "Medium",TRUE, "Low")</f>
        <v>Medium</v>
      </c>
      <c r="AR849" s="16" cm="1">
        <f t="array" ref="AR849">IFERROR(_xlfn.IFS(tbl_HR_Data[[#This Row],[Risk_Category]]="Critical",tbl_HR_Data[[#This Row],[MonthlyIncome]]*1.5,tbl_HR_Data[[#This Row],[Risk_Category]]="High",tbl_HR_Data[[#This Row],[MonthlyIncome]]*1.5),0)</f>
        <v>0</v>
      </c>
    </row>
    <row r="850" spans="1:44" x14ac:dyDescent="0.35">
      <c r="A850" t="s">
        <v>1386</v>
      </c>
      <c r="B850">
        <v>35</v>
      </c>
      <c r="C850" t="s">
        <v>37</v>
      </c>
      <c r="D850">
        <v>636</v>
      </c>
      <c r="E850" t="s">
        <v>38</v>
      </c>
      <c r="F850">
        <v>4</v>
      </c>
      <c r="G850">
        <v>4</v>
      </c>
      <c r="H850" t="s">
        <v>42</v>
      </c>
      <c r="I850">
        <v>4</v>
      </c>
      <c r="J850" t="s">
        <v>39</v>
      </c>
      <c r="K850">
        <v>47</v>
      </c>
      <c r="L850">
        <v>2</v>
      </c>
      <c r="M850">
        <v>1</v>
      </c>
      <c r="N850" t="s">
        <v>43</v>
      </c>
      <c r="O850">
        <v>4</v>
      </c>
      <c r="P850" t="s">
        <v>41</v>
      </c>
      <c r="Q850">
        <v>2376</v>
      </c>
      <c r="R850">
        <v>26537</v>
      </c>
      <c r="S850">
        <v>1</v>
      </c>
      <c r="T850">
        <v>0</v>
      </c>
      <c r="U850" s="17">
        <v>0.13</v>
      </c>
      <c r="V850">
        <v>3</v>
      </c>
      <c r="W850">
        <v>2</v>
      </c>
      <c r="X850">
        <v>1</v>
      </c>
      <c r="Y850">
        <v>2</v>
      </c>
      <c r="Z850">
        <v>2</v>
      </c>
      <c r="AA850">
        <v>4</v>
      </c>
      <c r="AB850">
        <v>2</v>
      </c>
      <c r="AC850">
        <v>2</v>
      </c>
      <c r="AD850">
        <v>2</v>
      </c>
      <c r="AE850">
        <v>2</v>
      </c>
      <c r="AF850">
        <v>0</v>
      </c>
      <c r="AG850">
        <f>IF(tbl_HR_Data[[#This Row],[Gender]]="Male",1,0)</f>
        <v>1</v>
      </c>
      <c r="AH850" cm="1">
        <f t="array" ref="AH850">_xlfn.SWITCH(tbl_HR_Data[[#This Row],[BusinessTravel]], "Non-Travel", 0, "Travel_Rarely", 1, "Travel_Frequently", 2)</f>
        <v>2</v>
      </c>
      <c r="AI850" cm="1">
        <f t="array" ref="AI850">_xlfn.SWITCH(tbl_HR_Data[[#This Row],[MaritalStatus]],"Single",0,"Married",1,"Divorced",2)</f>
        <v>1</v>
      </c>
      <c r="AJ850">
        <f>IF(tbl_HR_Data[[#This Row],[OverTime]]=1,1,0)</f>
        <v>0</v>
      </c>
      <c r="AK850">
        <f>IF(tbl_HR_Data[[#This Row],[DistanceFromHome]]&gt;15,1,0)</f>
        <v>0</v>
      </c>
      <c r="AL850">
        <f>IF(tbl_HR_Data[[#This Row],[JobSatisfaction]]&lt;=2,1,0)</f>
        <v>0</v>
      </c>
      <c r="AM850">
        <f>IF(tbl_HR_Data[[#This Row],[MonthlyIncome]]&lt;$AT$2,1,0)</f>
        <v>1</v>
      </c>
      <c r="AN850">
        <f>IF(tbl_HR_Data[[#This Row],[Travel_Code]]=2,1,0)</f>
        <v>1</v>
      </c>
      <c r="AO850">
        <f>(tbl_HR_Data[[#This Row],[Flag_OT]] * Logic_Parameters!$B$2) +
 (tbl_HR_Data[[#This Row],[Flag_Travel]] * Logic_Parameters!$B$3) +
 (tbl_HR_Data[[#This Row],[Flag_Satisfaction]] * Logic_Parameters!$B$4) +
 (tbl_HR_Data[[#This Row],[Flag_Distance]]* Logic_Parameters!$B$5) +
 (tbl_HR_Data[[#This Row],[Flag_Income]] * Logic_Parameters!$B$6)</f>
        <v>11.654818917911005</v>
      </c>
      <c r="AP850" s="15">
        <f>tbl_HR_Data[[#This Row],[Risk_Score_Raw]] / SUM(Logic_Parameters!$B$2:$B$6)</f>
        <v>0.40153780240992015</v>
      </c>
      <c r="AQ850" s="16" t="str" cm="1">
        <f t="array" ref="AQ850">_xlfn.IFS(tbl_HR_Data[[#This Row],[Attrition_Risk_Percentage]] &gt;= 0.75, "Critical",tbl_HR_Data[ [#This Row],[Attrition_Risk_Percentage] ]&gt;= 0.5, "High",tbl_HR_Data[[#This Row],[Attrition_Risk_Percentage]] &gt;= 0.25, "Medium",TRUE, "Low")</f>
        <v>Medium</v>
      </c>
      <c r="AR850" s="16" cm="1">
        <f t="array" ref="AR850">IFERROR(_xlfn.IFS(tbl_HR_Data[[#This Row],[Risk_Category]]="Critical",tbl_HR_Data[[#This Row],[MonthlyIncome]]*1.5,tbl_HR_Data[[#This Row],[Risk_Category]]="High",tbl_HR_Data[[#This Row],[MonthlyIncome]]*1.5),0)</f>
        <v>0</v>
      </c>
    </row>
    <row r="851" spans="1:44" x14ac:dyDescent="0.35">
      <c r="A851" t="s">
        <v>461</v>
      </c>
      <c r="B851">
        <v>43</v>
      </c>
      <c r="C851" t="s">
        <v>31</v>
      </c>
      <c r="D851">
        <v>1372</v>
      </c>
      <c r="E851" t="s">
        <v>32</v>
      </c>
      <c r="F851">
        <v>9</v>
      </c>
      <c r="G851">
        <v>3</v>
      </c>
      <c r="H851" t="s">
        <v>51</v>
      </c>
      <c r="I851">
        <v>1</v>
      </c>
      <c r="J851" t="s">
        <v>34</v>
      </c>
      <c r="K851">
        <v>85</v>
      </c>
      <c r="L851">
        <v>1</v>
      </c>
      <c r="M851">
        <v>2</v>
      </c>
      <c r="N851" t="s">
        <v>35</v>
      </c>
      <c r="O851">
        <v>3</v>
      </c>
      <c r="P851" t="s">
        <v>36</v>
      </c>
      <c r="Q851">
        <v>5346</v>
      </c>
      <c r="R851">
        <v>9489</v>
      </c>
      <c r="S851">
        <v>8</v>
      </c>
      <c r="T851">
        <v>0</v>
      </c>
      <c r="U851" s="17">
        <v>0.13</v>
      </c>
      <c r="V851">
        <v>3</v>
      </c>
      <c r="W851">
        <v>2</v>
      </c>
      <c r="X851">
        <v>0</v>
      </c>
      <c r="Y851">
        <v>7</v>
      </c>
      <c r="Z851">
        <v>2</v>
      </c>
      <c r="AA851">
        <v>2</v>
      </c>
      <c r="AB851">
        <v>4</v>
      </c>
      <c r="AC851">
        <v>3</v>
      </c>
      <c r="AD851">
        <v>1</v>
      </c>
      <c r="AE851">
        <v>3</v>
      </c>
      <c r="AF851">
        <v>1</v>
      </c>
      <c r="AG851">
        <f>IF(tbl_HR_Data[[#This Row],[Gender]]="Male",1,0)</f>
        <v>0</v>
      </c>
      <c r="AH851" cm="1">
        <f t="array" ref="AH851">_xlfn.SWITCH(tbl_HR_Data[[#This Row],[BusinessTravel]], "Non-Travel", 0, "Travel_Rarely", 1, "Travel_Frequently", 2)</f>
        <v>1</v>
      </c>
      <c r="AI851" cm="1">
        <f t="array" ref="AI851">_xlfn.SWITCH(tbl_HR_Data[[#This Row],[MaritalStatus]],"Single",0,"Married",1,"Divorced",2)</f>
        <v>0</v>
      </c>
      <c r="AJ851">
        <f>IF(tbl_HR_Data[[#This Row],[OverTime]]=1,1,0)</f>
        <v>0</v>
      </c>
      <c r="AK851">
        <f>IF(tbl_HR_Data[[#This Row],[DistanceFromHome]]&gt;15,1,0)</f>
        <v>0</v>
      </c>
      <c r="AL851">
        <f>IF(tbl_HR_Data[[#This Row],[JobSatisfaction]]&lt;=2,1,0)</f>
        <v>0</v>
      </c>
      <c r="AM851">
        <f>IF(tbl_HR_Data[[#This Row],[MonthlyIncome]]&lt;$AT$2,1,0)</f>
        <v>0</v>
      </c>
      <c r="AN851">
        <f>IF(tbl_HR_Data[[#This Row],[Travel_Code]]=2,1,0)</f>
        <v>0</v>
      </c>
      <c r="AO851">
        <f>(tbl_HR_Data[[#This Row],[Flag_OT]] * Logic_Parameters!$B$2) +
 (tbl_HR_Data[[#This Row],[Flag_Travel]] * Logic_Parameters!$B$3) +
 (tbl_HR_Data[[#This Row],[Flag_Satisfaction]] * Logic_Parameters!$B$4) +
 (tbl_HR_Data[[#This Row],[Flag_Distance]]* Logic_Parameters!$B$5) +
 (tbl_HR_Data[[#This Row],[Flag_Income]] * Logic_Parameters!$B$6)</f>
        <v>0</v>
      </c>
      <c r="AP851" s="15">
        <f>tbl_HR_Data[[#This Row],[Risk_Score_Raw]] / SUM(Logic_Parameters!$B$2:$B$6)</f>
        <v>0</v>
      </c>
      <c r="AQ851" s="16" t="str" cm="1">
        <f t="array" ref="AQ851">_xlfn.IFS(tbl_HR_Data[[#This Row],[Attrition_Risk_Percentage]] &gt;= 0.75, "Critical",tbl_HR_Data[ [#This Row],[Attrition_Risk_Percentage] ]&gt;= 0.5, "High",tbl_HR_Data[[#This Row],[Attrition_Risk_Percentage]] &gt;= 0.25, "Medium",TRUE, "Low")</f>
        <v>Low</v>
      </c>
      <c r="AR851" s="16" cm="1">
        <f t="array" ref="AR851">IFERROR(_xlfn.IFS(tbl_HR_Data[[#This Row],[Risk_Category]]="Critical",tbl_HR_Data[[#This Row],[MonthlyIncome]]*1.5,tbl_HR_Data[[#This Row],[Risk_Category]]="High",tbl_HR_Data[[#This Row],[MonthlyIncome]]*1.5),0)</f>
        <v>0</v>
      </c>
    </row>
    <row r="852" spans="1:44" x14ac:dyDescent="0.35">
      <c r="A852" t="s">
        <v>697</v>
      </c>
      <c r="B852">
        <v>32</v>
      </c>
      <c r="C852" t="s">
        <v>1525</v>
      </c>
      <c r="D852">
        <v>862</v>
      </c>
      <c r="E852" t="s">
        <v>32</v>
      </c>
      <c r="F852">
        <v>2</v>
      </c>
      <c r="G852">
        <v>1</v>
      </c>
      <c r="H852" t="s">
        <v>33</v>
      </c>
      <c r="I852">
        <v>3</v>
      </c>
      <c r="J852" t="s">
        <v>34</v>
      </c>
      <c r="K852">
        <v>76</v>
      </c>
      <c r="L852">
        <v>3</v>
      </c>
      <c r="M852">
        <v>1</v>
      </c>
      <c r="N852" t="s">
        <v>49</v>
      </c>
      <c r="O852">
        <v>1</v>
      </c>
      <c r="P852" t="s">
        <v>45</v>
      </c>
      <c r="Q852">
        <v>2827</v>
      </c>
      <c r="R852">
        <v>14947</v>
      </c>
      <c r="S852">
        <v>1</v>
      </c>
      <c r="T852">
        <v>0</v>
      </c>
      <c r="U852" s="17">
        <v>0.12</v>
      </c>
      <c r="V852">
        <v>3</v>
      </c>
      <c r="W852">
        <v>3</v>
      </c>
      <c r="X852">
        <v>3</v>
      </c>
      <c r="Y852">
        <v>1</v>
      </c>
      <c r="Z852">
        <v>3</v>
      </c>
      <c r="AA852">
        <v>3</v>
      </c>
      <c r="AB852">
        <v>1</v>
      </c>
      <c r="AC852">
        <v>0</v>
      </c>
      <c r="AD852">
        <v>0</v>
      </c>
      <c r="AE852">
        <v>0</v>
      </c>
      <c r="AF852">
        <v>0</v>
      </c>
      <c r="AG852">
        <f>IF(tbl_HR_Data[[#This Row],[Gender]]="Male",1,0)</f>
        <v>0</v>
      </c>
      <c r="AH852" cm="1">
        <f t="array" ref="AH852">_xlfn.SWITCH(tbl_HR_Data[[#This Row],[BusinessTravel]], "Non-Travel", 0, "Travel_Rarely", 1, "Travel_Frequently", 2)</f>
        <v>0</v>
      </c>
      <c r="AI852" cm="1">
        <f t="array" ref="AI852">_xlfn.SWITCH(tbl_HR_Data[[#This Row],[MaritalStatus]],"Single",0,"Married",1,"Divorced",2)</f>
        <v>2</v>
      </c>
      <c r="AJ852">
        <f>IF(tbl_HR_Data[[#This Row],[OverTime]]=1,1,0)</f>
        <v>0</v>
      </c>
      <c r="AK852">
        <f>IF(tbl_HR_Data[[#This Row],[DistanceFromHome]]&gt;15,1,0)</f>
        <v>0</v>
      </c>
      <c r="AL852">
        <f>IF(tbl_HR_Data[[#This Row],[JobSatisfaction]]&lt;=2,1,0)</f>
        <v>1</v>
      </c>
      <c r="AM852">
        <f>IF(tbl_HR_Data[[#This Row],[MonthlyIncome]]&lt;$AT$2,1,0)</f>
        <v>1</v>
      </c>
      <c r="AN852">
        <f>IF(tbl_HR_Data[[#This Row],[Travel_Code]]=2,1,0)</f>
        <v>0</v>
      </c>
      <c r="AO852">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852" s="15">
        <f>tbl_HR_Data[[#This Row],[Risk_Score_Raw]] / SUM(Logic_Parameters!$B$2:$B$6)</f>
        <v>0.3686061316669938</v>
      </c>
      <c r="AQ852" s="16" t="str" cm="1">
        <f t="array" ref="AQ852">_xlfn.IFS(tbl_HR_Data[[#This Row],[Attrition_Risk_Percentage]] &gt;= 0.75, "Critical",tbl_HR_Data[ [#This Row],[Attrition_Risk_Percentage] ]&gt;= 0.5, "High",tbl_HR_Data[[#This Row],[Attrition_Risk_Percentage]] &gt;= 0.25, "Medium",TRUE, "Low")</f>
        <v>Medium</v>
      </c>
      <c r="AR852" s="16" cm="1">
        <f t="array" ref="AR852">IFERROR(_xlfn.IFS(tbl_HR_Data[[#This Row],[Risk_Category]]="Critical",tbl_HR_Data[[#This Row],[MonthlyIncome]]*1.5,tbl_HR_Data[[#This Row],[Risk_Category]]="High",tbl_HR_Data[[#This Row],[MonthlyIncome]]*1.5),0)</f>
        <v>0</v>
      </c>
    </row>
    <row r="853" spans="1:44" x14ac:dyDescent="0.35">
      <c r="A853" t="s">
        <v>1508</v>
      </c>
      <c r="B853">
        <v>56</v>
      </c>
      <c r="C853" t="s">
        <v>31</v>
      </c>
      <c r="D853">
        <v>718</v>
      </c>
      <c r="E853" t="s">
        <v>38</v>
      </c>
      <c r="F853">
        <v>4</v>
      </c>
      <c r="G853">
        <v>4</v>
      </c>
      <c r="H853" t="s">
        <v>52</v>
      </c>
      <c r="I853">
        <v>4</v>
      </c>
      <c r="J853" t="s">
        <v>34</v>
      </c>
      <c r="K853">
        <v>92</v>
      </c>
      <c r="L853">
        <v>3</v>
      </c>
      <c r="M853">
        <v>5</v>
      </c>
      <c r="N853" t="s">
        <v>48</v>
      </c>
      <c r="O853">
        <v>1</v>
      </c>
      <c r="P853" t="s">
        <v>45</v>
      </c>
      <c r="Q853">
        <v>19943</v>
      </c>
      <c r="R853">
        <v>18575</v>
      </c>
      <c r="S853">
        <v>4</v>
      </c>
      <c r="T853">
        <v>0</v>
      </c>
      <c r="U853" s="17">
        <v>0.13</v>
      </c>
      <c r="V853">
        <v>3</v>
      </c>
      <c r="W853">
        <v>4</v>
      </c>
      <c r="X853">
        <v>1</v>
      </c>
      <c r="Y853">
        <v>28</v>
      </c>
      <c r="Z853">
        <v>2</v>
      </c>
      <c r="AA853">
        <v>3</v>
      </c>
      <c r="AB853">
        <v>5</v>
      </c>
      <c r="AC853">
        <v>2</v>
      </c>
      <c r="AD853">
        <v>4</v>
      </c>
      <c r="AE853">
        <v>2</v>
      </c>
      <c r="AF853">
        <v>0</v>
      </c>
      <c r="AG853">
        <f>IF(tbl_HR_Data[[#This Row],[Gender]]="Male",1,0)</f>
        <v>0</v>
      </c>
      <c r="AH853" cm="1">
        <f t="array" ref="AH853">_xlfn.SWITCH(tbl_HR_Data[[#This Row],[BusinessTravel]], "Non-Travel", 0, "Travel_Rarely", 1, "Travel_Frequently", 2)</f>
        <v>1</v>
      </c>
      <c r="AI853" cm="1">
        <f t="array" ref="AI853">_xlfn.SWITCH(tbl_HR_Data[[#This Row],[MaritalStatus]],"Single",0,"Married",1,"Divorced",2)</f>
        <v>2</v>
      </c>
      <c r="AJ853">
        <f>IF(tbl_HR_Data[[#This Row],[OverTime]]=1,1,0)</f>
        <v>0</v>
      </c>
      <c r="AK853">
        <f>IF(tbl_HR_Data[[#This Row],[DistanceFromHome]]&gt;15,1,0)</f>
        <v>0</v>
      </c>
      <c r="AL853">
        <f>IF(tbl_HR_Data[[#This Row],[JobSatisfaction]]&lt;=2,1,0)</f>
        <v>1</v>
      </c>
      <c r="AM853">
        <f>IF(tbl_HR_Data[[#This Row],[MonthlyIncome]]&lt;$AT$2,1,0)</f>
        <v>0</v>
      </c>
      <c r="AN853">
        <f>IF(tbl_HR_Data[[#This Row],[Travel_Code]]=2,1,0)</f>
        <v>0</v>
      </c>
      <c r="AO853">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853" s="15">
        <f>tbl_HR_Data[[#This Row],[Risk_Score_Raw]] / SUM(Logic_Parameters!$B$2:$B$6)</f>
        <v>0.14485673308716898</v>
      </c>
      <c r="AQ853" s="16" t="str" cm="1">
        <f t="array" ref="AQ853">_xlfn.IFS(tbl_HR_Data[[#This Row],[Attrition_Risk_Percentage]] &gt;= 0.75, "Critical",tbl_HR_Data[ [#This Row],[Attrition_Risk_Percentage] ]&gt;= 0.5, "High",tbl_HR_Data[[#This Row],[Attrition_Risk_Percentage]] &gt;= 0.25, "Medium",TRUE, "Low")</f>
        <v>Low</v>
      </c>
      <c r="AR853" s="16" cm="1">
        <f t="array" ref="AR853">IFERROR(_xlfn.IFS(tbl_HR_Data[[#This Row],[Risk_Category]]="Critical",tbl_HR_Data[[#This Row],[MonthlyIncome]]*1.5,tbl_HR_Data[[#This Row],[Risk_Category]]="High",tbl_HR_Data[[#This Row],[MonthlyIncome]]*1.5),0)</f>
        <v>0</v>
      </c>
    </row>
    <row r="854" spans="1:44" x14ac:dyDescent="0.35">
      <c r="A854" t="s">
        <v>1037</v>
      </c>
      <c r="B854">
        <v>29</v>
      </c>
      <c r="C854" t="s">
        <v>31</v>
      </c>
      <c r="D854">
        <v>1401</v>
      </c>
      <c r="E854" t="s">
        <v>38</v>
      </c>
      <c r="F854">
        <v>6</v>
      </c>
      <c r="G854">
        <v>1</v>
      </c>
      <c r="H854" t="s">
        <v>44</v>
      </c>
      <c r="I854">
        <v>2</v>
      </c>
      <c r="J854" t="s">
        <v>34</v>
      </c>
      <c r="K854">
        <v>54</v>
      </c>
      <c r="L854">
        <v>3</v>
      </c>
      <c r="M854">
        <v>1</v>
      </c>
      <c r="N854" t="s">
        <v>43</v>
      </c>
      <c r="O854">
        <v>4</v>
      </c>
      <c r="P854" t="s">
        <v>41</v>
      </c>
      <c r="Q854">
        <v>3131</v>
      </c>
      <c r="R854">
        <v>26342</v>
      </c>
      <c r="S854">
        <v>1</v>
      </c>
      <c r="T854">
        <v>0</v>
      </c>
      <c r="U854" s="17">
        <v>0.13</v>
      </c>
      <c r="V854">
        <v>3</v>
      </c>
      <c r="W854">
        <v>1</v>
      </c>
      <c r="X854">
        <v>1</v>
      </c>
      <c r="Y854">
        <v>10</v>
      </c>
      <c r="Z854">
        <v>5</v>
      </c>
      <c r="AA854">
        <v>3</v>
      </c>
      <c r="AB854">
        <v>10</v>
      </c>
      <c r="AC854">
        <v>8</v>
      </c>
      <c r="AD854">
        <v>0</v>
      </c>
      <c r="AE854">
        <v>8</v>
      </c>
      <c r="AF854">
        <v>0</v>
      </c>
      <c r="AG854">
        <f>IF(tbl_HR_Data[[#This Row],[Gender]]="Male",1,0)</f>
        <v>0</v>
      </c>
      <c r="AH854" cm="1">
        <f t="array" ref="AH854">_xlfn.SWITCH(tbl_HR_Data[[#This Row],[BusinessTravel]], "Non-Travel", 0, "Travel_Rarely", 1, "Travel_Frequently", 2)</f>
        <v>1</v>
      </c>
      <c r="AI854" cm="1">
        <f t="array" ref="AI854">_xlfn.SWITCH(tbl_HR_Data[[#This Row],[MaritalStatus]],"Single",0,"Married",1,"Divorced",2)</f>
        <v>1</v>
      </c>
      <c r="AJ854">
        <f>IF(tbl_HR_Data[[#This Row],[OverTime]]=1,1,0)</f>
        <v>0</v>
      </c>
      <c r="AK854">
        <f>IF(tbl_HR_Data[[#This Row],[DistanceFromHome]]&gt;15,1,0)</f>
        <v>0</v>
      </c>
      <c r="AL854">
        <f>IF(tbl_HR_Data[[#This Row],[JobSatisfaction]]&lt;=2,1,0)</f>
        <v>0</v>
      </c>
      <c r="AM854">
        <f>IF(tbl_HR_Data[[#This Row],[MonthlyIncome]]&lt;$AT$2,1,0)</f>
        <v>1</v>
      </c>
      <c r="AN854">
        <f>IF(tbl_HR_Data[[#This Row],[Travel_Code]]=2,1,0)</f>
        <v>0</v>
      </c>
      <c r="AO854">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854" s="15">
        <f>tbl_HR_Data[[#This Row],[Risk_Score_Raw]] / SUM(Logic_Parameters!$B$2:$B$6)</f>
        <v>0.22374939857982484</v>
      </c>
      <c r="AQ854" s="16" t="str" cm="1">
        <f t="array" ref="AQ854">_xlfn.IFS(tbl_HR_Data[[#This Row],[Attrition_Risk_Percentage]] &gt;= 0.75, "Critical",tbl_HR_Data[ [#This Row],[Attrition_Risk_Percentage] ]&gt;= 0.5, "High",tbl_HR_Data[[#This Row],[Attrition_Risk_Percentage]] &gt;= 0.25, "Medium",TRUE, "Low")</f>
        <v>Low</v>
      </c>
      <c r="AR854" s="16" cm="1">
        <f t="array" ref="AR854">IFERROR(_xlfn.IFS(tbl_HR_Data[[#This Row],[Risk_Category]]="Critical",tbl_HR_Data[[#This Row],[MonthlyIncome]]*1.5,tbl_HR_Data[[#This Row],[Risk_Category]]="High",tbl_HR_Data[[#This Row],[MonthlyIncome]]*1.5),0)</f>
        <v>0</v>
      </c>
    </row>
    <row r="855" spans="1:44" x14ac:dyDescent="0.35">
      <c r="A855" t="s">
        <v>167</v>
      </c>
      <c r="B855">
        <v>19</v>
      </c>
      <c r="C855" t="s">
        <v>31</v>
      </c>
      <c r="D855">
        <v>645</v>
      </c>
      <c r="E855" t="s">
        <v>38</v>
      </c>
      <c r="F855">
        <v>9</v>
      </c>
      <c r="G855">
        <v>2</v>
      </c>
      <c r="H855" t="s">
        <v>33</v>
      </c>
      <c r="I855">
        <v>3</v>
      </c>
      <c r="J855" t="s">
        <v>39</v>
      </c>
      <c r="K855">
        <v>54</v>
      </c>
      <c r="L855">
        <v>3</v>
      </c>
      <c r="M855">
        <v>1</v>
      </c>
      <c r="N855" t="s">
        <v>40</v>
      </c>
      <c r="O855">
        <v>1</v>
      </c>
      <c r="P855" t="s">
        <v>36</v>
      </c>
      <c r="Q855">
        <v>2552</v>
      </c>
      <c r="R855">
        <v>7172</v>
      </c>
      <c r="S855">
        <v>1</v>
      </c>
      <c r="T855">
        <v>0</v>
      </c>
      <c r="U855" s="17">
        <v>0.25</v>
      </c>
      <c r="V855">
        <v>4</v>
      </c>
      <c r="W855">
        <v>3</v>
      </c>
      <c r="X855">
        <v>0</v>
      </c>
      <c r="Y855">
        <v>1</v>
      </c>
      <c r="Z855">
        <v>4</v>
      </c>
      <c r="AA855">
        <v>3</v>
      </c>
      <c r="AB855">
        <v>1</v>
      </c>
      <c r="AC855">
        <v>1</v>
      </c>
      <c r="AD855">
        <v>0</v>
      </c>
      <c r="AE855">
        <v>0</v>
      </c>
      <c r="AF855">
        <v>0</v>
      </c>
      <c r="AG855">
        <f>IF(tbl_HR_Data[[#This Row],[Gender]]="Male",1,0)</f>
        <v>1</v>
      </c>
      <c r="AH855" cm="1">
        <f t="array" ref="AH855">_xlfn.SWITCH(tbl_HR_Data[[#This Row],[BusinessTravel]], "Non-Travel", 0, "Travel_Rarely", 1, "Travel_Frequently", 2)</f>
        <v>1</v>
      </c>
      <c r="AI855" cm="1">
        <f t="array" ref="AI855">_xlfn.SWITCH(tbl_HR_Data[[#This Row],[MaritalStatus]],"Single",0,"Married",1,"Divorced",2)</f>
        <v>0</v>
      </c>
      <c r="AJ855">
        <f>IF(tbl_HR_Data[[#This Row],[OverTime]]=1,1,0)</f>
        <v>0</v>
      </c>
      <c r="AK855">
        <f>IF(tbl_HR_Data[[#This Row],[DistanceFromHome]]&gt;15,1,0)</f>
        <v>0</v>
      </c>
      <c r="AL855">
        <f>IF(tbl_HR_Data[[#This Row],[JobSatisfaction]]&lt;=2,1,0)</f>
        <v>1</v>
      </c>
      <c r="AM855">
        <f>IF(tbl_HR_Data[[#This Row],[MonthlyIncome]]&lt;$AT$2,1,0)</f>
        <v>1</v>
      </c>
      <c r="AN855">
        <f>IF(tbl_HR_Data[[#This Row],[Travel_Code]]=2,1,0)</f>
        <v>0</v>
      </c>
      <c r="AO855">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855" s="15">
        <f>tbl_HR_Data[[#This Row],[Risk_Score_Raw]] / SUM(Logic_Parameters!$B$2:$B$6)</f>
        <v>0.3686061316669938</v>
      </c>
      <c r="AQ855" s="16" t="str" cm="1">
        <f t="array" ref="AQ855">_xlfn.IFS(tbl_HR_Data[[#This Row],[Attrition_Risk_Percentage]] &gt;= 0.75, "Critical",tbl_HR_Data[ [#This Row],[Attrition_Risk_Percentage] ]&gt;= 0.5, "High",tbl_HR_Data[[#This Row],[Attrition_Risk_Percentage]] &gt;= 0.25, "Medium",TRUE, "Low")</f>
        <v>Medium</v>
      </c>
      <c r="AR855" s="16" cm="1">
        <f t="array" ref="AR855">IFERROR(_xlfn.IFS(tbl_HR_Data[[#This Row],[Risk_Category]]="Critical",tbl_HR_Data[[#This Row],[MonthlyIncome]]*1.5,tbl_HR_Data[[#This Row],[Risk_Category]]="High",tbl_HR_Data[[#This Row],[MonthlyIncome]]*1.5),0)</f>
        <v>0</v>
      </c>
    </row>
    <row r="856" spans="1:44" x14ac:dyDescent="0.35">
      <c r="A856" t="s">
        <v>288</v>
      </c>
      <c r="B856">
        <v>45</v>
      </c>
      <c r="C856" t="s">
        <v>31</v>
      </c>
      <c r="D856">
        <v>1457</v>
      </c>
      <c r="E856" t="s">
        <v>38</v>
      </c>
      <c r="F856">
        <v>7</v>
      </c>
      <c r="G856">
        <v>3</v>
      </c>
      <c r="H856" t="s">
        <v>44</v>
      </c>
      <c r="I856">
        <v>1</v>
      </c>
      <c r="J856" t="s">
        <v>34</v>
      </c>
      <c r="K856">
        <v>83</v>
      </c>
      <c r="L856">
        <v>3</v>
      </c>
      <c r="M856">
        <v>1</v>
      </c>
      <c r="N856" t="s">
        <v>40</v>
      </c>
      <c r="O856">
        <v>3</v>
      </c>
      <c r="P856" t="s">
        <v>41</v>
      </c>
      <c r="Q856">
        <v>4477</v>
      </c>
      <c r="R856">
        <v>20100</v>
      </c>
      <c r="S856">
        <v>4</v>
      </c>
      <c r="T856">
        <v>1</v>
      </c>
      <c r="U856" s="17">
        <v>0.19</v>
      </c>
      <c r="V856">
        <v>3</v>
      </c>
      <c r="W856">
        <v>3</v>
      </c>
      <c r="X856">
        <v>1</v>
      </c>
      <c r="Y856">
        <v>7</v>
      </c>
      <c r="Z856">
        <v>2</v>
      </c>
      <c r="AA856">
        <v>2</v>
      </c>
      <c r="AB856">
        <v>3</v>
      </c>
      <c r="AC856">
        <v>2</v>
      </c>
      <c r="AD856">
        <v>0</v>
      </c>
      <c r="AE856">
        <v>2</v>
      </c>
      <c r="AF856">
        <v>0</v>
      </c>
      <c r="AG856">
        <f>IF(tbl_HR_Data[[#This Row],[Gender]]="Male",1,0)</f>
        <v>0</v>
      </c>
      <c r="AH856" cm="1">
        <f t="array" ref="AH856">_xlfn.SWITCH(tbl_HR_Data[[#This Row],[BusinessTravel]], "Non-Travel", 0, "Travel_Rarely", 1, "Travel_Frequently", 2)</f>
        <v>1</v>
      </c>
      <c r="AI856" cm="1">
        <f t="array" ref="AI856">_xlfn.SWITCH(tbl_HR_Data[[#This Row],[MaritalStatus]],"Single",0,"Married",1,"Divorced",2)</f>
        <v>1</v>
      </c>
      <c r="AJ856">
        <f>IF(tbl_HR_Data[[#This Row],[OverTime]]=1,1,0)</f>
        <v>1</v>
      </c>
      <c r="AK856">
        <f>IF(tbl_HR_Data[[#This Row],[DistanceFromHome]]&gt;15,1,0)</f>
        <v>0</v>
      </c>
      <c r="AL856">
        <f>IF(tbl_HR_Data[[#This Row],[JobSatisfaction]]&lt;=2,1,0)</f>
        <v>0</v>
      </c>
      <c r="AM856">
        <f>IF(tbl_HR_Data[[#This Row],[MonthlyIncome]]&lt;$AT$2,1,0)</f>
        <v>1</v>
      </c>
      <c r="AN856">
        <f>IF(tbl_HR_Data[[#This Row],[Travel_Code]]=2,1,0)</f>
        <v>0</v>
      </c>
      <c r="AO856">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856" s="15">
        <f>tbl_HR_Data[[#This Row],[Risk_Score_Raw]] / SUM(Logic_Parameters!$B$2:$B$6)</f>
        <v>0.56827453040563214</v>
      </c>
      <c r="AQ856" s="16" t="str" cm="1">
        <f t="array" ref="AQ856">_xlfn.IFS(tbl_HR_Data[[#This Row],[Attrition_Risk_Percentage]] &gt;= 0.75, "Critical",tbl_HR_Data[ [#This Row],[Attrition_Risk_Percentage] ]&gt;= 0.5, "High",tbl_HR_Data[[#This Row],[Attrition_Risk_Percentage]] &gt;= 0.25, "Medium",TRUE, "Low")</f>
        <v>High</v>
      </c>
      <c r="AR856" s="16" cm="1">
        <f t="array" ref="AR856">IFERROR(_xlfn.IFS(tbl_HR_Data[[#This Row],[Risk_Category]]="Critical",tbl_HR_Data[[#This Row],[MonthlyIncome]]*1.5,tbl_HR_Data[[#This Row],[Risk_Category]]="High",tbl_HR_Data[[#This Row],[MonthlyIncome]]*1.5),0)</f>
        <v>6715.5</v>
      </c>
    </row>
    <row r="857" spans="1:44" x14ac:dyDescent="0.35">
      <c r="A857" t="s">
        <v>1174</v>
      </c>
      <c r="B857">
        <v>37</v>
      </c>
      <c r="C857" t="s">
        <v>31</v>
      </c>
      <c r="D857">
        <v>977</v>
      </c>
      <c r="E857" t="s">
        <v>38</v>
      </c>
      <c r="F857">
        <v>1</v>
      </c>
      <c r="G857">
        <v>3</v>
      </c>
      <c r="H857" t="s">
        <v>33</v>
      </c>
      <c r="I857">
        <v>4</v>
      </c>
      <c r="J857" t="s">
        <v>34</v>
      </c>
      <c r="K857">
        <v>56</v>
      </c>
      <c r="L857">
        <v>2</v>
      </c>
      <c r="M857">
        <v>2</v>
      </c>
      <c r="N857" t="s">
        <v>46</v>
      </c>
      <c r="O857">
        <v>4</v>
      </c>
      <c r="P857" t="s">
        <v>41</v>
      </c>
      <c r="Q857">
        <v>6474</v>
      </c>
      <c r="R857">
        <v>9961</v>
      </c>
      <c r="S857">
        <v>1</v>
      </c>
      <c r="T857">
        <v>0</v>
      </c>
      <c r="U857" s="17">
        <v>0.13</v>
      </c>
      <c r="V857">
        <v>3</v>
      </c>
      <c r="W857">
        <v>2</v>
      </c>
      <c r="X857">
        <v>1</v>
      </c>
      <c r="Y857">
        <v>14</v>
      </c>
      <c r="Z857">
        <v>2</v>
      </c>
      <c r="AA857">
        <v>2</v>
      </c>
      <c r="AB857">
        <v>14</v>
      </c>
      <c r="AC857">
        <v>8</v>
      </c>
      <c r="AD857">
        <v>3</v>
      </c>
      <c r="AE857">
        <v>11</v>
      </c>
      <c r="AF857">
        <v>0</v>
      </c>
      <c r="AG857">
        <f>IF(tbl_HR_Data[[#This Row],[Gender]]="Male",1,0)</f>
        <v>0</v>
      </c>
      <c r="AH857" cm="1">
        <f t="array" ref="AH857">_xlfn.SWITCH(tbl_HR_Data[[#This Row],[BusinessTravel]], "Non-Travel", 0, "Travel_Rarely", 1, "Travel_Frequently", 2)</f>
        <v>1</v>
      </c>
      <c r="AI857" cm="1">
        <f t="array" ref="AI857">_xlfn.SWITCH(tbl_HR_Data[[#This Row],[MaritalStatus]],"Single",0,"Married",1,"Divorced",2)</f>
        <v>1</v>
      </c>
      <c r="AJ857">
        <f>IF(tbl_HR_Data[[#This Row],[OverTime]]=1,1,0)</f>
        <v>0</v>
      </c>
      <c r="AK857">
        <f>IF(tbl_HR_Data[[#This Row],[DistanceFromHome]]&gt;15,1,0)</f>
        <v>0</v>
      </c>
      <c r="AL857">
        <f>IF(tbl_HR_Data[[#This Row],[JobSatisfaction]]&lt;=2,1,0)</f>
        <v>0</v>
      </c>
      <c r="AM857">
        <f>IF(tbl_HR_Data[[#This Row],[MonthlyIncome]]&lt;$AT$2,1,0)</f>
        <v>0</v>
      </c>
      <c r="AN857">
        <f>IF(tbl_HR_Data[[#This Row],[Travel_Code]]=2,1,0)</f>
        <v>0</v>
      </c>
      <c r="AO857">
        <f>(tbl_HR_Data[[#This Row],[Flag_OT]] * Logic_Parameters!$B$2) +
 (tbl_HR_Data[[#This Row],[Flag_Travel]] * Logic_Parameters!$B$3) +
 (tbl_HR_Data[[#This Row],[Flag_Satisfaction]] * Logic_Parameters!$B$4) +
 (tbl_HR_Data[[#This Row],[Flag_Distance]]* Logic_Parameters!$B$5) +
 (tbl_HR_Data[[#This Row],[Flag_Income]] * Logic_Parameters!$B$6)</f>
        <v>0</v>
      </c>
      <c r="AP857" s="15">
        <f>tbl_HR_Data[[#This Row],[Risk_Score_Raw]] / SUM(Logic_Parameters!$B$2:$B$6)</f>
        <v>0</v>
      </c>
      <c r="AQ857" s="16" t="str" cm="1">
        <f t="array" ref="AQ857">_xlfn.IFS(tbl_HR_Data[[#This Row],[Attrition_Risk_Percentage]] &gt;= 0.75, "Critical",tbl_HR_Data[ [#This Row],[Attrition_Risk_Percentage] ]&gt;= 0.5, "High",tbl_HR_Data[[#This Row],[Attrition_Risk_Percentage]] &gt;= 0.25, "Medium",TRUE, "Low")</f>
        <v>Low</v>
      </c>
      <c r="AR857" s="16" cm="1">
        <f t="array" ref="AR857">IFERROR(_xlfn.IFS(tbl_HR_Data[[#This Row],[Risk_Category]]="Critical",tbl_HR_Data[[#This Row],[MonthlyIncome]]*1.5,tbl_HR_Data[[#This Row],[Risk_Category]]="High",tbl_HR_Data[[#This Row],[MonthlyIncome]]*1.5),0)</f>
        <v>0</v>
      </c>
    </row>
    <row r="858" spans="1:44" x14ac:dyDescent="0.35">
      <c r="A858" t="s">
        <v>1227</v>
      </c>
      <c r="B858">
        <v>20</v>
      </c>
      <c r="C858" t="s">
        <v>31</v>
      </c>
      <c r="D858">
        <v>805</v>
      </c>
      <c r="E858" t="s">
        <v>38</v>
      </c>
      <c r="F858">
        <v>3</v>
      </c>
      <c r="G858">
        <v>3</v>
      </c>
      <c r="H858" t="s">
        <v>33</v>
      </c>
      <c r="I858">
        <v>1</v>
      </c>
      <c r="J858" t="s">
        <v>39</v>
      </c>
      <c r="K858">
        <v>87</v>
      </c>
      <c r="L858">
        <v>2</v>
      </c>
      <c r="M858">
        <v>1</v>
      </c>
      <c r="N858" t="s">
        <v>43</v>
      </c>
      <c r="O858">
        <v>3</v>
      </c>
      <c r="P858" t="s">
        <v>36</v>
      </c>
      <c r="Q858">
        <v>3033</v>
      </c>
      <c r="R858">
        <v>12828</v>
      </c>
      <c r="S858">
        <v>1</v>
      </c>
      <c r="T858">
        <v>0</v>
      </c>
      <c r="U858" s="17">
        <v>0.12</v>
      </c>
      <c r="V858">
        <v>3</v>
      </c>
      <c r="W858">
        <v>1</v>
      </c>
      <c r="X858">
        <v>0</v>
      </c>
      <c r="Y858">
        <v>2</v>
      </c>
      <c r="Z858">
        <v>2</v>
      </c>
      <c r="AA858">
        <v>2</v>
      </c>
      <c r="AB858">
        <v>2</v>
      </c>
      <c r="AC858">
        <v>2</v>
      </c>
      <c r="AD858">
        <v>1</v>
      </c>
      <c r="AE858">
        <v>2</v>
      </c>
      <c r="AF858">
        <v>0</v>
      </c>
      <c r="AG858">
        <f>IF(tbl_HR_Data[[#This Row],[Gender]]="Male",1,0)</f>
        <v>1</v>
      </c>
      <c r="AH858" cm="1">
        <f t="array" ref="AH858">_xlfn.SWITCH(tbl_HR_Data[[#This Row],[BusinessTravel]], "Non-Travel", 0, "Travel_Rarely", 1, "Travel_Frequently", 2)</f>
        <v>1</v>
      </c>
      <c r="AI858" cm="1">
        <f t="array" ref="AI858">_xlfn.SWITCH(tbl_HR_Data[[#This Row],[MaritalStatus]],"Single",0,"Married",1,"Divorced",2)</f>
        <v>0</v>
      </c>
      <c r="AJ858">
        <f>IF(tbl_HR_Data[[#This Row],[OverTime]]=1,1,0)</f>
        <v>0</v>
      </c>
      <c r="AK858">
        <f>IF(tbl_HR_Data[[#This Row],[DistanceFromHome]]&gt;15,1,0)</f>
        <v>0</v>
      </c>
      <c r="AL858">
        <f>IF(tbl_HR_Data[[#This Row],[JobSatisfaction]]&lt;=2,1,0)</f>
        <v>0</v>
      </c>
      <c r="AM858">
        <f>IF(tbl_HR_Data[[#This Row],[MonthlyIncome]]&lt;$AT$2,1,0)</f>
        <v>1</v>
      </c>
      <c r="AN858">
        <f>IF(tbl_HR_Data[[#This Row],[Travel_Code]]=2,1,0)</f>
        <v>0</v>
      </c>
      <c r="AO858">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858" s="15">
        <f>tbl_HR_Data[[#This Row],[Risk_Score_Raw]] / SUM(Logic_Parameters!$B$2:$B$6)</f>
        <v>0.22374939857982484</v>
      </c>
      <c r="AQ858" s="16" t="str" cm="1">
        <f t="array" ref="AQ858">_xlfn.IFS(tbl_HR_Data[[#This Row],[Attrition_Risk_Percentage]] &gt;= 0.75, "Critical",tbl_HR_Data[ [#This Row],[Attrition_Risk_Percentage] ]&gt;= 0.5, "High",tbl_HR_Data[[#This Row],[Attrition_Risk_Percentage]] &gt;= 0.25, "Medium",TRUE, "Low")</f>
        <v>Low</v>
      </c>
      <c r="AR858" s="16" cm="1">
        <f t="array" ref="AR858">IFERROR(_xlfn.IFS(tbl_HR_Data[[#This Row],[Risk_Category]]="Critical",tbl_HR_Data[[#This Row],[MonthlyIncome]]*1.5,tbl_HR_Data[[#This Row],[Risk_Category]]="High",tbl_HR_Data[[#This Row],[MonthlyIncome]]*1.5),0)</f>
        <v>0</v>
      </c>
    </row>
    <row r="859" spans="1:44" x14ac:dyDescent="0.35">
      <c r="A859" t="s">
        <v>256</v>
      </c>
      <c r="B859">
        <v>44</v>
      </c>
      <c r="C859" t="s">
        <v>31</v>
      </c>
      <c r="D859">
        <v>1097</v>
      </c>
      <c r="E859" t="s">
        <v>38</v>
      </c>
      <c r="F859">
        <v>10</v>
      </c>
      <c r="G859">
        <v>4</v>
      </c>
      <c r="H859" t="s">
        <v>33</v>
      </c>
      <c r="I859">
        <v>3</v>
      </c>
      <c r="J859" t="s">
        <v>39</v>
      </c>
      <c r="K859">
        <v>96</v>
      </c>
      <c r="L859">
        <v>3</v>
      </c>
      <c r="M859">
        <v>1</v>
      </c>
      <c r="N859" t="s">
        <v>40</v>
      </c>
      <c r="O859">
        <v>3</v>
      </c>
      <c r="P859" t="s">
        <v>36</v>
      </c>
      <c r="Q859">
        <v>2936</v>
      </c>
      <c r="R859">
        <v>10826</v>
      </c>
      <c r="S859">
        <v>1</v>
      </c>
      <c r="T859">
        <v>1</v>
      </c>
      <c r="U859" s="17">
        <v>0.11</v>
      </c>
      <c r="V859">
        <v>3</v>
      </c>
      <c r="W859">
        <v>3</v>
      </c>
      <c r="X859">
        <v>0</v>
      </c>
      <c r="Y859">
        <v>6</v>
      </c>
      <c r="Z859">
        <v>4</v>
      </c>
      <c r="AA859">
        <v>3</v>
      </c>
      <c r="AB859">
        <v>6</v>
      </c>
      <c r="AC859">
        <v>4</v>
      </c>
      <c r="AD859">
        <v>0</v>
      </c>
      <c r="AE859">
        <v>2</v>
      </c>
      <c r="AF859">
        <v>1</v>
      </c>
      <c r="AG859">
        <f>IF(tbl_HR_Data[[#This Row],[Gender]]="Male",1,0)</f>
        <v>1</v>
      </c>
      <c r="AH859" cm="1">
        <f t="array" ref="AH859">_xlfn.SWITCH(tbl_HR_Data[[#This Row],[BusinessTravel]], "Non-Travel", 0, "Travel_Rarely", 1, "Travel_Frequently", 2)</f>
        <v>1</v>
      </c>
      <c r="AI859" cm="1">
        <f t="array" ref="AI859">_xlfn.SWITCH(tbl_HR_Data[[#This Row],[MaritalStatus]],"Single",0,"Married",1,"Divorced",2)</f>
        <v>0</v>
      </c>
      <c r="AJ859">
        <f>IF(tbl_HR_Data[[#This Row],[OverTime]]=1,1,0)</f>
        <v>1</v>
      </c>
      <c r="AK859">
        <f>IF(tbl_HR_Data[[#This Row],[DistanceFromHome]]&gt;15,1,0)</f>
        <v>0</v>
      </c>
      <c r="AL859">
        <f>IF(tbl_HR_Data[[#This Row],[JobSatisfaction]]&lt;=2,1,0)</f>
        <v>0</v>
      </c>
      <c r="AM859">
        <f>IF(tbl_HR_Data[[#This Row],[MonthlyIncome]]&lt;$AT$2,1,0)</f>
        <v>1</v>
      </c>
      <c r="AN859">
        <f>IF(tbl_HR_Data[[#This Row],[Travel_Code]]=2,1,0)</f>
        <v>0</v>
      </c>
      <c r="AO859">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859" s="15">
        <f>tbl_HR_Data[[#This Row],[Risk_Score_Raw]] / SUM(Logic_Parameters!$B$2:$B$6)</f>
        <v>0.56827453040563214</v>
      </c>
      <c r="AQ859" s="16" t="str" cm="1">
        <f t="array" ref="AQ859">_xlfn.IFS(tbl_HR_Data[[#This Row],[Attrition_Risk_Percentage]] &gt;= 0.75, "Critical",tbl_HR_Data[ [#This Row],[Attrition_Risk_Percentage] ]&gt;= 0.5, "High",tbl_HR_Data[[#This Row],[Attrition_Risk_Percentage]] &gt;= 0.25, "Medium",TRUE, "Low")</f>
        <v>High</v>
      </c>
      <c r="AR859" s="16" cm="1">
        <f t="array" ref="AR859">IFERROR(_xlfn.IFS(tbl_HR_Data[[#This Row],[Risk_Category]]="Critical",tbl_HR_Data[[#This Row],[MonthlyIncome]]*1.5,tbl_HR_Data[[#This Row],[Risk_Category]]="High",tbl_HR_Data[[#This Row],[MonthlyIncome]]*1.5),0)</f>
        <v>4404</v>
      </c>
    </row>
    <row r="860" spans="1:44" x14ac:dyDescent="0.35">
      <c r="A860" t="s">
        <v>117</v>
      </c>
      <c r="B860">
        <v>53</v>
      </c>
      <c r="C860" t="s">
        <v>31</v>
      </c>
      <c r="D860">
        <v>1223</v>
      </c>
      <c r="E860" t="s">
        <v>38</v>
      </c>
      <c r="F860">
        <v>7</v>
      </c>
      <c r="G860">
        <v>2</v>
      </c>
      <c r="H860" t="s">
        <v>44</v>
      </c>
      <c r="I860">
        <v>4</v>
      </c>
      <c r="J860" t="s">
        <v>34</v>
      </c>
      <c r="K860">
        <v>50</v>
      </c>
      <c r="L860">
        <v>3</v>
      </c>
      <c r="M860">
        <v>5</v>
      </c>
      <c r="N860" t="s">
        <v>48</v>
      </c>
      <c r="O860">
        <v>3</v>
      </c>
      <c r="P860" t="s">
        <v>45</v>
      </c>
      <c r="Q860">
        <v>18606</v>
      </c>
      <c r="R860">
        <v>18640</v>
      </c>
      <c r="S860">
        <v>3</v>
      </c>
      <c r="T860">
        <v>0</v>
      </c>
      <c r="U860" s="17">
        <v>0.18</v>
      </c>
      <c r="V860">
        <v>3</v>
      </c>
      <c r="W860">
        <v>2</v>
      </c>
      <c r="X860">
        <v>1</v>
      </c>
      <c r="Y860">
        <v>26</v>
      </c>
      <c r="Z860">
        <v>6</v>
      </c>
      <c r="AA860">
        <v>3</v>
      </c>
      <c r="AB860">
        <v>7</v>
      </c>
      <c r="AC860">
        <v>7</v>
      </c>
      <c r="AD860">
        <v>4</v>
      </c>
      <c r="AE860">
        <v>7</v>
      </c>
      <c r="AF860">
        <v>0</v>
      </c>
      <c r="AG860">
        <f>IF(tbl_HR_Data[[#This Row],[Gender]]="Male",1,0)</f>
        <v>0</v>
      </c>
      <c r="AH860" cm="1">
        <f t="array" ref="AH860">_xlfn.SWITCH(tbl_HR_Data[[#This Row],[BusinessTravel]], "Non-Travel", 0, "Travel_Rarely", 1, "Travel_Frequently", 2)</f>
        <v>1</v>
      </c>
      <c r="AI860" cm="1">
        <f t="array" ref="AI860">_xlfn.SWITCH(tbl_HR_Data[[#This Row],[MaritalStatus]],"Single",0,"Married",1,"Divorced",2)</f>
        <v>2</v>
      </c>
      <c r="AJ860">
        <f>IF(tbl_HR_Data[[#This Row],[OverTime]]=1,1,0)</f>
        <v>0</v>
      </c>
      <c r="AK860">
        <f>IF(tbl_HR_Data[[#This Row],[DistanceFromHome]]&gt;15,1,0)</f>
        <v>0</v>
      </c>
      <c r="AL860">
        <f>IF(tbl_HR_Data[[#This Row],[JobSatisfaction]]&lt;=2,1,0)</f>
        <v>0</v>
      </c>
      <c r="AM860">
        <f>IF(tbl_HR_Data[[#This Row],[MonthlyIncome]]&lt;$AT$2,1,0)</f>
        <v>0</v>
      </c>
      <c r="AN860">
        <f>IF(tbl_HR_Data[[#This Row],[Travel_Code]]=2,1,0)</f>
        <v>0</v>
      </c>
      <c r="AO860">
        <f>(tbl_HR_Data[[#This Row],[Flag_OT]] * Logic_Parameters!$B$2) +
 (tbl_HR_Data[[#This Row],[Flag_Travel]] * Logic_Parameters!$B$3) +
 (tbl_HR_Data[[#This Row],[Flag_Satisfaction]] * Logic_Parameters!$B$4) +
 (tbl_HR_Data[[#This Row],[Flag_Distance]]* Logic_Parameters!$B$5) +
 (tbl_HR_Data[[#This Row],[Flag_Income]] * Logic_Parameters!$B$6)</f>
        <v>0</v>
      </c>
      <c r="AP860" s="15">
        <f>tbl_HR_Data[[#This Row],[Risk_Score_Raw]] / SUM(Logic_Parameters!$B$2:$B$6)</f>
        <v>0</v>
      </c>
      <c r="AQ860" s="16" t="str" cm="1">
        <f t="array" ref="AQ860">_xlfn.IFS(tbl_HR_Data[[#This Row],[Attrition_Risk_Percentage]] &gt;= 0.75, "Critical",tbl_HR_Data[ [#This Row],[Attrition_Risk_Percentage] ]&gt;= 0.5, "High",tbl_HR_Data[[#This Row],[Attrition_Risk_Percentage]] &gt;= 0.25, "Medium",TRUE, "Low")</f>
        <v>Low</v>
      </c>
      <c r="AR860" s="16" cm="1">
        <f t="array" ref="AR860">IFERROR(_xlfn.IFS(tbl_HR_Data[[#This Row],[Risk_Category]]="Critical",tbl_HR_Data[[#This Row],[MonthlyIncome]]*1.5,tbl_HR_Data[[#This Row],[Risk_Category]]="High",tbl_HR_Data[[#This Row],[MonthlyIncome]]*1.5),0)</f>
        <v>0</v>
      </c>
    </row>
    <row r="861" spans="1:44" x14ac:dyDescent="0.35">
      <c r="A861" t="s">
        <v>1040</v>
      </c>
      <c r="B861">
        <v>29</v>
      </c>
      <c r="C861" t="s">
        <v>31</v>
      </c>
      <c r="D861">
        <v>942</v>
      </c>
      <c r="E861" t="s">
        <v>38</v>
      </c>
      <c r="F861">
        <v>15</v>
      </c>
      <c r="G861">
        <v>1</v>
      </c>
      <c r="H861" t="s">
        <v>33</v>
      </c>
      <c r="I861">
        <v>2</v>
      </c>
      <c r="J861" t="s">
        <v>34</v>
      </c>
      <c r="K861">
        <v>69</v>
      </c>
      <c r="L861">
        <v>1</v>
      </c>
      <c r="M861">
        <v>1</v>
      </c>
      <c r="N861" t="s">
        <v>40</v>
      </c>
      <c r="O861">
        <v>4</v>
      </c>
      <c r="P861" t="s">
        <v>41</v>
      </c>
      <c r="Q861">
        <v>2168</v>
      </c>
      <c r="R861">
        <v>26933</v>
      </c>
      <c r="S861">
        <v>0</v>
      </c>
      <c r="T861">
        <v>1</v>
      </c>
      <c r="U861" s="17">
        <v>0.18</v>
      </c>
      <c r="V861">
        <v>3</v>
      </c>
      <c r="W861">
        <v>1</v>
      </c>
      <c r="X861">
        <v>1</v>
      </c>
      <c r="Y861">
        <v>6</v>
      </c>
      <c r="Z861">
        <v>2</v>
      </c>
      <c r="AA861">
        <v>2</v>
      </c>
      <c r="AB861">
        <v>5</v>
      </c>
      <c r="AC861">
        <v>4</v>
      </c>
      <c r="AD861">
        <v>1</v>
      </c>
      <c r="AE861">
        <v>3</v>
      </c>
      <c r="AF861">
        <v>0</v>
      </c>
      <c r="AG861">
        <f>IF(tbl_HR_Data[[#This Row],[Gender]]="Male",1,0)</f>
        <v>0</v>
      </c>
      <c r="AH861" cm="1">
        <f t="array" ref="AH861">_xlfn.SWITCH(tbl_HR_Data[[#This Row],[BusinessTravel]], "Non-Travel", 0, "Travel_Rarely", 1, "Travel_Frequently", 2)</f>
        <v>1</v>
      </c>
      <c r="AI861" cm="1">
        <f t="array" ref="AI861">_xlfn.SWITCH(tbl_HR_Data[[#This Row],[MaritalStatus]],"Single",0,"Married",1,"Divorced",2)</f>
        <v>1</v>
      </c>
      <c r="AJ861">
        <f>IF(tbl_HR_Data[[#This Row],[OverTime]]=1,1,0)</f>
        <v>1</v>
      </c>
      <c r="AK861">
        <f>IF(tbl_HR_Data[[#This Row],[DistanceFromHome]]&gt;15,1,0)</f>
        <v>0</v>
      </c>
      <c r="AL861">
        <f>IF(tbl_HR_Data[[#This Row],[JobSatisfaction]]&lt;=2,1,0)</f>
        <v>0</v>
      </c>
      <c r="AM861">
        <f>IF(tbl_HR_Data[[#This Row],[MonthlyIncome]]&lt;$AT$2,1,0)</f>
        <v>1</v>
      </c>
      <c r="AN861">
        <f>IF(tbl_HR_Data[[#This Row],[Travel_Code]]=2,1,0)</f>
        <v>0</v>
      </c>
      <c r="AO861">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861" s="15">
        <f>tbl_HR_Data[[#This Row],[Risk_Score_Raw]] / SUM(Logic_Parameters!$B$2:$B$6)</f>
        <v>0.56827453040563214</v>
      </c>
      <c r="AQ861" s="16" t="str" cm="1">
        <f t="array" ref="AQ861">_xlfn.IFS(tbl_HR_Data[[#This Row],[Attrition_Risk_Percentage]] &gt;= 0.75, "Critical",tbl_HR_Data[ [#This Row],[Attrition_Risk_Percentage] ]&gt;= 0.5, "High",tbl_HR_Data[[#This Row],[Attrition_Risk_Percentage]] &gt;= 0.25, "Medium",TRUE, "Low")</f>
        <v>High</v>
      </c>
      <c r="AR861" s="16" cm="1">
        <f t="array" ref="AR861">IFERROR(_xlfn.IFS(tbl_HR_Data[[#This Row],[Risk_Category]]="Critical",tbl_HR_Data[[#This Row],[MonthlyIncome]]*1.5,tbl_HR_Data[[#This Row],[Risk_Category]]="High",tbl_HR_Data[[#This Row],[MonthlyIncome]]*1.5),0)</f>
        <v>3252</v>
      </c>
    </row>
    <row r="862" spans="1:44" x14ac:dyDescent="0.35">
      <c r="A862" t="s">
        <v>496</v>
      </c>
      <c r="B862">
        <v>22</v>
      </c>
      <c r="C862" t="s">
        <v>37</v>
      </c>
      <c r="D862">
        <v>1256</v>
      </c>
      <c r="E862" t="s">
        <v>38</v>
      </c>
      <c r="F862">
        <v>3</v>
      </c>
      <c r="G862">
        <v>4</v>
      </c>
      <c r="H862" t="s">
        <v>33</v>
      </c>
      <c r="I862">
        <v>3</v>
      </c>
      <c r="J862" t="s">
        <v>39</v>
      </c>
      <c r="K862">
        <v>48</v>
      </c>
      <c r="L862">
        <v>2</v>
      </c>
      <c r="M862">
        <v>1</v>
      </c>
      <c r="N862" t="s">
        <v>40</v>
      </c>
      <c r="O862">
        <v>4</v>
      </c>
      <c r="P862" t="s">
        <v>41</v>
      </c>
      <c r="Q862">
        <v>2853</v>
      </c>
      <c r="R862">
        <v>4223</v>
      </c>
      <c r="S862">
        <v>0</v>
      </c>
      <c r="T862">
        <v>1</v>
      </c>
      <c r="U862" s="17">
        <v>0.11</v>
      </c>
      <c r="V862">
        <v>3</v>
      </c>
      <c r="W862">
        <v>2</v>
      </c>
      <c r="X862">
        <v>1</v>
      </c>
      <c r="Y862">
        <v>1</v>
      </c>
      <c r="Z862">
        <v>5</v>
      </c>
      <c r="AA862">
        <v>3</v>
      </c>
      <c r="AB862">
        <v>0</v>
      </c>
      <c r="AC862">
        <v>0</v>
      </c>
      <c r="AD862">
        <v>0</v>
      </c>
      <c r="AE862">
        <v>0</v>
      </c>
      <c r="AF862">
        <v>1</v>
      </c>
      <c r="AG862">
        <f>IF(tbl_HR_Data[[#This Row],[Gender]]="Male",1,0)</f>
        <v>1</v>
      </c>
      <c r="AH862" cm="1">
        <f t="array" ref="AH862">_xlfn.SWITCH(tbl_HR_Data[[#This Row],[BusinessTravel]], "Non-Travel", 0, "Travel_Rarely", 1, "Travel_Frequently", 2)</f>
        <v>2</v>
      </c>
      <c r="AI862" cm="1">
        <f t="array" ref="AI862">_xlfn.SWITCH(tbl_HR_Data[[#This Row],[MaritalStatus]],"Single",0,"Married",1,"Divorced",2)</f>
        <v>1</v>
      </c>
      <c r="AJ862">
        <f>IF(tbl_HR_Data[[#This Row],[OverTime]]=1,1,0)</f>
        <v>1</v>
      </c>
      <c r="AK862">
        <f>IF(tbl_HR_Data[[#This Row],[DistanceFromHome]]&gt;15,1,0)</f>
        <v>0</v>
      </c>
      <c r="AL862">
        <f>IF(tbl_HR_Data[[#This Row],[JobSatisfaction]]&lt;=2,1,0)</f>
        <v>0</v>
      </c>
      <c r="AM862">
        <f>IF(tbl_HR_Data[[#This Row],[MonthlyIncome]]&lt;$AT$2,1,0)</f>
        <v>1</v>
      </c>
      <c r="AN862">
        <f>IF(tbl_HR_Data[[#This Row],[Travel_Code]]=2,1,0)</f>
        <v>1</v>
      </c>
      <c r="AO862">
        <f>(tbl_HR_Data[[#This Row],[Flag_OT]] * Logic_Parameters!$B$2) +
 (tbl_HR_Data[[#This Row],[Flag_Travel]] * Logic_Parameters!$B$3) +
 (tbl_HR_Data[[#This Row],[Flag_Satisfaction]] * Logic_Parameters!$B$4) +
 (tbl_HR_Data[[#This Row],[Flag_Distance]]* Logic_Parameters!$B$5) +
 (tbl_HR_Data[[#This Row],[Flag_Income]] * Logic_Parameters!$B$6)</f>
        <v>21.654818917911005</v>
      </c>
      <c r="AP862" s="15">
        <f>tbl_HR_Data[[#This Row],[Risk_Score_Raw]] / SUM(Logic_Parameters!$B$2:$B$6)</f>
        <v>0.74606293423572745</v>
      </c>
      <c r="AQ862" s="16" t="str" cm="1">
        <f t="array" ref="AQ862">_xlfn.IFS(tbl_HR_Data[[#This Row],[Attrition_Risk_Percentage]] &gt;= 0.75, "Critical",tbl_HR_Data[ [#This Row],[Attrition_Risk_Percentage] ]&gt;= 0.5, "High",tbl_HR_Data[[#This Row],[Attrition_Risk_Percentage]] &gt;= 0.25, "Medium",TRUE, "Low")</f>
        <v>High</v>
      </c>
      <c r="AR862" s="16" cm="1">
        <f t="array" ref="AR862">IFERROR(_xlfn.IFS(tbl_HR_Data[[#This Row],[Risk_Category]]="Critical",tbl_HR_Data[[#This Row],[MonthlyIncome]]*1.5,tbl_HR_Data[[#This Row],[Risk_Category]]="High",tbl_HR_Data[[#This Row],[MonthlyIncome]]*1.5),0)</f>
        <v>4279.5</v>
      </c>
    </row>
    <row r="863" spans="1:44" x14ac:dyDescent="0.35">
      <c r="A863" t="s">
        <v>233</v>
      </c>
      <c r="B863">
        <v>46</v>
      </c>
      <c r="C863" t="s">
        <v>31</v>
      </c>
      <c r="D863">
        <v>1402</v>
      </c>
      <c r="E863" t="s">
        <v>32</v>
      </c>
      <c r="F863">
        <v>2</v>
      </c>
      <c r="G863">
        <v>3</v>
      </c>
      <c r="H863" t="s">
        <v>51</v>
      </c>
      <c r="I863">
        <v>3</v>
      </c>
      <c r="J863" t="s">
        <v>34</v>
      </c>
      <c r="K863">
        <v>69</v>
      </c>
      <c r="L863">
        <v>3</v>
      </c>
      <c r="M863">
        <v>4</v>
      </c>
      <c r="N863" t="s">
        <v>48</v>
      </c>
      <c r="O863">
        <v>1</v>
      </c>
      <c r="P863" t="s">
        <v>41</v>
      </c>
      <c r="Q863">
        <v>17048</v>
      </c>
      <c r="R863">
        <v>24097</v>
      </c>
      <c r="S863">
        <v>8</v>
      </c>
      <c r="T863">
        <v>0</v>
      </c>
      <c r="U863" s="17">
        <v>0.23</v>
      </c>
      <c r="V863">
        <v>4</v>
      </c>
      <c r="W863">
        <v>1</v>
      </c>
      <c r="X863">
        <v>0</v>
      </c>
      <c r="Y863">
        <v>28</v>
      </c>
      <c r="Z863">
        <v>2</v>
      </c>
      <c r="AA863">
        <v>3</v>
      </c>
      <c r="AB863">
        <v>26</v>
      </c>
      <c r="AC863">
        <v>15</v>
      </c>
      <c r="AD863">
        <v>15</v>
      </c>
      <c r="AE863">
        <v>9</v>
      </c>
      <c r="AF863">
        <v>0</v>
      </c>
      <c r="AG863">
        <f>IF(tbl_HR_Data[[#This Row],[Gender]]="Male",1,0)</f>
        <v>0</v>
      </c>
      <c r="AH863" cm="1">
        <f t="array" ref="AH863">_xlfn.SWITCH(tbl_HR_Data[[#This Row],[BusinessTravel]], "Non-Travel", 0, "Travel_Rarely", 1, "Travel_Frequently", 2)</f>
        <v>1</v>
      </c>
      <c r="AI863" cm="1">
        <f t="array" ref="AI863">_xlfn.SWITCH(tbl_HR_Data[[#This Row],[MaritalStatus]],"Single",0,"Married",1,"Divorced",2)</f>
        <v>1</v>
      </c>
      <c r="AJ863">
        <f>IF(tbl_HR_Data[[#This Row],[OverTime]]=1,1,0)</f>
        <v>0</v>
      </c>
      <c r="AK863">
        <f>IF(tbl_HR_Data[[#This Row],[DistanceFromHome]]&gt;15,1,0)</f>
        <v>0</v>
      </c>
      <c r="AL863">
        <f>IF(tbl_HR_Data[[#This Row],[JobSatisfaction]]&lt;=2,1,0)</f>
        <v>1</v>
      </c>
      <c r="AM863">
        <f>IF(tbl_HR_Data[[#This Row],[MonthlyIncome]]&lt;$AT$2,1,0)</f>
        <v>0</v>
      </c>
      <c r="AN863">
        <f>IF(tbl_HR_Data[[#This Row],[Travel_Code]]=2,1,0)</f>
        <v>0</v>
      </c>
      <c r="AO863">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863" s="15">
        <f>tbl_HR_Data[[#This Row],[Risk_Score_Raw]] / SUM(Logic_Parameters!$B$2:$B$6)</f>
        <v>0.14485673308716898</v>
      </c>
      <c r="AQ863" s="16" t="str" cm="1">
        <f t="array" ref="AQ863">_xlfn.IFS(tbl_HR_Data[[#This Row],[Attrition_Risk_Percentage]] &gt;= 0.75, "Critical",tbl_HR_Data[ [#This Row],[Attrition_Risk_Percentage] ]&gt;= 0.5, "High",tbl_HR_Data[[#This Row],[Attrition_Risk_Percentage]] &gt;= 0.25, "Medium",TRUE, "Low")</f>
        <v>Low</v>
      </c>
      <c r="AR863" s="16" cm="1">
        <f t="array" ref="AR863">IFERROR(_xlfn.IFS(tbl_HR_Data[[#This Row],[Risk_Category]]="Critical",tbl_HR_Data[[#This Row],[MonthlyIncome]]*1.5,tbl_HR_Data[[#This Row],[Risk_Category]]="High",tbl_HR_Data[[#This Row],[MonthlyIncome]]*1.5),0)</f>
        <v>0</v>
      </c>
    </row>
    <row r="864" spans="1:44" x14ac:dyDescent="0.35">
      <c r="A864" t="s">
        <v>264</v>
      </c>
      <c r="B864">
        <v>44</v>
      </c>
      <c r="C864" t="s">
        <v>1525</v>
      </c>
      <c r="D864">
        <v>111</v>
      </c>
      <c r="E864" t="s">
        <v>38</v>
      </c>
      <c r="F864">
        <v>17</v>
      </c>
      <c r="G864">
        <v>3</v>
      </c>
      <c r="H864" t="s">
        <v>33</v>
      </c>
      <c r="I864">
        <v>4</v>
      </c>
      <c r="J864" t="s">
        <v>39</v>
      </c>
      <c r="K864">
        <v>74</v>
      </c>
      <c r="L864">
        <v>1</v>
      </c>
      <c r="M864">
        <v>1</v>
      </c>
      <c r="N864" t="s">
        <v>40</v>
      </c>
      <c r="O864">
        <v>3</v>
      </c>
      <c r="P864" t="s">
        <v>36</v>
      </c>
      <c r="Q864">
        <v>2290</v>
      </c>
      <c r="R864">
        <v>4279</v>
      </c>
      <c r="S864">
        <v>2</v>
      </c>
      <c r="T864">
        <v>0</v>
      </c>
      <c r="U864" s="17">
        <v>0.13</v>
      </c>
      <c r="V864">
        <v>3</v>
      </c>
      <c r="W864">
        <v>4</v>
      </c>
      <c r="X864">
        <v>0</v>
      </c>
      <c r="Y864">
        <v>6</v>
      </c>
      <c r="Z864">
        <v>3</v>
      </c>
      <c r="AA864">
        <v>3</v>
      </c>
      <c r="AB864">
        <v>0</v>
      </c>
      <c r="AC864">
        <v>0</v>
      </c>
      <c r="AD864">
        <v>0</v>
      </c>
      <c r="AE864">
        <v>0</v>
      </c>
      <c r="AF864">
        <v>0</v>
      </c>
      <c r="AG864">
        <f>IF(tbl_HR_Data[[#This Row],[Gender]]="Male",1,0)</f>
        <v>1</v>
      </c>
      <c r="AH864" cm="1">
        <f t="array" ref="AH864">_xlfn.SWITCH(tbl_HR_Data[[#This Row],[BusinessTravel]], "Non-Travel", 0, "Travel_Rarely", 1, "Travel_Frequently", 2)</f>
        <v>0</v>
      </c>
      <c r="AI864" cm="1">
        <f t="array" ref="AI864">_xlfn.SWITCH(tbl_HR_Data[[#This Row],[MaritalStatus]],"Single",0,"Married",1,"Divorced",2)</f>
        <v>0</v>
      </c>
      <c r="AJ864">
        <f>IF(tbl_HR_Data[[#This Row],[OverTime]]=1,1,0)</f>
        <v>0</v>
      </c>
      <c r="AK864">
        <f>IF(tbl_HR_Data[[#This Row],[DistanceFromHome]]&gt;15,1,0)</f>
        <v>1</v>
      </c>
      <c r="AL864">
        <f>IF(tbl_HR_Data[[#This Row],[JobSatisfaction]]&lt;=2,1,0)</f>
        <v>0</v>
      </c>
      <c r="AM864">
        <f>IF(tbl_HR_Data[[#This Row],[MonthlyIncome]]&lt;$AT$2,1,0)</f>
        <v>1</v>
      </c>
      <c r="AN864">
        <f>IF(tbl_HR_Data[[#This Row],[Travel_Code]]=2,1,0)</f>
        <v>0</v>
      </c>
      <c r="AO864">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864" s="15">
        <f>tbl_HR_Data[[#This Row],[Risk_Score_Raw]] / SUM(Logic_Parameters!$B$2:$B$6)</f>
        <v>0.33282973125692844</v>
      </c>
      <c r="AQ864" s="16" t="str" cm="1">
        <f t="array" ref="AQ864">_xlfn.IFS(tbl_HR_Data[[#This Row],[Attrition_Risk_Percentage]] &gt;= 0.75, "Critical",tbl_HR_Data[ [#This Row],[Attrition_Risk_Percentage] ]&gt;= 0.5, "High",tbl_HR_Data[[#This Row],[Attrition_Risk_Percentage]] &gt;= 0.25, "Medium",TRUE, "Low")</f>
        <v>Medium</v>
      </c>
      <c r="AR864" s="16" cm="1">
        <f t="array" ref="AR864">IFERROR(_xlfn.IFS(tbl_HR_Data[[#This Row],[Risk_Category]]="Critical",tbl_HR_Data[[#This Row],[MonthlyIncome]]*1.5,tbl_HR_Data[[#This Row],[Risk_Category]]="High",tbl_HR_Data[[#This Row],[MonthlyIncome]]*1.5),0)</f>
        <v>0</v>
      </c>
    </row>
    <row r="865" spans="1:44" x14ac:dyDescent="0.35">
      <c r="A865" t="s">
        <v>668</v>
      </c>
      <c r="B865">
        <v>33</v>
      </c>
      <c r="C865" t="s">
        <v>31</v>
      </c>
      <c r="D865">
        <v>147</v>
      </c>
      <c r="E865" t="s">
        <v>53</v>
      </c>
      <c r="F865">
        <v>2</v>
      </c>
      <c r="G865">
        <v>3</v>
      </c>
      <c r="H865" t="s">
        <v>53</v>
      </c>
      <c r="I865">
        <v>2</v>
      </c>
      <c r="J865" t="s">
        <v>39</v>
      </c>
      <c r="K865">
        <v>99</v>
      </c>
      <c r="L865">
        <v>3</v>
      </c>
      <c r="M865">
        <v>1</v>
      </c>
      <c r="N865" t="s">
        <v>53</v>
      </c>
      <c r="O865">
        <v>3</v>
      </c>
      <c r="P865" t="s">
        <v>41</v>
      </c>
      <c r="Q865">
        <v>3600</v>
      </c>
      <c r="R865">
        <v>8429</v>
      </c>
      <c r="S865">
        <v>1</v>
      </c>
      <c r="T865">
        <v>0</v>
      </c>
      <c r="U865" s="17">
        <v>0.13</v>
      </c>
      <c r="V865">
        <v>3</v>
      </c>
      <c r="W865">
        <v>4</v>
      </c>
      <c r="X865">
        <v>1</v>
      </c>
      <c r="Y865">
        <v>5</v>
      </c>
      <c r="Z865">
        <v>2</v>
      </c>
      <c r="AA865">
        <v>3</v>
      </c>
      <c r="AB865">
        <v>5</v>
      </c>
      <c r="AC865">
        <v>4</v>
      </c>
      <c r="AD865">
        <v>1</v>
      </c>
      <c r="AE865">
        <v>4</v>
      </c>
      <c r="AF865">
        <v>0</v>
      </c>
      <c r="AG865">
        <f>IF(tbl_HR_Data[[#This Row],[Gender]]="Male",1,0)</f>
        <v>1</v>
      </c>
      <c r="AH865" cm="1">
        <f t="array" ref="AH865">_xlfn.SWITCH(tbl_HR_Data[[#This Row],[BusinessTravel]], "Non-Travel", 0, "Travel_Rarely", 1, "Travel_Frequently", 2)</f>
        <v>1</v>
      </c>
      <c r="AI865" cm="1">
        <f t="array" ref="AI865">_xlfn.SWITCH(tbl_HR_Data[[#This Row],[MaritalStatus]],"Single",0,"Married",1,"Divorced",2)</f>
        <v>1</v>
      </c>
      <c r="AJ865">
        <f>IF(tbl_HR_Data[[#This Row],[OverTime]]=1,1,0)</f>
        <v>0</v>
      </c>
      <c r="AK865">
        <f>IF(tbl_HR_Data[[#This Row],[DistanceFromHome]]&gt;15,1,0)</f>
        <v>0</v>
      </c>
      <c r="AL865">
        <f>IF(tbl_HR_Data[[#This Row],[JobSatisfaction]]&lt;=2,1,0)</f>
        <v>0</v>
      </c>
      <c r="AM865">
        <f>IF(tbl_HR_Data[[#This Row],[MonthlyIncome]]&lt;$AT$2,1,0)</f>
        <v>1</v>
      </c>
      <c r="AN865">
        <f>IF(tbl_HR_Data[[#This Row],[Travel_Code]]=2,1,0)</f>
        <v>0</v>
      </c>
      <c r="AO865">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865" s="15">
        <f>tbl_HR_Data[[#This Row],[Risk_Score_Raw]] / SUM(Logic_Parameters!$B$2:$B$6)</f>
        <v>0.22374939857982484</v>
      </c>
      <c r="AQ865" s="16" t="str" cm="1">
        <f t="array" ref="AQ865">_xlfn.IFS(tbl_HR_Data[[#This Row],[Attrition_Risk_Percentage]] &gt;= 0.75, "Critical",tbl_HR_Data[ [#This Row],[Attrition_Risk_Percentage] ]&gt;= 0.5, "High",tbl_HR_Data[[#This Row],[Attrition_Risk_Percentage]] &gt;= 0.25, "Medium",TRUE, "Low")</f>
        <v>Low</v>
      </c>
      <c r="AR865" s="16" cm="1">
        <f t="array" ref="AR865">IFERROR(_xlfn.IFS(tbl_HR_Data[[#This Row],[Risk_Category]]="Critical",tbl_HR_Data[[#This Row],[MonthlyIncome]]*1.5,tbl_HR_Data[[#This Row],[Risk_Category]]="High",tbl_HR_Data[[#This Row],[MonthlyIncome]]*1.5),0)</f>
        <v>0</v>
      </c>
    </row>
    <row r="866" spans="1:44" x14ac:dyDescent="0.35">
      <c r="A866" t="s">
        <v>666</v>
      </c>
      <c r="B866">
        <v>41</v>
      </c>
      <c r="C866" t="s">
        <v>1525</v>
      </c>
      <c r="D866">
        <v>906</v>
      </c>
      <c r="E866" t="s">
        <v>38</v>
      </c>
      <c r="F866">
        <v>5</v>
      </c>
      <c r="G866">
        <v>2</v>
      </c>
      <c r="H866" t="s">
        <v>33</v>
      </c>
      <c r="I866">
        <v>1</v>
      </c>
      <c r="J866" t="s">
        <v>39</v>
      </c>
      <c r="K866">
        <v>95</v>
      </c>
      <c r="L866">
        <v>2</v>
      </c>
      <c r="M866">
        <v>1</v>
      </c>
      <c r="N866" t="s">
        <v>40</v>
      </c>
      <c r="O866">
        <v>1</v>
      </c>
      <c r="P866" t="s">
        <v>45</v>
      </c>
      <c r="Q866">
        <v>2107</v>
      </c>
      <c r="R866">
        <v>20293</v>
      </c>
      <c r="S866">
        <v>6</v>
      </c>
      <c r="T866">
        <v>0</v>
      </c>
      <c r="U866" s="17">
        <v>0.17</v>
      </c>
      <c r="V866">
        <v>3</v>
      </c>
      <c r="W866">
        <v>1</v>
      </c>
      <c r="X866">
        <v>1</v>
      </c>
      <c r="Y866">
        <v>5</v>
      </c>
      <c r="Z866">
        <v>2</v>
      </c>
      <c r="AA866">
        <v>1</v>
      </c>
      <c r="AB866">
        <v>1</v>
      </c>
      <c r="AC866">
        <v>0</v>
      </c>
      <c r="AD866">
        <v>0</v>
      </c>
      <c r="AE866">
        <v>0</v>
      </c>
      <c r="AF866">
        <v>1</v>
      </c>
      <c r="AG866">
        <f>IF(tbl_HR_Data[[#This Row],[Gender]]="Male",1,0)</f>
        <v>1</v>
      </c>
      <c r="AH866" cm="1">
        <f t="array" ref="AH866">_xlfn.SWITCH(tbl_HR_Data[[#This Row],[BusinessTravel]], "Non-Travel", 0, "Travel_Rarely", 1, "Travel_Frequently", 2)</f>
        <v>0</v>
      </c>
      <c r="AI866" cm="1">
        <f t="array" ref="AI866">_xlfn.SWITCH(tbl_HR_Data[[#This Row],[MaritalStatus]],"Single",0,"Married",1,"Divorced",2)</f>
        <v>2</v>
      </c>
      <c r="AJ866">
        <f>IF(tbl_HR_Data[[#This Row],[OverTime]]=1,1,0)</f>
        <v>0</v>
      </c>
      <c r="AK866">
        <f>IF(tbl_HR_Data[[#This Row],[DistanceFromHome]]&gt;15,1,0)</f>
        <v>0</v>
      </c>
      <c r="AL866">
        <f>IF(tbl_HR_Data[[#This Row],[JobSatisfaction]]&lt;=2,1,0)</f>
        <v>1</v>
      </c>
      <c r="AM866">
        <f>IF(tbl_HR_Data[[#This Row],[MonthlyIncome]]&lt;$AT$2,1,0)</f>
        <v>1</v>
      </c>
      <c r="AN866">
        <f>IF(tbl_HR_Data[[#This Row],[Travel_Code]]=2,1,0)</f>
        <v>0</v>
      </c>
      <c r="AO866">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866" s="15">
        <f>tbl_HR_Data[[#This Row],[Risk_Score_Raw]] / SUM(Logic_Parameters!$B$2:$B$6)</f>
        <v>0.3686061316669938</v>
      </c>
      <c r="AQ866" s="16" t="str" cm="1">
        <f t="array" ref="AQ866">_xlfn.IFS(tbl_HR_Data[[#This Row],[Attrition_Risk_Percentage]] &gt;= 0.75, "Critical",tbl_HR_Data[ [#This Row],[Attrition_Risk_Percentage] ]&gt;= 0.5, "High",tbl_HR_Data[[#This Row],[Attrition_Risk_Percentage]] &gt;= 0.25, "Medium",TRUE, "Low")</f>
        <v>Medium</v>
      </c>
      <c r="AR866" s="16" cm="1">
        <f t="array" ref="AR866">IFERROR(_xlfn.IFS(tbl_HR_Data[[#This Row],[Risk_Category]]="Critical",tbl_HR_Data[[#This Row],[MonthlyIncome]]*1.5,tbl_HR_Data[[#This Row],[Risk_Category]]="High",tbl_HR_Data[[#This Row],[MonthlyIncome]]*1.5),0)</f>
        <v>0</v>
      </c>
    </row>
    <row r="867" spans="1:44" x14ac:dyDescent="0.35">
      <c r="A867" t="s">
        <v>274</v>
      </c>
      <c r="B867">
        <v>30</v>
      </c>
      <c r="C867" t="s">
        <v>31</v>
      </c>
      <c r="D867">
        <v>1329</v>
      </c>
      <c r="E867" t="s">
        <v>32</v>
      </c>
      <c r="F867">
        <v>29</v>
      </c>
      <c r="G867">
        <v>4</v>
      </c>
      <c r="H867" t="s">
        <v>33</v>
      </c>
      <c r="I867">
        <v>3</v>
      </c>
      <c r="J867" t="s">
        <v>39</v>
      </c>
      <c r="K867">
        <v>61</v>
      </c>
      <c r="L867">
        <v>3</v>
      </c>
      <c r="M867">
        <v>2</v>
      </c>
      <c r="N867" t="s">
        <v>35</v>
      </c>
      <c r="O867">
        <v>1</v>
      </c>
      <c r="P867" t="s">
        <v>45</v>
      </c>
      <c r="Q867">
        <v>4115</v>
      </c>
      <c r="R867">
        <v>13192</v>
      </c>
      <c r="S867">
        <v>8</v>
      </c>
      <c r="T867">
        <v>0</v>
      </c>
      <c r="U867" s="17">
        <v>0.19</v>
      </c>
      <c r="V867">
        <v>3</v>
      </c>
      <c r="W867">
        <v>3</v>
      </c>
      <c r="X867">
        <v>3</v>
      </c>
      <c r="Y867">
        <v>8</v>
      </c>
      <c r="Z867">
        <v>3</v>
      </c>
      <c r="AA867">
        <v>3</v>
      </c>
      <c r="AB867">
        <v>4</v>
      </c>
      <c r="AC867">
        <v>3</v>
      </c>
      <c r="AD867">
        <v>0</v>
      </c>
      <c r="AE867">
        <v>3</v>
      </c>
      <c r="AF867">
        <v>0</v>
      </c>
      <c r="AG867">
        <f>IF(tbl_HR_Data[[#This Row],[Gender]]="Male",1,0)</f>
        <v>1</v>
      </c>
      <c r="AH867" cm="1">
        <f t="array" ref="AH867">_xlfn.SWITCH(tbl_HR_Data[[#This Row],[BusinessTravel]], "Non-Travel", 0, "Travel_Rarely", 1, "Travel_Frequently", 2)</f>
        <v>1</v>
      </c>
      <c r="AI867" cm="1">
        <f t="array" ref="AI867">_xlfn.SWITCH(tbl_HR_Data[[#This Row],[MaritalStatus]],"Single",0,"Married",1,"Divorced",2)</f>
        <v>2</v>
      </c>
      <c r="AJ867">
        <f>IF(tbl_HR_Data[[#This Row],[OverTime]]=1,1,0)</f>
        <v>0</v>
      </c>
      <c r="AK867">
        <f>IF(tbl_HR_Data[[#This Row],[DistanceFromHome]]&gt;15,1,0)</f>
        <v>1</v>
      </c>
      <c r="AL867">
        <f>IF(tbl_HR_Data[[#This Row],[JobSatisfaction]]&lt;=2,1,0)</f>
        <v>1</v>
      </c>
      <c r="AM867">
        <f>IF(tbl_HR_Data[[#This Row],[MonthlyIncome]]&lt;$AT$2,1,0)</f>
        <v>1</v>
      </c>
      <c r="AN867">
        <f>IF(tbl_HR_Data[[#This Row],[Travel_Code]]=2,1,0)</f>
        <v>0</v>
      </c>
      <c r="AO867">
        <f>(tbl_HR_Data[[#This Row],[Flag_OT]] * Logic_Parameters!$B$2) +
 (tbl_HR_Data[[#This Row],[Flag_Travel]] * Logic_Parameters!$B$3) +
 (tbl_HR_Data[[#This Row],[Flag_Satisfaction]] * Logic_Parameters!$B$4) +
 (tbl_HR_Data[[#This Row],[Flag_Distance]]* Logic_Parameters!$B$5) +
 (tbl_HR_Data[[#This Row],[Flag_Income]] * Logic_Parameters!$B$6)</f>
        <v>13.865068763274337</v>
      </c>
      <c r="AP867" s="15">
        <f>tbl_HR_Data[[#This Row],[Risk_Score_Raw]] / SUM(Logic_Parameters!$B$2:$B$6)</f>
        <v>0.47768646434409739</v>
      </c>
      <c r="AQ867" s="16" t="str" cm="1">
        <f t="array" ref="AQ867">_xlfn.IFS(tbl_HR_Data[[#This Row],[Attrition_Risk_Percentage]] &gt;= 0.75, "Critical",tbl_HR_Data[ [#This Row],[Attrition_Risk_Percentage] ]&gt;= 0.5, "High",tbl_HR_Data[[#This Row],[Attrition_Risk_Percentage]] &gt;= 0.25, "Medium",TRUE, "Low")</f>
        <v>Medium</v>
      </c>
      <c r="AR867" s="16" cm="1">
        <f t="array" ref="AR867">IFERROR(_xlfn.IFS(tbl_HR_Data[[#This Row],[Risk_Category]]="Critical",tbl_HR_Data[[#This Row],[MonthlyIncome]]*1.5,tbl_HR_Data[[#This Row],[Risk_Category]]="High",tbl_HR_Data[[#This Row],[MonthlyIncome]]*1.5),0)</f>
        <v>0</v>
      </c>
    </row>
    <row r="868" spans="1:44" x14ac:dyDescent="0.35">
      <c r="A868" t="s">
        <v>480</v>
      </c>
      <c r="B868">
        <v>40</v>
      </c>
      <c r="C868" t="s">
        <v>37</v>
      </c>
      <c r="D868">
        <v>1184</v>
      </c>
      <c r="E868" t="s">
        <v>32</v>
      </c>
      <c r="F868">
        <v>2</v>
      </c>
      <c r="G868">
        <v>4</v>
      </c>
      <c r="H868" t="s">
        <v>44</v>
      </c>
      <c r="I868">
        <v>2</v>
      </c>
      <c r="J868" t="s">
        <v>39</v>
      </c>
      <c r="K868">
        <v>62</v>
      </c>
      <c r="L868">
        <v>3</v>
      </c>
      <c r="M868">
        <v>2</v>
      </c>
      <c r="N868" t="s">
        <v>35</v>
      </c>
      <c r="O868">
        <v>2</v>
      </c>
      <c r="P868" t="s">
        <v>41</v>
      </c>
      <c r="Q868">
        <v>4327</v>
      </c>
      <c r="R868">
        <v>25440</v>
      </c>
      <c r="S868">
        <v>5</v>
      </c>
      <c r="T868">
        <v>0</v>
      </c>
      <c r="U868" s="17">
        <v>0.12</v>
      </c>
      <c r="V868">
        <v>3</v>
      </c>
      <c r="W868">
        <v>4</v>
      </c>
      <c r="X868">
        <v>3</v>
      </c>
      <c r="Y868">
        <v>5</v>
      </c>
      <c r="Z868">
        <v>2</v>
      </c>
      <c r="AA868">
        <v>3</v>
      </c>
      <c r="AB868">
        <v>0</v>
      </c>
      <c r="AC868">
        <v>0</v>
      </c>
      <c r="AD868">
        <v>0</v>
      </c>
      <c r="AE868">
        <v>0</v>
      </c>
      <c r="AF868">
        <v>0</v>
      </c>
      <c r="AG868">
        <f>IF(tbl_HR_Data[[#This Row],[Gender]]="Male",1,0)</f>
        <v>1</v>
      </c>
      <c r="AH868" cm="1">
        <f t="array" ref="AH868">_xlfn.SWITCH(tbl_HR_Data[[#This Row],[BusinessTravel]], "Non-Travel", 0, "Travel_Rarely", 1, "Travel_Frequently", 2)</f>
        <v>2</v>
      </c>
      <c r="AI868" cm="1">
        <f t="array" ref="AI868">_xlfn.SWITCH(tbl_HR_Data[[#This Row],[MaritalStatus]],"Single",0,"Married",1,"Divorced",2)</f>
        <v>1</v>
      </c>
      <c r="AJ868">
        <f>IF(tbl_HR_Data[[#This Row],[OverTime]]=1,1,0)</f>
        <v>0</v>
      </c>
      <c r="AK868">
        <f>IF(tbl_HR_Data[[#This Row],[DistanceFromHome]]&gt;15,1,0)</f>
        <v>0</v>
      </c>
      <c r="AL868">
        <f>IF(tbl_HR_Data[[#This Row],[JobSatisfaction]]&lt;=2,1,0)</f>
        <v>1</v>
      </c>
      <c r="AM868">
        <f>IF(tbl_HR_Data[[#This Row],[MonthlyIncome]]&lt;$AT$2,1,0)</f>
        <v>1</v>
      </c>
      <c r="AN868">
        <f>IF(tbl_HR_Data[[#This Row],[Travel_Code]]=2,1,0)</f>
        <v>1</v>
      </c>
      <c r="AO868">
        <f>(tbl_HR_Data[[#This Row],[Flag_OT]] * Logic_Parameters!$B$2) +
 (tbl_HR_Data[[#This Row],[Flag_Travel]] * Logic_Parameters!$B$3) +
 (tbl_HR_Data[[#This Row],[Flag_Satisfaction]] * Logic_Parameters!$B$4) +
 (tbl_HR_Data[[#This Row],[Flag_Distance]]* Logic_Parameters!$B$5) +
 (tbl_HR_Data[[#This Row],[Flag_Income]] * Logic_Parameters!$B$6)</f>
        <v>15.859352047889136</v>
      </c>
      <c r="AP868" s="15">
        <f>tbl_HR_Data[[#This Row],[Risk_Score_Raw]] / SUM(Logic_Parameters!$B$2:$B$6)</f>
        <v>0.54639453549708916</v>
      </c>
      <c r="AQ868" s="16" t="str" cm="1">
        <f t="array" ref="AQ868">_xlfn.IFS(tbl_HR_Data[[#This Row],[Attrition_Risk_Percentage]] &gt;= 0.75, "Critical",tbl_HR_Data[ [#This Row],[Attrition_Risk_Percentage] ]&gt;= 0.5, "High",tbl_HR_Data[[#This Row],[Attrition_Risk_Percentage]] &gt;= 0.25, "Medium",TRUE, "Low")</f>
        <v>High</v>
      </c>
      <c r="AR868" s="16" cm="1">
        <f t="array" ref="AR868">IFERROR(_xlfn.IFS(tbl_HR_Data[[#This Row],[Risk_Category]]="Critical",tbl_HR_Data[[#This Row],[MonthlyIncome]]*1.5,tbl_HR_Data[[#This Row],[Risk_Category]]="High",tbl_HR_Data[[#This Row],[MonthlyIncome]]*1.5),0)</f>
        <v>6490.5</v>
      </c>
    </row>
    <row r="869" spans="1:44" x14ac:dyDescent="0.35">
      <c r="A869" t="s">
        <v>465</v>
      </c>
      <c r="B869">
        <v>50</v>
      </c>
      <c r="C869" t="s">
        <v>37</v>
      </c>
      <c r="D869">
        <v>1421</v>
      </c>
      <c r="E869" t="s">
        <v>38</v>
      </c>
      <c r="F869">
        <v>2</v>
      </c>
      <c r="G869">
        <v>3</v>
      </c>
      <c r="H869" t="s">
        <v>44</v>
      </c>
      <c r="I869">
        <v>4</v>
      </c>
      <c r="J869" t="s">
        <v>34</v>
      </c>
      <c r="K869">
        <v>30</v>
      </c>
      <c r="L869">
        <v>3</v>
      </c>
      <c r="M869">
        <v>4</v>
      </c>
      <c r="N869" t="s">
        <v>48</v>
      </c>
      <c r="O869">
        <v>1</v>
      </c>
      <c r="P869" t="s">
        <v>41</v>
      </c>
      <c r="Q869">
        <v>17856</v>
      </c>
      <c r="R869">
        <v>9490</v>
      </c>
      <c r="S869">
        <v>2</v>
      </c>
      <c r="T869">
        <v>0</v>
      </c>
      <c r="U869" s="17">
        <v>0.22</v>
      </c>
      <c r="V869">
        <v>4</v>
      </c>
      <c r="W869">
        <v>3</v>
      </c>
      <c r="X869">
        <v>1</v>
      </c>
      <c r="Y869">
        <v>32</v>
      </c>
      <c r="Z869">
        <v>3</v>
      </c>
      <c r="AA869">
        <v>3</v>
      </c>
      <c r="AB869">
        <v>2</v>
      </c>
      <c r="AC869">
        <v>2</v>
      </c>
      <c r="AD869">
        <v>2</v>
      </c>
      <c r="AE869">
        <v>2</v>
      </c>
      <c r="AF869">
        <v>0</v>
      </c>
      <c r="AG869">
        <f>IF(tbl_HR_Data[[#This Row],[Gender]]="Male",1,0)</f>
        <v>0</v>
      </c>
      <c r="AH869" cm="1">
        <f t="array" ref="AH869">_xlfn.SWITCH(tbl_HR_Data[[#This Row],[BusinessTravel]], "Non-Travel", 0, "Travel_Rarely", 1, "Travel_Frequently", 2)</f>
        <v>2</v>
      </c>
      <c r="AI869" cm="1">
        <f t="array" ref="AI869">_xlfn.SWITCH(tbl_HR_Data[[#This Row],[MaritalStatus]],"Single",0,"Married",1,"Divorced",2)</f>
        <v>1</v>
      </c>
      <c r="AJ869">
        <f>IF(tbl_HR_Data[[#This Row],[OverTime]]=1,1,0)</f>
        <v>0</v>
      </c>
      <c r="AK869">
        <f>IF(tbl_HR_Data[[#This Row],[DistanceFromHome]]&gt;15,1,0)</f>
        <v>0</v>
      </c>
      <c r="AL869">
        <f>IF(tbl_HR_Data[[#This Row],[JobSatisfaction]]&lt;=2,1,0)</f>
        <v>1</v>
      </c>
      <c r="AM869">
        <f>IF(tbl_HR_Data[[#This Row],[MonthlyIncome]]&lt;$AT$2,1,0)</f>
        <v>0</v>
      </c>
      <c r="AN869">
        <f>IF(tbl_HR_Data[[#This Row],[Travel_Code]]=2,1,0)</f>
        <v>1</v>
      </c>
      <c r="AO869">
        <f>(tbl_HR_Data[[#This Row],[Flag_OT]] * Logic_Parameters!$B$2) +
 (tbl_HR_Data[[#This Row],[Flag_Travel]] * Logic_Parameters!$B$3) +
 (tbl_HR_Data[[#This Row],[Flag_Satisfaction]] * Logic_Parameters!$B$4) +
 (tbl_HR_Data[[#This Row],[Flag_Distance]]* Logic_Parameters!$B$5) +
 (tbl_HR_Data[[#This Row],[Flag_Income]] * Logic_Parameters!$B$6)</f>
        <v>9.3649231104683075</v>
      </c>
      <c r="AP869" s="15">
        <f>tbl_HR_Data[[#This Row],[Risk_Score_Raw]] / SUM(Logic_Parameters!$B$2:$B$6)</f>
        <v>0.32264513691726432</v>
      </c>
      <c r="AQ869" s="16" t="str" cm="1">
        <f t="array" ref="AQ869">_xlfn.IFS(tbl_HR_Data[[#This Row],[Attrition_Risk_Percentage]] &gt;= 0.75, "Critical",tbl_HR_Data[ [#This Row],[Attrition_Risk_Percentage] ]&gt;= 0.5, "High",tbl_HR_Data[[#This Row],[Attrition_Risk_Percentage]] &gt;= 0.25, "Medium",TRUE, "Low")</f>
        <v>Medium</v>
      </c>
      <c r="AR869" s="16" cm="1">
        <f t="array" ref="AR869">IFERROR(_xlfn.IFS(tbl_HR_Data[[#This Row],[Risk_Category]]="Critical",tbl_HR_Data[[#This Row],[MonthlyIncome]]*1.5,tbl_HR_Data[[#This Row],[Risk_Category]]="High",tbl_HR_Data[[#This Row],[MonthlyIncome]]*1.5),0)</f>
        <v>0</v>
      </c>
    </row>
    <row r="870" spans="1:44" x14ac:dyDescent="0.35">
      <c r="A870" t="s">
        <v>934</v>
      </c>
      <c r="B870">
        <v>28</v>
      </c>
      <c r="C870" t="s">
        <v>31</v>
      </c>
      <c r="D870">
        <v>1179</v>
      </c>
      <c r="E870" t="s">
        <v>38</v>
      </c>
      <c r="F870">
        <v>19</v>
      </c>
      <c r="G870">
        <v>4</v>
      </c>
      <c r="H870" t="s">
        <v>44</v>
      </c>
      <c r="I870">
        <v>4</v>
      </c>
      <c r="J870" t="s">
        <v>39</v>
      </c>
      <c r="K870">
        <v>78</v>
      </c>
      <c r="L870">
        <v>2</v>
      </c>
      <c r="M870">
        <v>1</v>
      </c>
      <c r="N870" t="s">
        <v>43</v>
      </c>
      <c r="O870">
        <v>1</v>
      </c>
      <c r="P870" t="s">
        <v>41</v>
      </c>
      <c r="Q870">
        <v>3196</v>
      </c>
      <c r="R870">
        <v>12449</v>
      </c>
      <c r="S870">
        <v>1</v>
      </c>
      <c r="T870">
        <v>0</v>
      </c>
      <c r="U870" s="17">
        <v>0.12</v>
      </c>
      <c r="V870">
        <v>3</v>
      </c>
      <c r="W870">
        <v>3</v>
      </c>
      <c r="X870">
        <v>3</v>
      </c>
      <c r="Y870">
        <v>6</v>
      </c>
      <c r="Z870">
        <v>2</v>
      </c>
      <c r="AA870">
        <v>3</v>
      </c>
      <c r="AB870">
        <v>6</v>
      </c>
      <c r="AC870">
        <v>5</v>
      </c>
      <c r="AD870">
        <v>3</v>
      </c>
      <c r="AE870">
        <v>3</v>
      </c>
      <c r="AF870">
        <v>0</v>
      </c>
      <c r="AG870">
        <f>IF(tbl_HR_Data[[#This Row],[Gender]]="Male",1,0)</f>
        <v>1</v>
      </c>
      <c r="AH870" cm="1">
        <f t="array" ref="AH870">_xlfn.SWITCH(tbl_HR_Data[[#This Row],[BusinessTravel]], "Non-Travel", 0, "Travel_Rarely", 1, "Travel_Frequently", 2)</f>
        <v>1</v>
      </c>
      <c r="AI870" cm="1">
        <f t="array" ref="AI870">_xlfn.SWITCH(tbl_HR_Data[[#This Row],[MaritalStatus]],"Single",0,"Married",1,"Divorced",2)</f>
        <v>1</v>
      </c>
      <c r="AJ870">
        <f>IF(tbl_HR_Data[[#This Row],[OverTime]]=1,1,0)</f>
        <v>0</v>
      </c>
      <c r="AK870">
        <f>IF(tbl_HR_Data[[#This Row],[DistanceFromHome]]&gt;15,1,0)</f>
        <v>1</v>
      </c>
      <c r="AL870">
        <f>IF(tbl_HR_Data[[#This Row],[JobSatisfaction]]&lt;=2,1,0)</f>
        <v>1</v>
      </c>
      <c r="AM870">
        <f>IF(tbl_HR_Data[[#This Row],[MonthlyIncome]]&lt;$AT$2,1,0)</f>
        <v>1</v>
      </c>
      <c r="AN870">
        <f>IF(tbl_HR_Data[[#This Row],[Travel_Code]]=2,1,0)</f>
        <v>0</v>
      </c>
      <c r="AO870">
        <f>(tbl_HR_Data[[#This Row],[Flag_OT]] * Logic_Parameters!$B$2) +
 (tbl_HR_Data[[#This Row],[Flag_Travel]] * Logic_Parameters!$B$3) +
 (tbl_HR_Data[[#This Row],[Flag_Satisfaction]] * Logic_Parameters!$B$4) +
 (tbl_HR_Data[[#This Row],[Flag_Distance]]* Logic_Parameters!$B$5) +
 (tbl_HR_Data[[#This Row],[Flag_Income]] * Logic_Parameters!$B$6)</f>
        <v>13.865068763274337</v>
      </c>
      <c r="AP870" s="15">
        <f>tbl_HR_Data[[#This Row],[Risk_Score_Raw]] / SUM(Logic_Parameters!$B$2:$B$6)</f>
        <v>0.47768646434409739</v>
      </c>
      <c r="AQ870" s="16" t="str" cm="1">
        <f t="array" ref="AQ870">_xlfn.IFS(tbl_HR_Data[[#This Row],[Attrition_Risk_Percentage]] &gt;= 0.75, "Critical",tbl_HR_Data[ [#This Row],[Attrition_Risk_Percentage] ]&gt;= 0.5, "High",tbl_HR_Data[[#This Row],[Attrition_Risk_Percentage]] &gt;= 0.25, "Medium",TRUE, "Low")</f>
        <v>Medium</v>
      </c>
      <c r="AR870" s="16" cm="1">
        <f t="array" ref="AR870">IFERROR(_xlfn.IFS(tbl_HR_Data[[#This Row],[Risk_Category]]="Critical",tbl_HR_Data[[#This Row],[MonthlyIncome]]*1.5,tbl_HR_Data[[#This Row],[Risk_Category]]="High",tbl_HR_Data[[#This Row],[MonthlyIncome]]*1.5),0)</f>
        <v>0</v>
      </c>
    </row>
    <row r="871" spans="1:44" x14ac:dyDescent="0.35">
      <c r="A871" t="s">
        <v>536</v>
      </c>
      <c r="B871">
        <v>46</v>
      </c>
      <c r="C871" t="s">
        <v>31</v>
      </c>
      <c r="D871">
        <v>1450</v>
      </c>
      <c r="E871" t="s">
        <v>38</v>
      </c>
      <c r="F871">
        <v>15</v>
      </c>
      <c r="G871">
        <v>2</v>
      </c>
      <c r="H871" t="s">
        <v>33</v>
      </c>
      <c r="I871">
        <v>4</v>
      </c>
      <c r="J871" t="s">
        <v>39</v>
      </c>
      <c r="K871">
        <v>52</v>
      </c>
      <c r="L871">
        <v>3</v>
      </c>
      <c r="M871">
        <v>5</v>
      </c>
      <c r="N871" t="s">
        <v>50</v>
      </c>
      <c r="O871">
        <v>2</v>
      </c>
      <c r="P871" t="s">
        <v>41</v>
      </c>
      <c r="Q871">
        <v>19081</v>
      </c>
      <c r="R871">
        <v>10849</v>
      </c>
      <c r="S871">
        <v>5</v>
      </c>
      <c r="T871">
        <v>0</v>
      </c>
      <c r="U871" s="17">
        <v>0.11</v>
      </c>
      <c r="V871">
        <v>3</v>
      </c>
      <c r="W871">
        <v>1</v>
      </c>
      <c r="X871">
        <v>1</v>
      </c>
      <c r="Y871">
        <v>25</v>
      </c>
      <c r="Z871">
        <v>2</v>
      </c>
      <c r="AA871">
        <v>3</v>
      </c>
      <c r="AB871">
        <v>4</v>
      </c>
      <c r="AC871">
        <v>2</v>
      </c>
      <c r="AD871">
        <v>0</v>
      </c>
      <c r="AE871">
        <v>3</v>
      </c>
      <c r="AF871">
        <v>0</v>
      </c>
      <c r="AG871">
        <f>IF(tbl_HR_Data[[#This Row],[Gender]]="Male",1,0)</f>
        <v>1</v>
      </c>
      <c r="AH871" cm="1">
        <f t="array" ref="AH871">_xlfn.SWITCH(tbl_HR_Data[[#This Row],[BusinessTravel]], "Non-Travel", 0, "Travel_Rarely", 1, "Travel_Frequently", 2)</f>
        <v>1</v>
      </c>
      <c r="AI871" cm="1">
        <f t="array" ref="AI871">_xlfn.SWITCH(tbl_HR_Data[[#This Row],[MaritalStatus]],"Single",0,"Married",1,"Divorced",2)</f>
        <v>1</v>
      </c>
      <c r="AJ871">
        <f>IF(tbl_HR_Data[[#This Row],[OverTime]]=1,1,0)</f>
        <v>0</v>
      </c>
      <c r="AK871">
        <f>IF(tbl_HR_Data[[#This Row],[DistanceFromHome]]&gt;15,1,0)</f>
        <v>0</v>
      </c>
      <c r="AL871">
        <f>IF(tbl_HR_Data[[#This Row],[JobSatisfaction]]&lt;=2,1,0)</f>
        <v>1</v>
      </c>
      <c r="AM871">
        <f>IF(tbl_HR_Data[[#This Row],[MonthlyIncome]]&lt;$AT$2,1,0)</f>
        <v>0</v>
      </c>
      <c r="AN871">
        <f>IF(tbl_HR_Data[[#This Row],[Travel_Code]]=2,1,0)</f>
        <v>0</v>
      </c>
      <c r="AO871">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871" s="15">
        <f>tbl_HR_Data[[#This Row],[Risk_Score_Raw]] / SUM(Logic_Parameters!$B$2:$B$6)</f>
        <v>0.14485673308716898</v>
      </c>
      <c r="AQ871" s="16" t="str" cm="1">
        <f t="array" ref="AQ871">_xlfn.IFS(tbl_HR_Data[[#This Row],[Attrition_Risk_Percentage]] &gt;= 0.75, "Critical",tbl_HR_Data[ [#This Row],[Attrition_Risk_Percentage] ]&gt;= 0.5, "High",tbl_HR_Data[[#This Row],[Attrition_Risk_Percentage]] &gt;= 0.25, "Medium",TRUE, "Low")</f>
        <v>Low</v>
      </c>
      <c r="AR871" s="16" cm="1">
        <f t="array" ref="AR871">IFERROR(_xlfn.IFS(tbl_HR_Data[[#This Row],[Risk_Category]]="Critical",tbl_HR_Data[[#This Row],[MonthlyIncome]]*1.5,tbl_HR_Data[[#This Row],[Risk_Category]]="High",tbl_HR_Data[[#This Row],[MonthlyIncome]]*1.5),0)</f>
        <v>0</v>
      </c>
    </row>
    <row r="872" spans="1:44" x14ac:dyDescent="0.35">
      <c r="A872" t="s">
        <v>563</v>
      </c>
      <c r="B872">
        <v>35</v>
      </c>
      <c r="C872" t="s">
        <v>31</v>
      </c>
      <c r="D872">
        <v>1361</v>
      </c>
      <c r="E872" t="s">
        <v>32</v>
      </c>
      <c r="F872">
        <v>17</v>
      </c>
      <c r="G872">
        <v>4</v>
      </c>
      <c r="H872" t="s">
        <v>33</v>
      </c>
      <c r="I872">
        <v>3</v>
      </c>
      <c r="J872" t="s">
        <v>39</v>
      </c>
      <c r="K872">
        <v>94</v>
      </c>
      <c r="L872">
        <v>3</v>
      </c>
      <c r="M872">
        <v>2</v>
      </c>
      <c r="N872" t="s">
        <v>35</v>
      </c>
      <c r="O872">
        <v>1</v>
      </c>
      <c r="P872" t="s">
        <v>41</v>
      </c>
      <c r="Q872">
        <v>8966</v>
      </c>
      <c r="R872">
        <v>21026</v>
      </c>
      <c r="S872">
        <v>3</v>
      </c>
      <c r="T872">
        <v>1</v>
      </c>
      <c r="U872" s="17">
        <v>0.15</v>
      </c>
      <c r="V872">
        <v>3</v>
      </c>
      <c r="W872">
        <v>4</v>
      </c>
      <c r="X872">
        <v>3</v>
      </c>
      <c r="Y872">
        <v>15</v>
      </c>
      <c r="Z872">
        <v>2</v>
      </c>
      <c r="AA872">
        <v>3</v>
      </c>
      <c r="AB872">
        <v>7</v>
      </c>
      <c r="AC872">
        <v>7</v>
      </c>
      <c r="AD872">
        <v>1</v>
      </c>
      <c r="AE872">
        <v>7</v>
      </c>
      <c r="AF872">
        <v>0</v>
      </c>
      <c r="AG872">
        <f>IF(tbl_HR_Data[[#This Row],[Gender]]="Male",1,0)</f>
        <v>1</v>
      </c>
      <c r="AH872" cm="1">
        <f t="array" ref="AH872">_xlfn.SWITCH(tbl_HR_Data[[#This Row],[BusinessTravel]], "Non-Travel", 0, "Travel_Rarely", 1, "Travel_Frequently", 2)</f>
        <v>1</v>
      </c>
      <c r="AI872" cm="1">
        <f t="array" ref="AI872">_xlfn.SWITCH(tbl_HR_Data[[#This Row],[MaritalStatus]],"Single",0,"Married",1,"Divorced",2)</f>
        <v>1</v>
      </c>
      <c r="AJ872">
        <f>IF(tbl_HR_Data[[#This Row],[OverTime]]=1,1,0)</f>
        <v>1</v>
      </c>
      <c r="AK872">
        <f>IF(tbl_HR_Data[[#This Row],[DistanceFromHome]]&gt;15,1,0)</f>
        <v>1</v>
      </c>
      <c r="AL872">
        <f>IF(tbl_HR_Data[[#This Row],[JobSatisfaction]]&lt;=2,1,0)</f>
        <v>1</v>
      </c>
      <c r="AM872">
        <f>IF(tbl_HR_Data[[#This Row],[MonthlyIncome]]&lt;$AT$2,1,0)</f>
        <v>0</v>
      </c>
      <c r="AN872">
        <f>IF(tbl_HR_Data[[#This Row],[Travel_Code]]=2,1,0)</f>
        <v>0</v>
      </c>
      <c r="AO872">
        <f>(tbl_HR_Data[[#This Row],[Flag_OT]] * Logic_Parameters!$B$2) +
 (tbl_HR_Data[[#This Row],[Flag_Travel]] * Logic_Parameters!$B$3) +
 (tbl_HR_Data[[#This Row],[Flag_Satisfaction]] * Logic_Parameters!$B$4) +
 (tbl_HR_Data[[#This Row],[Flag_Distance]]* Logic_Parameters!$B$5) +
 (tbl_HR_Data[[#This Row],[Flag_Income]] * Logic_Parameters!$B$6)</f>
        <v>17.370639825853509</v>
      </c>
      <c r="AP872" s="15">
        <f>tbl_HR_Data[[#This Row],[Risk_Score_Raw]] / SUM(Logic_Parameters!$B$2:$B$6)</f>
        <v>0.59846219759007979</v>
      </c>
      <c r="AQ872" s="16" t="str" cm="1">
        <f t="array" ref="AQ872">_xlfn.IFS(tbl_HR_Data[[#This Row],[Attrition_Risk_Percentage]] &gt;= 0.75, "Critical",tbl_HR_Data[ [#This Row],[Attrition_Risk_Percentage] ]&gt;= 0.5, "High",tbl_HR_Data[[#This Row],[Attrition_Risk_Percentage]] &gt;= 0.25, "Medium",TRUE, "Low")</f>
        <v>High</v>
      </c>
      <c r="AR872" s="16" cm="1">
        <f t="array" ref="AR872">IFERROR(_xlfn.IFS(tbl_HR_Data[[#This Row],[Risk_Category]]="Critical",tbl_HR_Data[[#This Row],[MonthlyIncome]]*1.5,tbl_HR_Data[[#This Row],[Risk_Category]]="High",tbl_HR_Data[[#This Row],[MonthlyIncome]]*1.5),0)</f>
        <v>13449</v>
      </c>
    </row>
    <row r="873" spans="1:44" x14ac:dyDescent="0.35">
      <c r="A873" t="s">
        <v>1490</v>
      </c>
      <c r="B873">
        <v>24</v>
      </c>
      <c r="C873" t="s">
        <v>31</v>
      </c>
      <c r="D873">
        <v>984</v>
      </c>
      <c r="E873" t="s">
        <v>38</v>
      </c>
      <c r="F873">
        <v>17</v>
      </c>
      <c r="G873">
        <v>2</v>
      </c>
      <c r="H873" t="s">
        <v>33</v>
      </c>
      <c r="I873">
        <v>4</v>
      </c>
      <c r="J873" t="s">
        <v>34</v>
      </c>
      <c r="K873">
        <v>97</v>
      </c>
      <c r="L873">
        <v>3</v>
      </c>
      <c r="M873">
        <v>1</v>
      </c>
      <c r="N873" t="s">
        <v>43</v>
      </c>
      <c r="O873">
        <v>2</v>
      </c>
      <c r="P873" t="s">
        <v>41</v>
      </c>
      <c r="Q873">
        <v>2210</v>
      </c>
      <c r="R873">
        <v>3372</v>
      </c>
      <c r="S873">
        <v>1</v>
      </c>
      <c r="T873">
        <v>0</v>
      </c>
      <c r="U873" s="17">
        <v>0.13</v>
      </c>
      <c r="V873">
        <v>3</v>
      </c>
      <c r="W873">
        <v>1</v>
      </c>
      <c r="X873">
        <v>1</v>
      </c>
      <c r="Y873">
        <v>1</v>
      </c>
      <c r="Z873">
        <v>3</v>
      </c>
      <c r="AA873">
        <v>1</v>
      </c>
      <c r="AB873">
        <v>1</v>
      </c>
      <c r="AC873">
        <v>0</v>
      </c>
      <c r="AD873">
        <v>0</v>
      </c>
      <c r="AE873">
        <v>0</v>
      </c>
      <c r="AF873">
        <v>1</v>
      </c>
      <c r="AG873">
        <f>IF(tbl_HR_Data[[#This Row],[Gender]]="Male",1,0)</f>
        <v>0</v>
      </c>
      <c r="AH873" cm="1">
        <f t="array" ref="AH873">_xlfn.SWITCH(tbl_HR_Data[[#This Row],[BusinessTravel]], "Non-Travel", 0, "Travel_Rarely", 1, "Travel_Frequently", 2)</f>
        <v>1</v>
      </c>
      <c r="AI873" cm="1">
        <f t="array" ref="AI873">_xlfn.SWITCH(tbl_HR_Data[[#This Row],[MaritalStatus]],"Single",0,"Married",1,"Divorced",2)</f>
        <v>1</v>
      </c>
      <c r="AJ873">
        <f>IF(tbl_HR_Data[[#This Row],[OverTime]]=1,1,0)</f>
        <v>0</v>
      </c>
      <c r="AK873">
        <f>IF(tbl_HR_Data[[#This Row],[DistanceFromHome]]&gt;15,1,0)</f>
        <v>1</v>
      </c>
      <c r="AL873">
        <f>IF(tbl_HR_Data[[#This Row],[JobSatisfaction]]&lt;=2,1,0)</f>
        <v>1</v>
      </c>
      <c r="AM873">
        <f>IF(tbl_HR_Data[[#This Row],[MonthlyIncome]]&lt;$AT$2,1,0)</f>
        <v>1</v>
      </c>
      <c r="AN873">
        <f>IF(tbl_HR_Data[[#This Row],[Travel_Code]]=2,1,0)</f>
        <v>0</v>
      </c>
      <c r="AO873">
        <f>(tbl_HR_Data[[#This Row],[Flag_OT]] * Logic_Parameters!$B$2) +
 (tbl_HR_Data[[#This Row],[Flag_Travel]] * Logic_Parameters!$B$3) +
 (tbl_HR_Data[[#This Row],[Flag_Satisfaction]] * Logic_Parameters!$B$4) +
 (tbl_HR_Data[[#This Row],[Flag_Distance]]* Logic_Parameters!$B$5) +
 (tbl_HR_Data[[#This Row],[Flag_Income]] * Logic_Parameters!$B$6)</f>
        <v>13.865068763274337</v>
      </c>
      <c r="AP873" s="15">
        <f>tbl_HR_Data[[#This Row],[Risk_Score_Raw]] / SUM(Logic_Parameters!$B$2:$B$6)</f>
        <v>0.47768646434409739</v>
      </c>
      <c r="AQ873" s="16" t="str" cm="1">
        <f t="array" ref="AQ873">_xlfn.IFS(tbl_HR_Data[[#This Row],[Attrition_Risk_Percentage]] &gt;= 0.75, "Critical",tbl_HR_Data[ [#This Row],[Attrition_Risk_Percentage] ]&gt;= 0.5, "High",tbl_HR_Data[[#This Row],[Attrition_Risk_Percentage]] &gt;= 0.25, "Medium",TRUE, "Low")</f>
        <v>Medium</v>
      </c>
      <c r="AR873" s="16" cm="1">
        <f t="array" ref="AR873">IFERROR(_xlfn.IFS(tbl_HR_Data[[#This Row],[Risk_Category]]="Critical",tbl_HR_Data[[#This Row],[MonthlyIncome]]*1.5,tbl_HR_Data[[#This Row],[Risk_Category]]="High",tbl_HR_Data[[#This Row],[MonthlyIncome]]*1.5),0)</f>
        <v>0</v>
      </c>
    </row>
    <row r="874" spans="1:44" x14ac:dyDescent="0.35">
      <c r="A874" t="s">
        <v>1403</v>
      </c>
      <c r="B874">
        <v>33</v>
      </c>
      <c r="C874" t="s">
        <v>37</v>
      </c>
      <c r="D874">
        <v>1146</v>
      </c>
      <c r="E874" t="s">
        <v>32</v>
      </c>
      <c r="F874">
        <v>25</v>
      </c>
      <c r="G874">
        <v>3</v>
      </c>
      <c r="H874" t="s">
        <v>44</v>
      </c>
      <c r="I874">
        <v>2</v>
      </c>
      <c r="J874" t="s">
        <v>34</v>
      </c>
      <c r="K874">
        <v>82</v>
      </c>
      <c r="L874">
        <v>3</v>
      </c>
      <c r="M874">
        <v>2</v>
      </c>
      <c r="N874" t="s">
        <v>35</v>
      </c>
      <c r="O874">
        <v>3</v>
      </c>
      <c r="P874" t="s">
        <v>41</v>
      </c>
      <c r="Q874">
        <v>4539</v>
      </c>
      <c r="R874">
        <v>4905</v>
      </c>
      <c r="S874">
        <v>1</v>
      </c>
      <c r="T874">
        <v>0</v>
      </c>
      <c r="U874" s="17">
        <v>0.12</v>
      </c>
      <c r="V874">
        <v>3</v>
      </c>
      <c r="W874">
        <v>1</v>
      </c>
      <c r="X874">
        <v>1</v>
      </c>
      <c r="Y874">
        <v>10</v>
      </c>
      <c r="Z874">
        <v>3</v>
      </c>
      <c r="AA874">
        <v>2</v>
      </c>
      <c r="AB874">
        <v>10</v>
      </c>
      <c r="AC874">
        <v>7</v>
      </c>
      <c r="AD874">
        <v>0</v>
      </c>
      <c r="AE874">
        <v>1</v>
      </c>
      <c r="AF874">
        <v>0</v>
      </c>
      <c r="AG874">
        <f>IF(tbl_HR_Data[[#This Row],[Gender]]="Male",1,0)</f>
        <v>0</v>
      </c>
      <c r="AH874" cm="1">
        <f t="array" ref="AH874">_xlfn.SWITCH(tbl_HR_Data[[#This Row],[BusinessTravel]], "Non-Travel", 0, "Travel_Rarely", 1, "Travel_Frequently", 2)</f>
        <v>2</v>
      </c>
      <c r="AI874" cm="1">
        <f t="array" ref="AI874">_xlfn.SWITCH(tbl_HR_Data[[#This Row],[MaritalStatus]],"Single",0,"Married",1,"Divorced",2)</f>
        <v>1</v>
      </c>
      <c r="AJ874">
        <f>IF(tbl_HR_Data[[#This Row],[OverTime]]=1,1,0)</f>
        <v>0</v>
      </c>
      <c r="AK874">
        <f>IF(tbl_HR_Data[[#This Row],[DistanceFromHome]]&gt;15,1,0)</f>
        <v>1</v>
      </c>
      <c r="AL874">
        <f>IF(tbl_HR_Data[[#This Row],[JobSatisfaction]]&lt;=2,1,0)</f>
        <v>0</v>
      </c>
      <c r="AM874">
        <f>IF(tbl_HR_Data[[#This Row],[MonthlyIncome]]&lt;$AT$2,1,0)</f>
        <v>1</v>
      </c>
      <c r="AN874">
        <f>IF(tbl_HR_Data[[#This Row],[Travel_Code]]=2,1,0)</f>
        <v>1</v>
      </c>
      <c r="AO874">
        <f>(tbl_HR_Data[[#This Row],[Flag_OT]] * Logic_Parameters!$B$2) +
 (tbl_HR_Data[[#This Row],[Flag_Travel]] * Logic_Parameters!$B$3) +
 (tbl_HR_Data[[#This Row],[Flag_Satisfaction]] * Logic_Parameters!$B$4) +
 (tbl_HR_Data[[#This Row],[Flag_Distance]]* Logic_Parameters!$B$5) +
 (tbl_HR_Data[[#This Row],[Flag_Income]] * Logic_Parameters!$B$6)</f>
        <v>14.820925613786383</v>
      </c>
      <c r="AP874" s="15">
        <f>tbl_HR_Data[[#This Row],[Risk_Score_Raw]] / SUM(Logic_Parameters!$B$2:$B$6)</f>
        <v>0.51061813508702369</v>
      </c>
      <c r="AQ874" s="16" t="str" cm="1">
        <f t="array" ref="AQ874">_xlfn.IFS(tbl_HR_Data[[#This Row],[Attrition_Risk_Percentage]] &gt;= 0.75, "Critical",tbl_HR_Data[ [#This Row],[Attrition_Risk_Percentage] ]&gt;= 0.5, "High",tbl_HR_Data[[#This Row],[Attrition_Risk_Percentage]] &gt;= 0.25, "Medium",TRUE, "Low")</f>
        <v>High</v>
      </c>
      <c r="AR874" s="16" cm="1">
        <f t="array" ref="AR874">IFERROR(_xlfn.IFS(tbl_HR_Data[[#This Row],[Risk_Category]]="Critical",tbl_HR_Data[[#This Row],[MonthlyIncome]]*1.5,tbl_HR_Data[[#This Row],[Risk_Category]]="High",tbl_HR_Data[[#This Row],[MonthlyIncome]]*1.5),0)</f>
        <v>6808.5</v>
      </c>
    </row>
    <row r="875" spans="1:44" x14ac:dyDescent="0.35">
      <c r="A875" t="s">
        <v>706</v>
      </c>
      <c r="B875">
        <v>36</v>
      </c>
      <c r="C875" t="s">
        <v>31</v>
      </c>
      <c r="D875">
        <v>917</v>
      </c>
      <c r="E875" t="s">
        <v>38</v>
      </c>
      <c r="F875">
        <v>6</v>
      </c>
      <c r="G875">
        <v>4</v>
      </c>
      <c r="H875" t="s">
        <v>33</v>
      </c>
      <c r="I875">
        <v>3</v>
      </c>
      <c r="J875" t="s">
        <v>39</v>
      </c>
      <c r="K875">
        <v>60</v>
      </c>
      <c r="L875">
        <v>1</v>
      </c>
      <c r="M875">
        <v>1</v>
      </c>
      <c r="N875" t="s">
        <v>43</v>
      </c>
      <c r="O875">
        <v>3</v>
      </c>
      <c r="P875" t="s">
        <v>45</v>
      </c>
      <c r="Q875">
        <v>2741</v>
      </c>
      <c r="R875">
        <v>6865</v>
      </c>
      <c r="S875">
        <v>1</v>
      </c>
      <c r="T875">
        <v>0</v>
      </c>
      <c r="U875" s="17">
        <v>0.14000000000000001</v>
      </c>
      <c r="V875">
        <v>3</v>
      </c>
      <c r="W875">
        <v>3</v>
      </c>
      <c r="X875">
        <v>1</v>
      </c>
      <c r="Y875">
        <v>7</v>
      </c>
      <c r="Z875">
        <v>4</v>
      </c>
      <c r="AA875">
        <v>3</v>
      </c>
      <c r="AB875">
        <v>7</v>
      </c>
      <c r="AC875">
        <v>7</v>
      </c>
      <c r="AD875">
        <v>1</v>
      </c>
      <c r="AE875">
        <v>7</v>
      </c>
      <c r="AF875">
        <v>0</v>
      </c>
      <c r="AG875">
        <f>IF(tbl_HR_Data[[#This Row],[Gender]]="Male",1,0)</f>
        <v>1</v>
      </c>
      <c r="AH875" cm="1">
        <f t="array" ref="AH875">_xlfn.SWITCH(tbl_HR_Data[[#This Row],[BusinessTravel]], "Non-Travel", 0, "Travel_Rarely", 1, "Travel_Frequently", 2)</f>
        <v>1</v>
      </c>
      <c r="AI875" cm="1">
        <f t="array" ref="AI875">_xlfn.SWITCH(tbl_HR_Data[[#This Row],[MaritalStatus]],"Single",0,"Married",1,"Divorced",2)</f>
        <v>2</v>
      </c>
      <c r="AJ875">
        <f>IF(tbl_HR_Data[[#This Row],[OverTime]]=1,1,0)</f>
        <v>0</v>
      </c>
      <c r="AK875">
        <f>IF(tbl_HR_Data[[#This Row],[DistanceFromHome]]&gt;15,1,0)</f>
        <v>0</v>
      </c>
      <c r="AL875">
        <f>IF(tbl_HR_Data[[#This Row],[JobSatisfaction]]&lt;=2,1,0)</f>
        <v>0</v>
      </c>
      <c r="AM875">
        <f>IF(tbl_HR_Data[[#This Row],[MonthlyIncome]]&lt;$AT$2,1,0)</f>
        <v>1</v>
      </c>
      <c r="AN875">
        <f>IF(tbl_HR_Data[[#This Row],[Travel_Code]]=2,1,0)</f>
        <v>0</v>
      </c>
      <c r="AO875">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875" s="15">
        <f>tbl_HR_Data[[#This Row],[Risk_Score_Raw]] / SUM(Logic_Parameters!$B$2:$B$6)</f>
        <v>0.22374939857982484</v>
      </c>
      <c r="AQ875" s="16" t="str" cm="1">
        <f t="array" ref="AQ875">_xlfn.IFS(tbl_HR_Data[[#This Row],[Attrition_Risk_Percentage]] &gt;= 0.75, "Critical",tbl_HR_Data[ [#This Row],[Attrition_Risk_Percentage] ]&gt;= 0.5, "High",tbl_HR_Data[[#This Row],[Attrition_Risk_Percentage]] &gt;= 0.25, "Medium",TRUE, "Low")</f>
        <v>Low</v>
      </c>
      <c r="AR875" s="16" cm="1">
        <f t="array" ref="AR875">IFERROR(_xlfn.IFS(tbl_HR_Data[[#This Row],[Risk_Category]]="Critical",tbl_HR_Data[[#This Row],[MonthlyIncome]]*1.5,tbl_HR_Data[[#This Row],[Risk_Category]]="High",tbl_HR_Data[[#This Row],[MonthlyIncome]]*1.5),0)</f>
        <v>0</v>
      </c>
    </row>
    <row r="876" spans="1:44" x14ac:dyDescent="0.35">
      <c r="A876" t="s">
        <v>606</v>
      </c>
      <c r="B876">
        <v>30</v>
      </c>
      <c r="C876" t="s">
        <v>31</v>
      </c>
      <c r="D876">
        <v>853</v>
      </c>
      <c r="E876" t="s">
        <v>38</v>
      </c>
      <c r="F876">
        <v>7</v>
      </c>
      <c r="G876">
        <v>4</v>
      </c>
      <c r="H876" t="s">
        <v>33</v>
      </c>
      <c r="I876">
        <v>3</v>
      </c>
      <c r="J876" t="s">
        <v>39</v>
      </c>
      <c r="K876">
        <v>49</v>
      </c>
      <c r="L876">
        <v>3</v>
      </c>
      <c r="M876">
        <v>2</v>
      </c>
      <c r="N876" t="s">
        <v>43</v>
      </c>
      <c r="O876">
        <v>3</v>
      </c>
      <c r="P876" t="s">
        <v>45</v>
      </c>
      <c r="Q876">
        <v>3491</v>
      </c>
      <c r="R876">
        <v>11309</v>
      </c>
      <c r="S876">
        <v>1</v>
      </c>
      <c r="T876">
        <v>0</v>
      </c>
      <c r="U876" s="17">
        <v>0.13</v>
      </c>
      <c r="V876">
        <v>3</v>
      </c>
      <c r="W876">
        <v>1</v>
      </c>
      <c r="X876">
        <v>3</v>
      </c>
      <c r="Y876">
        <v>10</v>
      </c>
      <c r="Z876">
        <v>4</v>
      </c>
      <c r="AA876">
        <v>2</v>
      </c>
      <c r="AB876">
        <v>10</v>
      </c>
      <c r="AC876">
        <v>7</v>
      </c>
      <c r="AD876">
        <v>8</v>
      </c>
      <c r="AE876">
        <v>9</v>
      </c>
      <c r="AF876">
        <v>0</v>
      </c>
      <c r="AG876">
        <f>IF(tbl_HR_Data[[#This Row],[Gender]]="Male",1,0)</f>
        <v>1</v>
      </c>
      <c r="AH876" cm="1">
        <f t="array" ref="AH876">_xlfn.SWITCH(tbl_HR_Data[[#This Row],[BusinessTravel]], "Non-Travel", 0, "Travel_Rarely", 1, "Travel_Frequently", 2)</f>
        <v>1</v>
      </c>
      <c r="AI876" cm="1">
        <f t="array" ref="AI876">_xlfn.SWITCH(tbl_HR_Data[[#This Row],[MaritalStatus]],"Single",0,"Married",1,"Divorced",2)</f>
        <v>2</v>
      </c>
      <c r="AJ876">
        <f>IF(tbl_HR_Data[[#This Row],[OverTime]]=1,1,0)</f>
        <v>0</v>
      </c>
      <c r="AK876">
        <f>IF(tbl_HR_Data[[#This Row],[DistanceFromHome]]&gt;15,1,0)</f>
        <v>0</v>
      </c>
      <c r="AL876">
        <f>IF(tbl_HR_Data[[#This Row],[JobSatisfaction]]&lt;=2,1,0)</f>
        <v>0</v>
      </c>
      <c r="AM876">
        <f>IF(tbl_HR_Data[[#This Row],[MonthlyIncome]]&lt;$AT$2,1,0)</f>
        <v>1</v>
      </c>
      <c r="AN876">
        <f>IF(tbl_HR_Data[[#This Row],[Travel_Code]]=2,1,0)</f>
        <v>0</v>
      </c>
      <c r="AO876">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876" s="15">
        <f>tbl_HR_Data[[#This Row],[Risk_Score_Raw]] / SUM(Logic_Parameters!$B$2:$B$6)</f>
        <v>0.22374939857982484</v>
      </c>
      <c r="AQ876" s="16" t="str" cm="1">
        <f t="array" ref="AQ876">_xlfn.IFS(tbl_HR_Data[[#This Row],[Attrition_Risk_Percentage]] &gt;= 0.75, "Critical",tbl_HR_Data[ [#This Row],[Attrition_Risk_Percentage] ]&gt;= 0.5, "High",tbl_HR_Data[[#This Row],[Attrition_Risk_Percentage]] &gt;= 0.25, "Medium",TRUE, "Low")</f>
        <v>Low</v>
      </c>
      <c r="AR876" s="16" cm="1">
        <f t="array" ref="AR876">IFERROR(_xlfn.IFS(tbl_HR_Data[[#This Row],[Risk_Category]]="Critical",tbl_HR_Data[[#This Row],[MonthlyIncome]]*1.5,tbl_HR_Data[[#This Row],[Risk_Category]]="High",tbl_HR_Data[[#This Row],[MonthlyIncome]]*1.5),0)</f>
        <v>0</v>
      </c>
    </row>
    <row r="877" spans="1:44" x14ac:dyDescent="0.35">
      <c r="A877" t="s">
        <v>1016</v>
      </c>
      <c r="B877">
        <v>44</v>
      </c>
      <c r="C877" t="s">
        <v>31</v>
      </c>
      <c r="D877">
        <v>200</v>
      </c>
      <c r="E877" t="s">
        <v>38</v>
      </c>
      <c r="F877">
        <v>29</v>
      </c>
      <c r="G877">
        <v>4</v>
      </c>
      <c r="H877" t="s">
        <v>42</v>
      </c>
      <c r="I877">
        <v>4</v>
      </c>
      <c r="J877" t="s">
        <v>39</v>
      </c>
      <c r="K877">
        <v>32</v>
      </c>
      <c r="L877">
        <v>3</v>
      </c>
      <c r="M877">
        <v>2</v>
      </c>
      <c r="N877" t="s">
        <v>40</v>
      </c>
      <c r="O877">
        <v>4</v>
      </c>
      <c r="P877" t="s">
        <v>36</v>
      </c>
      <c r="Q877">
        <v>4541</v>
      </c>
      <c r="R877">
        <v>7744</v>
      </c>
      <c r="S877">
        <v>1</v>
      </c>
      <c r="T877">
        <v>0</v>
      </c>
      <c r="U877" s="17">
        <v>0.25</v>
      </c>
      <c r="V877">
        <v>4</v>
      </c>
      <c r="W877">
        <v>2</v>
      </c>
      <c r="X877">
        <v>0</v>
      </c>
      <c r="Y877">
        <v>20</v>
      </c>
      <c r="Z877">
        <v>3</v>
      </c>
      <c r="AA877">
        <v>3</v>
      </c>
      <c r="AB877">
        <v>20</v>
      </c>
      <c r="AC877">
        <v>11</v>
      </c>
      <c r="AD877">
        <v>13</v>
      </c>
      <c r="AE877">
        <v>17</v>
      </c>
      <c r="AF877">
        <v>0</v>
      </c>
      <c r="AG877">
        <f>IF(tbl_HR_Data[[#This Row],[Gender]]="Male",1,0)</f>
        <v>1</v>
      </c>
      <c r="AH877" cm="1">
        <f t="array" ref="AH877">_xlfn.SWITCH(tbl_HR_Data[[#This Row],[BusinessTravel]], "Non-Travel", 0, "Travel_Rarely", 1, "Travel_Frequently", 2)</f>
        <v>1</v>
      </c>
      <c r="AI877" cm="1">
        <f t="array" ref="AI877">_xlfn.SWITCH(tbl_HR_Data[[#This Row],[MaritalStatus]],"Single",0,"Married",1,"Divorced",2)</f>
        <v>0</v>
      </c>
      <c r="AJ877">
        <f>IF(tbl_HR_Data[[#This Row],[OverTime]]=1,1,0)</f>
        <v>0</v>
      </c>
      <c r="AK877">
        <f>IF(tbl_HR_Data[[#This Row],[DistanceFromHome]]&gt;15,1,0)</f>
        <v>1</v>
      </c>
      <c r="AL877">
        <f>IF(tbl_HR_Data[[#This Row],[JobSatisfaction]]&lt;=2,1,0)</f>
        <v>0</v>
      </c>
      <c r="AM877">
        <f>IF(tbl_HR_Data[[#This Row],[MonthlyIncome]]&lt;$AT$2,1,0)</f>
        <v>1</v>
      </c>
      <c r="AN877">
        <f>IF(tbl_HR_Data[[#This Row],[Travel_Code]]=2,1,0)</f>
        <v>0</v>
      </c>
      <c r="AO877">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877" s="15">
        <f>tbl_HR_Data[[#This Row],[Risk_Score_Raw]] / SUM(Logic_Parameters!$B$2:$B$6)</f>
        <v>0.33282973125692844</v>
      </c>
      <c r="AQ877" s="16" t="str" cm="1">
        <f t="array" ref="AQ877">_xlfn.IFS(tbl_HR_Data[[#This Row],[Attrition_Risk_Percentage]] &gt;= 0.75, "Critical",tbl_HR_Data[ [#This Row],[Attrition_Risk_Percentage] ]&gt;= 0.5, "High",tbl_HR_Data[[#This Row],[Attrition_Risk_Percentage]] &gt;= 0.25, "Medium",TRUE, "Low")</f>
        <v>Medium</v>
      </c>
      <c r="AR877" s="16" cm="1">
        <f t="array" ref="AR877">IFERROR(_xlfn.IFS(tbl_HR_Data[[#This Row],[Risk_Category]]="Critical",tbl_HR_Data[[#This Row],[MonthlyIncome]]*1.5,tbl_HR_Data[[#This Row],[Risk_Category]]="High",tbl_HR_Data[[#This Row],[MonthlyIncome]]*1.5),0)</f>
        <v>0</v>
      </c>
    </row>
    <row r="878" spans="1:44" x14ac:dyDescent="0.35">
      <c r="A878" t="s">
        <v>79</v>
      </c>
      <c r="B878">
        <v>20</v>
      </c>
      <c r="C878" t="s">
        <v>31</v>
      </c>
      <c r="D878">
        <v>654</v>
      </c>
      <c r="E878" t="s">
        <v>32</v>
      </c>
      <c r="F878">
        <v>21</v>
      </c>
      <c r="G878">
        <v>3</v>
      </c>
      <c r="H878" t="s">
        <v>51</v>
      </c>
      <c r="I878">
        <v>3</v>
      </c>
      <c r="J878" t="s">
        <v>39</v>
      </c>
      <c r="K878">
        <v>43</v>
      </c>
      <c r="L878">
        <v>4</v>
      </c>
      <c r="M878">
        <v>1</v>
      </c>
      <c r="N878" t="s">
        <v>49</v>
      </c>
      <c r="O878">
        <v>4</v>
      </c>
      <c r="P878" t="s">
        <v>36</v>
      </c>
      <c r="Q878">
        <v>2678</v>
      </c>
      <c r="R878">
        <v>5050</v>
      </c>
      <c r="S878">
        <v>1</v>
      </c>
      <c r="T878">
        <v>0</v>
      </c>
      <c r="U878" s="17">
        <v>0.17</v>
      </c>
      <c r="V878">
        <v>3</v>
      </c>
      <c r="W878">
        <v>4</v>
      </c>
      <c r="X878">
        <v>0</v>
      </c>
      <c r="Y878">
        <v>2</v>
      </c>
      <c r="Z878">
        <v>2</v>
      </c>
      <c r="AA878">
        <v>3</v>
      </c>
      <c r="AB878">
        <v>2</v>
      </c>
      <c r="AC878">
        <v>1</v>
      </c>
      <c r="AD878">
        <v>2</v>
      </c>
      <c r="AE878">
        <v>2</v>
      </c>
      <c r="AF878">
        <v>0</v>
      </c>
      <c r="AG878">
        <f>IF(tbl_HR_Data[[#This Row],[Gender]]="Male",1,0)</f>
        <v>1</v>
      </c>
      <c r="AH878" cm="1">
        <f t="array" ref="AH878">_xlfn.SWITCH(tbl_HR_Data[[#This Row],[BusinessTravel]], "Non-Travel", 0, "Travel_Rarely", 1, "Travel_Frequently", 2)</f>
        <v>1</v>
      </c>
      <c r="AI878" cm="1">
        <f t="array" ref="AI878">_xlfn.SWITCH(tbl_HR_Data[[#This Row],[MaritalStatus]],"Single",0,"Married",1,"Divorced",2)</f>
        <v>0</v>
      </c>
      <c r="AJ878">
        <f>IF(tbl_HR_Data[[#This Row],[OverTime]]=1,1,0)</f>
        <v>0</v>
      </c>
      <c r="AK878">
        <f>IF(tbl_HR_Data[[#This Row],[DistanceFromHome]]&gt;15,1,0)</f>
        <v>1</v>
      </c>
      <c r="AL878">
        <f>IF(tbl_HR_Data[[#This Row],[JobSatisfaction]]&lt;=2,1,0)</f>
        <v>0</v>
      </c>
      <c r="AM878">
        <f>IF(tbl_HR_Data[[#This Row],[MonthlyIncome]]&lt;$AT$2,1,0)</f>
        <v>1</v>
      </c>
      <c r="AN878">
        <f>IF(tbl_HR_Data[[#This Row],[Travel_Code]]=2,1,0)</f>
        <v>0</v>
      </c>
      <c r="AO878">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878" s="15">
        <f>tbl_HR_Data[[#This Row],[Risk_Score_Raw]] / SUM(Logic_Parameters!$B$2:$B$6)</f>
        <v>0.33282973125692844</v>
      </c>
      <c r="AQ878" s="16" t="str" cm="1">
        <f t="array" ref="AQ878">_xlfn.IFS(tbl_HR_Data[[#This Row],[Attrition_Risk_Percentage]] &gt;= 0.75, "Critical",tbl_HR_Data[ [#This Row],[Attrition_Risk_Percentage] ]&gt;= 0.5, "High",tbl_HR_Data[[#This Row],[Attrition_Risk_Percentage]] &gt;= 0.25, "Medium",TRUE, "Low")</f>
        <v>Medium</v>
      </c>
      <c r="AR878" s="16" cm="1">
        <f t="array" ref="AR878">IFERROR(_xlfn.IFS(tbl_HR_Data[[#This Row],[Risk_Category]]="Critical",tbl_HR_Data[[#This Row],[MonthlyIncome]]*1.5,tbl_HR_Data[[#This Row],[Risk_Category]]="High",tbl_HR_Data[[#This Row],[MonthlyIncome]]*1.5),0)</f>
        <v>0</v>
      </c>
    </row>
    <row r="879" spans="1:44" x14ac:dyDescent="0.35">
      <c r="A879" t="s">
        <v>1058</v>
      </c>
      <c r="B879">
        <v>46</v>
      </c>
      <c r="C879" t="s">
        <v>31</v>
      </c>
      <c r="D879">
        <v>150</v>
      </c>
      <c r="E879" t="s">
        <v>38</v>
      </c>
      <c r="F879">
        <v>2</v>
      </c>
      <c r="G879">
        <v>4</v>
      </c>
      <c r="H879" t="s">
        <v>52</v>
      </c>
      <c r="I879">
        <v>4</v>
      </c>
      <c r="J879" t="s">
        <v>39</v>
      </c>
      <c r="K879">
        <v>60</v>
      </c>
      <c r="L879">
        <v>3</v>
      </c>
      <c r="M879">
        <v>2</v>
      </c>
      <c r="N879" t="s">
        <v>46</v>
      </c>
      <c r="O879">
        <v>4</v>
      </c>
      <c r="P879" t="s">
        <v>45</v>
      </c>
      <c r="Q879">
        <v>7379</v>
      </c>
      <c r="R879">
        <v>17433</v>
      </c>
      <c r="S879">
        <v>2</v>
      </c>
      <c r="T879">
        <v>0</v>
      </c>
      <c r="U879" s="17">
        <v>0.11</v>
      </c>
      <c r="V879">
        <v>3</v>
      </c>
      <c r="W879">
        <v>3</v>
      </c>
      <c r="X879">
        <v>1</v>
      </c>
      <c r="Y879">
        <v>12</v>
      </c>
      <c r="Z879">
        <v>3</v>
      </c>
      <c r="AA879">
        <v>2</v>
      </c>
      <c r="AB879">
        <v>6</v>
      </c>
      <c r="AC879">
        <v>3</v>
      </c>
      <c r="AD879">
        <v>1</v>
      </c>
      <c r="AE879">
        <v>4</v>
      </c>
      <c r="AF879">
        <v>0</v>
      </c>
      <c r="AG879">
        <f>IF(tbl_HR_Data[[#This Row],[Gender]]="Male",1,0)</f>
        <v>1</v>
      </c>
      <c r="AH879" cm="1">
        <f t="array" ref="AH879">_xlfn.SWITCH(tbl_HR_Data[[#This Row],[BusinessTravel]], "Non-Travel", 0, "Travel_Rarely", 1, "Travel_Frequently", 2)</f>
        <v>1</v>
      </c>
      <c r="AI879" cm="1">
        <f t="array" ref="AI879">_xlfn.SWITCH(tbl_HR_Data[[#This Row],[MaritalStatus]],"Single",0,"Married",1,"Divorced",2)</f>
        <v>2</v>
      </c>
      <c r="AJ879">
        <f>IF(tbl_HR_Data[[#This Row],[OverTime]]=1,1,0)</f>
        <v>0</v>
      </c>
      <c r="AK879">
        <f>IF(tbl_HR_Data[[#This Row],[DistanceFromHome]]&gt;15,1,0)</f>
        <v>0</v>
      </c>
      <c r="AL879">
        <f>IF(tbl_HR_Data[[#This Row],[JobSatisfaction]]&lt;=2,1,0)</f>
        <v>0</v>
      </c>
      <c r="AM879">
        <f>IF(tbl_HR_Data[[#This Row],[MonthlyIncome]]&lt;$AT$2,1,0)</f>
        <v>0</v>
      </c>
      <c r="AN879">
        <f>IF(tbl_HR_Data[[#This Row],[Travel_Code]]=2,1,0)</f>
        <v>0</v>
      </c>
      <c r="AO879">
        <f>(tbl_HR_Data[[#This Row],[Flag_OT]] * Logic_Parameters!$B$2) +
 (tbl_HR_Data[[#This Row],[Flag_Travel]] * Logic_Parameters!$B$3) +
 (tbl_HR_Data[[#This Row],[Flag_Satisfaction]] * Logic_Parameters!$B$4) +
 (tbl_HR_Data[[#This Row],[Flag_Distance]]* Logic_Parameters!$B$5) +
 (tbl_HR_Data[[#This Row],[Flag_Income]] * Logic_Parameters!$B$6)</f>
        <v>0</v>
      </c>
      <c r="AP879" s="15">
        <f>tbl_HR_Data[[#This Row],[Risk_Score_Raw]] / SUM(Logic_Parameters!$B$2:$B$6)</f>
        <v>0</v>
      </c>
      <c r="AQ879" s="16" t="str" cm="1">
        <f t="array" ref="AQ879">_xlfn.IFS(tbl_HR_Data[[#This Row],[Attrition_Risk_Percentage]] &gt;= 0.75, "Critical",tbl_HR_Data[ [#This Row],[Attrition_Risk_Percentage] ]&gt;= 0.5, "High",tbl_HR_Data[[#This Row],[Attrition_Risk_Percentage]] &gt;= 0.25, "Medium",TRUE, "Low")</f>
        <v>Low</v>
      </c>
      <c r="AR879" s="16" cm="1">
        <f t="array" ref="AR879">IFERROR(_xlfn.IFS(tbl_HR_Data[[#This Row],[Risk_Category]]="Critical",tbl_HR_Data[[#This Row],[MonthlyIncome]]*1.5,tbl_HR_Data[[#This Row],[Risk_Category]]="High",tbl_HR_Data[[#This Row],[MonthlyIncome]]*1.5),0)</f>
        <v>0</v>
      </c>
    </row>
    <row r="880" spans="1:44" x14ac:dyDescent="0.35">
      <c r="A880" t="s">
        <v>1131</v>
      </c>
      <c r="B880">
        <v>42</v>
      </c>
      <c r="C880" t="s">
        <v>1525</v>
      </c>
      <c r="D880">
        <v>179</v>
      </c>
      <c r="E880" t="s">
        <v>53</v>
      </c>
      <c r="F880">
        <v>2</v>
      </c>
      <c r="G880">
        <v>5</v>
      </c>
      <c r="H880" t="s">
        <v>44</v>
      </c>
      <c r="I880">
        <v>4</v>
      </c>
      <c r="J880" t="s">
        <v>39</v>
      </c>
      <c r="K880">
        <v>79</v>
      </c>
      <c r="L880">
        <v>4</v>
      </c>
      <c r="M880">
        <v>2</v>
      </c>
      <c r="N880" t="s">
        <v>53</v>
      </c>
      <c r="O880">
        <v>1</v>
      </c>
      <c r="P880" t="s">
        <v>41</v>
      </c>
      <c r="Q880">
        <v>6272</v>
      </c>
      <c r="R880">
        <v>12858</v>
      </c>
      <c r="S880">
        <v>7</v>
      </c>
      <c r="T880">
        <v>0</v>
      </c>
      <c r="U880" s="17">
        <v>0.16</v>
      </c>
      <c r="V880">
        <v>3</v>
      </c>
      <c r="W880">
        <v>1</v>
      </c>
      <c r="X880">
        <v>1</v>
      </c>
      <c r="Y880">
        <v>10</v>
      </c>
      <c r="Z880">
        <v>3</v>
      </c>
      <c r="AA880">
        <v>4</v>
      </c>
      <c r="AB880">
        <v>4</v>
      </c>
      <c r="AC880">
        <v>3</v>
      </c>
      <c r="AD880">
        <v>0</v>
      </c>
      <c r="AE880">
        <v>3</v>
      </c>
      <c r="AF880">
        <v>0</v>
      </c>
      <c r="AG880">
        <f>IF(tbl_HR_Data[[#This Row],[Gender]]="Male",1,0)</f>
        <v>1</v>
      </c>
      <c r="AH880" cm="1">
        <f t="array" ref="AH880">_xlfn.SWITCH(tbl_HR_Data[[#This Row],[BusinessTravel]], "Non-Travel", 0, "Travel_Rarely", 1, "Travel_Frequently", 2)</f>
        <v>0</v>
      </c>
      <c r="AI880" cm="1">
        <f t="array" ref="AI880">_xlfn.SWITCH(tbl_HR_Data[[#This Row],[MaritalStatus]],"Single",0,"Married",1,"Divorced",2)</f>
        <v>1</v>
      </c>
      <c r="AJ880">
        <f>IF(tbl_HR_Data[[#This Row],[OverTime]]=1,1,0)</f>
        <v>0</v>
      </c>
      <c r="AK880">
        <f>IF(tbl_HR_Data[[#This Row],[DistanceFromHome]]&gt;15,1,0)</f>
        <v>0</v>
      </c>
      <c r="AL880">
        <f>IF(tbl_HR_Data[[#This Row],[JobSatisfaction]]&lt;=2,1,0)</f>
        <v>1</v>
      </c>
      <c r="AM880">
        <f>IF(tbl_HR_Data[[#This Row],[MonthlyIncome]]&lt;$AT$2,1,0)</f>
        <v>0</v>
      </c>
      <c r="AN880">
        <f>IF(tbl_HR_Data[[#This Row],[Travel_Code]]=2,1,0)</f>
        <v>0</v>
      </c>
      <c r="AO880">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880" s="15">
        <f>tbl_HR_Data[[#This Row],[Risk_Score_Raw]] / SUM(Logic_Parameters!$B$2:$B$6)</f>
        <v>0.14485673308716898</v>
      </c>
      <c r="AQ880" s="16" t="str" cm="1">
        <f t="array" ref="AQ880">_xlfn.IFS(tbl_HR_Data[[#This Row],[Attrition_Risk_Percentage]] &gt;= 0.75, "Critical",tbl_HR_Data[ [#This Row],[Attrition_Risk_Percentage] ]&gt;= 0.5, "High",tbl_HR_Data[[#This Row],[Attrition_Risk_Percentage]] &gt;= 0.25, "Medium",TRUE, "Low")</f>
        <v>Low</v>
      </c>
      <c r="AR880" s="16" cm="1">
        <f t="array" ref="AR880">IFERROR(_xlfn.IFS(tbl_HR_Data[[#This Row],[Risk_Category]]="Critical",tbl_HR_Data[[#This Row],[MonthlyIncome]]*1.5,tbl_HR_Data[[#This Row],[Risk_Category]]="High",tbl_HR_Data[[#This Row],[MonthlyIncome]]*1.5),0)</f>
        <v>0</v>
      </c>
    </row>
    <row r="881" spans="1:44" x14ac:dyDescent="0.35">
      <c r="A881" t="s">
        <v>669</v>
      </c>
      <c r="B881">
        <v>60</v>
      </c>
      <c r="C881" t="s">
        <v>31</v>
      </c>
      <c r="D881">
        <v>696</v>
      </c>
      <c r="E881" t="s">
        <v>32</v>
      </c>
      <c r="F881">
        <v>7</v>
      </c>
      <c r="G881">
        <v>4</v>
      </c>
      <c r="H881" t="s">
        <v>51</v>
      </c>
      <c r="I881">
        <v>2</v>
      </c>
      <c r="J881" t="s">
        <v>39</v>
      </c>
      <c r="K881">
        <v>52</v>
      </c>
      <c r="L881">
        <v>4</v>
      </c>
      <c r="M881">
        <v>2</v>
      </c>
      <c r="N881" t="s">
        <v>35</v>
      </c>
      <c r="O881">
        <v>4</v>
      </c>
      <c r="P881" t="s">
        <v>45</v>
      </c>
      <c r="Q881">
        <v>5220</v>
      </c>
      <c r="R881">
        <v>10893</v>
      </c>
      <c r="S881">
        <v>0</v>
      </c>
      <c r="T881">
        <v>1</v>
      </c>
      <c r="U881" s="17">
        <v>0.18</v>
      </c>
      <c r="V881">
        <v>3</v>
      </c>
      <c r="W881">
        <v>2</v>
      </c>
      <c r="X881">
        <v>1</v>
      </c>
      <c r="Y881">
        <v>12</v>
      </c>
      <c r="Z881">
        <v>3</v>
      </c>
      <c r="AA881">
        <v>3</v>
      </c>
      <c r="AB881">
        <v>11</v>
      </c>
      <c r="AC881">
        <v>7</v>
      </c>
      <c r="AD881">
        <v>1</v>
      </c>
      <c r="AE881">
        <v>9</v>
      </c>
      <c r="AF881">
        <v>0</v>
      </c>
      <c r="AG881">
        <f>IF(tbl_HR_Data[[#This Row],[Gender]]="Male",1,0)</f>
        <v>1</v>
      </c>
      <c r="AH881" cm="1">
        <f t="array" ref="AH881">_xlfn.SWITCH(tbl_HR_Data[[#This Row],[BusinessTravel]], "Non-Travel", 0, "Travel_Rarely", 1, "Travel_Frequently", 2)</f>
        <v>1</v>
      </c>
      <c r="AI881" cm="1">
        <f t="array" ref="AI881">_xlfn.SWITCH(tbl_HR_Data[[#This Row],[MaritalStatus]],"Single",0,"Married",1,"Divorced",2)</f>
        <v>2</v>
      </c>
      <c r="AJ881">
        <f>IF(tbl_HR_Data[[#This Row],[OverTime]]=1,1,0)</f>
        <v>1</v>
      </c>
      <c r="AK881">
        <f>IF(tbl_HR_Data[[#This Row],[DistanceFromHome]]&gt;15,1,0)</f>
        <v>0</v>
      </c>
      <c r="AL881">
        <f>IF(tbl_HR_Data[[#This Row],[JobSatisfaction]]&lt;=2,1,0)</f>
        <v>0</v>
      </c>
      <c r="AM881">
        <f>IF(tbl_HR_Data[[#This Row],[MonthlyIncome]]&lt;$AT$2,1,0)</f>
        <v>0</v>
      </c>
      <c r="AN881">
        <f>IF(tbl_HR_Data[[#This Row],[Travel_Code]]=2,1,0)</f>
        <v>0</v>
      </c>
      <c r="AO881">
        <f>(tbl_HR_Data[[#This Row],[Flag_OT]] * Logic_Parameters!$B$2) +
 (tbl_HR_Data[[#This Row],[Flag_Travel]] * Logic_Parameters!$B$3) +
 (tbl_HR_Data[[#This Row],[Flag_Satisfaction]] * Logic_Parameters!$B$4) +
 (tbl_HR_Data[[#This Row],[Flag_Distance]]* Logic_Parameters!$B$5) +
 (tbl_HR_Data[[#This Row],[Flag_Income]] * Logic_Parameters!$B$6)</f>
        <v>10</v>
      </c>
      <c r="AP881" s="15">
        <f>tbl_HR_Data[[#This Row],[Risk_Score_Raw]] / SUM(Logic_Parameters!$B$2:$B$6)</f>
        <v>0.3445251318258073</v>
      </c>
      <c r="AQ881" s="16" t="str" cm="1">
        <f t="array" ref="AQ881">_xlfn.IFS(tbl_HR_Data[[#This Row],[Attrition_Risk_Percentage]] &gt;= 0.75, "Critical",tbl_HR_Data[ [#This Row],[Attrition_Risk_Percentage] ]&gt;= 0.5, "High",tbl_HR_Data[[#This Row],[Attrition_Risk_Percentage]] &gt;= 0.25, "Medium",TRUE, "Low")</f>
        <v>Medium</v>
      </c>
      <c r="AR881" s="16" cm="1">
        <f t="array" ref="AR881">IFERROR(_xlfn.IFS(tbl_HR_Data[[#This Row],[Risk_Category]]="Critical",tbl_HR_Data[[#This Row],[MonthlyIncome]]*1.5,tbl_HR_Data[[#This Row],[Risk_Category]]="High",tbl_HR_Data[[#This Row],[MonthlyIncome]]*1.5),0)</f>
        <v>0</v>
      </c>
    </row>
    <row r="882" spans="1:44" x14ac:dyDescent="0.35">
      <c r="A882" t="s">
        <v>1448</v>
      </c>
      <c r="B882">
        <v>32</v>
      </c>
      <c r="C882" t="s">
        <v>37</v>
      </c>
      <c r="D882">
        <v>116</v>
      </c>
      <c r="E882" t="s">
        <v>38</v>
      </c>
      <c r="F882">
        <v>13</v>
      </c>
      <c r="G882">
        <v>3</v>
      </c>
      <c r="H882" t="s">
        <v>42</v>
      </c>
      <c r="I882">
        <v>3</v>
      </c>
      <c r="J882" t="s">
        <v>34</v>
      </c>
      <c r="K882">
        <v>77</v>
      </c>
      <c r="L882">
        <v>2</v>
      </c>
      <c r="M882">
        <v>1</v>
      </c>
      <c r="N882" t="s">
        <v>43</v>
      </c>
      <c r="O882">
        <v>2</v>
      </c>
      <c r="P882" t="s">
        <v>41</v>
      </c>
      <c r="Q882">
        <v>2743</v>
      </c>
      <c r="R882">
        <v>7331</v>
      </c>
      <c r="S882">
        <v>1</v>
      </c>
      <c r="T882">
        <v>0</v>
      </c>
      <c r="U882" s="17">
        <v>0.2</v>
      </c>
      <c r="V882">
        <v>4</v>
      </c>
      <c r="W882">
        <v>3</v>
      </c>
      <c r="X882">
        <v>1</v>
      </c>
      <c r="Y882">
        <v>2</v>
      </c>
      <c r="Z882">
        <v>2</v>
      </c>
      <c r="AA882">
        <v>3</v>
      </c>
      <c r="AB882">
        <v>2</v>
      </c>
      <c r="AC882">
        <v>2</v>
      </c>
      <c r="AD882">
        <v>2</v>
      </c>
      <c r="AE882">
        <v>2</v>
      </c>
      <c r="AF882">
        <v>0</v>
      </c>
      <c r="AG882">
        <f>IF(tbl_HR_Data[[#This Row],[Gender]]="Male",1,0)</f>
        <v>0</v>
      </c>
      <c r="AH882" cm="1">
        <f t="array" ref="AH882">_xlfn.SWITCH(tbl_HR_Data[[#This Row],[BusinessTravel]], "Non-Travel", 0, "Travel_Rarely", 1, "Travel_Frequently", 2)</f>
        <v>2</v>
      </c>
      <c r="AI882" cm="1">
        <f t="array" ref="AI882">_xlfn.SWITCH(tbl_HR_Data[[#This Row],[MaritalStatus]],"Single",0,"Married",1,"Divorced",2)</f>
        <v>1</v>
      </c>
      <c r="AJ882">
        <f>IF(tbl_HR_Data[[#This Row],[OverTime]]=1,1,0)</f>
        <v>0</v>
      </c>
      <c r="AK882">
        <f>IF(tbl_HR_Data[[#This Row],[DistanceFromHome]]&gt;15,1,0)</f>
        <v>0</v>
      </c>
      <c r="AL882">
        <f>IF(tbl_HR_Data[[#This Row],[JobSatisfaction]]&lt;=2,1,0)</f>
        <v>1</v>
      </c>
      <c r="AM882">
        <f>IF(tbl_HR_Data[[#This Row],[MonthlyIncome]]&lt;$AT$2,1,0)</f>
        <v>1</v>
      </c>
      <c r="AN882">
        <f>IF(tbl_HR_Data[[#This Row],[Travel_Code]]=2,1,0)</f>
        <v>1</v>
      </c>
      <c r="AO882">
        <f>(tbl_HR_Data[[#This Row],[Flag_OT]] * Logic_Parameters!$B$2) +
 (tbl_HR_Data[[#This Row],[Flag_Travel]] * Logic_Parameters!$B$3) +
 (tbl_HR_Data[[#This Row],[Flag_Satisfaction]] * Logic_Parameters!$B$4) +
 (tbl_HR_Data[[#This Row],[Flag_Distance]]* Logic_Parameters!$B$5) +
 (tbl_HR_Data[[#This Row],[Flag_Income]] * Logic_Parameters!$B$6)</f>
        <v>15.859352047889136</v>
      </c>
      <c r="AP882" s="15">
        <f>tbl_HR_Data[[#This Row],[Risk_Score_Raw]] / SUM(Logic_Parameters!$B$2:$B$6)</f>
        <v>0.54639453549708916</v>
      </c>
      <c r="AQ882" s="16" t="str" cm="1">
        <f t="array" ref="AQ882">_xlfn.IFS(tbl_HR_Data[[#This Row],[Attrition_Risk_Percentage]] &gt;= 0.75, "Critical",tbl_HR_Data[ [#This Row],[Attrition_Risk_Percentage] ]&gt;= 0.5, "High",tbl_HR_Data[[#This Row],[Attrition_Risk_Percentage]] &gt;= 0.25, "Medium",TRUE, "Low")</f>
        <v>High</v>
      </c>
      <c r="AR882" s="16" cm="1">
        <f t="array" ref="AR882">IFERROR(_xlfn.IFS(tbl_HR_Data[[#This Row],[Risk_Category]]="Critical",tbl_HR_Data[[#This Row],[MonthlyIncome]]*1.5,tbl_HR_Data[[#This Row],[Risk_Category]]="High",tbl_HR_Data[[#This Row],[MonthlyIncome]]*1.5),0)</f>
        <v>4114.5</v>
      </c>
    </row>
    <row r="883" spans="1:44" x14ac:dyDescent="0.35">
      <c r="A883" t="s">
        <v>1222</v>
      </c>
      <c r="B883">
        <v>32</v>
      </c>
      <c r="C883" t="s">
        <v>37</v>
      </c>
      <c r="D883">
        <v>1316</v>
      </c>
      <c r="E883" t="s">
        <v>38</v>
      </c>
      <c r="F883">
        <v>2</v>
      </c>
      <c r="G883">
        <v>2</v>
      </c>
      <c r="H883" t="s">
        <v>33</v>
      </c>
      <c r="I883">
        <v>4</v>
      </c>
      <c r="J883" t="s">
        <v>34</v>
      </c>
      <c r="K883">
        <v>38</v>
      </c>
      <c r="L883">
        <v>3</v>
      </c>
      <c r="M883">
        <v>2</v>
      </c>
      <c r="N883" t="s">
        <v>40</v>
      </c>
      <c r="O883">
        <v>3</v>
      </c>
      <c r="P883" t="s">
        <v>36</v>
      </c>
      <c r="Q883">
        <v>4998</v>
      </c>
      <c r="R883">
        <v>2338</v>
      </c>
      <c r="S883">
        <v>4</v>
      </c>
      <c r="T883">
        <v>1</v>
      </c>
      <c r="U883" s="17">
        <v>0.14000000000000001</v>
      </c>
      <c r="V883">
        <v>3</v>
      </c>
      <c r="W883">
        <v>4</v>
      </c>
      <c r="X883">
        <v>0</v>
      </c>
      <c r="Y883">
        <v>10</v>
      </c>
      <c r="Z883">
        <v>2</v>
      </c>
      <c r="AA883">
        <v>3</v>
      </c>
      <c r="AB883">
        <v>8</v>
      </c>
      <c r="AC883">
        <v>7</v>
      </c>
      <c r="AD883">
        <v>0</v>
      </c>
      <c r="AE883">
        <v>7</v>
      </c>
      <c r="AF883">
        <v>0</v>
      </c>
      <c r="AG883">
        <f>IF(tbl_HR_Data[[#This Row],[Gender]]="Male",1,0)</f>
        <v>0</v>
      </c>
      <c r="AH883" cm="1">
        <f t="array" ref="AH883">_xlfn.SWITCH(tbl_HR_Data[[#This Row],[BusinessTravel]], "Non-Travel", 0, "Travel_Rarely", 1, "Travel_Frequently", 2)</f>
        <v>2</v>
      </c>
      <c r="AI883" cm="1">
        <f t="array" ref="AI883">_xlfn.SWITCH(tbl_HR_Data[[#This Row],[MaritalStatus]],"Single",0,"Married",1,"Divorced",2)</f>
        <v>0</v>
      </c>
      <c r="AJ883">
        <f>IF(tbl_HR_Data[[#This Row],[OverTime]]=1,1,0)</f>
        <v>1</v>
      </c>
      <c r="AK883">
        <f>IF(tbl_HR_Data[[#This Row],[DistanceFromHome]]&gt;15,1,0)</f>
        <v>0</v>
      </c>
      <c r="AL883">
        <f>IF(tbl_HR_Data[[#This Row],[JobSatisfaction]]&lt;=2,1,0)</f>
        <v>0</v>
      </c>
      <c r="AM883">
        <f>IF(tbl_HR_Data[[#This Row],[MonthlyIncome]]&lt;$AT$2,1,0)</f>
        <v>0</v>
      </c>
      <c r="AN883">
        <f>IF(tbl_HR_Data[[#This Row],[Travel_Code]]=2,1,0)</f>
        <v>1</v>
      </c>
      <c r="AO883">
        <f>(tbl_HR_Data[[#This Row],[Flag_OT]] * Logic_Parameters!$B$2) +
 (tbl_HR_Data[[#This Row],[Flag_Travel]] * Logic_Parameters!$B$3) +
 (tbl_HR_Data[[#This Row],[Flag_Satisfaction]] * Logic_Parameters!$B$4) +
 (tbl_HR_Data[[#This Row],[Flag_Distance]]* Logic_Parameters!$B$5) +
 (tbl_HR_Data[[#This Row],[Flag_Income]] * Logic_Parameters!$B$6)</f>
        <v>15.160389980490176</v>
      </c>
      <c r="AP883" s="15">
        <f>tbl_HR_Data[[#This Row],[Risk_Score_Raw]] / SUM(Logic_Parameters!$B$2:$B$6)</f>
        <v>0.52231353565590266</v>
      </c>
      <c r="AQ883" s="16" t="str" cm="1">
        <f t="array" ref="AQ883">_xlfn.IFS(tbl_HR_Data[[#This Row],[Attrition_Risk_Percentage]] &gt;= 0.75, "Critical",tbl_HR_Data[ [#This Row],[Attrition_Risk_Percentage] ]&gt;= 0.5, "High",tbl_HR_Data[[#This Row],[Attrition_Risk_Percentage]] &gt;= 0.25, "Medium",TRUE, "Low")</f>
        <v>High</v>
      </c>
      <c r="AR883" s="16" cm="1">
        <f t="array" ref="AR883">IFERROR(_xlfn.IFS(tbl_HR_Data[[#This Row],[Risk_Category]]="Critical",tbl_HR_Data[[#This Row],[MonthlyIncome]]*1.5,tbl_HR_Data[[#This Row],[Risk_Category]]="High",tbl_HR_Data[[#This Row],[MonthlyIncome]]*1.5),0)</f>
        <v>7497</v>
      </c>
    </row>
    <row r="884" spans="1:44" x14ac:dyDescent="0.35">
      <c r="A884" t="s">
        <v>573</v>
      </c>
      <c r="B884">
        <v>36</v>
      </c>
      <c r="C884" t="s">
        <v>31</v>
      </c>
      <c r="D884">
        <v>363</v>
      </c>
      <c r="E884" t="s">
        <v>38</v>
      </c>
      <c r="F884">
        <v>1</v>
      </c>
      <c r="G884">
        <v>3</v>
      </c>
      <c r="H884" t="s">
        <v>52</v>
      </c>
      <c r="I884">
        <v>3</v>
      </c>
      <c r="J884" t="s">
        <v>34</v>
      </c>
      <c r="K884">
        <v>77</v>
      </c>
      <c r="L884">
        <v>1</v>
      </c>
      <c r="M884">
        <v>3</v>
      </c>
      <c r="N884" t="s">
        <v>46</v>
      </c>
      <c r="O884">
        <v>1</v>
      </c>
      <c r="P884" t="s">
        <v>45</v>
      </c>
      <c r="Q884">
        <v>10252</v>
      </c>
      <c r="R884">
        <v>4235</v>
      </c>
      <c r="S884">
        <v>2</v>
      </c>
      <c r="T884">
        <v>1</v>
      </c>
      <c r="U884" s="17">
        <v>0.21</v>
      </c>
      <c r="V884">
        <v>4</v>
      </c>
      <c r="W884">
        <v>3</v>
      </c>
      <c r="X884">
        <v>1</v>
      </c>
      <c r="Y884">
        <v>17</v>
      </c>
      <c r="Z884">
        <v>2</v>
      </c>
      <c r="AA884">
        <v>3</v>
      </c>
      <c r="AB884">
        <v>7</v>
      </c>
      <c r="AC884">
        <v>7</v>
      </c>
      <c r="AD884">
        <v>7</v>
      </c>
      <c r="AE884">
        <v>7</v>
      </c>
      <c r="AF884">
        <v>0</v>
      </c>
      <c r="AG884">
        <f>IF(tbl_HR_Data[[#This Row],[Gender]]="Male",1,0)</f>
        <v>0</v>
      </c>
      <c r="AH884" cm="1">
        <f t="array" ref="AH884">_xlfn.SWITCH(tbl_HR_Data[[#This Row],[BusinessTravel]], "Non-Travel", 0, "Travel_Rarely", 1, "Travel_Frequently", 2)</f>
        <v>1</v>
      </c>
      <c r="AI884" cm="1">
        <f t="array" ref="AI884">_xlfn.SWITCH(tbl_HR_Data[[#This Row],[MaritalStatus]],"Single",0,"Married",1,"Divorced",2)</f>
        <v>2</v>
      </c>
      <c r="AJ884">
        <f>IF(tbl_HR_Data[[#This Row],[OverTime]]=1,1,0)</f>
        <v>1</v>
      </c>
      <c r="AK884">
        <f>IF(tbl_HR_Data[[#This Row],[DistanceFromHome]]&gt;15,1,0)</f>
        <v>0</v>
      </c>
      <c r="AL884">
        <f>IF(tbl_HR_Data[[#This Row],[JobSatisfaction]]&lt;=2,1,0)</f>
        <v>1</v>
      </c>
      <c r="AM884">
        <f>IF(tbl_HR_Data[[#This Row],[MonthlyIncome]]&lt;$AT$2,1,0)</f>
        <v>0</v>
      </c>
      <c r="AN884">
        <f>IF(tbl_HR_Data[[#This Row],[Travel_Code]]=2,1,0)</f>
        <v>0</v>
      </c>
      <c r="AO884">
        <f>(tbl_HR_Data[[#This Row],[Flag_OT]] * Logic_Parameters!$B$2) +
 (tbl_HR_Data[[#This Row],[Flag_Travel]] * Logic_Parameters!$B$3) +
 (tbl_HR_Data[[#This Row],[Flag_Satisfaction]] * Logic_Parameters!$B$4) +
 (tbl_HR_Data[[#This Row],[Flag_Distance]]* Logic_Parameters!$B$5) +
 (tbl_HR_Data[[#This Row],[Flag_Income]] * Logic_Parameters!$B$6)</f>
        <v>14.204533129978131</v>
      </c>
      <c r="AP884" s="15">
        <f>tbl_HR_Data[[#This Row],[Risk_Score_Raw]] / SUM(Logic_Parameters!$B$2:$B$6)</f>
        <v>0.48938186491297625</v>
      </c>
      <c r="AQ884" s="16" t="str" cm="1">
        <f t="array" ref="AQ884">_xlfn.IFS(tbl_HR_Data[[#This Row],[Attrition_Risk_Percentage]] &gt;= 0.75, "Critical",tbl_HR_Data[ [#This Row],[Attrition_Risk_Percentage] ]&gt;= 0.5, "High",tbl_HR_Data[[#This Row],[Attrition_Risk_Percentage]] &gt;= 0.25, "Medium",TRUE, "Low")</f>
        <v>Medium</v>
      </c>
      <c r="AR884" s="16" cm="1">
        <f t="array" ref="AR884">IFERROR(_xlfn.IFS(tbl_HR_Data[[#This Row],[Risk_Category]]="Critical",tbl_HR_Data[[#This Row],[MonthlyIncome]]*1.5,tbl_HR_Data[[#This Row],[Risk_Category]]="High",tbl_HR_Data[[#This Row],[MonthlyIncome]]*1.5),0)</f>
        <v>0</v>
      </c>
    </row>
    <row r="885" spans="1:44" x14ac:dyDescent="0.35">
      <c r="A885" t="s">
        <v>1520</v>
      </c>
      <c r="B885">
        <v>33</v>
      </c>
      <c r="C885" t="s">
        <v>31</v>
      </c>
      <c r="D885">
        <v>117</v>
      </c>
      <c r="E885" t="s">
        <v>38</v>
      </c>
      <c r="F885">
        <v>9</v>
      </c>
      <c r="G885">
        <v>3</v>
      </c>
      <c r="H885" t="s">
        <v>44</v>
      </c>
      <c r="I885">
        <v>1</v>
      </c>
      <c r="J885" t="s">
        <v>39</v>
      </c>
      <c r="K885">
        <v>60</v>
      </c>
      <c r="L885">
        <v>3</v>
      </c>
      <c r="M885">
        <v>1</v>
      </c>
      <c r="N885" t="s">
        <v>40</v>
      </c>
      <c r="O885">
        <v>4</v>
      </c>
      <c r="P885" t="s">
        <v>41</v>
      </c>
      <c r="Q885">
        <v>2781</v>
      </c>
      <c r="R885">
        <v>6311</v>
      </c>
      <c r="S885">
        <v>0</v>
      </c>
      <c r="T885">
        <v>0</v>
      </c>
      <c r="U885" s="17">
        <v>0.13</v>
      </c>
      <c r="V885">
        <v>3</v>
      </c>
      <c r="W885">
        <v>2</v>
      </c>
      <c r="X885">
        <v>1</v>
      </c>
      <c r="Y885">
        <v>15</v>
      </c>
      <c r="Z885">
        <v>5</v>
      </c>
      <c r="AA885">
        <v>3</v>
      </c>
      <c r="AB885">
        <v>14</v>
      </c>
      <c r="AC885">
        <v>10</v>
      </c>
      <c r="AD885">
        <v>4</v>
      </c>
      <c r="AE885">
        <v>10</v>
      </c>
      <c r="AF885">
        <v>0</v>
      </c>
      <c r="AG885">
        <f>IF(tbl_HR_Data[[#This Row],[Gender]]="Male",1,0)</f>
        <v>1</v>
      </c>
      <c r="AH885" cm="1">
        <f t="array" ref="AH885">_xlfn.SWITCH(tbl_HR_Data[[#This Row],[BusinessTravel]], "Non-Travel", 0, "Travel_Rarely", 1, "Travel_Frequently", 2)</f>
        <v>1</v>
      </c>
      <c r="AI885" cm="1">
        <f t="array" ref="AI885">_xlfn.SWITCH(tbl_HR_Data[[#This Row],[MaritalStatus]],"Single",0,"Married",1,"Divorced",2)</f>
        <v>1</v>
      </c>
      <c r="AJ885">
        <f>IF(tbl_HR_Data[[#This Row],[OverTime]]=1,1,0)</f>
        <v>0</v>
      </c>
      <c r="AK885">
        <f>IF(tbl_HR_Data[[#This Row],[DistanceFromHome]]&gt;15,1,0)</f>
        <v>0</v>
      </c>
      <c r="AL885">
        <f>IF(tbl_HR_Data[[#This Row],[JobSatisfaction]]&lt;=2,1,0)</f>
        <v>0</v>
      </c>
      <c r="AM885">
        <f>IF(tbl_HR_Data[[#This Row],[MonthlyIncome]]&lt;$AT$2,1,0)</f>
        <v>1</v>
      </c>
      <c r="AN885">
        <f>IF(tbl_HR_Data[[#This Row],[Travel_Code]]=2,1,0)</f>
        <v>0</v>
      </c>
      <c r="AO885">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885" s="15">
        <f>tbl_HR_Data[[#This Row],[Risk_Score_Raw]] / SUM(Logic_Parameters!$B$2:$B$6)</f>
        <v>0.22374939857982484</v>
      </c>
      <c r="AQ885" s="16" t="str" cm="1">
        <f t="array" ref="AQ885">_xlfn.IFS(tbl_HR_Data[[#This Row],[Attrition_Risk_Percentage]] &gt;= 0.75, "Critical",tbl_HR_Data[ [#This Row],[Attrition_Risk_Percentage] ]&gt;= 0.5, "High",tbl_HR_Data[[#This Row],[Attrition_Risk_Percentage]] &gt;= 0.25, "Medium",TRUE, "Low")</f>
        <v>Low</v>
      </c>
      <c r="AR885" s="16" cm="1">
        <f t="array" ref="AR885">IFERROR(_xlfn.IFS(tbl_HR_Data[[#This Row],[Risk_Category]]="Critical",tbl_HR_Data[[#This Row],[MonthlyIncome]]*1.5,tbl_HR_Data[[#This Row],[Risk_Category]]="High",tbl_HR_Data[[#This Row],[MonthlyIncome]]*1.5),0)</f>
        <v>0</v>
      </c>
    </row>
    <row r="886" spans="1:44" x14ac:dyDescent="0.35">
      <c r="A886" t="s">
        <v>1409</v>
      </c>
      <c r="B886">
        <v>40</v>
      </c>
      <c r="C886" t="s">
        <v>31</v>
      </c>
      <c r="D886">
        <v>107</v>
      </c>
      <c r="E886" t="s">
        <v>32</v>
      </c>
      <c r="F886">
        <v>10</v>
      </c>
      <c r="G886">
        <v>3</v>
      </c>
      <c r="H886" t="s">
        <v>52</v>
      </c>
      <c r="I886">
        <v>2</v>
      </c>
      <c r="J886" t="s">
        <v>34</v>
      </c>
      <c r="K886">
        <v>84</v>
      </c>
      <c r="L886">
        <v>2</v>
      </c>
      <c r="M886">
        <v>2</v>
      </c>
      <c r="N886" t="s">
        <v>35</v>
      </c>
      <c r="O886">
        <v>2</v>
      </c>
      <c r="P886" t="s">
        <v>45</v>
      </c>
      <c r="Q886">
        <v>6852</v>
      </c>
      <c r="R886">
        <v>11591</v>
      </c>
      <c r="S886">
        <v>7</v>
      </c>
      <c r="T886">
        <v>0</v>
      </c>
      <c r="U886" s="17">
        <v>0.12</v>
      </c>
      <c r="V886">
        <v>3</v>
      </c>
      <c r="W886">
        <v>2</v>
      </c>
      <c r="X886">
        <v>1</v>
      </c>
      <c r="Y886">
        <v>7</v>
      </c>
      <c r="Z886">
        <v>2</v>
      </c>
      <c r="AA886">
        <v>4</v>
      </c>
      <c r="AB886">
        <v>5</v>
      </c>
      <c r="AC886">
        <v>1</v>
      </c>
      <c r="AD886">
        <v>1</v>
      </c>
      <c r="AE886">
        <v>3</v>
      </c>
      <c r="AF886">
        <v>0</v>
      </c>
      <c r="AG886">
        <f>IF(tbl_HR_Data[[#This Row],[Gender]]="Male",1,0)</f>
        <v>0</v>
      </c>
      <c r="AH886" cm="1">
        <f t="array" ref="AH886">_xlfn.SWITCH(tbl_HR_Data[[#This Row],[BusinessTravel]], "Non-Travel", 0, "Travel_Rarely", 1, "Travel_Frequently", 2)</f>
        <v>1</v>
      </c>
      <c r="AI886" cm="1">
        <f t="array" ref="AI886">_xlfn.SWITCH(tbl_HR_Data[[#This Row],[MaritalStatus]],"Single",0,"Married",1,"Divorced",2)</f>
        <v>2</v>
      </c>
      <c r="AJ886">
        <f>IF(tbl_HR_Data[[#This Row],[OverTime]]=1,1,0)</f>
        <v>0</v>
      </c>
      <c r="AK886">
        <f>IF(tbl_HR_Data[[#This Row],[DistanceFromHome]]&gt;15,1,0)</f>
        <v>0</v>
      </c>
      <c r="AL886">
        <f>IF(tbl_HR_Data[[#This Row],[JobSatisfaction]]&lt;=2,1,0)</f>
        <v>1</v>
      </c>
      <c r="AM886">
        <f>IF(tbl_HR_Data[[#This Row],[MonthlyIncome]]&lt;$AT$2,1,0)</f>
        <v>0</v>
      </c>
      <c r="AN886">
        <f>IF(tbl_HR_Data[[#This Row],[Travel_Code]]=2,1,0)</f>
        <v>0</v>
      </c>
      <c r="AO886">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886" s="15">
        <f>tbl_HR_Data[[#This Row],[Risk_Score_Raw]] / SUM(Logic_Parameters!$B$2:$B$6)</f>
        <v>0.14485673308716898</v>
      </c>
      <c r="AQ886" s="16" t="str" cm="1">
        <f t="array" ref="AQ886">_xlfn.IFS(tbl_HR_Data[[#This Row],[Attrition_Risk_Percentage]] &gt;= 0.75, "Critical",tbl_HR_Data[ [#This Row],[Attrition_Risk_Percentage] ]&gt;= 0.5, "High",tbl_HR_Data[[#This Row],[Attrition_Risk_Percentage]] &gt;= 0.25, "Medium",TRUE, "Low")</f>
        <v>Low</v>
      </c>
      <c r="AR886" s="16" cm="1">
        <f t="array" ref="AR886">IFERROR(_xlfn.IFS(tbl_HR_Data[[#This Row],[Risk_Category]]="Critical",tbl_HR_Data[[#This Row],[MonthlyIncome]]*1.5,tbl_HR_Data[[#This Row],[Risk_Category]]="High",tbl_HR_Data[[#This Row],[MonthlyIncome]]*1.5),0)</f>
        <v>0</v>
      </c>
    </row>
    <row r="887" spans="1:44" x14ac:dyDescent="0.35">
      <c r="A887" t="s">
        <v>1468</v>
      </c>
      <c r="B887">
        <v>25</v>
      </c>
      <c r="C887" t="s">
        <v>31</v>
      </c>
      <c r="D887">
        <v>1356</v>
      </c>
      <c r="E887" t="s">
        <v>32</v>
      </c>
      <c r="F887">
        <v>10</v>
      </c>
      <c r="G887">
        <v>4</v>
      </c>
      <c r="H887" t="s">
        <v>33</v>
      </c>
      <c r="I887">
        <v>3</v>
      </c>
      <c r="J887" t="s">
        <v>39</v>
      </c>
      <c r="K887">
        <v>57</v>
      </c>
      <c r="L887">
        <v>3</v>
      </c>
      <c r="M887">
        <v>2</v>
      </c>
      <c r="N887" t="s">
        <v>35</v>
      </c>
      <c r="O887">
        <v>4</v>
      </c>
      <c r="P887" t="s">
        <v>36</v>
      </c>
      <c r="Q887">
        <v>4950</v>
      </c>
      <c r="R887">
        <v>20623</v>
      </c>
      <c r="S887">
        <v>0</v>
      </c>
      <c r="T887">
        <v>0</v>
      </c>
      <c r="U887" s="17">
        <v>0.14000000000000001</v>
      </c>
      <c r="V887">
        <v>3</v>
      </c>
      <c r="W887">
        <v>2</v>
      </c>
      <c r="X887">
        <v>0</v>
      </c>
      <c r="Y887">
        <v>5</v>
      </c>
      <c r="Z887">
        <v>4</v>
      </c>
      <c r="AA887">
        <v>3</v>
      </c>
      <c r="AB887">
        <v>4</v>
      </c>
      <c r="AC887">
        <v>3</v>
      </c>
      <c r="AD887">
        <v>1</v>
      </c>
      <c r="AE887">
        <v>1</v>
      </c>
      <c r="AF887">
        <v>0</v>
      </c>
      <c r="AG887">
        <f>IF(tbl_HR_Data[[#This Row],[Gender]]="Male",1,0)</f>
        <v>1</v>
      </c>
      <c r="AH887" cm="1">
        <f t="array" ref="AH887">_xlfn.SWITCH(tbl_HR_Data[[#This Row],[BusinessTravel]], "Non-Travel", 0, "Travel_Rarely", 1, "Travel_Frequently", 2)</f>
        <v>1</v>
      </c>
      <c r="AI887" cm="1">
        <f t="array" ref="AI887">_xlfn.SWITCH(tbl_HR_Data[[#This Row],[MaritalStatus]],"Single",0,"Married",1,"Divorced",2)</f>
        <v>0</v>
      </c>
      <c r="AJ887">
        <f>IF(tbl_HR_Data[[#This Row],[OverTime]]=1,1,0)</f>
        <v>0</v>
      </c>
      <c r="AK887">
        <f>IF(tbl_HR_Data[[#This Row],[DistanceFromHome]]&gt;15,1,0)</f>
        <v>0</v>
      </c>
      <c r="AL887">
        <f>IF(tbl_HR_Data[[#This Row],[JobSatisfaction]]&lt;=2,1,0)</f>
        <v>0</v>
      </c>
      <c r="AM887">
        <f>IF(tbl_HR_Data[[#This Row],[MonthlyIncome]]&lt;$AT$2,1,0)</f>
        <v>0</v>
      </c>
      <c r="AN887">
        <f>IF(tbl_HR_Data[[#This Row],[Travel_Code]]=2,1,0)</f>
        <v>0</v>
      </c>
      <c r="AO887">
        <f>(tbl_HR_Data[[#This Row],[Flag_OT]] * Logic_Parameters!$B$2) +
 (tbl_HR_Data[[#This Row],[Flag_Travel]] * Logic_Parameters!$B$3) +
 (tbl_HR_Data[[#This Row],[Flag_Satisfaction]] * Logic_Parameters!$B$4) +
 (tbl_HR_Data[[#This Row],[Flag_Distance]]* Logic_Parameters!$B$5) +
 (tbl_HR_Data[[#This Row],[Flag_Income]] * Logic_Parameters!$B$6)</f>
        <v>0</v>
      </c>
      <c r="AP887" s="15">
        <f>tbl_HR_Data[[#This Row],[Risk_Score_Raw]] / SUM(Logic_Parameters!$B$2:$B$6)</f>
        <v>0</v>
      </c>
      <c r="AQ887" s="16" t="str" cm="1">
        <f t="array" ref="AQ887">_xlfn.IFS(tbl_HR_Data[[#This Row],[Attrition_Risk_Percentage]] &gt;= 0.75, "Critical",tbl_HR_Data[ [#This Row],[Attrition_Risk_Percentage] ]&gt;= 0.5, "High",tbl_HR_Data[[#This Row],[Attrition_Risk_Percentage]] &gt;= 0.25, "Medium",TRUE, "Low")</f>
        <v>Low</v>
      </c>
      <c r="AR887" s="16" cm="1">
        <f t="array" ref="AR887">IFERROR(_xlfn.IFS(tbl_HR_Data[[#This Row],[Risk_Category]]="Critical",tbl_HR_Data[[#This Row],[MonthlyIncome]]*1.5,tbl_HR_Data[[#This Row],[Risk_Category]]="High",tbl_HR_Data[[#This Row],[MonthlyIncome]]*1.5),0)</f>
        <v>0</v>
      </c>
    </row>
    <row r="888" spans="1:44" x14ac:dyDescent="0.35">
      <c r="A888" t="s">
        <v>277</v>
      </c>
      <c r="B888">
        <v>30</v>
      </c>
      <c r="C888" t="s">
        <v>31</v>
      </c>
      <c r="D888">
        <v>1465</v>
      </c>
      <c r="E888" t="s">
        <v>38</v>
      </c>
      <c r="F888">
        <v>1</v>
      </c>
      <c r="G888">
        <v>3</v>
      </c>
      <c r="H888" t="s">
        <v>44</v>
      </c>
      <c r="I888">
        <v>4</v>
      </c>
      <c r="J888" t="s">
        <v>39</v>
      </c>
      <c r="K888">
        <v>63</v>
      </c>
      <c r="L888">
        <v>3</v>
      </c>
      <c r="M888">
        <v>1</v>
      </c>
      <c r="N888" t="s">
        <v>40</v>
      </c>
      <c r="O888">
        <v>2</v>
      </c>
      <c r="P888" t="s">
        <v>41</v>
      </c>
      <c r="Q888">
        <v>3579</v>
      </c>
      <c r="R888">
        <v>9369</v>
      </c>
      <c r="S888">
        <v>0</v>
      </c>
      <c r="T888">
        <v>1</v>
      </c>
      <c r="U888" s="17">
        <v>0.21</v>
      </c>
      <c r="V888">
        <v>4</v>
      </c>
      <c r="W888">
        <v>1</v>
      </c>
      <c r="X888">
        <v>1</v>
      </c>
      <c r="Y888">
        <v>12</v>
      </c>
      <c r="Z888">
        <v>2</v>
      </c>
      <c r="AA888">
        <v>3</v>
      </c>
      <c r="AB888">
        <v>11</v>
      </c>
      <c r="AC888">
        <v>9</v>
      </c>
      <c r="AD888">
        <v>5</v>
      </c>
      <c r="AE888">
        <v>7</v>
      </c>
      <c r="AF888">
        <v>0</v>
      </c>
      <c r="AG888">
        <f>IF(tbl_HR_Data[[#This Row],[Gender]]="Male",1,0)</f>
        <v>1</v>
      </c>
      <c r="AH888" cm="1">
        <f t="array" ref="AH888">_xlfn.SWITCH(tbl_HR_Data[[#This Row],[BusinessTravel]], "Non-Travel", 0, "Travel_Rarely", 1, "Travel_Frequently", 2)</f>
        <v>1</v>
      </c>
      <c r="AI888" cm="1">
        <f t="array" ref="AI888">_xlfn.SWITCH(tbl_HR_Data[[#This Row],[MaritalStatus]],"Single",0,"Married",1,"Divorced",2)</f>
        <v>1</v>
      </c>
      <c r="AJ888">
        <f>IF(tbl_HR_Data[[#This Row],[OverTime]]=1,1,0)</f>
        <v>1</v>
      </c>
      <c r="AK888">
        <f>IF(tbl_HR_Data[[#This Row],[DistanceFromHome]]&gt;15,1,0)</f>
        <v>0</v>
      </c>
      <c r="AL888">
        <f>IF(tbl_HR_Data[[#This Row],[JobSatisfaction]]&lt;=2,1,0)</f>
        <v>1</v>
      </c>
      <c r="AM888">
        <f>IF(tbl_HR_Data[[#This Row],[MonthlyIncome]]&lt;$AT$2,1,0)</f>
        <v>1</v>
      </c>
      <c r="AN888">
        <f>IF(tbl_HR_Data[[#This Row],[Travel_Code]]=2,1,0)</f>
        <v>0</v>
      </c>
      <c r="AO888">
        <f>(tbl_HR_Data[[#This Row],[Flag_OT]] * Logic_Parameters!$B$2) +
 (tbl_HR_Data[[#This Row],[Flag_Travel]] * Logic_Parameters!$B$3) +
 (tbl_HR_Data[[#This Row],[Flag_Satisfaction]] * Logic_Parameters!$B$4) +
 (tbl_HR_Data[[#This Row],[Flag_Distance]]* Logic_Parameters!$B$5) +
 (tbl_HR_Data[[#This Row],[Flag_Income]] * Logic_Parameters!$B$6)</f>
        <v>20.698962067398959</v>
      </c>
      <c r="AP888" s="15">
        <f>tbl_HR_Data[[#This Row],[Risk_Score_Raw]] / SUM(Logic_Parameters!$B$2:$B$6)</f>
        <v>0.71313126349280109</v>
      </c>
      <c r="AQ888" s="16" t="str" cm="1">
        <f t="array" ref="AQ888">_xlfn.IFS(tbl_HR_Data[[#This Row],[Attrition_Risk_Percentage]] &gt;= 0.75, "Critical",tbl_HR_Data[ [#This Row],[Attrition_Risk_Percentage] ]&gt;= 0.5, "High",tbl_HR_Data[[#This Row],[Attrition_Risk_Percentage]] &gt;= 0.25, "Medium",TRUE, "Low")</f>
        <v>High</v>
      </c>
      <c r="AR888" s="16" cm="1">
        <f t="array" ref="AR888">IFERROR(_xlfn.IFS(tbl_HR_Data[[#This Row],[Risk_Category]]="Critical",tbl_HR_Data[[#This Row],[MonthlyIncome]]*1.5,tbl_HR_Data[[#This Row],[Risk_Category]]="High",tbl_HR_Data[[#This Row],[MonthlyIncome]]*1.5),0)</f>
        <v>5368.5</v>
      </c>
    </row>
    <row r="889" spans="1:44" x14ac:dyDescent="0.35">
      <c r="A889" t="s">
        <v>1026</v>
      </c>
      <c r="B889">
        <v>42</v>
      </c>
      <c r="C889" t="s">
        <v>37</v>
      </c>
      <c r="D889">
        <v>458</v>
      </c>
      <c r="E889" t="s">
        <v>38</v>
      </c>
      <c r="F889">
        <v>26</v>
      </c>
      <c r="G889">
        <v>5</v>
      </c>
      <c r="H889" t="s">
        <v>44</v>
      </c>
      <c r="I889">
        <v>1</v>
      </c>
      <c r="J889" t="s">
        <v>34</v>
      </c>
      <c r="K889">
        <v>60</v>
      </c>
      <c r="L889">
        <v>3</v>
      </c>
      <c r="M889">
        <v>3</v>
      </c>
      <c r="N889" t="s">
        <v>50</v>
      </c>
      <c r="O889">
        <v>1</v>
      </c>
      <c r="P889" t="s">
        <v>41</v>
      </c>
      <c r="Q889">
        <v>13191</v>
      </c>
      <c r="R889">
        <v>23281</v>
      </c>
      <c r="S889">
        <v>3</v>
      </c>
      <c r="T889">
        <v>1</v>
      </c>
      <c r="U889" s="17">
        <v>0.17</v>
      </c>
      <c r="V889">
        <v>3</v>
      </c>
      <c r="W889">
        <v>3</v>
      </c>
      <c r="X889">
        <v>0</v>
      </c>
      <c r="Y889">
        <v>20</v>
      </c>
      <c r="Z889">
        <v>6</v>
      </c>
      <c r="AA889">
        <v>3</v>
      </c>
      <c r="AB889">
        <v>1</v>
      </c>
      <c r="AC889">
        <v>0</v>
      </c>
      <c r="AD889">
        <v>0</v>
      </c>
      <c r="AE889">
        <v>0</v>
      </c>
      <c r="AF889">
        <v>0</v>
      </c>
      <c r="AG889">
        <f>IF(tbl_HR_Data[[#This Row],[Gender]]="Male",1,0)</f>
        <v>0</v>
      </c>
      <c r="AH889" cm="1">
        <f t="array" ref="AH889">_xlfn.SWITCH(tbl_HR_Data[[#This Row],[BusinessTravel]], "Non-Travel", 0, "Travel_Rarely", 1, "Travel_Frequently", 2)</f>
        <v>2</v>
      </c>
      <c r="AI889" cm="1">
        <f t="array" ref="AI889">_xlfn.SWITCH(tbl_HR_Data[[#This Row],[MaritalStatus]],"Single",0,"Married",1,"Divorced",2)</f>
        <v>1</v>
      </c>
      <c r="AJ889">
        <f>IF(tbl_HR_Data[[#This Row],[OverTime]]=1,1,0)</f>
        <v>1</v>
      </c>
      <c r="AK889">
        <f>IF(tbl_HR_Data[[#This Row],[DistanceFromHome]]&gt;15,1,0)</f>
        <v>1</v>
      </c>
      <c r="AL889">
        <f>IF(tbl_HR_Data[[#This Row],[JobSatisfaction]]&lt;=2,1,0)</f>
        <v>1</v>
      </c>
      <c r="AM889">
        <f>IF(tbl_HR_Data[[#This Row],[MonthlyIncome]]&lt;$AT$2,1,0)</f>
        <v>0</v>
      </c>
      <c r="AN889">
        <f>IF(tbl_HR_Data[[#This Row],[Travel_Code]]=2,1,0)</f>
        <v>1</v>
      </c>
      <c r="AO889">
        <f>(tbl_HR_Data[[#This Row],[Flag_OT]] * Logic_Parameters!$B$2) +
 (tbl_HR_Data[[#This Row],[Flag_Travel]] * Logic_Parameters!$B$3) +
 (tbl_HR_Data[[#This Row],[Flag_Satisfaction]] * Logic_Parameters!$B$4) +
 (tbl_HR_Data[[#This Row],[Flag_Distance]]* Logic_Parameters!$B$5) +
 (tbl_HR_Data[[#This Row],[Flag_Income]] * Logic_Parameters!$B$6)</f>
        <v>22.531029806343685</v>
      </c>
      <c r="AP889" s="15">
        <f>tbl_HR_Data[[#This Row],[Risk_Score_Raw]] / SUM(Logic_Parameters!$B$2:$B$6)</f>
        <v>0.77625060142017521</v>
      </c>
      <c r="AQ889" s="16" t="str" cm="1">
        <f t="array" ref="AQ889">_xlfn.IFS(tbl_HR_Data[[#This Row],[Attrition_Risk_Percentage]] &gt;= 0.75, "Critical",tbl_HR_Data[ [#This Row],[Attrition_Risk_Percentage] ]&gt;= 0.5, "High",tbl_HR_Data[[#This Row],[Attrition_Risk_Percentage]] &gt;= 0.25, "Medium",TRUE, "Low")</f>
        <v>Critical</v>
      </c>
      <c r="AR889" s="16" cm="1">
        <f t="array" ref="AR889">IFERROR(_xlfn.IFS(tbl_HR_Data[[#This Row],[Risk_Category]]="Critical",tbl_HR_Data[[#This Row],[MonthlyIncome]]*1.5,tbl_HR_Data[[#This Row],[Risk_Category]]="High",tbl_HR_Data[[#This Row],[MonthlyIncome]]*1.5),0)</f>
        <v>19786.5</v>
      </c>
    </row>
    <row r="890" spans="1:44" x14ac:dyDescent="0.35">
      <c r="A890" t="s">
        <v>1512</v>
      </c>
      <c r="B890">
        <v>35</v>
      </c>
      <c r="C890" t="s">
        <v>1525</v>
      </c>
      <c r="D890">
        <v>1212</v>
      </c>
      <c r="E890" t="s">
        <v>32</v>
      </c>
      <c r="F890">
        <v>8</v>
      </c>
      <c r="G890">
        <v>2</v>
      </c>
      <c r="H890" t="s">
        <v>51</v>
      </c>
      <c r="I890">
        <v>3</v>
      </c>
      <c r="J890" t="s">
        <v>34</v>
      </c>
      <c r="K890">
        <v>78</v>
      </c>
      <c r="L890">
        <v>2</v>
      </c>
      <c r="M890">
        <v>3</v>
      </c>
      <c r="N890" t="s">
        <v>35</v>
      </c>
      <c r="O890">
        <v>4</v>
      </c>
      <c r="P890" t="s">
        <v>41</v>
      </c>
      <c r="Q890">
        <v>10377</v>
      </c>
      <c r="R890">
        <v>13755</v>
      </c>
      <c r="S890">
        <v>4</v>
      </c>
      <c r="T890">
        <v>1</v>
      </c>
      <c r="U890" s="17">
        <v>0.11</v>
      </c>
      <c r="V890">
        <v>3</v>
      </c>
      <c r="W890">
        <v>2</v>
      </c>
      <c r="X890">
        <v>1</v>
      </c>
      <c r="Y890">
        <v>16</v>
      </c>
      <c r="Z890">
        <v>6</v>
      </c>
      <c r="AA890">
        <v>2</v>
      </c>
      <c r="AB890">
        <v>13</v>
      </c>
      <c r="AC890">
        <v>2</v>
      </c>
      <c r="AD890">
        <v>4</v>
      </c>
      <c r="AE890">
        <v>12</v>
      </c>
      <c r="AF890">
        <v>0</v>
      </c>
      <c r="AG890">
        <f>IF(tbl_HR_Data[[#This Row],[Gender]]="Male",1,0)</f>
        <v>0</v>
      </c>
      <c r="AH890" cm="1">
        <f t="array" ref="AH890">_xlfn.SWITCH(tbl_HR_Data[[#This Row],[BusinessTravel]], "Non-Travel", 0, "Travel_Rarely", 1, "Travel_Frequently", 2)</f>
        <v>0</v>
      </c>
      <c r="AI890" cm="1">
        <f t="array" ref="AI890">_xlfn.SWITCH(tbl_HR_Data[[#This Row],[MaritalStatus]],"Single",0,"Married",1,"Divorced",2)</f>
        <v>1</v>
      </c>
      <c r="AJ890">
        <f>IF(tbl_HR_Data[[#This Row],[OverTime]]=1,1,0)</f>
        <v>1</v>
      </c>
      <c r="AK890">
        <f>IF(tbl_HR_Data[[#This Row],[DistanceFromHome]]&gt;15,1,0)</f>
        <v>0</v>
      </c>
      <c r="AL890">
        <f>IF(tbl_HR_Data[[#This Row],[JobSatisfaction]]&lt;=2,1,0)</f>
        <v>0</v>
      </c>
      <c r="AM890">
        <f>IF(tbl_HR_Data[[#This Row],[MonthlyIncome]]&lt;$AT$2,1,0)</f>
        <v>0</v>
      </c>
      <c r="AN890">
        <f>IF(tbl_HR_Data[[#This Row],[Travel_Code]]=2,1,0)</f>
        <v>0</v>
      </c>
      <c r="AO890">
        <f>(tbl_HR_Data[[#This Row],[Flag_OT]] * Logic_Parameters!$B$2) +
 (tbl_HR_Data[[#This Row],[Flag_Travel]] * Logic_Parameters!$B$3) +
 (tbl_HR_Data[[#This Row],[Flag_Satisfaction]] * Logic_Parameters!$B$4) +
 (tbl_HR_Data[[#This Row],[Flag_Distance]]* Logic_Parameters!$B$5) +
 (tbl_HR_Data[[#This Row],[Flag_Income]] * Logic_Parameters!$B$6)</f>
        <v>10</v>
      </c>
      <c r="AP890" s="15">
        <f>tbl_HR_Data[[#This Row],[Risk_Score_Raw]] / SUM(Logic_Parameters!$B$2:$B$6)</f>
        <v>0.3445251318258073</v>
      </c>
      <c r="AQ890" s="16" t="str" cm="1">
        <f t="array" ref="AQ890">_xlfn.IFS(tbl_HR_Data[[#This Row],[Attrition_Risk_Percentage]] &gt;= 0.75, "Critical",tbl_HR_Data[ [#This Row],[Attrition_Risk_Percentage] ]&gt;= 0.5, "High",tbl_HR_Data[[#This Row],[Attrition_Risk_Percentage]] &gt;= 0.25, "Medium",TRUE, "Low")</f>
        <v>Medium</v>
      </c>
      <c r="AR890" s="16" cm="1">
        <f t="array" ref="AR890">IFERROR(_xlfn.IFS(tbl_HR_Data[[#This Row],[Risk_Category]]="Critical",tbl_HR_Data[[#This Row],[MonthlyIncome]]*1.5,tbl_HR_Data[[#This Row],[Risk_Category]]="High",tbl_HR_Data[[#This Row],[MonthlyIncome]]*1.5),0)</f>
        <v>0</v>
      </c>
    </row>
    <row r="891" spans="1:44" x14ac:dyDescent="0.35">
      <c r="A891" t="s">
        <v>1488</v>
      </c>
      <c r="B891">
        <v>27</v>
      </c>
      <c r="C891" t="s">
        <v>31</v>
      </c>
      <c r="D891">
        <v>1103</v>
      </c>
      <c r="E891" t="s">
        <v>38</v>
      </c>
      <c r="F891">
        <v>14</v>
      </c>
      <c r="G891">
        <v>3</v>
      </c>
      <c r="H891" t="s">
        <v>33</v>
      </c>
      <c r="I891">
        <v>1</v>
      </c>
      <c r="J891" t="s">
        <v>39</v>
      </c>
      <c r="K891">
        <v>42</v>
      </c>
      <c r="L891">
        <v>3</v>
      </c>
      <c r="M891">
        <v>1</v>
      </c>
      <c r="N891" t="s">
        <v>40</v>
      </c>
      <c r="O891">
        <v>1</v>
      </c>
      <c r="P891" t="s">
        <v>41</v>
      </c>
      <c r="Q891">
        <v>2235</v>
      </c>
      <c r="R891">
        <v>14377</v>
      </c>
      <c r="S891">
        <v>1</v>
      </c>
      <c r="T891">
        <v>1</v>
      </c>
      <c r="U891" s="17">
        <v>0.14000000000000001</v>
      </c>
      <c r="V891">
        <v>3</v>
      </c>
      <c r="W891">
        <v>4</v>
      </c>
      <c r="X891">
        <v>2</v>
      </c>
      <c r="Y891">
        <v>9</v>
      </c>
      <c r="Z891">
        <v>3</v>
      </c>
      <c r="AA891">
        <v>2</v>
      </c>
      <c r="AB891">
        <v>9</v>
      </c>
      <c r="AC891">
        <v>7</v>
      </c>
      <c r="AD891">
        <v>6</v>
      </c>
      <c r="AE891">
        <v>8</v>
      </c>
      <c r="AF891">
        <v>0</v>
      </c>
      <c r="AG891">
        <f>IF(tbl_HR_Data[[#This Row],[Gender]]="Male",1,0)</f>
        <v>1</v>
      </c>
      <c r="AH891" cm="1">
        <f t="array" ref="AH891">_xlfn.SWITCH(tbl_HR_Data[[#This Row],[BusinessTravel]], "Non-Travel", 0, "Travel_Rarely", 1, "Travel_Frequently", 2)</f>
        <v>1</v>
      </c>
      <c r="AI891" cm="1">
        <f t="array" ref="AI891">_xlfn.SWITCH(tbl_HR_Data[[#This Row],[MaritalStatus]],"Single",0,"Married",1,"Divorced",2)</f>
        <v>1</v>
      </c>
      <c r="AJ891">
        <f>IF(tbl_HR_Data[[#This Row],[OverTime]]=1,1,0)</f>
        <v>1</v>
      </c>
      <c r="AK891">
        <f>IF(tbl_HR_Data[[#This Row],[DistanceFromHome]]&gt;15,1,0)</f>
        <v>0</v>
      </c>
      <c r="AL891">
        <f>IF(tbl_HR_Data[[#This Row],[JobSatisfaction]]&lt;=2,1,0)</f>
        <v>1</v>
      </c>
      <c r="AM891">
        <f>IF(tbl_HR_Data[[#This Row],[MonthlyIncome]]&lt;$AT$2,1,0)</f>
        <v>1</v>
      </c>
      <c r="AN891">
        <f>IF(tbl_HR_Data[[#This Row],[Travel_Code]]=2,1,0)</f>
        <v>0</v>
      </c>
      <c r="AO891">
        <f>(tbl_HR_Data[[#This Row],[Flag_OT]] * Logic_Parameters!$B$2) +
 (tbl_HR_Data[[#This Row],[Flag_Travel]] * Logic_Parameters!$B$3) +
 (tbl_HR_Data[[#This Row],[Flag_Satisfaction]] * Logic_Parameters!$B$4) +
 (tbl_HR_Data[[#This Row],[Flag_Distance]]* Logic_Parameters!$B$5) +
 (tbl_HR_Data[[#This Row],[Flag_Income]] * Logic_Parameters!$B$6)</f>
        <v>20.698962067398959</v>
      </c>
      <c r="AP891" s="15">
        <f>tbl_HR_Data[[#This Row],[Risk_Score_Raw]] / SUM(Logic_Parameters!$B$2:$B$6)</f>
        <v>0.71313126349280109</v>
      </c>
      <c r="AQ891" s="16" t="str" cm="1">
        <f t="array" ref="AQ891">_xlfn.IFS(tbl_HR_Data[[#This Row],[Attrition_Risk_Percentage]] &gt;= 0.75, "Critical",tbl_HR_Data[ [#This Row],[Attrition_Risk_Percentage] ]&gt;= 0.5, "High",tbl_HR_Data[[#This Row],[Attrition_Risk_Percentage]] &gt;= 0.25, "Medium",TRUE, "Low")</f>
        <v>High</v>
      </c>
      <c r="AR891" s="16" cm="1">
        <f t="array" ref="AR891">IFERROR(_xlfn.IFS(tbl_HR_Data[[#This Row],[Risk_Category]]="Critical",tbl_HR_Data[[#This Row],[MonthlyIncome]]*1.5,tbl_HR_Data[[#This Row],[Risk_Category]]="High",tbl_HR_Data[[#This Row],[MonthlyIncome]]*1.5),0)</f>
        <v>3352.5</v>
      </c>
    </row>
    <row r="892" spans="1:44" x14ac:dyDescent="0.35">
      <c r="A892" t="s">
        <v>283</v>
      </c>
      <c r="B892">
        <v>54</v>
      </c>
      <c r="C892" t="s">
        <v>37</v>
      </c>
      <c r="D892">
        <v>966</v>
      </c>
      <c r="E892" t="s">
        <v>38</v>
      </c>
      <c r="F892">
        <v>1</v>
      </c>
      <c r="G892">
        <v>4</v>
      </c>
      <c r="H892" t="s">
        <v>33</v>
      </c>
      <c r="I892">
        <v>4</v>
      </c>
      <c r="J892" t="s">
        <v>34</v>
      </c>
      <c r="K892">
        <v>53</v>
      </c>
      <c r="L892">
        <v>3</v>
      </c>
      <c r="M892">
        <v>3</v>
      </c>
      <c r="N892" t="s">
        <v>46</v>
      </c>
      <c r="O892">
        <v>3</v>
      </c>
      <c r="P892" t="s">
        <v>45</v>
      </c>
      <c r="Q892">
        <v>10502</v>
      </c>
      <c r="R892">
        <v>9659</v>
      </c>
      <c r="S892">
        <v>7</v>
      </c>
      <c r="T892">
        <v>0</v>
      </c>
      <c r="U892" s="17">
        <v>0.17</v>
      </c>
      <c r="V892">
        <v>3</v>
      </c>
      <c r="W892">
        <v>1</v>
      </c>
      <c r="X892">
        <v>1</v>
      </c>
      <c r="Y892">
        <v>33</v>
      </c>
      <c r="Z892">
        <v>2</v>
      </c>
      <c r="AA892">
        <v>1</v>
      </c>
      <c r="AB892">
        <v>5</v>
      </c>
      <c r="AC892">
        <v>4</v>
      </c>
      <c r="AD892">
        <v>1</v>
      </c>
      <c r="AE892">
        <v>4</v>
      </c>
      <c r="AF892">
        <v>0</v>
      </c>
      <c r="AG892">
        <f>IF(tbl_HR_Data[[#This Row],[Gender]]="Male",1,0)</f>
        <v>0</v>
      </c>
      <c r="AH892" cm="1">
        <f t="array" ref="AH892">_xlfn.SWITCH(tbl_HR_Data[[#This Row],[BusinessTravel]], "Non-Travel", 0, "Travel_Rarely", 1, "Travel_Frequently", 2)</f>
        <v>2</v>
      </c>
      <c r="AI892" cm="1">
        <f t="array" ref="AI892">_xlfn.SWITCH(tbl_HR_Data[[#This Row],[MaritalStatus]],"Single",0,"Married",1,"Divorced",2)</f>
        <v>2</v>
      </c>
      <c r="AJ892">
        <f>IF(tbl_HR_Data[[#This Row],[OverTime]]=1,1,0)</f>
        <v>0</v>
      </c>
      <c r="AK892">
        <f>IF(tbl_HR_Data[[#This Row],[DistanceFromHome]]&gt;15,1,0)</f>
        <v>0</v>
      </c>
      <c r="AL892">
        <f>IF(tbl_HR_Data[[#This Row],[JobSatisfaction]]&lt;=2,1,0)</f>
        <v>0</v>
      </c>
      <c r="AM892">
        <f>IF(tbl_HR_Data[[#This Row],[MonthlyIncome]]&lt;$AT$2,1,0)</f>
        <v>0</v>
      </c>
      <c r="AN892">
        <f>IF(tbl_HR_Data[[#This Row],[Travel_Code]]=2,1,0)</f>
        <v>1</v>
      </c>
      <c r="AO892">
        <f>(tbl_HR_Data[[#This Row],[Flag_OT]] * Logic_Parameters!$B$2) +
 (tbl_HR_Data[[#This Row],[Flag_Travel]] * Logic_Parameters!$B$3) +
 (tbl_HR_Data[[#This Row],[Flag_Satisfaction]] * Logic_Parameters!$B$4) +
 (tbl_HR_Data[[#This Row],[Flag_Distance]]* Logic_Parameters!$B$5) +
 (tbl_HR_Data[[#This Row],[Flag_Income]] * Logic_Parameters!$B$6)</f>
        <v>5.1603899804901765</v>
      </c>
      <c r="AP892" s="15">
        <f>tbl_HR_Data[[#This Row],[Risk_Score_Raw]] / SUM(Logic_Parameters!$B$2:$B$6)</f>
        <v>0.17778840383009531</v>
      </c>
      <c r="AQ892" s="16" t="str" cm="1">
        <f t="array" ref="AQ892">_xlfn.IFS(tbl_HR_Data[[#This Row],[Attrition_Risk_Percentage]] &gt;= 0.75, "Critical",tbl_HR_Data[ [#This Row],[Attrition_Risk_Percentage] ]&gt;= 0.5, "High",tbl_HR_Data[[#This Row],[Attrition_Risk_Percentage]] &gt;= 0.25, "Medium",TRUE, "Low")</f>
        <v>Low</v>
      </c>
      <c r="AR892" s="16" cm="1">
        <f t="array" ref="AR892">IFERROR(_xlfn.IFS(tbl_HR_Data[[#This Row],[Risk_Category]]="Critical",tbl_HR_Data[[#This Row],[MonthlyIncome]]*1.5,tbl_HR_Data[[#This Row],[Risk_Category]]="High",tbl_HR_Data[[#This Row],[MonthlyIncome]]*1.5),0)</f>
        <v>0</v>
      </c>
    </row>
    <row r="893" spans="1:44" x14ac:dyDescent="0.35">
      <c r="A893" t="s">
        <v>1400</v>
      </c>
      <c r="B893">
        <v>44</v>
      </c>
      <c r="C893" t="s">
        <v>31</v>
      </c>
      <c r="D893">
        <v>1117</v>
      </c>
      <c r="E893" t="s">
        <v>38</v>
      </c>
      <c r="F893">
        <v>2</v>
      </c>
      <c r="G893">
        <v>1</v>
      </c>
      <c r="H893" t="s">
        <v>33</v>
      </c>
      <c r="I893">
        <v>1</v>
      </c>
      <c r="J893" t="s">
        <v>34</v>
      </c>
      <c r="K893">
        <v>72</v>
      </c>
      <c r="L893">
        <v>4</v>
      </c>
      <c r="M893">
        <v>1</v>
      </c>
      <c r="N893" t="s">
        <v>40</v>
      </c>
      <c r="O893">
        <v>4</v>
      </c>
      <c r="P893" t="s">
        <v>41</v>
      </c>
      <c r="Q893">
        <v>2011</v>
      </c>
      <c r="R893">
        <v>19982</v>
      </c>
      <c r="S893">
        <v>1</v>
      </c>
      <c r="T893">
        <v>0</v>
      </c>
      <c r="U893" s="17">
        <v>0.13</v>
      </c>
      <c r="V893">
        <v>3</v>
      </c>
      <c r="W893">
        <v>4</v>
      </c>
      <c r="X893">
        <v>1</v>
      </c>
      <c r="Y893">
        <v>10</v>
      </c>
      <c r="Z893">
        <v>5</v>
      </c>
      <c r="AA893">
        <v>3</v>
      </c>
      <c r="AB893">
        <v>10</v>
      </c>
      <c r="AC893">
        <v>5</v>
      </c>
      <c r="AD893">
        <v>7</v>
      </c>
      <c r="AE893">
        <v>7</v>
      </c>
      <c r="AF893">
        <v>0</v>
      </c>
      <c r="AG893">
        <f>IF(tbl_HR_Data[[#This Row],[Gender]]="Male",1,0)</f>
        <v>0</v>
      </c>
      <c r="AH893" cm="1">
        <f t="array" ref="AH893">_xlfn.SWITCH(tbl_HR_Data[[#This Row],[BusinessTravel]], "Non-Travel", 0, "Travel_Rarely", 1, "Travel_Frequently", 2)</f>
        <v>1</v>
      </c>
      <c r="AI893" cm="1">
        <f t="array" ref="AI893">_xlfn.SWITCH(tbl_HR_Data[[#This Row],[MaritalStatus]],"Single",0,"Married",1,"Divorced",2)</f>
        <v>1</v>
      </c>
      <c r="AJ893">
        <f>IF(tbl_HR_Data[[#This Row],[OverTime]]=1,1,0)</f>
        <v>0</v>
      </c>
      <c r="AK893">
        <f>IF(tbl_HR_Data[[#This Row],[DistanceFromHome]]&gt;15,1,0)</f>
        <v>0</v>
      </c>
      <c r="AL893">
        <f>IF(tbl_HR_Data[[#This Row],[JobSatisfaction]]&lt;=2,1,0)</f>
        <v>0</v>
      </c>
      <c r="AM893">
        <f>IF(tbl_HR_Data[[#This Row],[MonthlyIncome]]&lt;$AT$2,1,0)</f>
        <v>1</v>
      </c>
      <c r="AN893">
        <f>IF(tbl_HR_Data[[#This Row],[Travel_Code]]=2,1,0)</f>
        <v>0</v>
      </c>
      <c r="AO893">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893" s="15">
        <f>tbl_HR_Data[[#This Row],[Risk_Score_Raw]] / SUM(Logic_Parameters!$B$2:$B$6)</f>
        <v>0.22374939857982484</v>
      </c>
      <c r="AQ893" s="16" t="str" cm="1">
        <f t="array" ref="AQ893">_xlfn.IFS(tbl_HR_Data[[#This Row],[Attrition_Risk_Percentage]] &gt;= 0.75, "Critical",tbl_HR_Data[ [#This Row],[Attrition_Risk_Percentage] ]&gt;= 0.5, "High",tbl_HR_Data[[#This Row],[Attrition_Risk_Percentage]] &gt;= 0.25, "Medium",TRUE, "Low")</f>
        <v>Low</v>
      </c>
      <c r="AR893" s="16" cm="1">
        <f t="array" ref="AR893">IFERROR(_xlfn.IFS(tbl_HR_Data[[#This Row],[Risk_Category]]="Critical",tbl_HR_Data[[#This Row],[MonthlyIncome]]*1.5,tbl_HR_Data[[#This Row],[Risk_Category]]="High",tbl_HR_Data[[#This Row],[MonthlyIncome]]*1.5),0)</f>
        <v>0</v>
      </c>
    </row>
    <row r="894" spans="1:44" x14ac:dyDescent="0.35">
      <c r="A894" t="s">
        <v>723</v>
      </c>
      <c r="B894">
        <v>19</v>
      </c>
      <c r="C894" t="s">
        <v>1525</v>
      </c>
      <c r="D894">
        <v>504</v>
      </c>
      <c r="E894" t="s">
        <v>38</v>
      </c>
      <c r="F894">
        <v>10</v>
      </c>
      <c r="G894">
        <v>3</v>
      </c>
      <c r="H894" t="s">
        <v>44</v>
      </c>
      <c r="I894">
        <v>1</v>
      </c>
      <c r="J894" t="s">
        <v>34</v>
      </c>
      <c r="K894">
        <v>96</v>
      </c>
      <c r="L894">
        <v>2</v>
      </c>
      <c r="M894">
        <v>1</v>
      </c>
      <c r="N894" t="s">
        <v>40</v>
      </c>
      <c r="O894">
        <v>2</v>
      </c>
      <c r="P894" t="s">
        <v>36</v>
      </c>
      <c r="Q894">
        <v>1859</v>
      </c>
      <c r="R894">
        <v>6148</v>
      </c>
      <c r="S894">
        <v>1</v>
      </c>
      <c r="T894">
        <v>1</v>
      </c>
      <c r="U894" s="17">
        <v>0.25</v>
      </c>
      <c r="V894">
        <v>4</v>
      </c>
      <c r="W894">
        <v>2</v>
      </c>
      <c r="X894">
        <v>0</v>
      </c>
      <c r="Y894">
        <v>1</v>
      </c>
      <c r="Z894">
        <v>2</v>
      </c>
      <c r="AA894">
        <v>4</v>
      </c>
      <c r="AB894">
        <v>1</v>
      </c>
      <c r="AC894">
        <v>1</v>
      </c>
      <c r="AD894">
        <v>0</v>
      </c>
      <c r="AE894">
        <v>0</v>
      </c>
      <c r="AF894">
        <v>1</v>
      </c>
      <c r="AG894">
        <f>IF(tbl_HR_Data[[#This Row],[Gender]]="Male",1,0)</f>
        <v>0</v>
      </c>
      <c r="AH894" cm="1">
        <f t="array" ref="AH894">_xlfn.SWITCH(tbl_HR_Data[[#This Row],[BusinessTravel]], "Non-Travel", 0, "Travel_Rarely", 1, "Travel_Frequently", 2)</f>
        <v>0</v>
      </c>
      <c r="AI894" cm="1">
        <f t="array" ref="AI894">_xlfn.SWITCH(tbl_HR_Data[[#This Row],[MaritalStatus]],"Single",0,"Married",1,"Divorced",2)</f>
        <v>0</v>
      </c>
      <c r="AJ894">
        <f>IF(tbl_HR_Data[[#This Row],[OverTime]]=1,1,0)</f>
        <v>1</v>
      </c>
      <c r="AK894">
        <f>IF(tbl_HR_Data[[#This Row],[DistanceFromHome]]&gt;15,1,0)</f>
        <v>0</v>
      </c>
      <c r="AL894">
        <f>IF(tbl_HR_Data[[#This Row],[JobSatisfaction]]&lt;=2,1,0)</f>
        <v>1</v>
      </c>
      <c r="AM894">
        <f>IF(tbl_HR_Data[[#This Row],[MonthlyIncome]]&lt;$AT$2,1,0)</f>
        <v>1</v>
      </c>
      <c r="AN894">
        <f>IF(tbl_HR_Data[[#This Row],[Travel_Code]]=2,1,0)</f>
        <v>0</v>
      </c>
      <c r="AO894">
        <f>(tbl_HR_Data[[#This Row],[Flag_OT]] * Logic_Parameters!$B$2) +
 (tbl_HR_Data[[#This Row],[Flag_Travel]] * Logic_Parameters!$B$3) +
 (tbl_HR_Data[[#This Row],[Flag_Satisfaction]] * Logic_Parameters!$B$4) +
 (tbl_HR_Data[[#This Row],[Flag_Distance]]* Logic_Parameters!$B$5) +
 (tbl_HR_Data[[#This Row],[Flag_Income]] * Logic_Parameters!$B$6)</f>
        <v>20.698962067398959</v>
      </c>
      <c r="AP894" s="15">
        <f>tbl_HR_Data[[#This Row],[Risk_Score_Raw]] / SUM(Logic_Parameters!$B$2:$B$6)</f>
        <v>0.71313126349280109</v>
      </c>
      <c r="AQ894" s="16" t="str" cm="1">
        <f t="array" ref="AQ894">_xlfn.IFS(tbl_HR_Data[[#This Row],[Attrition_Risk_Percentage]] &gt;= 0.75, "Critical",tbl_HR_Data[ [#This Row],[Attrition_Risk_Percentage] ]&gt;= 0.5, "High",tbl_HR_Data[[#This Row],[Attrition_Risk_Percentage]] &gt;= 0.25, "Medium",TRUE, "Low")</f>
        <v>High</v>
      </c>
      <c r="AR894" s="16" cm="1">
        <f t="array" ref="AR894">IFERROR(_xlfn.IFS(tbl_HR_Data[[#This Row],[Risk_Category]]="Critical",tbl_HR_Data[[#This Row],[MonthlyIncome]]*1.5,tbl_HR_Data[[#This Row],[Risk_Category]]="High",tbl_HR_Data[[#This Row],[MonthlyIncome]]*1.5),0)</f>
        <v>2788.5</v>
      </c>
    </row>
    <row r="895" spans="1:44" x14ac:dyDescent="0.35">
      <c r="A895" t="s">
        <v>1310</v>
      </c>
      <c r="B895">
        <v>29</v>
      </c>
      <c r="C895" t="s">
        <v>31</v>
      </c>
      <c r="D895">
        <v>1010</v>
      </c>
      <c r="E895" t="s">
        <v>38</v>
      </c>
      <c r="F895">
        <v>1</v>
      </c>
      <c r="G895">
        <v>3</v>
      </c>
      <c r="H895" t="s">
        <v>33</v>
      </c>
      <c r="I895">
        <v>1</v>
      </c>
      <c r="J895" t="s">
        <v>34</v>
      </c>
      <c r="K895">
        <v>97</v>
      </c>
      <c r="L895">
        <v>3</v>
      </c>
      <c r="M895">
        <v>1</v>
      </c>
      <c r="N895" t="s">
        <v>40</v>
      </c>
      <c r="O895">
        <v>4</v>
      </c>
      <c r="P895" t="s">
        <v>45</v>
      </c>
      <c r="Q895">
        <v>3760</v>
      </c>
      <c r="R895">
        <v>5598</v>
      </c>
      <c r="S895">
        <v>1</v>
      </c>
      <c r="T895">
        <v>0</v>
      </c>
      <c r="U895" s="17">
        <v>0.15</v>
      </c>
      <c r="V895">
        <v>3</v>
      </c>
      <c r="W895">
        <v>1</v>
      </c>
      <c r="X895">
        <v>3</v>
      </c>
      <c r="Y895">
        <v>3</v>
      </c>
      <c r="Z895">
        <v>5</v>
      </c>
      <c r="AA895">
        <v>3</v>
      </c>
      <c r="AB895">
        <v>3</v>
      </c>
      <c r="AC895">
        <v>2</v>
      </c>
      <c r="AD895">
        <v>1</v>
      </c>
      <c r="AE895">
        <v>2</v>
      </c>
      <c r="AF895">
        <v>0</v>
      </c>
      <c r="AG895">
        <f>IF(tbl_HR_Data[[#This Row],[Gender]]="Male",1,0)</f>
        <v>0</v>
      </c>
      <c r="AH895" cm="1">
        <f t="array" ref="AH895">_xlfn.SWITCH(tbl_HR_Data[[#This Row],[BusinessTravel]], "Non-Travel", 0, "Travel_Rarely", 1, "Travel_Frequently", 2)</f>
        <v>1</v>
      </c>
      <c r="AI895" cm="1">
        <f t="array" ref="AI895">_xlfn.SWITCH(tbl_HR_Data[[#This Row],[MaritalStatus]],"Single",0,"Married",1,"Divorced",2)</f>
        <v>2</v>
      </c>
      <c r="AJ895">
        <f>IF(tbl_HR_Data[[#This Row],[OverTime]]=1,1,0)</f>
        <v>0</v>
      </c>
      <c r="AK895">
        <f>IF(tbl_HR_Data[[#This Row],[DistanceFromHome]]&gt;15,1,0)</f>
        <v>0</v>
      </c>
      <c r="AL895">
        <f>IF(tbl_HR_Data[[#This Row],[JobSatisfaction]]&lt;=2,1,0)</f>
        <v>0</v>
      </c>
      <c r="AM895">
        <f>IF(tbl_HR_Data[[#This Row],[MonthlyIncome]]&lt;$AT$2,1,0)</f>
        <v>1</v>
      </c>
      <c r="AN895">
        <f>IF(tbl_HR_Data[[#This Row],[Travel_Code]]=2,1,0)</f>
        <v>0</v>
      </c>
      <c r="AO895">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895" s="15">
        <f>tbl_HR_Data[[#This Row],[Risk_Score_Raw]] / SUM(Logic_Parameters!$B$2:$B$6)</f>
        <v>0.22374939857982484</v>
      </c>
      <c r="AQ895" s="16" t="str" cm="1">
        <f t="array" ref="AQ895">_xlfn.IFS(tbl_HR_Data[[#This Row],[Attrition_Risk_Percentage]] &gt;= 0.75, "Critical",tbl_HR_Data[ [#This Row],[Attrition_Risk_Percentage] ]&gt;= 0.5, "High",tbl_HR_Data[[#This Row],[Attrition_Risk_Percentage]] &gt;= 0.25, "Medium",TRUE, "Low")</f>
        <v>Low</v>
      </c>
      <c r="AR895" s="16" cm="1">
        <f t="array" ref="AR895">IFERROR(_xlfn.IFS(tbl_HR_Data[[#This Row],[Risk_Category]]="Critical",tbl_HR_Data[[#This Row],[MonthlyIncome]]*1.5,tbl_HR_Data[[#This Row],[Risk_Category]]="High",tbl_HR_Data[[#This Row],[MonthlyIncome]]*1.5),0)</f>
        <v>0</v>
      </c>
    </row>
    <row r="896" spans="1:44" x14ac:dyDescent="0.35">
      <c r="A896" t="s">
        <v>1075</v>
      </c>
      <c r="B896">
        <v>54</v>
      </c>
      <c r="C896" t="s">
        <v>31</v>
      </c>
      <c r="D896">
        <v>685</v>
      </c>
      <c r="E896" t="s">
        <v>38</v>
      </c>
      <c r="F896">
        <v>3</v>
      </c>
      <c r="G896">
        <v>3</v>
      </c>
      <c r="H896" t="s">
        <v>33</v>
      </c>
      <c r="I896">
        <v>4</v>
      </c>
      <c r="J896" t="s">
        <v>39</v>
      </c>
      <c r="K896">
        <v>85</v>
      </c>
      <c r="L896">
        <v>3</v>
      </c>
      <c r="M896">
        <v>4</v>
      </c>
      <c r="N896" t="s">
        <v>50</v>
      </c>
      <c r="O896">
        <v>4</v>
      </c>
      <c r="P896" t="s">
        <v>41</v>
      </c>
      <c r="Q896">
        <v>17779</v>
      </c>
      <c r="R896">
        <v>23474</v>
      </c>
      <c r="S896">
        <v>3</v>
      </c>
      <c r="T896">
        <v>0</v>
      </c>
      <c r="U896" s="17">
        <v>0.14000000000000001</v>
      </c>
      <c r="V896">
        <v>3</v>
      </c>
      <c r="W896">
        <v>1</v>
      </c>
      <c r="X896">
        <v>0</v>
      </c>
      <c r="Y896">
        <v>36</v>
      </c>
      <c r="Z896">
        <v>2</v>
      </c>
      <c r="AA896">
        <v>3</v>
      </c>
      <c r="AB896">
        <v>10</v>
      </c>
      <c r="AC896">
        <v>9</v>
      </c>
      <c r="AD896">
        <v>0</v>
      </c>
      <c r="AE896">
        <v>9</v>
      </c>
      <c r="AF896">
        <v>0</v>
      </c>
      <c r="AG896">
        <f>IF(tbl_HR_Data[[#This Row],[Gender]]="Male",1,0)</f>
        <v>1</v>
      </c>
      <c r="AH896" cm="1">
        <f t="array" ref="AH896">_xlfn.SWITCH(tbl_HR_Data[[#This Row],[BusinessTravel]], "Non-Travel", 0, "Travel_Rarely", 1, "Travel_Frequently", 2)</f>
        <v>1</v>
      </c>
      <c r="AI896" cm="1">
        <f t="array" ref="AI896">_xlfn.SWITCH(tbl_HR_Data[[#This Row],[MaritalStatus]],"Single",0,"Married",1,"Divorced",2)</f>
        <v>1</v>
      </c>
      <c r="AJ896">
        <f>IF(tbl_HR_Data[[#This Row],[OverTime]]=1,1,0)</f>
        <v>0</v>
      </c>
      <c r="AK896">
        <f>IF(tbl_HR_Data[[#This Row],[DistanceFromHome]]&gt;15,1,0)</f>
        <v>0</v>
      </c>
      <c r="AL896">
        <f>IF(tbl_HR_Data[[#This Row],[JobSatisfaction]]&lt;=2,1,0)</f>
        <v>0</v>
      </c>
      <c r="AM896">
        <f>IF(tbl_HR_Data[[#This Row],[MonthlyIncome]]&lt;$AT$2,1,0)</f>
        <v>0</v>
      </c>
      <c r="AN896">
        <f>IF(tbl_HR_Data[[#This Row],[Travel_Code]]=2,1,0)</f>
        <v>0</v>
      </c>
      <c r="AO896">
        <f>(tbl_HR_Data[[#This Row],[Flag_OT]] * Logic_Parameters!$B$2) +
 (tbl_HR_Data[[#This Row],[Flag_Travel]] * Logic_Parameters!$B$3) +
 (tbl_HR_Data[[#This Row],[Flag_Satisfaction]] * Logic_Parameters!$B$4) +
 (tbl_HR_Data[[#This Row],[Flag_Distance]]* Logic_Parameters!$B$5) +
 (tbl_HR_Data[[#This Row],[Flag_Income]] * Logic_Parameters!$B$6)</f>
        <v>0</v>
      </c>
      <c r="AP896" s="15">
        <f>tbl_HR_Data[[#This Row],[Risk_Score_Raw]] / SUM(Logic_Parameters!$B$2:$B$6)</f>
        <v>0</v>
      </c>
      <c r="AQ896" s="16" t="str" cm="1">
        <f t="array" ref="AQ896">_xlfn.IFS(tbl_HR_Data[[#This Row],[Attrition_Risk_Percentage]] &gt;= 0.75, "Critical",tbl_HR_Data[ [#This Row],[Attrition_Risk_Percentage] ]&gt;= 0.5, "High",tbl_HR_Data[[#This Row],[Attrition_Risk_Percentage]] &gt;= 0.25, "Medium",TRUE, "Low")</f>
        <v>Low</v>
      </c>
      <c r="AR896" s="16" cm="1">
        <f t="array" ref="AR896">IFERROR(_xlfn.IFS(tbl_HR_Data[[#This Row],[Risk_Category]]="Critical",tbl_HR_Data[[#This Row],[MonthlyIncome]]*1.5,tbl_HR_Data[[#This Row],[Risk_Category]]="High",tbl_HR_Data[[#This Row],[MonthlyIncome]]*1.5),0)</f>
        <v>0</v>
      </c>
    </row>
    <row r="897" spans="1:44" x14ac:dyDescent="0.35">
      <c r="A897" t="s">
        <v>382</v>
      </c>
      <c r="B897">
        <v>31</v>
      </c>
      <c r="C897" t="s">
        <v>31</v>
      </c>
      <c r="D897">
        <v>1332</v>
      </c>
      <c r="E897" t="s">
        <v>38</v>
      </c>
      <c r="F897">
        <v>11</v>
      </c>
      <c r="G897">
        <v>2</v>
      </c>
      <c r="H897" t="s">
        <v>44</v>
      </c>
      <c r="I897">
        <v>3</v>
      </c>
      <c r="J897" t="s">
        <v>39</v>
      </c>
      <c r="K897">
        <v>80</v>
      </c>
      <c r="L897">
        <v>3</v>
      </c>
      <c r="M897">
        <v>2</v>
      </c>
      <c r="N897" t="s">
        <v>47</v>
      </c>
      <c r="O897">
        <v>1</v>
      </c>
      <c r="P897" t="s">
        <v>41</v>
      </c>
      <c r="Q897">
        <v>6833</v>
      </c>
      <c r="R897">
        <v>17089</v>
      </c>
      <c r="S897">
        <v>1</v>
      </c>
      <c r="T897">
        <v>1</v>
      </c>
      <c r="U897" s="17">
        <v>0.12</v>
      </c>
      <c r="V897">
        <v>3</v>
      </c>
      <c r="W897">
        <v>4</v>
      </c>
      <c r="X897">
        <v>0</v>
      </c>
      <c r="Y897">
        <v>6</v>
      </c>
      <c r="Z897">
        <v>2</v>
      </c>
      <c r="AA897">
        <v>2</v>
      </c>
      <c r="AB897">
        <v>6</v>
      </c>
      <c r="AC897">
        <v>5</v>
      </c>
      <c r="AD897">
        <v>0</v>
      </c>
      <c r="AE897">
        <v>1</v>
      </c>
      <c r="AF897">
        <v>0</v>
      </c>
      <c r="AG897">
        <f>IF(tbl_HR_Data[[#This Row],[Gender]]="Male",1,0)</f>
        <v>1</v>
      </c>
      <c r="AH897" cm="1">
        <f t="array" ref="AH897">_xlfn.SWITCH(tbl_HR_Data[[#This Row],[BusinessTravel]], "Non-Travel", 0, "Travel_Rarely", 1, "Travel_Frequently", 2)</f>
        <v>1</v>
      </c>
      <c r="AI897" cm="1">
        <f t="array" ref="AI897">_xlfn.SWITCH(tbl_HR_Data[[#This Row],[MaritalStatus]],"Single",0,"Married",1,"Divorced",2)</f>
        <v>1</v>
      </c>
      <c r="AJ897">
        <f>IF(tbl_HR_Data[[#This Row],[OverTime]]=1,1,0)</f>
        <v>1</v>
      </c>
      <c r="AK897">
        <f>IF(tbl_HR_Data[[#This Row],[DistanceFromHome]]&gt;15,1,0)</f>
        <v>0</v>
      </c>
      <c r="AL897">
        <f>IF(tbl_HR_Data[[#This Row],[JobSatisfaction]]&lt;=2,1,0)</f>
        <v>1</v>
      </c>
      <c r="AM897">
        <f>IF(tbl_HR_Data[[#This Row],[MonthlyIncome]]&lt;$AT$2,1,0)</f>
        <v>0</v>
      </c>
      <c r="AN897">
        <f>IF(tbl_HR_Data[[#This Row],[Travel_Code]]=2,1,0)</f>
        <v>0</v>
      </c>
      <c r="AO897">
        <f>(tbl_HR_Data[[#This Row],[Flag_OT]] * Logic_Parameters!$B$2) +
 (tbl_HR_Data[[#This Row],[Flag_Travel]] * Logic_Parameters!$B$3) +
 (tbl_HR_Data[[#This Row],[Flag_Satisfaction]] * Logic_Parameters!$B$4) +
 (tbl_HR_Data[[#This Row],[Flag_Distance]]* Logic_Parameters!$B$5) +
 (tbl_HR_Data[[#This Row],[Flag_Income]] * Logic_Parameters!$B$6)</f>
        <v>14.204533129978131</v>
      </c>
      <c r="AP897" s="15">
        <f>tbl_HR_Data[[#This Row],[Risk_Score_Raw]] / SUM(Logic_Parameters!$B$2:$B$6)</f>
        <v>0.48938186491297625</v>
      </c>
      <c r="AQ897" s="16" t="str" cm="1">
        <f t="array" ref="AQ897">_xlfn.IFS(tbl_HR_Data[[#This Row],[Attrition_Risk_Percentage]] &gt;= 0.75, "Critical",tbl_HR_Data[ [#This Row],[Attrition_Risk_Percentage] ]&gt;= 0.5, "High",tbl_HR_Data[[#This Row],[Attrition_Risk_Percentage]] &gt;= 0.25, "Medium",TRUE, "Low")</f>
        <v>Medium</v>
      </c>
      <c r="AR897" s="16" cm="1">
        <f t="array" ref="AR897">IFERROR(_xlfn.IFS(tbl_HR_Data[[#This Row],[Risk_Category]]="Critical",tbl_HR_Data[[#This Row],[MonthlyIncome]]*1.5,tbl_HR_Data[[#This Row],[Risk_Category]]="High",tbl_HR_Data[[#This Row],[MonthlyIncome]]*1.5),0)</f>
        <v>0</v>
      </c>
    </row>
    <row r="898" spans="1:44" x14ac:dyDescent="0.35">
      <c r="A898" t="s">
        <v>384</v>
      </c>
      <c r="B898">
        <v>31</v>
      </c>
      <c r="C898" t="s">
        <v>31</v>
      </c>
      <c r="D898">
        <v>1062</v>
      </c>
      <c r="E898" t="s">
        <v>38</v>
      </c>
      <c r="F898">
        <v>24</v>
      </c>
      <c r="G898">
        <v>3</v>
      </c>
      <c r="H898" t="s">
        <v>44</v>
      </c>
      <c r="I898">
        <v>3</v>
      </c>
      <c r="J898" t="s">
        <v>34</v>
      </c>
      <c r="K898">
        <v>96</v>
      </c>
      <c r="L898">
        <v>2</v>
      </c>
      <c r="M898">
        <v>2</v>
      </c>
      <c r="N898" t="s">
        <v>47</v>
      </c>
      <c r="O898">
        <v>1</v>
      </c>
      <c r="P898" t="s">
        <v>36</v>
      </c>
      <c r="Q898">
        <v>6812</v>
      </c>
      <c r="R898">
        <v>17198</v>
      </c>
      <c r="S898">
        <v>1</v>
      </c>
      <c r="T898">
        <v>0</v>
      </c>
      <c r="U898" s="17">
        <v>0.19</v>
      </c>
      <c r="V898">
        <v>3</v>
      </c>
      <c r="W898">
        <v>2</v>
      </c>
      <c r="X898">
        <v>0</v>
      </c>
      <c r="Y898">
        <v>10</v>
      </c>
      <c r="Z898">
        <v>2</v>
      </c>
      <c r="AA898">
        <v>3</v>
      </c>
      <c r="AB898">
        <v>10</v>
      </c>
      <c r="AC898">
        <v>9</v>
      </c>
      <c r="AD898">
        <v>1</v>
      </c>
      <c r="AE898">
        <v>8</v>
      </c>
      <c r="AF898">
        <v>0</v>
      </c>
      <c r="AG898">
        <f>IF(tbl_HR_Data[[#This Row],[Gender]]="Male",1,0)</f>
        <v>0</v>
      </c>
      <c r="AH898" cm="1">
        <f t="array" ref="AH898">_xlfn.SWITCH(tbl_HR_Data[[#This Row],[BusinessTravel]], "Non-Travel", 0, "Travel_Rarely", 1, "Travel_Frequently", 2)</f>
        <v>1</v>
      </c>
      <c r="AI898" cm="1">
        <f t="array" ref="AI898">_xlfn.SWITCH(tbl_HR_Data[[#This Row],[MaritalStatus]],"Single",0,"Married",1,"Divorced",2)</f>
        <v>0</v>
      </c>
      <c r="AJ898">
        <f>IF(tbl_HR_Data[[#This Row],[OverTime]]=1,1,0)</f>
        <v>0</v>
      </c>
      <c r="AK898">
        <f>IF(tbl_HR_Data[[#This Row],[DistanceFromHome]]&gt;15,1,0)</f>
        <v>1</v>
      </c>
      <c r="AL898">
        <f>IF(tbl_HR_Data[[#This Row],[JobSatisfaction]]&lt;=2,1,0)</f>
        <v>1</v>
      </c>
      <c r="AM898">
        <f>IF(tbl_HR_Data[[#This Row],[MonthlyIncome]]&lt;$AT$2,1,0)</f>
        <v>0</v>
      </c>
      <c r="AN898">
        <f>IF(tbl_HR_Data[[#This Row],[Travel_Code]]=2,1,0)</f>
        <v>0</v>
      </c>
      <c r="AO898">
        <f>(tbl_HR_Data[[#This Row],[Flag_OT]] * Logic_Parameters!$B$2) +
 (tbl_HR_Data[[#This Row],[Flag_Travel]] * Logic_Parameters!$B$3) +
 (tbl_HR_Data[[#This Row],[Flag_Satisfaction]] * Logic_Parameters!$B$4) +
 (tbl_HR_Data[[#This Row],[Flag_Distance]]* Logic_Parameters!$B$5) +
 (tbl_HR_Data[[#This Row],[Flag_Income]] * Logic_Parameters!$B$6)</f>
        <v>7.3706398258535089</v>
      </c>
      <c r="AP898" s="15">
        <f>tbl_HR_Data[[#This Row],[Risk_Score_Raw]] / SUM(Logic_Parameters!$B$2:$B$6)</f>
        <v>0.25393706576427255</v>
      </c>
      <c r="AQ898" s="16" t="str" cm="1">
        <f t="array" ref="AQ898">_xlfn.IFS(tbl_HR_Data[[#This Row],[Attrition_Risk_Percentage]] &gt;= 0.75, "Critical",tbl_HR_Data[ [#This Row],[Attrition_Risk_Percentage] ]&gt;= 0.5, "High",tbl_HR_Data[[#This Row],[Attrition_Risk_Percentage]] &gt;= 0.25, "Medium",TRUE, "Low")</f>
        <v>Medium</v>
      </c>
      <c r="AR898" s="16" cm="1">
        <f t="array" ref="AR898">IFERROR(_xlfn.IFS(tbl_HR_Data[[#This Row],[Risk_Category]]="Critical",tbl_HR_Data[[#This Row],[MonthlyIncome]]*1.5,tbl_HR_Data[[#This Row],[Risk_Category]]="High",tbl_HR_Data[[#This Row],[MonthlyIncome]]*1.5),0)</f>
        <v>0</v>
      </c>
    </row>
    <row r="899" spans="1:44" x14ac:dyDescent="0.35">
      <c r="A899" t="s">
        <v>708</v>
      </c>
      <c r="B899">
        <v>59</v>
      </c>
      <c r="C899" t="s">
        <v>31</v>
      </c>
      <c r="D899">
        <v>326</v>
      </c>
      <c r="E899" t="s">
        <v>32</v>
      </c>
      <c r="F899">
        <v>3</v>
      </c>
      <c r="G899">
        <v>3</v>
      </c>
      <c r="H899" t="s">
        <v>33</v>
      </c>
      <c r="I899">
        <v>3</v>
      </c>
      <c r="J899" t="s">
        <v>34</v>
      </c>
      <c r="K899">
        <v>48</v>
      </c>
      <c r="L899">
        <v>2</v>
      </c>
      <c r="M899">
        <v>2</v>
      </c>
      <c r="N899" t="s">
        <v>35</v>
      </c>
      <c r="O899">
        <v>4</v>
      </c>
      <c r="P899" t="s">
        <v>36</v>
      </c>
      <c r="Q899">
        <v>5171</v>
      </c>
      <c r="R899">
        <v>16490</v>
      </c>
      <c r="S899">
        <v>5</v>
      </c>
      <c r="T899">
        <v>0</v>
      </c>
      <c r="U899" s="17">
        <v>0.17</v>
      </c>
      <c r="V899">
        <v>3</v>
      </c>
      <c r="W899">
        <v>4</v>
      </c>
      <c r="X899">
        <v>0</v>
      </c>
      <c r="Y899">
        <v>13</v>
      </c>
      <c r="Z899">
        <v>2</v>
      </c>
      <c r="AA899">
        <v>3</v>
      </c>
      <c r="AB899">
        <v>6</v>
      </c>
      <c r="AC899">
        <v>1</v>
      </c>
      <c r="AD899">
        <v>0</v>
      </c>
      <c r="AE899">
        <v>5</v>
      </c>
      <c r="AF899">
        <v>0</v>
      </c>
      <c r="AG899">
        <f>IF(tbl_HR_Data[[#This Row],[Gender]]="Male",1,0)</f>
        <v>0</v>
      </c>
      <c r="AH899" cm="1">
        <f t="array" ref="AH899">_xlfn.SWITCH(tbl_HR_Data[[#This Row],[BusinessTravel]], "Non-Travel", 0, "Travel_Rarely", 1, "Travel_Frequently", 2)</f>
        <v>1</v>
      </c>
      <c r="AI899" cm="1">
        <f t="array" ref="AI899">_xlfn.SWITCH(tbl_HR_Data[[#This Row],[MaritalStatus]],"Single",0,"Married",1,"Divorced",2)</f>
        <v>0</v>
      </c>
      <c r="AJ899">
        <f>IF(tbl_HR_Data[[#This Row],[OverTime]]=1,1,0)</f>
        <v>0</v>
      </c>
      <c r="AK899">
        <f>IF(tbl_HR_Data[[#This Row],[DistanceFromHome]]&gt;15,1,0)</f>
        <v>0</v>
      </c>
      <c r="AL899">
        <f>IF(tbl_HR_Data[[#This Row],[JobSatisfaction]]&lt;=2,1,0)</f>
        <v>0</v>
      </c>
      <c r="AM899">
        <f>IF(tbl_HR_Data[[#This Row],[MonthlyIncome]]&lt;$AT$2,1,0)</f>
        <v>0</v>
      </c>
      <c r="AN899">
        <f>IF(tbl_HR_Data[[#This Row],[Travel_Code]]=2,1,0)</f>
        <v>0</v>
      </c>
      <c r="AO899">
        <f>(tbl_HR_Data[[#This Row],[Flag_OT]] * Logic_Parameters!$B$2) +
 (tbl_HR_Data[[#This Row],[Flag_Travel]] * Logic_Parameters!$B$3) +
 (tbl_HR_Data[[#This Row],[Flag_Satisfaction]] * Logic_Parameters!$B$4) +
 (tbl_HR_Data[[#This Row],[Flag_Distance]]* Logic_Parameters!$B$5) +
 (tbl_HR_Data[[#This Row],[Flag_Income]] * Logic_Parameters!$B$6)</f>
        <v>0</v>
      </c>
      <c r="AP899" s="15">
        <f>tbl_HR_Data[[#This Row],[Risk_Score_Raw]] / SUM(Logic_Parameters!$B$2:$B$6)</f>
        <v>0</v>
      </c>
      <c r="AQ899" s="16" t="str" cm="1">
        <f t="array" ref="AQ899">_xlfn.IFS(tbl_HR_Data[[#This Row],[Attrition_Risk_Percentage]] &gt;= 0.75, "Critical",tbl_HR_Data[ [#This Row],[Attrition_Risk_Percentage] ]&gt;= 0.5, "High",tbl_HR_Data[[#This Row],[Attrition_Risk_Percentage]] &gt;= 0.25, "Medium",TRUE, "Low")</f>
        <v>Low</v>
      </c>
      <c r="AR899" s="16" cm="1">
        <f t="array" ref="AR899">IFERROR(_xlfn.IFS(tbl_HR_Data[[#This Row],[Risk_Category]]="Critical",tbl_HR_Data[[#This Row],[MonthlyIncome]]*1.5,tbl_HR_Data[[#This Row],[Risk_Category]]="High",tbl_HR_Data[[#This Row],[MonthlyIncome]]*1.5),0)</f>
        <v>0</v>
      </c>
    </row>
    <row r="900" spans="1:44" x14ac:dyDescent="0.35">
      <c r="A900" t="s">
        <v>538</v>
      </c>
      <c r="B900">
        <v>43</v>
      </c>
      <c r="C900" t="s">
        <v>31</v>
      </c>
      <c r="D900">
        <v>920</v>
      </c>
      <c r="E900" t="s">
        <v>38</v>
      </c>
      <c r="F900">
        <v>3</v>
      </c>
      <c r="G900">
        <v>3</v>
      </c>
      <c r="H900" t="s">
        <v>33</v>
      </c>
      <c r="I900">
        <v>3</v>
      </c>
      <c r="J900" t="s">
        <v>39</v>
      </c>
      <c r="K900">
        <v>96</v>
      </c>
      <c r="L900">
        <v>1</v>
      </c>
      <c r="M900">
        <v>5</v>
      </c>
      <c r="N900" t="s">
        <v>50</v>
      </c>
      <c r="O900">
        <v>4</v>
      </c>
      <c r="P900" t="s">
        <v>41</v>
      </c>
      <c r="Q900">
        <v>19740</v>
      </c>
      <c r="R900">
        <v>18625</v>
      </c>
      <c r="S900">
        <v>3</v>
      </c>
      <c r="T900">
        <v>0</v>
      </c>
      <c r="U900" s="17">
        <v>0.14000000000000001</v>
      </c>
      <c r="V900">
        <v>3</v>
      </c>
      <c r="W900">
        <v>2</v>
      </c>
      <c r="X900">
        <v>1</v>
      </c>
      <c r="Y900">
        <v>25</v>
      </c>
      <c r="Z900">
        <v>2</v>
      </c>
      <c r="AA900">
        <v>3</v>
      </c>
      <c r="AB900">
        <v>8</v>
      </c>
      <c r="AC900">
        <v>7</v>
      </c>
      <c r="AD900">
        <v>0</v>
      </c>
      <c r="AE900">
        <v>7</v>
      </c>
      <c r="AF900">
        <v>0</v>
      </c>
      <c r="AG900">
        <f>IF(tbl_HR_Data[[#This Row],[Gender]]="Male",1,0)</f>
        <v>1</v>
      </c>
      <c r="AH900" cm="1">
        <f t="array" ref="AH900">_xlfn.SWITCH(tbl_HR_Data[[#This Row],[BusinessTravel]], "Non-Travel", 0, "Travel_Rarely", 1, "Travel_Frequently", 2)</f>
        <v>1</v>
      </c>
      <c r="AI900" cm="1">
        <f t="array" ref="AI900">_xlfn.SWITCH(tbl_HR_Data[[#This Row],[MaritalStatus]],"Single",0,"Married",1,"Divorced",2)</f>
        <v>1</v>
      </c>
      <c r="AJ900">
        <f>IF(tbl_HR_Data[[#This Row],[OverTime]]=1,1,0)</f>
        <v>0</v>
      </c>
      <c r="AK900">
        <f>IF(tbl_HR_Data[[#This Row],[DistanceFromHome]]&gt;15,1,0)</f>
        <v>0</v>
      </c>
      <c r="AL900">
        <f>IF(tbl_HR_Data[[#This Row],[JobSatisfaction]]&lt;=2,1,0)</f>
        <v>0</v>
      </c>
      <c r="AM900">
        <f>IF(tbl_HR_Data[[#This Row],[MonthlyIncome]]&lt;$AT$2,1,0)</f>
        <v>0</v>
      </c>
      <c r="AN900">
        <f>IF(tbl_HR_Data[[#This Row],[Travel_Code]]=2,1,0)</f>
        <v>0</v>
      </c>
      <c r="AO900">
        <f>(tbl_HR_Data[[#This Row],[Flag_OT]] * Logic_Parameters!$B$2) +
 (tbl_HR_Data[[#This Row],[Flag_Travel]] * Logic_Parameters!$B$3) +
 (tbl_HR_Data[[#This Row],[Flag_Satisfaction]] * Logic_Parameters!$B$4) +
 (tbl_HR_Data[[#This Row],[Flag_Distance]]* Logic_Parameters!$B$5) +
 (tbl_HR_Data[[#This Row],[Flag_Income]] * Logic_Parameters!$B$6)</f>
        <v>0</v>
      </c>
      <c r="AP900" s="15">
        <f>tbl_HR_Data[[#This Row],[Risk_Score_Raw]] / SUM(Logic_Parameters!$B$2:$B$6)</f>
        <v>0</v>
      </c>
      <c r="AQ900" s="16" t="str" cm="1">
        <f t="array" ref="AQ900">_xlfn.IFS(tbl_HR_Data[[#This Row],[Attrition_Risk_Percentage]] &gt;= 0.75, "Critical",tbl_HR_Data[ [#This Row],[Attrition_Risk_Percentage] ]&gt;= 0.5, "High",tbl_HR_Data[[#This Row],[Attrition_Risk_Percentage]] &gt;= 0.25, "Medium",TRUE, "Low")</f>
        <v>Low</v>
      </c>
      <c r="AR900" s="16" cm="1">
        <f t="array" ref="AR900">IFERROR(_xlfn.IFS(tbl_HR_Data[[#This Row],[Risk_Category]]="Critical",tbl_HR_Data[[#This Row],[MonthlyIncome]]*1.5,tbl_HR_Data[[#This Row],[Risk_Category]]="High",tbl_HR_Data[[#This Row],[MonthlyIncome]]*1.5),0)</f>
        <v>0</v>
      </c>
    </row>
    <row r="901" spans="1:44" x14ac:dyDescent="0.35">
      <c r="A901" t="s">
        <v>559</v>
      </c>
      <c r="B901">
        <v>49</v>
      </c>
      <c r="C901" t="s">
        <v>31</v>
      </c>
      <c r="D901">
        <v>1098</v>
      </c>
      <c r="E901" t="s">
        <v>38</v>
      </c>
      <c r="F901">
        <v>4</v>
      </c>
      <c r="G901">
        <v>2</v>
      </c>
      <c r="H901" t="s">
        <v>44</v>
      </c>
      <c r="I901">
        <v>1</v>
      </c>
      <c r="J901" t="s">
        <v>39</v>
      </c>
      <c r="K901">
        <v>85</v>
      </c>
      <c r="L901">
        <v>2</v>
      </c>
      <c r="M901">
        <v>5</v>
      </c>
      <c r="N901" t="s">
        <v>48</v>
      </c>
      <c r="O901">
        <v>3</v>
      </c>
      <c r="P901" t="s">
        <v>41</v>
      </c>
      <c r="Q901">
        <v>18711</v>
      </c>
      <c r="R901">
        <v>12124</v>
      </c>
      <c r="S901">
        <v>2</v>
      </c>
      <c r="T901">
        <v>0</v>
      </c>
      <c r="U901" s="17">
        <v>0.13</v>
      </c>
      <c r="V901">
        <v>3</v>
      </c>
      <c r="W901">
        <v>3</v>
      </c>
      <c r="X901">
        <v>1</v>
      </c>
      <c r="Y901">
        <v>23</v>
      </c>
      <c r="Z901">
        <v>2</v>
      </c>
      <c r="AA901">
        <v>4</v>
      </c>
      <c r="AB901">
        <v>1</v>
      </c>
      <c r="AC901">
        <v>0</v>
      </c>
      <c r="AD901">
        <v>0</v>
      </c>
      <c r="AE901">
        <v>0</v>
      </c>
      <c r="AF901">
        <v>0</v>
      </c>
      <c r="AG901">
        <f>IF(tbl_HR_Data[[#This Row],[Gender]]="Male",1,0)</f>
        <v>1</v>
      </c>
      <c r="AH901" cm="1">
        <f t="array" ref="AH901">_xlfn.SWITCH(tbl_HR_Data[[#This Row],[BusinessTravel]], "Non-Travel", 0, "Travel_Rarely", 1, "Travel_Frequently", 2)</f>
        <v>1</v>
      </c>
      <c r="AI901" cm="1">
        <f t="array" ref="AI901">_xlfn.SWITCH(tbl_HR_Data[[#This Row],[MaritalStatus]],"Single",0,"Married",1,"Divorced",2)</f>
        <v>1</v>
      </c>
      <c r="AJ901">
        <f>IF(tbl_HR_Data[[#This Row],[OverTime]]=1,1,0)</f>
        <v>0</v>
      </c>
      <c r="AK901">
        <f>IF(tbl_HR_Data[[#This Row],[DistanceFromHome]]&gt;15,1,0)</f>
        <v>0</v>
      </c>
      <c r="AL901">
        <f>IF(tbl_HR_Data[[#This Row],[JobSatisfaction]]&lt;=2,1,0)</f>
        <v>0</v>
      </c>
      <c r="AM901">
        <f>IF(tbl_HR_Data[[#This Row],[MonthlyIncome]]&lt;$AT$2,1,0)</f>
        <v>0</v>
      </c>
      <c r="AN901">
        <f>IF(tbl_HR_Data[[#This Row],[Travel_Code]]=2,1,0)</f>
        <v>0</v>
      </c>
      <c r="AO901">
        <f>(tbl_HR_Data[[#This Row],[Flag_OT]] * Logic_Parameters!$B$2) +
 (tbl_HR_Data[[#This Row],[Flag_Travel]] * Logic_Parameters!$B$3) +
 (tbl_HR_Data[[#This Row],[Flag_Satisfaction]] * Logic_Parameters!$B$4) +
 (tbl_HR_Data[[#This Row],[Flag_Distance]]* Logic_Parameters!$B$5) +
 (tbl_HR_Data[[#This Row],[Flag_Income]] * Logic_Parameters!$B$6)</f>
        <v>0</v>
      </c>
      <c r="AP901" s="15">
        <f>tbl_HR_Data[[#This Row],[Risk_Score_Raw]] / SUM(Logic_Parameters!$B$2:$B$6)</f>
        <v>0</v>
      </c>
      <c r="AQ901" s="16" t="str" cm="1">
        <f t="array" ref="AQ901">_xlfn.IFS(tbl_HR_Data[[#This Row],[Attrition_Risk_Percentage]] &gt;= 0.75, "Critical",tbl_HR_Data[ [#This Row],[Attrition_Risk_Percentage] ]&gt;= 0.5, "High",tbl_HR_Data[[#This Row],[Attrition_Risk_Percentage]] &gt;= 0.25, "Medium",TRUE, "Low")</f>
        <v>Low</v>
      </c>
      <c r="AR901" s="16" cm="1">
        <f t="array" ref="AR901">IFERROR(_xlfn.IFS(tbl_HR_Data[[#This Row],[Risk_Category]]="Critical",tbl_HR_Data[[#This Row],[MonthlyIncome]]*1.5,tbl_HR_Data[[#This Row],[Risk_Category]]="High",tbl_HR_Data[[#This Row],[MonthlyIncome]]*1.5),0)</f>
        <v>0</v>
      </c>
    </row>
    <row r="902" spans="1:44" x14ac:dyDescent="0.35">
      <c r="A902" t="s">
        <v>1261</v>
      </c>
      <c r="B902">
        <v>36</v>
      </c>
      <c r="C902" t="s">
        <v>37</v>
      </c>
      <c r="D902">
        <v>469</v>
      </c>
      <c r="E902" t="s">
        <v>38</v>
      </c>
      <c r="F902">
        <v>3</v>
      </c>
      <c r="G902">
        <v>3</v>
      </c>
      <c r="H902" t="s">
        <v>52</v>
      </c>
      <c r="I902">
        <v>3</v>
      </c>
      <c r="J902" t="s">
        <v>39</v>
      </c>
      <c r="K902">
        <v>46</v>
      </c>
      <c r="L902">
        <v>3</v>
      </c>
      <c r="M902">
        <v>1</v>
      </c>
      <c r="N902" t="s">
        <v>40</v>
      </c>
      <c r="O902">
        <v>2</v>
      </c>
      <c r="P902" t="s">
        <v>41</v>
      </c>
      <c r="Q902">
        <v>3692</v>
      </c>
      <c r="R902">
        <v>9256</v>
      </c>
      <c r="S902">
        <v>1</v>
      </c>
      <c r="T902">
        <v>0</v>
      </c>
      <c r="U902" s="17">
        <v>0.12</v>
      </c>
      <c r="V902">
        <v>3</v>
      </c>
      <c r="W902">
        <v>3</v>
      </c>
      <c r="X902">
        <v>0</v>
      </c>
      <c r="Y902">
        <v>12</v>
      </c>
      <c r="Z902">
        <v>2</v>
      </c>
      <c r="AA902">
        <v>2</v>
      </c>
      <c r="AB902">
        <v>11</v>
      </c>
      <c r="AC902">
        <v>10</v>
      </c>
      <c r="AD902">
        <v>0</v>
      </c>
      <c r="AE902">
        <v>7</v>
      </c>
      <c r="AF902">
        <v>0</v>
      </c>
      <c r="AG902">
        <f>IF(tbl_HR_Data[[#This Row],[Gender]]="Male",1,0)</f>
        <v>1</v>
      </c>
      <c r="AH902" cm="1">
        <f t="array" ref="AH902">_xlfn.SWITCH(tbl_HR_Data[[#This Row],[BusinessTravel]], "Non-Travel", 0, "Travel_Rarely", 1, "Travel_Frequently", 2)</f>
        <v>2</v>
      </c>
      <c r="AI902" cm="1">
        <f t="array" ref="AI902">_xlfn.SWITCH(tbl_HR_Data[[#This Row],[MaritalStatus]],"Single",0,"Married",1,"Divorced",2)</f>
        <v>1</v>
      </c>
      <c r="AJ902">
        <f>IF(tbl_HR_Data[[#This Row],[OverTime]]=1,1,0)</f>
        <v>0</v>
      </c>
      <c r="AK902">
        <f>IF(tbl_HR_Data[[#This Row],[DistanceFromHome]]&gt;15,1,0)</f>
        <v>0</v>
      </c>
      <c r="AL902">
        <f>IF(tbl_HR_Data[[#This Row],[JobSatisfaction]]&lt;=2,1,0)</f>
        <v>1</v>
      </c>
      <c r="AM902">
        <f>IF(tbl_HR_Data[[#This Row],[MonthlyIncome]]&lt;$AT$2,1,0)</f>
        <v>1</v>
      </c>
      <c r="AN902">
        <f>IF(tbl_HR_Data[[#This Row],[Travel_Code]]=2,1,0)</f>
        <v>1</v>
      </c>
      <c r="AO902">
        <f>(tbl_HR_Data[[#This Row],[Flag_OT]] * Logic_Parameters!$B$2) +
 (tbl_HR_Data[[#This Row],[Flag_Travel]] * Logic_Parameters!$B$3) +
 (tbl_HR_Data[[#This Row],[Flag_Satisfaction]] * Logic_Parameters!$B$4) +
 (tbl_HR_Data[[#This Row],[Flag_Distance]]* Logic_Parameters!$B$5) +
 (tbl_HR_Data[[#This Row],[Flag_Income]] * Logic_Parameters!$B$6)</f>
        <v>15.859352047889136</v>
      </c>
      <c r="AP902" s="15">
        <f>tbl_HR_Data[[#This Row],[Risk_Score_Raw]] / SUM(Logic_Parameters!$B$2:$B$6)</f>
        <v>0.54639453549708916</v>
      </c>
      <c r="AQ902" s="16" t="str" cm="1">
        <f t="array" ref="AQ902">_xlfn.IFS(tbl_HR_Data[[#This Row],[Attrition_Risk_Percentage]] &gt;= 0.75, "Critical",tbl_HR_Data[ [#This Row],[Attrition_Risk_Percentage] ]&gt;= 0.5, "High",tbl_HR_Data[[#This Row],[Attrition_Risk_Percentage]] &gt;= 0.25, "Medium",TRUE, "Low")</f>
        <v>High</v>
      </c>
      <c r="AR902" s="16" cm="1">
        <f t="array" ref="AR902">IFERROR(_xlfn.IFS(tbl_HR_Data[[#This Row],[Risk_Category]]="Critical",tbl_HR_Data[[#This Row],[MonthlyIncome]]*1.5,tbl_HR_Data[[#This Row],[Risk_Category]]="High",tbl_HR_Data[[#This Row],[MonthlyIncome]]*1.5),0)</f>
        <v>5538</v>
      </c>
    </row>
    <row r="903" spans="1:44" x14ac:dyDescent="0.35">
      <c r="A903" t="s">
        <v>1303</v>
      </c>
      <c r="B903">
        <v>48</v>
      </c>
      <c r="C903" t="s">
        <v>31</v>
      </c>
      <c r="D903">
        <v>969</v>
      </c>
      <c r="E903" t="s">
        <v>38</v>
      </c>
      <c r="F903">
        <v>2</v>
      </c>
      <c r="G903">
        <v>2</v>
      </c>
      <c r="H903" t="s">
        <v>52</v>
      </c>
      <c r="I903">
        <v>4</v>
      </c>
      <c r="J903" t="s">
        <v>39</v>
      </c>
      <c r="K903">
        <v>76</v>
      </c>
      <c r="L903">
        <v>4</v>
      </c>
      <c r="M903">
        <v>1</v>
      </c>
      <c r="N903" t="s">
        <v>43</v>
      </c>
      <c r="O903">
        <v>2</v>
      </c>
      <c r="P903" t="s">
        <v>36</v>
      </c>
      <c r="Q903">
        <v>2559</v>
      </c>
      <c r="R903">
        <v>16620</v>
      </c>
      <c r="S903">
        <v>5</v>
      </c>
      <c r="T903">
        <v>0</v>
      </c>
      <c r="U903" s="17">
        <v>0.11</v>
      </c>
      <c r="V903">
        <v>3</v>
      </c>
      <c r="W903">
        <v>3</v>
      </c>
      <c r="X903">
        <v>0</v>
      </c>
      <c r="Y903">
        <v>7</v>
      </c>
      <c r="Z903">
        <v>4</v>
      </c>
      <c r="AA903">
        <v>2</v>
      </c>
      <c r="AB903">
        <v>1</v>
      </c>
      <c r="AC903">
        <v>0</v>
      </c>
      <c r="AD903">
        <v>0</v>
      </c>
      <c r="AE903">
        <v>0</v>
      </c>
      <c r="AF903">
        <v>0</v>
      </c>
      <c r="AG903">
        <f>IF(tbl_HR_Data[[#This Row],[Gender]]="Male",1,0)</f>
        <v>1</v>
      </c>
      <c r="AH903" cm="1">
        <f t="array" ref="AH903">_xlfn.SWITCH(tbl_HR_Data[[#This Row],[BusinessTravel]], "Non-Travel", 0, "Travel_Rarely", 1, "Travel_Frequently", 2)</f>
        <v>1</v>
      </c>
      <c r="AI903" cm="1">
        <f t="array" ref="AI903">_xlfn.SWITCH(tbl_HR_Data[[#This Row],[MaritalStatus]],"Single",0,"Married",1,"Divorced",2)</f>
        <v>0</v>
      </c>
      <c r="AJ903">
        <f>IF(tbl_HR_Data[[#This Row],[OverTime]]=1,1,0)</f>
        <v>0</v>
      </c>
      <c r="AK903">
        <f>IF(tbl_HR_Data[[#This Row],[DistanceFromHome]]&gt;15,1,0)</f>
        <v>0</v>
      </c>
      <c r="AL903">
        <f>IF(tbl_HR_Data[[#This Row],[JobSatisfaction]]&lt;=2,1,0)</f>
        <v>1</v>
      </c>
      <c r="AM903">
        <f>IF(tbl_HR_Data[[#This Row],[MonthlyIncome]]&lt;$AT$2,1,0)</f>
        <v>1</v>
      </c>
      <c r="AN903">
        <f>IF(tbl_HR_Data[[#This Row],[Travel_Code]]=2,1,0)</f>
        <v>0</v>
      </c>
      <c r="AO903">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903" s="15">
        <f>tbl_HR_Data[[#This Row],[Risk_Score_Raw]] / SUM(Logic_Parameters!$B$2:$B$6)</f>
        <v>0.3686061316669938</v>
      </c>
      <c r="AQ903" s="16" t="str" cm="1">
        <f t="array" ref="AQ903">_xlfn.IFS(tbl_HR_Data[[#This Row],[Attrition_Risk_Percentage]] &gt;= 0.75, "Critical",tbl_HR_Data[ [#This Row],[Attrition_Risk_Percentage] ]&gt;= 0.5, "High",tbl_HR_Data[[#This Row],[Attrition_Risk_Percentage]] &gt;= 0.25, "Medium",TRUE, "Low")</f>
        <v>Medium</v>
      </c>
      <c r="AR903" s="16" cm="1">
        <f t="array" ref="AR903">IFERROR(_xlfn.IFS(tbl_HR_Data[[#This Row],[Risk_Category]]="Critical",tbl_HR_Data[[#This Row],[MonthlyIncome]]*1.5,tbl_HR_Data[[#This Row],[Risk_Category]]="High",tbl_HR_Data[[#This Row],[MonthlyIncome]]*1.5),0)</f>
        <v>0</v>
      </c>
    </row>
    <row r="904" spans="1:44" x14ac:dyDescent="0.35">
      <c r="A904" t="s">
        <v>207</v>
      </c>
      <c r="B904">
        <v>27</v>
      </c>
      <c r="C904" t="s">
        <v>31</v>
      </c>
      <c r="D904">
        <v>1167</v>
      </c>
      <c r="E904" t="s">
        <v>38</v>
      </c>
      <c r="F904">
        <v>4</v>
      </c>
      <c r="G904">
        <v>2</v>
      </c>
      <c r="H904" t="s">
        <v>33</v>
      </c>
      <c r="I904">
        <v>1</v>
      </c>
      <c r="J904" t="s">
        <v>39</v>
      </c>
      <c r="K904">
        <v>76</v>
      </c>
      <c r="L904">
        <v>3</v>
      </c>
      <c r="M904">
        <v>1</v>
      </c>
      <c r="N904" t="s">
        <v>40</v>
      </c>
      <c r="O904">
        <v>3</v>
      </c>
      <c r="P904" t="s">
        <v>45</v>
      </c>
      <c r="Q904">
        <v>2517</v>
      </c>
      <c r="R904">
        <v>3208</v>
      </c>
      <c r="S904">
        <v>1</v>
      </c>
      <c r="T904">
        <v>0</v>
      </c>
      <c r="U904" s="17">
        <v>0.11</v>
      </c>
      <c r="V904">
        <v>3</v>
      </c>
      <c r="W904">
        <v>2</v>
      </c>
      <c r="X904">
        <v>3</v>
      </c>
      <c r="Y904">
        <v>5</v>
      </c>
      <c r="Z904">
        <v>2</v>
      </c>
      <c r="AA904">
        <v>3</v>
      </c>
      <c r="AB904">
        <v>5</v>
      </c>
      <c r="AC904">
        <v>3</v>
      </c>
      <c r="AD904">
        <v>0</v>
      </c>
      <c r="AE904">
        <v>3</v>
      </c>
      <c r="AF904">
        <v>0</v>
      </c>
      <c r="AG904">
        <f>IF(tbl_HR_Data[[#This Row],[Gender]]="Male",1,0)</f>
        <v>1</v>
      </c>
      <c r="AH904" cm="1">
        <f t="array" ref="AH904">_xlfn.SWITCH(tbl_HR_Data[[#This Row],[BusinessTravel]], "Non-Travel", 0, "Travel_Rarely", 1, "Travel_Frequently", 2)</f>
        <v>1</v>
      </c>
      <c r="AI904" cm="1">
        <f t="array" ref="AI904">_xlfn.SWITCH(tbl_HR_Data[[#This Row],[MaritalStatus]],"Single",0,"Married",1,"Divorced",2)</f>
        <v>2</v>
      </c>
      <c r="AJ904">
        <f>IF(tbl_HR_Data[[#This Row],[OverTime]]=1,1,0)</f>
        <v>0</v>
      </c>
      <c r="AK904">
        <f>IF(tbl_HR_Data[[#This Row],[DistanceFromHome]]&gt;15,1,0)</f>
        <v>0</v>
      </c>
      <c r="AL904">
        <f>IF(tbl_HR_Data[[#This Row],[JobSatisfaction]]&lt;=2,1,0)</f>
        <v>0</v>
      </c>
      <c r="AM904">
        <f>IF(tbl_HR_Data[[#This Row],[MonthlyIncome]]&lt;$AT$2,1,0)</f>
        <v>1</v>
      </c>
      <c r="AN904">
        <f>IF(tbl_HR_Data[[#This Row],[Travel_Code]]=2,1,0)</f>
        <v>0</v>
      </c>
      <c r="AO904">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904" s="15">
        <f>tbl_HR_Data[[#This Row],[Risk_Score_Raw]] / SUM(Logic_Parameters!$B$2:$B$6)</f>
        <v>0.22374939857982484</v>
      </c>
      <c r="AQ904" s="16" t="str" cm="1">
        <f t="array" ref="AQ904">_xlfn.IFS(tbl_HR_Data[[#This Row],[Attrition_Risk_Percentage]] &gt;= 0.75, "Critical",tbl_HR_Data[ [#This Row],[Attrition_Risk_Percentage] ]&gt;= 0.5, "High",tbl_HR_Data[[#This Row],[Attrition_Risk_Percentage]] &gt;= 0.25, "Medium",TRUE, "Low")</f>
        <v>Low</v>
      </c>
      <c r="AR904" s="16" cm="1">
        <f t="array" ref="AR904">IFERROR(_xlfn.IFS(tbl_HR_Data[[#This Row],[Risk_Category]]="Critical",tbl_HR_Data[[#This Row],[MonthlyIncome]]*1.5,tbl_HR_Data[[#This Row],[Risk_Category]]="High",tbl_HR_Data[[#This Row],[MonthlyIncome]]*1.5),0)</f>
        <v>0</v>
      </c>
    </row>
    <row r="905" spans="1:44" x14ac:dyDescent="0.35">
      <c r="A905" t="s">
        <v>780</v>
      </c>
      <c r="B905">
        <v>29</v>
      </c>
      <c r="C905" t="s">
        <v>31</v>
      </c>
      <c r="D905">
        <v>1329</v>
      </c>
      <c r="E905" t="s">
        <v>38</v>
      </c>
      <c r="F905">
        <v>7</v>
      </c>
      <c r="G905">
        <v>3</v>
      </c>
      <c r="H905" t="s">
        <v>33</v>
      </c>
      <c r="I905">
        <v>3</v>
      </c>
      <c r="J905" t="s">
        <v>39</v>
      </c>
      <c r="K905">
        <v>82</v>
      </c>
      <c r="L905">
        <v>3</v>
      </c>
      <c r="M905">
        <v>2</v>
      </c>
      <c r="N905" t="s">
        <v>47</v>
      </c>
      <c r="O905">
        <v>4</v>
      </c>
      <c r="P905" t="s">
        <v>45</v>
      </c>
      <c r="Q905">
        <v>6623</v>
      </c>
      <c r="R905">
        <v>4204</v>
      </c>
      <c r="S905">
        <v>1</v>
      </c>
      <c r="T905">
        <v>1</v>
      </c>
      <c r="U905" s="17">
        <v>0.11</v>
      </c>
      <c r="V905">
        <v>3</v>
      </c>
      <c r="W905">
        <v>2</v>
      </c>
      <c r="X905">
        <v>2</v>
      </c>
      <c r="Y905">
        <v>6</v>
      </c>
      <c r="Z905">
        <v>2</v>
      </c>
      <c r="AA905">
        <v>3</v>
      </c>
      <c r="AB905">
        <v>6</v>
      </c>
      <c r="AC905">
        <v>0</v>
      </c>
      <c r="AD905">
        <v>1</v>
      </c>
      <c r="AE905">
        <v>0</v>
      </c>
      <c r="AF905">
        <v>0</v>
      </c>
      <c r="AG905">
        <f>IF(tbl_HR_Data[[#This Row],[Gender]]="Male",1,0)</f>
        <v>1</v>
      </c>
      <c r="AH905" cm="1">
        <f t="array" ref="AH905">_xlfn.SWITCH(tbl_HR_Data[[#This Row],[BusinessTravel]], "Non-Travel", 0, "Travel_Rarely", 1, "Travel_Frequently", 2)</f>
        <v>1</v>
      </c>
      <c r="AI905" cm="1">
        <f t="array" ref="AI905">_xlfn.SWITCH(tbl_HR_Data[[#This Row],[MaritalStatus]],"Single",0,"Married",1,"Divorced",2)</f>
        <v>2</v>
      </c>
      <c r="AJ905">
        <f>IF(tbl_HR_Data[[#This Row],[OverTime]]=1,1,0)</f>
        <v>1</v>
      </c>
      <c r="AK905">
        <f>IF(tbl_HR_Data[[#This Row],[DistanceFromHome]]&gt;15,1,0)</f>
        <v>0</v>
      </c>
      <c r="AL905">
        <f>IF(tbl_HR_Data[[#This Row],[JobSatisfaction]]&lt;=2,1,0)</f>
        <v>0</v>
      </c>
      <c r="AM905">
        <f>IF(tbl_HR_Data[[#This Row],[MonthlyIncome]]&lt;$AT$2,1,0)</f>
        <v>0</v>
      </c>
      <c r="AN905">
        <f>IF(tbl_HR_Data[[#This Row],[Travel_Code]]=2,1,0)</f>
        <v>0</v>
      </c>
      <c r="AO905">
        <f>(tbl_HR_Data[[#This Row],[Flag_OT]] * Logic_Parameters!$B$2) +
 (tbl_HR_Data[[#This Row],[Flag_Travel]] * Logic_Parameters!$B$3) +
 (tbl_HR_Data[[#This Row],[Flag_Satisfaction]] * Logic_Parameters!$B$4) +
 (tbl_HR_Data[[#This Row],[Flag_Distance]]* Logic_Parameters!$B$5) +
 (tbl_HR_Data[[#This Row],[Flag_Income]] * Logic_Parameters!$B$6)</f>
        <v>10</v>
      </c>
      <c r="AP905" s="15">
        <f>tbl_HR_Data[[#This Row],[Risk_Score_Raw]] / SUM(Logic_Parameters!$B$2:$B$6)</f>
        <v>0.3445251318258073</v>
      </c>
      <c r="AQ905" s="16" t="str" cm="1">
        <f t="array" ref="AQ905">_xlfn.IFS(tbl_HR_Data[[#This Row],[Attrition_Risk_Percentage]] &gt;= 0.75, "Critical",tbl_HR_Data[ [#This Row],[Attrition_Risk_Percentage] ]&gt;= 0.5, "High",tbl_HR_Data[[#This Row],[Attrition_Risk_Percentage]] &gt;= 0.25, "Medium",TRUE, "Low")</f>
        <v>Medium</v>
      </c>
      <c r="AR905" s="16" cm="1">
        <f t="array" ref="AR905">IFERROR(_xlfn.IFS(tbl_HR_Data[[#This Row],[Risk_Category]]="Critical",tbl_HR_Data[[#This Row],[MonthlyIncome]]*1.5,tbl_HR_Data[[#This Row],[Risk_Category]]="High",tbl_HR_Data[[#This Row],[MonthlyIncome]]*1.5),0)</f>
        <v>0</v>
      </c>
    </row>
    <row r="906" spans="1:44" x14ac:dyDescent="0.35">
      <c r="A906" t="s">
        <v>1257</v>
      </c>
      <c r="B906">
        <v>48</v>
      </c>
      <c r="C906" t="s">
        <v>31</v>
      </c>
      <c r="D906">
        <v>715</v>
      </c>
      <c r="E906" t="s">
        <v>38</v>
      </c>
      <c r="F906">
        <v>1</v>
      </c>
      <c r="G906">
        <v>3</v>
      </c>
      <c r="H906" t="s">
        <v>33</v>
      </c>
      <c r="I906">
        <v>4</v>
      </c>
      <c r="J906" t="s">
        <v>39</v>
      </c>
      <c r="K906">
        <v>76</v>
      </c>
      <c r="L906">
        <v>2</v>
      </c>
      <c r="M906">
        <v>5</v>
      </c>
      <c r="N906" t="s">
        <v>50</v>
      </c>
      <c r="O906">
        <v>4</v>
      </c>
      <c r="P906" t="s">
        <v>36</v>
      </c>
      <c r="Q906">
        <v>18265</v>
      </c>
      <c r="R906">
        <v>8733</v>
      </c>
      <c r="S906">
        <v>6</v>
      </c>
      <c r="T906">
        <v>0</v>
      </c>
      <c r="U906" s="17">
        <v>0.12</v>
      </c>
      <c r="V906">
        <v>3</v>
      </c>
      <c r="W906">
        <v>3</v>
      </c>
      <c r="X906">
        <v>0</v>
      </c>
      <c r="Y906">
        <v>25</v>
      </c>
      <c r="Z906">
        <v>3</v>
      </c>
      <c r="AA906">
        <v>4</v>
      </c>
      <c r="AB906">
        <v>1</v>
      </c>
      <c r="AC906">
        <v>0</v>
      </c>
      <c r="AD906">
        <v>0</v>
      </c>
      <c r="AE906">
        <v>0</v>
      </c>
      <c r="AF906">
        <v>0</v>
      </c>
      <c r="AG906">
        <f>IF(tbl_HR_Data[[#This Row],[Gender]]="Male",1,0)</f>
        <v>1</v>
      </c>
      <c r="AH906" cm="1">
        <f t="array" ref="AH906">_xlfn.SWITCH(tbl_HR_Data[[#This Row],[BusinessTravel]], "Non-Travel", 0, "Travel_Rarely", 1, "Travel_Frequently", 2)</f>
        <v>1</v>
      </c>
      <c r="AI906" cm="1">
        <f t="array" ref="AI906">_xlfn.SWITCH(tbl_HR_Data[[#This Row],[MaritalStatus]],"Single",0,"Married",1,"Divorced",2)</f>
        <v>0</v>
      </c>
      <c r="AJ906">
        <f>IF(tbl_HR_Data[[#This Row],[OverTime]]=1,1,0)</f>
        <v>0</v>
      </c>
      <c r="AK906">
        <f>IF(tbl_HR_Data[[#This Row],[DistanceFromHome]]&gt;15,1,0)</f>
        <v>0</v>
      </c>
      <c r="AL906">
        <f>IF(tbl_HR_Data[[#This Row],[JobSatisfaction]]&lt;=2,1,0)</f>
        <v>0</v>
      </c>
      <c r="AM906">
        <f>IF(tbl_HR_Data[[#This Row],[MonthlyIncome]]&lt;$AT$2,1,0)</f>
        <v>0</v>
      </c>
      <c r="AN906">
        <f>IF(tbl_HR_Data[[#This Row],[Travel_Code]]=2,1,0)</f>
        <v>0</v>
      </c>
      <c r="AO906">
        <f>(tbl_HR_Data[[#This Row],[Flag_OT]] * Logic_Parameters!$B$2) +
 (tbl_HR_Data[[#This Row],[Flag_Travel]] * Logic_Parameters!$B$3) +
 (tbl_HR_Data[[#This Row],[Flag_Satisfaction]] * Logic_Parameters!$B$4) +
 (tbl_HR_Data[[#This Row],[Flag_Distance]]* Logic_Parameters!$B$5) +
 (tbl_HR_Data[[#This Row],[Flag_Income]] * Logic_Parameters!$B$6)</f>
        <v>0</v>
      </c>
      <c r="AP906" s="15">
        <f>tbl_HR_Data[[#This Row],[Risk_Score_Raw]] / SUM(Logic_Parameters!$B$2:$B$6)</f>
        <v>0</v>
      </c>
      <c r="AQ906" s="16" t="str" cm="1">
        <f t="array" ref="AQ906">_xlfn.IFS(tbl_HR_Data[[#This Row],[Attrition_Risk_Percentage]] &gt;= 0.75, "Critical",tbl_HR_Data[ [#This Row],[Attrition_Risk_Percentage] ]&gt;= 0.5, "High",tbl_HR_Data[[#This Row],[Attrition_Risk_Percentage]] &gt;= 0.25, "Medium",TRUE, "Low")</f>
        <v>Low</v>
      </c>
      <c r="AR906" s="16" cm="1">
        <f t="array" ref="AR906">IFERROR(_xlfn.IFS(tbl_HR_Data[[#This Row],[Risk_Category]]="Critical",tbl_HR_Data[[#This Row],[MonthlyIncome]]*1.5,tbl_HR_Data[[#This Row],[Risk_Category]]="High",tbl_HR_Data[[#This Row],[MonthlyIncome]]*1.5),0)</f>
        <v>0</v>
      </c>
    </row>
    <row r="907" spans="1:44" x14ac:dyDescent="0.35">
      <c r="A907" t="s">
        <v>1220</v>
      </c>
      <c r="B907">
        <v>29</v>
      </c>
      <c r="C907" t="s">
        <v>31</v>
      </c>
      <c r="D907">
        <v>694</v>
      </c>
      <c r="E907" t="s">
        <v>38</v>
      </c>
      <c r="F907">
        <v>1</v>
      </c>
      <c r="G907">
        <v>3</v>
      </c>
      <c r="H907" t="s">
        <v>33</v>
      </c>
      <c r="I907">
        <v>4</v>
      </c>
      <c r="J907" t="s">
        <v>34</v>
      </c>
      <c r="K907">
        <v>87</v>
      </c>
      <c r="L907">
        <v>2</v>
      </c>
      <c r="M907">
        <v>4</v>
      </c>
      <c r="N907" t="s">
        <v>50</v>
      </c>
      <c r="O907">
        <v>4</v>
      </c>
      <c r="P907" t="s">
        <v>45</v>
      </c>
      <c r="Q907">
        <v>16124</v>
      </c>
      <c r="R907">
        <v>3423</v>
      </c>
      <c r="S907">
        <v>3</v>
      </c>
      <c r="T907">
        <v>0</v>
      </c>
      <c r="U907" s="17">
        <v>0.14000000000000001</v>
      </c>
      <c r="V907">
        <v>3</v>
      </c>
      <c r="W907">
        <v>2</v>
      </c>
      <c r="X907">
        <v>2</v>
      </c>
      <c r="Y907">
        <v>9</v>
      </c>
      <c r="Z907">
        <v>2</v>
      </c>
      <c r="AA907">
        <v>2</v>
      </c>
      <c r="AB907">
        <v>7</v>
      </c>
      <c r="AC907">
        <v>7</v>
      </c>
      <c r="AD907">
        <v>1</v>
      </c>
      <c r="AE907">
        <v>7</v>
      </c>
      <c r="AF907">
        <v>0</v>
      </c>
      <c r="AG907">
        <f>IF(tbl_HR_Data[[#This Row],[Gender]]="Male",1,0)</f>
        <v>0</v>
      </c>
      <c r="AH907" cm="1">
        <f t="array" ref="AH907">_xlfn.SWITCH(tbl_HR_Data[[#This Row],[BusinessTravel]], "Non-Travel", 0, "Travel_Rarely", 1, "Travel_Frequently", 2)</f>
        <v>1</v>
      </c>
      <c r="AI907" cm="1">
        <f t="array" ref="AI907">_xlfn.SWITCH(tbl_HR_Data[[#This Row],[MaritalStatus]],"Single",0,"Married",1,"Divorced",2)</f>
        <v>2</v>
      </c>
      <c r="AJ907">
        <f>IF(tbl_HR_Data[[#This Row],[OverTime]]=1,1,0)</f>
        <v>0</v>
      </c>
      <c r="AK907">
        <f>IF(tbl_HR_Data[[#This Row],[DistanceFromHome]]&gt;15,1,0)</f>
        <v>0</v>
      </c>
      <c r="AL907">
        <f>IF(tbl_HR_Data[[#This Row],[JobSatisfaction]]&lt;=2,1,0)</f>
        <v>0</v>
      </c>
      <c r="AM907">
        <f>IF(tbl_HR_Data[[#This Row],[MonthlyIncome]]&lt;$AT$2,1,0)</f>
        <v>0</v>
      </c>
      <c r="AN907">
        <f>IF(tbl_HR_Data[[#This Row],[Travel_Code]]=2,1,0)</f>
        <v>0</v>
      </c>
      <c r="AO907">
        <f>(tbl_HR_Data[[#This Row],[Flag_OT]] * Logic_Parameters!$B$2) +
 (tbl_HR_Data[[#This Row],[Flag_Travel]] * Logic_Parameters!$B$3) +
 (tbl_HR_Data[[#This Row],[Flag_Satisfaction]] * Logic_Parameters!$B$4) +
 (tbl_HR_Data[[#This Row],[Flag_Distance]]* Logic_Parameters!$B$5) +
 (tbl_HR_Data[[#This Row],[Flag_Income]] * Logic_Parameters!$B$6)</f>
        <v>0</v>
      </c>
      <c r="AP907" s="15">
        <f>tbl_HR_Data[[#This Row],[Risk_Score_Raw]] / SUM(Logic_Parameters!$B$2:$B$6)</f>
        <v>0</v>
      </c>
      <c r="AQ907" s="16" t="str" cm="1">
        <f t="array" ref="AQ907">_xlfn.IFS(tbl_HR_Data[[#This Row],[Attrition_Risk_Percentage]] &gt;= 0.75, "Critical",tbl_HR_Data[ [#This Row],[Attrition_Risk_Percentage] ]&gt;= 0.5, "High",tbl_HR_Data[[#This Row],[Attrition_Risk_Percentage]] &gt;= 0.25, "Medium",TRUE, "Low")</f>
        <v>Low</v>
      </c>
      <c r="AR907" s="16" cm="1">
        <f t="array" ref="AR907">IFERROR(_xlfn.IFS(tbl_HR_Data[[#This Row],[Risk_Category]]="Critical",tbl_HR_Data[[#This Row],[MonthlyIncome]]*1.5,tbl_HR_Data[[#This Row],[Risk_Category]]="High",tbl_HR_Data[[#This Row],[MonthlyIncome]]*1.5),0)</f>
        <v>0</v>
      </c>
    </row>
    <row r="908" spans="1:44" x14ac:dyDescent="0.35">
      <c r="A908" t="s">
        <v>1316</v>
      </c>
      <c r="B908">
        <v>34</v>
      </c>
      <c r="C908" t="s">
        <v>31</v>
      </c>
      <c r="D908">
        <v>1320</v>
      </c>
      <c r="E908" t="s">
        <v>38</v>
      </c>
      <c r="F908">
        <v>20</v>
      </c>
      <c r="G908">
        <v>3</v>
      </c>
      <c r="H908" t="s">
        <v>52</v>
      </c>
      <c r="I908">
        <v>3</v>
      </c>
      <c r="J908" t="s">
        <v>34</v>
      </c>
      <c r="K908">
        <v>89</v>
      </c>
      <c r="L908">
        <v>4</v>
      </c>
      <c r="M908">
        <v>1</v>
      </c>
      <c r="N908" t="s">
        <v>40</v>
      </c>
      <c r="O908">
        <v>3</v>
      </c>
      <c r="P908" t="s">
        <v>41</v>
      </c>
      <c r="Q908">
        <v>2585</v>
      </c>
      <c r="R908">
        <v>21643</v>
      </c>
      <c r="S908">
        <v>0</v>
      </c>
      <c r="T908">
        <v>0</v>
      </c>
      <c r="U908" s="17">
        <v>0.17</v>
      </c>
      <c r="V908">
        <v>3</v>
      </c>
      <c r="W908">
        <v>4</v>
      </c>
      <c r="X908">
        <v>0</v>
      </c>
      <c r="Y908">
        <v>2</v>
      </c>
      <c r="Z908">
        <v>5</v>
      </c>
      <c r="AA908">
        <v>2</v>
      </c>
      <c r="AB908">
        <v>1</v>
      </c>
      <c r="AC908">
        <v>0</v>
      </c>
      <c r="AD908">
        <v>0</v>
      </c>
      <c r="AE908">
        <v>0</v>
      </c>
      <c r="AF908">
        <v>0</v>
      </c>
      <c r="AG908">
        <f>IF(tbl_HR_Data[[#This Row],[Gender]]="Male",1,0)</f>
        <v>0</v>
      </c>
      <c r="AH908" cm="1">
        <f t="array" ref="AH908">_xlfn.SWITCH(tbl_HR_Data[[#This Row],[BusinessTravel]], "Non-Travel", 0, "Travel_Rarely", 1, "Travel_Frequently", 2)</f>
        <v>1</v>
      </c>
      <c r="AI908" cm="1">
        <f t="array" ref="AI908">_xlfn.SWITCH(tbl_HR_Data[[#This Row],[MaritalStatus]],"Single",0,"Married",1,"Divorced",2)</f>
        <v>1</v>
      </c>
      <c r="AJ908">
        <f>IF(tbl_HR_Data[[#This Row],[OverTime]]=1,1,0)</f>
        <v>0</v>
      </c>
      <c r="AK908">
        <f>IF(tbl_HR_Data[[#This Row],[DistanceFromHome]]&gt;15,1,0)</f>
        <v>1</v>
      </c>
      <c r="AL908">
        <f>IF(tbl_HR_Data[[#This Row],[JobSatisfaction]]&lt;=2,1,0)</f>
        <v>0</v>
      </c>
      <c r="AM908">
        <f>IF(tbl_HR_Data[[#This Row],[MonthlyIncome]]&lt;$AT$2,1,0)</f>
        <v>1</v>
      </c>
      <c r="AN908">
        <f>IF(tbl_HR_Data[[#This Row],[Travel_Code]]=2,1,0)</f>
        <v>0</v>
      </c>
      <c r="AO908">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908" s="15">
        <f>tbl_HR_Data[[#This Row],[Risk_Score_Raw]] / SUM(Logic_Parameters!$B$2:$B$6)</f>
        <v>0.33282973125692844</v>
      </c>
      <c r="AQ908" s="16" t="str" cm="1">
        <f t="array" ref="AQ908">_xlfn.IFS(tbl_HR_Data[[#This Row],[Attrition_Risk_Percentage]] &gt;= 0.75, "Critical",tbl_HR_Data[ [#This Row],[Attrition_Risk_Percentage] ]&gt;= 0.5, "High",tbl_HR_Data[[#This Row],[Attrition_Risk_Percentage]] &gt;= 0.25, "Medium",TRUE, "Low")</f>
        <v>Medium</v>
      </c>
      <c r="AR908" s="16" cm="1">
        <f t="array" ref="AR908">IFERROR(_xlfn.IFS(tbl_HR_Data[[#This Row],[Risk_Category]]="Critical",tbl_HR_Data[[#This Row],[MonthlyIncome]]*1.5,tbl_HR_Data[[#This Row],[Risk_Category]]="High",tbl_HR_Data[[#This Row],[MonthlyIncome]]*1.5),0)</f>
        <v>0</v>
      </c>
    </row>
    <row r="909" spans="1:44" x14ac:dyDescent="0.35">
      <c r="A909" t="s">
        <v>231</v>
      </c>
      <c r="B909">
        <v>44</v>
      </c>
      <c r="C909" t="s">
        <v>31</v>
      </c>
      <c r="D909">
        <v>1099</v>
      </c>
      <c r="E909" t="s">
        <v>32</v>
      </c>
      <c r="F909">
        <v>5</v>
      </c>
      <c r="G909">
        <v>3</v>
      </c>
      <c r="H909" t="s">
        <v>51</v>
      </c>
      <c r="I909">
        <v>2</v>
      </c>
      <c r="J909" t="s">
        <v>39</v>
      </c>
      <c r="K909">
        <v>88</v>
      </c>
      <c r="L909">
        <v>3</v>
      </c>
      <c r="M909">
        <v>5</v>
      </c>
      <c r="N909" t="s">
        <v>48</v>
      </c>
      <c r="O909">
        <v>2</v>
      </c>
      <c r="P909" t="s">
        <v>41</v>
      </c>
      <c r="Q909">
        <v>18213</v>
      </c>
      <c r="R909">
        <v>8751</v>
      </c>
      <c r="S909">
        <v>7</v>
      </c>
      <c r="T909">
        <v>0</v>
      </c>
      <c r="U909" s="17">
        <v>0.11</v>
      </c>
      <c r="V909">
        <v>3</v>
      </c>
      <c r="W909">
        <v>3</v>
      </c>
      <c r="X909">
        <v>1</v>
      </c>
      <c r="Y909">
        <v>26</v>
      </c>
      <c r="Z909">
        <v>5</v>
      </c>
      <c r="AA909">
        <v>3</v>
      </c>
      <c r="AB909">
        <v>22</v>
      </c>
      <c r="AC909">
        <v>9</v>
      </c>
      <c r="AD909">
        <v>3</v>
      </c>
      <c r="AE909">
        <v>10</v>
      </c>
      <c r="AF909">
        <v>0</v>
      </c>
      <c r="AG909">
        <f>IF(tbl_HR_Data[[#This Row],[Gender]]="Male",1,0)</f>
        <v>1</v>
      </c>
      <c r="AH909" cm="1">
        <f t="array" ref="AH909">_xlfn.SWITCH(tbl_HR_Data[[#This Row],[BusinessTravel]], "Non-Travel", 0, "Travel_Rarely", 1, "Travel_Frequently", 2)</f>
        <v>1</v>
      </c>
      <c r="AI909" cm="1">
        <f t="array" ref="AI909">_xlfn.SWITCH(tbl_HR_Data[[#This Row],[MaritalStatus]],"Single",0,"Married",1,"Divorced",2)</f>
        <v>1</v>
      </c>
      <c r="AJ909">
        <f>IF(tbl_HR_Data[[#This Row],[OverTime]]=1,1,0)</f>
        <v>0</v>
      </c>
      <c r="AK909">
        <f>IF(tbl_HR_Data[[#This Row],[DistanceFromHome]]&gt;15,1,0)</f>
        <v>0</v>
      </c>
      <c r="AL909">
        <f>IF(tbl_HR_Data[[#This Row],[JobSatisfaction]]&lt;=2,1,0)</f>
        <v>1</v>
      </c>
      <c r="AM909">
        <f>IF(tbl_HR_Data[[#This Row],[MonthlyIncome]]&lt;$AT$2,1,0)</f>
        <v>0</v>
      </c>
      <c r="AN909">
        <f>IF(tbl_HR_Data[[#This Row],[Travel_Code]]=2,1,0)</f>
        <v>0</v>
      </c>
      <c r="AO909">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909" s="15">
        <f>tbl_HR_Data[[#This Row],[Risk_Score_Raw]] / SUM(Logic_Parameters!$B$2:$B$6)</f>
        <v>0.14485673308716898</v>
      </c>
      <c r="AQ909" s="16" t="str" cm="1">
        <f t="array" ref="AQ909">_xlfn.IFS(tbl_HR_Data[[#This Row],[Attrition_Risk_Percentage]] &gt;= 0.75, "Critical",tbl_HR_Data[ [#This Row],[Attrition_Risk_Percentage] ]&gt;= 0.5, "High",tbl_HR_Data[[#This Row],[Attrition_Risk_Percentage]] &gt;= 0.25, "Medium",TRUE, "Low")</f>
        <v>Low</v>
      </c>
      <c r="AR909" s="16" cm="1">
        <f t="array" ref="AR909">IFERROR(_xlfn.IFS(tbl_HR_Data[[#This Row],[Risk_Category]]="Critical",tbl_HR_Data[[#This Row],[MonthlyIncome]]*1.5,tbl_HR_Data[[#This Row],[Risk_Category]]="High",tbl_HR_Data[[#This Row],[MonthlyIncome]]*1.5),0)</f>
        <v>0</v>
      </c>
    </row>
    <row r="910" spans="1:44" x14ac:dyDescent="0.35">
      <c r="A910" t="s">
        <v>939</v>
      </c>
      <c r="B910">
        <v>33</v>
      </c>
      <c r="C910" t="s">
        <v>31</v>
      </c>
      <c r="D910">
        <v>536</v>
      </c>
      <c r="E910" t="s">
        <v>32</v>
      </c>
      <c r="F910">
        <v>10</v>
      </c>
      <c r="G910">
        <v>5</v>
      </c>
      <c r="H910" t="s">
        <v>51</v>
      </c>
      <c r="I910">
        <v>4</v>
      </c>
      <c r="J910" t="s">
        <v>39</v>
      </c>
      <c r="K910">
        <v>82</v>
      </c>
      <c r="L910">
        <v>4</v>
      </c>
      <c r="M910">
        <v>3</v>
      </c>
      <c r="N910" t="s">
        <v>35</v>
      </c>
      <c r="O910">
        <v>3</v>
      </c>
      <c r="P910" t="s">
        <v>45</v>
      </c>
      <c r="Q910">
        <v>8380</v>
      </c>
      <c r="R910">
        <v>21708</v>
      </c>
      <c r="S910">
        <v>0</v>
      </c>
      <c r="T910">
        <v>1</v>
      </c>
      <c r="U910" s="17">
        <v>0.14000000000000001</v>
      </c>
      <c r="V910">
        <v>3</v>
      </c>
      <c r="W910">
        <v>4</v>
      </c>
      <c r="X910">
        <v>2</v>
      </c>
      <c r="Y910">
        <v>10</v>
      </c>
      <c r="Z910">
        <v>3</v>
      </c>
      <c r="AA910">
        <v>3</v>
      </c>
      <c r="AB910">
        <v>9</v>
      </c>
      <c r="AC910">
        <v>8</v>
      </c>
      <c r="AD910">
        <v>0</v>
      </c>
      <c r="AE910">
        <v>8</v>
      </c>
      <c r="AF910">
        <v>0</v>
      </c>
      <c r="AG910">
        <f>IF(tbl_HR_Data[[#This Row],[Gender]]="Male",1,0)</f>
        <v>1</v>
      </c>
      <c r="AH910" cm="1">
        <f t="array" ref="AH910">_xlfn.SWITCH(tbl_HR_Data[[#This Row],[BusinessTravel]], "Non-Travel", 0, "Travel_Rarely", 1, "Travel_Frequently", 2)</f>
        <v>1</v>
      </c>
      <c r="AI910" cm="1">
        <f t="array" ref="AI910">_xlfn.SWITCH(tbl_HR_Data[[#This Row],[MaritalStatus]],"Single",0,"Married",1,"Divorced",2)</f>
        <v>2</v>
      </c>
      <c r="AJ910">
        <f>IF(tbl_HR_Data[[#This Row],[OverTime]]=1,1,0)</f>
        <v>1</v>
      </c>
      <c r="AK910">
        <f>IF(tbl_HR_Data[[#This Row],[DistanceFromHome]]&gt;15,1,0)</f>
        <v>0</v>
      </c>
      <c r="AL910">
        <f>IF(tbl_HR_Data[[#This Row],[JobSatisfaction]]&lt;=2,1,0)</f>
        <v>0</v>
      </c>
      <c r="AM910">
        <f>IF(tbl_HR_Data[[#This Row],[MonthlyIncome]]&lt;$AT$2,1,0)</f>
        <v>0</v>
      </c>
      <c r="AN910">
        <f>IF(tbl_HR_Data[[#This Row],[Travel_Code]]=2,1,0)</f>
        <v>0</v>
      </c>
      <c r="AO910">
        <f>(tbl_HR_Data[[#This Row],[Flag_OT]] * Logic_Parameters!$B$2) +
 (tbl_HR_Data[[#This Row],[Flag_Travel]] * Logic_Parameters!$B$3) +
 (tbl_HR_Data[[#This Row],[Flag_Satisfaction]] * Logic_Parameters!$B$4) +
 (tbl_HR_Data[[#This Row],[Flag_Distance]]* Logic_Parameters!$B$5) +
 (tbl_HR_Data[[#This Row],[Flag_Income]] * Logic_Parameters!$B$6)</f>
        <v>10</v>
      </c>
      <c r="AP910" s="15">
        <f>tbl_HR_Data[[#This Row],[Risk_Score_Raw]] / SUM(Logic_Parameters!$B$2:$B$6)</f>
        <v>0.3445251318258073</v>
      </c>
      <c r="AQ910" s="16" t="str" cm="1">
        <f t="array" ref="AQ910">_xlfn.IFS(tbl_HR_Data[[#This Row],[Attrition_Risk_Percentage]] &gt;= 0.75, "Critical",tbl_HR_Data[ [#This Row],[Attrition_Risk_Percentage] ]&gt;= 0.5, "High",tbl_HR_Data[[#This Row],[Attrition_Risk_Percentage]] &gt;= 0.25, "Medium",TRUE, "Low")</f>
        <v>Medium</v>
      </c>
      <c r="AR910" s="16" cm="1">
        <f t="array" ref="AR910">IFERROR(_xlfn.IFS(tbl_HR_Data[[#This Row],[Risk_Category]]="Critical",tbl_HR_Data[[#This Row],[MonthlyIncome]]*1.5,tbl_HR_Data[[#This Row],[Risk_Category]]="High",tbl_HR_Data[[#This Row],[MonthlyIncome]]*1.5),0)</f>
        <v>0</v>
      </c>
    </row>
    <row r="911" spans="1:44" x14ac:dyDescent="0.35">
      <c r="A911" t="s">
        <v>735</v>
      </c>
      <c r="B911">
        <v>19</v>
      </c>
      <c r="C911" t="s">
        <v>31</v>
      </c>
      <c r="D911">
        <v>265</v>
      </c>
      <c r="E911" t="s">
        <v>38</v>
      </c>
      <c r="F911">
        <v>25</v>
      </c>
      <c r="G911">
        <v>3</v>
      </c>
      <c r="H911" t="s">
        <v>33</v>
      </c>
      <c r="I911">
        <v>2</v>
      </c>
      <c r="J911" t="s">
        <v>34</v>
      </c>
      <c r="K911">
        <v>57</v>
      </c>
      <c r="L911">
        <v>4</v>
      </c>
      <c r="M911">
        <v>1</v>
      </c>
      <c r="N911" t="s">
        <v>40</v>
      </c>
      <c r="O911">
        <v>4</v>
      </c>
      <c r="P911" t="s">
        <v>36</v>
      </c>
      <c r="Q911">
        <v>2994</v>
      </c>
      <c r="R911">
        <v>21221</v>
      </c>
      <c r="S911">
        <v>1</v>
      </c>
      <c r="T911">
        <v>1</v>
      </c>
      <c r="U911" s="17">
        <v>0.12</v>
      </c>
      <c r="V911">
        <v>3</v>
      </c>
      <c r="W911">
        <v>4</v>
      </c>
      <c r="X911">
        <v>0</v>
      </c>
      <c r="Y911">
        <v>1</v>
      </c>
      <c r="Z911">
        <v>2</v>
      </c>
      <c r="AA911">
        <v>3</v>
      </c>
      <c r="AB911">
        <v>1</v>
      </c>
      <c r="AC911">
        <v>0</v>
      </c>
      <c r="AD911">
        <v>0</v>
      </c>
      <c r="AE911">
        <v>1</v>
      </c>
      <c r="AF911">
        <v>0</v>
      </c>
      <c r="AG911">
        <f>IF(tbl_HR_Data[[#This Row],[Gender]]="Male",1,0)</f>
        <v>0</v>
      </c>
      <c r="AH911" cm="1">
        <f t="array" ref="AH911">_xlfn.SWITCH(tbl_HR_Data[[#This Row],[BusinessTravel]], "Non-Travel", 0, "Travel_Rarely", 1, "Travel_Frequently", 2)</f>
        <v>1</v>
      </c>
      <c r="AI911" cm="1">
        <f t="array" ref="AI911">_xlfn.SWITCH(tbl_HR_Data[[#This Row],[MaritalStatus]],"Single",0,"Married",1,"Divorced",2)</f>
        <v>0</v>
      </c>
      <c r="AJ911">
        <f>IF(tbl_HR_Data[[#This Row],[OverTime]]=1,1,0)</f>
        <v>1</v>
      </c>
      <c r="AK911">
        <f>IF(tbl_HR_Data[[#This Row],[DistanceFromHome]]&gt;15,1,0)</f>
        <v>1</v>
      </c>
      <c r="AL911">
        <f>IF(tbl_HR_Data[[#This Row],[JobSatisfaction]]&lt;=2,1,0)</f>
        <v>0</v>
      </c>
      <c r="AM911">
        <f>IF(tbl_HR_Data[[#This Row],[MonthlyIncome]]&lt;$AT$2,1,0)</f>
        <v>1</v>
      </c>
      <c r="AN911">
        <f>IF(tbl_HR_Data[[#This Row],[Travel_Code]]=2,1,0)</f>
        <v>0</v>
      </c>
      <c r="AO911">
        <f>(tbl_HR_Data[[#This Row],[Flag_OT]] * Logic_Parameters!$B$2) +
 (tbl_HR_Data[[#This Row],[Flag_Travel]] * Logic_Parameters!$B$3) +
 (tbl_HR_Data[[#This Row],[Flag_Satisfaction]] * Logic_Parameters!$B$4) +
 (tbl_HR_Data[[#This Row],[Flag_Distance]]* Logic_Parameters!$B$5) +
 (tbl_HR_Data[[#This Row],[Flag_Income]] * Logic_Parameters!$B$6)</f>
        <v>19.660535633296206</v>
      </c>
      <c r="AP911" s="15">
        <f>tbl_HR_Data[[#This Row],[Risk_Score_Raw]] / SUM(Logic_Parameters!$B$2:$B$6)</f>
        <v>0.67735486308273574</v>
      </c>
      <c r="AQ911" s="16" t="str" cm="1">
        <f t="array" ref="AQ911">_xlfn.IFS(tbl_HR_Data[[#This Row],[Attrition_Risk_Percentage]] &gt;= 0.75, "Critical",tbl_HR_Data[ [#This Row],[Attrition_Risk_Percentage] ]&gt;= 0.5, "High",tbl_HR_Data[[#This Row],[Attrition_Risk_Percentage]] &gt;= 0.25, "Medium",TRUE, "Low")</f>
        <v>High</v>
      </c>
      <c r="AR911" s="16" cm="1">
        <f t="array" ref="AR911">IFERROR(_xlfn.IFS(tbl_HR_Data[[#This Row],[Risk_Category]]="Critical",tbl_HR_Data[[#This Row],[MonthlyIncome]]*1.5,tbl_HR_Data[[#This Row],[Risk_Category]]="High",tbl_HR_Data[[#This Row],[MonthlyIncome]]*1.5),0)</f>
        <v>4491</v>
      </c>
    </row>
    <row r="912" spans="1:44" x14ac:dyDescent="0.35">
      <c r="A912" t="s">
        <v>1371</v>
      </c>
      <c r="B912">
        <v>23</v>
      </c>
      <c r="C912" t="s">
        <v>31</v>
      </c>
      <c r="D912">
        <v>373</v>
      </c>
      <c r="E912" t="s">
        <v>38</v>
      </c>
      <c r="F912">
        <v>1</v>
      </c>
      <c r="G912">
        <v>2</v>
      </c>
      <c r="H912" t="s">
        <v>33</v>
      </c>
      <c r="I912">
        <v>4</v>
      </c>
      <c r="J912" t="s">
        <v>39</v>
      </c>
      <c r="K912">
        <v>47</v>
      </c>
      <c r="L912">
        <v>3</v>
      </c>
      <c r="M912">
        <v>1</v>
      </c>
      <c r="N912" t="s">
        <v>40</v>
      </c>
      <c r="O912">
        <v>3</v>
      </c>
      <c r="P912" t="s">
        <v>41</v>
      </c>
      <c r="Q912">
        <v>1223</v>
      </c>
      <c r="R912">
        <v>16901</v>
      </c>
      <c r="S912">
        <v>1</v>
      </c>
      <c r="T912">
        <v>0</v>
      </c>
      <c r="U912" s="17">
        <v>0.22</v>
      </c>
      <c r="V912">
        <v>4</v>
      </c>
      <c r="W912">
        <v>4</v>
      </c>
      <c r="X912">
        <v>1</v>
      </c>
      <c r="Y912">
        <v>1</v>
      </c>
      <c r="Z912">
        <v>2</v>
      </c>
      <c r="AA912">
        <v>3</v>
      </c>
      <c r="AB912">
        <v>1</v>
      </c>
      <c r="AC912">
        <v>0</v>
      </c>
      <c r="AD912">
        <v>0</v>
      </c>
      <c r="AE912">
        <v>1</v>
      </c>
      <c r="AF912">
        <v>0</v>
      </c>
      <c r="AG912">
        <f>IF(tbl_HR_Data[[#This Row],[Gender]]="Male",1,0)</f>
        <v>1</v>
      </c>
      <c r="AH912" cm="1">
        <f t="array" ref="AH912">_xlfn.SWITCH(tbl_HR_Data[[#This Row],[BusinessTravel]], "Non-Travel", 0, "Travel_Rarely", 1, "Travel_Frequently", 2)</f>
        <v>1</v>
      </c>
      <c r="AI912" cm="1">
        <f t="array" ref="AI912">_xlfn.SWITCH(tbl_HR_Data[[#This Row],[MaritalStatus]],"Single",0,"Married",1,"Divorced",2)</f>
        <v>1</v>
      </c>
      <c r="AJ912">
        <f>IF(tbl_HR_Data[[#This Row],[OverTime]]=1,1,0)</f>
        <v>0</v>
      </c>
      <c r="AK912">
        <f>IF(tbl_HR_Data[[#This Row],[DistanceFromHome]]&gt;15,1,0)</f>
        <v>0</v>
      </c>
      <c r="AL912">
        <f>IF(tbl_HR_Data[[#This Row],[JobSatisfaction]]&lt;=2,1,0)</f>
        <v>0</v>
      </c>
      <c r="AM912">
        <f>IF(tbl_HR_Data[[#This Row],[MonthlyIncome]]&lt;$AT$2,1,0)</f>
        <v>1</v>
      </c>
      <c r="AN912">
        <f>IF(tbl_HR_Data[[#This Row],[Travel_Code]]=2,1,0)</f>
        <v>0</v>
      </c>
      <c r="AO912">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912" s="15">
        <f>tbl_HR_Data[[#This Row],[Risk_Score_Raw]] / SUM(Logic_Parameters!$B$2:$B$6)</f>
        <v>0.22374939857982484</v>
      </c>
      <c r="AQ912" s="16" t="str" cm="1">
        <f t="array" ref="AQ912">_xlfn.IFS(tbl_HR_Data[[#This Row],[Attrition_Risk_Percentage]] &gt;= 0.75, "Critical",tbl_HR_Data[ [#This Row],[Attrition_Risk_Percentage] ]&gt;= 0.5, "High",tbl_HR_Data[[#This Row],[Attrition_Risk_Percentage]] &gt;= 0.25, "Medium",TRUE, "Low")</f>
        <v>Low</v>
      </c>
      <c r="AR912" s="16" cm="1">
        <f t="array" ref="AR912">IFERROR(_xlfn.IFS(tbl_HR_Data[[#This Row],[Risk_Category]]="Critical",tbl_HR_Data[[#This Row],[MonthlyIncome]]*1.5,tbl_HR_Data[[#This Row],[Risk_Category]]="High",tbl_HR_Data[[#This Row],[MonthlyIncome]]*1.5),0)</f>
        <v>0</v>
      </c>
    </row>
    <row r="913" spans="1:44" x14ac:dyDescent="0.35">
      <c r="A913" t="s">
        <v>1116</v>
      </c>
      <c r="B913">
        <v>25</v>
      </c>
      <c r="C913" t="s">
        <v>37</v>
      </c>
      <c r="D913">
        <v>599</v>
      </c>
      <c r="E913" t="s">
        <v>32</v>
      </c>
      <c r="F913">
        <v>24</v>
      </c>
      <c r="G913">
        <v>1</v>
      </c>
      <c r="H913" t="s">
        <v>33</v>
      </c>
      <c r="I913">
        <v>3</v>
      </c>
      <c r="J913" t="s">
        <v>39</v>
      </c>
      <c r="K913">
        <v>73</v>
      </c>
      <c r="L913">
        <v>1</v>
      </c>
      <c r="M913">
        <v>1</v>
      </c>
      <c r="N913" t="s">
        <v>49</v>
      </c>
      <c r="O913">
        <v>4</v>
      </c>
      <c r="P913" t="s">
        <v>36</v>
      </c>
      <c r="Q913">
        <v>1118</v>
      </c>
      <c r="R913">
        <v>8040</v>
      </c>
      <c r="S913">
        <v>1</v>
      </c>
      <c r="T913">
        <v>1</v>
      </c>
      <c r="U913" s="17">
        <v>0.14000000000000001</v>
      </c>
      <c r="V913">
        <v>3</v>
      </c>
      <c r="W913">
        <v>4</v>
      </c>
      <c r="X913">
        <v>0</v>
      </c>
      <c r="Y913">
        <v>1</v>
      </c>
      <c r="Z913">
        <v>4</v>
      </c>
      <c r="AA913">
        <v>3</v>
      </c>
      <c r="AB913">
        <v>1</v>
      </c>
      <c r="AC913">
        <v>0</v>
      </c>
      <c r="AD913">
        <v>1</v>
      </c>
      <c r="AE913">
        <v>0</v>
      </c>
      <c r="AF913">
        <v>1</v>
      </c>
      <c r="AG913">
        <f>IF(tbl_HR_Data[[#This Row],[Gender]]="Male",1,0)</f>
        <v>1</v>
      </c>
      <c r="AH913" cm="1">
        <f t="array" ref="AH913">_xlfn.SWITCH(tbl_HR_Data[[#This Row],[BusinessTravel]], "Non-Travel", 0, "Travel_Rarely", 1, "Travel_Frequently", 2)</f>
        <v>2</v>
      </c>
      <c r="AI913" cm="1">
        <f t="array" ref="AI913">_xlfn.SWITCH(tbl_HR_Data[[#This Row],[MaritalStatus]],"Single",0,"Married",1,"Divorced",2)</f>
        <v>0</v>
      </c>
      <c r="AJ913">
        <f>IF(tbl_HR_Data[[#This Row],[OverTime]]=1,1,0)</f>
        <v>1</v>
      </c>
      <c r="AK913">
        <f>IF(tbl_HR_Data[[#This Row],[DistanceFromHome]]&gt;15,1,0)</f>
        <v>1</v>
      </c>
      <c r="AL913">
        <f>IF(tbl_HR_Data[[#This Row],[JobSatisfaction]]&lt;=2,1,0)</f>
        <v>0</v>
      </c>
      <c r="AM913">
        <f>IF(tbl_HR_Data[[#This Row],[MonthlyIncome]]&lt;$AT$2,1,0)</f>
        <v>1</v>
      </c>
      <c r="AN913">
        <f>IF(tbl_HR_Data[[#This Row],[Travel_Code]]=2,1,0)</f>
        <v>1</v>
      </c>
      <c r="AO913">
        <f>(tbl_HR_Data[[#This Row],[Flag_OT]] * Logic_Parameters!$B$2) +
 (tbl_HR_Data[[#This Row],[Flag_Travel]] * Logic_Parameters!$B$3) +
 (tbl_HR_Data[[#This Row],[Flag_Satisfaction]] * Logic_Parameters!$B$4) +
 (tbl_HR_Data[[#This Row],[Flag_Distance]]* Logic_Parameters!$B$5) +
 (tbl_HR_Data[[#This Row],[Flag_Income]] * Logic_Parameters!$B$6)</f>
        <v>24.820925613786383</v>
      </c>
      <c r="AP913" s="15">
        <f>tbl_HR_Data[[#This Row],[Risk_Score_Raw]] / SUM(Logic_Parameters!$B$2:$B$6)</f>
        <v>0.85514326691283105</v>
      </c>
      <c r="AQ913" s="16" t="str" cm="1">
        <f t="array" ref="AQ913">_xlfn.IFS(tbl_HR_Data[[#This Row],[Attrition_Risk_Percentage]] &gt;= 0.75, "Critical",tbl_HR_Data[ [#This Row],[Attrition_Risk_Percentage] ]&gt;= 0.5, "High",tbl_HR_Data[[#This Row],[Attrition_Risk_Percentage]] &gt;= 0.25, "Medium",TRUE, "Low")</f>
        <v>Critical</v>
      </c>
      <c r="AR913" s="16" cm="1">
        <f t="array" ref="AR913">IFERROR(_xlfn.IFS(tbl_HR_Data[[#This Row],[Risk_Category]]="Critical",tbl_HR_Data[[#This Row],[MonthlyIncome]]*1.5,tbl_HR_Data[[#This Row],[Risk_Category]]="High",tbl_HR_Data[[#This Row],[MonthlyIncome]]*1.5),0)</f>
        <v>1677</v>
      </c>
    </row>
    <row r="914" spans="1:44" x14ac:dyDescent="0.35">
      <c r="A914" t="s">
        <v>1048</v>
      </c>
      <c r="B914">
        <v>26</v>
      </c>
      <c r="C914" t="s">
        <v>31</v>
      </c>
      <c r="D914">
        <v>583</v>
      </c>
      <c r="E914" t="s">
        <v>38</v>
      </c>
      <c r="F914">
        <v>4</v>
      </c>
      <c r="G914">
        <v>2</v>
      </c>
      <c r="H914" t="s">
        <v>33</v>
      </c>
      <c r="I914">
        <v>3</v>
      </c>
      <c r="J914" t="s">
        <v>39</v>
      </c>
      <c r="K914">
        <v>53</v>
      </c>
      <c r="L914">
        <v>3</v>
      </c>
      <c r="M914">
        <v>1</v>
      </c>
      <c r="N914" t="s">
        <v>40</v>
      </c>
      <c r="O914">
        <v>4</v>
      </c>
      <c r="P914" t="s">
        <v>36</v>
      </c>
      <c r="Q914">
        <v>2875</v>
      </c>
      <c r="R914">
        <v>9973</v>
      </c>
      <c r="S914">
        <v>1</v>
      </c>
      <c r="T914">
        <v>1</v>
      </c>
      <c r="U914" s="17">
        <v>0.2</v>
      </c>
      <c r="V914">
        <v>4</v>
      </c>
      <c r="W914">
        <v>2</v>
      </c>
      <c r="X914">
        <v>0</v>
      </c>
      <c r="Y914">
        <v>8</v>
      </c>
      <c r="Z914">
        <v>2</v>
      </c>
      <c r="AA914">
        <v>2</v>
      </c>
      <c r="AB914">
        <v>8</v>
      </c>
      <c r="AC914">
        <v>5</v>
      </c>
      <c r="AD914">
        <v>2</v>
      </c>
      <c r="AE914">
        <v>2</v>
      </c>
      <c r="AF914">
        <v>0</v>
      </c>
      <c r="AG914">
        <f>IF(tbl_HR_Data[[#This Row],[Gender]]="Male",1,0)</f>
        <v>1</v>
      </c>
      <c r="AH914" cm="1">
        <f t="array" ref="AH914">_xlfn.SWITCH(tbl_HR_Data[[#This Row],[BusinessTravel]], "Non-Travel", 0, "Travel_Rarely", 1, "Travel_Frequently", 2)</f>
        <v>1</v>
      </c>
      <c r="AI914" cm="1">
        <f t="array" ref="AI914">_xlfn.SWITCH(tbl_HR_Data[[#This Row],[MaritalStatus]],"Single",0,"Married",1,"Divorced",2)</f>
        <v>0</v>
      </c>
      <c r="AJ914">
        <f>IF(tbl_HR_Data[[#This Row],[OverTime]]=1,1,0)</f>
        <v>1</v>
      </c>
      <c r="AK914">
        <f>IF(tbl_HR_Data[[#This Row],[DistanceFromHome]]&gt;15,1,0)</f>
        <v>0</v>
      </c>
      <c r="AL914">
        <f>IF(tbl_HR_Data[[#This Row],[JobSatisfaction]]&lt;=2,1,0)</f>
        <v>0</v>
      </c>
      <c r="AM914">
        <f>IF(tbl_HR_Data[[#This Row],[MonthlyIncome]]&lt;$AT$2,1,0)</f>
        <v>1</v>
      </c>
      <c r="AN914">
        <f>IF(tbl_HR_Data[[#This Row],[Travel_Code]]=2,1,0)</f>
        <v>0</v>
      </c>
      <c r="AO914">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914" s="15">
        <f>tbl_HR_Data[[#This Row],[Risk_Score_Raw]] / SUM(Logic_Parameters!$B$2:$B$6)</f>
        <v>0.56827453040563214</v>
      </c>
      <c r="AQ914" s="16" t="str" cm="1">
        <f t="array" ref="AQ914">_xlfn.IFS(tbl_HR_Data[[#This Row],[Attrition_Risk_Percentage]] &gt;= 0.75, "Critical",tbl_HR_Data[ [#This Row],[Attrition_Risk_Percentage] ]&gt;= 0.5, "High",tbl_HR_Data[[#This Row],[Attrition_Risk_Percentage]] &gt;= 0.25, "Medium",TRUE, "Low")</f>
        <v>High</v>
      </c>
      <c r="AR914" s="16" cm="1">
        <f t="array" ref="AR914">IFERROR(_xlfn.IFS(tbl_HR_Data[[#This Row],[Risk_Category]]="Critical",tbl_HR_Data[[#This Row],[MonthlyIncome]]*1.5,tbl_HR_Data[[#This Row],[Risk_Category]]="High",tbl_HR_Data[[#This Row],[MonthlyIncome]]*1.5),0)</f>
        <v>4312.5</v>
      </c>
    </row>
    <row r="915" spans="1:44" x14ac:dyDescent="0.35">
      <c r="A915" t="s">
        <v>1345</v>
      </c>
      <c r="B915">
        <v>45</v>
      </c>
      <c r="C915" t="s">
        <v>31</v>
      </c>
      <c r="D915">
        <v>1449</v>
      </c>
      <c r="E915" t="s">
        <v>32</v>
      </c>
      <c r="F915">
        <v>2</v>
      </c>
      <c r="G915">
        <v>3</v>
      </c>
      <c r="H915" t="s">
        <v>51</v>
      </c>
      <c r="I915">
        <v>1</v>
      </c>
      <c r="J915" t="s">
        <v>34</v>
      </c>
      <c r="K915">
        <v>94</v>
      </c>
      <c r="L915">
        <v>1</v>
      </c>
      <c r="M915">
        <v>5</v>
      </c>
      <c r="N915" t="s">
        <v>48</v>
      </c>
      <c r="O915">
        <v>2</v>
      </c>
      <c r="P915" t="s">
        <v>36</v>
      </c>
      <c r="Q915">
        <v>18824</v>
      </c>
      <c r="R915">
        <v>2493</v>
      </c>
      <c r="S915">
        <v>2</v>
      </c>
      <c r="T915">
        <v>1</v>
      </c>
      <c r="U915" s="17">
        <v>0.16</v>
      </c>
      <c r="V915">
        <v>3</v>
      </c>
      <c r="W915">
        <v>1</v>
      </c>
      <c r="X915">
        <v>0</v>
      </c>
      <c r="Y915">
        <v>26</v>
      </c>
      <c r="Z915">
        <v>2</v>
      </c>
      <c r="AA915">
        <v>3</v>
      </c>
      <c r="AB915">
        <v>24</v>
      </c>
      <c r="AC915">
        <v>10</v>
      </c>
      <c r="AD915">
        <v>1</v>
      </c>
      <c r="AE915">
        <v>11</v>
      </c>
      <c r="AF915">
        <v>1</v>
      </c>
      <c r="AG915">
        <f>IF(tbl_HR_Data[[#This Row],[Gender]]="Male",1,0)</f>
        <v>0</v>
      </c>
      <c r="AH915" cm="1">
        <f t="array" ref="AH915">_xlfn.SWITCH(tbl_HR_Data[[#This Row],[BusinessTravel]], "Non-Travel", 0, "Travel_Rarely", 1, "Travel_Frequently", 2)</f>
        <v>1</v>
      </c>
      <c r="AI915" cm="1">
        <f t="array" ref="AI915">_xlfn.SWITCH(tbl_HR_Data[[#This Row],[MaritalStatus]],"Single",0,"Married",1,"Divorced",2)</f>
        <v>0</v>
      </c>
      <c r="AJ915">
        <f>IF(tbl_HR_Data[[#This Row],[OverTime]]=1,1,0)</f>
        <v>1</v>
      </c>
      <c r="AK915">
        <f>IF(tbl_HR_Data[[#This Row],[DistanceFromHome]]&gt;15,1,0)</f>
        <v>0</v>
      </c>
      <c r="AL915">
        <f>IF(tbl_HR_Data[[#This Row],[JobSatisfaction]]&lt;=2,1,0)</f>
        <v>1</v>
      </c>
      <c r="AM915">
        <f>IF(tbl_HR_Data[[#This Row],[MonthlyIncome]]&lt;$AT$2,1,0)</f>
        <v>0</v>
      </c>
      <c r="AN915">
        <f>IF(tbl_HR_Data[[#This Row],[Travel_Code]]=2,1,0)</f>
        <v>0</v>
      </c>
      <c r="AO915">
        <f>(tbl_HR_Data[[#This Row],[Flag_OT]] * Logic_Parameters!$B$2) +
 (tbl_HR_Data[[#This Row],[Flag_Travel]] * Logic_Parameters!$B$3) +
 (tbl_HR_Data[[#This Row],[Flag_Satisfaction]] * Logic_Parameters!$B$4) +
 (tbl_HR_Data[[#This Row],[Flag_Distance]]* Logic_Parameters!$B$5) +
 (tbl_HR_Data[[#This Row],[Flag_Income]] * Logic_Parameters!$B$6)</f>
        <v>14.204533129978131</v>
      </c>
      <c r="AP915" s="15">
        <f>tbl_HR_Data[[#This Row],[Risk_Score_Raw]] / SUM(Logic_Parameters!$B$2:$B$6)</f>
        <v>0.48938186491297625</v>
      </c>
      <c r="AQ915" s="16" t="str" cm="1">
        <f t="array" ref="AQ915">_xlfn.IFS(tbl_HR_Data[[#This Row],[Attrition_Risk_Percentage]] &gt;= 0.75, "Critical",tbl_HR_Data[ [#This Row],[Attrition_Risk_Percentage] ]&gt;= 0.5, "High",tbl_HR_Data[[#This Row],[Attrition_Risk_Percentage]] &gt;= 0.25, "Medium",TRUE, "Low")</f>
        <v>Medium</v>
      </c>
      <c r="AR915" s="16" cm="1">
        <f t="array" ref="AR915">IFERROR(_xlfn.IFS(tbl_HR_Data[[#This Row],[Risk_Category]]="Critical",tbl_HR_Data[[#This Row],[MonthlyIncome]]*1.5,tbl_HR_Data[[#This Row],[Risk_Category]]="High",tbl_HR_Data[[#This Row],[MonthlyIncome]]*1.5),0)</f>
        <v>0</v>
      </c>
    </row>
    <row r="916" spans="1:44" x14ac:dyDescent="0.35">
      <c r="A916" t="s">
        <v>458</v>
      </c>
      <c r="B916">
        <v>55</v>
      </c>
      <c r="C916" t="s">
        <v>1525</v>
      </c>
      <c r="D916">
        <v>177</v>
      </c>
      <c r="E916" t="s">
        <v>38</v>
      </c>
      <c r="F916">
        <v>8</v>
      </c>
      <c r="G916">
        <v>1</v>
      </c>
      <c r="H916" t="s">
        <v>44</v>
      </c>
      <c r="I916">
        <v>4</v>
      </c>
      <c r="J916" t="s">
        <v>39</v>
      </c>
      <c r="K916">
        <v>37</v>
      </c>
      <c r="L916">
        <v>2</v>
      </c>
      <c r="M916">
        <v>4</v>
      </c>
      <c r="N916" t="s">
        <v>47</v>
      </c>
      <c r="O916">
        <v>2</v>
      </c>
      <c r="P916" t="s">
        <v>45</v>
      </c>
      <c r="Q916">
        <v>13577</v>
      </c>
      <c r="R916">
        <v>25592</v>
      </c>
      <c r="S916">
        <v>1</v>
      </c>
      <c r="T916">
        <v>1</v>
      </c>
      <c r="U916" s="17">
        <v>0.15</v>
      </c>
      <c r="V916">
        <v>3</v>
      </c>
      <c r="W916">
        <v>4</v>
      </c>
      <c r="X916">
        <v>1</v>
      </c>
      <c r="Y916">
        <v>34</v>
      </c>
      <c r="Z916">
        <v>3</v>
      </c>
      <c r="AA916">
        <v>3</v>
      </c>
      <c r="AB916">
        <v>33</v>
      </c>
      <c r="AC916">
        <v>9</v>
      </c>
      <c r="AD916">
        <v>15</v>
      </c>
      <c r="AE916">
        <v>0</v>
      </c>
      <c r="AF916">
        <v>0</v>
      </c>
      <c r="AG916">
        <f>IF(tbl_HR_Data[[#This Row],[Gender]]="Male",1,0)</f>
        <v>1</v>
      </c>
      <c r="AH916" cm="1">
        <f t="array" ref="AH916">_xlfn.SWITCH(tbl_HR_Data[[#This Row],[BusinessTravel]], "Non-Travel", 0, "Travel_Rarely", 1, "Travel_Frequently", 2)</f>
        <v>0</v>
      </c>
      <c r="AI916" cm="1">
        <f t="array" ref="AI916">_xlfn.SWITCH(tbl_HR_Data[[#This Row],[MaritalStatus]],"Single",0,"Married",1,"Divorced",2)</f>
        <v>2</v>
      </c>
      <c r="AJ916">
        <f>IF(tbl_HR_Data[[#This Row],[OverTime]]=1,1,0)</f>
        <v>1</v>
      </c>
      <c r="AK916">
        <f>IF(tbl_HR_Data[[#This Row],[DistanceFromHome]]&gt;15,1,0)</f>
        <v>0</v>
      </c>
      <c r="AL916">
        <f>IF(tbl_HR_Data[[#This Row],[JobSatisfaction]]&lt;=2,1,0)</f>
        <v>1</v>
      </c>
      <c r="AM916">
        <f>IF(tbl_HR_Data[[#This Row],[MonthlyIncome]]&lt;$AT$2,1,0)</f>
        <v>0</v>
      </c>
      <c r="AN916">
        <f>IF(tbl_HR_Data[[#This Row],[Travel_Code]]=2,1,0)</f>
        <v>0</v>
      </c>
      <c r="AO916">
        <f>(tbl_HR_Data[[#This Row],[Flag_OT]] * Logic_Parameters!$B$2) +
 (tbl_HR_Data[[#This Row],[Flag_Travel]] * Logic_Parameters!$B$3) +
 (tbl_HR_Data[[#This Row],[Flag_Satisfaction]] * Logic_Parameters!$B$4) +
 (tbl_HR_Data[[#This Row],[Flag_Distance]]* Logic_Parameters!$B$5) +
 (tbl_HR_Data[[#This Row],[Flag_Income]] * Logic_Parameters!$B$6)</f>
        <v>14.204533129978131</v>
      </c>
      <c r="AP916" s="15">
        <f>tbl_HR_Data[[#This Row],[Risk_Score_Raw]] / SUM(Logic_Parameters!$B$2:$B$6)</f>
        <v>0.48938186491297625</v>
      </c>
      <c r="AQ916" s="16" t="str" cm="1">
        <f t="array" ref="AQ916">_xlfn.IFS(tbl_HR_Data[[#This Row],[Attrition_Risk_Percentage]] &gt;= 0.75, "Critical",tbl_HR_Data[ [#This Row],[Attrition_Risk_Percentage] ]&gt;= 0.5, "High",tbl_HR_Data[[#This Row],[Attrition_Risk_Percentage]] &gt;= 0.25, "Medium",TRUE, "Low")</f>
        <v>Medium</v>
      </c>
      <c r="AR916" s="16" cm="1">
        <f t="array" ref="AR916">IFERROR(_xlfn.IFS(tbl_HR_Data[[#This Row],[Risk_Category]]="Critical",tbl_HR_Data[[#This Row],[MonthlyIncome]]*1.5,tbl_HR_Data[[#This Row],[Risk_Category]]="High",tbl_HR_Data[[#This Row],[MonthlyIncome]]*1.5),0)</f>
        <v>0</v>
      </c>
    </row>
    <row r="917" spans="1:44" x14ac:dyDescent="0.35">
      <c r="A917" t="s">
        <v>87</v>
      </c>
      <c r="B917">
        <v>21</v>
      </c>
      <c r="C917" t="s">
        <v>37</v>
      </c>
      <c r="D917">
        <v>251</v>
      </c>
      <c r="E917" t="s">
        <v>38</v>
      </c>
      <c r="F917">
        <v>10</v>
      </c>
      <c r="G917">
        <v>2</v>
      </c>
      <c r="H917" t="s">
        <v>33</v>
      </c>
      <c r="I917">
        <v>1</v>
      </c>
      <c r="J917" t="s">
        <v>34</v>
      </c>
      <c r="K917">
        <v>45</v>
      </c>
      <c r="L917">
        <v>2</v>
      </c>
      <c r="M917">
        <v>1</v>
      </c>
      <c r="N917" t="s">
        <v>43</v>
      </c>
      <c r="O917">
        <v>3</v>
      </c>
      <c r="P917" t="s">
        <v>36</v>
      </c>
      <c r="Q917">
        <v>2625</v>
      </c>
      <c r="R917">
        <v>25308</v>
      </c>
      <c r="S917">
        <v>1</v>
      </c>
      <c r="T917">
        <v>0</v>
      </c>
      <c r="U917" s="17">
        <v>0.2</v>
      </c>
      <c r="V917">
        <v>4</v>
      </c>
      <c r="W917">
        <v>3</v>
      </c>
      <c r="X917">
        <v>0</v>
      </c>
      <c r="Y917">
        <v>2</v>
      </c>
      <c r="Z917">
        <v>2</v>
      </c>
      <c r="AA917">
        <v>1</v>
      </c>
      <c r="AB917">
        <v>2</v>
      </c>
      <c r="AC917">
        <v>2</v>
      </c>
      <c r="AD917">
        <v>2</v>
      </c>
      <c r="AE917">
        <v>2</v>
      </c>
      <c r="AF917">
        <v>1</v>
      </c>
      <c r="AG917">
        <f>IF(tbl_HR_Data[[#This Row],[Gender]]="Male",1,0)</f>
        <v>0</v>
      </c>
      <c r="AH917" cm="1">
        <f t="array" ref="AH917">_xlfn.SWITCH(tbl_HR_Data[[#This Row],[BusinessTravel]], "Non-Travel", 0, "Travel_Rarely", 1, "Travel_Frequently", 2)</f>
        <v>2</v>
      </c>
      <c r="AI917" cm="1">
        <f t="array" ref="AI917">_xlfn.SWITCH(tbl_HR_Data[[#This Row],[MaritalStatus]],"Single",0,"Married",1,"Divorced",2)</f>
        <v>0</v>
      </c>
      <c r="AJ917">
        <f>IF(tbl_HR_Data[[#This Row],[OverTime]]=1,1,0)</f>
        <v>0</v>
      </c>
      <c r="AK917">
        <f>IF(tbl_HR_Data[[#This Row],[DistanceFromHome]]&gt;15,1,0)</f>
        <v>0</v>
      </c>
      <c r="AL917">
        <f>IF(tbl_HR_Data[[#This Row],[JobSatisfaction]]&lt;=2,1,0)</f>
        <v>0</v>
      </c>
      <c r="AM917">
        <f>IF(tbl_HR_Data[[#This Row],[MonthlyIncome]]&lt;$AT$2,1,0)</f>
        <v>1</v>
      </c>
      <c r="AN917">
        <f>IF(tbl_HR_Data[[#This Row],[Travel_Code]]=2,1,0)</f>
        <v>1</v>
      </c>
      <c r="AO917">
        <f>(tbl_HR_Data[[#This Row],[Flag_OT]] * Logic_Parameters!$B$2) +
 (tbl_HR_Data[[#This Row],[Flag_Travel]] * Logic_Parameters!$B$3) +
 (tbl_HR_Data[[#This Row],[Flag_Satisfaction]] * Logic_Parameters!$B$4) +
 (tbl_HR_Data[[#This Row],[Flag_Distance]]* Logic_Parameters!$B$5) +
 (tbl_HR_Data[[#This Row],[Flag_Income]] * Logic_Parameters!$B$6)</f>
        <v>11.654818917911005</v>
      </c>
      <c r="AP917" s="15">
        <f>tbl_HR_Data[[#This Row],[Risk_Score_Raw]] / SUM(Logic_Parameters!$B$2:$B$6)</f>
        <v>0.40153780240992015</v>
      </c>
      <c r="AQ917" s="16" t="str" cm="1">
        <f t="array" ref="AQ917">_xlfn.IFS(tbl_HR_Data[[#This Row],[Attrition_Risk_Percentage]] &gt;= 0.75, "Critical",tbl_HR_Data[ [#This Row],[Attrition_Risk_Percentage] ]&gt;= 0.5, "High",tbl_HR_Data[[#This Row],[Attrition_Risk_Percentage]] &gt;= 0.25, "Medium",TRUE, "Low")</f>
        <v>Medium</v>
      </c>
      <c r="AR917" s="16" cm="1">
        <f t="array" ref="AR917">IFERROR(_xlfn.IFS(tbl_HR_Data[[#This Row],[Risk_Category]]="Critical",tbl_HR_Data[[#This Row],[MonthlyIncome]]*1.5,tbl_HR_Data[[#This Row],[Risk_Category]]="High",tbl_HR_Data[[#This Row],[MonthlyIncome]]*1.5),0)</f>
        <v>0</v>
      </c>
    </row>
    <row r="918" spans="1:44" x14ac:dyDescent="0.35">
      <c r="A918" t="s">
        <v>1320</v>
      </c>
      <c r="B918">
        <v>46</v>
      </c>
      <c r="C918" t="s">
        <v>31</v>
      </c>
      <c r="D918">
        <v>168</v>
      </c>
      <c r="E918" t="s">
        <v>32</v>
      </c>
      <c r="F918">
        <v>4</v>
      </c>
      <c r="G918">
        <v>2</v>
      </c>
      <c r="H918" t="s">
        <v>51</v>
      </c>
      <c r="I918">
        <v>4</v>
      </c>
      <c r="J918" t="s">
        <v>34</v>
      </c>
      <c r="K918">
        <v>33</v>
      </c>
      <c r="L918">
        <v>2</v>
      </c>
      <c r="M918">
        <v>5</v>
      </c>
      <c r="N918" t="s">
        <v>48</v>
      </c>
      <c r="O918">
        <v>2</v>
      </c>
      <c r="P918" t="s">
        <v>41</v>
      </c>
      <c r="Q918">
        <v>18789</v>
      </c>
      <c r="R918">
        <v>9946</v>
      </c>
      <c r="S918">
        <v>2</v>
      </c>
      <c r="T918">
        <v>0</v>
      </c>
      <c r="U918" s="17">
        <v>0.14000000000000001</v>
      </c>
      <c r="V918">
        <v>3</v>
      </c>
      <c r="W918">
        <v>3</v>
      </c>
      <c r="X918">
        <v>1</v>
      </c>
      <c r="Y918">
        <v>26</v>
      </c>
      <c r="Z918">
        <v>2</v>
      </c>
      <c r="AA918">
        <v>3</v>
      </c>
      <c r="AB918">
        <v>11</v>
      </c>
      <c r="AC918">
        <v>4</v>
      </c>
      <c r="AD918">
        <v>0</v>
      </c>
      <c r="AE918">
        <v>8</v>
      </c>
      <c r="AF918">
        <v>0</v>
      </c>
      <c r="AG918">
        <f>IF(tbl_HR_Data[[#This Row],[Gender]]="Male",1,0)</f>
        <v>0</v>
      </c>
      <c r="AH918" cm="1">
        <f t="array" ref="AH918">_xlfn.SWITCH(tbl_HR_Data[[#This Row],[BusinessTravel]], "Non-Travel", 0, "Travel_Rarely", 1, "Travel_Frequently", 2)</f>
        <v>1</v>
      </c>
      <c r="AI918" cm="1">
        <f t="array" ref="AI918">_xlfn.SWITCH(tbl_HR_Data[[#This Row],[MaritalStatus]],"Single",0,"Married",1,"Divorced",2)</f>
        <v>1</v>
      </c>
      <c r="AJ918">
        <f>IF(tbl_HR_Data[[#This Row],[OverTime]]=1,1,0)</f>
        <v>0</v>
      </c>
      <c r="AK918">
        <f>IF(tbl_HR_Data[[#This Row],[DistanceFromHome]]&gt;15,1,0)</f>
        <v>0</v>
      </c>
      <c r="AL918">
        <f>IF(tbl_HR_Data[[#This Row],[JobSatisfaction]]&lt;=2,1,0)</f>
        <v>1</v>
      </c>
      <c r="AM918">
        <f>IF(tbl_HR_Data[[#This Row],[MonthlyIncome]]&lt;$AT$2,1,0)</f>
        <v>0</v>
      </c>
      <c r="AN918">
        <f>IF(tbl_HR_Data[[#This Row],[Travel_Code]]=2,1,0)</f>
        <v>0</v>
      </c>
      <c r="AO918">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918" s="15">
        <f>tbl_HR_Data[[#This Row],[Risk_Score_Raw]] / SUM(Logic_Parameters!$B$2:$B$6)</f>
        <v>0.14485673308716898</v>
      </c>
      <c r="AQ918" s="16" t="str" cm="1">
        <f t="array" ref="AQ918">_xlfn.IFS(tbl_HR_Data[[#This Row],[Attrition_Risk_Percentage]] &gt;= 0.75, "Critical",tbl_HR_Data[ [#This Row],[Attrition_Risk_Percentage] ]&gt;= 0.5, "High",tbl_HR_Data[[#This Row],[Attrition_Risk_Percentage]] &gt;= 0.25, "Medium",TRUE, "Low")</f>
        <v>Low</v>
      </c>
      <c r="AR918" s="16" cm="1">
        <f t="array" ref="AR918">IFERROR(_xlfn.IFS(tbl_HR_Data[[#This Row],[Risk_Category]]="Critical",tbl_HR_Data[[#This Row],[MonthlyIncome]]*1.5,tbl_HR_Data[[#This Row],[Risk_Category]]="High",tbl_HR_Data[[#This Row],[MonthlyIncome]]*1.5),0)</f>
        <v>0</v>
      </c>
    </row>
    <row r="919" spans="1:44" x14ac:dyDescent="0.35">
      <c r="A919" t="s">
        <v>1284</v>
      </c>
      <c r="B919">
        <v>34</v>
      </c>
      <c r="C919" t="s">
        <v>31</v>
      </c>
      <c r="D919">
        <v>131</v>
      </c>
      <c r="E919" t="s">
        <v>32</v>
      </c>
      <c r="F919">
        <v>2</v>
      </c>
      <c r="G919">
        <v>3</v>
      </c>
      <c r="H919" t="s">
        <v>51</v>
      </c>
      <c r="I919">
        <v>3</v>
      </c>
      <c r="J919" t="s">
        <v>34</v>
      </c>
      <c r="K919">
        <v>86</v>
      </c>
      <c r="L919">
        <v>3</v>
      </c>
      <c r="M919">
        <v>2</v>
      </c>
      <c r="N919" t="s">
        <v>35</v>
      </c>
      <c r="O919">
        <v>1</v>
      </c>
      <c r="P919" t="s">
        <v>36</v>
      </c>
      <c r="Q919">
        <v>4538</v>
      </c>
      <c r="R919">
        <v>6039</v>
      </c>
      <c r="S919">
        <v>0</v>
      </c>
      <c r="T919">
        <v>1</v>
      </c>
      <c r="U919" s="17">
        <v>0.12</v>
      </c>
      <c r="V919">
        <v>3</v>
      </c>
      <c r="W919">
        <v>4</v>
      </c>
      <c r="X919">
        <v>0</v>
      </c>
      <c r="Y919">
        <v>4</v>
      </c>
      <c r="Z919">
        <v>3</v>
      </c>
      <c r="AA919">
        <v>3</v>
      </c>
      <c r="AB919">
        <v>3</v>
      </c>
      <c r="AC919">
        <v>2</v>
      </c>
      <c r="AD919">
        <v>0</v>
      </c>
      <c r="AE919">
        <v>2</v>
      </c>
      <c r="AF919">
        <v>0</v>
      </c>
      <c r="AG919">
        <f>IF(tbl_HR_Data[[#This Row],[Gender]]="Male",1,0)</f>
        <v>0</v>
      </c>
      <c r="AH919" cm="1">
        <f t="array" ref="AH919">_xlfn.SWITCH(tbl_HR_Data[[#This Row],[BusinessTravel]], "Non-Travel", 0, "Travel_Rarely", 1, "Travel_Frequently", 2)</f>
        <v>1</v>
      </c>
      <c r="AI919" cm="1">
        <f t="array" ref="AI919">_xlfn.SWITCH(tbl_HR_Data[[#This Row],[MaritalStatus]],"Single",0,"Married",1,"Divorced",2)</f>
        <v>0</v>
      </c>
      <c r="AJ919">
        <f>IF(tbl_HR_Data[[#This Row],[OverTime]]=1,1,0)</f>
        <v>1</v>
      </c>
      <c r="AK919">
        <f>IF(tbl_HR_Data[[#This Row],[DistanceFromHome]]&gt;15,1,0)</f>
        <v>0</v>
      </c>
      <c r="AL919">
        <f>IF(tbl_HR_Data[[#This Row],[JobSatisfaction]]&lt;=2,1,0)</f>
        <v>1</v>
      </c>
      <c r="AM919">
        <f>IF(tbl_HR_Data[[#This Row],[MonthlyIncome]]&lt;$AT$2,1,0)</f>
        <v>1</v>
      </c>
      <c r="AN919">
        <f>IF(tbl_HR_Data[[#This Row],[Travel_Code]]=2,1,0)</f>
        <v>0</v>
      </c>
      <c r="AO919">
        <f>(tbl_HR_Data[[#This Row],[Flag_OT]] * Logic_Parameters!$B$2) +
 (tbl_HR_Data[[#This Row],[Flag_Travel]] * Logic_Parameters!$B$3) +
 (tbl_HR_Data[[#This Row],[Flag_Satisfaction]] * Logic_Parameters!$B$4) +
 (tbl_HR_Data[[#This Row],[Flag_Distance]]* Logic_Parameters!$B$5) +
 (tbl_HR_Data[[#This Row],[Flag_Income]] * Logic_Parameters!$B$6)</f>
        <v>20.698962067398959</v>
      </c>
      <c r="AP919" s="15">
        <f>tbl_HR_Data[[#This Row],[Risk_Score_Raw]] / SUM(Logic_Parameters!$B$2:$B$6)</f>
        <v>0.71313126349280109</v>
      </c>
      <c r="AQ919" s="16" t="str" cm="1">
        <f t="array" ref="AQ919">_xlfn.IFS(tbl_HR_Data[[#This Row],[Attrition_Risk_Percentage]] &gt;= 0.75, "Critical",tbl_HR_Data[ [#This Row],[Attrition_Risk_Percentage] ]&gt;= 0.5, "High",tbl_HR_Data[[#This Row],[Attrition_Risk_Percentage]] &gt;= 0.25, "Medium",TRUE, "Low")</f>
        <v>High</v>
      </c>
      <c r="AR919" s="16" cm="1">
        <f t="array" ref="AR919">IFERROR(_xlfn.IFS(tbl_HR_Data[[#This Row],[Risk_Category]]="Critical",tbl_HR_Data[[#This Row],[MonthlyIncome]]*1.5,tbl_HR_Data[[#This Row],[Risk_Category]]="High",tbl_HR_Data[[#This Row],[MonthlyIncome]]*1.5),0)</f>
        <v>6807</v>
      </c>
    </row>
    <row r="920" spans="1:44" x14ac:dyDescent="0.35">
      <c r="A920" t="s">
        <v>628</v>
      </c>
      <c r="B920">
        <v>51</v>
      </c>
      <c r="C920" t="s">
        <v>37</v>
      </c>
      <c r="D920">
        <v>237</v>
      </c>
      <c r="E920" t="s">
        <v>32</v>
      </c>
      <c r="F920">
        <v>9</v>
      </c>
      <c r="G920">
        <v>3</v>
      </c>
      <c r="H920" t="s">
        <v>33</v>
      </c>
      <c r="I920">
        <v>4</v>
      </c>
      <c r="J920" t="s">
        <v>39</v>
      </c>
      <c r="K920">
        <v>83</v>
      </c>
      <c r="L920">
        <v>3</v>
      </c>
      <c r="M920">
        <v>5</v>
      </c>
      <c r="N920" t="s">
        <v>48</v>
      </c>
      <c r="O920">
        <v>2</v>
      </c>
      <c r="P920" t="s">
        <v>45</v>
      </c>
      <c r="Q920">
        <v>19847</v>
      </c>
      <c r="R920">
        <v>19196</v>
      </c>
      <c r="S920">
        <v>4</v>
      </c>
      <c r="T920">
        <v>1</v>
      </c>
      <c r="U920" s="17">
        <v>0.24</v>
      </c>
      <c r="V920">
        <v>4</v>
      </c>
      <c r="W920">
        <v>1</v>
      </c>
      <c r="X920">
        <v>1</v>
      </c>
      <c r="Y920">
        <v>31</v>
      </c>
      <c r="Z920">
        <v>5</v>
      </c>
      <c r="AA920">
        <v>2</v>
      </c>
      <c r="AB920">
        <v>29</v>
      </c>
      <c r="AC920">
        <v>10</v>
      </c>
      <c r="AD920">
        <v>11</v>
      </c>
      <c r="AE920">
        <v>10</v>
      </c>
      <c r="AF920">
        <v>0</v>
      </c>
      <c r="AG920">
        <f>IF(tbl_HR_Data[[#This Row],[Gender]]="Male",1,0)</f>
        <v>1</v>
      </c>
      <c r="AH920" cm="1">
        <f t="array" ref="AH920">_xlfn.SWITCH(tbl_HR_Data[[#This Row],[BusinessTravel]], "Non-Travel", 0, "Travel_Rarely", 1, "Travel_Frequently", 2)</f>
        <v>2</v>
      </c>
      <c r="AI920" cm="1">
        <f t="array" ref="AI920">_xlfn.SWITCH(tbl_HR_Data[[#This Row],[MaritalStatus]],"Single",0,"Married",1,"Divorced",2)</f>
        <v>2</v>
      </c>
      <c r="AJ920">
        <f>IF(tbl_HR_Data[[#This Row],[OverTime]]=1,1,0)</f>
        <v>1</v>
      </c>
      <c r="AK920">
        <f>IF(tbl_HR_Data[[#This Row],[DistanceFromHome]]&gt;15,1,0)</f>
        <v>0</v>
      </c>
      <c r="AL920">
        <f>IF(tbl_HR_Data[[#This Row],[JobSatisfaction]]&lt;=2,1,0)</f>
        <v>1</v>
      </c>
      <c r="AM920">
        <f>IF(tbl_HR_Data[[#This Row],[MonthlyIncome]]&lt;$AT$2,1,0)</f>
        <v>0</v>
      </c>
      <c r="AN920">
        <f>IF(tbl_HR_Data[[#This Row],[Travel_Code]]=2,1,0)</f>
        <v>1</v>
      </c>
      <c r="AO920">
        <f>(tbl_HR_Data[[#This Row],[Flag_OT]] * Logic_Parameters!$B$2) +
 (tbl_HR_Data[[#This Row],[Flag_Travel]] * Logic_Parameters!$B$3) +
 (tbl_HR_Data[[#This Row],[Flag_Satisfaction]] * Logic_Parameters!$B$4) +
 (tbl_HR_Data[[#This Row],[Flag_Distance]]* Logic_Parameters!$B$5) +
 (tbl_HR_Data[[#This Row],[Flag_Income]] * Logic_Parameters!$B$6)</f>
        <v>19.364923110468307</v>
      </c>
      <c r="AP920" s="15">
        <f>tbl_HR_Data[[#This Row],[Risk_Score_Raw]] / SUM(Logic_Parameters!$B$2:$B$6)</f>
        <v>0.66717026874307161</v>
      </c>
      <c r="AQ920" s="16" t="str" cm="1">
        <f t="array" ref="AQ920">_xlfn.IFS(tbl_HR_Data[[#This Row],[Attrition_Risk_Percentage]] &gt;= 0.75, "Critical",tbl_HR_Data[ [#This Row],[Attrition_Risk_Percentage] ]&gt;= 0.5, "High",tbl_HR_Data[[#This Row],[Attrition_Risk_Percentage]] &gt;= 0.25, "Medium",TRUE, "Low")</f>
        <v>High</v>
      </c>
      <c r="AR920" s="16" cm="1">
        <f t="array" ref="AR920">IFERROR(_xlfn.IFS(tbl_HR_Data[[#This Row],[Risk_Category]]="Critical",tbl_HR_Data[[#This Row],[MonthlyIncome]]*1.5,tbl_HR_Data[[#This Row],[Risk_Category]]="High",tbl_HR_Data[[#This Row],[MonthlyIncome]]*1.5),0)</f>
        <v>29770.5</v>
      </c>
    </row>
    <row r="921" spans="1:44" x14ac:dyDescent="0.35">
      <c r="A921" t="s">
        <v>1339</v>
      </c>
      <c r="B921">
        <v>59</v>
      </c>
      <c r="C921" t="s">
        <v>31</v>
      </c>
      <c r="D921">
        <v>1429</v>
      </c>
      <c r="E921" t="s">
        <v>38</v>
      </c>
      <c r="F921">
        <v>18</v>
      </c>
      <c r="G921">
        <v>4</v>
      </c>
      <c r="H921" t="s">
        <v>44</v>
      </c>
      <c r="I921">
        <v>4</v>
      </c>
      <c r="J921" t="s">
        <v>39</v>
      </c>
      <c r="K921">
        <v>67</v>
      </c>
      <c r="L921">
        <v>3</v>
      </c>
      <c r="M921">
        <v>3</v>
      </c>
      <c r="N921" t="s">
        <v>46</v>
      </c>
      <c r="O921">
        <v>4</v>
      </c>
      <c r="P921" t="s">
        <v>36</v>
      </c>
      <c r="Q921">
        <v>10512</v>
      </c>
      <c r="R921">
        <v>20002</v>
      </c>
      <c r="S921">
        <v>6</v>
      </c>
      <c r="T921">
        <v>0</v>
      </c>
      <c r="U921" s="17">
        <v>0.12</v>
      </c>
      <c r="V921">
        <v>3</v>
      </c>
      <c r="W921">
        <v>4</v>
      </c>
      <c r="X921">
        <v>0</v>
      </c>
      <c r="Y921">
        <v>25</v>
      </c>
      <c r="Z921">
        <v>6</v>
      </c>
      <c r="AA921">
        <v>2</v>
      </c>
      <c r="AB921">
        <v>9</v>
      </c>
      <c r="AC921">
        <v>7</v>
      </c>
      <c r="AD921">
        <v>5</v>
      </c>
      <c r="AE921">
        <v>4</v>
      </c>
      <c r="AF921">
        <v>0</v>
      </c>
      <c r="AG921">
        <f>IF(tbl_HR_Data[[#This Row],[Gender]]="Male",1,0)</f>
        <v>1</v>
      </c>
      <c r="AH921" cm="1">
        <f t="array" ref="AH921">_xlfn.SWITCH(tbl_HR_Data[[#This Row],[BusinessTravel]], "Non-Travel", 0, "Travel_Rarely", 1, "Travel_Frequently", 2)</f>
        <v>1</v>
      </c>
      <c r="AI921" cm="1">
        <f t="array" ref="AI921">_xlfn.SWITCH(tbl_HR_Data[[#This Row],[MaritalStatus]],"Single",0,"Married",1,"Divorced",2)</f>
        <v>0</v>
      </c>
      <c r="AJ921">
        <f>IF(tbl_HR_Data[[#This Row],[OverTime]]=1,1,0)</f>
        <v>0</v>
      </c>
      <c r="AK921">
        <f>IF(tbl_HR_Data[[#This Row],[DistanceFromHome]]&gt;15,1,0)</f>
        <v>1</v>
      </c>
      <c r="AL921">
        <f>IF(tbl_HR_Data[[#This Row],[JobSatisfaction]]&lt;=2,1,0)</f>
        <v>0</v>
      </c>
      <c r="AM921">
        <f>IF(tbl_HR_Data[[#This Row],[MonthlyIncome]]&lt;$AT$2,1,0)</f>
        <v>0</v>
      </c>
      <c r="AN921">
        <f>IF(tbl_HR_Data[[#This Row],[Travel_Code]]=2,1,0)</f>
        <v>0</v>
      </c>
      <c r="AO921">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921" s="15">
        <f>tbl_HR_Data[[#This Row],[Risk_Score_Raw]] / SUM(Logic_Parameters!$B$2:$B$6)</f>
        <v>0.10908033267710357</v>
      </c>
      <c r="AQ921" s="16" t="str" cm="1">
        <f t="array" ref="AQ921">_xlfn.IFS(tbl_HR_Data[[#This Row],[Attrition_Risk_Percentage]] &gt;= 0.75, "Critical",tbl_HR_Data[ [#This Row],[Attrition_Risk_Percentage] ]&gt;= 0.5, "High",tbl_HR_Data[[#This Row],[Attrition_Risk_Percentage]] &gt;= 0.25, "Medium",TRUE, "Low")</f>
        <v>Low</v>
      </c>
      <c r="AR921" s="16" cm="1">
        <f t="array" ref="AR921">IFERROR(_xlfn.IFS(tbl_HR_Data[[#This Row],[Risk_Category]]="Critical",tbl_HR_Data[[#This Row],[MonthlyIncome]]*1.5,tbl_HR_Data[[#This Row],[Risk_Category]]="High",tbl_HR_Data[[#This Row],[MonthlyIncome]]*1.5),0)</f>
        <v>0</v>
      </c>
    </row>
    <row r="922" spans="1:44" x14ac:dyDescent="0.35">
      <c r="A922" t="s">
        <v>772</v>
      </c>
      <c r="B922">
        <v>34</v>
      </c>
      <c r="C922" t="s">
        <v>37</v>
      </c>
      <c r="D922">
        <v>135</v>
      </c>
      <c r="E922" t="s">
        <v>38</v>
      </c>
      <c r="F922">
        <v>19</v>
      </c>
      <c r="G922">
        <v>3</v>
      </c>
      <c r="H922" t="s">
        <v>44</v>
      </c>
      <c r="I922">
        <v>3</v>
      </c>
      <c r="J922" t="s">
        <v>34</v>
      </c>
      <c r="K922">
        <v>46</v>
      </c>
      <c r="L922">
        <v>3</v>
      </c>
      <c r="M922">
        <v>2</v>
      </c>
      <c r="N922" t="s">
        <v>43</v>
      </c>
      <c r="O922">
        <v>2</v>
      </c>
      <c r="P922" t="s">
        <v>45</v>
      </c>
      <c r="Q922">
        <v>4444</v>
      </c>
      <c r="R922">
        <v>22534</v>
      </c>
      <c r="S922">
        <v>4</v>
      </c>
      <c r="T922">
        <v>0</v>
      </c>
      <c r="U922" s="17">
        <v>0.13</v>
      </c>
      <c r="V922">
        <v>3</v>
      </c>
      <c r="W922">
        <v>3</v>
      </c>
      <c r="X922">
        <v>2</v>
      </c>
      <c r="Y922">
        <v>15</v>
      </c>
      <c r="Z922">
        <v>2</v>
      </c>
      <c r="AA922">
        <v>4</v>
      </c>
      <c r="AB922">
        <v>11</v>
      </c>
      <c r="AC922">
        <v>8</v>
      </c>
      <c r="AD922">
        <v>5</v>
      </c>
      <c r="AE922">
        <v>10</v>
      </c>
      <c r="AF922">
        <v>0</v>
      </c>
      <c r="AG922">
        <f>IF(tbl_HR_Data[[#This Row],[Gender]]="Male",1,0)</f>
        <v>0</v>
      </c>
      <c r="AH922" cm="1">
        <f t="array" ref="AH922">_xlfn.SWITCH(tbl_HR_Data[[#This Row],[BusinessTravel]], "Non-Travel", 0, "Travel_Rarely", 1, "Travel_Frequently", 2)</f>
        <v>2</v>
      </c>
      <c r="AI922" cm="1">
        <f t="array" ref="AI922">_xlfn.SWITCH(tbl_HR_Data[[#This Row],[MaritalStatus]],"Single",0,"Married",1,"Divorced",2)</f>
        <v>2</v>
      </c>
      <c r="AJ922">
        <f>IF(tbl_HR_Data[[#This Row],[OverTime]]=1,1,0)</f>
        <v>0</v>
      </c>
      <c r="AK922">
        <f>IF(tbl_HR_Data[[#This Row],[DistanceFromHome]]&gt;15,1,0)</f>
        <v>1</v>
      </c>
      <c r="AL922">
        <f>IF(tbl_HR_Data[[#This Row],[JobSatisfaction]]&lt;=2,1,0)</f>
        <v>1</v>
      </c>
      <c r="AM922">
        <f>IF(tbl_HR_Data[[#This Row],[MonthlyIncome]]&lt;$AT$2,1,0)</f>
        <v>1</v>
      </c>
      <c r="AN922">
        <f>IF(tbl_HR_Data[[#This Row],[Travel_Code]]=2,1,0)</f>
        <v>1</v>
      </c>
      <c r="AO922">
        <f>(tbl_HR_Data[[#This Row],[Flag_OT]] * Logic_Parameters!$B$2) +
 (tbl_HR_Data[[#This Row],[Flag_Travel]] * Logic_Parameters!$B$3) +
 (tbl_HR_Data[[#This Row],[Flag_Satisfaction]] * Logic_Parameters!$B$4) +
 (tbl_HR_Data[[#This Row],[Flag_Distance]]* Logic_Parameters!$B$5) +
 (tbl_HR_Data[[#This Row],[Flag_Income]] * Logic_Parameters!$B$6)</f>
        <v>19.025458743764514</v>
      </c>
      <c r="AP922" s="15">
        <f>tbl_HR_Data[[#This Row],[Risk_Score_Raw]] / SUM(Logic_Parameters!$B$2:$B$6)</f>
        <v>0.65547486817419276</v>
      </c>
      <c r="AQ922" s="16" t="str" cm="1">
        <f t="array" ref="AQ922">_xlfn.IFS(tbl_HR_Data[[#This Row],[Attrition_Risk_Percentage]] &gt;= 0.75, "Critical",tbl_HR_Data[ [#This Row],[Attrition_Risk_Percentage] ]&gt;= 0.5, "High",tbl_HR_Data[[#This Row],[Attrition_Risk_Percentage]] &gt;= 0.25, "Medium",TRUE, "Low")</f>
        <v>High</v>
      </c>
      <c r="AR922" s="16" cm="1">
        <f t="array" ref="AR922">IFERROR(_xlfn.IFS(tbl_HR_Data[[#This Row],[Risk_Category]]="Critical",tbl_HR_Data[[#This Row],[MonthlyIncome]]*1.5,tbl_HR_Data[[#This Row],[Risk_Category]]="High",tbl_HR_Data[[#This Row],[MonthlyIncome]]*1.5),0)</f>
        <v>6666</v>
      </c>
    </row>
    <row r="923" spans="1:44" x14ac:dyDescent="0.35">
      <c r="A923" t="s">
        <v>801</v>
      </c>
      <c r="B923">
        <v>28</v>
      </c>
      <c r="C923" t="s">
        <v>37</v>
      </c>
      <c r="D923">
        <v>791</v>
      </c>
      <c r="E923" t="s">
        <v>38</v>
      </c>
      <c r="F923">
        <v>1</v>
      </c>
      <c r="G923">
        <v>4</v>
      </c>
      <c r="H923" t="s">
        <v>44</v>
      </c>
      <c r="I923">
        <v>4</v>
      </c>
      <c r="J923" t="s">
        <v>39</v>
      </c>
      <c r="K923">
        <v>44</v>
      </c>
      <c r="L923">
        <v>3</v>
      </c>
      <c r="M923">
        <v>1</v>
      </c>
      <c r="N923" t="s">
        <v>43</v>
      </c>
      <c r="O923">
        <v>3</v>
      </c>
      <c r="P923" t="s">
        <v>36</v>
      </c>
      <c r="Q923">
        <v>2154</v>
      </c>
      <c r="R923">
        <v>6842</v>
      </c>
      <c r="S923">
        <v>0</v>
      </c>
      <c r="T923">
        <v>1</v>
      </c>
      <c r="U923" s="17">
        <v>0.11</v>
      </c>
      <c r="V923">
        <v>3</v>
      </c>
      <c r="W923">
        <v>3</v>
      </c>
      <c r="X923">
        <v>0</v>
      </c>
      <c r="Y923">
        <v>5</v>
      </c>
      <c r="Z923">
        <v>2</v>
      </c>
      <c r="AA923">
        <v>2</v>
      </c>
      <c r="AB923">
        <v>4</v>
      </c>
      <c r="AC923">
        <v>2</v>
      </c>
      <c r="AD923">
        <v>0</v>
      </c>
      <c r="AE923">
        <v>2</v>
      </c>
      <c r="AF923">
        <v>0</v>
      </c>
      <c r="AG923">
        <f>IF(tbl_HR_Data[[#This Row],[Gender]]="Male",1,0)</f>
        <v>1</v>
      </c>
      <c r="AH923" cm="1">
        <f t="array" ref="AH923">_xlfn.SWITCH(tbl_HR_Data[[#This Row],[BusinessTravel]], "Non-Travel", 0, "Travel_Rarely", 1, "Travel_Frequently", 2)</f>
        <v>2</v>
      </c>
      <c r="AI923" cm="1">
        <f t="array" ref="AI923">_xlfn.SWITCH(tbl_HR_Data[[#This Row],[MaritalStatus]],"Single",0,"Married",1,"Divorced",2)</f>
        <v>0</v>
      </c>
      <c r="AJ923">
        <f>IF(tbl_HR_Data[[#This Row],[OverTime]]=1,1,0)</f>
        <v>1</v>
      </c>
      <c r="AK923">
        <f>IF(tbl_HR_Data[[#This Row],[DistanceFromHome]]&gt;15,1,0)</f>
        <v>0</v>
      </c>
      <c r="AL923">
        <f>IF(tbl_HR_Data[[#This Row],[JobSatisfaction]]&lt;=2,1,0)</f>
        <v>0</v>
      </c>
      <c r="AM923">
        <f>IF(tbl_HR_Data[[#This Row],[MonthlyIncome]]&lt;$AT$2,1,0)</f>
        <v>1</v>
      </c>
      <c r="AN923">
        <f>IF(tbl_HR_Data[[#This Row],[Travel_Code]]=2,1,0)</f>
        <v>1</v>
      </c>
      <c r="AO923">
        <f>(tbl_HR_Data[[#This Row],[Flag_OT]] * Logic_Parameters!$B$2) +
 (tbl_HR_Data[[#This Row],[Flag_Travel]] * Logic_Parameters!$B$3) +
 (tbl_HR_Data[[#This Row],[Flag_Satisfaction]] * Logic_Parameters!$B$4) +
 (tbl_HR_Data[[#This Row],[Flag_Distance]]* Logic_Parameters!$B$5) +
 (tbl_HR_Data[[#This Row],[Flag_Income]] * Logic_Parameters!$B$6)</f>
        <v>21.654818917911005</v>
      </c>
      <c r="AP923" s="15">
        <f>tbl_HR_Data[[#This Row],[Risk_Score_Raw]] / SUM(Logic_Parameters!$B$2:$B$6)</f>
        <v>0.74606293423572745</v>
      </c>
      <c r="AQ923" s="16" t="str" cm="1">
        <f t="array" ref="AQ923">_xlfn.IFS(tbl_HR_Data[[#This Row],[Attrition_Risk_Percentage]] &gt;= 0.75, "Critical",tbl_HR_Data[ [#This Row],[Attrition_Risk_Percentage] ]&gt;= 0.5, "High",tbl_HR_Data[[#This Row],[Attrition_Risk_Percentage]] &gt;= 0.25, "Medium",TRUE, "Low")</f>
        <v>High</v>
      </c>
      <c r="AR923" s="16" cm="1">
        <f t="array" ref="AR923">IFERROR(_xlfn.IFS(tbl_HR_Data[[#This Row],[Risk_Category]]="Critical",tbl_HR_Data[[#This Row],[MonthlyIncome]]*1.5,tbl_HR_Data[[#This Row],[Risk_Category]]="High",tbl_HR_Data[[#This Row],[MonthlyIncome]]*1.5),0)</f>
        <v>3231</v>
      </c>
    </row>
    <row r="924" spans="1:44" x14ac:dyDescent="0.35">
      <c r="A924" t="s">
        <v>135</v>
      </c>
      <c r="B924">
        <v>44</v>
      </c>
      <c r="C924" t="s">
        <v>31</v>
      </c>
      <c r="D924">
        <v>1199</v>
      </c>
      <c r="E924" t="s">
        <v>38</v>
      </c>
      <c r="F924">
        <v>4</v>
      </c>
      <c r="G924">
        <v>2</v>
      </c>
      <c r="H924" t="s">
        <v>33</v>
      </c>
      <c r="I924">
        <v>3</v>
      </c>
      <c r="J924" t="s">
        <v>39</v>
      </c>
      <c r="K924">
        <v>92</v>
      </c>
      <c r="L924">
        <v>4</v>
      </c>
      <c r="M924">
        <v>5</v>
      </c>
      <c r="N924" t="s">
        <v>48</v>
      </c>
      <c r="O924">
        <v>1</v>
      </c>
      <c r="P924" t="s">
        <v>45</v>
      </c>
      <c r="Q924">
        <v>19190</v>
      </c>
      <c r="R924">
        <v>17477</v>
      </c>
      <c r="S924">
        <v>1</v>
      </c>
      <c r="T924">
        <v>0</v>
      </c>
      <c r="U924" s="17">
        <v>0.14000000000000001</v>
      </c>
      <c r="V924">
        <v>3</v>
      </c>
      <c r="W924">
        <v>4</v>
      </c>
      <c r="X924">
        <v>2</v>
      </c>
      <c r="Y924">
        <v>26</v>
      </c>
      <c r="Z924">
        <v>4</v>
      </c>
      <c r="AA924">
        <v>2</v>
      </c>
      <c r="AB924">
        <v>25</v>
      </c>
      <c r="AC924">
        <v>9</v>
      </c>
      <c r="AD924">
        <v>14</v>
      </c>
      <c r="AE924">
        <v>13</v>
      </c>
      <c r="AF924">
        <v>0</v>
      </c>
      <c r="AG924">
        <f>IF(tbl_HR_Data[[#This Row],[Gender]]="Male",1,0)</f>
        <v>1</v>
      </c>
      <c r="AH924" cm="1">
        <f t="array" ref="AH924">_xlfn.SWITCH(tbl_HR_Data[[#This Row],[BusinessTravel]], "Non-Travel", 0, "Travel_Rarely", 1, "Travel_Frequently", 2)</f>
        <v>1</v>
      </c>
      <c r="AI924" cm="1">
        <f t="array" ref="AI924">_xlfn.SWITCH(tbl_HR_Data[[#This Row],[MaritalStatus]],"Single",0,"Married",1,"Divorced",2)</f>
        <v>2</v>
      </c>
      <c r="AJ924">
        <f>IF(tbl_HR_Data[[#This Row],[OverTime]]=1,1,0)</f>
        <v>0</v>
      </c>
      <c r="AK924">
        <f>IF(tbl_HR_Data[[#This Row],[DistanceFromHome]]&gt;15,1,0)</f>
        <v>0</v>
      </c>
      <c r="AL924">
        <f>IF(tbl_HR_Data[[#This Row],[JobSatisfaction]]&lt;=2,1,0)</f>
        <v>1</v>
      </c>
      <c r="AM924">
        <f>IF(tbl_HR_Data[[#This Row],[MonthlyIncome]]&lt;$AT$2,1,0)</f>
        <v>0</v>
      </c>
      <c r="AN924">
        <f>IF(tbl_HR_Data[[#This Row],[Travel_Code]]=2,1,0)</f>
        <v>0</v>
      </c>
      <c r="AO924">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924" s="15">
        <f>tbl_HR_Data[[#This Row],[Risk_Score_Raw]] / SUM(Logic_Parameters!$B$2:$B$6)</f>
        <v>0.14485673308716898</v>
      </c>
      <c r="AQ924" s="16" t="str" cm="1">
        <f t="array" ref="AQ924">_xlfn.IFS(tbl_HR_Data[[#This Row],[Attrition_Risk_Percentage]] &gt;= 0.75, "Critical",tbl_HR_Data[ [#This Row],[Attrition_Risk_Percentage] ]&gt;= 0.5, "High",tbl_HR_Data[[#This Row],[Attrition_Risk_Percentage]] &gt;= 0.25, "Medium",TRUE, "Low")</f>
        <v>Low</v>
      </c>
      <c r="AR924" s="16" cm="1">
        <f t="array" ref="AR924">IFERROR(_xlfn.IFS(tbl_HR_Data[[#This Row],[Risk_Category]]="Critical",tbl_HR_Data[[#This Row],[MonthlyIncome]]*1.5,tbl_HR_Data[[#This Row],[Risk_Category]]="High",tbl_HR_Data[[#This Row],[MonthlyIncome]]*1.5),0)</f>
        <v>0</v>
      </c>
    </row>
    <row r="925" spans="1:44" x14ac:dyDescent="0.35">
      <c r="A925" t="s">
        <v>1515</v>
      </c>
      <c r="B925">
        <v>34</v>
      </c>
      <c r="C925" t="s">
        <v>37</v>
      </c>
      <c r="D925">
        <v>648</v>
      </c>
      <c r="E925" t="s">
        <v>53</v>
      </c>
      <c r="F925">
        <v>11</v>
      </c>
      <c r="G925">
        <v>3</v>
      </c>
      <c r="H925" t="s">
        <v>33</v>
      </c>
      <c r="I925">
        <v>3</v>
      </c>
      <c r="J925" t="s">
        <v>39</v>
      </c>
      <c r="K925">
        <v>56</v>
      </c>
      <c r="L925">
        <v>2</v>
      </c>
      <c r="M925">
        <v>2</v>
      </c>
      <c r="N925" t="s">
        <v>53</v>
      </c>
      <c r="O925">
        <v>2</v>
      </c>
      <c r="P925" t="s">
        <v>41</v>
      </c>
      <c r="Q925">
        <v>4490</v>
      </c>
      <c r="R925">
        <v>21833</v>
      </c>
      <c r="S925">
        <v>4</v>
      </c>
      <c r="T925">
        <v>0</v>
      </c>
      <c r="U925" s="17">
        <v>0.11</v>
      </c>
      <c r="V925">
        <v>3</v>
      </c>
      <c r="W925">
        <v>4</v>
      </c>
      <c r="X925">
        <v>2</v>
      </c>
      <c r="Y925">
        <v>14</v>
      </c>
      <c r="Z925">
        <v>5</v>
      </c>
      <c r="AA925">
        <v>4</v>
      </c>
      <c r="AB925">
        <v>10</v>
      </c>
      <c r="AC925">
        <v>9</v>
      </c>
      <c r="AD925">
        <v>1</v>
      </c>
      <c r="AE925">
        <v>8</v>
      </c>
      <c r="AF925">
        <v>0</v>
      </c>
      <c r="AG925">
        <f>IF(tbl_HR_Data[[#This Row],[Gender]]="Male",1,0)</f>
        <v>1</v>
      </c>
      <c r="AH925" cm="1">
        <f t="array" ref="AH925">_xlfn.SWITCH(tbl_HR_Data[[#This Row],[BusinessTravel]], "Non-Travel", 0, "Travel_Rarely", 1, "Travel_Frequently", 2)</f>
        <v>2</v>
      </c>
      <c r="AI925" cm="1">
        <f t="array" ref="AI925">_xlfn.SWITCH(tbl_HR_Data[[#This Row],[MaritalStatus]],"Single",0,"Married",1,"Divorced",2)</f>
        <v>1</v>
      </c>
      <c r="AJ925">
        <f>IF(tbl_HR_Data[[#This Row],[OverTime]]=1,1,0)</f>
        <v>0</v>
      </c>
      <c r="AK925">
        <f>IF(tbl_HR_Data[[#This Row],[DistanceFromHome]]&gt;15,1,0)</f>
        <v>0</v>
      </c>
      <c r="AL925">
        <f>IF(tbl_HR_Data[[#This Row],[JobSatisfaction]]&lt;=2,1,0)</f>
        <v>1</v>
      </c>
      <c r="AM925">
        <f>IF(tbl_HR_Data[[#This Row],[MonthlyIncome]]&lt;$AT$2,1,0)</f>
        <v>1</v>
      </c>
      <c r="AN925">
        <f>IF(tbl_HR_Data[[#This Row],[Travel_Code]]=2,1,0)</f>
        <v>1</v>
      </c>
      <c r="AO925">
        <f>(tbl_HR_Data[[#This Row],[Flag_OT]] * Logic_Parameters!$B$2) +
 (tbl_HR_Data[[#This Row],[Flag_Travel]] * Logic_Parameters!$B$3) +
 (tbl_HR_Data[[#This Row],[Flag_Satisfaction]] * Logic_Parameters!$B$4) +
 (tbl_HR_Data[[#This Row],[Flag_Distance]]* Logic_Parameters!$B$5) +
 (tbl_HR_Data[[#This Row],[Flag_Income]] * Logic_Parameters!$B$6)</f>
        <v>15.859352047889136</v>
      </c>
      <c r="AP925" s="15">
        <f>tbl_HR_Data[[#This Row],[Risk_Score_Raw]] / SUM(Logic_Parameters!$B$2:$B$6)</f>
        <v>0.54639453549708916</v>
      </c>
      <c r="AQ925" s="16" t="str" cm="1">
        <f t="array" ref="AQ925">_xlfn.IFS(tbl_HR_Data[[#This Row],[Attrition_Risk_Percentage]] &gt;= 0.75, "Critical",tbl_HR_Data[ [#This Row],[Attrition_Risk_Percentage] ]&gt;= 0.5, "High",tbl_HR_Data[[#This Row],[Attrition_Risk_Percentage]] &gt;= 0.25, "Medium",TRUE, "Low")</f>
        <v>High</v>
      </c>
      <c r="AR925" s="16" cm="1">
        <f t="array" ref="AR925">IFERROR(_xlfn.IFS(tbl_HR_Data[[#This Row],[Risk_Category]]="Critical",tbl_HR_Data[[#This Row],[MonthlyIncome]]*1.5,tbl_HR_Data[[#This Row],[Risk_Category]]="High",tbl_HR_Data[[#This Row],[MonthlyIncome]]*1.5),0)</f>
        <v>6735</v>
      </c>
    </row>
    <row r="926" spans="1:44" x14ac:dyDescent="0.35">
      <c r="A926" t="s">
        <v>676</v>
      </c>
      <c r="B926">
        <v>35</v>
      </c>
      <c r="C926" t="s">
        <v>31</v>
      </c>
      <c r="D926">
        <v>735</v>
      </c>
      <c r="E926" t="s">
        <v>38</v>
      </c>
      <c r="F926">
        <v>6</v>
      </c>
      <c r="G926">
        <v>1</v>
      </c>
      <c r="H926" t="s">
        <v>33</v>
      </c>
      <c r="I926">
        <v>3</v>
      </c>
      <c r="J926" t="s">
        <v>39</v>
      </c>
      <c r="K926">
        <v>66</v>
      </c>
      <c r="L926">
        <v>3</v>
      </c>
      <c r="M926">
        <v>1</v>
      </c>
      <c r="N926" t="s">
        <v>40</v>
      </c>
      <c r="O926">
        <v>3</v>
      </c>
      <c r="P926" t="s">
        <v>41</v>
      </c>
      <c r="Q926">
        <v>3506</v>
      </c>
      <c r="R926">
        <v>6020</v>
      </c>
      <c r="S926">
        <v>0</v>
      </c>
      <c r="T926">
        <v>1</v>
      </c>
      <c r="U926" s="17">
        <v>0.14000000000000001</v>
      </c>
      <c r="V926">
        <v>3</v>
      </c>
      <c r="W926">
        <v>4</v>
      </c>
      <c r="X926">
        <v>0</v>
      </c>
      <c r="Y926">
        <v>4</v>
      </c>
      <c r="Z926">
        <v>3</v>
      </c>
      <c r="AA926">
        <v>3</v>
      </c>
      <c r="AB926">
        <v>3</v>
      </c>
      <c r="AC926">
        <v>2</v>
      </c>
      <c r="AD926">
        <v>2</v>
      </c>
      <c r="AE926">
        <v>2</v>
      </c>
      <c r="AF926">
        <v>0</v>
      </c>
      <c r="AG926">
        <f>IF(tbl_HR_Data[[#This Row],[Gender]]="Male",1,0)</f>
        <v>1</v>
      </c>
      <c r="AH926" cm="1">
        <f t="array" ref="AH926">_xlfn.SWITCH(tbl_HR_Data[[#This Row],[BusinessTravel]], "Non-Travel", 0, "Travel_Rarely", 1, "Travel_Frequently", 2)</f>
        <v>1</v>
      </c>
      <c r="AI926" cm="1">
        <f t="array" ref="AI926">_xlfn.SWITCH(tbl_HR_Data[[#This Row],[MaritalStatus]],"Single",0,"Married",1,"Divorced",2)</f>
        <v>1</v>
      </c>
      <c r="AJ926">
        <f>IF(tbl_HR_Data[[#This Row],[OverTime]]=1,1,0)</f>
        <v>1</v>
      </c>
      <c r="AK926">
        <f>IF(tbl_HR_Data[[#This Row],[DistanceFromHome]]&gt;15,1,0)</f>
        <v>0</v>
      </c>
      <c r="AL926">
        <f>IF(tbl_HR_Data[[#This Row],[JobSatisfaction]]&lt;=2,1,0)</f>
        <v>0</v>
      </c>
      <c r="AM926">
        <f>IF(tbl_HR_Data[[#This Row],[MonthlyIncome]]&lt;$AT$2,1,0)</f>
        <v>1</v>
      </c>
      <c r="AN926">
        <f>IF(tbl_HR_Data[[#This Row],[Travel_Code]]=2,1,0)</f>
        <v>0</v>
      </c>
      <c r="AO926">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926" s="15">
        <f>tbl_HR_Data[[#This Row],[Risk_Score_Raw]] / SUM(Logic_Parameters!$B$2:$B$6)</f>
        <v>0.56827453040563214</v>
      </c>
      <c r="AQ926" s="16" t="str" cm="1">
        <f t="array" ref="AQ926">_xlfn.IFS(tbl_HR_Data[[#This Row],[Attrition_Risk_Percentage]] &gt;= 0.75, "Critical",tbl_HR_Data[ [#This Row],[Attrition_Risk_Percentage] ]&gt;= 0.5, "High",tbl_HR_Data[[#This Row],[Attrition_Risk_Percentage]] &gt;= 0.25, "Medium",TRUE, "Low")</f>
        <v>High</v>
      </c>
      <c r="AR926" s="16" cm="1">
        <f t="array" ref="AR926">IFERROR(_xlfn.IFS(tbl_HR_Data[[#This Row],[Risk_Category]]="Critical",tbl_HR_Data[[#This Row],[MonthlyIncome]]*1.5,tbl_HR_Data[[#This Row],[Risk_Category]]="High",tbl_HR_Data[[#This Row],[MonthlyIncome]]*1.5),0)</f>
        <v>5259</v>
      </c>
    </row>
    <row r="927" spans="1:44" x14ac:dyDescent="0.35">
      <c r="A927" t="s">
        <v>1318</v>
      </c>
      <c r="B927">
        <v>42</v>
      </c>
      <c r="C927" t="s">
        <v>31</v>
      </c>
      <c r="D927">
        <v>603</v>
      </c>
      <c r="E927" t="s">
        <v>38</v>
      </c>
      <c r="F927">
        <v>7</v>
      </c>
      <c r="G927">
        <v>4</v>
      </c>
      <c r="H927" t="s">
        <v>44</v>
      </c>
      <c r="I927">
        <v>2</v>
      </c>
      <c r="J927" t="s">
        <v>34</v>
      </c>
      <c r="K927">
        <v>78</v>
      </c>
      <c r="L927">
        <v>4</v>
      </c>
      <c r="M927">
        <v>2</v>
      </c>
      <c r="N927" t="s">
        <v>40</v>
      </c>
      <c r="O927">
        <v>2</v>
      </c>
      <c r="P927" t="s">
        <v>41</v>
      </c>
      <c r="Q927">
        <v>2372</v>
      </c>
      <c r="R927">
        <v>5628</v>
      </c>
      <c r="S927">
        <v>6</v>
      </c>
      <c r="T927">
        <v>1</v>
      </c>
      <c r="U927" s="17">
        <v>0.16</v>
      </c>
      <c r="V927">
        <v>3</v>
      </c>
      <c r="W927">
        <v>4</v>
      </c>
      <c r="X927">
        <v>0</v>
      </c>
      <c r="Y927">
        <v>18</v>
      </c>
      <c r="Z927">
        <v>2</v>
      </c>
      <c r="AA927">
        <v>3</v>
      </c>
      <c r="AB927">
        <v>1</v>
      </c>
      <c r="AC927">
        <v>0</v>
      </c>
      <c r="AD927">
        <v>0</v>
      </c>
      <c r="AE927">
        <v>0</v>
      </c>
      <c r="AF927">
        <v>0</v>
      </c>
      <c r="AG927">
        <f>IF(tbl_HR_Data[[#This Row],[Gender]]="Male",1,0)</f>
        <v>0</v>
      </c>
      <c r="AH927" cm="1">
        <f t="array" ref="AH927">_xlfn.SWITCH(tbl_HR_Data[[#This Row],[BusinessTravel]], "Non-Travel", 0, "Travel_Rarely", 1, "Travel_Frequently", 2)</f>
        <v>1</v>
      </c>
      <c r="AI927" cm="1">
        <f t="array" ref="AI927">_xlfn.SWITCH(tbl_HR_Data[[#This Row],[MaritalStatus]],"Single",0,"Married",1,"Divorced",2)</f>
        <v>1</v>
      </c>
      <c r="AJ927">
        <f>IF(tbl_HR_Data[[#This Row],[OverTime]]=1,1,0)</f>
        <v>1</v>
      </c>
      <c r="AK927">
        <f>IF(tbl_HR_Data[[#This Row],[DistanceFromHome]]&gt;15,1,0)</f>
        <v>0</v>
      </c>
      <c r="AL927">
        <f>IF(tbl_HR_Data[[#This Row],[JobSatisfaction]]&lt;=2,1,0)</f>
        <v>1</v>
      </c>
      <c r="AM927">
        <f>IF(tbl_HR_Data[[#This Row],[MonthlyIncome]]&lt;$AT$2,1,0)</f>
        <v>1</v>
      </c>
      <c r="AN927">
        <f>IF(tbl_HR_Data[[#This Row],[Travel_Code]]=2,1,0)</f>
        <v>0</v>
      </c>
      <c r="AO927">
        <f>(tbl_HR_Data[[#This Row],[Flag_OT]] * Logic_Parameters!$B$2) +
 (tbl_HR_Data[[#This Row],[Flag_Travel]] * Logic_Parameters!$B$3) +
 (tbl_HR_Data[[#This Row],[Flag_Satisfaction]] * Logic_Parameters!$B$4) +
 (tbl_HR_Data[[#This Row],[Flag_Distance]]* Logic_Parameters!$B$5) +
 (tbl_HR_Data[[#This Row],[Flag_Income]] * Logic_Parameters!$B$6)</f>
        <v>20.698962067398959</v>
      </c>
      <c r="AP927" s="15">
        <f>tbl_HR_Data[[#This Row],[Risk_Score_Raw]] / SUM(Logic_Parameters!$B$2:$B$6)</f>
        <v>0.71313126349280109</v>
      </c>
      <c r="AQ927" s="16" t="str" cm="1">
        <f t="array" ref="AQ927">_xlfn.IFS(tbl_HR_Data[[#This Row],[Attrition_Risk_Percentage]] &gt;= 0.75, "Critical",tbl_HR_Data[ [#This Row],[Attrition_Risk_Percentage] ]&gt;= 0.5, "High",tbl_HR_Data[[#This Row],[Attrition_Risk_Percentage]] &gt;= 0.25, "Medium",TRUE, "Low")</f>
        <v>High</v>
      </c>
      <c r="AR927" s="16" cm="1">
        <f t="array" ref="AR927">IFERROR(_xlfn.IFS(tbl_HR_Data[[#This Row],[Risk_Category]]="Critical",tbl_HR_Data[[#This Row],[MonthlyIncome]]*1.5,tbl_HR_Data[[#This Row],[Risk_Category]]="High",tbl_HR_Data[[#This Row],[MonthlyIncome]]*1.5),0)</f>
        <v>3558</v>
      </c>
    </row>
    <row r="928" spans="1:44" x14ac:dyDescent="0.35">
      <c r="A928" t="s">
        <v>309</v>
      </c>
      <c r="B928">
        <v>43</v>
      </c>
      <c r="C928" t="s">
        <v>31</v>
      </c>
      <c r="D928">
        <v>531</v>
      </c>
      <c r="E928" t="s">
        <v>32</v>
      </c>
      <c r="F928">
        <v>4</v>
      </c>
      <c r="G928">
        <v>4</v>
      </c>
      <c r="H928" t="s">
        <v>51</v>
      </c>
      <c r="I928">
        <v>4</v>
      </c>
      <c r="J928" t="s">
        <v>34</v>
      </c>
      <c r="K928">
        <v>56</v>
      </c>
      <c r="L928">
        <v>2</v>
      </c>
      <c r="M928">
        <v>3</v>
      </c>
      <c r="N928" t="s">
        <v>35</v>
      </c>
      <c r="O928">
        <v>4</v>
      </c>
      <c r="P928" t="s">
        <v>36</v>
      </c>
      <c r="Q928">
        <v>10231</v>
      </c>
      <c r="R928">
        <v>20364</v>
      </c>
      <c r="S928">
        <v>3</v>
      </c>
      <c r="T928">
        <v>0</v>
      </c>
      <c r="U928" s="17">
        <v>0.14000000000000001</v>
      </c>
      <c r="V928">
        <v>3</v>
      </c>
      <c r="W928">
        <v>4</v>
      </c>
      <c r="X928">
        <v>0</v>
      </c>
      <c r="Y928">
        <v>23</v>
      </c>
      <c r="Z928">
        <v>3</v>
      </c>
      <c r="AA928">
        <v>4</v>
      </c>
      <c r="AB928">
        <v>21</v>
      </c>
      <c r="AC928">
        <v>7</v>
      </c>
      <c r="AD928">
        <v>15</v>
      </c>
      <c r="AE928">
        <v>17</v>
      </c>
      <c r="AF928">
        <v>0</v>
      </c>
      <c r="AG928">
        <f>IF(tbl_HR_Data[[#This Row],[Gender]]="Male",1,0)</f>
        <v>0</v>
      </c>
      <c r="AH928" cm="1">
        <f t="array" ref="AH928">_xlfn.SWITCH(tbl_HR_Data[[#This Row],[BusinessTravel]], "Non-Travel", 0, "Travel_Rarely", 1, "Travel_Frequently", 2)</f>
        <v>1</v>
      </c>
      <c r="AI928" cm="1">
        <f t="array" ref="AI928">_xlfn.SWITCH(tbl_HR_Data[[#This Row],[MaritalStatus]],"Single",0,"Married",1,"Divorced",2)</f>
        <v>0</v>
      </c>
      <c r="AJ928">
        <f>IF(tbl_HR_Data[[#This Row],[OverTime]]=1,1,0)</f>
        <v>0</v>
      </c>
      <c r="AK928">
        <f>IF(tbl_HR_Data[[#This Row],[DistanceFromHome]]&gt;15,1,0)</f>
        <v>0</v>
      </c>
      <c r="AL928">
        <f>IF(tbl_HR_Data[[#This Row],[JobSatisfaction]]&lt;=2,1,0)</f>
        <v>0</v>
      </c>
      <c r="AM928">
        <f>IF(tbl_HR_Data[[#This Row],[MonthlyIncome]]&lt;$AT$2,1,0)</f>
        <v>0</v>
      </c>
      <c r="AN928">
        <f>IF(tbl_HR_Data[[#This Row],[Travel_Code]]=2,1,0)</f>
        <v>0</v>
      </c>
      <c r="AO928">
        <f>(tbl_HR_Data[[#This Row],[Flag_OT]] * Logic_Parameters!$B$2) +
 (tbl_HR_Data[[#This Row],[Flag_Travel]] * Logic_Parameters!$B$3) +
 (tbl_HR_Data[[#This Row],[Flag_Satisfaction]] * Logic_Parameters!$B$4) +
 (tbl_HR_Data[[#This Row],[Flag_Distance]]* Logic_Parameters!$B$5) +
 (tbl_HR_Data[[#This Row],[Flag_Income]] * Logic_Parameters!$B$6)</f>
        <v>0</v>
      </c>
      <c r="AP928" s="15">
        <f>tbl_HR_Data[[#This Row],[Risk_Score_Raw]] / SUM(Logic_Parameters!$B$2:$B$6)</f>
        <v>0</v>
      </c>
      <c r="AQ928" s="16" t="str" cm="1">
        <f t="array" ref="AQ928">_xlfn.IFS(tbl_HR_Data[[#This Row],[Attrition_Risk_Percentage]] &gt;= 0.75, "Critical",tbl_HR_Data[ [#This Row],[Attrition_Risk_Percentage] ]&gt;= 0.5, "High",tbl_HR_Data[[#This Row],[Attrition_Risk_Percentage]] &gt;= 0.25, "Medium",TRUE, "Low")</f>
        <v>Low</v>
      </c>
      <c r="AR928" s="16" cm="1">
        <f t="array" ref="AR928">IFERROR(_xlfn.IFS(tbl_HR_Data[[#This Row],[Risk_Category]]="Critical",tbl_HR_Data[[#This Row],[MonthlyIncome]]*1.5,tbl_HR_Data[[#This Row],[Risk_Category]]="High",tbl_HR_Data[[#This Row],[MonthlyIncome]]*1.5),0)</f>
        <v>0</v>
      </c>
    </row>
    <row r="929" spans="1:44" x14ac:dyDescent="0.35">
      <c r="A929" t="s">
        <v>286</v>
      </c>
      <c r="B929">
        <v>36</v>
      </c>
      <c r="C929" t="s">
        <v>31</v>
      </c>
      <c r="D929">
        <v>429</v>
      </c>
      <c r="E929" t="s">
        <v>38</v>
      </c>
      <c r="F929">
        <v>2</v>
      </c>
      <c r="G929">
        <v>4</v>
      </c>
      <c r="H929" t="s">
        <v>33</v>
      </c>
      <c r="I929">
        <v>3</v>
      </c>
      <c r="J929" t="s">
        <v>34</v>
      </c>
      <c r="K929">
        <v>53</v>
      </c>
      <c r="L929">
        <v>3</v>
      </c>
      <c r="M929">
        <v>2</v>
      </c>
      <c r="N929" t="s">
        <v>46</v>
      </c>
      <c r="O929">
        <v>2</v>
      </c>
      <c r="P929" t="s">
        <v>36</v>
      </c>
      <c r="Q929">
        <v>5410</v>
      </c>
      <c r="R929">
        <v>2323</v>
      </c>
      <c r="S929">
        <v>9</v>
      </c>
      <c r="T929">
        <v>1</v>
      </c>
      <c r="U929" s="17">
        <v>0.11</v>
      </c>
      <c r="V929">
        <v>3</v>
      </c>
      <c r="W929">
        <v>4</v>
      </c>
      <c r="X929">
        <v>0</v>
      </c>
      <c r="Y929">
        <v>18</v>
      </c>
      <c r="Z929">
        <v>2</v>
      </c>
      <c r="AA929">
        <v>3</v>
      </c>
      <c r="AB929">
        <v>16</v>
      </c>
      <c r="AC929">
        <v>14</v>
      </c>
      <c r="AD929">
        <v>5</v>
      </c>
      <c r="AE929">
        <v>12</v>
      </c>
      <c r="AF929">
        <v>0</v>
      </c>
      <c r="AG929">
        <f>IF(tbl_HR_Data[[#This Row],[Gender]]="Male",1,0)</f>
        <v>0</v>
      </c>
      <c r="AH929" cm="1">
        <f t="array" ref="AH929">_xlfn.SWITCH(tbl_HR_Data[[#This Row],[BusinessTravel]], "Non-Travel", 0, "Travel_Rarely", 1, "Travel_Frequently", 2)</f>
        <v>1</v>
      </c>
      <c r="AI929" cm="1">
        <f t="array" ref="AI929">_xlfn.SWITCH(tbl_HR_Data[[#This Row],[MaritalStatus]],"Single",0,"Married",1,"Divorced",2)</f>
        <v>0</v>
      </c>
      <c r="AJ929">
        <f>IF(tbl_HR_Data[[#This Row],[OverTime]]=1,1,0)</f>
        <v>1</v>
      </c>
      <c r="AK929">
        <f>IF(tbl_HR_Data[[#This Row],[DistanceFromHome]]&gt;15,1,0)</f>
        <v>0</v>
      </c>
      <c r="AL929">
        <f>IF(tbl_HR_Data[[#This Row],[JobSatisfaction]]&lt;=2,1,0)</f>
        <v>1</v>
      </c>
      <c r="AM929">
        <f>IF(tbl_HR_Data[[#This Row],[MonthlyIncome]]&lt;$AT$2,1,0)</f>
        <v>0</v>
      </c>
      <c r="AN929">
        <f>IF(tbl_HR_Data[[#This Row],[Travel_Code]]=2,1,0)</f>
        <v>0</v>
      </c>
      <c r="AO929">
        <f>(tbl_HR_Data[[#This Row],[Flag_OT]] * Logic_Parameters!$B$2) +
 (tbl_HR_Data[[#This Row],[Flag_Travel]] * Logic_Parameters!$B$3) +
 (tbl_HR_Data[[#This Row],[Flag_Satisfaction]] * Logic_Parameters!$B$4) +
 (tbl_HR_Data[[#This Row],[Flag_Distance]]* Logic_Parameters!$B$5) +
 (tbl_HR_Data[[#This Row],[Flag_Income]] * Logic_Parameters!$B$6)</f>
        <v>14.204533129978131</v>
      </c>
      <c r="AP929" s="15">
        <f>tbl_HR_Data[[#This Row],[Risk_Score_Raw]] / SUM(Logic_Parameters!$B$2:$B$6)</f>
        <v>0.48938186491297625</v>
      </c>
      <c r="AQ929" s="16" t="str" cm="1">
        <f t="array" ref="AQ929">_xlfn.IFS(tbl_HR_Data[[#This Row],[Attrition_Risk_Percentage]] &gt;= 0.75, "Critical",tbl_HR_Data[ [#This Row],[Attrition_Risk_Percentage] ]&gt;= 0.5, "High",tbl_HR_Data[[#This Row],[Attrition_Risk_Percentage]] &gt;= 0.25, "Medium",TRUE, "Low")</f>
        <v>Medium</v>
      </c>
      <c r="AR929" s="16" cm="1">
        <f t="array" ref="AR929">IFERROR(_xlfn.IFS(tbl_HR_Data[[#This Row],[Risk_Category]]="Critical",tbl_HR_Data[[#This Row],[MonthlyIncome]]*1.5,tbl_HR_Data[[#This Row],[Risk_Category]]="High",tbl_HR_Data[[#This Row],[MonthlyIncome]]*1.5),0)</f>
        <v>0</v>
      </c>
    </row>
    <row r="930" spans="1:44" x14ac:dyDescent="0.35">
      <c r="A930" t="s">
        <v>1064</v>
      </c>
      <c r="B930">
        <v>44</v>
      </c>
      <c r="C930" t="s">
        <v>31</v>
      </c>
      <c r="D930">
        <v>621</v>
      </c>
      <c r="E930" t="s">
        <v>38</v>
      </c>
      <c r="F930">
        <v>15</v>
      </c>
      <c r="G930">
        <v>3</v>
      </c>
      <c r="H930" t="s">
        <v>44</v>
      </c>
      <c r="I930">
        <v>1</v>
      </c>
      <c r="J930" t="s">
        <v>34</v>
      </c>
      <c r="K930">
        <v>73</v>
      </c>
      <c r="L930">
        <v>3</v>
      </c>
      <c r="M930">
        <v>3</v>
      </c>
      <c r="N930" t="s">
        <v>47</v>
      </c>
      <c r="O930">
        <v>4</v>
      </c>
      <c r="P930" t="s">
        <v>41</v>
      </c>
      <c r="Q930">
        <v>7978</v>
      </c>
      <c r="R930">
        <v>14075</v>
      </c>
      <c r="S930">
        <v>1</v>
      </c>
      <c r="T930">
        <v>0</v>
      </c>
      <c r="U930" s="17">
        <v>0.11</v>
      </c>
      <c r="V930">
        <v>3</v>
      </c>
      <c r="W930">
        <v>4</v>
      </c>
      <c r="X930">
        <v>1</v>
      </c>
      <c r="Y930">
        <v>10</v>
      </c>
      <c r="Z930">
        <v>2</v>
      </c>
      <c r="AA930">
        <v>3</v>
      </c>
      <c r="AB930">
        <v>10</v>
      </c>
      <c r="AC930">
        <v>7</v>
      </c>
      <c r="AD930">
        <v>0</v>
      </c>
      <c r="AE930">
        <v>5</v>
      </c>
      <c r="AF930">
        <v>1</v>
      </c>
      <c r="AG930">
        <f>IF(tbl_HR_Data[[#This Row],[Gender]]="Male",1,0)</f>
        <v>0</v>
      </c>
      <c r="AH930" cm="1">
        <f t="array" ref="AH930">_xlfn.SWITCH(tbl_HR_Data[[#This Row],[BusinessTravel]], "Non-Travel", 0, "Travel_Rarely", 1, "Travel_Frequently", 2)</f>
        <v>1</v>
      </c>
      <c r="AI930" cm="1">
        <f t="array" ref="AI930">_xlfn.SWITCH(tbl_HR_Data[[#This Row],[MaritalStatus]],"Single",0,"Married",1,"Divorced",2)</f>
        <v>1</v>
      </c>
      <c r="AJ930">
        <f>IF(tbl_HR_Data[[#This Row],[OverTime]]=1,1,0)</f>
        <v>0</v>
      </c>
      <c r="AK930">
        <f>IF(tbl_HR_Data[[#This Row],[DistanceFromHome]]&gt;15,1,0)</f>
        <v>0</v>
      </c>
      <c r="AL930">
        <f>IF(tbl_HR_Data[[#This Row],[JobSatisfaction]]&lt;=2,1,0)</f>
        <v>0</v>
      </c>
      <c r="AM930">
        <f>IF(tbl_HR_Data[[#This Row],[MonthlyIncome]]&lt;$AT$2,1,0)</f>
        <v>0</v>
      </c>
      <c r="AN930">
        <f>IF(tbl_HR_Data[[#This Row],[Travel_Code]]=2,1,0)</f>
        <v>0</v>
      </c>
      <c r="AO930">
        <f>(tbl_HR_Data[[#This Row],[Flag_OT]] * Logic_Parameters!$B$2) +
 (tbl_HR_Data[[#This Row],[Flag_Travel]] * Logic_Parameters!$B$3) +
 (tbl_HR_Data[[#This Row],[Flag_Satisfaction]] * Logic_Parameters!$B$4) +
 (tbl_HR_Data[[#This Row],[Flag_Distance]]* Logic_Parameters!$B$5) +
 (tbl_HR_Data[[#This Row],[Flag_Income]] * Logic_Parameters!$B$6)</f>
        <v>0</v>
      </c>
      <c r="AP930" s="15">
        <f>tbl_HR_Data[[#This Row],[Risk_Score_Raw]] / SUM(Logic_Parameters!$B$2:$B$6)</f>
        <v>0</v>
      </c>
      <c r="AQ930" s="16" t="str" cm="1">
        <f t="array" ref="AQ930">_xlfn.IFS(tbl_HR_Data[[#This Row],[Attrition_Risk_Percentage]] &gt;= 0.75, "Critical",tbl_HR_Data[ [#This Row],[Attrition_Risk_Percentage] ]&gt;= 0.5, "High",tbl_HR_Data[[#This Row],[Attrition_Risk_Percentage]] &gt;= 0.25, "Medium",TRUE, "Low")</f>
        <v>Low</v>
      </c>
      <c r="AR930" s="16" cm="1">
        <f t="array" ref="AR930">IFERROR(_xlfn.IFS(tbl_HR_Data[[#This Row],[Risk_Category]]="Critical",tbl_HR_Data[[#This Row],[MonthlyIncome]]*1.5,tbl_HR_Data[[#This Row],[Risk_Category]]="High",tbl_HR_Data[[#This Row],[MonthlyIncome]]*1.5),0)</f>
        <v>0</v>
      </c>
    </row>
    <row r="931" spans="1:44" x14ac:dyDescent="0.35">
      <c r="A931" t="s">
        <v>1009</v>
      </c>
      <c r="B931">
        <v>28</v>
      </c>
      <c r="C931" t="s">
        <v>37</v>
      </c>
      <c r="D931">
        <v>193</v>
      </c>
      <c r="E931" t="s">
        <v>38</v>
      </c>
      <c r="F931">
        <v>2</v>
      </c>
      <c r="G931">
        <v>3</v>
      </c>
      <c r="H931" t="s">
        <v>33</v>
      </c>
      <c r="I931">
        <v>4</v>
      </c>
      <c r="J931" t="s">
        <v>39</v>
      </c>
      <c r="K931">
        <v>52</v>
      </c>
      <c r="L931">
        <v>2</v>
      </c>
      <c r="M931">
        <v>1</v>
      </c>
      <c r="N931" t="s">
        <v>43</v>
      </c>
      <c r="O931">
        <v>4</v>
      </c>
      <c r="P931" t="s">
        <v>41</v>
      </c>
      <c r="Q931">
        <v>3867</v>
      </c>
      <c r="R931">
        <v>14222</v>
      </c>
      <c r="S931">
        <v>1</v>
      </c>
      <c r="T931">
        <v>1</v>
      </c>
      <c r="U931" s="17">
        <v>0.12</v>
      </c>
      <c r="V931">
        <v>3</v>
      </c>
      <c r="W931">
        <v>2</v>
      </c>
      <c r="X931">
        <v>1</v>
      </c>
      <c r="Y931">
        <v>2</v>
      </c>
      <c r="Z931">
        <v>2</v>
      </c>
      <c r="AA931">
        <v>3</v>
      </c>
      <c r="AB931">
        <v>2</v>
      </c>
      <c r="AC931">
        <v>2</v>
      </c>
      <c r="AD931">
        <v>2</v>
      </c>
      <c r="AE931">
        <v>2</v>
      </c>
      <c r="AF931">
        <v>0</v>
      </c>
      <c r="AG931">
        <f>IF(tbl_HR_Data[[#This Row],[Gender]]="Male",1,0)</f>
        <v>1</v>
      </c>
      <c r="AH931" cm="1">
        <f t="array" ref="AH931">_xlfn.SWITCH(tbl_HR_Data[[#This Row],[BusinessTravel]], "Non-Travel", 0, "Travel_Rarely", 1, "Travel_Frequently", 2)</f>
        <v>2</v>
      </c>
      <c r="AI931" cm="1">
        <f t="array" ref="AI931">_xlfn.SWITCH(tbl_HR_Data[[#This Row],[MaritalStatus]],"Single",0,"Married",1,"Divorced",2)</f>
        <v>1</v>
      </c>
      <c r="AJ931">
        <f>IF(tbl_HR_Data[[#This Row],[OverTime]]=1,1,0)</f>
        <v>1</v>
      </c>
      <c r="AK931">
        <f>IF(tbl_HR_Data[[#This Row],[DistanceFromHome]]&gt;15,1,0)</f>
        <v>0</v>
      </c>
      <c r="AL931">
        <f>IF(tbl_HR_Data[[#This Row],[JobSatisfaction]]&lt;=2,1,0)</f>
        <v>0</v>
      </c>
      <c r="AM931">
        <f>IF(tbl_HR_Data[[#This Row],[MonthlyIncome]]&lt;$AT$2,1,0)</f>
        <v>1</v>
      </c>
      <c r="AN931">
        <f>IF(tbl_HR_Data[[#This Row],[Travel_Code]]=2,1,0)</f>
        <v>1</v>
      </c>
      <c r="AO931">
        <f>(tbl_HR_Data[[#This Row],[Flag_OT]] * Logic_Parameters!$B$2) +
 (tbl_HR_Data[[#This Row],[Flag_Travel]] * Logic_Parameters!$B$3) +
 (tbl_HR_Data[[#This Row],[Flag_Satisfaction]] * Logic_Parameters!$B$4) +
 (tbl_HR_Data[[#This Row],[Flag_Distance]]* Logic_Parameters!$B$5) +
 (tbl_HR_Data[[#This Row],[Flag_Income]] * Logic_Parameters!$B$6)</f>
        <v>21.654818917911005</v>
      </c>
      <c r="AP931" s="15">
        <f>tbl_HR_Data[[#This Row],[Risk_Score_Raw]] / SUM(Logic_Parameters!$B$2:$B$6)</f>
        <v>0.74606293423572745</v>
      </c>
      <c r="AQ931" s="16" t="str" cm="1">
        <f t="array" ref="AQ931">_xlfn.IFS(tbl_HR_Data[[#This Row],[Attrition_Risk_Percentage]] &gt;= 0.75, "Critical",tbl_HR_Data[ [#This Row],[Attrition_Risk_Percentage] ]&gt;= 0.5, "High",tbl_HR_Data[[#This Row],[Attrition_Risk_Percentage]] &gt;= 0.25, "Medium",TRUE, "Low")</f>
        <v>High</v>
      </c>
      <c r="AR931" s="16" cm="1">
        <f t="array" ref="AR931">IFERROR(_xlfn.IFS(tbl_HR_Data[[#This Row],[Risk_Category]]="Critical",tbl_HR_Data[[#This Row],[MonthlyIncome]]*1.5,tbl_HR_Data[[#This Row],[Risk_Category]]="High",tbl_HR_Data[[#This Row],[MonthlyIncome]]*1.5),0)</f>
        <v>5800.5</v>
      </c>
    </row>
    <row r="932" spans="1:44" x14ac:dyDescent="0.35">
      <c r="A932" t="s">
        <v>1213</v>
      </c>
      <c r="B932">
        <v>51</v>
      </c>
      <c r="C932" t="s">
        <v>37</v>
      </c>
      <c r="D932">
        <v>968</v>
      </c>
      <c r="E932" t="s">
        <v>38</v>
      </c>
      <c r="F932">
        <v>6</v>
      </c>
      <c r="G932">
        <v>2</v>
      </c>
      <c r="H932" t="s">
        <v>44</v>
      </c>
      <c r="I932">
        <v>2</v>
      </c>
      <c r="J932" t="s">
        <v>34</v>
      </c>
      <c r="K932">
        <v>40</v>
      </c>
      <c r="L932">
        <v>2</v>
      </c>
      <c r="M932">
        <v>1</v>
      </c>
      <c r="N932" t="s">
        <v>43</v>
      </c>
      <c r="O932">
        <v>3</v>
      </c>
      <c r="P932" t="s">
        <v>36</v>
      </c>
      <c r="Q932">
        <v>2838</v>
      </c>
      <c r="R932">
        <v>4257</v>
      </c>
      <c r="S932">
        <v>0</v>
      </c>
      <c r="T932">
        <v>0</v>
      </c>
      <c r="U932" s="17">
        <v>0.14000000000000001</v>
      </c>
      <c r="V932">
        <v>3</v>
      </c>
      <c r="W932">
        <v>2</v>
      </c>
      <c r="X932">
        <v>0</v>
      </c>
      <c r="Y932">
        <v>8</v>
      </c>
      <c r="Z932">
        <v>6</v>
      </c>
      <c r="AA932">
        <v>2</v>
      </c>
      <c r="AB932">
        <v>7</v>
      </c>
      <c r="AC932">
        <v>0</v>
      </c>
      <c r="AD932">
        <v>7</v>
      </c>
      <c r="AE932">
        <v>7</v>
      </c>
      <c r="AF932">
        <v>0</v>
      </c>
      <c r="AG932">
        <f>IF(tbl_HR_Data[[#This Row],[Gender]]="Male",1,0)</f>
        <v>0</v>
      </c>
      <c r="AH932" cm="1">
        <f t="array" ref="AH932">_xlfn.SWITCH(tbl_HR_Data[[#This Row],[BusinessTravel]], "Non-Travel", 0, "Travel_Rarely", 1, "Travel_Frequently", 2)</f>
        <v>2</v>
      </c>
      <c r="AI932" cm="1">
        <f t="array" ref="AI932">_xlfn.SWITCH(tbl_HR_Data[[#This Row],[MaritalStatus]],"Single",0,"Married",1,"Divorced",2)</f>
        <v>0</v>
      </c>
      <c r="AJ932">
        <f>IF(tbl_HR_Data[[#This Row],[OverTime]]=1,1,0)</f>
        <v>0</v>
      </c>
      <c r="AK932">
        <f>IF(tbl_HR_Data[[#This Row],[DistanceFromHome]]&gt;15,1,0)</f>
        <v>0</v>
      </c>
      <c r="AL932">
        <f>IF(tbl_HR_Data[[#This Row],[JobSatisfaction]]&lt;=2,1,0)</f>
        <v>0</v>
      </c>
      <c r="AM932">
        <f>IF(tbl_HR_Data[[#This Row],[MonthlyIncome]]&lt;$AT$2,1,0)</f>
        <v>1</v>
      </c>
      <c r="AN932">
        <f>IF(tbl_HR_Data[[#This Row],[Travel_Code]]=2,1,0)</f>
        <v>1</v>
      </c>
      <c r="AO932">
        <f>(tbl_HR_Data[[#This Row],[Flag_OT]] * Logic_Parameters!$B$2) +
 (tbl_HR_Data[[#This Row],[Flag_Travel]] * Logic_Parameters!$B$3) +
 (tbl_HR_Data[[#This Row],[Flag_Satisfaction]] * Logic_Parameters!$B$4) +
 (tbl_HR_Data[[#This Row],[Flag_Distance]]* Logic_Parameters!$B$5) +
 (tbl_HR_Data[[#This Row],[Flag_Income]] * Logic_Parameters!$B$6)</f>
        <v>11.654818917911005</v>
      </c>
      <c r="AP932" s="15">
        <f>tbl_HR_Data[[#This Row],[Risk_Score_Raw]] / SUM(Logic_Parameters!$B$2:$B$6)</f>
        <v>0.40153780240992015</v>
      </c>
      <c r="AQ932" s="16" t="str" cm="1">
        <f t="array" ref="AQ932">_xlfn.IFS(tbl_HR_Data[[#This Row],[Attrition_Risk_Percentage]] &gt;= 0.75, "Critical",tbl_HR_Data[ [#This Row],[Attrition_Risk_Percentage] ]&gt;= 0.5, "High",tbl_HR_Data[[#This Row],[Attrition_Risk_Percentage]] &gt;= 0.25, "Medium",TRUE, "Low")</f>
        <v>Medium</v>
      </c>
      <c r="AR932" s="16" cm="1">
        <f t="array" ref="AR932">IFERROR(_xlfn.IFS(tbl_HR_Data[[#This Row],[Risk_Category]]="Critical",tbl_HR_Data[[#This Row],[MonthlyIncome]]*1.5,tbl_HR_Data[[#This Row],[Risk_Category]]="High",tbl_HR_Data[[#This Row],[MonthlyIncome]]*1.5),0)</f>
        <v>0</v>
      </c>
    </row>
    <row r="933" spans="1:44" x14ac:dyDescent="0.35">
      <c r="A933" t="s">
        <v>693</v>
      </c>
      <c r="B933">
        <v>30</v>
      </c>
      <c r="C933" t="s">
        <v>1525</v>
      </c>
      <c r="D933">
        <v>879</v>
      </c>
      <c r="E933" t="s">
        <v>38</v>
      </c>
      <c r="F933">
        <v>9</v>
      </c>
      <c r="G933">
        <v>2</v>
      </c>
      <c r="H933" t="s">
        <v>44</v>
      </c>
      <c r="I933">
        <v>3</v>
      </c>
      <c r="J933" t="s">
        <v>34</v>
      </c>
      <c r="K933">
        <v>72</v>
      </c>
      <c r="L933">
        <v>3</v>
      </c>
      <c r="M933">
        <v>2</v>
      </c>
      <c r="N933" t="s">
        <v>46</v>
      </c>
      <c r="O933">
        <v>3</v>
      </c>
      <c r="P933" t="s">
        <v>36</v>
      </c>
      <c r="Q933">
        <v>4695</v>
      </c>
      <c r="R933">
        <v>12858</v>
      </c>
      <c r="S933">
        <v>7</v>
      </c>
      <c r="T933">
        <v>1</v>
      </c>
      <c r="U933" s="17">
        <v>0.18</v>
      </c>
      <c r="V933">
        <v>3</v>
      </c>
      <c r="W933">
        <v>3</v>
      </c>
      <c r="X933">
        <v>0</v>
      </c>
      <c r="Y933">
        <v>10</v>
      </c>
      <c r="Z933">
        <v>3</v>
      </c>
      <c r="AA933">
        <v>3</v>
      </c>
      <c r="AB933">
        <v>8</v>
      </c>
      <c r="AC933">
        <v>4</v>
      </c>
      <c r="AD933">
        <v>1</v>
      </c>
      <c r="AE933">
        <v>7</v>
      </c>
      <c r="AF933">
        <v>0</v>
      </c>
      <c r="AG933">
        <f>IF(tbl_HR_Data[[#This Row],[Gender]]="Male",1,0)</f>
        <v>0</v>
      </c>
      <c r="AH933" cm="1">
        <f t="array" ref="AH933">_xlfn.SWITCH(tbl_HR_Data[[#This Row],[BusinessTravel]], "Non-Travel", 0, "Travel_Rarely", 1, "Travel_Frequently", 2)</f>
        <v>0</v>
      </c>
      <c r="AI933" cm="1">
        <f t="array" ref="AI933">_xlfn.SWITCH(tbl_HR_Data[[#This Row],[MaritalStatus]],"Single",0,"Married",1,"Divorced",2)</f>
        <v>0</v>
      </c>
      <c r="AJ933">
        <f>IF(tbl_HR_Data[[#This Row],[OverTime]]=1,1,0)</f>
        <v>1</v>
      </c>
      <c r="AK933">
        <f>IF(tbl_HR_Data[[#This Row],[DistanceFromHome]]&gt;15,1,0)</f>
        <v>0</v>
      </c>
      <c r="AL933">
        <f>IF(tbl_HR_Data[[#This Row],[JobSatisfaction]]&lt;=2,1,0)</f>
        <v>0</v>
      </c>
      <c r="AM933">
        <f>IF(tbl_HR_Data[[#This Row],[MonthlyIncome]]&lt;$AT$2,1,0)</f>
        <v>1</v>
      </c>
      <c r="AN933">
        <f>IF(tbl_HR_Data[[#This Row],[Travel_Code]]=2,1,0)</f>
        <v>0</v>
      </c>
      <c r="AO933">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933" s="15">
        <f>tbl_HR_Data[[#This Row],[Risk_Score_Raw]] / SUM(Logic_Parameters!$B$2:$B$6)</f>
        <v>0.56827453040563214</v>
      </c>
      <c r="AQ933" s="16" t="str" cm="1">
        <f t="array" ref="AQ933">_xlfn.IFS(tbl_HR_Data[[#This Row],[Attrition_Risk_Percentage]] &gt;= 0.75, "Critical",tbl_HR_Data[ [#This Row],[Attrition_Risk_Percentage] ]&gt;= 0.5, "High",tbl_HR_Data[[#This Row],[Attrition_Risk_Percentage]] &gt;= 0.25, "Medium",TRUE, "Low")</f>
        <v>High</v>
      </c>
      <c r="AR933" s="16" cm="1">
        <f t="array" ref="AR933">IFERROR(_xlfn.IFS(tbl_HR_Data[[#This Row],[Risk_Category]]="Critical",tbl_HR_Data[[#This Row],[MonthlyIncome]]*1.5,tbl_HR_Data[[#This Row],[Risk_Category]]="High",tbl_HR_Data[[#This Row],[MonthlyIncome]]*1.5),0)</f>
        <v>7042.5</v>
      </c>
    </row>
    <row r="934" spans="1:44" x14ac:dyDescent="0.35">
      <c r="A934" t="s">
        <v>969</v>
      </c>
      <c r="B934">
        <v>29</v>
      </c>
      <c r="C934" t="s">
        <v>31</v>
      </c>
      <c r="D934">
        <v>806</v>
      </c>
      <c r="E934" t="s">
        <v>38</v>
      </c>
      <c r="F934">
        <v>7</v>
      </c>
      <c r="G934">
        <v>3</v>
      </c>
      <c r="H934" t="s">
        <v>52</v>
      </c>
      <c r="I934">
        <v>2</v>
      </c>
      <c r="J934" t="s">
        <v>34</v>
      </c>
      <c r="K934">
        <v>39</v>
      </c>
      <c r="L934">
        <v>3</v>
      </c>
      <c r="M934">
        <v>1</v>
      </c>
      <c r="N934" t="s">
        <v>43</v>
      </c>
      <c r="O934">
        <v>3</v>
      </c>
      <c r="P934" t="s">
        <v>45</v>
      </c>
      <c r="Q934">
        <v>3339</v>
      </c>
      <c r="R934">
        <v>17285</v>
      </c>
      <c r="S934">
        <v>3</v>
      </c>
      <c r="T934">
        <v>1</v>
      </c>
      <c r="U934" s="17">
        <v>0.13</v>
      </c>
      <c r="V934">
        <v>3</v>
      </c>
      <c r="W934">
        <v>1</v>
      </c>
      <c r="X934">
        <v>2</v>
      </c>
      <c r="Y934">
        <v>10</v>
      </c>
      <c r="Z934">
        <v>2</v>
      </c>
      <c r="AA934">
        <v>3</v>
      </c>
      <c r="AB934">
        <v>7</v>
      </c>
      <c r="AC934">
        <v>7</v>
      </c>
      <c r="AD934">
        <v>7</v>
      </c>
      <c r="AE934">
        <v>7</v>
      </c>
      <c r="AF934">
        <v>1</v>
      </c>
      <c r="AG934">
        <f>IF(tbl_HR_Data[[#This Row],[Gender]]="Male",1,0)</f>
        <v>0</v>
      </c>
      <c r="AH934" cm="1">
        <f t="array" ref="AH934">_xlfn.SWITCH(tbl_HR_Data[[#This Row],[BusinessTravel]], "Non-Travel", 0, "Travel_Rarely", 1, "Travel_Frequently", 2)</f>
        <v>1</v>
      </c>
      <c r="AI934" cm="1">
        <f t="array" ref="AI934">_xlfn.SWITCH(tbl_HR_Data[[#This Row],[MaritalStatus]],"Single",0,"Married",1,"Divorced",2)</f>
        <v>2</v>
      </c>
      <c r="AJ934">
        <f>IF(tbl_HR_Data[[#This Row],[OverTime]]=1,1,0)</f>
        <v>1</v>
      </c>
      <c r="AK934">
        <f>IF(tbl_HR_Data[[#This Row],[DistanceFromHome]]&gt;15,1,0)</f>
        <v>0</v>
      </c>
      <c r="AL934">
        <f>IF(tbl_HR_Data[[#This Row],[JobSatisfaction]]&lt;=2,1,0)</f>
        <v>0</v>
      </c>
      <c r="AM934">
        <f>IF(tbl_HR_Data[[#This Row],[MonthlyIncome]]&lt;$AT$2,1,0)</f>
        <v>1</v>
      </c>
      <c r="AN934">
        <f>IF(tbl_HR_Data[[#This Row],[Travel_Code]]=2,1,0)</f>
        <v>0</v>
      </c>
      <c r="AO934">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934" s="15">
        <f>tbl_HR_Data[[#This Row],[Risk_Score_Raw]] / SUM(Logic_Parameters!$B$2:$B$6)</f>
        <v>0.56827453040563214</v>
      </c>
      <c r="AQ934" s="16" t="str" cm="1">
        <f t="array" ref="AQ934">_xlfn.IFS(tbl_HR_Data[[#This Row],[Attrition_Risk_Percentage]] &gt;= 0.75, "Critical",tbl_HR_Data[ [#This Row],[Attrition_Risk_Percentage] ]&gt;= 0.5, "High",tbl_HR_Data[[#This Row],[Attrition_Risk_Percentage]] &gt;= 0.25, "Medium",TRUE, "Low")</f>
        <v>High</v>
      </c>
      <c r="AR934" s="16" cm="1">
        <f t="array" ref="AR934">IFERROR(_xlfn.IFS(tbl_HR_Data[[#This Row],[Risk_Category]]="Critical",tbl_HR_Data[[#This Row],[MonthlyIncome]]*1.5,tbl_HR_Data[[#This Row],[Risk_Category]]="High",tbl_HR_Data[[#This Row],[MonthlyIncome]]*1.5),0)</f>
        <v>5008.5</v>
      </c>
    </row>
    <row r="935" spans="1:44" x14ac:dyDescent="0.35">
      <c r="A935" t="s">
        <v>71</v>
      </c>
      <c r="B935">
        <v>28</v>
      </c>
      <c r="C935" t="s">
        <v>31</v>
      </c>
      <c r="D935">
        <v>640</v>
      </c>
      <c r="E935" t="s">
        <v>38</v>
      </c>
      <c r="F935">
        <v>1</v>
      </c>
      <c r="G935">
        <v>3</v>
      </c>
      <c r="H935" t="s">
        <v>52</v>
      </c>
      <c r="I935">
        <v>4</v>
      </c>
      <c r="J935" t="s">
        <v>39</v>
      </c>
      <c r="K935">
        <v>84</v>
      </c>
      <c r="L935">
        <v>3</v>
      </c>
      <c r="M935">
        <v>1</v>
      </c>
      <c r="N935" t="s">
        <v>40</v>
      </c>
      <c r="O935">
        <v>1</v>
      </c>
      <c r="P935" t="s">
        <v>36</v>
      </c>
      <c r="Q935">
        <v>2080</v>
      </c>
      <c r="R935">
        <v>4732</v>
      </c>
      <c r="S935">
        <v>2</v>
      </c>
      <c r="T935">
        <v>0</v>
      </c>
      <c r="U935" s="17">
        <v>0.11</v>
      </c>
      <c r="V935">
        <v>3</v>
      </c>
      <c r="W935">
        <v>2</v>
      </c>
      <c r="X935">
        <v>0</v>
      </c>
      <c r="Y935">
        <v>5</v>
      </c>
      <c r="Z935">
        <v>2</v>
      </c>
      <c r="AA935">
        <v>2</v>
      </c>
      <c r="AB935">
        <v>3</v>
      </c>
      <c r="AC935">
        <v>2</v>
      </c>
      <c r="AD935">
        <v>1</v>
      </c>
      <c r="AE935">
        <v>2</v>
      </c>
      <c r="AF935">
        <v>0</v>
      </c>
      <c r="AG935">
        <f>IF(tbl_HR_Data[[#This Row],[Gender]]="Male",1,0)</f>
        <v>1</v>
      </c>
      <c r="AH935" cm="1">
        <f t="array" ref="AH935">_xlfn.SWITCH(tbl_HR_Data[[#This Row],[BusinessTravel]], "Non-Travel", 0, "Travel_Rarely", 1, "Travel_Frequently", 2)</f>
        <v>1</v>
      </c>
      <c r="AI935" cm="1">
        <f t="array" ref="AI935">_xlfn.SWITCH(tbl_HR_Data[[#This Row],[MaritalStatus]],"Single",0,"Married",1,"Divorced",2)</f>
        <v>0</v>
      </c>
      <c r="AJ935">
        <f>IF(tbl_HR_Data[[#This Row],[OverTime]]=1,1,0)</f>
        <v>0</v>
      </c>
      <c r="AK935">
        <f>IF(tbl_HR_Data[[#This Row],[DistanceFromHome]]&gt;15,1,0)</f>
        <v>0</v>
      </c>
      <c r="AL935">
        <f>IF(tbl_HR_Data[[#This Row],[JobSatisfaction]]&lt;=2,1,0)</f>
        <v>1</v>
      </c>
      <c r="AM935">
        <f>IF(tbl_HR_Data[[#This Row],[MonthlyIncome]]&lt;$AT$2,1,0)</f>
        <v>1</v>
      </c>
      <c r="AN935">
        <f>IF(tbl_HR_Data[[#This Row],[Travel_Code]]=2,1,0)</f>
        <v>0</v>
      </c>
      <c r="AO935">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935" s="15">
        <f>tbl_HR_Data[[#This Row],[Risk_Score_Raw]] / SUM(Logic_Parameters!$B$2:$B$6)</f>
        <v>0.3686061316669938</v>
      </c>
      <c r="AQ935" s="16" t="str" cm="1">
        <f t="array" ref="AQ935">_xlfn.IFS(tbl_HR_Data[[#This Row],[Attrition_Risk_Percentage]] &gt;= 0.75, "Critical",tbl_HR_Data[ [#This Row],[Attrition_Risk_Percentage] ]&gt;= 0.5, "High",tbl_HR_Data[[#This Row],[Attrition_Risk_Percentage]] &gt;= 0.25, "Medium",TRUE, "Low")</f>
        <v>Medium</v>
      </c>
      <c r="AR935" s="16" cm="1">
        <f t="array" ref="AR935">IFERROR(_xlfn.IFS(tbl_HR_Data[[#This Row],[Risk_Category]]="Critical",tbl_HR_Data[[#This Row],[MonthlyIncome]]*1.5,tbl_HR_Data[[#This Row],[Risk_Category]]="High",tbl_HR_Data[[#This Row],[MonthlyIncome]]*1.5),0)</f>
        <v>0</v>
      </c>
    </row>
    <row r="936" spans="1:44" x14ac:dyDescent="0.35">
      <c r="A936" t="s">
        <v>299</v>
      </c>
      <c r="B936">
        <v>25</v>
      </c>
      <c r="C936" t="s">
        <v>31</v>
      </c>
      <c r="D936">
        <v>266</v>
      </c>
      <c r="E936" t="s">
        <v>38</v>
      </c>
      <c r="F936">
        <v>1</v>
      </c>
      <c r="G936">
        <v>3</v>
      </c>
      <c r="H936" t="s">
        <v>44</v>
      </c>
      <c r="I936">
        <v>4</v>
      </c>
      <c r="J936" t="s">
        <v>34</v>
      </c>
      <c r="K936">
        <v>40</v>
      </c>
      <c r="L936">
        <v>3</v>
      </c>
      <c r="M936">
        <v>1</v>
      </c>
      <c r="N936" t="s">
        <v>40</v>
      </c>
      <c r="O936">
        <v>2</v>
      </c>
      <c r="P936" t="s">
        <v>36</v>
      </c>
      <c r="Q936">
        <v>2096</v>
      </c>
      <c r="R936">
        <v>18830</v>
      </c>
      <c r="S936">
        <v>1</v>
      </c>
      <c r="T936">
        <v>0</v>
      </c>
      <c r="U936" s="17">
        <v>0.18</v>
      </c>
      <c r="V936">
        <v>3</v>
      </c>
      <c r="W936">
        <v>4</v>
      </c>
      <c r="X936">
        <v>0</v>
      </c>
      <c r="Y936">
        <v>2</v>
      </c>
      <c r="Z936">
        <v>3</v>
      </c>
      <c r="AA936">
        <v>2</v>
      </c>
      <c r="AB936">
        <v>2</v>
      </c>
      <c r="AC936">
        <v>2</v>
      </c>
      <c r="AD936">
        <v>2</v>
      </c>
      <c r="AE936">
        <v>1</v>
      </c>
      <c r="AF936">
        <v>0</v>
      </c>
      <c r="AG936">
        <f>IF(tbl_HR_Data[[#This Row],[Gender]]="Male",1,0)</f>
        <v>0</v>
      </c>
      <c r="AH936" cm="1">
        <f t="array" ref="AH936">_xlfn.SWITCH(tbl_HR_Data[[#This Row],[BusinessTravel]], "Non-Travel", 0, "Travel_Rarely", 1, "Travel_Frequently", 2)</f>
        <v>1</v>
      </c>
      <c r="AI936" cm="1">
        <f t="array" ref="AI936">_xlfn.SWITCH(tbl_HR_Data[[#This Row],[MaritalStatus]],"Single",0,"Married",1,"Divorced",2)</f>
        <v>0</v>
      </c>
      <c r="AJ936">
        <f>IF(tbl_HR_Data[[#This Row],[OverTime]]=1,1,0)</f>
        <v>0</v>
      </c>
      <c r="AK936">
        <f>IF(tbl_HR_Data[[#This Row],[DistanceFromHome]]&gt;15,1,0)</f>
        <v>0</v>
      </c>
      <c r="AL936">
        <f>IF(tbl_HR_Data[[#This Row],[JobSatisfaction]]&lt;=2,1,0)</f>
        <v>1</v>
      </c>
      <c r="AM936">
        <f>IF(tbl_HR_Data[[#This Row],[MonthlyIncome]]&lt;$AT$2,1,0)</f>
        <v>1</v>
      </c>
      <c r="AN936">
        <f>IF(tbl_HR_Data[[#This Row],[Travel_Code]]=2,1,0)</f>
        <v>0</v>
      </c>
      <c r="AO936">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936" s="15">
        <f>tbl_HR_Data[[#This Row],[Risk_Score_Raw]] / SUM(Logic_Parameters!$B$2:$B$6)</f>
        <v>0.3686061316669938</v>
      </c>
      <c r="AQ936" s="16" t="str" cm="1">
        <f t="array" ref="AQ936">_xlfn.IFS(tbl_HR_Data[[#This Row],[Attrition_Risk_Percentage]] &gt;= 0.75, "Critical",tbl_HR_Data[ [#This Row],[Attrition_Risk_Percentage] ]&gt;= 0.5, "High",tbl_HR_Data[[#This Row],[Attrition_Risk_Percentage]] &gt;= 0.25, "Medium",TRUE, "Low")</f>
        <v>Medium</v>
      </c>
      <c r="AR936" s="16" cm="1">
        <f t="array" ref="AR936">IFERROR(_xlfn.IFS(tbl_HR_Data[[#This Row],[Risk_Category]]="Critical",tbl_HR_Data[[#This Row],[MonthlyIncome]]*1.5,tbl_HR_Data[[#This Row],[Risk_Category]]="High",tbl_HR_Data[[#This Row],[MonthlyIncome]]*1.5),0)</f>
        <v>0</v>
      </c>
    </row>
    <row r="937" spans="1:44" x14ac:dyDescent="0.35">
      <c r="A937" t="s">
        <v>1496</v>
      </c>
      <c r="B937">
        <v>32</v>
      </c>
      <c r="C937" t="s">
        <v>31</v>
      </c>
      <c r="D937">
        <v>604</v>
      </c>
      <c r="E937" t="s">
        <v>32</v>
      </c>
      <c r="F937">
        <v>8</v>
      </c>
      <c r="G937">
        <v>3</v>
      </c>
      <c r="H937" t="s">
        <v>44</v>
      </c>
      <c r="I937">
        <v>3</v>
      </c>
      <c r="J937" t="s">
        <v>39</v>
      </c>
      <c r="K937">
        <v>56</v>
      </c>
      <c r="L937">
        <v>4</v>
      </c>
      <c r="M937">
        <v>2</v>
      </c>
      <c r="N937" t="s">
        <v>35</v>
      </c>
      <c r="O937">
        <v>4</v>
      </c>
      <c r="P937" t="s">
        <v>41</v>
      </c>
      <c r="Q937">
        <v>6209</v>
      </c>
      <c r="R937">
        <v>11693</v>
      </c>
      <c r="S937">
        <v>1</v>
      </c>
      <c r="T937">
        <v>0</v>
      </c>
      <c r="U937" s="17">
        <v>0.15</v>
      </c>
      <c r="V937">
        <v>3</v>
      </c>
      <c r="W937">
        <v>3</v>
      </c>
      <c r="X937">
        <v>2</v>
      </c>
      <c r="Y937">
        <v>10</v>
      </c>
      <c r="Z937">
        <v>4</v>
      </c>
      <c r="AA937">
        <v>4</v>
      </c>
      <c r="AB937">
        <v>10</v>
      </c>
      <c r="AC937">
        <v>7</v>
      </c>
      <c r="AD937">
        <v>0</v>
      </c>
      <c r="AE937">
        <v>8</v>
      </c>
      <c r="AF937">
        <v>0</v>
      </c>
      <c r="AG937">
        <f>IF(tbl_HR_Data[[#This Row],[Gender]]="Male",1,0)</f>
        <v>1</v>
      </c>
      <c r="AH937" cm="1">
        <f t="array" ref="AH937">_xlfn.SWITCH(tbl_HR_Data[[#This Row],[BusinessTravel]], "Non-Travel", 0, "Travel_Rarely", 1, "Travel_Frequently", 2)</f>
        <v>1</v>
      </c>
      <c r="AI937" cm="1">
        <f t="array" ref="AI937">_xlfn.SWITCH(tbl_HR_Data[[#This Row],[MaritalStatus]],"Single",0,"Married",1,"Divorced",2)</f>
        <v>1</v>
      </c>
      <c r="AJ937">
        <f>IF(tbl_HR_Data[[#This Row],[OverTime]]=1,1,0)</f>
        <v>0</v>
      </c>
      <c r="AK937">
        <f>IF(tbl_HR_Data[[#This Row],[DistanceFromHome]]&gt;15,1,0)</f>
        <v>0</v>
      </c>
      <c r="AL937">
        <f>IF(tbl_HR_Data[[#This Row],[JobSatisfaction]]&lt;=2,1,0)</f>
        <v>0</v>
      </c>
      <c r="AM937">
        <f>IF(tbl_HR_Data[[#This Row],[MonthlyIncome]]&lt;$AT$2,1,0)</f>
        <v>0</v>
      </c>
      <c r="AN937">
        <f>IF(tbl_HR_Data[[#This Row],[Travel_Code]]=2,1,0)</f>
        <v>0</v>
      </c>
      <c r="AO937">
        <f>(tbl_HR_Data[[#This Row],[Flag_OT]] * Logic_Parameters!$B$2) +
 (tbl_HR_Data[[#This Row],[Flag_Travel]] * Logic_Parameters!$B$3) +
 (tbl_HR_Data[[#This Row],[Flag_Satisfaction]] * Logic_Parameters!$B$4) +
 (tbl_HR_Data[[#This Row],[Flag_Distance]]* Logic_Parameters!$B$5) +
 (tbl_HR_Data[[#This Row],[Flag_Income]] * Logic_Parameters!$B$6)</f>
        <v>0</v>
      </c>
      <c r="AP937" s="15">
        <f>tbl_HR_Data[[#This Row],[Risk_Score_Raw]] / SUM(Logic_Parameters!$B$2:$B$6)</f>
        <v>0</v>
      </c>
      <c r="AQ937" s="16" t="str" cm="1">
        <f t="array" ref="AQ937">_xlfn.IFS(tbl_HR_Data[[#This Row],[Attrition_Risk_Percentage]] &gt;= 0.75, "Critical",tbl_HR_Data[ [#This Row],[Attrition_Risk_Percentage] ]&gt;= 0.5, "High",tbl_HR_Data[[#This Row],[Attrition_Risk_Percentage]] &gt;= 0.25, "Medium",TRUE, "Low")</f>
        <v>Low</v>
      </c>
      <c r="AR937" s="16" cm="1">
        <f t="array" ref="AR937">IFERROR(_xlfn.IFS(tbl_HR_Data[[#This Row],[Risk_Category]]="Critical",tbl_HR_Data[[#This Row],[MonthlyIncome]]*1.5,tbl_HR_Data[[#This Row],[Risk_Category]]="High",tbl_HR_Data[[#This Row],[MonthlyIncome]]*1.5),0)</f>
        <v>0</v>
      </c>
    </row>
    <row r="938" spans="1:44" x14ac:dyDescent="0.35">
      <c r="A938" t="s">
        <v>822</v>
      </c>
      <c r="B938">
        <v>45</v>
      </c>
      <c r="C938" t="s">
        <v>37</v>
      </c>
      <c r="D938">
        <v>364</v>
      </c>
      <c r="E938" t="s">
        <v>38</v>
      </c>
      <c r="F938">
        <v>25</v>
      </c>
      <c r="G938">
        <v>3</v>
      </c>
      <c r="H938" t="s">
        <v>44</v>
      </c>
      <c r="I938">
        <v>2</v>
      </c>
      <c r="J938" t="s">
        <v>34</v>
      </c>
      <c r="K938">
        <v>83</v>
      </c>
      <c r="L938">
        <v>3</v>
      </c>
      <c r="M938">
        <v>5</v>
      </c>
      <c r="N938" t="s">
        <v>48</v>
      </c>
      <c r="O938">
        <v>2</v>
      </c>
      <c r="P938" t="s">
        <v>36</v>
      </c>
      <c r="Q938">
        <v>18061</v>
      </c>
      <c r="R938">
        <v>13035</v>
      </c>
      <c r="S938">
        <v>3</v>
      </c>
      <c r="T938">
        <v>0</v>
      </c>
      <c r="U938" s="17">
        <v>0.22</v>
      </c>
      <c r="V938">
        <v>4</v>
      </c>
      <c r="W938">
        <v>3</v>
      </c>
      <c r="X938">
        <v>0</v>
      </c>
      <c r="Y938">
        <v>22</v>
      </c>
      <c r="Z938">
        <v>4</v>
      </c>
      <c r="AA938">
        <v>3</v>
      </c>
      <c r="AB938">
        <v>0</v>
      </c>
      <c r="AC938">
        <v>0</v>
      </c>
      <c r="AD938">
        <v>0</v>
      </c>
      <c r="AE938">
        <v>0</v>
      </c>
      <c r="AF938">
        <v>0</v>
      </c>
      <c r="AG938">
        <f>IF(tbl_HR_Data[[#This Row],[Gender]]="Male",1,0)</f>
        <v>0</v>
      </c>
      <c r="AH938" cm="1">
        <f t="array" ref="AH938">_xlfn.SWITCH(tbl_HR_Data[[#This Row],[BusinessTravel]], "Non-Travel", 0, "Travel_Rarely", 1, "Travel_Frequently", 2)</f>
        <v>2</v>
      </c>
      <c r="AI938" cm="1">
        <f t="array" ref="AI938">_xlfn.SWITCH(tbl_HR_Data[[#This Row],[MaritalStatus]],"Single",0,"Married",1,"Divorced",2)</f>
        <v>0</v>
      </c>
      <c r="AJ938">
        <f>IF(tbl_HR_Data[[#This Row],[OverTime]]=1,1,0)</f>
        <v>0</v>
      </c>
      <c r="AK938">
        <f>IF(tbl_HR_Data[[#This Row],[DistanceFromHome]]&gt;15,1,0)</f>
        <v>1</v>
      </c>
      <c r="AL938">
        <f>IF(tbl_HR_Data[[#This Row],[JobSatisfaction]]&lt;=2,1,0)</f>
        <v>1</v>
      </c>
      <c r="AM938">
        <f>IF(tbl_HR_Data[[#This Row],[MonthlyIncome]]&lt;$AT$2,1,0)</f>
        <v>0</v>
      </c>
      <c r="AN938">
        <f>IF(tbl_HR_Data[[#This Row],[Travel_Code]]=2,1,0)</f>
        <v>1</v>
      </c>
      <c r="AO938">
        <f>(tbl_HR_Data[[#This Row],[Flag_OT]] * Logic_Parameters!$B$2) +
 (tbl_HR_Data[[#This Row],[Flag_Travel]] * Logic_Parameters!$B$3) +
 (tbl_HR_Data[[#This Row],[Flag_Satisfaction]] * Logic_Parameters!$B$4) +
 (tbl_HR_Data[[#This Row],[Flag_Distance]]* Logic_Parameters!$B$5) +
 (tbl_HR_Data[[#This Row],[Flag_Income]] * Logic_Parameters!$B$6)</f>
        <v>12.531029806343685</v>
      </c>
      <c r="AP938" s="15">
        <f>tbl_HR_Data[[#This Row],[Risk_Score_Raw]] / SUM(Logic_Parameters!$B$2:$B$6)</f>
        <v>0.43172546959436786</v>
      </c>
      <c r="AQ938" s="16" t="str" cm="1">
        <f t="array" ref="AQ938">_xlfn.IFS(tbl_HR_Data[[#This Row],[Attrition_Risk_Percentage]] &gt;= 0.75, "Critical",tbl_HR_Data[ [#This Row],[Attrition_Risk_Percentage] ]&gt;= 0.5, "High",tbl_HR_Data[[#This Row],[Attrition_Risk_Percentage]] &gt;= 0.25, "Medium",TRUE, "Low")</f>
        <v>Medium</v>
      </c>
      <c r="AR938" s="16" cm="1">
        <f t="array" ref="AR938">IFERROR(_xlfn.IFS(tbl_HR_Data[[#This Row],[Risk_Category]]="Critical",tbl_HR_Data[[#This Row],[MonthlyIncome]]*1.5,tbl_HR_Data[[#This Row],[Risk_Category]]="High",tbl_HR_Data[[#This Row],[MonthlyIncome]]*1.5),0)</f>
        <v>0</v>
      </c>
    </row>
    <row r="939" spans="1:44" x14ac:dyDescent="0.35">
      <c r="A939" t="s">
        <v>136</v>
      </c>
      <c r="B939">
        <v>39</v>
      </c>
      <c r="C939" t="s">
        <v>31</v>
      </c>
      <c r="D939">
        <v>412</v>
      </c>
      <c r="E939" t="s">
        <v>38</v>
      </c>
      <c r="F939">
        <v>13</v>
      </c>
      <c r="G939">
        <v>4</v>
      </c>
      <c r="H939" t="s">
        <v>44</v>
      </c>
      <c r="I939">
        <v>3</v>
      </c>
      <c r="J939" t="s">
        <v>34</v>
      </c>
      <c r="K939">
        <v>94</v>
      </c>
      <c r="L939">
        <v>2</v>
      </c>
      <c r="M939">
        <v>4</v>
      </c>
      <c r="N939" t="s">
        <v>48</v>
      </c>
      <c r="O939">
        <v>2</v>
      </c>
      <c r="P939" t="s">
        <v>45</v>
      </c>
      <c r="Q939">
        <v>17123</v>
      </c>
      <c r="R939">
        <v>17334</v>
      </c>
      <c r="S939">
        <v>6</v>
      </c>
      <c r="T939">
        <v>1</v>
      </c>
      <c r="U939" s="17">
        <v>0.13</v>
      </c>
      <c r="V939">
        <v>3</v>
      </c>
      <c r="W939">
        <v>4</v>
      </c>
      <c r="X939">
        <v>2</v>
      </c>
      <c r="Y939">
        <v>21</v>
      </c>
      <c r="Z939">
        <v>4</v>
      </c>
      <c r="AA939">
        <v>3</v>
      </c>
      <c r="AB939">
        <v>19</v>
      </c>
      <c r="AC939">
        <v>9</v>
      </c>
      <c r="AD939">
        <v>15</v>
      </c>
      <c r="AE939">
        <v>2</v>
      </c>
      <c r="AF939">
        <v>0</v>
      </c>
      <c r="AG939">
        <f>IF(tbl_HR_Data[[#This Row],[Gender]]="Male",1,0)</f>
        <v>0</v>
      </c>
      <c r="AH939" cm="1">
        <f t="array" ref="AH939">_xlfn.SWITCH(tbl_HR_Data[[#This Row],[BusinessTravel]], "Non-Travel", 0, "Travel_Rarely", 1, "Travel_Frequently", 2)</f>
        <v>1</v>
      </c>
      <c r="AI939" cm="1">
        <f t="array" ref="AI939">_xlfn.SWITCH(tbl_HR_Data[[#This Row],[MaritalStatus]],"Single",0,"Married",1,"Divorced",2)</f>
        <v>2</v>
      </c>
      <c r="AJ939">
        <f>IF(tbl_HR_Data[[#This Row],[OverTime]]=1,1,0)</f>
        <v>1</v>
      </c>
      <c r="AK939">
        <f>IF(tbl_HR_Data[[#This Row],[DistanceFromHome]]&gt;15,1,0)</f>
        <v>0</v>
      </c>
      <c r="AL939">
        <f>IF(tbl_HR_Data[[#This Row],[JobSatisfaction]]&lt;=2,1,0)</f>
        <v>1</v>
      </c>
      <c r="AM939">
        <f>IF(tbl_HR_Data[[#This Row],[MonthlyIncome]]&lt;$AT$2,1,0)</f>
        <v>0</v>
      </c>
      <c r="AN939">
        <f>IF(tbl_HR_Data[[#This Row],[Travel_Code]]=2,1,0)</f>
        <v>0</v>
      </c>
      <c r="AO939">
        <f>(tbl_HR_Data[[#This Row],[Flag_OT]] * Logic_Parameters!$B$2) +
 (tbl_HR_Data[[#This Row],[Flag_Travel]] * Logic_Parameters!$B$3) +
 (tbl_HR_Data[[#This Row],[Flag_Satisfaction]] * Logic_Parameters!$B$4) +
 (tbl_HR_Data[[#This Row],[Flag_Distance]]* Logic_Parameters!$B$5) +
 (tbl_HR_Data[[#This Row],[Flag_Income]] * Logic_Parameters!$B$6)</f>
        <v>14.204533129978131</v>
      </c>
      <c r="AP939" s="15">
        <f>tbl_HR_Data[[#This Row],[Risk_Score_Raw]] / SUM(Logic_Parameters!$B$2:$B$6)</f>
        <v>0.48938186491297625</v>
      </c>
      <c r="AQ939" s="16" t="str" cm="1">
        <f t="array" ref="AQ939">_xlfn.IFS(tbl_HR_Data[[#This Row],[Attrition_Risk_Percentage]] &gt;= 0.75, "Critical",tbl_HR_Data[ [#This Row],[Attrition_Risk_Percentage] ]&gt;= 0.5, "High",tbl_HR_Data[[#This Row],[Attrition_Risk_Percentage]] &gt;= 0.25, "Medium",TRUE, "Low")</f>
        <v>Medium</v>
      </c>
      <c r="AR939" s="16" cm="1">
        <f t="array" ref="AR939">IFERROR(_xlfn.IFS(tbl_HR_Data[[#This Row],[Risk_Category]]="Critical",tbl_HR_Data[[#This Row],[MonthlyIncome]]*1.5,tbl_HR_Data[[#This Row],[Risk_Category]]="High",tbl_HR_Data[[#This Row],[MonthlyIncome]]*1.5),0)</f>
        <v>0</v>
      </c>
    </row>
    <row r="940" spans="1:44" x14ac:dyDescent="0.35">
      <c r="A940" t="s">
        <v>55</v>
      </c>
      <c r="B940">
        <v>58</v>
      </c>
      <c r="C940" t="s">
        <v>31</v>
      </c>
      <c r="D940">
        <v>848</v>
      </c>
      <c r="E940" t="s">
        <v>38</v>
      </c>
      <c r="F940">
        <v>23</v>
      </c>
      <c r="G940">
        <v>4</v>
      </c>
      <c r="H940" t="s">
        <v>33</v>
      </c>
      <c r="I940">
        <v>1</v>
      </c>
      <c r="J940" t="s">
        <v>39</v>
      </c>
      <c r="K940">
        <v>88</v>
      </c>
      <c r="L940">
        <v>3</v>
      </c>
      <c r="M940">
        <v>1</v>
      </c>
      <c r="N940" t="s">
        <v>40</v>
      </c>
      <c r="O940">
        <v>3</v>
      </c>
      <c r="P940" t="s">
        <v>45</v>
      </c>
      <c r="Q940">
        <v>2372</v>
      </c>
      <c r="R940">
        <v>26076</v>
      </c>
      <c r="S940">
        <v>1</v>
      </c>
      <c r="T940">
        <v>0</v>
      </c>
      <c r="U940" s="17">
        <v>0.12</v>
      </c>
      <c r="V940">
        <v>3</v>
      </c>
      <c r="W940">
        <v>4</v>
      </c>
      <c r="X940">
        <v>2</v>
      </c>
      <c r="Y940">
        <v>2</v>
      </c>
      <c r="Z940">
        <v>3</v>
      </c>
      <c r="AA940">
        <v>3</v>
      </c>
      <c r="AB940">
        <v>2</v>
      </c>
      <c r="AC940">
        <v>2</v>
      </c>
      <c r="AD940">
        <v>2</v>
      </c>
      <c r="AE940">
        <v>2</v>
      </c>
      <c r="AF940">
        <v>0</v>
      </c>
      <c r="AG940">
        <f>IF(tbl_HR_Data[[#This Row],[Gender]]="Male",1,0)</f>
        <v>1</v>
      </c>
      <c r="AH940" cm="1">
        <f t="array" ref="AH940">_xlfn.SWITCH(tbl_HR_Data[[#This Row],[BusinessTravel]], "Non-Travel", 0, "Travel_Rarely", 1, "Travel_Frequently", 2)</f>
        <v>1</v>
      </c>
      <c r="AI940" cm="1">
        <f t="array" ref="AI940">_xlfn.SWITCH(tbl_HR_Data[[#This Row],[MaritalStatus]],"Single",0,"Married",1,"Divorced",2)</f>
        <v>2</v>
      </c>
      <c r="AJ940">
        <f>IF(tbl_HR_Data[[#This Row],[OverTime]]=1,1,0)</f>
        <v>0</v>
      </c>
      <c r="AK940">
        <f>IF(tbl_HR_Data[[#This Row],[DistanceFromHome]]&gt;15,1,0)</f>
        <v>1</v>
      </c>
      <c r="AL940">
        <f>IF(tbl_HR_Data[[#This Row],[JobSatisfaction]]&lt;=2,1,0)</f>
        <v>0</v>
      </c>
      <c r="AM940">
        <f>IF(tbl_HR_Data[[#This Row],[MonthlyIncome]]&lt;$AT$2,1,0)</f>
        <v>1</v>
      </c>
      <c r="AN940">
        <f>IF(tbl_HR_Data[[#This Row],[Travel_Code]]=2,1,0)</f>
        <v>0</v>
      </c>
      <c r="AO940">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940" s="15">
        <f>tbl_HR_Data[[#This Row],[Risk_Score_Raw]] / SUM(Logic_Parameters!$B$2:$B$6)</f>
        <v>0.33282973125692844</v>
      </c>
      <c r="AQ940" s="16" t="str" cm="1">
        <f t="array" ref="AQ940">_xlfn.IFS(tbl_HR_Data[[#This Row],[Attrition_Risk_Percentage]] &gt;= 0.75, "Critical",tbl_HR_Data[ [#This Row],[Attrition_Risk_Percentage] ]&gt;= 0.5, "High",tbl_HR_Data[[#This Row],[Attrition_Risk_Percentage]] &gt;= 0.25, "Medium",TRUE, "Low")</f>
        <v>Medium</v>
      </c>
      <c r="AR940" s="16" cm="1">
        <f t="array" ref="AR940">IFERROR(_xlfn.IFS(tbl_HR_Data[[#This Row],[Risk_Category]]="Critical",tbl_HR_Data[[#This Row],[MonthlyIncome]]*1.5,tbl_HR_Data[[#This Row],[Risk_Category]]="High",tbl_HR_Data[[#This Row],[MonthlyIncome]]*1.5),0)</f>
        <v>0</v>
      </c>
    </row>
    <row r="941" spans="1:44" x14ac:dyDescent="0.35">
      <c r="A941" t="s">
        <v>715</v>
      </c>
      <c r="B941">
        <v>32</v>
      </c>
      <c r="C941" t="s">
        <v>31</v>
      </c>
      <c r="D941">
        <v>1089</v>
      </c>
      <c r="E941" t="s">
        <v>38</v>
      </c>
      <c r="F941">
        <v>7</v>
      </c>
      <c r="G941">
        <v>2</v>
      </c>
      <c r="H941" t="s">
        <v>33</v>
      </c>
      <c r="I941">
        <v>4</v>
      </c>
      <c r="J941" t="s">
        <v>39</v>
      </c>
      <c r="K941">
        <v>79</v>
      </c>
      <c r="L941">
        <v>3</v>
      </c>
      <c r="M941">
        <v>2</v>
      </c>
      <c r="N941" t="s">
        <v>43</v>
      </c>
      <c r="O941">
        <v>3</v>
      </c>
      <c r="P941" t="s">
        <v>41</v>
      </c>
      <c r="Q941">
        <v>4883</v>
      </c>
      <c r="R941">
        <v>22845</v>
      </c>
      <c r="S941">
        <v>1</v>
      </c>
      <c r="T941">
        <v>0</v>
      </c>
      <c r="U941" s="17">
        <v>0.18</v>
      </c>
      <c r="V941">
        <v>3</v>
      </c>
      <c r="W941">
        <v>1</v>
      </c>
      <c r="X941">
        <v>1</v>
      </c>
      <c r="Y941">
        <v>10</v>
      </c>
      <c r="Z941">
        <v>3</v>
      </c>
      <c r="AA941">
        <v>3</v>
      </c>
      <c r="AB941">
        <v>10</v>
      </c>
      <c r="AC941">
        <v>4</v>
      </c>
      <c r="AD941">
        <v>1</v>
      </c>
      <c r="AE941">
        <v>1</v>
      </c>
      <c r="AF941">
        <v>1</v>
      </c>
      <c r="AG941">
        <f>IF(tbl_HR_Data[[#This Row],[Gender]]="Male",1,0)</f>
        <v>1</v>
      </c>
      <c r="AH941" cm="1">
        <f t="array" ref="AH941">_xlfn.SWITCH(tbl_HR_Data[[#This Row],[BusinessTravel]], "Non-Travel", 0, "Travel_Rarely", 1, "Travel_Frequently", 2)</f>
        <v>1</v>
      </c>
      <c r="AI941" cm="1">
        <f t="array" ref="AI941">_xlfn.SWITCH(tbl_HR_Data[[#This Row],[MaritalStatus]],"Single",0,"Married",1,"Divorced",2)</f>
        <v>1</v>
      </c>
      <c r="AJ941">
        <f>IF(tbl_HR_Data[[#This Row],[OverTime]]=1,1,0)</f>
        <v>0</v>
      </c>
      <c r="AK941">
        <f>IF(tbl_HR_Data[[#This Row],[DistanceFromHome]]&gt;15,1,0)</f>
        <v>0</v>
      </c>
      <c r="AL941">
        <f>IF(tbl_HR_Data[[#This Row],[JobSatisfaction]]&lt;=2,1,0)</f>
        <v>0</v>
      </c>
      <c r="AM941">
        <f>IF(tbl_HR_Data[[#This Row],[MonthlyIncome]]&lt;$AT$2,1,0)</f>
        <v>1</v>
      </c>
      <c r="AN941">
        <f>IF(tbl_HR_Data[[#This Row],[Travel_Code]]=2,1,0)</f>
        <v>0</v>
      </c>
      <c r="AO941">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941" s="15">
        <f>tbl_HR_Data[[#This Row],[Risk_Score_Raw]] / SUM(Logic_Parameters!$B$2:$B$6)</f>
        <v>0.22374939857982484</v>
      </c>
      <c r="AQ941" s="16" t="str" cm="1">
        <f t="array" ref="AQ941">_xlfn.IFS(tbl_HR_Data[[#This Row],[Attrition_Risk_Percentage]] &gt;= 0.75, "Critical",tbl_HR_Data[ [#This Row],[Attrition_Risk_Percentage] ]&gt;= 0.5, "High",tbl_HR_Data[[#This Row],[Attrition_Risk_Percentage]] &gt;= 0.25, "Medium",TRUE, "Low")</f>
        <v>Low</v>
      </c>
      <c r="AR941" s="16" cm="1">
        <f t="array" ref="AR941">IFERROR(_xlfn.IFS(tbl_HR_Data[[#This Row],[Risk_Category]]="Critical",tbl_HR_Data[[#This Row],[MonthlyIncome]]*1.5,tbl_HR_Data[[#This Row],[Risk_Category]]="High",tbl_HR_Data[[#This Row],[MonthlyIncome]]*1.5),0)</f>
        <v>0</v>
      </c>
    </row>
    <row r="942" spans="1:44" x14ac:dyDescent="0.35">
      <c r="A942" t="s">
        <v>438</v>
      </c>
      <c r="B942">
        <v>39</v>
      </c>
      <c r="C942" t="s">
        <v>31</v>
      </c>
      <c r="D942">
        <v>360</v>
      </c>
      <c r="E942" t="s">
        <v>38</v>
      </c>
      <c r="F942">
        <v>23</v>
      </c>
      <c r="G942">
        <v>3</v>
      </c>
      <c r="H942" t="s">
        <v>44</v>
      </c>
      <c r="I942">
        <v>3</v>
      </c>
      <c r="J942" t="s">
        <v>39</v>
      </c>
      <c r="K942">
        <v>93</v>
      </c>
      <c r="L942">
        <v>3</v>
      </c>
      <c r="M942">
        <v>1</v>
      </c>
      <c r="N942" t="s">
        <v>40</v>
      </c>
      <c r="O942">
        <v>1</v>
      </c>
      <c r="P942" t="s">
        <v>36</v>
      </c>
      <c r="Q942">
        <v>3904</v>
      </c>
      <c r="R942">
        <v>22154</v>
      </c>
      <c r="S942">
        <v>0</v>
      </c>
      <c r="T942">
        <v>0</v>
      </c>
      <c r="U942" s="17">
        <v>0.13</v>
      </c>
      <c r="V942">
        <v>3</v>
      </c>
      <c r="W942">
        <v>1</v>
      </c>
      <c r="X942">
        <v>0</v>
      </c>
      <c r="Y942">
        <v>6</v>
      </c>
      <c r="Z942">
        <v>2</v>
      </c>
      <c r="AA942">
        <v>3</v>
      </c>
      <c r="AB942">
        <v>5</v>
      </c>
      <c r="AC942">
        <v>2</v>
      </c>
      <c r="AD942">
        <v>0</v>
      </c>
      <c r="AE942">
        <v>3</v>
      </c>
      <c r="AF942">
        <v>1</v>
      </c>
      <c r="AG942">
        <f>IF(tbl_HR_Data[[#This Row],[Gender]]="Male",1,0)</f>
        <v>1</v>
      </c>
      <c r="AH942" cm="1">
        <f t="array" ref="AH942">_xlfn.SWITCH(tbl_HR_Data[[#This Row],[BusinessTravel]], "Non-Travel", 0, "Travel_Rarely", 1, "Travel_Frequently", 2)</f>
        <v>1</v>
      </c>
      <c r="AI942" cm="1">
        <f t="array" ref="AI942">_xlfn.SWITCH(tbl_HR_Data[[#This Row],[MaritalStatus]],"Single",0,"Married",1,"Divorced",2)</f>
        <v>0</v>
      </c>
      <c r="AJ942">
        <f>IF(tbl_HR_Data[[#This Row],[OverTime]]=1,1,0)</f>
        <v>0</v>
      </c>
      <c r="AK942">
        <f>IF(tbl_HR_Data[[#This Row],[DistanceFromHome]]&gt;15,1,0)</f>
        <v>1</v>
      </c>
      <c r="AL942">
        <f>IF(tbl_HR_Data[[#This Row],[JobSatisfaction]]&lt;=2,1,0)</f>
        <v>1</v>
      </c>
      <c r="AM942">
        <f>IF(tbl_HR_Data[[#This Row],[MonthlyIncome]]&lt;$AT$2,1,0)</f>
        <v>1</v>
      </c>
      <c r="AN942">
        <f>IF(tbl_HR_Data[[#This Row],[Travel_Code]]=2,1,0)</f>
        <v>0</v>
      </c>
      <c r="AO942">
        <f>(tbl_HR_Data[[#This Row],[Flag_OT]] * Logic_Parameters!$B$2) +
 (tbl_HR_Data[[#This Row],[Flag_Travel]] * Logic_Parameters!$B$3) +
 (tbl_HR_Data[[#This Row],[Flag_Satisfaction]] * Logic_Parameters!$B$4) +
 (tbl_HR_Data[[#This Row],[Flag_Distance]]* Logic_Parameters!$B$5) +
 (tbl_HR_Data[[#This Row],[Flag_Income]] * Logic_Parameters!$B$6)</f>
        <v>13.865068763274337</v>
      </c>
      <c r="AP942" s="15">
        <f>tbl_HR_Data[[#This Row],[Risk_Score_Raw]] / SUM(Logic_Parameters!$B$2:$B$6)</f>
        <v>0.47768646434409739</v>
      </c>
      <c r="AQ942" s="16" t="str" cm="1">
        <f t="array" ref="AQ942">_xlfn.IFS(tbl_HR_Data[[#This Row],[Attrition_Risk_Percentage]] &gt;= 0.75, "Critical",tbl_HR_Data[ [#This Row],[Attrition_Risk_Percentage] ]&gt;= 0.5, "High",tbl_HR_Data[[#This Row],[Attrition_Risk_Percentage]] &gt;= 0.25, "Medium",TRUE, "Low")</f>
        <v>Medium</v>
      </c>
      <c r="AR942" s="16" cm="1">
        <f t="array" ref="AR942">IFERROR(_xlfn.IFS(tbl_HR_Data[[#This Row],[Risk_Category]]="Critical",tbl_HR_Data[[#This Row],[MonthlyIncome]]*1.5,tbl_HR_Data[[#This Row],[Risk_Category]]="High",tbl_HR_Data[[#This Row],[MonthlyIncome]]*1.5),0)</f>
        <v>0</v>
      </c>
    </row>
    <row r="943" spans="1:44" x14ac:dyDescent="0.35">
      <c r="A943" t="s">
        <v>681</v>
      </c>
      <c r="B943">
        <v>30</v>
      </c>
      <c r="C943" t="s">
        <v>31</v>
      </c>
      <c r="D943">
        <v>1138</v>
      </c>
      <c r="E943" t="s">
        <v>38</v>
      </c>
      <c r="F943">
        <v>6</v>
      </c>
      <c r="G943">
        <v>3</v>
      </c>
      <c r="H943" t="s">
        <v>52</v>
      </c>
      <c r="I943">
        <v>1</v>
      </c>
      <c r="J943" t="s">
        <v>34</v>
      </c>
      <c r="K943">
        <v>48</v>
      </c>
      <c r="L943">
        <v>2</v>
      </c>
      <c r="M943">
        <v>2</v>
      </c>
      <c r="N943" t="s">
        <v>43</v>
      </c>
      <c r="O943">
        <v>4</v>
      </c>
      <c r="P943" t="s">
        <v>41</v>
      </c>
      <c r="Q943">
        <v>4627</v>
      </c>
      <c r="R943">
        <v>23631</v>
      </c>
      <c r="S943">
        <v>0</v>
      </c>
      <c r="T943">
        <v>0</v>
      </c>
      <c r="U943" s="17">
        <v>0.12</v>
      </c>
      <c r="V943">
        <v>3</v>
      </c>
      <c r="W943">
        <v>1</v>
      </c>
      <c r="X943">
        <v>1</v>
      </c>
      <c r="Y943">
        <v>10</v>
      </c>
      <c r="Z943">
        <v>6</v>
      </c>
      <c r="AA943">
        <v>3</v>
      </c>
      <c r="AB943">
        <v>9</v>
      </c>
      <c r="AC943">
        <v>2</v>
      </c>
      <c r="AD943">
        <v>6</v>
      </c>
      <c r="AE943">
        <v>7</v>
      </c>
      <c r="AF943">
        <v>0</v>
      </c>
      <c r="AG943">
        <f>IF(tbl_HR_Data[[#This Row],[Gender]]="Male",1,0)</f>
        <v>0</v>
      </c>
      <c r="AH943" cm="1">
        <f t="array" ref="AH943">_xlfn.SWITCH(tbl_HR_Data[[#This Row],[BusinessTravel]], "Non-Travel", 0, "Travel_Rarely", 1, "Travel_Frequently", 2)</f>
        <v>1</v>
      </c>
      <c r="AI943" cm="1">
        <f t="array" ref="AI943">_xlfn.SWITCH(tbl_HR_Data[[#This Row],[MaritalStatus]],"Single",0,"Married",1,"Divorced",2)</f>
        <v>1</v>
      </c>
      <c r="AJ943">
        <f>IF(tbl_HR_Data[[#This Row],[OverTime]]=1,1,0)</f>
        <v>0</v>
      </c>
      <c r="AK943">
        <f>IF(tbl_HR_Data[[#This Row],[DistanceFromHome]]&gt;15,1,0)</f>
        <v>0</v>
      </c>
      <c r="AL943">
        <f>IF(tbl_HR_Data[[#This Row],[JobSatisfaction]]&lt;=2,1,0)</f>
        <v>0</v>
      </c>
      <c r="AM943">
        <f>IF(tbl_HR_Data[[#This Row],[MonthlyIncome]]&lt;$AT$2,1,0)</f>
        <v>1</v>
      </c>
      <c r="AN943">
        <f>IF(tbl_HR_Data[[#This Row],[Travel_Code]]=2,1,0)</f>
        <v>0</v>
      </c>
      <c r="AO943">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943" s="15">
        <f>tbl_HR_Data[[#This Row],[Risk_Score_Raw]] / SUM(Logic_Parameters!$B$2:$B$6)</f>
        <v>0.22374939857982484</v>
      </c>
      <c r="AQ943" s="16" t="str" cm="1">
        <f t="array" ref="AQ943">_xlfn.IFS(tbl_HR_Data[[#This Row],[Attrition_Risk_Percentage]] &gt;= 0.75, "Critical",tbl_HR_Data[ [#This Row],[Attrition_Risk_Percentage] ]&gt;= 0.5, "High",tbl_HR_Data[[#This Row],[Attrition_Risk_Percentage]] &gt;= 0.25, "Medium",TRUE, "Low")</f>
        <v>Low</v>
      </c>
      <c r="AR943" s="16" cm="1">
        <f t="array" ref="AR943">IFERROR(_xlfn.IFS(tbl_HR_Data[[#This Row],[Risk_Category]]="Critical",tbl_HR_Data[[#This Row],[MonthlyIncome]]*1.5,tbl_HR_Data[[#This Row],[Risk_Category]]="High",tbl_HR_Data[[#This Row],[MonthlyIncome]]*1.5),0)</f>
        <v>0</v>
      </c>
    </row>
    <row r="944" spans="1:44" x14ac:dyDescent="0.35">
      <c r="A944" t="s">
        <v>446</v>
      </c>
      <c r="B944">
        <v>36</v>
      </c>
      <c r="C944" t="s">
        <v>31</v>
      </c>
      <c r="D944">
        <v>325</v>
      </c>
      <c r="E944" t="s">
        <v>38</v>
      </c>
      <c r="F944">
        <v>10</v>
      </c>
      <c r="G944">
        <v>4</v>
      </c>
      <c r="H944" t="s">
        <v>52</v>
      </c>
      <c r="I944">
        <v>4</v>
      </c>
      <c r="J944" t="s">
        <v>34</v>
      </c>
      <c r="K944">
        <v>63</v>
      </c>
      <c r="L944">
        <v>3</v>
      </c>
      <c r="M944">
        <v>3</v>
      </c>
      <c r="N944" t="s">
        <v>47</v>
      </c>
      <c r="O944">
        <v>3</v>
      </c>
      <c r="P944" t="s">
        <v>41</v>
      </c>
      <c r="Q944">
        <v>7094</v>
      </c>
      <c r="R944">
        <v>5747</v>
      </c>
      <c r="S944">
        <v>3</v>
      </c>
      <c r="T944">
        <v>0</v>
      </c>
      <c r="U944" s="17">
        <v>0.12</v>
      </c>
      <c r="V944">
        <v>3</v>
      </c>
      <c r="W944">
        <v>1</v>
      </c>
      <c r="X944">
        <v>0</v>
      </c>
      <c r="Y944">
        <v>10</v>
      </c>
      <c r="Z944">
        <v>0</v>
      </c>
      <c r="AA944">
        <v>3</v>
      </c>
      <c r="AB944">
        <v>7</v>
      </c>
      <c r="AC944">
        <v>7</v>
      </c>
      <c r="AD944">
        <v>1</v>
      </c>
      <c r="AE944">
        <v>7</v>
      </c>
      <c r="AF944">
        <v>0</v>
      </c>
      <c r="AG944">
        <f>IF(tbl_HR_Data[[#This Row],[Gender]]="Male",1,0)</f>
        <v>0</v>
      </c>
      <c r="AH944" cm="1">
        <f t="array" ref="AH944">_xlfn.SWITCH(tbl_HR_Data[[#This Row],[BusinessTravel]], "Non-Travel", 0, "Travel_Rarely", 1, "Travel_Frequently", 2)</f>
        <v>1</v>
      </c>
      <c r="AI944" cm="1">
        <f t="array" ref="AI944">_xlfn.SWITCH(tbl_HR_Data[[#This Row],[MaritalStatus]],"Single",0,"Married",1,"Divorced",2)</f>
        <v>1</v>
      </c>
      <c r="AJ944">
        <f>IF(tbl_HR_Data[[#This Row],[OverTime]]=1,1,0)</f>
        <v>0</v>
      </c>
      <c r="AK944">
        <f>IF(tbl_HR_Data[[#This Row],[DistanceFromHome]]&gt;15,1,0)</f>
        <v>0</v>
      </c>
      <c r="AL944">
        <f>IF(tbl_HR_Data[[#This Row],[JobSatisfaction]]&lt;=2,1,0)</f>
        <v>0</v>
      </c>
      <c r="AM944">
        <f>IF(tbl_HR_Data[[#This Row],[MonthlyIncome]]&lt;$AT$2,1,0)</f>
        <v>0</v>
      </c>
      <c r="AN944">
        <f>IF(tbl_HR_Data[[#This Row],[Travel_Code]]=2,1,0)</f>
        <v>0</v>
      </c>
      <c r="AO944">
        <f>(tbl_HR_Data[[#This Row],[Flag_OT]] * Logic_Parameters!$B$2) +
 (tbl_HR_Data[[#This Row],[Flag_Travel]] * Logic_Parameters!$B$3) +
 (tbl_HR_Data[[#This Row],[Flag_Satisfaction]] * Logic_Parameters!$B$4) +
 (tbl_HR_Data[[#This Row],[Flag_Distance]]* Logic_Parameters!$B$5) +
 (tbl_HR_Data[[#This Row],[Flag_Income]] * Logic_Parameters!$B$6)</f>
        <v>0</v>
      </c>
      <c r="AP944" s="15">
        <f>tbl_HR_Data[[#This Row],[Risk_Score_Raw]] / SUM(Logic_Parameters!$B$2:$B$6)</f>
        <v>0</v>
      </c>
      <c r="AQ944" s="16" t="str" cm="1">
        <f t="array" ref="AQ944">_xlfn.IFS(tbl_HR_Data[[#This Row],[Attrition_Risk_Percentage]] &gt;= 0.75, "Critical",tbl_HR_Data[ [#This Row],[Attrition_Risk_Percentage] ]&gt;= 0.5, "High",tbl_HR_Data[[#This Row],[Attrition_Risk_Percentage]] &gt;= 0.25, "Medium",TRUE, "Low")</f>
        <v>Low</v>
      </c>
      <c r="AR944" s="16" cm="1">
        <f t="array" ref="AR944">IFERROR(_xlfn.IFS(tbl_HR_Data[[#This Row],[Risk_Category]]="Critical",tbl_HR_Data[[#This Row],[MonthlyIncome]]*1.5,tbl_HR_Data[[#This Row],[Risk_Category]]="High",tbl_HR_Data[[#This Row],[MonthlyIncome]]*1.5),0)</f>
        <v>0</v>
      </c>
    </row>
    <row r="945" spans="1:44" x14ac:dyDescent="0.35">
      <c r="A945" t="s">
        <v>1021</v>
      </c>
      <c r="B945">
        <v>46</v>
      </c>
      <c r="C945" t="s">
        <v>31</v>
      </c>
      <c r="D945">
        <v>991</v>
      </c>
      <c r="E945" t="s">
        <v>53</v>
      </c>
      <c r="F945">
        <v>1</v>
      </c>
      <c r="G945">
        <v>2</v>
      </c>
      <c r="H945" t="s">
        <v>33</v>
      </c>
      <c r="I945">
        <v>4</v>
      </c>
      <c r="J945" t="s">
        <v>34</v>
      </c>
      <c r="K945">
        <v>44</v>
      </c>
      <c r="L945">
        <v>3</v>
      </c>
      <c r="M945">
        <v>1</v>
      </c>
      <c r="N945" t="s">
        <v>53</v>
      </c>
      <c r="O945">
        <v>1</v>
      </c>
      <c r="P945" t="s">
        <v>36</v>
      </c>
      <c r="Q945">
        <v>3423</v>
      </c>
      <c r="R945">
        <v>22957</v>
      </c>
      <c r="S945">
        <v>6</v>
      </c>
      <c r="T945">
        <v>0</v>
      </c>
      <c r="U945" s="17">
        <v>0.12</v>
      </c>
      <c r="V945">
        <v>3</v>
      </c>
      <c r="W945">
        <v>3</v>
      </c>
      <c r="X945">
        <v>0</v>
      </c>
      <c r="Y945">
        <v>10</v>
      </c>
      <c r="Z945">
        <v>3</v>
      </c>
      <c r="AA945">
        <v>4</v>
      </c>
      <c r="AB945">
        <v>7</v>
      </c>
      <c r="AC945">
        <v>6</v>
      </c>
      <c r="AD945">
        <v>5</v>
      </c>
      <c r="AE945">
        <v>7</v>
      </c>
      <c r="AF945">
        <v>0</v>
      </c>
      <c r="AG945">
        <f>IF(tbl_HR_Data[[#This Row],[Gender]]="Male",1,0)</f>
        <v>0</v>
      </c>
      <c r="AH945" cm="1">
        <f t="array" ref="AH945">_xlfn.SWITCH(tbl_HR_Data[[#This Row],[BusinessTravel]], "Non-Travel", 0, "Travel_Rarely", 1, "Travel_Frequently", 2)</f>
        <v>1</v>
      </c>
      <c r="AI945" cm="1">
        <f t="array" ref="AI945">_xlfn.SWITCH(tbl_HR_Data[[#This Row],[MaritalStatus]],"Single",0,"Married",1,"Divorced",2)</f>
        <v>0</v>
      </c>
      <c r="AJ945">
        <f>IF(tbl_HR_Data[[#This Row],[OverTime]]=1,1,0)</f>
        <v>0</v>
      </c>
      <c r="AK945">
        <f>IF(tbl_HR_Data[[#This Row],[DistanceFromHome]]&gt;15,1,0)</f>
        <v>0</v>
      </c>
      <c r="AL945">
        <f>IF(tbl_HR_Data[[#This Row],[JobSatisfaction]]&lt;=2,1,0)</f>
        <v>1</v>
      </c>
      <c r="AM945">
        <f>IF(tbl_HR_Data[[#This Row],[MonthlyIncome]]&lt;$AT$2,1,0)</f>
        <v>1</v>
      </c>
      <c r="AN945">
        <f>IF(tbl_HR_Data[[#This Row],[Travel_Code]]=2,1,0)</f>
        <v>0</v>
      </c>
      <c r="AO945">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945" s="15">
        <f>tbl_HR_Data[[#This Row],[Risk_Score_Raw]] / SUM(Logic_Parameters!$B$2:$B$6)</f>
        <v>0.3686061316669938</v>
      </c>
      <c r="AQ945" s="16" t="str" cm="1">
        <f t="array" ref="AQ945">_xlfn.IFS(tbl_HR_Data[[#This Row],[Attrition_Risk_Percentage]] &gt;= 0.75, "Critical",tbl_HR_Data[ [#This Row],[Attrition_Risk_Percentage] ]&gt;= 0.5, "High",tbl_HR_Data[[#This Row],[Attrition_Risk_Percentage]] &gt;= 0.25, "Medium",TRUE, "Low")</f>
        <v>Medium</v>
      </c>
      <c r="AR945" s="16" cm="1">
        <f t="array" ref="AR945">IFERROR(_xlfn.IFS(tbl_HR_Data[[#This Row],[Risk_Category]]="Critical",tbl_HR_Data[[#This Row],[MonthlyIncome]]*1.5,tbl_HR_Data[[#This Row],[Risk_Category]]="High",tbl_HR_Data[[#This Row],[MonthlyIncome]]*1.5),0)</f>
        <v>0</v>
      </c>
    </row>
    <row r="946" spans="1:44" x14ac:dyDescent="0.35">
      <c r="A946" t="s">
        <v>630</v>
      </c>
      <c r="B946">
        <v>28</v>
      </c>
      <c r="C946" t="s">
        <v>1525</v>
      </c>
      <c r="D946">
        <v>1476</v>
      </c>
      <c r="E946" t="s">
        <v>38</v>
      </c>
      <c r="F946">
        <v>1</v>
      </c>
      <c r="G946">
        <v>3</v>
      </c>
      <c r="H946" t="s">
        <v>33</v>
      </c>
      <c r="I946">
        <v>3</v>
      </c>
      <c r="J946" t="s">
        <v>34</v>
      </c>
      <c r="K946">
        <v>55</v>
      </c>
      <c r="L946">
        <v>1</v>
      </c>
      <c r="M946">
        <v>2</v>
      </c>
      <c r="N946" t="s">
        <v>43</v>
      </c>
      <c r="O946">
        <v>4</v>
      </c>
      <c r="P946" t="s">
        <v>41</v>
      </c>
      <c r="Q946">
        <v>6674</v>
      </c>
      <c r="R946">
        <v>16392</v>
      </c>
      <c r="S946">
        <v>0</v>
      </c>
      <c r="T946">
        <v>0</v>
      </c>
      <c r="U946" s="17">
        <v>0.11</v>
      </c>
      <c r="V946">
        <v>3</v>
      </c>
      <c r="W946">
        <v>1</v>
      </c>
      <c r="X946">
        <v>3</v>
      </c>
      <c r="Y946">
        <v>10</v>
      </c>
      <c r="Z946">
        <v>6</v>
      </c>
      <c r="AA946">
        <v>3</v>
      </c>
      <c r="AB946">
        <v>9</v>
      </c>
      <c r="AC946">
        <v>8</v>
      </c>
      <c r="AD946">
        <v>7</v>
      </c>
      <c r="AE946">
        <v>5</v>
      </c>
      <c r="AF946">
        <v>0</v>
      </c>
      <c r="AG946">
        <f>IF(tbl_HR_Data[[#This Row],[Gender]]="Male",1,0)</f>
        <v>0</v>
      </c>
      <c r="AH946" cm="1">
        <f t="array" ref="AH946">_xlfn.SWITCH(tbl_HR_Data[[#This Row],[BusinessTravel]], "Non-Travel", 0, "Travel_Rarely", 1, "Travel_Frequently", 2)</f>
        <v>0</v>
      </c>
      <c r="AI946" cm="1">
        <f t="array" ref="AI946">_xlfn.SWITCH(tbl_HR_Data[[#This Row],[MaritalStatus]],"Single",0,"Married",1,"Divorced",2)</f>
        <v>1</v>
      </c>
      <c r="AJ946">
        <f>IF(tbl_HR_Data[[#This Row],[OverTime]]=1,1,0)</f>
        <v>0</v>
      </c>
      <c r="AK946">
        <f>IF(tbl_HR_Data[[#This Row],[DistanceFromHome]]&gt;15,1,0)</f>
        <v>0</v>
      </c>
      <c r="AL946">
        <f>IF(tbl_HR_Data[[#This Row],[JobSatisfaction]]&lt;=2,1,0)</f>
        <v>0</v>
      </c>
      <c r="AM946">
        <f>IF(tbl_HR_Data[[#This Row],[MonthlyIncome]]&lt;$AT$2,1,0)</f>
        <v>0</v>
      </c>
      <c r="AN946">
        <f>IF(tbl_HR_Data[[#This Row],[Travel_Code]]=2,1,0)</f>
        <v>0</v>
      </c>
      <c r="AO946">
        <f>(tbl_HR_Data[[#This Row],[Flag_OT]] * Logic_Parameters!$B$2) +
 (tbl_HR_Data[[#This Row],[Flag_Travel]] * Logic_Parameters!$B$3) +
 (tbl_HR_Data[[#This Row],[Flag_Satisfaction]] * Logic_Parameters!$B$4) +
 (tbl_HR_Data[[#This Row],[Flag_Distance]]* Logic_Parameters!$B$5) +
 (tbl_HR_Data[[#This Row],[Flag_Income]] * Logic_Parameters!$B$6)</f>
        <v>0</v>
      </c>
      <c r="AP946" s="15">
        <f>tbl_HR_Data[[#This Row],[Risk_Score_Raw]] / SUM(Logic_Parameters!$B$2:$B$6)</f>
        <v>0</v>
      </c>
      <c r="AQ946" s="16" t="str" cm="1">
        <f t="array" ref="AQ946">_xlfn.IFS(tbl_HR_Data[[#This Row],[Attrition_Risk_Percentage]] &gt;= 0.75, "Critical",tbl_HR_Data[ [#This Row],[Attrition_Risk_Percentage] ]&gt;= 0.5, "High",tbl_HR_Data[[#This Row],[Attrition_Risk_Percentage]] &gt;= 0.25, "Medium",TRUE, "Low")</f>
        <v>Low</v>
      </c>
      <c r="AR946" s="16" cm="1">
        <f t="array" ref="AR946">IFERROR(_xlfn.IFS(tbl_HR_Data[[#This Row],[Risk_Category]]="Critical",tbl_HR_Data[[#This Row],[MonthlyIncome]]*1.5,tbl_HR_Data[[#This Row],[Risk_Category]]="High",tbl_HR_Data[[#This Row],[MonthlyIncome]]*1.5),0)</f>
        <v>0</v>
      </c>
    </row>
    <row r="947" spans="1:44" x14ac:dyDescent="0.35">
      <c r="A947" t="s">
        <v>788</v>
      </c>
      <c r="B947">
        <v>50</v>
      </c>
      <c r="C947" t="s">
        <v>31</v>
      </c>
      <c r="D947">
        <v>1322</v>
      </c>
      <c r="E947" t="s">
        <v>38</v>
      </c>
      <c r="F947">
        <v>28</v>
      </c>
      <c r="G947">
        <v>3</v>
      </c>
      <c r="H947" t="s">
        <v>33</v>
      </c>
      <c r="I947">
        <v>4</v>
      </c>
      <c r="J947" t="s">
        <v>34</v>
      </c>
      <c r="K947">
        <v>43</v>
      </c>
      <c r="L947">
        <v>3</v>
      </c>
      <c r="M947">
        <v>4</v>
      </c>
      <c r="N947" t="s">
        <v>50</v>
      </c>
      <c r="O947">
        <v>1</v>
      </c>
      <c r="P947" t="s">
        <v>41</v>
      </c>
      <c r="Q947">
        <v>16880</v>
      </c>
      <c r="R947">
        <v>22422</v>
      </c>
      <c r="S947">
        <v>4</v>
      </c>
      <c r="T947">
        <v>1</v>
      </c>
      <c r="U947" s="17">
        <v>0.11</v>
      </c>
      <c r="V947">
        <v>3</v>
      </c>
      <c r="W947">
        <v>2</v>
      </c>
      <c r="X947">
        <v>0</v>
      </c>
      <c r="Y947">
        <v>25</v>
      </c>
      <c r="Z947">
        <v>2</v>
      </c>
      <c r="AA947">
        <v>3</v>
      </c>
      <c r="AB947">
        <v>3</v>
      </c>
      <c r="AC947">
        <v>2</v>
      </c>
      <c r="AD947">
        <v>1</v>
      </c>
      <c r="AE947">
        <v>2</v>
      </c>
      <c r="AF947">
        <v>0</v>
      </c>
      <c r="AG947">
        <f>IF(tbl_HR_Data[[#This Row],[Gender]]="Male",1,0)</f>
        <v>0</v>
      </c>
      <c r="AH947" cm="1">
        <f t="array" ref="AH947">_xlfn.SWITCH(tbl_HR_Data[[#This Row],[BusinessTravel]], "Non-Travel", 0, "Travel_Rarely", 1, "Travel_Frequently", 2)</f>
        <v>1</v>
      </c>
      <c r="AI947" cm="1">
        <f t="array" ref="AI947">_xlfn.SWITCH(tbl_HR_Data[[#This Row],[MaritalStatus]],"Single",0,"Married",1,"Divorced",2)</f>
        <v>1</v>
      </c>
      <c r="AJ947">
        <f>IF(tbl_HR_Data[[#This Row],[OverTime]]=1,1,0)</f>
        <v>1</v>
      </c>
      <c r="AK947">
        <f>IF(tbl_HR_Data[[#This Row],[DistanceFromHome]]&gt;15,1,0)</f>
        <v>1</v>
      </c>
      <c r="AL947">
        <f>IF(tbl_HR_Data[[#This Row],[JobSatisfaction]]&lt;=2,1,0)</f>
        <v>1</v>
      </c>
      <c r="AM947">
        <f>IF(tbl_HR_Data[[#This Row],[MonthlyIncome]]&lt;$AT$2,1,0)</f>
        <v>0</v>
      </c>
      <c r="AN947">
        <f>IF(tbl_HR_Data[[#This Row],[Travel_Code]]=2,1,0)</f>
        <v>0</v>
      </c>
      <c r="AO947">
        <f>(tbl_HR_Data[[#This Row],[Flag_OT]] * Logic_Parameters!$B$2) +
 (tbl_HR_Data[[#This Row],[Flag_Travel]] * Logic_Parameters!$B$3) +
 (tbl_HR_Data[[#This Row],[Flag_Satisfaction]] * Logic_Parameters!$B$4) +
 (tbl_HR_Data[[#This Row],[Flag_Distance]]* Logic_Parameters!$B$5) +
 (tbl_HR_Data[[#This Row],[Flag_Income]] * Logic_Parameters!$B$6)</f>
        <v>17.370639825853509</v>
      </c>
      <c r="AP947" s="15">
        <f>tbl_HR_Data[[#This Row],[Risk_Score_Raw]] / SUM(Logic_Parameters!$B$2:$B$6)</f>
        <v>0.59846219759007979</v>
      </c>
      <c r="AQ947" s="16" t="str" cm="1">
        <f t="array" ref="AQ947">_xlfn.IFS(tbl_HR_Data[[#This Row],[Attrition_Risk_Percentage]] &gt;= 0.75, "Critical",tbl_HR_Data[ [#This Row],[Attrition_Risk_Percentage] ]&gt;= 0.5, "High",tbl_HR_Data[[#This Row],[Attrition_Risk_Percentage]] &gt;= 0.25, "Medium",TRUE, "Low")</f>
        <v>High</v>
      </c>
      <c r="AR947" s="16" cm="1">
        <f t="array" ref="AR947">IFERROR(_xlfn.IFS(tbl_HR_Data[[#This Row],[Risk_Category]]="Critical",tbl_HR_Data[[#This Row],[MonthlyIncome]]*1.5,tbl_HR_Data[[#This Row],[Risk_Category]]="High",tbl_HR_Data[[#This Row],[MonthlyIncome]]*1.5),0)</f>
        <v>25320</v>
      </c>
    </row>
    <row r="948" spans="1:44" x14ac:dyDescent="0.35">
      <c r="A948" t="s">
        <v>301</v>
      </c>
      <c r="B948">
        <v>40</v>
      </c>
      <c r="C948" t="s">
        <v>31</v>
      </c>
      <c r="D948">
        <v>299</v>
      </c>
      <c r="E948" t="s">
        <v>32</v>
      </c>
      <c r="F948">
        <v>25</v>
      </c>
      <c r="G948">
        <v>4</v>
      </c>
      <c r="H948" t="s">
        <v>51</v>
      </c>
      <c r="I948">
        <v>4</v>
      </c>
      <c r="J948" t="s">
        <v>39</v>
      </c>
      <c r="K948">
        <v>57</v>
      </c>
      <c r="L948">
        <v>2</v>
      </c>
      <c r="M948">
        <v>3</v>
      </c>
      <c r="N948" t="s">
        <v>35</v>
      </c>
      <c r="O948">
        <v>2</v>
      </c>
      <c r="P948" t="s">
        <v>36</v>
      </c>
      <c r="Q948">
        <v>9094</v>
      </c>
      <c r="R948">
        <v>17235</v>
      </c>
      <c r="S948">
        <v>2</v>
      </c>
      <c r="T948">
        <v>1</v>
      </c>
      <c r="U948" s="17">
        <v>0.12</v>
      </c>
      <c r="V948">
        <v>3</v>
      </c>
      <c r="W948">
        <v>3</v>
      </c>
      <c r="X948">
        <v>0</v>
      </c>
      <c r="Y948">
        <v>9</v>
      </c>
      <c r="Z948">
        <v>2</v>
      </c>
      <c r="AA948">
        <v>3</v>
      </c>
      <c r="AB948">
        <v>5</v>
      </c>
      <c r="AC948">
        <v>4</v>
      </c>
      <c r="AD948">
        <v>1</v>
      </c>
      <c r="AE948">
        <v>0</v>
      </c>
      <c r="AF948">
        <v>1</v>
      </c>
      <c r="AG948">
        <f>IF(tbl_HR_Data[[#This Row],[Gender]]="Male",1,0)</f>
        <v>1</v>
      </c>
      <c r="AH948" cm="1">
        <f t="array" ref="AH948">_xlfn.SWITCH(tbl_HR_Data[[#This Row],[BusinessTravel]], "Non-Travel", 0, "Travel_Rarely", 1, "Travel_Frequently", 2)</f>
        <v>1</v>
      </c>
      <c r="AI948" cm="1">
        <f t="array" ref="AI948">_xlfn.SWITCH(tbl_HR_Data[[#This Row],[MaritalStatus]],"Single",0,"Married",1,"Divorced",2)</f>
        <v>0</v>
      </c>
      <c r="AJ948">
        <f>IF(tbl_HR_Data[[#This Row],[OverTime]]=1,1,0)</f>
        <v>1</v>
      </c>
      <c r="AK948">
        <f>IF(tbl_HR_Data[[#This Row],[DistanceFromHome]]&gt;15,1,0)</f>
        <v>1</v>
      </c>
      <c r="AL948">
        <f>IF(tbl_HR_Data[[#This Row],[JobSatisfaction]]&lt;=2,1,0)</f>
        <v>1</v>
      </c>
      <c r="AM948">
        <f>IF(tbl_HR_Data[[#This Row],[MonthlyIncome]]&lt;$AT$2,1,0)</f>
        <v>0</v>
      </c>
      <c r="AN948">
        <f>IF(tbl_HR_Data[[#This Row],[Travel_Code]]=2,1,0)</f>
        <v>0</v>
      </c>
      <c r="AO948">
        <f>(tbl_HR_Data[[#This Row],[Flag_OT]] * Logic_Parameters!$B$2) +
 (tbl_HR_Data[[#This Row],[Flag_Travel]] * Logic_Parameters!$B$3) +
 (tbl_HR_Data[[#This Row],[Flag_Satisfaction]] * Logic_Parameters!$B$4) +
 (tbl_HR_Data[[#This Row],[Flag_Distance]]* Logic_Parameters!$B$5) +
 (tbl_HR_Data[[#This Row],[Flag_Income]] * Logic_Parameters!$B$6)</f>
        <v>17.370639825853509</v>
      </c>
      <c r="AP948" s="15">
        <f>tbl_HR_Data[[#This Row],[Risk_Score_Raw]] / SUM(Logic_Parameters!$B$2:$B$6)</f>
        <v>0.59846219759007979</v>
      </c>
      <c r="AQ948" s="16" t="str" cm="1">
        <f t="array" ref="AQ948">_xlfn.IFS(tbl_HR_Data[[#This Row],[Attrition_Risk_Percentage]] &gt;= 0.75, "Critical",tbl_HR_Data[ [#This Row],[Attrition_Risk_Percentage] ]&gt;= 0.5, "High",tbl_HR_Data[[#This Row],[Attrition_Risk_Percentage]] &gt;= 0.25, "Medium",TRUE, "Low")</f>
        <v>High</v>
      </c>
      <c r="AR948" s="16" cm="1">
        <f t="array" ref="AR948">IFERROR(_xlfn.IFS(tbl_HR_Data[[#This Row],[Risk_Category]]="Critical",tbl_HR_Data[[#This Row],[MonthlyIncome]]*1.5,tbl_HR_Data[[#This Row],[Risk_Category]]="High",tbl_HR_Data[[#This Row],[MonthlyIncome]]*1.5),0)</f>
        <v>13641</v>
      </c>
    </row>
    <row r="949" spans="1:44" x14ac:dyDescent="0.35">
      <c r="A949" t="s">
        <v>624</v>
      </c>
      <c r="B949">
        <v>52</v>
      </c>
      <c r="C949" t="s">
        <v>31</v>
      </c>
      <c r="D949">
        <v>1030</v>
      </c>
      <c r="E949" t="s">
        <v>32</v>
      </c>
      <c r="F949">
        <v>5</v>
      </c>
      <c r="G949">
        <v>3</v>
      </c>
      <c r="H949" t="s">
        <v>33</v>
      </c>
      <c r="I949">
        <v>2</v>
      </c>
      <c r="J949" t="s">
        <v>39</v>
      </c>
      <c r="K949">
        <v>64</v>
      </c>
      <c r="L949">
        <v>3</v>
      </c>
      <c r="M949">
        <v>3</v>
      </c>
      <c r="N949" t="s">
        <v>35</v>
      </c>
      <c r="O949">
        <v>2</v>
      </c>
      <c r="P949" t="s">
        <v>36</v>
      </c>
      <c r="Q949">
        <v>8446</v>
      </c>
      <c r="R949">
        <v>21534</v>
      </c>
      <c r="S949">
        <v>9</v>
      </c>
      <c r="T949">
        <v>1</v>
      </c>
      <c r="U949" s="17">
        <v>0.19</v>
      </c>
      <c r="V949">
        <v>3</v>
      </c>
      <c r="W949">
        <v>3</v>
      </c>
      <c r="X949">
        <v>0</v>
      </c>
      <c r="Y949">
        <v>10</v>
      </c>
      <c r="Z949">
        <v>2</v>
      </c>
      <c r="AA949">
        <v>2</v>
      </c>
      <c r="AB949">
        <v>8</v>
      </c>
      <c r="AC949">
        <v>7</v>
      </c>
      <c r="AD949">
        <v>7</v>
      </c>
      <c r="AE949">
        <v>7</v>
      </c>
      <c r="AF949">
        <v>1</v>
      </c>
      <c r="AG949">
        <f>IF(tbl_HR_Data[[#This Row],[Gender]]="Male",1,0)</f>
        <v>1</v>
      </c>
      <c r="AH949" cm="1">
        <f t="array" ref="AH949">_xlfn.SWITCH(tbl_HR_Data[[#This Row],[BusinessTravel]], "Non-Travel", 0, "Travel_Rarely", 1, "Travel_Frequently", 2)</f>
        <v>1</v>
      </c>
      <c r="AI949" cm="1">
        <f t="array" ref="AI949">_xlfn.SWITCH(tbl_HR_Data[[#This Row],[MaritalStatus]],"Single",0,"Married",1,"Divorced",2)</f>
        <v>0</v>
      </c>
      <c r="AJ949">
        <f>IF(tbl_HR_Data[[#This Row],[OverTime]]=1,1,0)</f>
        <v>1</v>
      </c>
      <c r="AK949">
        <f>IF(tbl_HR_Data[[#This Row],[DistanceFromHome]]&gt;15,1,0)</f>
        <v>0</v>
      </c>
      <c r="AL949">
        <f>IF(tbl_HR_Data[[#This Row],[JobSatisfaction]]&lt;=2,1,0)</f>
        <v>1</v>
      </c>
      <c r="AM949">
        <f>IF(tbl_HR_Data[[#This Row],[MonthlyIncome]]&lt;$AT$2,1,0)</f>
        <v>0</v>
      </c>
      <c r="AN949">
        <f>IF(tbl_HR_Data[[#This Row],[Travel_Code]]=2,1,0)</f>
        <v>0</v>
      </c>
      <c r="AO949">
        <f>(tbl_HR_Data[[#This Row],[Flag_OT]] * Logic_Parameters!$B$2) +
 (tbl_HR_Data[[#This Row],[Flag_Travel]] * Logic_Parameters!$B$3) +
 (tbl_HR_Data[[#This Row],[Flag_Satisfaction]] * Logic_Parameters!$B$4) +
 (tbl_HR_Data[[#This Row],[Flag_Distance]]* Logic_Parameters!$B$5) +
 (tbl_HR_Data[[#This Row],[Flag_Income]] * Logic_Parameters!$B$6)</f>
        <v>14.204533129978131</v>
      </c>
      <c r="AP949" s="15">
        <f>tbl_HR_Data[[#This Row],[Risk_Score_Raw]] / SUM(Logic_Parameters!$B$2:$B$6)</f>
        <v>0.48938186491297625</v>
      </c>
      <c r="AQ949" s="16" t="str" cm="1">
        <f t="array" ref="AQ949">_xlfn.IFS(tbl_HR_Data[[#This Row],[Attrition_Risk_Percentage]] &gt;= 0.75, "Critical",tbl_HR_Data[ [#This Row],[Attrition_Risk_Percentage] ]&gt;= 0.5, "High",tbl_HR_Data[[#This Row],[Attrition_Risk_Percentage]] &gt;= 0.25, "Medium",TRUE, "Low")</f>
        <v>Medium</v>
      </c>
      <c r="AR949" s="16" cm="1">
        <f t="array" ref="AR949">IFERROR(_xlfn.IFS(tbl_HR_Data[[#This Row],[Risk_Category]]="Critical",tbl_HR_Data[[#This Row],[MonthlyIncome]]*1.5,tbl_HR_Data[[#This Row],[Risk_Category]]="High",tbl_HR_Data[[#This Row],[MonthlyIncome]]*1.5),0)</f>
        <v>0</v>
      </c>
    </row>
    <row r="950" spans="1:44" x14ac:dyDescent="0.35">
      <c r="A950" t="s">
        <v>1343</v>
      </c>
      <c r="B950">
        <v>30</v>
      </c>
      <c r="C950" t="s">
        <v>31</v>
      </c>
      <c r="D950">
        <v>634</v>
      </c>
      <c r="E950" t="s">
        <v>38</v>
      </c>
      <c r="F950">
        <v>17</v>
      </c>
      <c r="G950">
        <v>4</v>
      </c>
      <c r="H950" t="s">
        <v>44</v>
      </c>
      <c r="I950">
        <v>2</v>
      </c>
      <c r="J950" t="s">
        <v>34</v>
      </c>
      <c r="K950">
        <v>95</v>
      </c>
      <c r="L950">
        <v>3</v>
      </c>
      <c r="M950">
        <v>3</v>
      </c>
      <c r="N950" t="s">
        <v>48</v>
      </c>
      <c r="O950">
        <v>1</v>
      </c>
      <c r="P950" t="s">
        <v>41</v>
      </c>
      <c r="Q950">
        <v>11916</v>
      </c>
      <c r="R950">
        <v>25927</v>
      </c>
      <c r="S950">
        <v>1</v>
      </c>
      <c r="T950">
        <v>1</v>
      </c>
      <c r="U950" s="17">
        <v>0.23</v>
      </c>
      <c r="V950">
        <v>4</v>
      </c>
      <c r="W950">
        <v>4</v>
      </c>
      <c r="X950">
        <v>2</v>
      </c>
      <c r="Y950">
        <v>9</v>
      </c>
      <c r="Z950">
        <v>2</v>
      </c>
      <c r="AA950">
        <v>3</v>
      </c>
      <c r="AB950">
        <v>9</v>
      </c>
      <c r="AC950">
        <v>1</v>
      </c>
      <c r="AD950">
        <v>0</v>
      </c>
      <c r="AE950">
        <v>8</v>
      </c>
      <c r="AF950">
        <v>0</v>
      </c>
      <c r="AG950">
        <f>IF(tbl_HR_Data[[#This Row],[Gender]]="Male",1,0)</f>
        <v>0</v>
      </c>
      <c r="AH950" cm="1">
        <f t="array" ref="AH950">_xlfn.SWITCH(tbl_HR_Data[[#This Row],[BusinessTravel]], "Non-Travel", 0, "Travel_Rarely", 1, "Travel_Frequently", 2)</f>
        <v>1</v>
      </c>
      <c r="AI950" cm="1">
        <f t="array" ref="AI950">_xlfn.SWITCH(tbl_HR_Data[[#This Row],[MaritalStatus]],"Single",0,"Married",1,"Divorced",2)</f>
        <v>1</v>
      </c>
      <c r="AJ950">
        <f>IF(tbl_HR_Data[[#This Row],[OverTime]]=1,1,0)</f>
        <v>1</v>
      </c>
      <c r="AK950">
        <f>IF(tbl_HR_Data[[#This Row],[DistanceFromHome]]&gt;15,1,0)</f>
        <v>1</v>
      </c>
      <c r="AL950">
        <f>IF(tbl_HR_Data[[#This Row],[JobSatisfaction]]&lt;=2,1,0)</f>
        <v>1</v>
      </c>
      <c r="AM950">
        <f>IF(tbl_HR_Data[[#This Row],[MonthlyIncome]]&lt;$AT$2,1,0)</f>
        <v>0</v>
      </c>
      <c r="AN950">
        <f>IF(tbl_HR_Data[[#This Row],[Travel_Code]]=2,1,0)</f>
        <v>0</v>
      </c>
      <c r="AO950">
        <f>(tbl_HR_Data[[#This Row],[Flag_OT]] * Logic_Parameters!$B$2) +
 (tbl_HR_Data[[#This Row],[Flag_Travel]] * Logic_Parameters!$B$3) +
 (tbl_HR_Data[[#This Row],[Flag_Satisfaction]] * Logic_Parameters!$B$4) +
 (tbl_HR_Data[[#This Row],[Flag_Distance]]* Logic_Parameters!$B$5) +
 (tbl_HR_Data[[#This Row],[Flag_Income]] * Logic_Parameters!$B$6)</f>
        <v>17.370639825853509</v>
      </c>
      <c r="AP950" s="15">
        <f>tbl_HR_Data[[#This Row],[Risk_Score_Raw]] / SUM(Logic_Parameters!$B$2:$B$6)</f>
        <v>0.59846219759007979</v>
      </c>
      <c r="AQ950" s="16" t="str" cm="1">
        <f t="array" ref="AQ950">_xlfn.IFS(tbl_HR_Data[[#This Row],[Attrition_Risk_Percentage]] &gt;= 0.75, "Critical",tbl_HR_Data[ [#This Row],[Attrition_Risk_Percentage] ]&gt;= 0.5, "High",tbl_HR_Data[[#This Row],[Attrition_Risk_Percentage]] &gt;= 0.25, "Medium",TRUE, "Low")</f>
        <v>High</v>
      </c>
      <c r="AR950" s="16" cm="1">
        <f t="array" ref="AR950">IFERROR(_xlfn.IFS(tbl_HR_Data[[#This Row],[Risk_Category]]="Critical",tbl_HR_Data[[#This Row],[MonthlyIncome]]*1.5,tbl_HR_Data[[#This Row],[Risk_Category]]="High",tbl_HR_Data[[#This Row],[MonthlyIncome]]*1.5),0)</f>
        <v>17874</v>
      </c>
    </row>
    <row r="951" spans="1:44" x14ac:dyDescent="0.35">
      <c r="A951" t="s">
        <v>472</v>
      </c>
      <c r="B951">
        <v>39</v>
      </c>
      <c r="C951" t="s">
        <v>31</v>
      </c>
      <c r="D951">
        <v>524</v>
      </c>
      <c r="E951" t="s">
        <v>38</v>
      </c>
      <c r="F951">
        <v>18</v>
      </c>
      <c r="G951">
        <v>2</v>
      </c>
      <c r="H951" t="s">
        <v>33</v>
      </c>
      <c r="I951">
        <v>1</v>
      </c>
      <c r="J951" t="s">
        <v>39</v>
      </c>
      <c r="K951">
        <v>32</v>
      </c>
      <c r="L951">
        <v>3</v>
      </c>
      <c r="M951">
        <v>2</v>
      </c>
      <c r="N951" t="s">
        <v>46</v>
      </c>
      <c r="O951">
        <v>3</v>
      </c>
      <c r="P951" t="s">
        <v>36</v>
      </c>
      <c r="Q951">
        <v>4534</v>
      </c>
      <c r="R951">
        <v>13352</v>
      </c>
      <c r="S951">
        <v>0</v>
      </c>
      <c r="T951">
        <v>0</v>
      </c>
      <c r="U951" s="17">
        <v>0.11</v>
      </c>
      <c r="V951">
        <v>3</v>
      </c>
      <c r="W951">
        <v>1</v>
      </c>
      <c r="X951">
        <v>0</v>
      </c>
      <c r="Y951">
        <v>9</v>
      </c>
      <c r="Z951">
        <v>6</v>
      </c>
      <c r="AA951">
        <v>3</v>
      </c>
      <c r="AB951">
        <v>8</v>
      </c>
      <c r="AC951">
        <v>7</v>
      </c>
      <c r="AD951">
        <v>1</v>
      </c>
      <c r="AE951">
        <v>7</v>
      </c>
      <c r="AF951">
        <v>0</v>
      </c>
      <c r="AG951">
        <f>IF(tbl_HR_Data[[#This Row],[Gender]]="Male",1,0)</f>
        <v>1</v>
      </c>
      <c r="AH951" cm="1">
        <f t="array" ref="AH951">_xlfn.SWITCH(tbl_HR_Data[[#This Row],[BusinessTravel]], "Non-Travel", 0, "Travel_Rarely", 1, "Travel_Frequently", 2)</f>
        <v>1</v>
      </c>
      <c r="AI951" cm="1">
        <f t="array" ref="AI951">_xlfn.SWITCH(tbl_HR_Data[[#This Row],[MaritalStatus]],"Single",0,"Married",1,"Divorced",2)</f>
        <v>0</v>
      </c>
      <c r="AJ951">
        <f>IF(tbl_HR_Data[[#This Row],[OverTime]]=1,1,0)</f>
        <v>0</v>
      </c>
      <c r="AK951">
        <f>IF(tbl_HR_Data[[#This Row],[DistanceFromHome]]&gt;15,1,0)</f>
        <v>1</v>
      </c>
      <c r="AL951">
        <f>IF(tbl_HR_Data[[#This Row],[JobSatisfaction]]&lt;=2,1,0)</f>
        <v>0</v>
      </c>
      <c r="AM951">
        <f>IF(tbl_HR_Data[[#This Row],[MonthlyIncome]]&lt;$AT$2,1,0)</f>
        <v>1</v>
      </c>
      <c r="AN951">
        <f>IF(tbl_HR_Data[[#This Row],[Travel_Code]]=2,1,0)</f>
        <v>0</v>
      </c>
      <c r="AO951">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951" s="15">
        <f>tbl_HR_Data[[#This Row],[Risk_Score_Raw]] / SUM(Logic_Parameters!$B$2:$B$6)</f>
        <v>0.33282973125692844</v>
      </c>
      <c r="AQ951" s="16" t="str" cm="1">
        <f t="array" ref="AQ951">_xlfn.IFS(tbl_HR_Data[[#This Row],[Attrition_Risk_Percentage]] &gt;= 0.75, "Critical",tbl_HR_Data[ [#This Row],[Attrition_Risk_Percentage] ]&gt;= 0.5, "High",tbl_HR_Data[[#This Row],[Attrition_Risk_Percentage]] &gt;= 0.25, "Medium",TRUE, "Low")</f>
        <v>Medium</v>
      </c>
      <c r="AR951" s="16" cm="1">
        <f t="array" ref="AR951">IFERROR(_xlfn.IFS(tbl_HR_Data[[#This Row],[Risk_Category]]="Critical",tbl_HR_Data[[#This Row],[MonthlyIncome]]*1.5,tbl_HR_Data[[#This Row],[Risk_Category]]="High",tbl_HR_Data[[#This Row],[MonthlyIncome]]*1.5),0)</f>
        <v>0</v>
      </c>
    </row>
    <row r="952" spans="1:44" x14ac:dyDescent="0.35">
      <c r="A952" t="s">
        <v>1185</v>
      </c>
      <c r="B952">
        <v>31</v>
      </c>
      <c r="C952" t="s">
        <v>1525</v>
      </c>
      <c r="D952">
        <v>587</v>
      </c>
      <c r="E952" t="s">
        <v>32</v>
      </c>
      <c r="F952">
        <v>2</v>
      </c>
      <c r="G952">
        <v>4</v>
      </c>
      <c r="H952" t="s">
        <v>33</v>
      </c>
      <c r="I952">
        <v>4</v>
      </c>
      <c r="J952" t="s">
        <v>34</v>
      </c>
      <c r="K952">
        <v>57</v>
      </c>
      <c r="L952">
        <v>3</v>
      </c>
      <c r="M952">
        <v>3</v>
      </c>
      <c r="N952" t="s">
        <v>35</v>
      </c>
      <c r="O952">
        <v>3</v>
      </c>
      <c r="P952" t="s">
        <v>45</v>
      </c>
      <c r="Q952">
        <v>9852</v>
      </c>
      <c r="R952">
        <v>8935</v>
      </c>
      <c r="S952">
        <v>1</v>
      </c>
      <c r="T952">
        <v>1</v>
      </c>
      <c r="U952" s="17">
        <v>0.19</v>
      </c>
      <c r="V952">
        <v>3</v>
      </c>
      <c r="W952">
        <v>1</v>
      </c>
      <c r="X952">
        <v>1</v>
      </c>
      <c r="Y952">
        <v>10</v>
      </c>
      <c r="Z952">
        <v>5</v>
      </c>
      <c r="AA952">
        <v>2</v>
      </c>
      <c r="AB952">
        <v>10</v>
      </c>
      <c r="AC952">
        <v>8</v>
      </c>
      <c r="AD952">
        <v>9</v>
      </c>
      <c r="AE952">
        <v>6</v>
      </c>
      <c r="AF952">
        <v>0</v>
      </c>
      <c r="AG952">
        <f>IF(tbl_HR_Data[[#This Row],[Gender]]="Male",1,0)</f>
        <v>0</v>
      </c>
      <c r="AH952" cm="1">
        <f t="array" ref="AH952">_xlfn.SWITCH(tbl_HR_Data[[#This Row],[BusinessTravel]], "Non-Travel", 0, "Travel_Rarely", 1, "Travel_Frequently", 2)</f>
        <v>0</v>
      </c>
      <c r="AI952" cm="1">
        <f t="array" ref="AI952">_xlfn.SWITCH(tbl_HR_Data[[#This Row],[MaritalStatus]],"Single",0,"Married",1,"Divorced",2)</f>
        <v>2</v>
      </c>
      <c r="AJ952">
        <f>IF(tbl_HR_Data[[#This Row],[OverTime]]=1,1,0)</f>
        <v>1</v>
      </c>
      <c r="AK952">
        <f>IF(tbl_HR_Data[[#This Row],[DistanceFromHome]]&gt;15,1,0)</f>
        <v>0</v>
      </c>
      <c r="AL952">
        <f>IF(tbl_HR_Data[[#This Row],[JobSatisfaction]]&lt;=2,1,0)</f>
        <v>0</v>
      </c>
      <c r="AM952">
        <f>IF(tbl_HR_Data[[#This Row],[MonthlyIncome]]&lt;$AT$2,1,0)</f>
        <v>0</v>
      </c>
      <c r="AN952">
        <f>IF(tbl_HR_Data[[#This Row],[Travel_Code]]=2,1,0)</f>
        <v>0</v>
      </c>
      <c r="AO952">
        <f>(tbl_HR_Data[[#This Row],[Flag_OT]] * Logic_Parameters!$B$2) +
 (tbl_HR_Data[[#This Row],[Flag_Travel]] * Logic_Parameters!$B$3) +
 (tbl_HR_Data[[#This Row],[Flag_Satisfaction]] * Logic_Parameters!$B$4) +
 (tbl_HR_Data[[#This Row],[Flag_Distance]]* Logic_Parameters!$B$5) +
 (tbl_HR_Data[[#This Row],[Flag_Income]] * Logic_Parameters!$B$6)</f>
        <v>10</v>
      </c>
      <c r="AP952" s="15">
        <f>tbl_HR_Data[[#This Row],[Risk_Score_Raw]] / SUM(Logic_Parameters!$B$2:$B$6)</f>
        <v>0.3445251318258073</v>
      </c>
      <c r="AQ952" s="16" t="str" cm="1">
        <f t="array" ref="AQ952">_xlfn.IFS(tbl_HR_Data[[#This Row],[Attrition_Risk_Percentage]] &gt;= 0.75, "Critical",tbl_HR_Data[ [#This Row],[Attrition_Risk_Percentage] ]&gt;= 0.5, "High",tbl_HR_Data[[#This Row],[Attrition_Risk_Percentage]] &gt;= 0.25, "Medium",TRUE, "Low")</f>
        <v>Medium</v>
      </c>
      <c r="AR952" s="16" cm="1">
        <f t="array" ref="AR952">IFERROR(_xlfn.IFS(tbl_HR_Data[[#This Row],[Risk_Category]]="Critical",tbl_HR_Data[[#This Row],[MonthlyIncome]]*1.5,tbl_HR_Data[[#This Row],[Risk_Category]]="High",tbl_HR_Data[[#This Row],[MonthlyIncome]]*1.5),0)</f>
        <v>0</v>
      </c>
    </row>
    <row r="953" spans="1:44" x14ac:dyDescent="0.35">
      <c r="A953" t="s">
        <v>137</v>
      </c>
      <c r="B953">
        <v>41</v>
      </c>
      <c r="C953" t="s">
        <v>1525</v>
      </c>
      <c r="D953">
        <v>256</v>
      </c>
      <c r="E953" t="s">
        <v>32</v>
      </c>
      <c r="F953">
        <v>10</v>
      </c>
      <c r="G953">
        <v>2</v>
      </c>
      <c r="H953" t="s">
        <v>44</v>
      </c>
      <c r="I953">
        <v>3</v>
      </c>
      <c r="J953" t="s">
        <v>39</v>
      </c>
      <c r="K953">
        <v>40</v>
      </c>
      <c r="L953">
        <v>1</v>
      </c>
      <c r="M953">
        <v>2</v>
      </c>
      <c r="N953" t="s">
        <v>35</v>
      </c>
      <c r="O953">
        <v>2</v>
      </c>
      <c r="P953" t="s">
        <v>36</v>
      </c>
      <c r="Q953">
        <v>6151</v>
      </c>
      <c r="R953">
        <v>22074</v>
      </c>
      <c r="S953">
        <v>1</v>
      </c>
      <c r="T953">
        <v>0</v>
      </c>
      <c r="U953" s="17">
        <v>0.13</v>
      </c>
      <c r="V953">
        <v>3</v>
      </c>
      <c r="W953">
        <v>1</v>
      </c>
      <c r="X953">
        <v>0</v>
      </c>
      <c r="Y953">
        <v>19</v>
      </c>
      <c r="Z953">
        <v>4</v>
      </c>
      <c r="AA953">
        <v>3</v>
      </c>
      <c r="AB953">
        <v>19</v>
      </c>
      <c r="AC953">
        <v>2</v>
      </c>
      <c r="AD953">
        <v>11</v>
      </c>
      <c r="AE953">
        <v>9</v>
      </c>
      <c r="AF953">
        <v>0</v>
      </c>
      <c r="AG953">
        <f>IF(tbl_HR_Data[[#This Row],[Gender]]="Male",1,0)</f>
        <v>1</v>
      </c>
      <c r="AH953" cm="1">
        <f t="array" ref="AH953">_xlfn.SWITCH(tbl_HR_Data[[#This Row],[BusinessTravel]], "Non-Travel", 0, "Travel_Rarely", 1, "Travel_Frequently", 2)</f>
        <v>0</v>
      </c>
      <c r="AI953" cm="1">
        <f t="array" ref="AI953">_xlfn.SWITCH(tbl_HR_Data[[#This Row],[MaritalStatus]],"Single",0,"Married",1,"Divorced",2)</f>
        <v>0</v>
      </c>
      <c r="AJ953">
        <f>IF(tbl_HR_Data[[#This Row],[OverTime]]=1,1,0)</f>
        <v>0</v>
      </c>
      <c r="AK953">
        <f>IF(tbl_HR_Data[[#This Row],[DistanceFromHome]]&gt;15,1,0)</f>
        <v>0</v>
      </c>
      <c r="AL953">
        <f>IF(tbl_HR_Data[[#This Row],[JobSatisfaction]]&lt;=2,1,0)</f>
        <v>1</v>
      </c>
      <c r="AM953">
        <f>IF(tbl_HR_Data[[#This Row],[MonthlyIncome]]&lt;$AT$2,1,0)</f>
        <v>0</v>
      </c>
      <c r="AN953">
        <f>IF(tbl_HR_Data[[#This Row],[Travel_Code]]=2,1,0)</f>
        <v>0</v>
      </c>
      <c r="AO953">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953" s="15">
        <f>tbl_HR_Data[[#This Row],[Risk_Score_Raw]] / SUM(Logic_Parameters!$B$2:$B$6)</f>
        <v>0.14485673308716898</v>
      </c>
      <c r="AQ953" s="16" t="str" cm="1">
        <f t="array" ref="AQ953">_xlfn.IFS(tbl_HR_Data[[#This Row],[Attrition_Risk_Percentage]] &gt;= 0.75, "Critical",tbl_HR_Data[ [#This Row],[Attrition_Risk_Percentage] ]&gt;= 0.5, "High",tbl_HR_Data[[#This Row],[Attrition_Risk_Percentage]] &gt;= 0.25, "Medium",TRUE, "Low")</f>
        <v>Low</v>
      </c>
      <c r="AR953" s="16" cm="1">
        <f t="array" ref="AR953">IFERROR(_xlfn.IFS(tbl_HR_Data[[#This Row],[Risk_Category]]="Critical",tbl_HR_Data[[#This Row],[MonthlyIncome]]*1.5,tbl_HR_Data[[#This Row],[Risk_Category]]="High",tbl_HR_Data[[#This Row],[MonthlyIncome]]*1.5),0)</f>
        <v>0</v>
      </c>
    </row>
    <row r="954" spans="1:44" x14ac:dyDescent="0.35">
      <c r="A954" t="s">
        <v>218</v>
      </c>
      <c r="B954">
        <v>31</v>
      </c>
      <c r="C954" t="s">
        <v>37</v>
      </c>
      <c r="D954">
        <v>1060</v>
      </c>
      <c r="E954" t="s">
        <v>32</v>
      </c>
      <c r="F954">
        <v>1</v>
      </c>
      <c r="G954">
        <v>3</v>
      </c>
      <c r="H954" t="s">
        <v>33</v>
      </c>
      <c r="I954">
        <v>4</v>
      </c>
      <c r="J954" t="s">
        <v>34</v>
      </c>
      <c r="K954">
        <v>54</v>
      </c>
      <c r="L954">
        <v>3</v>
      </c>
      <c r="M954">
        <v>1</v>
      </c>
      <c r="N954" t="s">
        <v>49</v>
      </c>
      <c r="O954">
        <v>2</v>
      </c>
      <c r="P954" t="s">
        <v>36</v>
      </c>
      <c r="Q954">
        <v>2302</v>
      </c>
      <c r="R954">
        <v>8319</v>
      </c>
      <c r="S954">
        <v>1</v>
      </c>
      <c r="T954">
        <v>1</v>
      </c>
      <c r="U954" s="17">
        <v>0.11</v>
      </c>
      <c r="V954">
        <v>3</v>
      </c>
      <c r="W954">
        <v>1</v>
      </c>
      <c r="X954">
        <v>0</v>
      </c>
      <c r="Y954">
        <v>3</v>
      </c>
      <c r="Z954">
        <v>2</v>
      </c>
      <c r="AA954">
        <v>4</v>
      </c>
      <c r="AB954">
        <v>3</v>
      </c>
      <c r="AC954">
        <v>2</v>
      </c>
      <c r="AD954">
        <v>2</v>
      </c>
      <c r="AE954">
        <v>2</v>
      </c>
      <c r="AF954">
        <v>1</v>
      </c>
      <c r="AG954">
        <f>IF(tbl_HR_Data[[#This Row],[Gender]]="Male",1,0)</f>
        <v>0</v>
      </c>
      <c r="AH954" cm="1">
        <f t="array" ref="AH954">_xlfn.SWITCH(tbl_HR_Data[[#This Row],[BusinessTravel]], "Non-Travel", 0, "Travel_Rarely", 1, "Travel_Frequently", 2)</f>
        <v>2</v>
      </c>
      <c r="AI954" cm="1">
        <f t="array" ref="AI954">_xlfn.SWITCH(tbl_HR_Data[[#This Row],[MaritalStatus]],"Single",0,"Married",1,"Divorced",2)</f>
        <v>0</v>
      </c>
      <c r="AJ954">
        <f>IF(tbl_HR_Data[[#This Row],[OverTime]]=1,1,0)</f>
        <v>1</v>
      </c>
      <c r="AK954">
        <f>IF(tbl_HR_Data[[#This Row],[DistanceFromHome]]&gt;15,1,0)</f>
        <v>0</v>
      </c>
      <c r="AL954">
        <f>IF(tbl_HR_Data[[#This Row],[JobSatisfaction]]&lt;=2,1,0)</f>
        <v>1</v>
      </c>
      <c r="AM954">
        <f>IF(tbl_HR_Data[[#This Row],[MonthlyIncome]]&lt;$AT$2,1,0)</f>
        <v>1</v>
      </c>
      <c r="AN954">
        <f>IF(tbl_HR_Data[[#This Row],[Travel_Code]]=2,1,0)</f>
        <v>1</v>
      </c>
      <c r="AO954">
        <f>(tbl_HR_Data[[#This Row],[Flag_OT]] * Logic_Parameters!$B$2) +
 (tbl_HR_Data[[#This Row],[Flag_Travel]] * Logic_Parameters!$B$3) +
 (tbl_HR_Data[[#This Row],[Flag_Satisfaction]] * Logic_Parameters!$B$4) +
 (tbl_HR_Data[[#This Row],[Flag_Distance]]* Logic_Parameters!$B$5) +
 (tbl_HR_Data[[#This Row],[Flag_Income]] * Logic_Parameters!$B$6)</f>
        <v>25.859352047889136</v>
      </c>
      <c r="AP954" s="15">
        <f>tbl_HR_Data[[#This Row],[Risk_Score_Raw]] / SUM(Logic_Parameters!$B$2:$B$6)</f>
        <v>0.8909196673228964</v>
      </c>
      <c r="AQ954" s="16" t="str" cm="1">
        <f t="array" ref="AQ954">_xlfn.IFS(tbl_HR_Data[[#This Row],[Attrition_Risk_Percentage]] &gt;= 0.75, "Critical",tbl_HR_Data[ [#This Row],[Attrition_Risk_Percentage] ]&gt;= 0.5, "High",tbl_HR_Data[[#This Row],[Attrition_Risk_Percentage]] &gt;= 0.25, "Medium",TRUE, "Low")</f>
        <v>Critical</v>
      </c>
      <c r="AR954" s="16" cm="1">
        <f t="array" ref="AR954">IFERROR(_xlfn.IFS(tbl_HR_Data[[#This Row],[Risk_Category]]="Critical",tbl_HR_Data[[#This Row],[MonthlyIncome]]*1.5,tbl_HR_Data[[#This Row],[Risk_Category]]="High",tbl_HR_Data[[#This Row],[MonthlyIncome]]*1.5),0)</f>
        <v>3453</v>
      </c>
    </row>
    <row r="955" spans="1:44" x14ac:dyDescent="0.35">
      <c r="A955" t="s">
        <v>1389</v>
      </c>
      <c r="B955">
        <v>44</v>
      </c>
      <c r="C955" t="s">
        <v>31</v>
      </c>
      <c r="D955">
        <v>935</v>
      </c>
      <c r="E955" t="s">
        <v>38</v>
      </c>
      <c r="F955">
        <v>3</v>
      </c>
      <c r="G955">
        <v>3</v>
      </c>
      <c r="H955" t="s">
        <v>33</v>
      </c>
      <c r="I955">
        <v>1</v>
      </c>
      <c r="J955" t="s">
        <v>39</v>
      </c>
      <c r="K955">
        <v>89</v>
      </c>
      <c r="L955">
        <v>3</v>
      </c>
      <c r="M955">
        <v>1</v>
      </c>
      <c r="N955" t="s">
        <v>43</v>
      </c>
      <c r="O955">
        <v>1</v>
      </c>
      <c r="P955" t="s">
        <v>41</v>
      </c>
      <c r="Q955">
        <v>2362</v>
      </c>
      <c r="R955">
        <v>14669</v>
      </c>
      <c r="S955">
        <v>4</v>
      </c>
      <c r="T955">
        <v>0</v>
      </c>
      <c r="U955" s="17">
        <v>0.12</v>
      </c>
      <c r="V955">
        <v>3</v>
      </c>
      <c r="W955">
        <v>3</v>
      </c>
      <c r="X955">
        <v>0</v>
      </c>
      <c r="Y955">
        <v>10</v>
      </c>
      <c r="Z955">
        <v>4</v>
      </c>
      <c r="AA955">
        <v>4</v>
      </c>
      <c r="AB955">
        <v>3</v>
      </c>
      <c r="AC955">
        <v>2</v>
      </c>
      <c r="AD955">
        <v>1</v>
      </c>
      <c r="AE955">
        <v>2</v>
      </c>
      <c r="AF955">
        <v>1</v>
      </c>
      <c r="AG955">
        <f>IF(tbl_HR_Data[[#This Row],[Gender]]="Male",1,0)</f>
        <v>1</v>
      </c>
      <c r="AH955" cm="1">
        <f t="array" ref="AH955">_xlfn.SWITCH(tbl_HR_Data[[#This Row],[BusinessTravel]], "Non-Travel", 0, "Travel_Rarely", 1, "Travel_Frequently", 2)</f>
        <v>1</v>
      </c>
      <c r="AI955" cm="1">
        <f t="array" ref="AI955">_xlfn.SWITCH(tbl_HR_Data[[#This Row],[MaritalStatus]],"Single",0,"Married",1,"Divorced",2)</f>
        <v>1</v>
      </c>
      <c r="AJ955">
        <f>IF(tbl_HR_Data[[#This Row],[OverTime]]=1,1,0)</f>
        <v>0</v>
      </c>
      <c r="AK955">
        <f>IF(tbl_HR_Data[[#This Row],[DistanceFromHome]]&gt;15,1,0)</f>
        <v>0</v>
      </c>
      <c r="AL955">
        <f>IF(tbl_HR_Data[[#This Row],[JobSatisfaction]]&lt;=2,1,0)</f>
        <v>1</v>
      </c>
      <c r="AM955">
        <f>IF(tbl_HR_Data[[#This Row],[MonthlyIncome]]&lt;$AT$2,1,0)</f>
        <v>1</v>
      </c>
      <c r="AN955">
        <f>IF(tbl_HR_Data[[#This Row],[Travel_Code]]=2,1,0)</f>
        <v>0</v>
      </c>
      <c r="AO955">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955" s="15">
        <f>tbl_HR_Data[[#This Row],[Risk_Score_Raw]] / SUM(Logic_Parameters!$B$2:$B$6)</f>
        <v>0.3686061316669938</v>
      </c>
      <c r="AQ955" s="16" t="str" cm="1">
        <f t="array" ref="AQ955">_xlfn.IFS(tbl_HR_Data[[#This Row],[Attrition_Risk_Percentage]] &gt;= 0.75, "Critical",tbl_HR_Data[ [#This Row],[Attrition_Risk_Percentage] ]&gt;= 0.5, "High",tbl_HR_Data[[#This Row],[Attrition_Risk_Percentage]] &gt;= 0.25, "Medium",TRUE, "Low")</f>
        <v>Medium</v>
      </c>
      <c r="AR955" s="16" cm="1">
        <f t="array" ref="AR955">IFERROR(_xlfn.IFS(tbl_HR_Data[[#This Row],[Risk_Category]]="Critical",tbl_HR_Data[[#This Row],[MonthlyIncome]]*1.5,tbl_HR_Data[[#This Row],[Risk_Category]]="High",tbl_HR_Data[[#This Row],[MonthlyIncome]]*1.5),0)</f>
        <v>0</v>
      </c>
    </row>
    <row r="956" spans="1:44" x14ac:dyDescent="0.35">
      <c r="A956" t="s">
        <v>524</v>
      </c>
      <c r="B956">
        <v>42</v>
      </c>
      <c r="C956" t="s">
        <v>1525</v>
      </c>
      <c r="D956">
        <v>495</v>
      </c>
      <c r="E956" t="s">
        <v>38</v>
      </c>
      <c r="F956">
        <v>2</v>
      </c>
      <c r="G956">
        <v>1</v>
      </c>
      <c r="H956" t="s">
        <v>33</v>
      </c>
      <c r="I956">
        <v>3</v>
      </c>
      <c r="J956" t="s">
        <v>39</v>
      </c>
      <c r="K956">
        <v>37</v>
      </c>
      <c r="L956">
        <v>3</v>
      </c>
      <c r="M956">
        <v>4</v>
      </c>
      <c r="N956" t="s">
        <v>48</v>
      </c>
      <c r="O956">
        <v>3</v>
      </c>
      <c r="P956" t="s">
        <v>41</v>
      </c>
      <c r="Q956">
        <v>17861</v>
      </c>
      <c r="R956">
        <v>26582</v>
      </c>
      <c r="S956">
        <v>0</v>
      </c>
      <c r="T956">
        <v>1</v>
      </c>
      <c r="U956" s="17">
        <v>0.13</v>
      </c>
      <c r="V956">
        <v>3</v>
      </c>
      <c r="W956">
        <v>4</v>
      </c>
      <c r="X956">
        <v>0</v>
      </c>
      <c r="Y956">
        <v>21</v>
      </c>
      <c r="Z956">
        <v>3</v>
      </c>
      <c r="AA956">
        <v>2</v>
      </c>
      <c r="AB956">
        <v>20</v>
      </c>
      <c r="AC956">
        <v>8</v>
      </c>
      <c r="AD956">
        <v>2</v>
      </c>
      <c r="AE956">
        <v>10</v>
      </c>
      <c r="AF956">
        <v>0</v>
      </c>
      <c r="AG956">
        <f>IF(tbl_HR_Data[[#This Row],[Gender]]="Male",1,0)</f>
        <v>1</v>
      </c>
      <c r="AH956" cm="1">
        <f t="array" ref="AH956">_xlfn.SWITCH(tbl_HR_Data[[#This Row],[BusinessTravel]], "Non-Travel", 0, "Travel_Rarely", 1, "Travel_Frequently", 2)</f>
        <v>0</v>
      </c>
      <c r="AI956" cm="1">
        <f t="array" ref="AI956">_xlfn.SWITCH(tbl_HR_Data[[#This Row],[MaritalStatus]],"Single",0,"Married",1,"Divorced",2)</f>
        <v>1</v>
      </c>
      <c r="AJ956">
        <f>IF(tbl_HR_Data[[#This Row],[OverTime]]=1,1,0)</f>
        <v>1</v>
      </c>
      <c r="AK956">
        <f>IF(tbl_HR_Data[[#This Row],[DistanceFromHome]]&gt;15,1,0)</f>
        <v>0</v>
      </c>
      <c r="AL956">
        <f>IF(tbl_HR_Data[[#This Row],[JobSatisfaction]]&lt;=2,1,0)</f>
        <v>0</v>
      </c>
      <c r="AM956">
        <f>IF(tbl_HR_Data[[#This Row],[MonthlyIncome]]&lt;$AT$2,1,0)</f>
        <v>0</v>
      </c>
      <c r="AN956">
        <f>IF(tbl_HR_Data[[#This Row],[Travel_Code]]=2,1,0)</f>
        <v>0</v>
      </c>
      <c r="AO956">
        <f>(tbl_HR_Data[[#This Row],[Flag_OT]] * Logic_Parameters!$B$2) +
 (tbl_HR_Data[[#This Row],[Flag_Travel]] * Logic_Parameters!$B$3) +
 (tbl_HR_Data[[#This Row],[Flag_Satisfaction]] * Logic_Parameters!$B$4) +
 (tbl_HR_Data[[#This Row],[Flag_Distance]]* Logic_Parameters!$B$5) +
 (tbl_HR_Data[[#This Row],[Flag_Income]] * Logic_Parameters!$B$6)</f>
        <v>10</v>
      </c>
      <c r="AP956" s="15">
        <f>tbl_HR_Data[[#This Row],[Risk_Score_Raw]] / SUM(Logic_Parameters!$B$2:$B$6)</f>
        <v>0.3445251318258073</v>
      </c>
      <c r="AQ956" s="16" t="str" cm="1">
        <f t="array" ref="AQ956">_xlfn.IFS(tbl_HR_Data[[#This Row],[Attrition_Risk_Percentage]] &gt;= 0.75, "Critical",tbl_HR_Data[ [#This Row],[Attrition_Risk_Percentage] ]&gt;= 0.5, "High",tbl_HR_Data[[#This Row],[Attrition_Risk_Percentage]] &gt;= 0.25, "Medium",TRUE, "Low")</f>
        <v>Medium</v>
      </c>
      <c r="AR956" s="16" cm="1">
        <f t="array" ref="AR956">IFERROR(_xlfn.IFS(tbl_HR_Data[[#This Row],[Risk_Category]]="Critical",tbl_HR_Data[[#This Row],[MonthlyIncome]]*1.5,tbl_HR_Data[[#This Row],[Risk_Category]]="High",tbl_HR_Data[[#This Row],[MonthlyIncome]]*1.5),0)</f>
        <v>0</v>
      </c>
    </row>
    <row r="957" spans="1:44" x14ac:dyDescent="0.35">
      <c r="A957" t="s">
        <v>535</v>
      </c>
      <c r="B957">
        <v>55</v>
      </c>
      <c r="C957" t="s">
        <v>31</v>
      </c>
      <c r="D957">
        <v>282</v>
      </c>
      <c r="E957" t="s">
        <v>38</v>
      </c>
      <c r="F957">
        <v>2</v>
      </c>
      <c r="G957">
        <v>2</v>
      </c>
      <c r="H957" t="s">
        <v>44</v>
      </c>
      <c r="I957">
        <v>4</v>
      </c>
      <c r="J957" t="s">
        <v>34</v>
      </c>
      <c r="K957">
        <v>58</v>
      </c>
      <c r="L957">
        <v>1</v>
      </c>
      <c r="M957">
        <v>5</v>
      </c>
      <c r="N957" t="s">
        <v>48</v>
      </c>
      <c r="O957">
        <v>3</v>
      </c>
      <c r="P957" t="s">
        <v>41</v>
      </c>
      <c r="Q957">
        <v>19187</v>
      </c>
      <c r="R957">
        <v>6992</v>
      </c>
      <c r="S957">
        <v>4</v>
      </c>
      <c r="T957">
        <v>0</v>
      </c>
      <c r="U957" s="17">
        <v>0.14000000000000001</v>
      </c>
      <c r="V957">
        <v>3</v>
      </c>
      <c r="W957">
        <v>4</v>
      </c>
      <c r="X957">
        <v>1</v>
      </c>
      <c r="Y957">
        <v>23</v>
      </c>
      <c r="Z957">
        <v>5</v>
      </c>
      <c r="AA957">
        <v>3</v>
      </c>
      <c r="AB957">
        <v>19</v>
      </c>
      <c r="AC957">
        <v>9</v>
      </c>
      <c r="AD957">
        <v>9</v>
      </c>
      <c r="AE957">
        <v>11</v>
      </c>
      <c r="AF957">
        <v>0</v>
      </c>
      <c r="AG957">
        <f>IF(tbl_HR_Data[[#This Row],[Gender]]="Male",1,0)</f>
        <v>0</v>
      </c>
      <c r="AH957" cm="1">
        <f t="array" ref="AH957">_xlfn.SWITCH(tbl_HR_Data[[#This Row],[BusinessTravel]], "Non-Travel", 0, "Travel_Rarely", 1, "Travel_Frequently", 2)</f>
        <v>1</v>
      </c>
      <c r="AI957" cm="1">
        <f t="array" ref="AI957">_xlfn.SWITCH(tbl_HR_Data[[#This Row],[MaritalStatus]],"Single",0,"Married",1,"Divorced",2)</f>
        <v>1</v>
      </c>
      <c r="AJ957">
        <f>IF(tbl_HR_Data[[#This Row],[OverTime]]=1,1,0)</f>
        <v>0</v>
      </c>
      <c r="AK957">
        <f>IF(tbl_HR_Data[[#This Row],[DistanceFromHome]]&gt;15,1,0)</f>
        <v>0</v>
      </c>
      <c r="AL957">
        <f>IF(tbl_HR_Data[[#This Row],[JobSatisfaction]]&lt;=2,1,0)</f>
        <v>0</v>
      </c>
      <c r="AM957">
        <f>IF(tbl_HR_Data[[#This Row],[MonthlyIncome]]&lt;$AT$2,1,0)</f>
        <v>0</v>
      </c>
      <c r="AN957">
        <f>IF(tbl_HR_Data[[#This Row],[Travel_Code]]=2,1,0)</f>
        <v>0</v>
      </c>
      <c r="AO957">
        <f>(tbl_HR_Data[[#This Row],[Flag_OT]] * Logic_Parameters!$B$2) +
 (tbl_HR_Data[[#This Row],[Flag_Travel]] * Logic_Parameters!$B$3) +
 (tbl_HR_Data[[#This Row],[Flag_Satisfaction]] * Logic_Parameters!$B$4) +
 (tbl_HR_Data[[#This Row],[Flag_Distance]]* Logic_Parameters!$B$5) +
 (tbl_HR_Data[[#This Row],[Flag_Income]] * Logic_Parameters!$B$6)</f>
        <v>0</v>
      </c>
      <c r="AP957" s="15">
        <f>tbl_HR_Data[[#This Row],[Risk_Score_Raw]] / SUM(Logic_Parameters!$B$2:$B$6)</f>
        <v>0</v>
      </c>
      <c r="AQ957" s="16" t="str" cm="1">
        <f t="array" ref="AQ957">_xlfn.IFS(tbl_HR_Data[[#This Row],[Attrition_Risk_Percentage]] &gt;= 0.75, "Critical",tbl_HR_Data[ [#This Row],[Attrition_Risk_Percentage] ]&gt;= 0.5, "High",tbl_HR_Data[[#This Row],[Attrition_Risk_Percentage]] &gt;= 0.25, "Medium",TRUE, "Low")</f>
        <v>Low</v>
      </c>
      <c r="AR957" s="16" cm="1">
        <f t="array" ref="AR957">IFERROR(_xlfn.IFS(tbl_HR_Data[[#This Row],[Risk_Category]]="Critical",tbl_HR_Data[[#This Row],[MonthlyIncome]]*1.5,tbl_HR_Data[[#This Row],[Risk_Category]]="High",tbl_HR_Data[[#This Row],[MonthlyIncome]]*1.5),0)</f>
        <v>0</v>
      </c>
    </row>
    <row r="958" spans="1:44" x14ac:dyDescent="0.35">
      <c r="A958" t="s">
        <v>1368</v>
      </c>
      <c r="B958">
        <v>56</v>
      </c>
      <c r="C958" t="s">
        <v>31</v>
      </c>
      <c r="D958">
        <v>206</v>
      </c>
      <c r="E958" t="s">
        <v>53</v>
      </c>
      <c r="F958">
        <v>8</v>
      </c>
      <c r="G958">
        <v>4</v>
      </c>
      <c r="H958" t="s">
        <v>33</v>
      </c>
      <c r="I958">
        <v>4</v>
      </c>
      <c r="J958" t="s">
        <v>39</v>
      </c>
      <c r="K958">
        <v>99</v>
      </c>
      <c r="L958">
        <v>3</v>
      </c>
      <c r="M958">
        <v>5</v>
      </c>
      <c r="N958" t="s">
        <v>48</v>
      </c>
      <c r="O958">
        <v>2</v>
      </c>
      <c r="P958" t="s">
        <v>36</v>
      </c>
      <c r="Q958">
        <v>19717</v>
      </c>
      <c r="R958">
        <v>4022</v>
      </c>
      <c r="S958">
        <v>6</v>
      </c>
      <c r="T958">
        <v>0</v>
      </c>
      <c r="U958" s="17">
        <v>0.14000000000000001</v>
      </c>
      <c r="V958">
        <v>3</v>
      </c>
      <c r="W958">
        <v>1</v>
      </c>
      <c r="X958">
        <v>0</v>
      </c>
      <c r="Y958">
        <v>36</v>
      </c>
      <c r="Z958">
        <v>4</v>
      </c>
      <c r="AA958">
        <v>3</v>
      </c>
      <c r="AB958">
        <v>7</v>
      </c>
      <c r="AC958">
        <v>3</v>
      </c>
      <c r="AD958">
        <v>7</v>
      </c>
      <c r="AE958">
        <v>7</v>
      </c>
      <c r="AF958">
        <v>0</v>
      </c>
      <c r="AG958">
        <f>IF(tbl_HR_Data[[#This Row],[Gender]]="Male",1,0)</f>
        <v>1</v>
      </c>
      <c r="AH958" cm="1">
        <f t="array" ref="AH958">_xlfn.SWITCH(tbl_HR_Data[[#This Row],[BusinessTravel]], "Non-Travel", 0, "Travel_Rarely", 1, "Travel_Frequently", 2)</f>
        <v>1</v>
      </c>
      <c r="AI958" cm="1">
        <f t="array" ref="AI958">_xlfn.SWITCH(tbl_HR_Data[[#This Row],[MaritalStatus]],"Single",0,"Married",1,"Divorced",2)</f>
        <v>0</v>
      </c>
      <c r="AJ958">
        <f>IF(tbl_HR_Data[[#This Row],[OverTime]]=1,1,0)</f>
        <v>0</v>
      </c>
      <c r="AK958">
        <f>IF(tbl_HR_Data[[#This Row],[DistanceFromHome]]&gt;15,1,0)</f>
        <v>0</v>
      </c>
      <c r="AL958">
        <f>IF(tbl_HR_Data[[#This Row],[JobSatisfaction]]&lt;=2,1,0)</f>
        <v>1</v>
      </c>
      <c r="AM958">
        <f>IF(tbl_HR_Data[[#This Row],[MonthlyIncome]]&lt;$AT$2,1,0)</f>
        <v>0</v>
      </c>
      <c r="AN958">
        <f>IF(tbl_HR_Data[[#This Row],[Travel_Code]]=2,1,0)</f>
        <v>0</v>
      </c>
      <c r="AO958">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958" s="15">
        <f>tbl_HR_Data[[#This Row],[Risk_Score_Raw]] / SUM(Logic_Parameters!$B$2:$B$6)</f>
        <v>0.14485673308716898</v>
      </c>
      <c r="AQ958" s="16" t="str" cm="1">
        <f t="array" ref="AQ958">_xlfn.IFS(tbl_HR_Data[[#This Row],[Attrition_Risk_Percentage]] &gt;= 0.75, "Critical",tbl_HR_Data[ [#This Row],[Attrition_Risk_Percentage] ]&gt;= 0.5, "High",tbl_HR_Data[[#This Row],[Attrition_Risk_Percentage]] &gt;= 0.25, "Medium",TRUE, "Low")</f>
        <v>Low</v>
      </c>
      <c r="AR958" s="16" cm="1">
        <f t="array" ref="AR958">IFERROR(_xlfn.IFS(tbl_HR_Data[[#This Row],[Risk_Category]]="Critical",tbl_HR_Data[[#This Row],[MonthlyIncome]]*1.5,tbl_HR_Data[[#This Row],[Risk_Category]]="High",tbl_HR_Data[[#This Row],[MonthlyIncome]]*1.5),0)</f>
        <v>0</v>
      </c>
    </row>
    <row r="959" spans="1:44" x14ac:dyDescent="0.35">
      <c r="A959" t="s">
        <v>398</v>
      </c>
      <c r="B959">
        <v>40</v>
      </c>
      <c r="C959" t="s">
        <v>1525</v>
      </c>
      <c r="D959">
        <v>458</v>
      </c>
      <c r="E959" t="s">
        <v>38</v>
      </c>
      <c r="F959">
        <v>16</v>
      </c>
      <c r="G959">
        <v>2</v>
      </c>
      <c r="H959" t="s">
        <v>33</v>
      </c>
      <c r="I959">
        <v>3</v>
      </c>
      <c r="J959" t="s">
        <v>39</v>
      </c>
      <c r="K959">
        <v>74</v>
      </c>
      <c r="L959">
        <v>3</v>
      </c>
      <c r="M959">
        <v>1</v>
      </c>
      <c r="N959" t="s">
        <v>40</v>
      </c>
      <c r="O959">
        <v>3</v>
      </c>
      <c r="P959" t="s">
        <v>45</v>
      </c>
      <c r="Q959">
        <v>3544</v>
      </c>
      <c r="R959">
        <v>8532</v>
      </c>
      <c r="S959">
        <v>9</v>
      </c>
      <c r="T959">
        <v>0</v>
      </c>
      <c r="U959" s="17">
        <v>0.16</v>
      </c>
      <c r="V959">
        <v>3</v>
      </c>
      <c r="W959">
        <v>2</v>
      </c>
      <c r="X959">
        <v>1</v>
      </c>
      <c r="Y959">
        <v>6</v>
      </c>
      <c r="Z959">
        <v>0</v>
      </c>
      <c r="AA959">
        <v>3</v>
      </c>
      <c r="AB959">
        <v>4</v>
      </c>
      <c r="AC959">
        <v>2</v>
      </c>
      <c r="AD959">
        <v>0</v>
      </c>
      <c r="AE959">
        <v>0</v>
      </c>
      <c r="AF959">
        <v>0</v>
      </c>
      <c r="AG959">
        <f>IF(tbl_HR_Data[[#This Row],[Gender]]="Male",1,0)</f>
        <v>1</v>
      </c>
      <c r="AH959" cm="1">
        <f t="array" ref="AH959">_xlfn.SWITCH(tbl_HR_Data[[#This Row],[BusinessTravel]], "Non-Travel", 0, "Travel_Rarely", 1, "Travel_Frequently", 2)</f>
        <v>0</v>
      </c>
      <c r="AI959" cm="1">
        <f t="array" ref="AI959">_xlfn.SWITCH(tbl_HR_Data[[#This Row],[MaritalStatus]],"Single",0,"Married",1,"Divorced",2)</f>
        <v>2</v>
      </c>
      <c r="AJ959">
        <f>IF(tbl_HR_Data[[#This Row],[OverTime]]=1,1,0)</f>
        <v>0</v>
      </c>
      <c r="AK959">
        <f>IF(tbl_HR_Data[[#This Row],[DistanceFromHome]]&gt;15,1,0)</f>
        <v>1</v>
      </c>
      <c r="AL959">
        <f>IF(tbl_HR_Data[[#This Row],[JobSatisfaction]]&lt;=2,1,0)</f>
        <v>0</v>
      </c>
      <c r="AM959">
        <f>IF(tbl_HR_Data[[#This Row],[MonthlyIncome]]&lt;$AT$2,1,0)</f>
        <v>1</v>
      </c>
      <c r="AN959">
        <f>IF(tbl_HR_Data[[#This Row],[Travel_Code]]=2,1,0)</f>
        <v>0</v>
      </c>
      <c r="AO959">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959" s="15">
        <f>tbl_HR_Data[[#This Row],[Risk_Score_Raw]] / SUM(Logic_Parameters!$B$2:$B$6)</f>
        <v>0.33282973125692844</v>
      </c>
      <c r="AQ959" s="16" t="str" cm="1">
        <f t="array" ref="AQ959">_xlfn.IFS(tbl_HR_Data[[#This Row],[Attrition_Risk_Percentage]] &gt;= 0.75, "Critical",tbl_HR_Data[ [#This Row],[Attrition_Risk_Percentage] ]&gt;= 0.5, "High",tbl_HR_Data[[#This Row],[Attrition_Risk_Percentage]] &gt;= 0.25, "Medium",TRUE, "Low")</f>
        <v>Medium</v>
      </c>
      <c r="AR959" s="16" cm="1">
        <f t="array" ref="AR959">IFERROR(_xlfn.IFS(tbl_HR_Data[[#This Row],[Risk_Category]]="Critical",tbl_HR_Data[[#This Row],[MonthlyIncome]]*1.5,tbl_HR_Data[[#This Row],[Risk_Category]]="High",tbl_HR_Data[[#This Row],[MonthlyIncome]]*1.5),0)</f>
        <v>0</v>
      </c>
    </row>
    <row r="960" spans="1:44" x14ac:dyDescent="0.35">
      <c r="A960" t="s">
        <v>1269</v>
      </c>
      <c r="B960">
        <v>34</v>
      </c>
      <c r="C960" t="s">
        <v>31</v>
      </c>
      <c r="D960">
        <v>943</v>
      </c>
      <c r="E960" t="s">
        <v>38</v>
      </c>
      <c r="F960">
        <v>9</v>
      </c>
      <c r="G960">
        <v>3</v>
      </c>
      <c r="H960" t="s">
        <v>33</v>
      </c>
      <c r="I960">
        <v>4</v>
      </c>
      <c r="J960" t="s">
        <v>39</v>
      </c>
      <c r="K960">
        <v>86</v>
      </c>
      <c r="L960">
        <v>3</v>
      </c>
      <c r="M960">
        <v>3</v>
      </c>
      <c r="N960" t="s">
        <v>47</v>
      </c>
      <c r="O960">
        <v>4</v>
      </c>
      <c r="P960" t="s">
        <v>45</v>
      </c>
      <c r="Q960">
        <v>8500</v>
      </c>
      <c r="R960">
        <v>5494</v>
      </c>
      <c r="S960">
        <v>0</v>
      </c>
      <c r="T960">
        <v>0</v>
      </c>
      <c r="U960" s="17">
        <v>0.11</v>
      </c>
      <c r="V960">
        <v>3</v>
      </c>
      <c r="W960">
        <v>4</v>
      </c>
      <c r="X960">
        <v>1</v>
      </c>
      <c r="Y960">
        <v>10</v>
      </c>
      <c r="Z960">
        <v>0</v>
      </c>
      <c r="AA960">
        <v>2</v>
      </c>
      <c r="AB960">
        <v>9</v>
      </c>
      <c r="AC960">
        <v>7</v>
      </c>
      <c r="AD960">
        <v>1</v>
      </c>
      <c r="AE960">
        <v>6</v>
      </c>
      <c r="AF960">
        <v>0</v>
      </c>
      <c r="AG960">
        <f>IF(tbl_HR_Data[[#This Row],[Gender]]="Male",1,0)</f>
        <v>1</v>
      </c>
      <c r="AH960" cm="1">
        <f t="array" ref="AH960">_xlfn.SWITCH(tbl_HR_Data[[#This Row],[BusinessTravel]], "Non-Travel", 0, "Travel_Rarely", 1, "Travel_Frequently", 2)</f>
        <v>1</v>
      </c>
      <c r="AI960" cm="1">
        <f t="array" ref="AI960">_xlfn.SWITCH(tbl_HR_Data[[#This Row],[MaritalStatus]],"Single",0,"Married",1,"Divorced",2)</f>
        <v>2</v>
      </c>
      <c r="AJ960">
        <f>IF(tbl_HR_Data[[#This Row],[OverTime]]=1,1,0)</f>
        <v>0</v>
      </c>
      <c r="AK960">
        <f>IF(tbl_HR_Data[[#This Row],[DistanceFromHome]]&gt;15,1,0)</f>
        <v>0</v>
      </c>
      <c r="AL960">
        <f>IF(tbl_HR_Data[[#This Row],[JobSatisfaction]]&lt;=2,1,0)</f>
        <v>0</v>
      </c>
      <c r="AM960">
        <f>IF(tbl_HR_Data[[#This Row],[MonthlyIncome]]&lt;$AT$2,1,0)</f>
        <v>0</v>
      </c>
      <c r="AN960">
        <f>IF(tbl_HR_Data[[#This Row],[Travel_Code]]=2,1,0)</f>
        <v>0</v>
      </c>
      <c r="AO960">
        <f>(tbl_HR_Data[[#This Row],[Flag_OT]] * Logic_Parameters!$B$2) +
 (tbl_HR_Data[[#This Row],[Flag_Travel]] * Logic_Parameters!$B$3) +
 (tbl_HR_Data[[#This Row],[Flag_Satisfaction]] * Logic_Parameters!$B$4) +
 (tbl_HR_Data[[#This Row],[Flag_Distance]]* Logic_Parameters!$B$5) +
 (tbl_HR_Data[[#This Row],[Flag_Income]] * Logic_Parameters!$B$6)</f>
        <v>0</v>
      </c>
      <c r="AP960" s="15">
        <f>tbl_HR_Data[[#This Row],[Risk_Score_Raw]] / SUM(Logic_Parameters!$B$2:$B$6)</f>
        <v>0</v>
      </c>
      <c r="AQ960" s="16" t="str" cm="1">
        <f t="array" ref="AQ960">_xlfn.IFS(tbl_HR_Data[[#This Row],[Attrition_Risk_Percentage]] &gt;= 0.75, "Critical",tbl_HR_Data[ [#This Row],[Attrition_Risk_Percentage] ]&gt;= 0.5, "High",tbl_HR_Data[[#This Row],[Attrition_Risk_Percentage]] &gt;= 0.25, "Medium",TRUE, "Low")</f>
        <v>Low</v>
      </c>
      <c r="AR960" s="16" cm="1">
        <f t="array" ref="AR960">IFERROR(_xlfn.IFS(tbl_HR_Data[[#This Row],[Risk_Category]]="Critical",tbl_HR_Data[[#This Row],[MonthlyIncome]]*1.5,tbl_HR_Data[[#This Row],[Risk_Category]]="High",tbl_HR_Data[[#This Row],[MonthlyIncome]]*1.5),0)</f>
        <v>0</v>
      </c>
    </row>
    <row r="961" spans="1:44" x14ac:dyDescent="0.35">
      <c r="A961" t="s">
        <v>323</v>
      </c>
      <c r="B961">
        <v>40</v>
      </c>
      <c r="C961" t="s">
        <v>31</v>
      </c>
      <c r="D961">
        <v>523</v>
      </c>
      <c r="E961" t="s">
        <v>38</v>
      </c>
      <c r="F961">
        <v>2</v>
      </c>
      <c r="G961">
        <v>3</v>
      </c>
      <c r="H961" t="s">
        <v>33</v>
      </c>
      <c r="I961">
        <v>3</v>
      </c>
      <c r="J961" t="s">
        <v>39</v>
      </c>
      <c r="K961">
        <v>98</v>
      </c>
      <c r="L961">
        <v>3</v>
      </c>
      <c r="M961">
        <v>2</v>
      </c>
      <c r="N961" t="s">
        <v>40</v>
      </c>
      <c r="O961">
        <v>4</v>
      </c>
      <c r="P961" t="s">
        <v>36</v>
      </c>
      <c r="Q961">
        <v>4661</v>
      </c>
      <c r="R961">
        <v>22455</v>
      </c>
      <c r="S961">
        <v>1</v>
      </c>
      <c r="T961">
        <v>0</v>
      </c>
      <c r="U961" s="17">
        <v>0.13</v>
      </c>
      <c r="V961">
        <v>3</v>
      </c>
      <c r="W961">
        <v>3</v>
      </c>
      <c r="X961">
        <v>0</v>
      </c>
      <c r="Y961">
        <v>9</v>
      </c>
      <c r="Z961">
        <v>4</v>
      </c>
      <c r="AA961">
        <v>3</v>
      </c>
      <c r="AB961">
        <v>9</v>
      </c>
      <c r="AC961">
        <v>8</v>
      </c>
      <c r="AD961">
        <v>8</v>
      </c>
      <c r="AE961">
        <v>8</v>
      </c>
      <c r="AF961">
        <v>0</v>
      </c>
      <c r="AG961">
        <f>IF(tbl_HR_Data[[#This Row],[Gender]]="Male",1,0)</f>
        <v>1</v>
      </c>
      <c r="AH961" cm="1">
        <f t="array" ref="AH961">_xlfn.SWITCH(tbl_HR_Data[[#This Row],[BusinessTravel]], "Non-Travel", 0, "Travel_Rarely", 1, "Travel_Frequently", 2)</f>
        <v>1</v>
      </c>
      <c r="AI961" cm="1">
        <f t="array" ref="AI961">_xlfn.SWITCH(tbl_HR_Data[[#This Row],[MaritalStatus]],"Single",0,"Married",1,"Divorced",2)</f>
        <v>0</v>
      </c>
      <c r="AJ961">
        <f>IF(tbl_HR_Data[[#This Row],[OverTime]]=1,1,0)</f>
        <v>0</v>
      </c>
      <c r="AK961">
        <f>IF(tbl_HR_Data[[#This Row],[DistanceFromHome]]&gt;15,1,0)</f>
        <v>0</v>
      </c>
      <c r="AL961">
        <f>IF(tbl_HR_Data[[#This Row],[JobSatisfaction]]&lt;=2,1,0)</f>
        <v>0</v>
      </c>
      <c r="AM961">
        <f>IF(tbl_HR_Data[[#This Row],[MonthlyIncome]]&lt;$AT$2,1,0)</f>
        <v>1</v>
      </c>
      <c r="AN961">
        <f>IF(tbl_HR_Data[[#This Row],[Travel_Code]]=2,1,0)</f>
        <v>0</v>
      </c>
      <c r="AO961">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961" s="15">
        <f>tbl_HR_Data[[#This Row],[Risk_Score_Raw]] / SUM(Logic_Parameters!$B$2:$B$6)</f>
        <v>0.22374939857982484</v>
      </c>
      <c r="AQ961" s="16" t="str" cm="1">
        <f t="array" ref="AQ961">_xlfn.IFS(tbl_HR_Data[[#This Row],[Attrition_Risk_Percentage]] &gt;= 0.75, "Critical",tbl_HR_Data[ [#This Row],[Attrition_Risk_Percentage] ]&gt;= 0.5, "High",tbl_HR_Data[[#This Row],[Attrition_Risk_Percentage]] &gt;= 0.25, "Medium",TRUE, "Low")</f>
        <v>Low</v>
      </c>
      <c r="AR961" s="16" cm="1">
        <f t="array" ref="AR961">IFERROR(_xlfn.IFS(tbl_HR_Data[[#This Row],[Risk_Category]]="Critical",tbl_HR_Data[[#This Row],[MonthlyIncome]]*1.5,tbl_HR_Data[[#This Row],[Risk_Category]]="High",tbl_HR_Data[[#This Row],[MonthlyIncome]]*1.5),0)</f>
        <v>0</v>
      </c>
    </row>
    <row r="962" spans="1:44" x14ac:dyDescent="0.35">
      <c r="A962" t="s">
        <v>392</v>
      </c>
      <c r="B962">
        <v>41</v>
      </c>
      <c r="C962" t="s">
        <v>37</v>
      </c>
      <c r="D962">
        <v>1018</v>
      </c>
      <c r="E962" t="s">
        <v>32</v>
      </c>
      <c r="F962">
        <v>1</v>
      </c>
      <c r="G962">
        <v>3</v>
      </c>
      <c r="H962" t="s">
        <v>51</v>
      </c>
      <c r="I962">
        <v>3</v>
      </c>
      <c r="J962" t="s">
        <v>34</v>
      </c>
      <c r="K962">
        <v>66</v>
      </c>
      <c r="L962">
        <v>3</v>
      </c>
      <c r="M962">
        <v>2</v>
      </c>
      <c r="N962" t="s">
        <v>35</v>
      </c>
      <c r="O962">
        <v>1</v>
      </c>
      <c r="P962" t="s">
        <v>45</v>
      </c>
      <c r="Q962">
        <v>4103</v>
      </c>
      <c r="R962">
        <v>4297</v>
      </c>
      <c r="S962">
        <v>0</v>
      </c>
      <c r="T962">
        <v>0</v>
      </c>
      <c r="U962" s="17">
        <v>0.17</v>
      </c>
      <c r="V962">
        <v>3</v>
      </c>
      <c r="W962">
        <v>4</v>
      </c>
      <c r="X962">
        <v>1</v>
      </c>
      <c r="Y962">
        <v>10</v>
      </c>
      <c r="Z962">
        <v>2</v>
      </c>
      <c r="AA962">
        <v>3</v>
      </c>
      <c r="AB962">
        <v>9</v>
      </c>
      <c r="AC962">
        <v>3</v>
      </c>
      <c r="AD962">
        <v>1</v>
      </c>
      <c r="AE962">
        <v>7</v>
      </c>
      <c r="AF962">
        <v>0</v>
      </c>
      <c r="AG962">
        <f>IF(tbl_HR_Data[[#This Row],[Gender]]="Male",1,0)</f>
        <v>0</v>
      </c>
      <c r="AH962" cm="1">
        <f t="array" ref="AH962">_xlfn.SWITCH(tbl_HR_Data[[#This Row],[BusinessTravel]], "Non-Travel", 0, "Travel_Rarely", 1, "Travel_Frequently", 2)</f>
        <v>2</v>
      </c>
      <c r="AI962" cm="1">
        <f t="array" ref="AI962">_xlfn.SWITCH(tbl_HR_Data[[#This Row],[MaritalStatus]],"Single",0,"Married",1,"Divorced",2)</f>
        <v>2</v>
      </c>
      <c r="AJ962">
        <f>IF(tbl_HR_Data[[#This Row],[OverTime]]=1,1,0)</f>
        <v>0</v>
      </c>
      <c r="AK962">
        <f>IF(tbl_HR_Data[[#This Row],[DistanceFromHome]]&gt;15,1,0)</f>
        <v>0</v>
      </c>
      <c r="AL962">
        <f>IF(tbl_HR_Data[[#This Row],[JobSatisfaction]]&lt;=2,1,0)</f>
        <v>1</v>
      </c>
      <c r="AM962">
        <f>IF(tbl_HR_Data[[#This Row],[MonthlyIncome]]&lt;$AT$2,1,0)</f>
        <v>1</v>
      </c>
      <c r="AN962">
        <f>IF(tbl_HR_Data[[#This Row],[Travel_Code]]=2,1,0)</f>
        <v>1</v>
      </c>
      <c r="AO962">
        <f>(tbl_HR_Data[[#This Row],[Flag_OT]] * Logic_Parameters!$B$2) +
 (tbl_HR_Data[[#This Row],[Flag_Travel]] * Logic_Parameters!$B$3) +
 (tbl_HR_Data[[#This Row],[Flag_Satisfaction]] * Logic_Parameters!$B$4) +
 (tbl_HR_Data[[#This Row],[Flag_Distance]]* Logic_Parameters!$B$5) +
 (tbl_HR_Data[[#This Row],[Flag_Income]] * Logic_Parameters!$B$6)</f>
        <v>15.859352047889136</v>
      </c>
      <c r="AP962" s="15">
        <f>tbl_HR_Data[[#This Row],[Risk_Score_Raw]] / SUM(Logic_Parameters!$B$2:$B$6)</f>
        <v>0.54639453549708916</v>
      </c>
      <c r="AQ962" s="16" t="str" cm="1">
        <f t="array" ref="AQ962">_xlfn.IFS(tbl_HR_Data[[#This Row],[Attrition_Risk_Percentage]] &gt;= 0.75, "Critical",tbl_HR_Data[ [#This Row],[Attrition_Risk_Percentage] ]&gt;= 0.5, "High",tbl_HR_Data[[#This Row],[Attrition_Risk_Percentage]] &gt;= 0.25, "Medium",TRUE, "Low")</f>
        <v>High</v>
      </c>
      <c r="AR962" s="16" cm="1">
        <f t="array" ref="AR962">IFERROR(_xlfn.IFS(tbl_HR_Data[[#This Row],[Risk_Category]]="Critical",tbl_HR_Data[[#This Row],[MonthlyIncome]]*1.5,tbl_HR_Data[[#This Row],[Risk_Category]]="High",tbl_HR_Data[[#This Row],[MonthlyIncome]]*1.5),0)</f>
        <v>6154.5</v>
      </c>
    </row>
    <row r="963" spans="1:44" x14ac:dyDescent="0.35">
      <c r="A963" t="s">
        <v>749</v>
      </c>
      <c r="B963">
        <v>35</v>
      </c>
      <c r="C963" t="s">
        <v>37</v>
      </c>
      <c r="D963">
        <v>482</v>
      </c>
      <c r="E963" t="s">
        <v>38</v>
      </c>
      <c r="F963">
        <v>4</v>
      </c>
      <c r="G963">
        <v>4</v>
      </c>
      <c r="H963" t="s">
        <v>33</v>
      </c>
      <c r="I963">
        <v>3</v>
      </c>
      <c r="J963" t="s">
        <v>39</v>
      </c>
      <c r="K963">
        <v>87</v>
      </c>
      <c r="L963">
        <v>3</v>
      </c>
      <c r="M963">
        <v>2</v>
      </c>
      <c r="N963" t="s">
        <v>40</v>
      </c>
      <c r="O963">
        <v>3</v>
      </c>
      <c r="P963" t="s">
        <v>36</v>
      </c>
      <c r="Q963">
        <v>4249</v>
      </c>
      <c r="R963">
        <v>2690</v>
      </c>
      <c r="S963">
        <v>1</v>
      </c>
      <c r="T963">
        <v>1</v>
      </c>
      <c r="U963" s="17">
        <v>0.11</v>
      </c>
      <c r="V963">
        <v>3</v>
      </c>
      <c r="W963">
        <v>2</v>
      </c>
      <c r="X963">
        <v>0</v>
      </c>
      <c r="Y963">
        <v>9</v>
      </c>
      <c r="Z963">
        <v>3</v>
      </c>
      <c r="AA963">
        <v>3</v>
      </c>
      <c r="AB963">
        <v>9</v>
      </c>
      <c r="AC963">
        <v>6</v>
      </c>
      <c r="AD963">
        <v>1</v>
      </c>
      <c r="AE963">
        <v>1</v>
      </c>
      <c r="AF963">
        <v>0</v>
      </c>
      <c r="AG963">
        <f>IF(tbl_HR_Data[[#This Row],[Gender]]="Male",1,0)</f>
        <v>1</v>
      </c>
      <c r="AH963" cm="1">
        <f t="array" ref="AH963">_xlfn.SWITCH(tbl_HR_Data[[#This Row],[BusinessTravel]], "Non-Travel", 0, "Travel_Rarely", 1, "Travel_Frequently", 2)</f>
        <v>2</v>
      </c>
      <c r="AI963" cm="1">
        <f t="array" ref="AI963">_xlfn.SWITCH(tbl_HR_Data[[#This Row],[MaritalStatus]],"Single",0,"Married",1,"Divorced",2)</f>
        <v>0</v>
      </c>
      <c r="AJ963">
        <f>IF(tbl_HR_Data[[#This Row],[OverTime]]=1,1,0)</f>
        <v>1</v>
      </c>
      <c r="AK963">
        <f>IF(tbl_HR_Data[[#This Row],[DistanceFromHome]]&gt;15,1,0)</f>
        <v>0</v>
      </c>
      <c r="AL963">
        <f>IF(tbl_HR_Data[[#This Row],[JobSatisfaction]]&lt;=2,1,0)</f>
        <v>0</v>
      </c>
      <c r="AM963">
        <f>IF(tbl_HR_Data[[#This Row],[MonthlyIncome]]&lt;$AT$2,1,0)</f>
        <v>1</v>
      </c>
      <c r="AN963">
        <f>IF(tbl_HR_Data[[#This Row],[Travel_Code]]=2,1,0)</f>
        <v>1</v>
      </c>
      <c r="AO963">
        <f>(tbl_HR_Data[[#This Row],[Flag_OT]] * Logic_Parameters!$B$2) +
 (tbl_HR_Data[[#This Row],[Flag_Travel]] * Logic_Parameters!$B$3) +
 (tbl_HR_Data[[#This Row],[Flag_Satisfaction]] * Logic_Parameters!$B$4) +
 (tbl_HR_Data[[#This Row],[Flag_Distance]]* Logic_Parameters!$B$5) +
 (tbl_HR_Data[[#This Row],[Flag_Income]] * Logic_Parameters!$B$6)</f>
        <v>21.654818917911005</v>
      </c>
      <c r="AP963" s="15">
        <f>tbl_HR_Data[[#This Row],[Risk_Score_Raw]] / SUM(Logic_Parameters!$B$2:$B$6)</f>
        <v>0.74606293423572745</v>
      </c>
      <c r="AQ963" s="16" t="str" cm="1">
        <f t="array" ref="AQ963">_xlfn.IFS(tbl_HR_Data[[#This Row],[Attrition_Risk_Percentage]] &gt;= 0.75, "Critical",tbl_HR_Data[ [#This Row],[Attrition_Risk_Percentage] ]&gt;= 0.5, "High",tbl_HR_Data[[#This Row],[Attrition_Risk_Percentage]] &gt;= 0.25, "Medium",TRUE, "Low")</f>
        <v>High</v>
      </c>
      <c r="AR963" s="16" cm="1">
        <f t="array" ref="AR963">IFERROR(_xlfn.IFS(tbl_HR_Data[[#This Row],[Risk_Category]]="Critical",tbl_HR_Data[[#This Row],[MonthlyIncome]]*1.5,tbl_HR_Data[[#This Row],[Risk_Category]]="High",tbl_HR_Data[[#This Row],[MonthlyIncome]]*1.5),0)</f>
        <v>6373.5</v>
      </c>
    </row>
    <row r="964" spans="1:44" x14ac:dyDescent="0.35">
      <c r="A964" t="s">
        <v>157</v>
      </c>
      <c r="B964">
        <v>51</v>
      </c>
      <c r="C964" t="s">
        <v>31</v>
      </c>
      <c r="D964">
        <v>770</v>
      </c>
      <c r="E964" t="s">
        <v>53</v>
      </c>
      <c r="F964">
        <v>5</v>
      </c>
      <c r="G964">
        <v>3</v>
      </c>
      <c r="H964" t="s">
        <v>33</v>
      </c>
      <c r="I964">
        <v>3</v>
      </c>
      <c r="J964" t="s">
        <v>39</v>
      </c>
      <c r="K964">
        <v>84</v>
      </c>
      <c r="L964">
        <v>3</v>
      </c>
      <c r="M964">
        <v>4</v>
      </c>
      <c r="N964" t="s">
        <v>48</v>
      </c>
      <c r="O964">
        <v>2</v>
      </c>
      <c r="P964" t="s">
        <v>45</v>
      </c>
      <c r="Q964">
        <v>14026</v>
      </c>
      <c r="R964">
        <v>17588</v>
      </c>
      <c r="S964">
        <v>1</v>
      </c>
      <c r="T964">
        <v>1</v>
      </c>
      <c r="U964" s="17">
        <v>0.11</v>
      </c>
      <c r="V964">
        <v>3</v>
      </c>
      <c r="W964">
        <v>2</v>
      </c>
      <c r="X964">
        <v>1</v>
      </c>
      <c r="Y964">
        <v>33</v>
      </c>
      <c r="Z964">
        <v>2</v>
      </c>
      <c r="AA964">
        <v>3</v>
      </c>
      <c r="AB964">
        <v>33</v>
      </c>
      <c r="AC964">
        <v>9</v>
      </c>
      <c r="AD964">
        <v>0</v>
      </c>
      <c r="AE964">
        <v>10</v>
      </c>
      <c r="AF964">
        <v>0</v>
      </c>
      <c r="AG964">
        <f>IF(tbl_HR_Data[[#This Row],[Gender]]="Male",1,0)</f>
        <v>1</v>
      </c>
      <c r="AH964" cm="1">
        <f t="array" ref="AH964">_xlfn.SWITCH(tbl_HR_Data[[#This Row],[BusinessTravel]], "Non-Travel", 0, "Travel_Rarely", 1, "Travel_Frequently", 2)</f>
        <v>1</v>
      </c>
      <c r="AI964" cm="1">
        <f t="array" ref="AI964">_xlfn.SWITCH(tbl_HR_Data[[#This Row],[MaritalStatus]],"Single",0,"Married",1,"Divorced",2)</f>
        <v>2</v>
      </c>
      <c r="AJ964">
        <f>IF(tbl_HR_Data[[#This Row],[OverTime]]=1,1,0)</f>
        <v>1</v>
      </c>
      <c r="AK964">
        <f>IF(tbl_HR_Data[[#This Row],[DistanceFromHome]]&gt;15,1,0)</f>
        <v>0</v>
      </c>
      <c r="AL964">
        <f>IF(tbl_HR_Data[[#This Row],[JobSatisfaction]]&lt;=2,1,0)</f>
        <v>1</v>
      </c>
      <c r="AM964">
        <f>IF(tbl_HR_Data[[#This Row],[MonthlyIncome]]&lt;$AT$2,1,0)</f>
        <v>0</v>
      </c>
      <c r="AN964">
        <f>IF(tbl_HR_Data[[#This Row],[Travel_Code]]=2,1,0)</f>
        <v>0</v>
      </c>
      <c r="AO964">
        <f>(tbl_HR_Data[[#This Row],[Flag_OT]] * Logic_Parameters!$B$2) +
 (tbl_HR_Data[[#This Row],[Flag_Travel]] * Logic_Parameters!$B$3) +
 (tbl_HR_Data[[#This Row],[Flag_Satisfaction]] * Logic_Parameters!$B$4) +
 (tbl_HR_Data[[#This Row],[Flag_Distance]]* Logic_Parameters!$B$5) +
 (tbl_HR_Data[[#This Row],[Flag_Income]] * Logic_Parameters!$B$6)</f>
        <v>14.204533129978131</v>
      </c>
      <c r="AP964" s="15">
        <f>tbl_HR_Data[[#This Row],[Risk_Score_Raw]] / SUM(Logic_Parameters!$B$2:$B$6)</f>
        <v>0.48938186491297625</v>
      </c>
      <c r="AQ964" s="16" t="str" cm="1">
        <f t="array" ref="AQ964">_xlfn.IFS(tbl_HR_Data[[#This Row],[Attrition_Risk_Percentage]] &gt;= 0.75, "Critical",tbl_HR_Data[ [#This Row],[Attrition_Risk_Percentage] ]&gt;= 0.5, "High",tbl_HR_Data[[#This Row],[Attrition_Risk_Percentage]] &gt;= 0.25, "Medium",TRUE, "Low")</f>
        <v>Medium</v>
      </c>
      <c r="AR964" s="16" cm="1">
        <f t="array" ref="AR964">IFERROR(_xlfn.IFS(tbl_HR_Data[[#This Row],[Risk_Category]]="Critical",tbl_HR_Data[[#This Row],[MonthlyIncome]]*1.5,tbl_HR_Data[[#This Row],[Risk_Category]]="High",tbl_HR_Data[[#This Row],[MonthlyIncome]]*1.5),0)</f>
        <v>0</v>
      </c>
    </row>
    <row r="965" spans="1:44" x14ac:dyDescent="0.35">
      <c r="A965" t="s">
        <v>769</v>
      </c>
      <c r="B965">
        <v>38</v>
      </c>
      <c r="C965" t="s">
        <v>31</v>
      </c>
      <c r="D965">
        <v>1009</v>
      </c>
      <c r="E965" t="s">
        <v>32</v>
      </c>
      <c r="F965">
        <v>2</v>
      </c>
      <c r="G965">
        <v>2</v>
      </c>
      <c r="H965" t="s">
        <v>33</v>
      </c>
      <c r="I965">
        <v>2</v>
      </c>
      <c r="J965" t="s">
        <v>34</v>
      </c>
      <c r="K965">
        <v>31</v>
      </c>
      <c r="L965">
        <v>3</v>
      </c>
      <c r="M965">
        <v>2</v>
      </c>
      <c r="N965" t="s">
        <v>35</v>
      </c>
      <c r="O965">
        <v>1</v>
      </c>
      <c r="P965" t="s">
        <v>45</v>
      </c>
      <c r="Q965">
        <v>6893</v>
      </c>
      <c r="R965">
        <v>19461</v>
      </c>
      <c r="S965">
        <v>3</v>
      </c>
      <c r="T965">
        <v>0</v>
      </c>
      <c r="U965" s="17">
        <v>0.15</v>
      </c>
      <c r="V965">
        <v>3</v>
      </c>
      <c r="W965">
        <v>4</v>
      </c>
      <c r="X965">
        <v>1</v>
      </c>
      <c r="Y965">
        <v>11</v>
      </c>
      <c r="Z965">
        <v>3</v>
      </c>
      <c r="AA965">
        <v>3</v>
      </c>
      <c r="AB965">
        <v>7</v>
      </c>
      <c r="AC965">
        <v>7</v>
      </c>
      <c r="AD965">
        <v>1</v>
      </c>
      <c r="AE965">
        <v>7</v>
      </c>
      <c r="AF965">
        <v>0</v>
      </c>
      <c r="AG965">
        <f>IF(tbl_HR_Data[[#This Row],[Gender]]="Male",1,0)</f>
        <v>0</v>
      </c>
      <c r="AH965" cm="1">
        <f t="array" ref="AH965">_xlfn.SWITCH(tbl_HR_Data[[#This Row],[BusinessTravel]], "Non-Travel", 0, "Travel_Rarely", 1, "Travel_Frequently", 2)</f>
        <v>1</v>
      </c>
      <c r="AI965" cm="1">
        <f t="array" ref="AI965">_xlfn.SWITCH(tbl_HR_Data[[#This Row],[MaritalStatus]],"Single",0,"Married",1,"Divorced",2)</f>
        <v>2</v>
      </c>
      <c r="AJ965">
        <f>IF(tbl_HR_Data[[#This Row],[OverTime]]=1,1,0)</f>
        <v>0</v>
      </c>
      <c r="AK965">
        <f>IF(tbl_HR_Data[[#This Row],[DistanceFromHome]]&gt;15,1,0)</f>
        <v>0</v>
      </c>
      <c r="AL965">
        <f>IF(tbl_HR_Data[[#This Row],[JobSatisfaction]]&lt;=2,1,0)</f>
        <v>1</v>
      </c>
      <c r="AM965">
        <f>IF(tbl_HR_Data[[#This Row],[MonthlyIncome]]&lt;$AT$2,1,0)</f>
        <v>0</v>
      </c>
      <c r="AN965">
        <f>IF(tbl_HR_Data[[#This Row],[Travel_Code]]=2,1,0)</f>
        <v>0</v>
      </c>
      <c r="AO965">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965" s="15">
        <f>tbl_HR_Data[[#This Row],[Risk_Score_Raw]] / SUM(Logic_Parameters!$B$2:$B$6)</f>
        <v>0.14485673308716898</v>
      </c>
      <c r="AQ965" s="16" t="str" cm="1">
        <f t="array" ref="AQ965">_xlfn.IFS(tbl_HR_Data[[#This Row],[Attrition_Risk_Percentage]] &gt;= 0.75, "Critical",tbl_HR_Data[ [#This Row],[Attrition_Risk_Percentage] ]&gt;= 0.5, "High",tbl_HR_Data[[#This Row],[Attrition_Risk_Percentage]] &gt;= 0.25, "Medium",TRUE, "Low")</f>
        <v>Low</v>
      </c>
      <c r="AR965" s="16" cm="1">
        <f t="array" ref="AR965">IFERROR(_xlfn.IFS(tbl_HR_Data[[#This Row],[Risk_Category]]="Critical",tbl_HR_Data[[#This Row],[MonthlyIncome]]*1.5,tbl_HR_Data[[#This Row],[Risk_Category]]="High",tbl_HR_Data[[#This Row],[MonthlyIncome]]*1.5),0)</f>
        <v>0</v>
      </c>
    </row>
    <row r="966" spans="1:44" x14ac:dyDescent="0.35">
      <c r="A966" t="s">
        <v>529</v>
      </c>
      <c r="B966">
        <v>34</v>
      </c>
      <c r="C966" t="s">
        <v>31</v>
      </c>
      <c r="D966">
        <v>507</v>
      </c>
      <c r="E966" t="s">
        <v>32</v>
      </c>
      <c r="F966">
        <v>15</v>
      </c>
      <c r="G966">
        <v>2</v>
      </c>
      <c r="H966" t="s">
        <v>44</v>
      </c>
      <c r="I966">
        <v>3</v>
      </c>
      <c r="J966" t="s">
        <v>34</v>
      </c>
      <c r="K966">
        <v>66</v>
      </c>
      <c r="L966">
        <v>3</v>
      </c>
      <c r="M966">
        <v>2</v>
      </c>
      <c r="N966" t="s">
        <v>35</v>
      </c>
      <c r="O966">
        <v>1</v>
      </c>
      <c r="P966" t="s">
        <v>36</v>
      </c>
      <c r="Q966">
        <v>6125</v>
      </c>
      <c r="R966">
        <v>23553</v>
      </c>
      <c r="S966">
        <v>1</v>
      </c>
      <c r="T966">
        <v>0</v>
      </c>
      <c r="U966" s="17">
        <v>0.12</v>
      </c>
      <c r="V966">
        <v>3</v>
      </c>
      <c r="W966">
        <v>4</v>
      </c>
      <c r="X966">
        <v>0</v>
      </c>
      <c r="Y966">
        <v>10</v>
      </c>
      <c r="Z966">
        <v>6</v>
      </c>
      <c r="AA966">
        <v>4</v>
      </c>
      <c r="AB966">
        <v>10</v>
      </c>
      <c r="AC966">
        <v>8</v>
      </c>
      <c r="AD966">
        <v>9</v>
      </c>
      <c r="AE966">
        <v>6</v>
      </c>
      <c r="AF966">
        <v>0</v>
      </c>
      <c r="AG966">
        <f>IF(tbl_HR_Data[[#This Row],[Gender]]="Male",1,0)</f>
        <v>0</v>
      </c>
      <c r="AH966" cm="1">
        <f t="array" ref="AH966">_xlfn.SWITCH(tbl_HR_Data[[#This Row],[BusinessTravel]], "Non-Travel", 0, "Travel_Rarely", 1, "Travel_Frequently", 2)</f>
        <v>1</v>
      </c>
      <c r="AI966" cm="1">
        <f t="array" ref="AI966">_xlfn.SWITCH(tbl_HR_Data[[#This Row],[MaritalStatus]],"Single",0,"Married",1,"Divorced",2)</f>
        <v>0</v>
      </c>
      <c r="AJ966">
        <f>IF(tbl_HR_Data[[#This Row],[OverTime]]=1,1,0)</f>
        <v>0</v>
      </c>
      <c r="AK966">
        <f>IF(tbl_HR_Data[[#This Row],[DistanceFromHome]]&gt;15,1,0)</f>
        <v>0</v>
      </c>
      <c r="AL966">
        <f>IF(tbl_HR_Data[[#This Row],[JobSatisfaction]]&lt;=2,1,0)</f>
        <v>1</v>
      </c>
      <c r="AM966">
        <f>IF(tbl_HR_Data[[#This Row],[MonthlyIncome]]&lt;$AT$2,1,0)</f>
        <v>0</v>
      </c>
      <c r="AN966">
        <f>IF(tbl_HR_Data[[#This Row],[Travel_Code]]=2,1,0)</f>
        <v>0</v>
      </c>
      <c r="AO966">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966" s="15">
        <f>tbl_HR_Data[[#This Row],[Risk_Score_Raw]] / SUM(Logic_Parameters!$B$2:$B$6)</f>
        <v>0.14485673308716898</v>
      </c>
      <c r="AQ966" s="16" t="str" cm="1">
        <f t="array" ref="AQ966">_xlfn.IFS(tbl_HR_Data[[#This Row],[Attrition_Risk_Percentage]] &gt;= 0.75, "Critical",tbl_HR_Data[ [#This Row],[Attrition_Risk_Percentage] ]&gt;= 0.5, "High",tbl_HR_Data[[#This Row],[Attrition_Risk_Percentage]] &gt;= 0.25, "Medium",TRUE, "Low")</f>
        <v>Low</v>
      </c>
      <c r="AR966" s="16" cm="1">
        <f t="array" ref="AR966">IFERROR(_xlfn.IFS(tbl_HR_Data[[#This Row],[Risk_Category]]="Critical",tbl_HR_Data[[#This Row],[MonthlyIncome]]*1.5,tbl_HR_Data[[#This Row],[Risk_Category]]="High",tbl_HR_Data[[#This Row],[MonthlyIncome]]*1.5),0)</f>
        <v>0</v>
      </c>
    </row>
    <row r="967" spans="1:44" x14ac:dyDescent="0.35">
      <c r="A967" t="s">
        <v>1122</v>
      </c>
      <c r="B967">
        <v>25</v>
      </c>
      <c r="C967" t="s">
        <v>31</v>
      </c>
      <c r="D967">
        <v>882</v>
      </c>
      <c r="E967" t="s">
        <v>38</v>
      </c>
      <c r="F967">
        <v>19</v>
      </c>
      <c r="G967">
        <v>1</v>
      </c>
      <c r="H967" t="s">
        <v>44</v>
      </c>
      <c r="I967">
        <v>4</v>
      </c>
      <c r="J967" t="s">
        <v>39</v>
      </c>
      <c r="K967">
        <v>67</v>
      </c>
      <c r="L967">
        <v>3</v>
      </c>
      <c r="M967">
        <v>1</v>
      </c>
      <c r="N967" t="s">
        <v>43</v>
      </c>
      <c r="O967">
        <v>4</v>
      </c>
      <c r="P967" t="s">
        <v>41</v>
      </c>
      <c r="Q967">
        <v>3669</v>
      </c>
      <c r="R967">
        <v>9075</v>
      </c>
      <c r="S967">
        <v>3</v>
      </c>
      <c r="T967">
        <v>0</v>
      </c>
      <c r="U967" s="17">
        <v>0.11</v>
      </c>
      <c r="V967">
        <v>3</v>
      </c>
      <c r="W967">
        <v>3</v>
      </c>
      <c r="X967">
        <v>3</v>
      </c>
      <c r="Y967">
        <v>7</v>
      </c>
      <c r="Z967">
        <v>6</v>
      </c>
      <c r="AA967">
        <v>2</v>
      </c>
      <c r="AB967">
        <v>3</v>
      </c>
      <c r="AC967">
        <v>2</v>
      </c>
      <c r="AD967">
        <v>1</v>
      </c>
      <c r="AE967">
        <v>2</v>
      </c>
      <c r="AF967">
        <v>0</v>
      </c>
      <c r="AG967">
        <f>IF(tbl_HR_Data[[#This Row],[Gender]]="Male",1,0)</f>
        <v>1</v>
      </c>
      <c r="AH967" cm="1">
        <f t="array" ref="AH967">_xlfn.SWITCH(tbl_HR_Data[[#This Row],[BusinessTravel]], "Non-Travel", 0, "Travel_Rarely", 1, "Travel_Frequently", 2)</f>
        <v>1</v>
      </c>
      <c r="AI967" cm="1">
        <f t="array" ref="AI967">_xlfn.SWITCH(tbl_HR_Data[[#This Row],[MaritalStatus]],"Single",0,"Married",1,"Divorced",2)</f>
        <v>1</v>
      </c>
      <c r="AJ967">
        <f>IF(tbl_HR_Data[[#This Row],[OverTime]]=1,1,0)</f>
        <v>0</v>
      </c>
      <c r="AK967">
        <f>IF(tbl_HR_Data[[#This Row],[DistanceFromHome]]&gt;15,1,0)</f>
        <v>1</v>
      </c>
      <c r="AL967">
        <f>IF(tbl_HR_Data[[#This Row],[JobSatisfaction]]&lt;=2,1,0)</f>
        <v>0</v>
      </c>
      <c r="AM967">
        <f>IF(tbl_HR_Data[[#This Row],[MonthlyIncome]]&lt;$AT$2,1,0)</f>
        <v>1</v>
      </c>
      <c r="AN967">
        <f>IF(tbl_HR_Data[[#This Row],[Travel_Code]]=2,1,0)</f>
        <v>0</v>
      </c>
      <c r="AO967">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967" s="15">
        <f>tbl_HR_Data[[#This Row],[Risk_Score_Raw]] / SUM(Logic_Parameters!$B$2:$B$6)</f>
        <v>0.33282973125692844</v>
      </c>
      <c r="AQ967" s="16" t="str" cm="1">
        <f t="array" ref="AQ967">_xlfn.IFS(tbl_HR_Data[[#This Row],[Attrition_Risk_Percentage]] &gt;= 0.75, "Critical",tbl_HR_Data[ [#This Row],[Attrition_Risk_Percentage] ]&gt;= 0.5, "High",tbl_HR_Data[[#This Row],[Attrition_Risk_Percentage]] &gt;= 0.25, "Medium",TRUE, "Low")</f>
        <v>Medium</v>
      </c>
      <c r="AR967" s="16" cm="1">
        <f t="array" ref="AR967">IFERROR(_xlfn.IFS(tbl_HR_Data[[#This Row],[Risk_Category]]="Critical",tbl_HR_Data[[#This Row],[MonthlyIncome]]*1.5,tbl_HR_Data[[#This Row],[Risk_Category]]="High",tbl_HR_Data[[#This Row],[MonthlyIncome]]*1.5),0)</f>
        <v>0</v>
      </c>
    </row>
    <row r="968" spans="1:44" x14ac:dyDescent="0.35">
      <c r="A968" t="s">
        <v>517</v>
      </c>
      <c r="B968">
        <v>58</v>
      </c>
      <c r="C968" t="s">
        <v>31</v>
      </c>
      <c r="D968">
        <v>601</v>
      </c>
      <c r="E968" t="s">
        <v>38</v>
      </c>
      <c r="F968">
        <v>7</v>
      </c>
      <c r="G968">
        <v>4</v>
      </c>
      <c r="H968" t="s">
        <v>44</v>
      </c>
      <c r="I968">
        <v>3</v>
      </c>
      <c r="J968" t="s">
        <v>34</v>
      </c>
      <c r="K968">
        <v>53</v>
      </c>
      <c r="L968">
        <v>2</v>
      </c>
      <c r="M968">
        <v>3</v>
      </c>
      <c r="N968" t="s">
        <v>46</v>
      </c>
      <c r="O968">
        <v>1</v>
      </c>
      <c r="P968" t="s">
        <v>41</v>
      </c>
      <c r="Q968">
        <v>10008</v>
      </c>
      <c r="R968">
        <v>12023</v>
      </c>
      <c r="S968">
        <v>7</v>
      </c>
      <c r="T968">
        <v>1</v>
      </c>
      <c r="U968" s="17">
        <v>0.14000000000000001</v>
      </c>
      <c r="V968">
        <v>3</v>
      </c>
      <c r="W968">
        <v>4</v>
      </c>
      <c r="X968">
        <v>0</v>
      </c>
      <c r="Y968">
        <v>31</v>
      </c>
      <c r="Z968">
        <v>0</v>
      </c>
      <c r="AA968">
        <v>2</v>
      </c>
      <c r="AB968">
        <v>10</v>
      </c>
      <c r="AC968">
        <v>9</v>
      </c>
      <c r="AD968">
        <v>5</v>
      </c>
      <c r="AE968">
        <v>9</v>
      </c>
      <c r="AF968">
        <v>1</v>
      </c>
      <c r="AG968">
        <f>IF(tbl_HR_Data[[#This Row],[Gender]]="Male",1,0)</f>
        <v>0</v>
      </c>
      <c r="AH968" cm="1">
        <f t="array" ref="AH968">_xlfn.SWITCH(tbl_HR_Data[[#This Row],[BusinessTravel]], "Non-Travel", 0, "Travel_Rarely", 1, "Travel_Frequently", 2)</f>
        <v>1</v>
      </c>
      <c r="AI968" cm="1">
        <f t="array" ref="AI968">_xlfn.SWITCH(tbl_HR_Data[[#This Row],[MaritalStatus]],"Single",0,"Married",1,"Divorced",2)</f>
        <v>1</v>
      </c>
      <c r="AJ968">
        <f>IF(tbl_HR_Data[[#This Row],[OverTime]]=1,1,0)</f>
        <v>1</v>
      </c>
      <c r="AK968">
        <f>IF(tbl_HR_Data[[#This Row],[DistanceFromHome]]&gt;15,1,0)</f>
        <v>0</v>
      </c>
      <c r="AL968">
        <f>IF(tbl_HR_Data[[#This Row],[JobSatisfaction]]&lt;=2,1,0)</f>
        <v>1</v>
      </c>
      <c r="AM968">
        <f>IF(tbl_HR_Data[[#This Row],[MonthlyIncome]]&lt;$AT$2,1,0)</f>
        <v>0</v>
      </c>
      <c r="AN968">
        <f>IF(tbl_HR_Data[[#This Row],[Travel_Code]]=2,1,0)</f>
        <v>0</v>
      </c>
      <c r="AO968">
        <f>(tbl_HR_Data[[#This Row],[Flag_OT]] * Logic_Parameters!$B$2) +
 (tbl_HR_Data[[#This Row],[Flag_Travel]] * Logic_Parameters!$B$3) +
 (tbl_HR_Data[[#This Row],[Flag_Satisfaction]] * Logic_Parameters!$B$4) +
 (tbl_HR_Data[[#This Row],[Flag_Distance]]* Logic_Parameters!$B$5) +
 (tbl_HR_Data[[#This Row],[Flag_Income]] * Logic_Parameters!$B$6)</f>
        <v>14.204533129978131</v>
      </c>
      <c r="AP968" s="15">
        <f>tbl_HR_Data[[#This Row],[Risk_Score_Raw]] / SUM(Logic_Parameters!$B$2:$B$6)</f>
        <v>0.48938186491297625</v>
      </c>
      <c r="AQ968" s="16" t="str" cm="1">
        <f t="array" ref="AQ968">_xlfn.IFS(tbl_HR_Data[[#This Row],[Attrition_Risk_Percentage]] &gt;= 0.75, "Critical",tbl_HR_Data[ [#This Row],[Attrition_Risk_Percentage] ]&gt;= 0.5, "High",tbl_HR_Data[[#This Row],[Attrition_Risk_Percentage]] &gt;= 0.25, "Medium",TRUE, "Low")</f>
        <v>Medium</v>
      </c>
      <c r="AR968" s="16" cm="1">
        <f t="array" ref="AR968">IFERROR(_xlfn.IFS(tbl_HR_Data[[#This Row],[Risk_Category]]="Critical",tbl_HR_Data[[#This Row],[MonthlyIncome]]*1.5,tbl_HR_Data[[#This Row],[Risk_Category]]="High",tbl_HR_Data[[#This Row],[MonthlyIncome]]*1.5),0)</f>
        <v>0</v>
      </c>
    </row>
    <row r="969" spans="1:44" x14ac:dyDescent="0.35">
      <c r="A969" t="s">
        <v>457</v>
      </c>
      <c r="B969">
        <v>40</v>
      </c>
      <c r="C969" t="s">
        <v>31</v>
      </c>
      <c r="D969">
        <v>329</v>
      </c>
      <c r="E969" t="s">
        <v>38</v>
      </c>
      <c r="F969">
        <v>1</v>
      </c>
      <c r="G969">
        <v>4</v>
      </c>
      <c r="H969" t="s">
        <v>33</v>
      </c>
      <c r="I969">
        <v>2</v>
      </c>
      <c r="J969" t="s">
        <v>39</v>
      </c>
      <c r="K969">
        <v>88</v>
      </c>
      <c r="L969">
        <v>3</v>
      </c>
      <c r="M969">
        <v>1</v>
      </c>
      <c r="N969" t="s">
        <v>43</v>
      </c>
      <c r="O969">
        <v>2</v>
      </c>
      <c r="P969" t="s">
        <v>41</v>
      </c>
      <c r="Q969">
        <v>2387</v>
      </c>
      <c r="R969">
        <v>6762</v>
      </c>
      <c r="S969">
        <v>3</v>
      </c>
      <c r="T969">
        <v>0</v>
      </c>
      <c r="U969" s="17">
        <v>0.22</v>
      </c>
      <c r="V969">
        <v>4</v>
      </c>
      <c r="W969">
        <v>3</v>
      </c>
      <c r="X969">
        <v>1</v>
      </c>
      <c r="Y969">
        <v>7</v>
      </c>
      <c r="Z969">
        <v>3</v>
      </c>
      <c r="AA969">
        <v>3</v>
      </c>
      <c r="AB969">
        <v>4</v>
      </c>
      <c r="AC969">
        <v>2</v>
      </c>
      <c r="AD969">
        <v>0</v>
      </c>
      <c r="AE969">
        <v>3</v>
      </c>
      <c r="AF969">
        <v>0</v>
      </c>
      <c r="AG969">
        <f>IF(tbl_HR_Data[[#This Row],[Gender]]="Male",1,0)</f>
        <v>1</v>
      </c>
      <c r="AH969" cm="1">
        <f t="array" ref="AH969">_xlfn.SWITCH(tbl_HR_Data[[#This Row],[BusinessTravel]], "Non-Travel", 0, "Travel_Rarely", 1, "Travel_Frequently", 2)</f>
        <v>1</v>
      </c>
      <c r="AI969" cm="1">
        <f t="array" ref="AI969">_xlfn.SWITCH(tbl_HR_Data[[#This Row],[MaritalStatus]],"Single",0,"Married",1,"Divorced",2)</f>
        <v>1</v>
      </c>
      <c r="AJ969">
        <f>IF(tbl_HR_Data[[#This Row],[OverTime]]=1,1,0)</f>
        <v>0</v>
      </c>
      <c r="AK969">
        <f>IF(tbl_HR_Data[[#This Row],[DistanceFromHome]]&gt;15,1,0)</f>
        <v>0</v>
      </c>
      <c r="AL969">
        <f>IF(tbl_HR_Data[[#This Row],[JobSatisfaction]]&lt;=2,1,0)</f>
        <v>1</v>
      </c>
      <c r="AM969">
        <f>IF(tbl_HR_Data[[#This Row],[MonthlyIncome]]&lt;$AT$2,1,0)</f>
        <v>1</v>
      </c>
      <c r="AN969">
        <f>IF(tbl_HR_Data[[#This Row],[Travel_Code]]=2,1,0)</f>
        <v>0</v>
      </c>
      <c r="AO969">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969" s="15">
        <f>tbl_HR_Data[[#This Row],[Risk_Score_Raw]] / SUM(Logic_Parameters!$B$2:$B$6)</f>
        <v>0.3686061316669938</v>
      </c>
      <c r="AQ969" s="16" t="str" cm="1">
        <f t="array" ref="AQ969">_xlfn.IFS(tbl_HR_Data[[#This Row],[Attrition_Risk_Percentage]] &gt;= 0.75, "Critical",tbl_HR_Data[ [#This Row],[Attrition_Risk_Percentage] ]&gt;= 0.5, "High",tbl_HR_Data[[#This Row],[Attrition_Risk_Percentage]] &gt;= 0.25, "Medium",TRUE, "Low")</f>
        <v>Medium</v>
      </c>
      <c r="AR969" s="16" cm="1">
        <f t="array" ref="AR969">IFERROR(_xlfn.IFS(tbl_HR_Data[[#This Row],[Risk_Category]]="Critical",tbl_HR_Data[[#This Row],[MonthlyIncome]]*1.5,tbl_HR_Data[[#This Row],[Risk_Category]]="High",tbl_HR_Data[[#This Row],[MonthlyIncome]]*1.5),0)</f>
        <v>0</v>
      </c>
    </row>
    <row r="970" spans="1:44" x14ac:dyDescent="0.35">
      <c r="A970" t="s">
        <v>636</v>
      </c>
      <c r="B970">
        <v>36</v>
      </c>
      <c r="C970" t="s">
        <v>37</v>
      </c>
      <c r="D970">
        <v>607</v>
      </c>
      <c r="E970" t="s">
        <v>32</v>
      </c>
      <c r="F970">
        <v>7</v>
      </c>
      <c r="G970">
        <v>3</v>
      </c>
      <c r="H970" t="s">
        <v>51</v>
      </c>
      <c r="I970">
        <v>1</v>
      </c>
      <c r="J970" t="s">
        <v>34</v>
      </c>
      <c r="K970">
        <v>83</v>
      </c>
      <c r="L970">
        <v>4</v>
      </c>
      <c r="M970">
        <v>2</v>
      </c>
      <c r="N970" t="s">
        <v>35</v>
      </c>
      <c r="O970">
        <v>1</v>
      </c>
      <c r="P970" t="s">
        <v>41</v>
      </c>
      <c r="Q970">
        <v>4639</v>
      </c>
      <c r="R970">
        <v>2261</v>
      </c>
      <c r="S970">
        <v>2</v>
      </c>
      <c r="T970">
        <v>0</v>
      </c>
      <c r="U970" s="17">
        <v>0.16</v>
      </c>
      <c r="V970">
        <v>3</v>
      </c>
      <c r="W970">
        <v>4</v>
      </c>
      <c r="X970">
        <v>1</v>
      </c>
      <c r="Y970">
        <v>17</v>
      </c>
      <c r="Z970">
        <v>2</v>
      </c>
      <c r="AA970">
        <v>2</v>
      </c>
      <c r="AB970">
        <v>15</v>
      </c>
      <c r="AC970">
        <v>7</v>
      </c>
      <c r="AD970">
        <v>6</v>
      </c>
      <c r="AE970">
        <v>13</v>
      </c>
      <c r="AF970">
        <v>0</v>
      </c>
      <c r="AG970">
        <f>IF(tbl_HR_Data[[#This Row],[Gender]]="Male",1,0)</f>
        <v>0</v>
      </c>
      <c r="AH970" cm="1">
        <f t="array" ref="AH970">_xlfn.SWITCH(tbl_HR_Data[[#This Row],[BusinessTravel]], "Non-Travel", 0, "Travel_Rarely", 1, "Travel_Frequently", 2)</f>
        <v>2</v>
      </c>
      <c r="AI970" cm="1">
        <f t="array" ref="AI970">_xlfn.SWITCH(tbl_HR_Data[[#This Row],[MaritalStatus]],"Single",0,"Married",1,"Divorced",2)</f>
        <v>1</v>
      </c>
      <c r="AJ970">
        <f>IF(tbl_HR_Data[[#This Row],[OverTime]]=1,1,0)</f>
        <v>0</v>
      </c>
      <c r="AK970">
        <f>IF(tbl_HR_Data[[#This Row],[DistanceFromHome]]&gt;15,1,0)</f>
        <v>0</v>
      </c>
      <c r="AL970">
        <f>IF(tbl_HR_Data[[#This Row],[JobSatisfaction]]&lt;=2,1,0)</f>
        <v>1</v>
      </c>
      <c r="AM970">
        <f>IF(tbl_HR_Data[[#This Row],[MonthlyIncome]]&lt;$AT$2,1,0)</f>
        <v>1</v>
      </c>
      <c r="AN970">
        <f>IF(tbl_HR_Data[[#This Row],[Travel_Code]]=2,1,0)</f>
        <v>1</v>
      </c>
      <c r="AO970">
        <f>(tbl_HR_Data[[#This Row],[Flag_OT]] * Logic_Parameters!$B$2) +
 (tbl_HR_Data[[#This Row],[Flag_Travel]] * Logic_Parameters!$B$3) +
 (tbl_HR_Data[[#This Row],[Flag_Satisfaction]] * Logic_Parameters!$B$4) +
 (tbl_HR_Data[[#This Row],[Flag_Distance]]* Logic_Parameters!$B$5) +
 (tbl_HR_Data[[#This Row],[Flag_Income]] * Logic_Parameters!$B$6)</f>
        <v>15.859352047889136</v>
      </c>
      <c r="AP970" s="15">
        <f>tbl_HR_Data[[#This Row],[Risk_Score_Raw]] / SUM(Logic_Parameters!$B$2:$B$6)</f>
        <v>0.54639453549708916</v>
      </c>
      <c r="AQ970" s="16" t="str" cm="1">
        <f t="array" ref="AQ970">_xlfn.IFS(tbl_HR_Data[[#This Row],[Attrition_Risk_Percentage]] &gt;= 0.75, "Critical",tbl_HR_Data[ [#This Row],[Attrition_Risk_Percentage] ]&gt;= 0.5, "High",tbl_HR_Data[[#This Row],[Attrition_Risk_Percentage]] &gt;= 0.25, "Medium",TRUE, "Low")</f>
        <v>High</v>
      </c>
      <c r="AR970" s="16" cm="1">
        <f t="array" ref="AR970">IFERROR(_xlfn.IFS(tbl_HR_Data[[#This Row],[Risk_Category]]="Critical",tbl_HR_Data[[#This Row],[MonthlyIncome]]*1.5,tbl_HR_Data[[#This Row],[Risk_Category]]="High",tbl_HR_Data[[#This Row],[MonthlyIncome]]*1.5),0)</f>
        <v>6958.5</v>
      </c>
    </row>
    <row r="971" spans="1:44" x14ac:dyDescent="0.35">
      <c r="A971" t="s">
        <v>430</v>
      </c>
      <c r="B971">
        <v>48</v>
      </c>
      <c r="C971" t="s">
        <v>31</v>
      </c>
      <c r="D971">
        <v>855</v>
      </c>
      <c r="E971" t="s">
        <v>38</v>
      </c>
      <c r="F971">
        <v>4</v>
      </c>
      <c r="G971">
        <v>3</v>
      </c>
      <c r="H971" t="s">
        <v>33</v>
      </c>
      <c r="I971">
        <v>4</v>
      </c>
      <c r="J971" t="s">
        <v>39</v>
      </c>
      <c r="K971">
        <v>54</v>
      </c>
      <c r="L971">
        <v>3</v>
      </c>
      <c r="M971">
        <v>3</v>
      </c>
      <c r="N971" t="s">
        <v>46</v>
      </c>
      <c r="O971">
        <v>4</v>
      </c>
      <c r="P971" t="s">
        <v>36</v>
      </c>
      <c r="Q971">
        <v>7898</v>
      </c>
      <c r="R971">
        <v>18706</v>
      </c>
      <c r="S971">
        <v>1</v>
      </c>
      <c r="T971">
        <v>0</v>
      </c>
      <c r="U971" s="17">
        <v>0.11</v>
      </c>
      <c r="V971">
        <v>3</v>
      </c>
      <c r="W971">
        <v>3</v>
      </c>
      <c r="X971">
        <v>0</v>
      </c>
      <c r="Y971">
        <v>11</v>
      </c>
      <c r="Z971">
        <v>2</v>
      </c>
      <c r="AA971">
        <v>3</v>
      </c>
      <c r="AB971">
        <v>10</v>
      </c>
      <c r="AC971">
        <v>9</v>
      </c>
      <c r="AD971">
        <v>0</v>
      </c>
      <c r="AE971">
        <v>8</v>
      </c>
      <c r="AF971">
        <v>0</v>
      </c>
      <c r="AG971">
        <f>IF(tbl_HR_Data[[#This Row],[Gender]]="Male",1,0)</f>
        <v>1</v>
      </c>
      <c r="AH971" cm="1">
        <f t="array" ref="AH971">_xlfn.SWITCH(tbl_HR_Data[[#This Row],[BusinessTravel]], "Non-Travel", 0, "Travel_Rarely", 1, "Travel_Frequently", 2)</f>
        <v>1</v>
      </c>
      <c r="AI971" cm="1">
        <f t="array" ref="AI971">_xlfn.SWITCH(tbl_HR_Data[[#This Row],[MaritalStatus]],"Single",0,"Married",1,"Divorced",2)</f>
        <v>0</v>
      </c>
      <c r="AJ971">
        <f>IF(tbl_HR_Data[[#This Row],[OverTime]]=1,1,0)</f>
        <v>0</v>
      </c>
      <c r="AK971">
        <f>IF(tbl_HR_Data[[#This Row],[DistanceFromHome]]&gt;15,1,0)</f>
        <v>0</v>
      </c>
      <c r="AL971">
        <f>IF(tbl_HR_Data[[#This Row],[JobSatisfaction]]&lt;=2,1,0)</f>
        <v>0</v>
      </c>
      <c r="AM971">
        <f>IF(tbl_HR_Data[[#This Row],[MonthlyIncome]]&lt;$AT$2,1,0)</f>
        <v>0</v>
      </c>
      <c r="AN971">
        <f>IF(tbl_HR_Data[[#This Row],[Travel_Code]]=2,1,0)</f>
        <v>0</v>
      </c>
      <c r="AO971">
        <f>(tbl_HR_Data[[#This Row],[Flag_OT]] * Logic_Parameters!$B$2) +
 (tbl_HR_Data[[#This Row],[Flag_Travel]] * Logic_Parameters!$B$3) +
 (tbl_HR_Data[[#This Row],[Flag_Satisfaction]] * Logic_Parameters!$B$4) +
 (tbl_HR_Data[[#This Row],[Flag_Distance]]* Logic_Parameters!$B$5) +
 (tbl_HR_Data[[#This Row],[Flag_Income]] * Logic_Parameters!$B$6)</f>
        <v>0</v>
      </c>
      <c r="AP971" s="15">
        <f>tbl_HR_Data[[#This Row],[Risk_Score_Raw]] / SUM(Logic_Parameters!$B$2:$B$6)</f>
        <v>0</v>
      </c>
      <c r="AQ971" s="16" t="str" cm="1">
        <f t="array" ref="AQ971">_xlfn.IFS(tbl_HR_Data[[#This Row],[Attrition_Risk_Percentage]] &gt;= 0.75, "Critical",tbl_HR_Data[ [#This Row],[Attrition_Risk_Percentage] ]&gt;= 0.5, "High",tbl_HR_Data[[#This Row],[Attrition_Risk_Percentage]] &gt;= 0.25, "Medium",TRUE, "Low")</f>
        <v>Low</v>
      </c>
      <c r="AR971" s="16" cm="1">
        <f t="array" ref="AR971">IFERROR(_xlfn.IFS(tbl_HR_Data[[#This Row],[Risk_Category]]="Critical",tbl_HR_Data[[#This Row],[MonthlyIncome]]*1.5,tbl_HR_Data[[#This Row],[Risk_Category]]="High",tbl_HR_Data[[#This Row],[MonthlyIncome]]*1.5),0)</f>
        <v>0</v>
      </c>
    </row>
    <row r="972" spans="1:44" x14ac:dyDescent="0.35">
      <c r="A972" t="s">
        <v>610</v>
      </c>
      <c r="B972">
        <v>27</v>
      </c>
      <c r="C972" t="s">
        <v>31</v>
      </c>
      <c r="D972">
        <v>1291</v>
      </c>
      <c r="E972" t="s">
        <v>32</v>
      </c>
      <c r="F972">
        <v>11</v>
      </c>
      <c r="G972">
        <v>3</v>
      </c>
      <c r="H972" t="s">
        <v>44</v>
      </c>
      <c r="I972">
        <v>3</v>
      </c>
      <c r="J972" t="s">
        <v>34</v>
      </c>
      <c r="K972">
        <v>98</v>
      </c>
      <c r="L972">
        <v>4</v>
      </c>
      <c r="M972">
        <v>1</v>
      </c>
      <c r="N972" t="s">
        <v>49</v>
      </c>
      <c r="O972">
        <v>4</v>
      </c>
      <c r="P972" t="s">
        <v>41</v>
      </c>
      <c r="Q972">
        <v>2534</v>
      </c>
      <c r="R972">
        <v>6527</v>
      </c>
      <c r="S972">
        <v>8</v>
      </c>
      <c r="T972">
        <v>0</v>
      </c>
      <c r="U972" s="17">
        <v>0.14000000000000001</v>
      </c>
      <c r="V972">
        <v>3</v>
      </c>
      <c r="W972">
        <v>2</v>
      </c>
      <c r="X972">
        <v>1</v>
      </c>
      <c r="Y972">
        <v>5</v>
      </c>
      <c r="Z972">
        <v>4</v>
      </c>
      <c r="AA972">
        <v>3</v>
      </c>
      <c r="AB972">
        <v>1</v>
      </c>
      <c r="AC972">
        <v>0</v>
      </c>
      <c r="AD972">
        <v>0</v>
      </c>
      <c r="AE972">
        <v>0</v>
      </c>
      <c r="AF972">
        <v>0</v>
      </c>
      <c r="AG972">
        <f>IF(tbl_HR_Data[[#This Row],[Gender]]="Male",1,0)</f>
        <v>0</v>
      </c>
      <c r="AH972" cm="1">
        <f t="array" ref="AH972">_xlfn.SWITCH(tbl_HR_Data[[#This Row],[BusinessTravel]], "Non-Travel", 0, "Travel_Rarely", 1, "Travel_Frequently", 2)</f>
        <v>1</v>
      </c>
      <c r="AI972" cm="1">
        <f t="array" ref="AI972">_xlfn.SWITCH(tbl_HR_Data[[#This Row],[MaritalStatus]],"Single",0,"Married",1,"Divorced",2)</f>
        <v>1</v>
      </c>
      <c r="AJ972">
        <f>IF(tbl_HR_Data[[#This Row],[OverTime]]=1,1,0)</f>
        <v>0</v>
      </c>
      <c r="AK972">
        <f>IF(tbl_HR_Data[[#This Row],[DistanceFromHome]]&gt;15,1,0)</f>
        <v>0</v>
      </c>
      <c r="AL972">
        <f>IF(tbl_HR_Data[[#This Row],[JobSatisfaction]]&lt;=2,1,0)</f>
        <v>0</v>
      </c>
      <c r="AM972">
        <f>IF(tbl_HR_Data[[#This Row],[MonthlyIncome]]&lt;$AT$2,1,0)</f>
        <v>1</v>
      </c>
      <c r="AN972">
        <f>IF(tbl_HR_Data[[#This Row],[Travel_Code]]=2,1,0)</f>
        <v>0</v>
      </c>
      <c r="AO972">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972" s="15">
        <f>tbl_HR_Data[[#This Row],[Risk_Score_Raw]] / SUM(Logic_Parameters!$B$2:$B$6)</f>
        <v>0.22374939857982484</v>
      </c>
      <c r="AQ972" s="16" t="str" cm="1">
        <f t="array" ref="AQ972">_xlfn.IFS(tbl_HR_Data[[#This Row],[Attrition_Risk_Percentage]] &gt;= 0.75, "Critical",tbl_HR_Data[ [#This Row],[Attrition_Risk_Percentage] ]&gt;= 0.5, "High",tbl_HR_Data[[#This Row],[Attrition_Risk_Percentage]] &gt;= 0.25, "Medium",TRUE, "Low")</f>
        <v>Low</v>
      </c>
      <c r="AR972" s="16" cm="1">
        <f t="array" ref="AR972">IFERROR(_xlfn.IFS(tbl_HR_Data[[#This Row],[Risk_Category]]="Critical",tbl_HR_Data[[#This Row],[MonthlyIncome]]*1.5,tbl_HR_Data[[#This Row],[Risk_Category]]="High",tbl_HR_Data[[#This Row],[MonthlyIncome]]*1.5),0)</f>
        <v>0</v>
      </c>
    </row>
    <row r="973" spans="1:44" x14ac:dyDescent="0.35">
      <c r="A973" t="s">
        <v>1348</v>
      </c>
      <c r="B973">
        <v>51</v>
      </c>
      <c r="C973" t="s">
        <v>31</v>
      </c>
      <c r="D973">
        <v>1405</v>
      </c>
      <c r="E973" t="s">
        <v>38</v>
      </c>
      <c r="F973">
        <v>11</v>
      </c>
      <c r="G973">
        <v>2</v>
      </c>
      <c r="H973" t="s">
        <v>52</v>
      </c>
      <c r="I973">
        <v>4</v>
      </c>
      <c r="J973" t="s">
        <v>34</v>
      </c>
      <c r="K973">
        <v>82</v>
      </c>
      <c r="L973">
        <v>2</v>
      </c>
      <c r="M973">
        <v>4</v>
      </c>
      <c r="N973" t="s">
        <v>46</v>
      </c>
      <c r="O973">
        <v>2</v>
      </c>
      <c r="P973" t="s">
        <v>36</v>
      </c>
      <c r="Q973">
        <v>13142</v>
      </c>
      <c r="R973">
        <v>24439</v>
      </c>
      <c r="S973">
        <v>3</v>
      </c>
      <c r="T973">
        <v>0</v>
      </c>
      <c r="U973" s="17">
        <v>0.16</v>
      </c>
      <c r="V973">
        <v>3</v>
      </c>
      <c r="W973">
        <v>2</v>
      </c>
      <c r="X973">
        <v>0</v>
      </c>
      <c r="Y973">
        <v>29</v>
      </c>
      <c r="Z973">
        <v>1</v>
      </c>
      <c r="AA973">
        <v>2</v>
      </c>
      <c r="AB973">
        <v>5</v>
      </c>
      <c r="AC973">
        <v>2</v>
      </c>
      <c r="AD973">
        <v>0</v>
      </c>
      <c r="AE973">
        <v>3</v>
      </c>
      <c r="AF973">
        <v>0</v>
      </c>
      <c r="AG973">
        <f>IF(tbl_HR_Data[[#This Row],[Gender]]="Male",1,0)</f>
        <v>0</v>
      </c>
      <c r="AH973" cm="1">
        <f t="array" ref="AH973">_xlfn.SWITCH(tbl_HR_Data[[#This Row],[BusinessTravel]], "Non-Travel", 0, "Travel_Rarely", 1, "Travel_Frequently", 2)</f>
        <v>1</v>
      </c>
      <c r="AI973" cm="1">
        <f t="array" ref="AI973">_xlfn.SWITCH(tbl_HR_Data[[#This Row],[MaritalStatus]],"Single",0,"Married",1,"Divorced",2)</f>
        <v>0</v>
      </c>
      <c r="AJ973">
        <f>IF(tbl_HR_Data[[#This Row],[OverTime]]=1,1,0)</f>
        <v>0</v>
      </c>
      <c r="AK973">
        <f>IF(tbl_HR_Data[[#This Row],[DistanceFromHome]]&gt;15,1,0)</f>
        <v>0</v>
      </c>
      <c r="AL973">
        <f>IF(tbl_HR_Data[[#This Row],[JobSatisfaction]]&lt;=2,1,0)</f>
        <v>1</v>
      </c>
      <c r="AM973">
        <f>IF(tbl_HR_Data[[#This Row],[MonthlyIncome]]&lt;$AT$2,1,0)</f>
        <v>0</v>
      </c>
      <c r="AN973">
        <f>IF(tbl_HR_Data[[#This Row],[Travel_Code]]=2,1,0)</f>
        <v>0</v>
      </c>
      <c r="AO973">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973" s="15">
        <f>tbl_HR_Data[[#This Row],[Risk_Score_Raw]] / SUM(Logic_Parameters!$B$2:$B$6)</f>
        <v>0.14485673308716898</v>
      </c>
      <c r="AQ973" s="16" t="str" cm="1">
        <f t="array" ref="AQ973">_xlfn.IFS(tbl_HR_Data[[#This Row],[Attrition_Risk_Percentage]] &gt;= 0.75, "Critical",tbl_HR_Data[ [#This Row],[Attrition_Risk_Percentage] ]&gt;= 0.5, "High",tbl_HR_Data[[#This Row],[Attrition_Risk_Percentage]] &gt;= 0.25, "Medium",TRUE, "Low")</f>
        <v>Low</v>
      </c>
      <c r="AR973" s="16" cm="1">
        <f t="array" ref="AR973">IFERROR(_xlfn.IFS(tbl_HR_Data[[#This Row],[Risk_Category]]="Critical",tbl_HR_Data[[#This Row],[MonthlyIncome]]*1.5,tbl_HR_Data[[#This Row],[Risk_Category]]="High",tbl_HR_Data[[#This Row],[MonthlyIncome]]*1.5),0)</f>
        <v>0</v>
      </c>
    </row>
    <row r="974" spans="1:44" x14ac:dyDescent="0.35">
      <c r="A974" t="s">
        <v>1376</v>
      </c>
      <c r="B974">
        <v>18</v>
      </c>
      <c r="C974" t="s">
        <v>1525</v>
      </c>
      <c r="D974">
        <v>1124</v>
      </c>
      <c r="E974" t="s">
        <v>38</v>
      </c>
      <c r="F974">
        <v>1</v>
      </c>
      <c r="G974">
        <v>3</v>
      </c>
      <c r="H974" t="s">
        <v>33</v>
      </c>
      <c r="I974">
        <v>4</v>
      </c>
      <c r="J974" t="s">
        <v>34</v>
      </c>
      <c r="K974">
        <v>97</v>
      </c>
      <c r="L974">
        <v>3</v>
      </c>
      <c r="M974">
        <v>1</v>
      </c>
      <c r="N974" t="s">
        <v>43</v>
      </c>
      <c r="O974">
        <v>4</v>
      </c>
      <c r="P974" t="s">
        <v>36</v>
      </c>
      <c r="Q974">
        <v>1611</v>
      </c>
      <c r="R974">
        <v>19305</v>
      </c>
      <c r="S974">
        <v>1</v>
      </c>
      <c r="T974">
        <v>0</v>
      </c>
      <c r="U974" s="17">
        <v>0.15</v>
      </c>
      <c r="V974">
        <v>3</v>
      </c>
      <c r="W974">
        <v>3</v>
      </c>
      <c r="X974">
        <v>0</v>
      </c>
      <c r="Y974">
        <v>0</v>
      </c>
      <c r="Z974">
        <v>5</v>
      </c>
      <c r="AA974">
        <v>4</v>
      </c>
      <c r="AB974">
        <v>0</v>
      </c>
      <c r="AC974">
        <v>0</v>
      </c>
      <c r="AD974">
        <v>0</v>
      </c>
      <c r="AE974">
        <v>0</v>
      </c>
      <c r="AF974">
        <v>0</v>
      </c>
      <c r="AG974">
        <f>IF(tbl_HR_Data[[#This Row],[Gender]]="Male",1,0)</f>
        <v>0</v>
      </c>
      <c r="AH974" cm="1">
        <f t="array" ref="AH974">_xlfn.SWITCH(tbl_HR_Data[[#This Row],[BusinessTravel]], "Non-Travel", 0, "Travel_Rarely", 1, "Travel_Frequently", 2)</f>
        <v>0</v>
      </c>
      <c r="AI974" cm="1">
        <f t="array" ref="AI974">_xlfn.SWITCH(tbl_HR_Data[[#This Row],[MaritalStatus]],"Single",0,"Married",1,"Divorced",2)</f>
        <v>0</v>
      </c>
      <c r="AJ974">
        <f>IF(tbl_HR_Data[[#This Row],[OverTime]]=1,1,0)</f>
        <v>0</v>
      </c>
      <c r="AK974">
        <f>IF(tbl_HR_Data[[#This Row],[DistanceFromHome]]&gt;15,1,0)</f>
        <v>0</v>
      </c>
      <c r="AL974">
        <f>IF(tbl_HR_Data[[#This Row],[JobSatisfaction]]&lt;=2,1,0)</f>
        <v>0</v>
      </c>
      <c r="AM974">
        <f>IF(tbl_HR_Data[[#This Row],[MonthlyIncome]]&lt;$AT$2,1,0)</f>
        <v>1</v>
      </c>
      <c r="AN974">
        <f>IF(tbl_HR_Data[[#This Row],[Travel_Code]]=2,1,0)</f>
        <v>0</v>
      </c>
      <c r="AO974">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974" s="15">
        <f>tbl_HR_Data[[#This Row],[Risk_Score_Raw]] / SUM(Logic_Parameters!$B$2:$B$6)</f>
        <v>0.22374939857982484</v>
      </c>
      <c r="AQ974" s="16" t="str" cm="1">
        <f t="array" ref="AQ974">_xlfn.IFS(tbl_HR_Data[[#This Row],[Attrition_Risk_Percentage]] &gt;= 0.75, "Critical",tbl_HR_Data[ [#This Row],[Attrition_Risk_Percentage] ]&gt;= 0.5, "High",tbl_HR_Data[[#This Row],[Attrition_Risk_Percentage]] &gt;= 0.25, "Medium",TRUE, "Low")</f>
        <v>Low</v>
      </c>
      <c r="AR974" s="16" cm="1">
        <f t="array" ref="AR974">IFERROR(_xlfn.IFS(tbl_HR_Data[[#This Row],[Risk_Category]]="Critical",tbl_HR_Data[[#This Row],[MonthlyIncome]]*1.5,tbl_HR_Data[[#This Row],[Risk_Category]]="High",tbl_HR_Data[[#This Row],[MonthlyIncome]]*1.5),0)</f>
        <v>0</v>
      </c>
    </row>
    <row r="975" spans="1:44" x14ac:dyDescent="0.35">
      <c r="A975" t="s">
        <v>579</v>
      </c>
      <c r="B975">
        <v>35</v>
      </c>
      <c r="C975" t="s">
        <v>31</v>
      </c>
      <c r="D975">
        <v>817</v>
      </c>
      <c r="E975" t="s">
        <v>38</v>
      </c>
      <c r="F975">
        <v>1</v>
      </c>
      <c r="G975">
        <v>3</v>
      </c>
      <c r="H975" t="s">
        <v>44</v>
      </c>
      <c r="I975">
        <v>4</v>
      </c>
      <c r="J975" t="s">
        <v>34</v>
      </c>
      <c r="K975">
        <v>60</v>
      </c>
      <c r="L975">
        <v>2</v>
      </c>
      <c r="M975">
        <v>2</v>
      </c>
      <c r="N975" t="s">
        <v>43</v>
      </c>
      <c r="O975">
        <v>4</v>
      </c>
      <c r="P975" t="s">
        <v>41</v>
      </c>
      <c r="Q975">
        <v>5363</v>
      </c>
      <c r="R975">
        <v>10846</v>
      </c>
      <c r="S975">
        <v>0</v>
      </c>
      <c r="T975">
        <v>0</v>
      </c>
      <c r="U975" s="17">
        <v>0.12</v>
      </c>
      <c r="V975">
        <v>3</v>
      </c>
      <c r="W975">
        <v>2</v>
      </c>
      <c r="X975">
        <v>1</v>
      </c>
      <c r="Y975">
        <v>10</v>
      </c>
      <c r="Z975">
        <v>0</v>
      </c>
      <c r="AA975">
        <v>3</v>
      </c>
      <c r="AB975">
        <v>9</v>
      </c>
      <c r="AC975">
        <v>7</v>
      </c>
      <c r="AD975">
        <v>0</v>
      </c>
      <c r="AE975">
        <v>0</v>
      </c>
      <c r="AF975">
        <v>0</v>
      </c>
      <c r="AG975">
        <f>IF(tbl_HR_Data[[#This Row],[Gender]]="Male",1,0)</f>
        <v>0</v>
      </c>
      <c r="AH975" cm="1">
        <f t="array" ref="AH975">_xlfn.SWITCH(tbl_HR_Data[[#This Row],[BusinessTravel]], "Non-Travel", 0, "Travel_Rarely", 1, "Travel_Frequently", 2)</f>
        <v>1</v>
      </c>
      <c r="AI975" cm="1">
        <f t="array" ref="AI975">_xlfn.SWITCH(tbl_HR_Data[[#This Row],[MaritalStatus]],"Single",0,"Married",1,"Divorced",2)</f>
        <v>1</v>
      </c>
      <c r="AJ975">
        <f>IF(tbl_HR_Data[[#This Row],[OverTime]]=1,1,0)</f>
        <v>0</v>
      </c>
      <c r="AK975">
        <f>IF(tbl_HR_Data[[#This Row],[DistanceFromHome]]&gt;15,1,0)</f>
        <v>0</v>
      </c>
      <c r="AL975">
        <f>IF(tbl_HR_Data[[#This Row],[JobSatisfaction]]&lt;=2,1,0)</f>
        <v>0</v>
      </c>
      <c r="AM975">
        <f>IF(tbl_HR_Data[[#This Row],[MonthlyIncome]]&lt;$AT$2,1,0)</f>
        <v>0</v>
      </c>
      <c r="AN975">
        <f>IF(tbl_HR_Data[[#This Row],[Travel_Code]]=2,1,0)</f>
        <v>0</v>
      </c>
      <c r="AO975">
        <f>(tbl_HR_Data[[#This Row],[Flag_OT]] * Logic_Parameters!$B$2) +
 (tbl_HR_Data[[#This Row],[Flag_Travel]] * Logic_Parameters!$B$3) +
 (tbl_HR_Data[[#This Row],[Flag_Satisfaction]] * Logic_Parameters!$B$4) +
 (tbl_HR_Data[[#This Row],[Flag_Distance]]* Logic_Parameters!$B$5) +
 (tbl_HR_Data[[#This Row],[Flag_Income]] * Logic_Parameters!$B$6)</f>
        <v>0</v>
      </c>
      <c r="AP975" s="15">
        <f>tbl_HR_Data[[#This Row],[Risk_Score_Raw]] / SUM(Logic_Parameters!$B$2:$B$6)</f>
        <v>0</v>
      </c>
      <c r="AQ975" s="16" t="str" cm="1">
        <f t="array" ref="AQ975">_xlfn.IFS(tbl_HR_Data[[#This Row],[Attrition_Risk_Percentage]] &gt;= 0.75, "Critical",tbl_HR_Data[ [#This Row],[Attrition_Risk_Percentage] ]&gt;= 0.5, "High",tbl_HR_Data[[#This Row],[Attrition_Risk_Percentage]] &gt;= 0.25, "Medium",TRUE, "Low")</f>
        <v>Low</v>
      </c>
      <c r="AR975" s="16" cm="1">
        <f t="array" ref="AR975">IFERROR(_xlfn.IFS(tbl_HR_Data[[#This Row],[Risk_Category]]="Critical",tbl_HR_Data[[#This Row],[MonthlyIncome]]*1.5,tbl_HR_Data[[#This Row],[Risk_Category]]="High",tbl_HR_Data[[#This Row],[MonthlyIncome]]*1.5),0)</f>
        <v>0</v>
      </c>
    </row>
    <row r="976" spans="1:44" x14ac:dyDescent="0.35">
      <c r="A976" t="s">
        <v>557</v>
      </c>
      <c r="B976">
        <v>27</v>
      </c>
      <c r="C976" t="s">
        <v>37</v>
      </c>
      <c r="D976">
        <v>793</v>
      </c>
      <c r="E976" t="s">
        <v>32</v>
      </c>
      <c r="F976">
        <v>2</v>
      </c>
      <c r="G976">
        <v>1</v>
      </c>
      <c r="H976" t="s">
        <v>33</v>
      </c>
      <c r="I976">
        <v>4</v>
      </c>
      <c r="J976" t="s">
        <v>39</v>
      </c>
      <c r="K976">
        <v>43</v>
      </c>
      <c r="L976">
        <v>1</v>
      </c>
      <c r="M976">
        <v>2</v>
      </c>
      <c r="N976" t="s">
        <v>35</v>
      </c>
      <c r="O976">
        <v>4</v>
      </c>
      <c r="P976" t="s">
        <v>36</v>
      </c>
      <c r="Q976">
        <v>5071</v>
      </c>
      <c r="R976">
        <v>20392</v>
      </c>
      <c r="S976">
        <v>3</v>
      </c>
      <c r="T976">
        <v>0</v>
      </c>
      <c r="U976" s="17">
        <v>0.2</v>
      </c>
      <c r="V976">
        <v>4</v>
      </c>
      <c r="W976">
        <v>2</v>
      </c>
      <c r="X976">
        <v>0</v>
      </c>
      <c r="Y976">
        <v>8</v>
      </c>
      <c r="Z976">
        <v>3</v>
      </c>
      <c r="AA976">
        <v>3</v>
      </c>
      <c r="AB976">
        <v>6</v>
      </c>
      <c r="AC976">
        <v>2</v>
      </c>
      <c r="AD976">
        <v>0</v>
      </c>
      <c r="AE976">
        <v>0</v>
      </c>
      <c r="AF976">
        <v>0</v>
      </c>
      <c r="AG976">
        <f>IF(tbl_HR_Data[[#This Row],[Gender]]="Male",1,0)</f>
        <v>1</v>
      </c>
      <c r="AH976" cm="1">
        <f t="array" ref="AH976">_xlfn.SWITCH(tbl_HR_Data[[#This Row],[BusinessTravel]], "Non-Travel", 0, "Travel_Rarely", 1, "Travel_Frequently", 2)</f>
        <v>2</v>
      </c>
      <c r="AI976" cm="1">
        <f t="array" ref="AI976">_xlfn.SWITCH(tbl_HR_Data[[#This Row],[MaritalStatus]],"Single",0,"Married",1,"Divorced",2)</f>
        <v>0</v>
      </c>
      <c r="AJ976">
        <f>IF(tbl_HR_Data[[#This Row],[OverTime]]=1,1,0)</f>
        <v>0</v>
      </c>
      <c r="AK976">
        <f>IF(tbl_HR_Data[[#This Row],[DistanceFromHome]]&gt;15,1,0)</f>
        <v>0</v>
      </c>
      <c r="AL976">
        <f>IF(tbl_HR_Data[[#This Row],[JobSatisfaction]]&lt;=2,1,0)</f>
        <v>0</v>
      </c>
      <c r="AM976">
        <f>IF(tbl_HR_Data[[#This Row],[MonthlyIncome]]&lt;$AT$2,1,0)</f>
        <v>0</v>
      </c>
      <c r="AN976">
        <f>IF(tbl_HR_Data[[#This Row],[Travel_Code]]=2,1,0)</f>
        <v>1</v>
      </c>
      <c r="AO976">
        <f>(tbl_HR_Data[[#This Row],[Flag_OT]] * Logic_Parameters!$B$2) +
 (tbl_HR_Data[[#This Row],[Flag_Travel]] * Logic_Parameters!$B$3) +
 (tbl_HR_Data[[#This Row],[Flag_Satisfaction]] * Logic_Parameters!$B$4) +
 (tbl_HR_Data[[#This Row],[Flag_Distance]]* Logic_Parameters!$B$5) +
 (tbl_HR_Data[[#This Row],[Flag_Income]] * Logic_Parameters!$B$6)</f>
        <v>5.1603899804901765</v>
      </c>
      <c r="AP976" s="15">
        <f>tbl_HR_Data[[#This Row],[Risk_Score_Raw]] / SUM(Logic_Parameters!$B$2:$B$6)</f>
        <v>0.17778840383009531</v>
      </c>
      <c r="AQ976" s="16" t="str" cm="1">
        <f t="array" ref="AQ976">_xlfn.IFS(tbl_HR_Data[[#This Row],[Attrition_Risk_Percentage]] &gt;= 0.75, "Critical",tbl_HR_Data[ [#This Row],[Attrition_Risk_Percentage] ]&gt;= 0.5, "High",tbl_HR_Data[[#This Row],[Attrition_Risk_Percentage]] &gt;= 0.25, "Medium",TRUE, "Low")</f>
        <v>Low</v>
      </c>
      <c r="AR976" s="16" cm="1">
        <f t="array" ref="AR976">IFERROR(_xlfn.IFS(tbl_HR_Data[[#This Row],[Risk_Category]]="Critical",tbl_HR_Data[[#This Row],[MonthlyIncome]]*1.5,tbl_HR_Data[[#This Row],[Risk_Category]]="High",tbl_HR_Data[[#This Row],[MonthlyIncome]]*1.5),0)</f>
        <v>0</v>
      </c>
    </row>
    <row r="977" spans="1:44" x14ac:dyDescent="0.35">
      <c r="A977" t="s">
        <v>224</v>
      </c>
      <c r="B977">
        <v>55</v>
      </c>
      <c r="C977" t="s">
        <v>31</v>
      </c>
      <c r="D977">
        <v>267</v>
      </c>
      <c r="E977" t="s">
        <v>32</v>
      </c>
      <c r="F977">
        <v>13</v>
      </c>
      <c r="G977">
        <v>4</v>
      </c>
      <c r="H977" t="s">
        <v>51</v>
      </c>
      <c r="I977">
        <v>1</v>
      </c>
      <c r="J977" t="s">
        <v>39</v>
      </c>
      <c r="K977">
        <v>85</v>
      </c>
      <c r="L977">
        <v>4</v>
      </c>
      <c r="M977">
        <v>4</v>
      </c>
      <c r="N977" t="s">
        <v>35</v>
      </c>
      <c r="O977">
        <v>3</v>
      </c>
      <c r="P977" t="s">
        <v>36</v>
      </c>
      <c r="Q977">
        <v>13695</v>
      </c>
      <c r="R977">
        <v>9277</v>
      </c>
      <c r="S977">
        <v>6</v>
      </c>
      <c r="T977">
        <v>1</v>
      </c>
      <c r="U977" s="17">
        <v>0.17</v>
      </c>
      <c r="V977">
        <v>3</v>
      </c>
      <c r="W977">
        <v>3</v>
      </c>
      <c r="X977">
        <v>0</v>
      </c>
      <c r="Y977">
        <v>24</v>
      </c>
      <c r="Z977">
        <v>2</v>
      </c>
      <c r="AA977">
        <v>2</v>
      </c>
      <c r="AB977">
        <v>19</v>
      </c>
      <c r="AC977">
        <v>7</v>
      </c>
      <c r="AD977">
        <v>3</v>
      </c>
      <c r="AE977">
        <v>8</v>
      </c>
      <c r="AF977">
        <v>1</v>
      </c>
      <c r="AG977">
        <f>IF(tbl_HR_Data[[#This Row],[Gender]]="Male",1,0)</f>
        <v>1</v>
      </c>
      <c r="AH977" cm="1">
        <f t="array" ref="AH977">_xlfn.SWITCH(tbl_HR_Data[[#This Row],[BusinessTravel]], "Non-Travel", 0, "Travel_Rarely", 1, "Travel_Frequently", 2)</f>
        <v>1</v>
      </c>
      <c r="AI977" cm="1">
        <f t="array" ref="AI977">_xlfn.SWITCH(tbl_HR_Data[[#This Row],[MaritalStatus]],"Single",0,"Married",1,"Divorced",2)</f>
        <v>0</v>
      </c>
      <c r="AJ977">
        <f>IF(tbl_HR_Data[[#This Row],[OverTime]]=1,1,0)</f>
        <v>1</v>
      </c>
      <c r="AK977">
        <f>IF(tbl_HR_Data[[#This Row],[DistanceFromHome]]&gt;15,1,0)</f>
        <v>0</v>
      </c>
      <c r="AL977">
        <f>IF(tbl_HR_Data[[#This Row],[JobSatisfaction]]&lt;=2,1,0)</f>
        <v>0</v>
      </c>
      <c r="AM977">
        <f>IF(tbl_HR_Data[[#This Row],[MonthlyIncome]]&lt;$AT$2,1,0)</f>
        <v>0</v>
      </c>
      <c r="AN977">
        <f>IF(tbl_HR_Data[[#This Row],[Travel_Code]]=2,1,0)</f>
        <v>0</v>
      </c>
      <c r="AO977">
        <f>(tbl_HR_Data[[#This Row],[Flag_OT]] * Logic_Parameters!$B$2) +
 (tbl_HR_Data[[#This Row],[Flag_Travel]] * Logic_Parameters!$B$3) +
 (tbl_HR_Data[[#This Row],[Flag_Satisfaction]] * Logic_Parameters!$B$4) +
 (tbl_HR_Data[[#This Row],[Flag_Distance]]* Logic_Parameters!$B$5) +
 (tbl_HR_Data[[#This Row],[Flag_Income]] * Logic_Parameters!$B$6)</f>
        <v>10</v>
      </c>
      <c r="AP977" s="15">
        <f>tbl_HR_Data[[#This Row],[Risk_Score_Raw]] / SUM(Logic_Parameters!$B$2:$B$6)</f>
        <v>0.3445251318258073</v>
      </c>
      <c r="AQ977" s="16" t="str" cm="1">
        <f t="array" ref="AQ977">_xlfn.IFS(tbl_HR_Data[[#This Row],[Attrition_Risk_Percentage]] &gt;= 0.75, "Critical",tbl_HR_Data[ [#This Row],[Attrition_Risk_Percentage] ]&gt;= 0.5, "High",tbl_HR_Data[[#This Row],[Attrition_Risk_Percentage]] &gt;= 0.25, "Medium",TRUE, "Low")</f>
        <v>Medium</v>
      </c>
      <c r="AR977" s="16" cm="1">
        <f t="array" ref="AR977">IFERROR(_xlfn.IFS(tbl_HR_Data[[#This Row],[Risk_Category]]="Critical",tbl_HR_Data[[#This Row],[MonthlyIncome]]*1.5,tbl_HR_Data[[#This Row],[Risk_Category]]="High",tbl_HR_Data[[#This Row],[MonthlyIncome]]*1.5),0)</f>
        <v>0</v>
      </c>
    </row>
    <row r="978" spans="1:44" x14ac:dyDescent="0.35">
      <c r="A978" t="s">
        <v>650</v>
      </c>
      <c r="B978">
        <v>56</v>
      </c>
      <c r="C978" t="s">
        <v>31</v>
      </c>
      <c r="D978">
        <v>1369</v>
      </c>
      <c r="E978" t="s">
        <v>38</v>
      </c>
      <c r="F978">
        <v>23</v>
      </c>
      <c r="G978">
        <v>3</v>
      </c>
      <c r="H978" t="s">
        <v>33</v>
      </c>
      <c r="I978">
        <v>4</v>
      </c>
      <c r="J978" t="s">
        <v>39</v>
      </c>
      <c r="K978">
        <v>68</v>
      </c>
      <c r="L978">
        <v>3</v>
      </c>
      <c r="M978">
        <v>4</v>
      </c>
      <c r="N978" t="s">
        <v>46</v>
      </c>
      <c r="O978">
        <v>2</v>
      </c>
      <c r="P978" t="s">
        <v>41</v>
      </c>
      <c r="Q978">
        <v>13402</v>
      </c>
      <c r="R978">
        <v>18235</v>
      </c>
      <c r="S978">
        <v>4</v>
      </c>
      <c r="T978">
        <v>1</v>
      </c>
      <c r="U978" s="17">
        <v>0.12</v>
      </c>
      <c r="V978">
        <v>3</v>
      </c>
      <c r="W978">
        <v>1</v>
      </c>
      <c r="X978">
        <v>1</v>
      </c>
      <c r="Y978">
        <v>33</v>
      </c>
      <c r="Z978">
        <v>0</v>
      </c>
      <c r="AA978">
        <v>3</v>
      </c>
      <c r="AB978">
        <v>19</v>
      </c>
      <c r="AC978">
        <v>16</v>
      </c>
      <c r="AD978">
        <v>15</v>
      </c>
      <c r="AE978">
        <v>9</v>
      </c>
      <c r="AF978">
        <v>0</v>
      </c>
      <c r="AG978">
        <f>IF(tbl_HR_Data[[#This Row],[Gender]]="Male",1,0)</f>
        <v>1</v>
      </c>
      <c r="AH978" cm="1">
        <f t="array" ref="AH978">_xlfn.SWITCH(tbl_HR_Data[[#This Row],[BusinessTravel]], "Non-Travel", 0, "Travel_Rarely", 1, "Travel_Frequently", 2)</f>
        <v>1</v>
      </c>
      <c r="AI978" cm="1">
        <f t="array" ref="AI978">_xlfn.SWITCH(tbl_HR_Data[[#This Row],[MaritalStatus]],"Single",0,"Married",1,"Divorced",2)</f>
        <v>1</v>
      </c>
      <c r="AJ978">
        <f>IF(tbl_HR_Data[[#This Row],[OverTime]]=1,1,0)</f>
        <v>1</v>
      </c>
      <c r="AK978">
        <f>IF(tbl_HR_Data[[#This Row],[DistanceFromHome]]&gt;15,1,0)</f>
        <v>1</v>
      </c>
      <c r="AL978">
        <f>IF(tbl_HR_Data[[#This Row],[JobSatisfaction]]&lt;=2,1,0)</f>
        <v>1</v>
      </c>
      <c r="AM978">
        <f>IF(tbl_HR_Data[[#This Row],[MonthlyIncome]]&lt;$AT$2,1,0)</f>
        <v>0</v>
      </c>
      <c r="AN978">
        <f>IF(tbl_HR_Data[[#This Row],[Travel_Code]]=2,1,0)</f>
        <v>0</v>
      </c>
      <c r="AO978">
        <f>(tbl_HR_Data[[#This Row],[Flag_OT]] * Logic_Parameters!$B$2) +
 (tbl_HR_Data[[#This Row],[Flag_Travel]] * Logic_Parameters!$B$3) +
 (tbl_HR_Data[[#This Row],[Flag_Satisfaction]] * Logic_Parameters!$B$4) +
 (tbl_HR_Data[[#This Row],[Flag_Distance]]* Logic_Parameters!$B$5) +
 (tbl_HR_Data[[#This Row],[Flag_Income]] * Logic_Parameters!$B$6)</f>
        <v>17.370639825853509</v>
      </c>
      <c r="AP978" s="15">
        <f>tbl_HR_Data[[#This Row],[Risk_Score_Raw]] / SUM(Logic_Parameters!$B$2:$B$6)</f>
        <v>0.59846219759007979</v>
      </c>
      <c r="AQ978" s="16" t="str" cm="1">
        <f t="array" ref="AQ978">_xlfn.IFS(tbl_HR_Data[[#This Row],[Attrition_Risk_Percentage]] &gt;= 0.75, "Critical",tbl_HR_Data[ [#This Row],[Attrition_Risk_Percentage] ]&gt;= 0.5, "High",tbl_HR_Data[[#This Row],[Attrition_Risk_Percentage]] &gt;= 0.25, "Medium",TRUE, "Low")</f>
        <v>High</v>
      </c>
      <c r="AR978" s="16" cm="1">
        <f t="array" ref="AR978">IFERROR(_xlfn.IFS(tbl_HR_Data[[#This Row],[Risk_Category]]="Critical",tbl_HR_Data[[#This Row],[MonthlyIncome]]*1.5,tbl_HR_Data[[#This Row],[Risk_Category]]="High",tbl_HR_Data[[#This Row],[MonthlyIncome]]*1.5),0)</f>
        <v>20103</v>
      </c>
    </row>
    <row r="979" spans="1:44" x14ac:dyDescent="0.35">
      <c r="A979" t="s">
        <v>1498</v>
      </c>
      <c r="B979">
        <v>34</v>
      </c>
      <c r="C979" t="s">
        <v>1525</v>
      </c>
      <c r="D979">
        <v>999</v>
      </c>
      <c r="E979" t="s">
        <v>38</v>
      </c>
      <c r="F979">
        <v>26</v>
      </c>
      <c r="G979">
        <v>1</v>
      </c>
      <c r="H979" t="s">
        <v>52</v>
      </c>
      <c r="I979">
        <v>1</v>
      </c>
      <c r="J979" t="s">
        <v>34</v>
      </c>
      <c r="K979">
        <v>92</v>
      </c>
      <c r="L979">
        <v>2</v>
      </c>
      <c r="M979">
        <v>1</v>
      </c>
      <c r="N979" t="s">
        <v>40</v>
      </c>
      <c r="O979">
        <v>3</v>
      </c>
      <c r="P979" t="s">
        <v>45</v>
      </c>
      <c r="Q979">
        <v>2029</v>
      </c>
      <c r="R979">
        <v>15891</v>
      </c>
      <c r="S979">
        <v>1</v>
      </c>
      <c r="T979">
        <v>0</v>
      </c>
      <c r="U979" s="17">
        <v>0.2</v>
      </c>
      <c r="V979">
        <v>4</v>
      </c>
      <c r="W979">
        <v>3</v>
      </c>
      <c r="X979">
        <v>3</v>
      </c>
      <c r="Y979">
        <v>5</v>
      </c>
      <c r="Z979">
        <v>2</v>
      </c>
      <c r="AA979">
        <v>3</v>
      </c>
      <c r="AB979">
        <v>5</v>
      </c>
      <c r="AC979">
        <v>4</v>
      </c>
      <c r="AD979">
        <v>0</v>
      </c>
      <c r="AE979">
        <v>0</v>
      </c>
      <c r="AF979">
        <v>0</v>
      </c>
      <c r="AG979">
        <f>IF(tbl_HR_Data[[#This Row],[Gender]]="Male",1,0)</f>
        <v>0</v>
      </c>
      <c r="AH979" cm="1">
        <f t="array" ref="AH979">_xlfn.SWITCH(tbl_HR_Data[[#This Row],[BusinessTravel]], "Non-Travel", 0, "Travel_Rarely", 1, "Travel_Frequently", 2)</f>
        <v>0</v>
      </c>
      <c r="AI979" cm="1">
        <f t="array" ref="AI979">_xlfn.SWITCH(tbl_HR_Data[[#This Row],[MaritalStatus]],"Single",0,"Married",1,"Divorced",2)</f>
        <v>2</v>
      </c>
      <c r="AJ979">
        <f>IF(tbl_HR_Data[[#This Row],[OverTime]]=1,1,0)</f>
        <v>0</v>
      </c>
      <c r="AK979">
        <f>IF(tbl_HR_Data[[#This Row],[DistanceFromHome]]&gt;15,1,0)</f>
        <v>1</v>
      </c>
      <c r="AL979">
        <f>IF(tbl_HR_Data[[#This Row],[JobSatisfaction]]&lt;=2,1,0)</f>
        <v>0</v>
      </c>
      <c r="AM979">
        <f>IF(tbl_HR_Data[[#This Row],[MonthlyIncome]]&lt;$AT$2,1,0)</f>
        <v>1</v>
      </c>
      <c r="AN979">
        <f>IF(tbl_HR_Data[[#This Row],[Travel_Code]]=2,1,0)</f>
        <v>0</v>
      </c>
      <c r="AO979">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979" s="15">
        <f>tbl_HR_Data[[#This Row],[Risk_Score_Raw]] / SUM(Logic_Parameters!$B$2:$B$6)</f>
        <v>0.33282973125692844</v>
      </c>
      <c r="AQ979" s="16" t="str" cm="1">
        <f t="array" ref="AQ979">_xlfn.IFS(tbl_HR_Data[[#This Row],[Attrition_Risk_Percentage]] &gt;= 0.75, "Critical",tbl_HR_Data[ [#This Row],[Attrition_Risk_Percentage] ]&gt;= 0.5, "High",tbl_HR_Data[[#This Row],[Attrition_Risk_Percentage]] &gt;= 0.25, "Medium",TRUE, "Low")</f>
        <v>Medium</v>
      </c>
      <c r="AR979" s="16" cm="1">
        <f t="array" ref="AR979">IFERROR(_xlfn.IFS(tbl_HR_Data[[#This Row],[Risk_Category]]="Critical",tbl_HR_Data[[#This Row],[MonthlyIncome]]*1.5,tbl_HR_Data[[#This Row],[Risk_Category]]="High",tbl_HR_Data[[#This Row],[MonthlyIncome]]*1.5),0)</f>
        <v>0</v>
      </c>
    </row>
    <row r="980" spans="1:44" x14ac:dyDescent="0.35">
      <c r="A980" t="s">
        <v>711</v>
      </c>
      <c r="B980">
        <v>40</v>
      </c>
      <c r="C980" t="s">
        <v>31</v>
      </c>
      <c r="D980">
        <v>1202</v>
      </c>
      <c r="E980" t="s">
        <v>38</v>
      </c>
      <c r="F980">
        <v>2</v>
      </c>
      <c r="G980">
        <v>1</v>
      </c>
      <c r="H980" t="s">
        <v>44</v>
      </c>
      <c r="I980">
        <v>2</v>
      </c>
      <c r="J980" t="s">
        <v>34</v>
      </c>
      <c r="K980">
        <v>89</v>
      </c>
      <c r="L980">
        <v>4</v>
      </c>
      <c r="M980">
        <v>2</v>
      </c>
      <c r="N980" t="s">
        <v>47</v>
      </c>
      <c r="O980">
        <v>3</v>
      </c>
      <c r="P980" t="s">
        <v>45</v>
      </c>
      <c r="Q980">
        <v>6377</v>
      </c>
      <c r="R980">
        <v>13888</v>
      </c>
      <c r="S980">
        <v>5</v>
      </c>
      <c r="T980">
        <v>0</v>
      </c>
      <c r="U980" s="17">
        <v>0.2</v>
      </c>
      <c r="V980">
        <v>4</v>
      </c>
      <c r="W980">
        <v>2</v>
      </c>
      <c r="X980">
        <v>3</v>
      </c>
      <c r="Y980">
        <v>15</v>
      </c>
      <c r="Z980">
        <v>0</v>
      </c>
      <c r="AA980">
        <v>3</v>
      </c>
      <c r="AB980">
        <v>12</v>
      </c>
      <c r="AC980">
        <v>11</v>
      </c>
      <c r="AD980">
        <v>11</v>
      </c>
      <c r="AE980">
        <v>8</v>
      </c>
      <c r="AF980">
        <v>0</v>
      </c>
      <c r="AG980">
        <f>IF(tbl_HR_Data[[#This Row],[Gender]]="Male",1,0)</f>
        <v>0</v>
      </c>
      <c r="AH980" cm="1">
        <f t="array" ref="AH980">_xlfn.SWITCH(tbl_HR_Data[[#This Row],[BusinessTravel]], "Non-Travel", 0, "Travel_Rarely", 1, "Travel_Frequently", 2)</f>
        <v>1</v>
      </c>
      <c r="AI980" cm="1">
        <f t="array" ref="AI980">_xlfn.SWITCH(tbl_HR_Data[[#This Row],[MaritalStatus]],"Single",0,"Married",1,"Divorced",2)</f>
        <v>2</v>
      </c>
      <c r="AJ980">
        <f>IF(tbl_HR_Data[[#This Row],[OverTime]]=1,1,0)</f>
        <v>0</v>
      </c>
      <c r="AK980">
        <f>IF(tbl_HR_Data[[#This Row],[DistanceFromHome]]&gt;15,1,0)</f>
        <v>0</v>
      </c>
      <c r="AL980">
        <f>IF(tbl_HR_Data[[#This Row],[JobSatisfaction]]&lt;=2,1,0)</f>
        <v>0</v>
      </c>
      <c r="AM980">
        <f>IF(tbl_HR_Data[[#This Row],[MonthlyIncome]]&lt;$AT$2,1,0)</f>
        <v>0</v>
      </c>
      <c r="AN980">
        <f>IF(tbl_HR_Data[[#This Row],[Travel_Code]]=2,1,0)</f>
        <v>0</v>
      </c>
      <c r="AO980">
        <f>(tbl_HR_Data[[#This Row],[Flag_OT]] * Logic_Parameters!$B$2) +
 (tbl_HR_Data[[#This Row],[Flag_Travel]] * Logic_Parameters!$B$3) +
 (tbl_HR_Data[[#This Row],[Flag_Satisfaction]] * Logic_Parameters!$B$4) +
 (tbl_HR_Data[[#This Row],[Flag_Distance]]* Logic_Parameters!$B$5) +
 (tbl_HR_Data[[#This Row],[Flag_Income]] * Logic_Parameters!$B$6)</f>
        <v>0</v>
      </c>
      <c r="AP980" s="15">
        <f>tbl_HR_Data[[#This Row],[Risk_Score_Raw]] / SUM(Logic_Parameters!$B$2:$B$6)</f>
        <v>0</v>
      </c>
      <c r="AQ980" s="16" t="str" cm="1">
        <f t="array" ref="AQ980">_xlfn.IFS(tbl_HR_Data[[#This Row],[Attrition_Risk_Percentage]] &gt;= 0.75, "Critical",tbl_HR_Data[ [#This Row],[Attrition_Risk_Percentage] ]&gt;= 0.5, "High",tbl_HR_Data[[#This Row],[Attrition_Risk_Percentage]] &gt;= 0.25, "Medium",TRUE, "Low")</f>
        <v>Low</v>
      </c>
      <c r="AR980" s="16" cm="1">
        <f t="array" ref="AR980">IFERROR(_xlfn.IFS(tbl_HR_Data[[#This Row],[Risk_Category]]="Critical",tbl_HR_Data[[#This Row],[MonthlyIncome]]*1.5,tbl_HR_Data[[#This Row],[Risk_Category]]="High",tbl_HR_Data[[#This Row],[MonthlyIncome]]*1.5),0)</f>
        <v>0</v>
      </c>
    </row>
    <row r="981" spans="1:44" x14ac:dyDescent="0.35">
      <c r="A981" t="s">
        <v>803</v>
      </c>
      <c r="B981">
        <v>34</v>
      </c>
      <c r="C981" t="s">
        <v>31</v>
      </c>
      <c r="D981">
        <v>285</v>
      </c>
      <c r="E981" t="s">
        <v>38</v>
      </c>
      <c r="F981">
        <v>29</v>
      </c>
      <c r="G981">
        <v>3</v>
      </c>
      <c r="H981" t="s">
        <v>44</v>
      </c>
      <c r="I981">
        <v>2</v>
      </c>
      <c r="J981" t="s">
        <v>39</v>
      </c>
      <c r="K981">
        <v>86</v>
      </c>
      <c r="L981">
        <v>3</v>
      </c>
      <c r="M981">
        <v>2</v>
      </c>
      <c r="N981" t="s">
        <v>43</v>
      </c>
      <c r="O981">
        <v>3</v>
      </c>
      <c r="P981" t="s">
        <v>41</v>
      </c>
      <c r="Q981">
        <v>5429</v>
      </c>
      <c r="R981">
        <v>17491</v>
      </c>
      <c r="S981">
        <v>4</v>
      </c>
      <c r="T981">
        <v>0</v>
      </c>
      <c r="U981" s="17">
        <v>0.13</v>
      </c>
      <c r="V981">
        <v>3</v>
      </c>
      <c r="W981">
        <v>1</v>
      </c>
      <c r="X981">
        <v>2</v>
      </c>
      <c r="Y981">
        <v>10</v>
      </c>
      <c r="Z981">
        <v>1</v>
      </c>
      <c r="AA981">
        <v>3</v>
      </c>
      <c r="AB981">
        <v>8</v>
      </c>
      <c r="AC981">
        <v>7</v>
      </c>
      <c r="AD981">
        <v>7</v>
      </c>
      <c r="AE981">
        <v>7</v>
      </c>
      <c r="AF981">
        <v>0</v>
      </c>
      <c r="AG981">
        <f>IF(tbl_HR_Data[[#This Row],[Gender]]="Male",1,0)</f>
        <v>1</v>
      </c>
      <c r="AH981" cm="1">
        <f t="array" ref="AH981">_xlfn.SWITCH(tbl_HR_Data[[#This Row],[BusinessTravel]], "Non-Travel", 0, "Travel_Rarely", 1, "Travel_Frequently", 2)</f>
        <v>1</v>
      </c>
      <c r="AI981" cm="1">
        <f t="array" ref="AI981">_xlfn.SWITCH(tbl_HR_Data[[#This Row],[MaritalStatus]],"Single",0,"Married",1,"Divorced",2)</f>
        <v>1</v>
      </c>
      <c r="AJ981">
        <f>IF(tbl_HR_Data[[#This Row],[OverTime]]=1,1,0)</f>
        <v>0</v>
      </c>
      <c r="AK981">
        <f>IF(tbl_HR_Data[[#This Row],[DistanceFromHome]]&gt;15,1,0)</f>
        <v>1</v>
      </c>
      <c r="AL981">
        <f>IF(tbl_HR_Data[[#This Row],[JobSatisfaction]]&lt;=2,1,0)</f>
        <v>0</v>
      </c>
      <c r="AM981">
        <f>IF(tbl_HR_Data[[#This Row],[MonthlyIncome]]&lt;$AT$2,1,0)</f>
        <v>0</v>
      </c>
      <c r="AN981">
        <f>IF(tbl_HR_Data[[#This Row],[Travel_Code]]=2,1,0)</f>
        <v>0</v>
      </c>
      <c r="AO981">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981" s="15">
        <f>tbl_HR_Data[[#This Row],[Risk_Score_Raw]] / SUM(Logic_Parameters!$B$2:$B$6)</f>
        <v>0.10908033267710357</v>
      </c>
      <c r="AQ981" s="16" t="str" cm="1">
        <f t="array" ref="AQ981">_xlfn.IFS(tbl_HR_Data[[#This Row],[Attrition_Risk_Percentage]] &gt;= 0.75, "Critical",tbl_HR_Data[ [#This Row],[Attrition_Risk_Percentage] ]&gt;= 0.5, "High",tbl_HR_Data[[#This Row],[Attrition_Risk_Percentage]] &gt;= 0.25, "Medium",TRUE, "Low")</f>
        <v>Low</v>
      </c>
      <c r="AR981" s="16" cm="1">
        <f t="array" ref="AR981">IFERROR(_xlfn.IFS(tbl_HR_Data[[#This Row],[Risk_Category]]="Critical",tbl_HR_Data[[#This Row],[MonthlyIncome]]*1.5,tbl_HR_Data[[#This Row],[Risk_Category]]="High",tbl_HR_Data[[#This Row],[MonthlyIncome]]*1.5),0)</f>
        <v>0</v>
      </c>
    </row>
    <row r="982" spans="1:44" x14ac:dyDescent="0.35">
      <c r="A982" t="s">
        <v>1020</v>
      </c>
      <c r="B982">
        <v>31</v>
      </c>
      <c r="C982" t="s">
        <v>37</v>
      </c>
      <c r="D982">
        <v>703</v>
      </c>
      <c r="E982" t="s">
        <v>32</v>
      </c>
      <c r="F982">
        <v>2</v>
      </c>
      <c r="G982">
        <v>3</v>
      </c>
      <c r="H982" t="s">
        <v>33</v>
      </c>
      <c r="I982">
        <v>3</v>
      </c>
      <c r="J982" t="s">
        <v>34</v>
      </c>
      <c r="K982">
        <v>90</v>
      </c>
      <c r="L982">
        <v>2</v>
      </c>
      <c r="M982">
        <v>1</v>
      </c>
      <c r="N982" t="s">
        <v>49</v>
      </c>
      <c r="O982">
        <v>4</v>
      </c>
      <c r="P982" t="s">
        <v>36</v>
      </c>
      <c r="Q982">
        <v>2785</v>
      </c>
      <c r="R982">
        <v>11882</v>
      </c>
      <c r="S982">
        <v>7</v>
      </c>
      <c r="T982">
        <v>0</v>
      </c>
      <c r="U982" s="17">
        <v>0.14000000000000001</v>
      </c>
      <c r="V982">
        <v>3</v>
      </c>
      <c r="W982">
        <v>3</v>
      </c>
      <c r="X982">
        <v>0</v>
      </c>
      <c r="Y982">
        <v>3</v>
      </c>
      <c r="Z982">
        <v>3</v>
      </c>
      <c r="AA982">
        <v>4</v>
      </c>
      <c r="AB982">
        <v>1</v>
      </c>
      <c r="AC982">
        <v>0</v>
      </c>
      <c r="AD982">
        <v>0</v>
      </c>
      <c r="AE982">
        <v>0</v>
      </c>
      <c r="AF982">
        <v>1</v>
      </c>
      <c r="AG982">
        <f>IF(tbl_HR_Data[[#This Row],[Gender]]="Male",1,0)</f>
        <v>0</v>
      </c>
      <c r="AH982" cm="1">
        <f t="array" ref="AH982">_xlfn.SWITCH(tbl_HR_Data[[#This Row],[BusinessTravel]], "Non-Travel", 0, "Travel_Rarely", 1, "Travel_Frequently", 2)</f>
        <v>2</v>
      </c>
      <c r="AI982" cm="1">
        <f t="array" ref="AI982">_xlfn.SWITCH(tbl_HR_Data[[#This Row],[MaritalStatus]],"Single",0,"Married",1,"Divorced",2)</f>
        <v>0</v>
      </c>
      <c r="AJ982">
        <f>IF(tbl_HR_Data[[#This Row],[OverTime]]=1,1,0)</f>
        <v>0</v>
      </c>
      <c r="AK982">
        <f>IF(tbl_HR_Data[[#This Row],[DistanceFromHome]]&gt;15,1,0)</f>
        <v>0</v>
      </c>
      <c r="AL982">
        <f>IF(tbl_HR_Data[[#This Row],[JobSatisfaction]]&lt;=2,1,0)</f>
        <v>0</v>
      </c>
      <c r="AM982">
        <f>IF(tbl_HR_Data[[#This Row],[MonthlyIncome]]&lt;$AT$2,1,0)</f>
        <v>1</v>
      </c>
      <c r="AN982">
        <f>IF(tbl_HR_Data[[#This Row],[Travel_Code]]=2,1,0)</f>
        <v>1</v>
      </c>
      <c r="AO982">
        <f>(tbl_HR_Data[[#This Row],[Flag_OT]] * Logic_Parameters!$B$2) +
 (tbl_HR_Data[[#This Row],[Flag_Travel]] * Logic_Parameters!$B$3) +
 (tbl_HR_Data[[#This Row],[Flag_Satisfaction]] * Logic_Parameters!$B$4) +
 (tbl_HR_Data[[#This Row],[Flag_Distance]]* Logic_Parameters!$B$5) +
 (tbl_HR_Data[[#This Row],[Flag_Income]] * Logic_Parameters!$B$6)</f>
        <v>11.654818917911005</v>
      </c>
      <c r="AP982" s="15">
        <f>tbl_HR_Data[[#This Row],[Risk_Score_Raw]] / SUM(Logic_Parameters!$B$2:$B$6)</f>
        <v>0.40153780240992015</v>
      </c>
      <c r="AQ982" s="16" t="str" cm="1">
        <f t="array" ref="AQ982">_xlfn.IFS(tbl_HR_Data[[#This Row],[Attrition_Risk_Percentage]] &gt;= 0.75, "Critical",tbl_HR_Data[ [#This Row],[Attrition_Risk_Percentage] ]&gt;= 0.5, "High",tbl_HR_Data[[#This Row],[Attrition_Risk_Percentage]] &gt;= 0.25, "Medium",TRUE, "Low")</f>
        <v>Medium</v>
      </c>
      <c r="AR982" s="16" cm="1">
        <f t="array" ref="AR982">IFERROR(_xlfn.IFS(tbl_HR_Data[[#This Row],[Risk_Category]]="Critical",tbl_HR_Data[[#This Row],[MonthlyIncome]]*1.5,tbl_HR_Data[[#This Row],[Risk_Category]]="High",tbl_HR_Data[[#This Row],[MonthlyIncome]]*1.5),0)</f>
        <v>0</v>
      </c>
    </row>
    <row r="983" spans="1:44" x14ac:dyDescent="0.35">
      <c r="A983" t="s">
        <v>784</v>
      </c>
      <c r="B983">
        <v>35</v>
      </c>
      <c r="C983" t="s">
        <v>37</v>
      </c>
      <c r="D983">
        <v>662</v>
      </c>
      <c r="E983" t="s">
        <v>32</v>
      </c>
      <c r="F983">
        <v>18</v>
      </c>
      <c r="G983">
        <v>4</v>
      </c>
      <c r="H983" t="s">
        <v>51</v>
      </c>
      <c r="I983">
        <v>4</v>
      </c>
      <c r="J983" t="s">
        <v>34</v>
      </c>
      <c r="K983">
        <v>67</v>
      </c>
      <c r="L983">
        <v>3</v>
      </c>
      <c r="M983">
        <v>2</v>
      </c>
      <c r="N983" t="s">
        <v>35</v>
      </c>
      <c r="O983">
        <v>3</v>
      </c>
      <c r="P983" t="s">
        <v>41</v>
      </c>
      <c r="Q983">
        <v>4614</v>
      </c>
      <c r="R983">
        <v>23288</v>
      </c>
      <c r="S983">
        <v>0</v>
      </c>
      <c r="T983">
        <v>1</v>
      </c>
      <c r="U983" s="17">
        <v>0.18</v>
      </c>
      <c r="V983">
        <v>3</v>
      </c>
      <c r="W983">
        <v>3</v>
      </c>
      <c r="X983">
        <v>1</v>
      </c>
      <c r="Y983">
        <v>5</v>
      </c>
      <c r="Z983">
        <v>0</v>
      </c>
      <c r="AA983">
        <v>2</v>
      </c>
      <c r="AB983">
        <v>4</v>
      </c>
      <c r="AC983">
        <v>2</v>
      </c>
      <c r="AD983">
        <v>3</v>
      </c>
      <c r="AE983">
        <v>2</v>
      </c>
      <c r="AF983">
        <v>1</v>
      </c>
      <c r="AG983">
        <f>IF(tbl_HR_Data[[#This Row],[Gender]]="Male",1,0)</f>
        <v>0</v>
      </c>
      <c r="AH983" cm="1">
        <f t="array" ref="AH983">_xlfn.SWITCH(tbl_HR_Data[[#This Row],[BusinessTravel]], "Non-Travel", 0, "Travel_Rarely", 1, "Travel_Frequently", 2)</f>
        <v>2</v>
      </c>
      <c r="AI983" cm="1">
        <f t="array" ref="AI983">_xlfn.SWITCH(tbl_HR_Data[[#This Row],[MaritalStatus]],"Single",0,"Married",1,"Divorced",2)</f>
        <v>1</v>
      </c>
      <c r="AJ983">
        <f>IF(tbl_HR_Data[[#This Row],[OverTime]]=1,1,0)</f>
        <v>1</v>
      </c>
      <c r="AK983">
        <f>IF(tbl_HR_Data[[#This Row],[DistanceFromHome]]&gt;15,1,0)</f>
        <v>1</v>
      </c>
      <c r="AL983">
        <f>IF(tbl_HR_Data[[#This Row],[JobSatisfaction]]&lt;=2,1,0)</f>
        <v>0</v>
      </c>
      <c r="AM983">
        <f>IF(tbl_HR_Data[[#This Row],[MonthlyIncome]]&lt;$AT$2,1,0)</f>
        <v>1</v>
      </c>
      <c r="AN983">
        <f>IF(tbl_HR_Data[[#This Row],[Travel_Code]]=2,1,0)</f>
        <v>1</v>
      </c>
      <c r="AO983">
        <f>(tbl_HR_Data[[#This Row],[Flag_OT]] * Logic_Parameters!$B$2) +
 (tbl_HR_Data[[#This Row],[Flag_Travel]] * Logic_Parameters!$B$3) +
 (tbl_HR_Data[[#This Row],[Flag_Satisfaction]] * Logic_Parameters!$B$4) +
 (tbl_HR_Data[[#This Row],[Flag_Distance]]* Logic_Parameters!$B$5) +
 (tbl_HR_Data[[#This Row],[Flag_Income]] * Logic_Parameters!$B$6)</f>
        <v>24.820925613786383</v>
      </c>
      <c r="AP983" s="15">
        <f>tbl_HR_Data[[#This Row],[Risk_Score_Raw]] / SUM(Logic_Parameters!$B$2:$B$6)</f>
        <v>0.85514326691283105</v>
      </c>
      <c r="AQ983" s="16" t="str" cm="1">
        <f t="array" ref="AQ983">_xlfn.IFS(tbl_HR_Data[[#This Row],[Attrition_Risk_Percentage]] &gt;= 0.75, "Critical",tbl_HR_Data[ [#This Row],[Attrition_Risk_Percentage] ]&gt;= 0.5, "High",tbl_HR_Data[[#This Row],[Attrition_Risk_Percentage]] &gt;= 0.25, "Medium",TRUE, "Low")</f>
        <v>Critical</v>
      </c>
      <c r="AR983" s="16" cm="1">
        <f t="array" ref="AR983">IFERROR(_xlfn.IFS(tbl_HR_Data[[#This Row],[Risk_Category]]="Critical",tbl_HR_Data[[#This Row],[MonthlyIncome]]*1.5,tbl_HR_Data[[#This Row],[Risk_Category]]="High",tbl_HR_Data[[#This Row],[MonthlyIncome]]*1.5),0)</f>
        <v>6921</v>
      </c>
    </row>
    <row r="984" spans="1:44" x14ac:dyDescent="0.35">
      <c r="A984" t="s">
        <v>426</v>
      </c>
      <c r="B984">
        <v>38</v>
      </c>
      <c r="C984" t="s">
        <v>37</v>
      </c>
      <c r="D984">
        <v>693</v>
      </c>
      <c r="E984" t="s">
        <v>38</v>
      </c>
      <c r="F984">
        <v>7</v>
      </c>
      <c r="G984">
        <v>3</v>
      </c>
      <c r="H984" t="s">
        <v>33</v>
      </c>
      <c r="I984">
        <v>4</v>
      </c>
      <c r="J984" t="s">
        <v>39</v>
      </c>
      <c r="K984">
        <v>57</v>
      </c>
      <c r="L984">
        <v>4</v>
      </c>
      <c r="M984">
        <v>1</v>
      </c>
      <c r="N984" t="s">
        <v>40</v>
      </c>
      <c r="O984">
        <v>3</v>
      </c>
      <c r="P984" t="s">
        <v>45</v>
      </c>
      <c r="Q984">
        <v>2610</v>
      </c>
      <c r="R984">
        <v>15748</v>
      </c>
      <c r="S984">
        <v>1</v>
      </c>
      <c r="T984">
        <v>0</v>
      </c>
      <c r="U984" s="17">
        <v>0.11</v>
      </c>
      <c r="V984">
        <v>3</v>
      </c>
      <c r="W984">
        <v>4</v>
      </c>
      <c r="X984">
        <v>3</v>
      </c>
      <c r="Y984">
        <v>4</v>
      </c>
      <c r="Z984">
        <v>2</v>
      </c>
      <c r="AA984">
        <v>3</v>
      </c>
      <c r="AB984">
        <v>4</v>
      </c>
      <c r="AC984">
        <v>2</v>
      </c>
      <c r="AD984">
        <v>0</v>
      </c>
      <c r="AE984">
        <v>3</v>
      </c>
      <c r="AF984">
        <v>0</v>
      </c>
      <c r="AG984">
        <f>IF(tbl_HR_Data[[#This Row],[Gender]]="Male",1,0)</f>
        <v>1</v>
      </c>
      <c r="AH984" cm="1">
        <f t="array" ref="AH984">_xlfn.SWITCH(tbl_HR_Data[[#This Row],[BusinessTravel]], "Non-Travel", 0, "Travel_Rarely", 1, "Travel_Frequently", 2)</f>
        <v>2</v>
      </c>
      <c r="AI984" cm="1">
        <f t="array" ref="AI984">_xlfn.SWITCH(tbl_HR_Data[[#This Row],[MaritalStatus]],"Single",0,"Married",1,"Divorced",2)</f>
        <v>2</v>
      </c>
      <c r="AJ984">
        <f>IF(tbl_HR_Data[[#This Row],[OverTime]]=1,1,0)</f>
        <v>0</v>
      </c>
      <c r="AK984">
        <f>IF(tbl_HR_Data[[#This Row],[DistanceFromHome]]&gt;15,1,0)</f>
        <v>0</v>
      </c>
      <c r="AL984">
        <f>IF(tbl_HR_Data[[#This Row],[JobSatisfaction]]&lt;=2,1,0)</f>
        <v>0</v>
      </c>
      <c r="AM984">
        <f>IF(tbl_HR_Data[[#This Row],[MonthlyIncome]]&lt;$AT$2,1,0)</f>
        <v>1</v>
      </c>
      <c r="AN984">
        <f>IF(tbl_HR_Data[[#This Row],[Travel_Code]]=2,1,0)</f>
        <v>1</v>
      </c>
      <c r="AO984">
        <f>(tbl_HR_Data[[#This Row],[Flag_OT]] * Logic_Parameters!$B$2) +
 (tbl_HR_Data[[#This Row],[Flag_Travel]] * Logic_Parameters!$B$3) +
 (tbl_HR_Data[[#This Row],[Flag_Satisfaction]] * Logic_Parameters!$B$4) +
 (tbl_HR_Data[[#This Row],[Flag_Distance]]* Logic_Parameters!$B$5) +
 (tbl_HR_Data[[#This Row],[Flag_Income]] * Logic_Parameters!$B$6)</f>
        <v>11.654818917911005</v>
      </c>
      <c r="AP984" s="15">
        <f>tbl_HR_Data[[#This Row],[Risk_Score_Raw]] / SUM(Logic_Parameters!$B$2:$B$6)</f>
        <v>0.40153780240992015</v>
      </c>
      <c r="AQ984" s="16" t="str" cm="1">
        <f t="array" ref="AQ984">_xlfn.IFS(tbl_HR_Data[[#This Row],[Attrition_Risk_Percentage]] &gt;= 0.75, "Critical",tbl_HR_Data[ [#This Row],[Attrition_Risk_Percentage] ]&gt;= 0.5, "High",tbl_HR_Data[[#This Row],[Attrition_Risk_Percentage]] &gt;= 0.25, "Medium",TRUE, "Low")</f>
        <v>Medium</v>
      </c>
      <c r="AR984" s="16" cm="1">
        <f t="array" ref="AR984">IFERROR(_xlfn.IFS(tbl_HR_Data[[#This Row],[Risk_Category]]="Critical",tbl_HR_Data[[#This Row],[MonthlyIncome]]*1.5,tbl_HR_Data[[#This Row],[Risk_Category]]="High",tbl_HR_Data[[#This Row],[MonthlyIncome]]*1.5),0)</f>
        <v>0</v>
      </c>
    </row>
    <row r="985" spans="1:44" x14ac:dyDescent="0.35">
      <c r="A985" t="s">
        <v>1426</v>
      </c>
      <c r="B985">
        <v>34</v>
      </c>
      <c r="C985" t="s">
        <v>31</v>
      </c>
      <c r="D985">
        <v>404</v>
      </c>
      <c r="E985" t="s">
        <v>38</v>
      </c>
      <c r="F985">
        <v>2</v>
      </c>
      <c r="G985">
        <v>4</v>
      </c>
      <c r="H985" t="s">
        <v>52</v>
      </c>
      <c r="I985">
        <v>3</v>
      </c>
      <c r="J985" t="s">
        <v>34</v>
      </c>
      <c r="K985">
        <v>98</v>
      </c>
      <c r="L985">
        <v>3</v>
      </c>
      <c r="M985">
        <v>2</v>
      </c>
      <c r="N985" t="s">
        <v>47</v>
      </c>
      <c r="O985">
        <v>4</v>
      </c>
      <c r="P985" t="s">
        <v>36</v>
      </c>
      <c r="Q985">
        <v>6687</v>
      </c>
      <c r="R985">
        <v>6163</v>
      </c>
      <c r="S985">
        <v>1</v>
      </c>
      <c r="T985">
        <v>0</v>
      </c>
      <c r="U985" s="17">
        <v>0.11</v>
      </c>
      <c r="V985">
        <v>3</v>
      </c>
      <c r="W985">
        <v>4</v>
      </c>
      <c r="X985">
        <v>0</v>
      </c>
      <c r="Y985">
        <v>14</v>
      </c>
      <c r="Z985">
        <v>2</v>
      </c>
      <c r="AA985">
        <v>4</v>
      </c>
      <c r="AB985">
        <v>14</v>
      </c>
      <c r="AC985">
        <v>11</v>
      </c>
      <c r="AD985">
        <v>4</v>
      </c>
      <c r="AE985">
        <v>11</v>
      </c>
      <c r="AF985">
        <v>0</v>
      </c>
      <c r="AG985">
        <f>IF(tbl_HR_Data[[#This Row],[Gender]]="Male",1,0)</f>
        <v>0</v>
      </c>
      <c r="AH985" cm="1">
        <f t="array" ref="AH985">_xlfn.SWITCH(tbl_HR_Data[[#This Row],[BusinessTravel]], "Non-Travel", 0, "Travel_Rarely", 1, "Travel_Frequently", 2)</f>
        <v>1</v>
      </c>
      <c r="AI985" cm="1">
        <f t="array" ref="AI985">_xlfn.SWITCH(tbl_HR_Data[[#This Row],[MaritalStatus]],"Single",0,"Married",1,"Divorced",2)</f>
        <v>0</v>
      </c>
      <c r="AJ985">
        <f>IF(tbl_HR_Data[[#This Row],[OverTime]]=1,1,0)</f>
        <v>0</v>
      </c>
      <c r="AK985">
        <f>IF(tbl_HR_Data[[#This Row],[DistanceFromHome]]&gt;15,1,0)</f>
        <v>0</v>
      </c>
      <c r="AL985">
        <f>IF(tbl_HR_Data[[#This Row],[JobSatisfaction]]&lt;=2,1,0)</f>
        <v>0</v>
      </c>
      <c r="AM985">
        <f>IF(tbl_HR_Data[[#This Row],[MonthlyIncome]]&lt;$AT$2,1,0)</f>
        <v>0</v>
      </c>
      <c r="AN985">
        <f>IF(tbl_HR_Data[[#This Row],[Travel_Code]]=2,1,0)</f>
        <v>0</v>
      </c>
      <c r="AO985">
        <f>(tbl_HR_Data[[#This Row],[Flag_OT]] * Logic_Parameters!$B$2) +
 (tbl_HR_Data[[#This Row],[Flag_Travel]] * Logic_Parameters!$B$3) +
 (tbl_HR_Data[[#This Row],[Flag_Satisfaction]] * Logic_Parameters!$B$4) +
 (tbl_HR_Data[[#This Row],[Flag_Distance]]* Logic_Parameters!$B$5) +
 (tbl_HR_Data[[#This Row],[Flag_Income]] * Logic_Parameters!$B$6)</f>
        <v>0</v>
      </c>
      <c r="AP985" s="15">
        <f>tbl_HR_Data[[#This Row],[Risk_Score_Raw]] / SUM(Logic_Parameters!$B$2:$B$6)</f>
        <v>0</v>
      </c>
      <c r="AQ985" s="16" t="str" cm="1">
        <f t="array" ref="AQ985">_xlfn.IFS(tbl_HR_Data[[#This Row],[Attrition_Risk_Percentage]] &gt;= 0.75, "Critical",tbl_HR_Data[ [#This Row],[Attrition_Risk_Percentage] ]&gt;= 0.5, "High",tbl_HR_Data[[#This Row],[Attrition_Risk_Percentage]] &gt;= 0.25, "Medium",TRUE, "Low")</f>
        <v>Low</v>
      </c>
      <c r="AR985" s="16" cm="1">
        <f t="array" ref="AR985">IFERROR(_xlfn.IFS(tbl_HR_Data[[#This Row],[Risk_Category]]="Critical",tbl_HR_Data[[#This Row],[MonthlyIncome]]*1.5,tbl_HR_Data[[#This Row],[Risk_Category]]="High",tbl_HR_Data[[#This Row],[MonthlyIncome]]*1.5),0)</f>
        <v>0</v>
      </c>
    </row>
    <row r="986" spans="1:44" x14ac:dyDescent="0.35">
      <c r="A986" t="s">
        <v>312</v>
      </c>
      <c r="B986">
        <v>28</v>
      </c>
      <c r="C986" t="s">
        <v>31</v>
      </c>
      <c r="D986">
        <v>736</v>
      </c>
      <c r="E986" t="s">
        <v>32</v>
      </c>
      <c r="F986">
        <v>26</v>
      </c>
      <c r="G986">
        <v>3</v>
      </c>
      <c r="H986" t="s">
        <v>33</v>
      </c>
      <c r="I986">
        <v>3</v>
      </c>
      <c r="J986" t="s">
        <v>39</v>
      </c>
      <c r="K986">
        <v>48</v>
      </c>
      <c r="L986">
        <v>2</v>
      </c>
      <c r="M986">
        <v>2</v>
      </c>
      <c r="N986" t="s">
        <v>35</v>
      </c>
      <c r="O986">
        <v>1</v>
      </c>
      <c r="P986" t="s">
        <v>41</v>
      </c>
      <c r="Q986">
        <v>4724</v>
      </c>
      <c r="R986">
        <v>24232</v>
      </c>
      <c r="S986">
        <v>1</v>
      </c>
      <c r="T986">
        <v>0</v>
      </c>
      <c r="U986" s="17">
        <v>0.11</v>
      </c>
      <c r="V986">
        <v>3</v>
      </c>
      <c r="W986">
        <v>3</v>
      </c>
      <c r="X986">
        <v>1</v>
      </c>
      <c r="Y986">
        <v>5</v>
      </c>
      <c r="Z986">
        <v>0</v>
      </c>
      <c r="AA986">
        <v>3</v>
      </c>
      <c r="AB986">
        <v>5</v>
      </c>
      <c r="AC986">
        <v>3</v>
      </c>
      <c r="AD986">
        <v>0</v>
      </c>
      <c r="AE986">
        <v>4</v>
      </c>
      <c r="AF986">
        <v>0</v>
      </c>
      <c r="AG986">
        <f>IF(tbl_HR_Data[[#This Row],[Gender]]="Male",1,0)</f>
        <v>1</v>
      </c>
      <c r="AH986" cm="1">
        <f t="array" ref="AH986">_xlfn.SWITCH(tbl_HR_Data[[#This Row],[BusinessTravel]], "Non-Travel", 0, "Travel_Rarely", 1, "Travel_Frequently", 2)</f>
        <v>1</v>
      </c>
      <c r="AI986" cm="1">
        <f t="array" ref="AI986">_xlfn.SWITCH(tbl_HR_Data[[#This Row],[MaritalStatus]],"Single",0,"Married",1,"Divorced",2)</f>
        <v>1</v>
      </c>
      <c r="AJ986">
        <f>IF(tbl_HR_Data[[#This Row],[OverTime]]=1,1,0)</f>
        <v>0</v>
      </c>
      <c r="AK986">
        <f>IF(tbl_HR_Data[[#This Row],[DistanceFromHome]]&gt;15,1,0)</f>
        <v>1</v>
      </c>
      <c r="AL986">
        <f>IF(tbl_HR_Data[[#This Row],[JobSatisfaction]]&lt;=2,1,0)</f>
        <v>1</v>
      </c>
      <c r="AM986">
        <f>IF(tbl_HR_Data[[#This Row],[MonthlyIncome]]&lt;$AT$2,1,0)</f>
        <v>1</v>
      </c>
      <c r="AN986">
        <f>IF(tbl_HR_Data[[#This Row],[Travel_Code]]=2,1,0)</f>
        <v>0</v>
      </c>
      <c r="AO986">
        <f>(tbl_HR_Data[[#This Row],[Flag_OT]] * Logic_Parameters!$B$2) +
 (tbl_HR_Data[[#This Row],[Flag_Travel]] * Logic_Parameters!$B$3) +
 (tbl_HR_Data[[#This Row],[Flag_Satisfaction]] * Logic_Parameters!$B$4) +
 (tbl_HR_Data[[#This Row],[Flag_Distance]]* Logic_Parameters!$B$5) +
 (tbl_HR_Data[[#This Row],[Flag_Income]] * Logic_Parameters!$B$6)</f>
        <v>13.865068763274337</v>
      </c>
      <c r="AP986" s="15">
        <f>tbl_HR_Data[[#This Row],[Risk_Score_Raw]] / SUM(Logic_Parameters!$B$2:$B$6)</f>
        <v>0.47768646434409739</v>
      </c>
      <c r="AQ986" s="16" t="str" cm="1">
        <f t="array" ref="AQ986">_xlfn.IFS(tbl_HR_Data[[#This Row],[Attrition_Risk_Percentage]] &gt;= 0.75, "Critical",tbl_HR_Data[ [#This Row],[Attrition_Risk_Percentage] ]&gt;= 0.5, "High",tbl_HR_Data[[#This Row],[Attrition_Risk_Percentage]] &gt;= 0.25, "Medium",TRUE, "Low")</f>
        <v>Medium</v>
      </c>
      <c r="AR986" s="16" cm="1">
        <f t="array" ref="AR986">IFERROR(_xlfn.IFS(tbl_HR_Data[[#This Row],[Risk_Category]]="Critical",tbl_HR_Data[[#This Row],[MonthlyIncome]]*1.5,tbl_HR_Data[[#This Row],[Risk_Category]]="High",tbl_HR_Data[[#This Row],[MonthlyIncome]]*1.5),0)</f>
        <v>0</v>
      </c>
    </row>
    <row r="987" spans="1:44" x14ac:dyDescent="0.35">
      <c r="A987" t="s">
        <v>1249</v>
      </c>
      <c r="B987">
        <v>31</v>
      </c>
      <c r="C987" t="s">
        <v>31</v>
      </c>
      <c r="D987">
        <v>330</v>
      </c>
      <c r="E987" t="s">
        <v>38</v>
      </c>
      <c r="F987">
        <v>22</v>
      </c>
      <c r="G987">
        <v>4</v>
      </c>
      <c r="H987" t="s">
        <v>44</v>
      </c>
      <c r="I987">
        <v>4</v>
      </c>
      <c r="J987" t="s">
        <v>39</v>
      </c>
      <c r="K987">
        <v>98</v>
      </c>
      <c r="L987">
        <v>3</v>
      </c>
      <c r="M987">
        <v>2</v>
      </c>
      <c r="N987" t="s">
        <v>46</v>
      </c>
      <c r="O987">
        <v>3</v>
      </c>
      <c r="P987" t="s">
        <v>41</v>
      </c>
      <c r="Q987">
        <v>6179</v>
      </c>
      <c r="R987">
        <v>21057</v>
      </c>
      <c r="S987">
        <v>1</v>
      </c>
      <c r="T987">
        <v>1</v>
      </c>
      <c r="U987" s="17">
        <v>0.15</v>
      </c>
      <c r="V987">
        <v>3</v>
      </c>
      <c r="W987">
        <v>4</v>
      </c>
      <c r="X987">
        <v>2</v>
      </c>
      <c r="Y987">
        <v>10</v>
      </c>
      <c r="Z987">
        <v>3</v>
      </c>
      <c r="AA987">
        <v>2</v>
      </c>
      <c r="AB987">
        <v>10</v>
      </c>
      <c r="AC987">
        <v>2</v>
      </c>
      <c r="AD987">
        <v>6</v>
      </c>
      <c r="AE987">
        <v>7</v>
      </c>
      <c r="AF987">
        <v>1</v>
      </c>
      <c r="AG987">
        <f>IF(tbl_HR_Data[[#This Row],[Gender]]="Male",1,0)</f>
        <v>1</v>
      </c>
      <c r="AH987" cm="1">
        <f t="array" ref="AH987">_xlfn.SWITCH(tbl_HR_Data[[#This Row],[BusinessTravel]], "Non-Travel", 0, "Travel_Rarely", 1, "Travel_Frequently", 2)</f>
        <v>1</v>
      </c>
      <c r="AI987" cm="1">
        <f t="array" ref="AI987">_xlfn.SWITCH(tbl_HR_Data[[#This Row],[MaritalStatus]],"Single",0,"Married",1,"Divorced",2)</f>
        <v>1</v>
      </c>
      <c r="AJ987">
        <f>IF(tbl_HR_Data[[#This Row],[OverTime]]=1,1,0)</f>
        <v>1</v>
      </c>
      <c r="AK987">
        <f>IF(tbl_HR_Data[[#This Row],[DistanceFromHome]]&gt;15,1,0)</f>
        <v>1</v>
      </c>
      <c r="AL987">
        <f>IF(tbl_HR_Data[[#This Row],[JobSatisfaction]]&lt;=2,1,0)</f>
        <v>0</v>
      </c>
      <c r="AM987">
        <f>IF(tbl_HR_Data[[#This Row],[MonthlyIncome]]&lt;$AT$2,1,0)</f>
        <v>0</v>
      </c>
      <c r="AN987">
        <f>IF(tbl_HR_Data[[#This Row],[Travel_Code]]=2,1,0)</f>
        <v>0</v>
      </c>
      <c r="AO987">
        <f>(tbl_HR_Data[[#This Row],[Flag_OT]] * Logic_Parameters!$B$2) +
 (tbl_HR_Data[[#This Row],[Flag_Travel]] * Logic_Parameters!$B$3) +
 (tbl_HR_Data[[#This Row],[Flag_Satisfaction]] * Logic_Parameters!$B$4) +
 (tbl_HR_Data[[#This Row],[Flag_Distance]]* Logic_Parameters!$B$5) +
 (tbl_HR_Data[[#This Row],[Flag_Income]] * Logic_Parameters!$B$6)</f>
        <v>13.166106695875378</v>
      </c>
      <c r="AP987" s="15">
        <f>tbl_HR_Data[[#This Row],[Risk_Score_Raw]] / SUM(Logic_Parameters!$B$2:$B$6)</f>
        <v>0.45360546450291089</v>
      </c>
      <c r="AQ987" s="16" t="str" cm="1">
        <f t="array" ref="AQ987">_xlfn.IFS(tbl_HR_Data[[#This Row],[Attrition_Risk_Percentage]] &gt;= 0.75, "Critical",tbl_HR_Data[ [#This Row],[Attrition_Risk_Percentage] ]&gt;= 0.5, "High",tbl_HR_Data[[#This Row],[Attrition_Risk_Percentage]] &gt;= 0.25, "Medium",TRUE, "Low")</f>
        <v>Medium</v>
      </c>
      <c r="AR987" s="16" cm="1">
        <f t="array" ref="AR987">IFERROR(_xlfn.IFS(tbl_HR_Data[[#This Row],[Risk_Category]]="Critical",tbl_HR_Data[[#This Row],[MonthlyIncome]]*1.5,tbl_HR_Data[[#This Row],[Risk_Category]]="High",tbl_HR_Data[[#This Row],[MonthlyIncome]]*1.5),0)</f>
        <v>0</v>
      </c>
    </row>
    <row r="988" spans="1:44" x14ac:dyDescent="0.35">
      <c r="A988" t="s">
        <v>1430</v>
      </c>
      <c r="B988">
        <v>39</v>
      </c>
      <c r="C988" t="s">
        <v>31</v>
      </c>
      <c r="D988">
        <v>1498</v>
      </c>
      <c r="E988" t="s">
        <v>32</v>
      </c>
      <c r="F988">
        <v>21</v>
      </c>
      <c r="G988">
        <v>4</v>
      </c>
      <c r="H988" t="s">
        <v>33</v>
      </c>
      <c r="I988">
        <v>1</v>
      </c>
      <c r="J988" t="s">
        <v>39</v>
      </c>
      <c r="K988">
        <v>44</v>
      </c>
      <c r="L988">
        <v>2</v>
      </c>
      <c r="M988">
        <v>2</v>
      </c>
      <c r="N988" t="s">
        <v>35</v>
      </c>
      <c r="O988">
        <v>4</v>
      </c>
      <c r="P988" t="s">
        <v>41</v>
      </c>
      <c r="Q988">
        <v>6120</v>
      </c>
      <c r="R988">
        <v>3567</v>
      </c>
      <c r="S988">
        <v>3</v>
      </c>
      <c r="T988">
        <v>1</v>
      </c>
      <c r="U988" s="17">
        <v>0.12</v>
      </c>
      <c r="V988">
        <v>3</v>
      </c>
      <c r="W988">
        <v>4</v>
      </c>
      <c r="X988">
        <v>2</v>
      </c>
      <c r="Y988">
        <v>8</v>
      </c>
      <c r="Z988">
        <v>2</v>
      </c>
      <c r="AA988">
        <v>4</v>
      </c>
      <c r="AB988">
        <v>5</v>
      </c>
      <c r="AC988">
        <v>4</v>
      </c>
      <c r="AD988">
        <v>1</v>
      </c>
      <c r="AE988">
        <v>4</v>
      </c>
      <c r="AF988">
        <v>0</v>
      </c>
      <c r="AG988">
        <f>IF(tbl_HR_Data[[#This Row],[Gender]]="Male",1,0)</f>
        <v>1</v>
      </c>
      <c r="AH988" cm="1">
        <f t="array" ref="AH988">_xlfn.SWITCH(tbl_HR_Data[[#This Row],[BusinessTravel]], "Non-Travel", 0, "Travel_Rarely", 1, "Travel_Frequently", 2)</f>
        <v>1</v>
      </c>
      <c r="AI988" cm="1">
        <f t="array" ref="AI988">_xlfn.SWITCH(tbl_HR_Data[[#This Row],[MaritalStatus]],"Single",0,"Married",1,"Divorced",2)</f>
        <v>1</v>
      </c>
      <c r="AJ988">
        <f>IF(tbl_HR_Data[[#This Row],[OverTime]]=1,1,0)</f>
        <v>1</v>
      </c>
      <c r="AK988">
        <f>IF(tbl_HR_Data[[#This Row],[DistanceFromHome]]&gt;15,1,0)</f>
        <v>1</v>
      </c>
      <c r="AL988">
        <f>IF(tbl_HR_Data[[#This Row],[JobSatisfaction]]&lt;=2,1,0)</f>
        <v>0</v>
      </c>
      <c r="AM988">
        <f>IF(tbl_HR_Data[[#This Row],[MonthlyIncome]]&lt;$AT$2,1,0)</f>
        <v>0</v>
      </c>
      <c r="AN988">
        <f>IF(tbl_HR_Data[[#This Row],[Travel_Code]]=2,1,0)</f>
        <v>0</v>
      </c>
      <c r="AO988">
        <f>(tbl_HR_Data[[#This Row],[Flag_OT]] * Logic_Parameters!$B$2) +
 (tbl_HR_Data[[#This Row],[Flag_Travel]] * Logic_Parameters!$B$3) +
 (tbl_HR_Data[[#This Row],[Flag_Satisfaction]] * Logic_Parameters!$B$4) +
 (tbl_HR_Data[[#This Row],[Flag_Distance]]* Logic_Parameters!$B$5) +
 (tbl_HR_Data[[#This Row],[Flag_Income]] * Logic_Parameters!$B$6)</f>
        <v>13.166106695875378</v>
      </c>
      <c r="AP988" s="15">
        <f>tbl_HR_Data[[#This Row],[Risk_Score_Raw]] / SUM(Logic_Parameters!$B$2:$B$6)</f>
        <v>0.45360546450291089</v>
      </c>
      <c r="AQ988" s="16" t="str" cm="1">
        <f t="array" ref="AQ988">_xlfn.IFS(tbl_HR_Data[[#This Row],[Attrition_Risk_Percentage]] &gt;= 0.75, "Critical",tbl_HR_Data[ [#This Row],[Attrition_Risk_Percentage] ]&gt;= 0.5, "High",tbl_HR_Data[[#This Row],[Attrition_Risk_Percentage]] &gt;= 0.25, "Medium",TRUE, "Low")</f>
        <v>Medium</v>
      </c>
      <c r="AR988" s="16" cm="1">
        <f t="array" ref="AR988">IFERROR(_xlfn.IFS(tbl_HR_Data[[#This Row],[Risk_Category]]="Critical",tbl_HR_Data[[#This Row],[MonthlyIncome]]*1.5,tbl_HR_Data[[#This Row],[Risk_Category]]="High",tbl_HR_Data[[#This Row],[MonthlyIncome]]*1.5),0)</f>
        <v>0</v>
      </c>
    </row>
    <row r="989" spans="1:44" x14ac:dyDescent="0.35">
      <c r="A989" t="s">
        <v>345</v>
      </c>
      <c r="B989">
        <v>51</v>
      </c>
      <c r="C989" t="s">
        <v>37</v>
      </c>
      <c r="D989">
        <v>541</v>
      </c>
      <c r="E989" t="s">
        <v>32</v>
      </c>
      <c r="F989">
        <v>2</v>
      </c>
      <c r="G989">
        <v>3</v>
      </c>
      <c r="H989" t="s">
        <v>51</v>
      </c>
      <c r="I989">
        <v>2</v>
      </c>
      <c r="J989" t="s">
        <v>39</v>
      </c>
      <c r="K989">
        <v>52</v>
      </c>
      <c r="L989">
        <v>3</v>
      </c>
      <c r="M989">
        <v>3</v>
      </c>
      <c r="N989" t="s">
        <v>35</v>
      </c>
      <c r="O989">
        <v>2</v>
      </c>
      <c r="P989" t="s">
        <v>41</v>
      </c>
      <c r="Q989">
        <v>10596</v>
      </c>
      <c r="R989">
        <v>15395</v>
      </c>
      <c r="S989">
        <v>2</v>
      </c>
      <c r="T989">
        <v>0</v>
      </c>
      <c r="U989" s="17">
        <v>0.11</v>
      </c>
      <c r="V989">
        <v>3</v>
      </c>
      <c r="W989">
        <v>2</v>
      </c>
      <c r="X989">
        <v>0</v>
      </c>
      <c r="Y989">
        <v>14</v>
      </c>
      <c r="Z989">
        <v>5</v>
      </c>
      <c r="AA989">
        <v>3</v>
      </c>
      <c r="AB989">
        <v>4</v>
      </c>
      <c r="AC989">
        <v>2</v>
      </c>
      <c r="AD989">
        <v>3</v>
      </c>
      <c r="AE989">
        <v>2</v>
      </c>
      <c r="AF989">
        <v>0</v>
      </c>
      <c r="AG989">
        <f>IF(tbl_HR_Data[[#This Row],[Gender]]="Male",1,0)</f>
        <v>1</v>
      </c>
      <c r="AH989" cm="1">
        <f t="array" ref="AH989">_xlfn.SWITCH(tbl_HR_Data[[#This Row],[BusinessTravel]], "Non-Travel", 0, "Travel_Rarely", 1, "Travel_Frequently", 2)</f>
        <v>2</v>
      </c>
      <c r="AI989" cm="1">
        <f t="array" ref="AI989">_xlfn.SWITCH(tbl_HR_Data[[#This Row],[MaritalStatus]],"Single",0,"Married",1,"Divorced",2)</f>
        <v>1</v>
      </c>
      <c r="AJ989">
        <f>IF(tbl_HR_Data[[#This Row],[OverTime]]=1,1,0)</f>
        <v>0</v>
      </c>
      <c r="AK989">
        <f>IF(tbl_HR_Data[[#This Row],[DistanceFromHome]]&gt;15,1,0)</f>
        <v>0</v>
      </c>
      <c r="AL989">
        <f>IF(tbl_HR_Data[[#This Row],[JobSatisfaction]]&lt;=2,1,0)</f>
        <v>1</v>
      </c>
      <c r="AM989">
        <f>IF(tbl_HR_Data[[#This Row],[MonthlyIncome]]&lt;$AT$2,1,0)</f>
        <v>0</v>
      </c>
      <c r="AN989">
        <f>IF(tbl_HR_Data[[#This Row],[Travel_Code]]=2,1,0)</f>
        <v>1</v>
      </c>
      <c r="AO989">
        <f>(tbl_HR_Data[[#This Row],[Flag_OT]] * Logic_Parameters!$B$2) +
 (tbl_HR_Data[[#This Row],[Flag_Travel]] * Logic_Parameters!$B$3) +
 (tbl_HR_Data[[#This Row],[Flag_Satisfaction]] * Logic_Parameters!$B$4) +
 (tbl_HR_Data[[#This Row],[Flag_Distance]]* Logic_Parameters!$B$5) +
 (tbl_HR_Data[[#This Row],[Flag_Income]] * Logic_Parameters!$B$6)</f>
        <v>9.3649231104683075</v>
      </c>
      <c r="AP989" s="15">
        <f>tbl_HR_Data[[#This Row],[Risk_Score_Raw]] / SUM(Logic_Parameters!$B$2:$B$6)</f>
        <v>0.32264513691726432</v>
      </c>
      <c r="AQ989" s="16" t="str" cm="1">
        <f t="array" ref="AQ989">_xlfn.IFS(tbl_HR_Data[[#This Row],[Attrition_Risk_Percentage]] &gt;= 0.75, "Critical",tbl_HR_Data[ [#This Row],[Attrition_Risk_Percentage] ]&gt;= 0.5, "High",tbl_HR_Data[[#This Row],[Attrition_Risk_Percentage]] &gt;= 0.25, "Medium",TRUE, "Low")</f>
        <v>Medium</v>
      </c>
      <c r="AR989" s="16" cm="1">
        <f t="array" ref="AR989">IFERROR(_xlfn.IFS(tbl_HR_Data[[#This Row],[Risk_Category]]="Critical",tbl_HR_Data[[#This Row],[MonthlyIncome]]*1.5,tbl_HR_Data[[#This Row],[Risk_Category]]="High",tbl_HR_Data[[#This Row],[MonthlyIncome]]*1.5),0)</f>
        <v>0</v>
      </c>
    </row>
    <row r="990" spans="1:44" x14ac:dyDescent="0.35">
      <c r="A990" t="s">
        <v>355</v>
      </c>
      <c r="B990">
        <v>41</v>
      </c>
      <c r="C990" t="s">
        <v>37</v>
      </c>
      <c r="D990">
        <v>1200</v>
      </c>
      <c r="E990" t="s">
        <v>38</v>
      </c>
      <c r="F990">
        <v>22</v>
      </c>
      <c r="G990">
        <v>3</v>
      </c>
      <c r="H990" t="s">
        <v>33</v>
      </c>
      <c r="I990">
        <v>4</v>
      </c>
      <c r="J990" t="s">
        <v>34</v>
      </c>
      <c r="K990">
        <v>75</v>
      </c>
      <c r="L990">
        <v>3</v>
      </c>
      <c r="M990">
        <v>2</v>
      </c>
      <c r="N990" t="s">
        <v>40</v>
      </c>
      <c r="O990">
        <v>4</v>
      </c>
      <c r="P990" t="s">
        <v>45</v>
      </c>
      <c r="Q990">
        <v>5467</v>
      </c>
      <c r="R990">
        <v>13953</v>
      </c>
      <c r="S990">
        <v>3</v>
      </c>
      <c r="T990">
        <v>1</v>
      </c>
      <c r="U990" s="17">
        <v>0.14000000000000001</v>
      </c>
      <c r="V990">
        <v>3</v>
      </c>
      <c r="W990">
        <v>1</v>
      </c>
      <c r="X990">
        <v>2</v>
      </c>
      <c r="Y990">
        <v>12</v>
      </c>
      <c r="Z990">
        <v>4</v>
      </c>
      <c r="AA990">
        <v>2</v>
      </c>
      <c r="AB990">
        <v>6</v>
      </c>
      <c r="AC990">
        <v>2</v>
      </c>
      <c r="AD990">
        <v>3</v>
      </c>
      <c r="AE990">
        <v>3</v>
      </c>
      <c r="AF990">
        <v>0</v>
      </c>
      <c r="AG990">
        <f>IF(tbl_HR_Data[[#This Row],[Gender]]="Male",1,0)</f>
        <v>0</v>
      </c>
      <c r="AH990" cm="1">
        <f t="array" ref="AH990">_xlfn.SWITCH(tbl_HR_Data[[#This Row],[BusinessTravel]], "Non-Travel", 0, "Travel_Rarely", 1, "Travel_Frequently", 2)</f>
        <v>2</v>
      </c>
      <c r="AI990" cm="1">
        <f t="array" ref="AI990">_xlfn.SWITCH(tbl_HR_Data[[#This Row],[MaritalStatus]],"Single",0,"Married",1,"Divorced",2)</f>
        <v>2</v>
      </c>
      <c r="AJ990">
        <f>IF(tbl_HR_Data[[#This Row],[OverTime]]=1,1,0)</f>
        <v>1</v>
      </c>
      <c r="AK990">
        <f>IF(tbl_HR_Data[[#This Row],[DistanceFromHome]]&gt;15,1,0)</f>
        <v>1</v>
      </c>
      <c r="AL990">
        <f>IF(tbl_HR_Data[[#This Row],[JobSatisfaction]]&lt;=2,1,0)</f>
        <v>0</v>
      </c>
      <c r="AM990">
        <f>IF(tbl_HR_Data[[#This Row],[MonthlyIncome]]&lt;$AT$2,1,0)</f>
        <v>0</v>
      </c>
      <c r="AN990">
        <f>IF(tbl_HR_Data[[#This Row],[Travel_Code]]=2,1,0)</f>
        <v>1</v>
      </c>
      <c r="AO990">
        <f>(tbl_HR_Data[[#This Row],[Flag_OT]] * Logic_Parameters!$B$2) +
 (tbl_HR_Data[[#This Row],[Flag_Travel]] * Logic_Parameters!$B$3) +
 (tbl_HR_Data[[#This Row],[Flag_Satisfaction]] * Logic_Parameters!$B$4) +
 (tbl_HR_Data[[#This Row],[Flag_Distance]]* Logic_Parameters!$B$5) +
 (tbl_HR_Data[[#This Row],[Flag_Income]] * Logic_Parameters!$B$6)</f>
        <v>18.326496676365554</v>
      </c>
      <c r="AP990" s="15">
        <f>tbl_HR_Data[[#This Row],[Risk_Score_Raw]] / SUM(Logic_Parameters!$B$2:$B$6)</f>
        <v>0.63139386833300615</v>
      </c>
      <c r="AQ990" s="16" t="str" cm="1">
        <f t="array" ref="AQ990">_xlfn.IFS(tbl_HR_Data[[#This Row],[Attrition_Risk_Percentage]] &gt;= 0.75, "Critical",tbl_HR_Data[ [#This Row],[Attrition_Risk_Percentage] ]&gt;= 0.5, "High",tbl_HR_Data[[#This Row],[Attrition_Risk_Percentage]] &gt;= 0.25, "Medium",TRUE, "Low")</f>
        <v>High</v>
      </c>
      <c r="AR990" s="16" cm="1">
        <f t="array" ref="AR990">IFERROR(_xlfn.IFS(tbl_HR_Data[[#This Row],[Risk_Category]]="Critical",tbl_HR_Data[[#This Row],[MonthlyIncome]]*1.5,tbl_HR_Data[[#This Row],[Risk_Category]]="High",tbl_HR_Data[[#This Row],[MonthlyIncome]]*1.5),0)</f>
        <v>8200.5</v>
      </c>
    </row>
    <row r="991" spans="1:44" x14ac:dyDescent="0.35">
      <c r="A991" t="s">
        <v>750</v>
      </c>
      <c r="B991">
        <v>37</v>
      </c>
      <c r="C991" t="s">
        <v>31</v>
      </c>
      <c r="D991">
        <v>1439</v>
      </c>
      <c r="E991" t="s">
        <v>38</v>
      </c>
      <c r="F991">
        <v>4</v>
      </c>
      <c r="G991">
        <v>1</v>
      </c>
      <c r="H991" t="s">
        <v>33</v>
      </c>
      <c r="I991">
        <v>3</v>
      </c>
      <c r="J991" t="s">
        <v>39</v>
      </c>
      <c r="K991">
        <v>54</v>
      </c>
      <c r="L991">
        <v>3</v>
      </c>
      <c r="M991">
        <v>1</v>
      </c>
      <c r="N991" t="s">
        <v>40</v>
      </c>
      <c r="O991">
        <v>3</v>
      </c>
      <c r="P991" t="s">
        <v>41</v>
      </c>
      <c r="Q991">
        <v>2996</v>
      </c>
      <c r="R991">
        <v>5182</v>
      </c>
      <c r="S991">
        <v>7</v>
      </c>
      <c r="T991">
        <v>1</v>
      </c>
      <c r="U991" s="17">
        <v>0.15</v>
      </c>
      <c r="V991">
        <v>3</v>
      </c>
      <c r="W991">
        <v>4</v>
      </c>
      <c r="X991">
        <v>0</v>
      </c>
      <c r="Y991">
        <v>8</v>
      </c>
      <c r="Z991">
        <v>2</v>
      </c>
      <c r="AA991">
        <v>3</v>
      </c>
      <c r="AB991">
        <v>6</v>
      </c>
      <c r="AC991">
        <v>4</v>
      </c>
      <c r="AD991">
        <v>1</v>
      </c>
      <c r="AE991">
        <v>3</v>
      </c>
      <c r="AF991">
        <v>0</v>
      </c>
      <c r="AG991">
        <f>IF(tbl_HR_Data[[#This Row],[Gender]]="Male",1,0)</f>
        <v>1</v>
      </c>
      <c r="AH991" cm="1">
        <f t="array" ref="AH991">_xlfn.SWITCH(tbl_HR_Data[[#This Row],[BusinessTravel]], "Non-Travel", 0, "Travel_Rarely", 1, "Travel_Frequently", 2)</f>
        <v>1</v>
      </c>
      <c r="AI991" cm="1">
        <f t="array" ref="AI991">_xlfn.SWITCH(tbl_HR_Data[[#This Row],[MaritalStatus]],"Single",0,"Married",1,"Divorced",2)</f>
        <v>1</v>
      </c>
      <c r="AJ991">
        <f>IF(tbl_HR_Data[[#This Row],[OverTime]]=1,1,0)</f>
        <v>1</v>
      </c>
      <c r="AK991">
        <f>IF(tbl_HR_Data[[#This Row],[DistanceFromHome]]&gt;15,1,0)</f>
        <v>0</v>
      </c>
      <c r="AL991">
        <f>IF(tbl_HR_Data[[#This Row],[JobSatisfaction]]&lt;=2,1,0)</f>
        <v>0</v>
      </c>
      <c r="AM991">
        <f>IF(tbl_HR_Data[[#This Row],[MonthlyIncome]]&lt;$AT$2,1,0)</f>
        <v>1</v>
      </c>
      <c r="AN991">
        <f>IF(tbl_HR_Data[[#This Row],[Travel_Code]]=2,1,0)</f>
        <v>0</v>
      </c>
      <c r="AO991">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991" s="15">
        <f>tbl_HR_Data[[#This Row],[Risk_Score_Raw]] / SUM(Logic_Parameters!$B$2:$B$6)</f>
        <v>0.56827453040563214</v>
      </c>
      <c r="AQ991" s="16" t="str" cm="1">
        <f t="array" ref="AQ991">_xlfn.IFS(tbl_HR_Data[[#This Row],[Attrition_Risk_Percentage]] &gt;= 0.75, "Critical",tbl_HR_Data[ [#This Row],[Attrition_Risk_Percentage] ]&gt;= 0.5, "High",tbl_HR_Data[[#This Row],[Attrition_Risk_Percentage]] &gt;= 0.25, "Medium",TRUE, "Low")</f>
        <v>High</v>
      </c>
      <c r="AR991" s="16" cm="1">
        <f t="array" ref="AR991">IFERROR(_xlfn.IFS(tbl_HR_Data[[#This Row],[Risk_Category]]="Critical",tbl_HR_Data[[#This Row],[MonthlyIncome]]*1.5,tbl_HR_Data[[#This Row],[Risk_Category]]="High",tbl_HR_Data[[#This Row],[MonthlyIncome]]*1.5),0)</f>
        <v>4494</v>
      </c>
    </row>
    <row r="992" spans="1:44" x14ac:dyDescent="0.35">
      <c r="A992" t="s">
        <v>1083</v>
      </c>
      <c r="B992">
        <v>33</v>
      </c>
      <c r="C992" t="s">
        <v>37</v>
      </c>
      <c r="D992">
        <v>1111</v>
      </c>
      <c r="E992" t="s">
        <v>32</v>
      </c>
      <c r="F992">
        <v>5</v>
      </c>
      <c r="G992">
        <v>1</v>
      </c>
      <c r="H992" t="s">
        <v>33</v>
      </c>
      <c r="I992">
        <v>2</v>
      </c>
      <c r="J992" t="s">
        <v>39</v>
      </c>
      <c r="K992">
        <v>61</v>
      </c>
      <c r="L992">
        <v>3</v>
      </c>
      <c r="M992">
        <v>2</v>
      </c>
      <c r="N992" t="s">
        <v>35</v>
      </c>
      <c r="O992">
        <v>4</v>
      </c>
      <c r="P992" t="s">
        <v>41</v>
      </c>
      <c r="Q992">
        <v>9998</v>
      </c>
      <c r="R992">
        <v>19293</v>
      </c>
      <c r="S992">
        <v>6</v>
      </c>
      <c r="T992">
        <v>0</v>
      </c>
      <c r="U992" s="17">
        <v>0.13</v>
      </c>
      <c r="V992">
        <v>3</v>
      </c>
      <c r="W992">
        <v>1</v>
      </c>
      <c r="X992">
        <v>0</v>
      </c>
      <c r="Y992">
        <v>8</v>
      </c>
      <c r="Z992">
        <v>2</v>
      </c>
      <c r="AA992">
        <v>4</v>
      </c>
      <c r="AB992">
        <v>5</v>
      </c>
      <c r="AC992">
        <v>4</v>
      </c>
      <c r="AD992">
        <v>1</v>
      </c>
      <c r="AE992">
        <v>2</v>
      </c>
      <c r="AF992">
        <v>0</v>
      </c>
      <c r="AG992">
        <f>IF(tbl_HR_Data[[#This Row],[Gender]]="Male",1,0)</f>
        <v>1</v>
      </c>
      <c r="AH992" cm="1">
        <f t="array" ref="AH992">_xlfn.SWITCH(tbl_HR_Data[[#This Row],[BusinessTravel]], "Non-Travel", 0, "Travel_Rarely", 1, "Travel_Frequently", 2)</f>
        <v>2</v>
      </c>
      <c r="AI992" cm="1">
        <f t="array" ref="AI992">_xlfn.SWITCH(tbl_HR_Data[[#This Row],[MaritalStatus]],"Single",0,"Married",1,"Divorced",2)</f>
        <v>1</v>
      </c>
      <c r="AJ992">
        <f>IF(tbl_HR_Data[[#This Row],[OverTime]]=1,1,0)</f>
        <v>0</v>
      </c>
      <c r="AK992">
        <f>IF(tbl_HR_Data[[#This Row],[DistanceFromHome]]&gt;15,1,0)</f>
        <v>0</v>
      </c>
      <c r="AL992">
        <f>IF(tbl_HR_Data[[#This Row],[JobSatisfaction]]&lt;=2,1,0)</f>
        <v>0</v>
      </c>
      <c r="AM992">
        <f>IF(tbl_HR_Data[[#This Row],[MonthlyIncome]]&lt;$AT$2,1,0)</f>
        <v>0</v>
      </c>
      <c r="AN992">
        <f>IF(tbl_HR_Data[[#This Row],[Travel_Code]]=2,1,0)</f>
        <v>1</v>
      </c>
      <c r="AO992">
        <f>(tbl_HR_Data[[#This Row],[Flag_OT]] * Logic_Parameters!$B$2) +
 (tbl_HR_Data[[#This Row],[Flag_Travel]] * Logic_Parameters!$B$3) +
 (tbl_HR_Data[[#This Row],[Flag_Satisfaction]] * Logic_Parameters!$B$4) +
 (tbl_HR_Data[[#This Row],[Flag_Distance]]* Logic_Parameters!$B$5) +
 (tbl_HR_Data[[#This Row],[Flag_Income]] * Logic_Parameters!$B$6)</f>
        <v>5.1603899804901765</v>
      </c>
      <c r="AP992" s="15">
        <f>tbl_HR_Data[[#This Row],[Risk_Score_Raw]] / SUM(Logic_Parameters!$B$2:$B$6)</f>
        <v>0.17778840383009531</v>
      </c>
      <c r="AQ992" s="16" t="str" cm="1">
        <f t="array" ref="AQ992">_xlfn.IFS(tbl_HR_Data[[#This Row],[Attrition_Risk_Percentage]] &gt;= 0.75, "Critical",tbl_HR_Data[ [#This Row],[Attrition_Risk_Percentage] ]&gt;= 0.5, "High",tbl_HR_Data[[#This Row],[Attrition_Risk_Percentage]] &gt;= 0.25, "Medium",TRUE, "Low")</f>
        <v>Low</v>
      </c>
      <c r="AR992" s="16" cm="1">
        <f t="array" ref="AR992">IFERROR(_xlfn.IFS(tbl_HR_Data[[#This Row],[Risk_Category]]="Critical",tbl_HR_Data[[#This Row],[MonthlyIncome]]*1.5,tbl_HR_Data[[#This Row],[Risk_Category]]="High",tbl_HR_Data[[#This Row],[MonthlyIncome]]*1.5),0)</f>
        <v>0</v>
      </c>
    </row>
    <row r="993" spans="1:44" x14ac:dyDescent="0.35">
      <c r="A993" t="s">
        <v>1329</v>
      </c>
      <c r="B993">
        <v>32</v>
      </c>
      <c r="C993" t="s">
        <v>31</v>
      </c>
      <c r="D993">
        <v>499</v>
      </c>
      <c r="E993" t="s">
        <v>32</v>
      </c>
      <c r="F993">
        <v>2</v>
      </c>
      <c r="G993">
        <v>1</v>
      </c>
      <c r="H993" t="s">
        <v>51</v>
      </c>
      <c r="I993">
        <v>3</v>
      </c>
      <c r="J993" t="s">
        <v>39</v>
      </c>
      <c r="K993">
        <v>36</v>
      </c>
      <c r="L993">
        <v>3</v>
      </c>
      <c r="M993">
        <v>2</v>
      </c>
      <c r="N993" t="s">
        <v>35</v>
      </c>
      <c r="O993">
        <v>2</v>
      </c>
      <c r="P993" t="s">
        <v>41</v>
      </c>
      <c r="Q993">
        <v>4078</v>
      </c>
      <c r="R993">
        <v>20497</v>
      </c>
      <c r="S993">
        <v>0</v>
      </c>
      <c r="T993">
        <v>1</v>
      </c>
      <c r="U993" s="17">
        <v>0.13</v>
      </c>
      <c r="V993">
        <v>3</v>
      </c>
      <c r="W993">
        <v>1</v>
      </c>
      <c r="X993">
        <v>3</v>
      </c>
      <c r="Y993">
        <v>4</v>
      </c>
      <c r="Z993">
        <v>3</v>
      </c>
      <c r="AA993">
        <v>2</v>
      </c>
      <c r="AB993">
        <v>3</v>
      </c>
      <c r="AC993">
        <v>2</v>
      </c>
      <c r="AD993">
        <v>1</v>
      </c>
      <c r="AE993">
        <v>2</v>
      </c>
      <c r="AF993">
        <v>0</v>
      </c>
      <c r="AG993">
        <f>IF(tbl_HR_Data[[#This Row],[Gender]]="Male",1,0)</f>
        <v>1</v>
      </c>
      <c r="AH993" cm="1">
        <f t="array" ref="AH993">_xlfn.SWITCH(tbl_HR_Data[[#This Row],[BusinessTravel]], "Non-Travel", 0, "Travel_Rarely", 1, "Travel_Frequently", 2)</f>
        <v>1</v>
      </c>
      <c r="AI993" cm="1">
        <f t="array" ref="AI993">_xlfn.SWITCH(tbl_HR_Data[[#This Row],[MaritalStatus]],"Single",0,"Married",1,"Divorced",2)</f>
        <v>1</v>
      </c>
      <c r="AJ993">
        <f>IF(tbl_HR_Data[[#This Row],[OverTime]]=1,1,0)</f>
        <v>1</v>
      </c>
      <c r="AK993">
        <f>IF(tbl_HR_Data[[#This Row],[DistanceFromHome]]&gt;15,1,0)</f>
        <v>0</v>
      </c>
      <c r="AL993">
        <f>IF(tbl_HR_Data[[#This Row],[JobSatisfaction]]&lt;=2,1,0)</f>
        <v>1</v>
      </c>
      <c r="AM993">
        <f>IF(tbl_HR_Data[[#This Row],[MonthlyIncome]]&lt;$AT$2,1,0)</f>
        <v>1</v>
      </c>
      <c r="AN993">
        <f>IF(tbl_HR_Data[[#This Row],[Travel_Code]]=2,1,0)</f>
        <v>0</v>
      </c>
      <c r="AO993">
        <f>(tbl_HR_Data[[#This Row],[Flag_OT]] * Logic_Parameters!$B$2) +
 (tbl_HR_Data[[#This Row],[Flag_Travel]] * Logic_Parameters!$B$3) +
 (tbl_HR_Data[[#This Row],[Flag_Satisfaction]] * Logic_Parameters!$B$4) +
 (tbl_HR_Data[[#This Row],[Flag_Distance]]* Logic_Parameters!$B$5) +
 (tbl_HR_Data[[#This Row],[Flag_Income]] * Logic_Parameters!$B$6)</f>
        <v>20.698962067398959</v>
      </c>
      <c r="AP993" s="15">
        <f>tbl_HR_Data[[#This Row],[Risk_Score_Raw]] / SUM(Logic_Parameters!$B$2:$B$6)</f>
        <v>0.71313126349280109</v>
      </c>
      <c r="AQ993" s="16" t="str" cm="1">
        <f t="array" ref="AQ993">_xlfn.IFS(tbl_HR_Data[[#This Row],[Attrition_Risk_Percentage]] &gt;= 0.75, "Critical",tbl_HR_Data[ [#This Row],[Attrition_Risk_Percentage] ]&gt;= 0.5, "High",tbl_HR_Data[[#This Row],[Attrition_Risk_Percentage]] &gt;= 0.25, "Medium",TRUE, "Low")</f>
        <v>High</v>
      </c>
      <c r="AR993" s="16" cm="1">
        <f t="array" ref="AR993">IFERROR(_xlfn.IFS(tbl_HR_Data[[#This Row],[Risk_Category]]="Critical",tbl_HR_Data[[#This Row],[MonthlyIncome]]*1.5,tbl_HR_Data[[#This Row],[Risk_Category]]="High",tbl_HR_Data[[#This Row],[MonthlyIncome]]*1.5),0)</f>
        <v>6117</v>
      </c>
    </row>
    <row r="994" spans="1:44" x14ac:dyDescent="0.35">
      <c r="A994" t="s">
        <v>174</v>
      </c>
      <c r="B994">
        <v>39</v>
      </c>
      <c r="C994" t="s">
        <v>1525</v>
      </c>
      <c r="D994">
        <v>1485</v>
      </c>
      <c r="E994" t="s">
        <v>38</v>
      </c>
      <c r="F994">
        <v>25</v>
      </c>
      <c r="G994">
        <v>2</v>
      </c>
      <c r="H994" t="s">
        <v>33</v>
      </c>
      <c r="I994">
        <v>3</v>
      </c>
      <c r="J994" t="s">
        <v>39</v>
      </c>
      <c r="K994">
        <v>71</v>
      </c>
      <c r="L994">
        <v>3</v>
      </c>
      <c r="M994">
        <v>3</v>
      </c>
      <c r="N994" t="s">
        <v>47</v>
      </c>
      <c r="O994">
        <v>3</v>
      </c>
      <c r="P994" t="s">
        <v>41</v>
      </c>
      <c r="Q994">
        <v>10920</v>
      </c>
      <c r="R994">
        <v>3449</v>
      </c>
      <c r="S994">
        <v>3</v>
      </c>
      <c r="T994">
        <v>0</v>
      </c>
      <c r="U994" s="17">
        <v>0.21</v>
      </c>
      <c r="V994">
        <v>4</v>
      </c>
      <c r="W994">
        <v>2</v>
      </c>
      <c r="X994">
        <v>1</v>
      </c>
      <c r="Y994">
        <v>13</v>
      </c>
      <c r="Z994">
        <v>2</v>
      </c>
      <c r="AA994">
        <v>3</v>
      </c>
      <c r="AB994">
        <v>6</v>
      </c>
      <c r="AC994">
        <v>4</v>
      </c>
      <c r="AD994">
        <v>0</v>
      </c>
      <c r="AE994">
        <v>5</v>
      </c>
      <c r="AF994">
        <v>0</v>
      </c>
      <c r="AG994">
        <f>IF(tbl_HR_Data[[#This Row],[Gender]]="Male",1,0)</f>
        <v>1</v>
      </c>
      <c r="AH994" cm="1">
        <f t="array" ref="AH994">_xlfn.SWITCH(tbl_HR_Data[[#This Row],[BusinessTravel]], "Non-Travel", 0, "Travel_Rarely", 1, "Travel_Frequently", 2)</f>
        <v>0</v>
      </c>
      <c r="AI994" cm="1">
        <f t="array" ref="AI994">_xlfn.SWITCH(tbl_HR_Data[[#This Row],[MaritalStatus]],"Single",0,"Married",1,"Divorced",2)</f>
        <v>1</v>
      </c>
      <c r="AJ994">
        <f>IF(tbl_HR_Data[[#This Row],[OverTime]]=1,1,0)</f>
        <v>0</v>
      </c>
      <c r="AK994">
        <f>IF(tbl_HR_Data[[#This Row],[DistanceFromHome]]&gt;15,1,0)</f>
        <v>1</v>
      </c>
      <c r="AL994">
        <f>IF(tbl_HR_Data[[#This Row],[JobSatisfaction]]&lt;=2,1,0)</f>
        <v>0</v>
      </c>
      <c r="AM994">
        <f>IF(tbl_HR_Data[[#This Row],[MonthlyIncome]]&lt;$AT$2,1,0)</f>
        <v>0</v>
      </c>
      <c r="AN994">
        <f>IF(tbl_HR_Data[[#This Row],[Travel_Code]]=2,1,0)</f>
        <v>0</v>
      </c>
      <c r="AO994">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994" s="15">
        <f>tbl_HR_Data[[#This Row],[Risk_Score_Raw]] / SUM(Logic_Parameters!$B$2:$B$6)</f>
        <v>0.10908033267710357</v>
      </c>
      <c r="AQ994" s="16" t="str" cm="1">
        <f t="array" ref="AQ994">_xlfn.IFS(tbl_HR_Data[[#This Row],[Attrition_Risk_Percentage]] &gt;= 0.75, "Critical",tbl_HR_Data[ [#This Row],[Attrition_Risk_Percentage] ]&gt;= 0.5, "High",tbl_HR_Data[[#This Row],[Attrition_Risk_Percentage]] &gt;= 0.25, "Medium",TRUE, "Low")</f>
        <v>Low</v>
      </c>
      <c r="AR994" s="16" cm="1">
        <f t="array" ref="AR994">IFERROR(_xlfn.IFS(tbl_HR_Data[[#This Row],[Risk_Category]]="Critical",tbl_HR_Data[[#This Row],[MonthlyIncome]]*1.5,tbl_HR_Data[[#This Row],[Risk_Category]]="High",tbl_HR_Data[[#This Row],[MonthlyIncome]]*1.5),0)</f>
        <v>0</v>
      </c>
    </row>
    <row r="995" spans="1:44" x14ac:dyDescent="0.35">
      <c r="A995" t="s">
        <v>490</v>
      </c>
      <c r="B995">
        <v>25</v>
      </c>
      <c r="C995" t="s">
        <v>31</v>
      </c>
      <c r="D995">
        <v>1372</v>
      </c>
      <c r="E995" t="s">
        <v>32</v>
      </c>
      <c r="F995">
        <v>18</v>
      </c>
      <c r="G995">
        <v>1</v>
      </c>
      <c r="H995" t="s">
        <v>33</v>
      </c>
      <c r="I995">
        <v>1</v>
      </c>
      <c r="J995" t="s">
        <v>39</v>
      </c>
      <c r="K995">
        <v>93</v>
      </c>
      <c r="L995">
        <v>4</v>
      </c>
      <c r="M995">
        <v>2</v>
      </c>
      <c r="N995" t="s">
        <v>35</v>
      </c>
      <c r="O995">
        <v>3</v>
      </c>
      <c r="P995" t="s">
        <v>41</v>
      </c>
      <c r="Q995">
        <v>6232</v>
      </c>
      <c r="R995">
        <v>12477</v>
      </c>
      <c r="S995">
        <v>2</v>
      </c>
      <c r="T995">
        <v>0</v>
      </c>
      <c r="U995" s="17">
        <v>0.11</v>
      </c>
      <c r="V995">
        <v>3</v>
      </c>
      <c r="W995">
        <v>2</v>
      </c>
      <c r="X995">
        <v>0</v>
      </c>
      <c r="Y995">
        <v>6</v>
      </c>
      <c r="Z995">
        <v>3</v>
      </c>
      <c r="AA995">
        <v>2</v>
      </c>
      <c r="AB995">
        <v>3</v>
      </c>
      <c r="AC995">
        <v>2</v>
      </c>
      <c r="AD995">
        <v>1</v>
      </c>
      <c r="AE995">
        <v>2</v>
      </c>
      <c r="AF995">
        <v>0</v>
      </c>
      <c r="AG995">
        <f>IF(tbl_HR_Data[[#This Row],[Gender]]="Male",1,0)</f>
        <v>1</v>
      </c>
      <c r="AH995" cm="1">
        <f t="array" ref="AH995">_xlfn.SWITCH(tbl_HR_Data[[#This Row],[BusinessTravel]], "Non-Travel", 0, "Travel_Rarely", 1, "Travel_Frequently", 2)</f>
        <v>1</v>
      </c>
      <c r="AI995" cm="1">
        <f t="array" ref="AI995">_xlfn.SWITCH(tbl_HR_Data[[#This Row],[MaritalStatus]],"Single",0,"Married",1,"Divorced",2)</f>
        <v>1</v>
      </c>
      <c r="AJ995">
        <f>IF(tbl_HR_Data[[#This Row],[OverTime]]=1,1,0)</f>
        <v>0</v>
      </c>
      <c r="AK995">
        <f>IF(tbl_HR_Data[[#This Row],[DistanceFromHome]]&gt;15,1,0)</f>
        <v>1</v>
      </c>
      <c r="AL995">
        <f>IF(tbl_HR_Data[[#This Row],[JobSatisfaction]]&lt;=2,1,0)</f>
        <v>0</v>
      </c>
      <c r="AM995">
        <f>IF(tbl_HR_Data[[#This Row],[MonthlyIncome]]&lt;$AT$2,1,0)</f>
        <v>0</v>
      </c>
      <c r="AN995">
        <f>IF(tbl_HR_Data[[#This Row],[Travel_Code]]=2,1,0)</f>
        <v>0</v>
      </c>
      <c r="AO995">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995" s="15">
        <f>tbl_HR_Data[[#This Row],[Risk_Score_Raw]] / SUM(Logic_Parameters!$B$2:$B$6)</f>
        <v>0.10908033267710357</v>
      </c>
      <c r="AQ995" s="16" t="str" cm="1">
        <f t="array" ref="AQ995">_xlfn.IFS(tbl_HR_Data[[#This Row],[Attrition_Risk_Percentage]] &gt;= 0.75, "Critical",tbl_HR_Data[ [#This Row],[Attrition_Risk_Percentage] ]&gt;= 0.5, "High",tbl_HR_Data[[#This Row],[Attrition_Risk_Percentage]] &gt;= 0.25, "Medium",TRUE, "Low")</f>
        <v>Low</v>
      </c>
      <c r="AR995" s="16" cm="1">
        <f t="array" ref="AR995">IFERROR(_xlfn.IFS(tbl_HR_Data[[#This Row],[Risk_Category]]="Critical",tbl_HR_Data[[#This Row],[MonthlyIncome]]*1.5,tbl_HR_Data[[#This Row],[Risk_Category]]="High",tbl_HR_Data[[#This Row],[MonthlyIncome]]*1.5),0)</f>
        <v>0</v>
      </c>
    </row>
    <row r="996" spans="1:44" x14ac:dyDescent="0.35">
      <c r="A996" t="s">
        <v>1382</v>
      </c>
      <c r="B996">
        <v>52</v>
      </c>
      <c r="C996" t="s">
        <v>37</v>
      </c>
      <c r="D996">
        <v>322</v>
      </c>
      <c r="E996" t="s">
        <v>38</v>
      </c>
      <c r="F996">
        <v>28</v>
      </c>
      <c r="G996">
        <v>2</v>
      </c>
      <c r="H996" t="s">
        <v>44</v>
      </c>
      <c r="I996">
        <v>4</v>
      </c>
      <c r="J996" t="s">
        <v>34</v>
      </c>
      <c r="K996">
        <v>59</v>
      </c>
      <c r="L996">
        <v>4</v>
      </c>
      <c r="M996">
        <v>4</v>
      </c>
      <c r="N996" t="s">
        <v>46</v>
      </c>
      <c r="O996">
        <v>3</v>
      </c>
      <c r="P996" t="s">
        <v>41</v>
      </c>
      <c r="Q996">
        <v>13247</v>
      </c>
      <c r="R996">
        <v>9731</v>
      </c>
      <c r="S996">
        <v>2</v>
      </c>
      <c r="T996">
        <v>1</v>
      </c>
      <c r="U996" s="17">
        <v>0.11</v>
      </c>
      <c r="V996">
        <v>3</v>
      </c>
      <c r="W996">
        <v>2</v>
      </c>
      <c r="X996">
        <v>1</v>
      </c>
      <c r="Y996">
        <v>24</v>
      </c>
      <c r="Z996">
        <v>3</v>
      </c>
      <c r="AA996">
        <v>2</v>
      </c>
      <c r="AB996">
        <v>5</v>
      </c>
      <c r="AC996">
        <v>3</v>
      </c>
      <c r="AD996">
        <v>0</v>
      </c>
      <c r="AE996">
        <v>2</v>
      </c>
      <c r="AF996">
        <v>0</v>
      </c>
      <c r="AG996">
        <f>IF(tbl_HR_Data[[#This Row],[Gender]]="Male",1,0)</f>
        <v>0</v>
      </c>
      <c r="AH996" cm="1">
        <f t="array" ref="AH996">_xlfn.SWITCH(tbl_HR_Data[[#This Row],[BusinessTravel]], "Non-Travel", 0, "Travel_Rarely", 1, "Travel_Frequently", 2)</f>
        <v>2</v>
      </c>
      <c r="AI996" cm="1">
        <f t="array" ref="AI996">_xlfn.SWITCH(tbl_HR_Data[[#This Row],[MaritalStatus]],"Single",0,"Married",1,"Divorced",2)</f>
        <v>1</v>
      </c>
      <c r="AJ996">
        <f>IF(tbl_HR_Data[[#This Row],[OverTime]]=1,1,0)</f>
        <v>1</v>
      </c>
      <c r="AK996">
        <f>IF(tbl_HR_Data[[#This Row],[DistanceFromHome]]&gt;15,1,0)</f>
        <v>1</v>
      </c>
      <c r="AL996">
        <f>IF(tbl_HR_Data[[#This Row],[JobSatisfaction]]&lt;=2,1,0)</f>
        <v>0</v>
      </c>
      <c r="AM996">
        <f>IF(tbl_HR_Data[[#This Row],[MonthlyIncome]]&lt;$AT$2,1,0)</f>
        <v>0</v>
      </c>
      <c r="AN996">
        <f>IF(tbl_HR_Data[[#This Row],[Travel_Code]]=2,1,0)</f>
        <v>1</v>
      </c>
      <c r="AO996">
        <f>(tbl_HR_Data[[#This Row],[Flag_OT]] * Logic_Parameters!$B$2) +
 (tbl_HR_Data[[#This Row],[Flag_Travel]] * Logic_Parameters!$B$3) +
 (tbl_HR_Data[[#This Row],[Flag_Satisfaction]] * Logic_Parameters!$B$4) +
 (tbl_HR_Data[[#This Row],[Flag_Distance]]* Logic_Parameters!$B$5) +
 (tbl_HR_Data[[#This Row],[Flag_Income]] * Logic_Parameters!$B$6)</f>
        <v>18.326496676365554</v>
      </c>
      <c r="AP996" s="15">
        <f>tbl_HR_Data[[#This Row],[Risk_Score_Raw]] / SUM(Logic_Parameters!$B$2:$B$6)</f>
        <v>0.63139386833300615</v>
      </c>
      <c r="AQ996" s="16" t="str" cm="1">
        <f t="array" ref="AQ996">_xlfn.IFS(tbl_HR_Data[[#This Row],[Attrition_Risk_Percentage]] &gt;= 0.75, "Critical",tbl_HR_Data[ [#This Row],[Attrition_Risk_Percentage] ]&gt;= 0.5, "High",tbl_HR_Data[[#This Row],[Attrition_Risk_Percentage]] &gt;= 0.25, "Medium",TRUE, "Low")</f>
        <v>High</v>
      </c>
      <c r="AR996" s="16" cm="1">
        <f t="array" ref="AR996">IFERROR(_xlfn.IFS(tbl_HR_Data[[#This Row],[Risk_Category]]="Critical",tbl_HR_Data[[#This Row],[MonthlyIncome]]*1.5,tbl_HR_Data[[#This Row],[Risk_Category]]="High",tbl_HR_Data[[#This Row],[MonthlyIncome]]*1.5),0)</f>
        <v>19870.5</v>
      </c>
    </row>
    <row r="997" spans="1:44" x14ac:dyDescent="0.35">
      <c r="A997" t="s">
        <v>478</v>
      </c>
      <c r="B997">
        <v>43</v>
      </c>
      <c r="C997" t="s">
        <v>31</v>
      </c>
      <c r="D997">
        <v>930</v>
      </c>
      <c r="E997" t="s">
        <v>38</v>
      </c>
      <c r="F997">
        <v>6</v>
      </c>
      <c r="G997">
        <v>3</v>
      </c>
      <c r="H997" t="s">
        <v>44</v>
      </c>
      <c r="I997">
        <v>1</v>
      </c>
      <c r="J997" t="s">
        <v>34</v>
      </c>
      <c r="K997">
        <v>73</v>
      </c>
      <c r="L997">
        <v>2</v>
      </c>
      <c r="M997">
        <v>2</v>
      </c>
      <c r="N997" t="s">
        <v>40</v>
      </c>
      <c r="O997">
        <v>3</v>
      </c>
      <c r="P997" t="s">
        <v>36</v>
      </c>
      <c r="Q997">
        <v>4081</v>
      </c>
      <c r="R997">
        <v>20003</v>
      </c>
      <c r="S997">
        <v>1</v>
      </c>
      <c r="T997">
        <v>1</v>
      </c>
      <c r="U997" s="17">
        <v>0.14000000000000001</v>
      </c>
      <c r="V997">
        <v>3</v>
      </c>
      <c r="W997">
        <v>1</v>
      </c>
      <c r="X997">
        <v>0</v>
      </c>
      <c r="Y997">
        <v>20</v>
      </c>
      <c r="Z997">
        <v>3</v>
      </c>
      <c r="AA997">
        <v>1</v>
      </c>
      <c r="AB997">
        <v>20</v>
      </c>
      <c r="AC997">
        <v>7</v>
      </c>
      <c r="AD997">
        <v>1</v>
      </c>
      <c r="AE997">
        <v>8</v>
      </c>
      <c r="AF997">
        <v>0</v>
      </c>
      <c r="AG997">
        <f>IF(tbl_HR_Data[[#This Row],[Gender]]="Male",1,0)</f>
        <v>0</v>
      </c>
      <c r="AH997" cm="1">
        <f t="array" ref="AH997">_xlfn.SWITCH(tbl_HR_Data[[#This Row],[BusinessTravel]], "Non-Travel", 0, "Travel_Rarely", 1, "Travel_Frequently", 2)</f>
        <v>1</v>
      </c>
      <c r="AI997" cm="1">
        <f t="array" ref="AI997">_xlfn.SWITCH(tbl_HR_Data[[#This Row],[MaritalStatus]],"Single",0,"Married",1,"Divorced",2)</f>
        <v>0</v>
      </c>
      <c r="AJ997">
        <f>IF(tbl_HR_Data[[#This Row],[OverTime]]=1,1,0)</f>
        <v>1</v>
      </c>
      <c r="AK997">
        <f>IF(tbl_HR_Data[[#This Row],[DistanceFromHome]]&gt;15,1,0)</f>
        <v>0</v>
      </c>
      <c r="AL997">
        <f>IF(tbl_HR_Data[[#This Row],[JobSatisfaction]]&lt;=2,1,0)</f>
        <v>0</v>
      </c>
      <c r="AM997">
        <f>IF(tbl_HR_Data[[#This Row],[MonthlyIncome]]&lt;$AT$2,1,0)</f>
        <v>1</v>
      </c>
      <c r="AN997">
        <f>IF(tbl_HR_Data[[#This Row],[Travel_Code]]=2,1,0)</f>
        <v>0</v>
      </c>
      <c r="AO997">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997" s="15">
        <f>tbl_HR_Data[[#This Row],[Risk_Score_Raw]] / SUM(Logic_Parameters!$B$2:$B$6)</f>
        <v>0.56827453040563214</v>
      </c>
      <c r="AQ997" s="16" t="str" cm="1">
        <f t="array" ref="AQ997">_xlfn.IFS(tbl_HR_Data[[#This Row],[Attrition_Risk_Percentage]] &gt;= 0.75, "Critical",tbl_HR_Data[ [#This Row],[Attrition_Risk_Percentage] ]&gt;= 0.5, "High",tbl_HR_Data[[#This Row],[Attrition_Risk_Percentage]] &gt;= 0.25, "Medium",TRUE, "Low")</f>
        <v>High</v>
      </c>
      <c r="AR997" s="16" cm="1">
        <f t="array" ref="AR997">IFERROR(_xlfn.IFS(tbl_HR_Data[[#This Row],[Risk_Category]]="Critical",tbl_HR_Data[[#This Row],[MonthlyIncome]]*1.5,tbl_HR_Data[[#This Row],[Risk_Category]]="High",tbl_HR_Data[[#This Row],[MonthlyIncome]]*1.5),0)</f>
        <v>6121.5</v>
      </c>
    </row>
    <row r="998" spans="1:44" x14ac:dyDescent="0.35">
      <c r="A998" t="s">
        <v>611</v>
      </c>
      <c r="B998">
        <v>27</v>
      </c>
      <c r="C998" t="s">
        <v>31</v>
      </c>
      <c r="D998">
        <v>205</v>
      </c>
      <c r="E998" t="s">
        <v>32</v>
      </c>
      <c r="F998">
        <v>10</v>
      </c>
      <c r="G998">
        <v>3</v>
      </c>
      <c r="H998" t="s">
        <v>51</v>
      </c>
      <c r="I998">
        <v>4</v>
      </c>
      <c r="J998" t="s">
        <v>34</v>
      </c>
      <c r="K998">
        <v>98</v>
      </c>
      <c r="L998">
        <v>2</v>
      </c>
      <c r="M998">
        <v>2</v>
      </c>
      <c r="N998" t="s">
        <v>35</v>
      </c>
      <c r="O998">
        <v>4</v>
      </c>
      <c r="P998" t="s">
        <v>41</v>
      </c>
      <c r="Q998">
        <v>5769</v>
      </c>
      <c r="R998">
        <v>7100</v>
      </c>
      <c r="S998">
        <v>1</v>
      </c>
      <c r="T998">
        <v>1</v>
      </c>
      <c r="U998" s="17">
        <v>0.11</v>
      </c>
      <c r="V998">
        <v>3</v>
      </c>
      <c r="W998">
        <v>4</v>
      </c>
      <c r="X998">
        <v>0</v>
      </c>
      <c r="Y998">
        <v>6</v>
      </c>
      <c r="Z998">
        <v>3</v>
      </c>
      <c r="AA998">
        <v>3</v>
      </c>
      <c r="AB998">
        <v>6</v>
      </c>
      <c r="AC998">
        <v>2</v>
      </c>
      <c r="AD998">
        <v>4</v>
      </c>
      <c r="AE998">
        <v>4</v>
      </c>
      <c r="AF998">
        <v>0</v>
      </c>
      <c r="AG998">
        <f>IF(tbl_HR_Data[[#This Row],[Gender]]="Male",1,0)</f>
        <v>0</v>
      </c>
      <c r="AH998" cm="1">
        <f t="array" ref="AH998">_xlfn.SWITCH(tbl_HR_Data[[#This Row],[BusinessTravel]], "Non-Travel", 0, "Travel_Rarely", 1, "Travel_Frequently", 2)</f>
        <v>1</v>
      </c>
      <c r="AI998" cm="1">
        <f t="array" ref="AI998">_xlfn.SWITCH(tbl_HR_Data[[#This Row],[MaritalStatus]],"Single",0,"Married",1,"Divorced",2)</f>
        <v>1</v>
      </c>
      <c r="AJ998">
        <f>IF(tbl_HR_Data[[#This Row],[OverTime]]=1,1,0)</f>
        <v>1</v>
      </c>
      <c r="AK998">
        <f>IF(tbl_HR_Data[[#This Row],[DistanceFromHome]]&gt;15,1,0)</f>
        <v>0</v>
      </c>
      <c r="AL998">
        <f>IF(tbl_HR_Data[[#This Row],[JobSatisfaction]]&lt;=2,1,0)</f>
        <v>0</v>
      </c>
      <c r="AM998">
        <f>IF(tbl_HR_Data[[#This Row],[MonthlyIncome]]&lt;$AT$2,1,0)</f>
        <v>0</v>
      </c>
      <c r="AN998">
        <f>IF(tbl_HR_Data[[#This Row],[Travel_Code]]=2,1,0)</f>
        <v>0</v>
      </c>
      <c r="AO998">
        <f>(tbl_HR_Data[[#This Row],[Flag_OT]] * Logic_Parameters!$B$2) +
 (tbl_HR_Data[[#This Row],[Flag_Travel]] * Logic_Parameters!$B$3) +
 (tbl_HR_Data[[#This Row],[Flag_Satisfaction]] * Logic_Parameters!$B$4) +
 (tbl_HR_Data[[#This Row],[Flag_Distance]]* Logic_Parameters!$B$5) +
 (tbl_HR_Data[[#This Row],[Flag_Income]] * Logic_Parameters!$B$6)</f>
        <v>10</v>
      </c>
      <c r="AP998" s="15">
        <f>tbl_HR_Data[[#This Row],[Risk_Score_Raw]] / SUM(Logic_Parameters!$B$2:$B$6)</f>
        <v>0.3445251318258073</v>
      </c>
      <c r="AQ998" s="16" t="str" cm="1">
        <f t="array" ref="AQ998">_xlfn.IFS(tbl_HR_Data[[#This Row],[Attrition_Risk_Percentage]] &gt;= 0.75, "Critical",tbl_HR_Data[ [#This Row],[Attrition_Risk_Percentage] ]&gt;= 0.5, "High",tbl_HR_Data[[#This Row],[Attrition_Risk_Percentage]] &gt;= 0.25, "Medium",TRUE, "Low")</f>
        <v>Medium</v>
      </c>
      <c r="AR998" s="16" cm="1">
        <f t="array" ref="AR998">IFERROR(_xlfn.IFS(tbl_HR_Data[[#This Row],[Risk_Category]]="Critical",tbl_HR_Data[[#This Row],[MonthlyIncome]]*1.5,tbl_HR_Data[[#This Row],[Risk_Category]]="High",tbl_HR_Data[[#This Row],[MonthlyIncome]]*1.5),0)</f>
        <v>0</v>
      </c>
    </row>
    <row r="999" spans="1:44" x14ac:dyDescent="0.35">
      <c r="A999" t="s">
        <v>1137</v>
      </c>
      <c r="B999">
        <v>27</v>
      </c>
      <c r="C999" t="s">
        <v>31</v>
      </c>
      <c r="D999">
        <v>135</v>
      </c>
      <c r="E999" t="s">
        <v>38</v>
      </c>
      <c r="F999">
        <v>17</v>
      </c>
      <c r="G999">
        <v>4</v>
      </c>
      <c r="H999" t="s">
        <v>33</v>
      </c>
      <c r="I999">
        <v>4</v>
      </c>
      <c r="J999" t="s">
        <v>34</v>
      </c>
      <c r="K999">
        <v>51</v>
      </c>
      <c r="L999">
        <v>3</v>
      </c>
      <c r="M999">
        <v>1</v>
      </c>
      <c r="N999" t="s">
        <v>40</v>
      </c>
      <c r="O999">
        <v>3</v>
      </c>
      <c r="P999" t="s">
        <v>36</v>
      </c>
      <c r="Q999">
        <v>2394</v>
      </c>
      <c r="R999">
        <v>25681</v>
      </c>
      <c r="S999">
        <v>1</v>
      </c>
      <c r="T999">
        <v>1</v>
      </c>
      <c r="U999" s="17">
        <v>0.13</v>
      </c>
      <c r="V999">
        <v>3</v>
      </c>
      <c r="W999">
        <v>4</v>
      </c>
      <c r="X999">
        <v>0</v>
      </c>
      <c r="Y999">
        <v>8</v>
      </c>
      <c r="Z999">
        <v>2</v>
      </c>
      <c r="AA999">
        <v>3</v>
      </c>
      <c r="AB999">
        <v>8</v>
      </c>
      <c r="AC999">
        <v>2</v>
      </c>
      <c r="AD999">
        <v>7</v>
      </c>
      <c r="AE999">
        <v>7</v>
      </c>
      <c r="AF999">
        <v>1</v>
      </c>
      <c r="AG999">
        <f>IF(tbl_HR_Data[[#This Row],[Gender]]="Male",1,0)</f>
        <v>0</v>
      </c>
      <c r="AH999" cm="1">
        <f t="array" ref="AH999">_xlfn.SWITCH(tbl_HR_Data[[#This Row],[BusinessTravel]], "Non-Travel", 0, "Travel_Rarely", 1, "Travel_Frequently", 2)</f>
        <v>1</v>
      </c>
      <c r="AI999" cm="1">
        <f t="array" ref="AI999">_xlfn.SWITCH(tbl_HR_Data[[#This Row],[MaritalStatus]],"Single",0,"Married",1,"Divorced",2)</f>
        <v>0</v>
      </c>
      <c r="AJ999">
        <f>IF(tbl_HR_Data[[#This Row],[OverTime]]=1,1,0)</f>
        <v>1</v>
      </c>
      <c r="AK999">
        <f>IF(tbl_HR_Data[[#This Row],[DistanceFromHome]]&gt;15,1,0)</f>
        <v>1</v>
      </c>
      <c r="AL999">
        <f>IF(tbl_HR_Data[[#This Row],[JobSatisfaction]]&lt;=2,1,0)</f>
        <v>0</v>
      </c>
      <c r="AM999">
        <f>IF(tbl_HR_Data[[#This Row],[MonthlyIncome]]&lt;$AT$2,1,0)</f>
        <v>1</v>
      </c>
      <c r="AN999">
        <f>IF(tbl_HR_Data[[#This Row],[Travel_Code]]=2,1,0)</f>
        <v>0</v>
      </c>
      <c r="AO999">
        <f>(tbl_HR_Data[[#This Row],[Flag_OT]] * Logic_Parameters!$B$2) +
 (tbl_HR_Data[[#This Row],[Flag_Travel]] * Logic_Parameters!$B$3) +
 (tbl_HR_Data[[#This Row],[Flag_Satisfaction]] * Logic_Parameters!$B$4) +
 (tbl_HR_Data[[#This Row],[Flag_Distance]]* Logic_Parameters!$B$5) +
 (tbl_HR_Data[[#This Row],[Flag_Income]] * Logic_Parameters!$B$6)</f>
        <v>19.660535633296206</v>
      </c>
      <c r="AP999" s="15">
        <f>tbl_HR_Data[[#This Row],[Risk_Score_Raw]] / SUM(Logic_Parameters!$B$2:$B$6)</f>
        <v>0.67735486308273574</v>
      </c>
      <c r="AQ999" s="16" t="str" cm="1">
        <f t="array" ref="AQ999">_xlfn.IFS(tbl_HR_Data[[#This Row],[Attrition_Risk_Percentage]] &gt;= 0.75, "Critical",tbl_HR_Data[ [#This Row],[Attrition_Risk_Percentage] ]&gt;= 0.5, "High",tbl_HR_Data[[#This Row],[Attrition_Risk_Percentage]] &gt;= 0.25, "Medium",TRUE, "Low")</f>
        <v>High</v>
      </c>
      <c r="AR999" s="16" cm="1">
        <f t="array" ref="AR999">IFERROR(_xlfn.IFS(tbl_HR_Data[[#This Row],[Risk_Category]]="Critical",tbl_HR_Data[[#This Row],[MonthlyIncome]]*1.5,tbl_HR_Data[[#This Row],[Risk_Category]]="High",tbl_HR_Data[[#This Row],[MonthlyIncome]]*1.5),0)</f>
        <v>3591</v>
      </c>
    </row>
    <row r="1000" spans="1:44" x14ac:dyDescent="0.35">
      <c r="A1000" t="s">
        <v>292</v>
      </c>
      <c r="B1000">
        <v>26</v>
      </c>
      <c r="C1000" t="s">
        <v>31</v>
      </c>
      <c r="D1000">
        <v>683</v>
      </c>
      <c r="E1000" t="s">
        <v>38</v>
      </c>
      <c r="F1000">
        <v>2</v>
      </c>
      <c r="G1000">
        <v>1</v>
      </c>
      <c r="H1000" t="s">
        <v>44</v>
      </c>
      <c r="I1000">
        <v>1</v>
      </c>
      <c r="J1000" t="s">
        <v>39</v>
      </c>
      <c r="K1000">
        <v>36</v>
      </c>
      <c r="L1000">
        <v>2</v>
      </c>
      <c r="M1000">
        <v>1</v>
      </c>
      <c r="N1000" t="s">
        <v>40</v>
      </c>
      <c r="O1000">
        <v>4</v>
      </c>
      <c r="P1000" t="s">
        <v>36</v>
      </c>
      <c r="Q1000">
        <v>3904</v>
      </c>
      <c r="R1000">
        <v>4050</v>
      </c>
      <c r="S1000">
        <v>0</v>
      </c>
      <c r="T1000">
        <v>0</v>
      </c>
      <c r="U1000" s="17">
        <v>0.12</v>
      </c>
      <c r="V1000">
        <v>3</v>
      </c>
      <c r="W1000">
        <v>4</v>
      </c>
      <c r="X1000">
        <v>0</v>
      </c>
      <c r="Y1000">
        <v>5</v>
      </c>
      <c r="Z1000">
        <v>2</v>
      </c>
      <c r="AA1000">
        <v>3</v>
      </c>
      <c r="AB1000">
        <v>4</v>
      </c>
      <c r="AC1000">
        <v>3</v>
      </c>
      <c r="AD1000">
        <v>1</v>
      </c>
      <c r="AE1000">
        <v>1</v>
      </c>
      <c r="AF1000">
        <v>0</v>
      </c>
      <c r="AG1000">
        <f>IF(tbl_HR_Data[[#This Row],[Gender]]="Male",1,0)</f>
        <v>1</v>
      </c>
      <c r="AH1000" cm="1">
        <f t="array" ref="AH1000">_xlfn.SWITCH(tbl_HR_Data[[#This Row],[BusinessTravel]], "Non-Travel", 0, "Travel_Rarely", 1, "Travel_Frequently", 2)</f>
        <v>1</v>
      </c>
      <c r="AI1000" cm="1">
        <f t="array" ref="AI1000">_xlfn.SWITCH(tbl_HR_Data[[#This Row],[MaritalStatus]],"Single",0,"Married",1,"Divorced",2)</f>
        <v>0</v>
      </c>
      <c r="AJ1000">
        <f>IF(tbl_HR_Data[[#This Row],[OverTime]]=1,1,0)</f>
        <v>0</v>
      </c>
      <c r="AK1000">
        <f>IF(tbl_HR_Data[[#This Row],[DistanceFromHome]]&gt;15,1,0)</f>
        <v>0</v>
      </c>
      <c r="AL1000">
        <f>IF(tbl_HR_Data[[#This Row],[JobSatisfaction]]&lt;=2,1,0)</f>
        <v>0</v>
      </c>
      <c r="AM1000">
        <f>IF(tbl_HR_Data[[#This Row],[MonthlyIncome]]&lt;$AT$2,1,0)</f>
        <v>1</v>
      </c>
      <c r="AN1000">
        <f>IF(tbl_HR_Data[[#This Row],[Travel_Code]]=2,1,0)</f>
        <v>0</v>
      </c>
      <c r="AO1000">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000" s="15">
        <f>tbl_HR_Data[[#This Row],[Risk_Score_Raw]] / SUM(Logic_Parameters!$B$2:$B$6)</f>
        <v>0.22374939857982484</v>
      </c>
      <c r="AQ1000" s="16" t="str" cm="1">
        <f t="array" ref="AQ1000">_xlfn.IFS(tbl_HR_Data[[#This Row],[Attrition_Risk_Percentage]] &gt;= 0.75, "Critical",tbl_HR_Data[ [#This Row],[Attrition_Risk_Percentage] ]&gt;= 0.5, "High",tbl_HR_Data[[#This Row],[Attrition_Risk_Percentage]] &gt;= 0.25, "Medium",TRUE, "Low")</f>
        <v>Low</v>
      </c>
      <c r="AR1000" s="16" cm="1">
        <f t="array" ref="AR1000">IFERROR(_xlfn.IFS(tbl_HR_Data[[#This Row],[Risk_Category]]="Critical",tbl_HR_Data[[#This Row],[MonthlyIncome]]*1.5,tbl_HR_Data[[#This Row],[Risk_Category]]="High",tbl_HR_Data[[#This Row],[MonthlyIncome]]*1.5),0)</f>
        <v>0</v>
      </c>
    </row>
    <row r="1001" spans="1:44" x14ac:dyDescent="0.35">
      <c r="A1001" t="s">
        <v>620</v>
      </c>
      <c r="B1001">
        <v>42</v>
      </c>
      <c r="C1001" t="s">
        <v>31</v>
      </c>
      <c r="D1001">
        <v>1147</v>
      </c>
      <c r="E1001" t="s">
        <v>53</v>
      </c>
      <c r="F1001">
        <v>10</v>
      </c>
      <c r="G1001">
        <v>3</v>
      </c>
      <c r="H1001" t="s">
        <v>53</v>
      </c>
      <c r="I1001">
        <v>3</v>
      </c>
      <c r="J1001" t="s">
        <v>34</v>
      </c>
      <c r="K1001">
        <v>31</v>
      </c>
      <c r="L1001">
        <v>3</v>
      </c>
      <c r="M1001">
        <v>4</v>
      </c>
      <c r="N1001" t="s">
        <v>48</v>
      </c>
      <c r="O1001">
        <v>1</v>
      </c>
      <c r="P1001" t="s">
        <v>41</v>
      </c>
      <c r="Q1001">
        <v>16799</v>
      </c>
      <c r="R1001">
        <v>16616</v>
      </c>
      <c r="S1001">
        <v>0</v>
      </c>
      <c r="T1001">
        <v>0</v>
      </c>
      <c r="U1001" s="17">
        <v>0.14000000000000001</v>
      </c>
      <c r="V1001">
        <v>3</v>
      </c>
      <c r="W1001">
        <v>3</v>
      </c>
      <c r="X1001">
        <v>1</v>
      </c>
      <c r="Y1001">
        <v>21</v>
      </c>
      <c r="Z1001">
        <v>5</v>
      </c>
      <c r="AA1001">
        <v>3</v>
      </c>
      <c r="AB1001">
        <v>20</v>
      </c>
      <c r="AC1001">
        <v>7</v>
      </c>
      <c r="AD1001">
        <v>0</v>
      </c>
      <c r="AE1001">
        <v>9</v>
      </c>
      <c r="AF1001">
        <v>0</v>
      </c>
      <c r="AG1001">
        <f>IF(tbl_HR_Data[[#This Row],[Gender]]="Male",1,0)</f>
        <v>0</v>
      </c>
      <c r="AH1001" cm="1">
        <f t="array" ref="AH1001">_xlfn.SWITCH(tbl_HR_Data[[#This Row],[BusinessTravel]], "Non-Travel", 0, "Travel_Rarely", 1, "Travel_Frequently", 2)</f>
        <v>1</v>
      </c>
      <c r="AI1001" cm="1">
        <f t="array" ref="AI1001">_xlfn.SWITCH(tbl_HR_Data[[#This Row],[MaritalStatus]],"Single",0,"Married",1,"Divorced",2)</f>
        <v>1</v>
      </c>
      <c r="AJ1001">
        <f>IF(tbl_HR_Data[[#This Row],[OverTime]]=1,1,0)</f>
        <v>0</v>
      </c>
      <c r="AK1001">
        <f>IF(tbl_HR_Data[[#This Row],[DistanceFromHome]]&gt;15,1,0)</f>
        <v>0</v>
      </c>
      <c r="AL1001">
        <f>IF(tbl_HR_Data[[#This Row],[JobSatisfaction]]&lt;=2,1,0)</f>
        <v>1</v>
      </c>
      <c r="AM1001">
        <f>IF(tbl_HR_Data[[#This Row],[MonthlyIncome]]&lt;$AT$2,1,0)</f>
        <v>0</v>
      </c>
      <c r="AN1001">
        <f>IF(tbl_HR_Data[[#This Row],[Travel_Code]]=2,1,0)</f>
        <v>0</v>
      </c>
      <c r="AO1001">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001" s="15">
        <f>tbl_HR_Data[[#This Row],[Risk_Score_Raw]] / SUM(Logic_Parameters!$B$2:$B$6)</f>
        <v>0.14485673308716898</v>
      </c>
      <c r="AQ1001" s="16" t="str" cm="1">
        <f t="array" ref="AQ1001">_xlfn.IFS(tbl_HR_Data[[#This Row],[Attrition_Risk_Percentage]] &gt;= 0.75, "Critical",tbl_HR_Data[ [#This Row],[Attrition_Risk_Percentage] ]&gt;= 0.5, "High",tbl_HR_Data[[#This Row],[Attrition_Risk_Percentage]] &gt;= 0.25, "Medium",TRUE, "Low")</f>
        <v>Low</v>
      </c>
      <c r="AR1001" s="16" cm="1">
        <f t="array" ref="AR1001">IFERROR(_xlfn.IFS(tbl_HR_Data[[#This Row],[Risk_Category]]="Critical",tbl_HR_Data[[#This Row],[MonthlyIncome]]*1.5,tbl_HR_Data[[#This Row],[Risk_Category]]="High",tbl_HR_Data[[#This Row],[MonthlyIncome]]*1.5),0)</f>
        <v>0</v>
      </c>
    </row>
    <row r="1002" spans="1:44" x14ac:dyDescent="0.35">
      <c r="A1002" t="s">
        <v>453</v>
      </c>
      <c r="B1002">
        <v>52</v>
      </c>
      <c r="C1002" t="s">
        <v>31</v>
      </c>
      <c r="D1002">
        <v>258</v>
      </c>
      <c r="E1002" t="s">
        <v>38</v>
      </c>
      <c r="F1002">
        <v>8</v>
      </c>
      <c r="G1002">
        <v>4</v>
      </c>
      <c r="H1002" t="s">
        <v>42</v>
      </c>
      <c r="I1002">
        <v>3</v>
      </c>
      <c r="J1002" t="s">
        <v>34</v>
      </c>
      <c r="K1002">
        <v>54</v>
      </c>
      <c r="L1002">
        <v>3</v>
      </c>
      <c r="M1002">
        <v>1</v>
      </c>
      <c r="N1002" t="s">
        <v>43</v>
      </c>
      <c r="O1002">
        <v>1</v>
      </c>
      <c r="P1002" t="s">
        <v>41</v>
      </c>
      <c r="Q1002">
        <v>2950</v>
      </c>
      <c r="R1002">
        <v>17363</v>
      </c>
      <c r="S1002">
        <v>9</v>
      </c>
      <c r="T1002">
        <v>0</v>
      </c>
      <c r="U1002" s="17">
        <v>0.13</v>
      </c>
      <c r="V1002">
        <v>3</v>
      </c>
      <c r="W1002">
        <v>3</v>
      </c>
      <c r="X1002">
        <v>0</v>
      </c>
      <c r="Y1002">
        <v>12</v>
      </c>
      <c r="Z1002">
        <v>2</v>
      </c>
      <c r="AA1002">
        <v>1</v>
      </c>
      <c r="AB1002">
        <v>5</v>
      </c>
      <c r="AC1002">
        <v>4</v>
      </c>
      <c r="AD1002">
        <v>0</v>
      </c>
      <c r="AE1002">
        <v>4</v>
      </c>
      <c r="AF1002">
        <v>0</v>
      </c>
      <c r="AG1002">
        <f>IF(tbl_HR_Data[[#This Row],[Gender]]="Male",1,0)</f>
        <v>0</v>
      </c>
      <c r="AH1002" cm="1">
        <f t="array" ref="AH1002">_xlfn.SWITCH(tbl_HR_Data[[#This Row],[BusinessTravel]], "Non-Travel", 0, "Travel_Rarely", 1, "Travel_Frequently", 2)</f>
        <v>1</v>
      </c>
      <c r="AI1002" cm="1">
        <f t="array" ref="AI1002">_xlfn.SWITCH(tbl_HR_Data[[#This Row],[MaritalStatus]],"Single",0,"Married",1,"Divorced",2)</f>
        <v>1</v>
      </c>
      <c r="AJ1002">
        <f>IF(tbl_HR_Data[[#This Row],[OverTime]]=1,1,0)</f>
        <v>0</v>
      </c>
      <c r="AK1002">
        <f>IF(tbl_HR_Data[[#This Row],[DistanceFromHome]]&gt;15,1,0)</f>
        <v>0</v>
      </c>
      <c r="AL1002">
        <f>IF(tbl_HR_Data[[#This Row],[JobSatisfaction]]&lt;=2,1,0)</f>
        <v>1</v>
      </c>
      <c r="AM1002">
        <f>IF(tbl_HR_Data[[#This Row],[MonthlyIncome]]&lt;$AT$2,1,0)</f>
        <v>1</v>
      </c>
      <c r="AN1002">
        <f>IF(tbl_HR_Data[[#This Row],[Travel_Code]]=2,1,0)</f>
        <v>0</v>
      </c>
      <c r="AO1002">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002" s="15">
        <f>tbl_HR_Data[[#This Row],[Risk_Score_Raw]] / SUM(Logic_Parameters!$B$2:$B$6)</f>
        <v>0.3686061316669938</v>
      </c>
      <c r="AQ1002" s="16" t="str" cm="1">
        <f t="array" ref="AQ1002">_xlfn.IFS(tbl_HR_Data[[#This Row],[Attrition_Risk_Percentage]] &gt;= 0.75, "Critical",tbl_HR_Data[ [#This Row],[Attrition_Risk_Percentage] ]&gt;= 0.5, "High",tbl_HR_Data[[#This Row],[Attrition_Risk_Percentage]] &gt;= 0.25, "Medium",TRUE, "Low")</f>
        <v>Medium</v>
      </c>
      <c r="AR1002" s="16" cm="1">
        <f t="array" ref="AR1002">IFERROR(_xlfn.IFS(tbl_HR_Data[[#This Row],[Risk_Category]]="Critical",tbl_HR_Data[[#This Row],[MonthlyIncome]]*1.5,tbl_HR_Data[[#This Row],[Risk_Category]]="High",tbl_HR_Data[[#This Row],[MonthlyIncome]]*1.5),0)</f>
        <v>0</v>
      </c>
    </row>
    <row r="1003" spans="1:44" x14ac:dyDescent="0.35">
      <c r="A1003" t="s">
        <v>1085</v>
      </c>
      <c r="B1003">
        <v>37</v>
      </c>
      <c r="C1003" t="s">
        <v>31</v>
      </c>
      <c r="D1003">
        <v>1462</v>
      </c>
      <c r="E1003" t="s">
        <v>38</v>
      </c>
      <c r="F1003">
        <v>11</v>
      </c>
      <c r="G1003">
        <v>3</v>
      </c>
      <c r="H1003" t="s">
        <v>44</v>
      </c>
      <c r="I1003">
        <v>1</v>
      </c>
      <c r="J1003" t="s">
        <v>34</v>
      </c>
      <c r="K1003">
        <v>94</v>
      </c>
      <c r="L1003">
        <v>3</v>
      </c>
      <c r="M1003">
        <v>1</v>
      </c>
      <c r="N1003" t="s">
        <v>43</v>
      </c>
      <c r="O1003">
        <v>3</v>
      </c>
      <c r="P1003" t="s">
        <v>36</v>
      </c>
      <c r="Q1003">
        <v>3629</v>
      </c>
      <c r="R1003">
        <v>19106</v>
      </c>
      <c r="S1003">
        <v>4</v>
      </c>
      <c r="T1003">
        <v>0</v>
      </c>
      <c r="U1003" s="17">
        <v>0.18</v>
      </c>
      <c r="V1003">
        <v>3</v>
      </c>
      <c r="W1003">
        <v>1</v>
      </c>
      <c r="X1003">
        <v>0</v>
      </c>
      <c r="Y1003">
        <v>8</v>
      </c>
      <c r="Z1003">
        <v>6</v>
      </c>
      <c r="AA1003">
        <v>3</v>
      </c>
      <c r="AB1003">
        <v>3</v>
      </c>
      <c r="AC1003">
        <v>2</v>
      </c>
      <c r="AD1003">
        <v>0</v>
      </c>
      <c r="AE1003">
        <v>2</v>
      </c>
      <c r="AF1003">
        <v>0</v>
      </c>
      <c r="AG1003">
        <f>IF(tbl_HR_Data[[#This Row],[Gender]]="Male",1,0)</f>
        <v>0</v>
      </c>
      <c r="AH1003" cm="1">
        <f t="array" ref="AH1003">_xlfn.SWITCH(tbl_HR_Data[[#This Row],[BusinessTravel]], "Non-Travel", 0, "Travel_Rarely", 1, "Travel_Frequently", 2)</f>
        <v>1</v>
      </c>
      <c r="AI1003" cm="1">
        <f t="array" ref="AI1003">_xlfn.SWITCH(tbl_HR_Data[[#This Row],[MaritalStatus]],"Single",0,"Married",1,"Divorced",2)</f>
        <v>0</v>
      </c>
      <c r="AJ1003">
        <f>IF(tbl_HR_Data[[#This Row],[OverTime]]=1,1,0)</f>
        <v>0</v>
      </c>
      <c r="AK1003">
        <f>IF(tbl_HR_Data[[#This Row],[DistanceFromHome]]&gt;15,1,0)</f>
        <v>0</v>
      </c>
      <c r="AL1003">
        <f>IF(tbl_HR_Data[[#This Row],[JobSatisfaction]]&lt;=2,1,0)</f>
        <v>0</v>
      </c>
      <c r="AM1003">
        <f>IF(tbl_HR_Data[[#This Row],[MonthlyIncome]]&lt;$AT$2,1,0)</f>
        <v>1</v>
      </c>
      <c r="AN1003">
        <f>IF(tbl_HR_Data[[#This Row],[Travel_Code]]=2,1,0)</f>
        <v>0</v>
      </c>
      <c r="AO1003">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003" s="15">
        <f>tbl_HR_Data[[#This Row],[Risk_Score_Raw]] / SUM(Logic_Parameters!$B$2:$B$6)</f>
        <v>0.22374939857982484</v>
      </c>
      <c r="AQ1003" s="16" t="str" cm="1">
        <f t="array" ref="AQ1003">_xlfn.IFS(tbl_HR_Data[[#This Row],[Attrition_Risk_Percentage]] &gt;= 0.75, "Critical",tbl_HR_Data[ [#This Row],[Attrition_Risk_Percentage] ]&gt;= 0.5, "High",tbl_HR_Data[[#This Row],[Attrition_Risk_Percentage]] &gt;= 0.25, "Medium",TRUE, "Low")</f>
        <v>Low</v>
      </c>
      <c r="AR1003" s="16" cm="1">
        <f t="array" ref="AR1003">IFERROR(_xlfn.IFS(tbl_HR_Data[[#This Row],[Risk_Category]]="Critical",tbl_HR_Data[[#This Row],[MonthlyIncome]]*1.5,tbl_HR_Data[[#This Row],[Risk_Category]]="High",tbl_HR_Data[[#This Row],[MonthlyIncome]]*1.5),0)</f>
        <v>0</v>
      </c>
    </row>
    <row r="1004" spans="1:44" x14ac:dyDescent="0.35">
      <c r="A1004" t="s">
        <v>800</v>
      </c>
      <c r="B1004">
        <v>35</v>
      </c>
      <c r="C1004" t="s">
        <v>37</v>
      </c>
      <c r="D1004">
        <v>200</v>
      </c>
      <c r="E1004" t="s">
        <v>38</v>
      </c>
      <c r="F1004">
        <v>18</v>
      </c>
      <c r="G1004">
        <v>2</v>
      </c>
      <c r="H1004" t="s">
        <v>33</v>
      </c>
      <c r="I1004">
        <v>3</v>
      </c>
      <c r="J1004" t="s">
        <v>39</v>
      </c>
      <c r="K1004">
        <v>60</v>
      </c>
      <c r="L1004">
        <v>3</v>
      </c>
      <c r="M1004">
        <v>3</v>
      </c>
      <c r="N1004" t="s">
        <v>46</v>
      </c>
      <c r="O1004">
        <v>4</v>
      </c>
      <c r="P1004" t="s">
        <v>36</v>
      </c>
      <c r="Q1004">
        <v>9362</v>
      </c>
      <c r="R1004">
        <v>19944</v>
      </c>
      <c r="S1004">
        <v>2</v>
      </c>
      <c r="T1004">
        <v>0</v>
      </c>
      <c r="U1004" s="17">
        <v>0.11</v>
      </c>
      <c r="V1004">
        <v>3</v>
      </c>
      <c r="W1004">
        <v>3</v>
      </c>
      <c r="X1004">
        <v>0</v>
      </c>
      <c r="Y1004">
        <v>10</v>
      </c>
      <c r="Z1004">
        <v>2</v>
      </c>
      <c r="AA1004">
        <v>3</v>
      </c>
      <c r="AB1004">
        <v>2</v>
      </c>
      <c r="AC1004">
        <v>2</v>
      </c>
      <c r="AD1004">
        <v>2</v>
      </c>
      <c r="AE1004">
        <v>2</v>
      </c>
      <c r="AF1004">
        <v>0</v>
      </c>
      <c r="AG1004">
        <f>IF(tbl_HR_Data[[#This Row],[Gender]]="Male",1,0)</f>
        <v>1</v>
      </c>
      <c r="AH1004" cm="1">
        <f t="array" ref="AH1004">_xlfn.SWITCH(tbl_HR_Data[[#This Row],[BusinessTravel]], "Non-Travel", 0, "Travel_Rarely", 1, "Travel_Frequently", 2)</f>
        <v>2</v>
      </c>
      <c r="AI1004" cm="1">
        <f t="array" ref="AI1004">_xlfn.SWITCH(tbl_HR_Data[[#This Row],[MaritalStatus]],"Single",0,"Married",1,"Divorced",2)</f>
        <v>0</v>
      </c>
      <c r="AJ1004">
        <f>IF(tbl_HR_Data[[#This Row],[OverTime]]=1,1,0)</f>
        <v>0</v>
      </c>
      <c r="AK1004">
        <f>IF(tbl_HR_Data[[#This Row],[DistanceFromHome]]&gt;15,1,0)</f>
        <v>1</v>
      </c>
      <c r="AL1004">
        <f>IF(tbl_HR_Data[[#This Row],[JobSatisfaction]]&lt;=2,1,0)</f>
        <v>0</v>
      </c>
      <c r="AM1004">
        <f>IF(tbl_HR_Data[[#This Row],[MonthlyIncome]]&lt;$AT$2,1,0)</f>
        <v>0</v>
      </c>
      <c r="AN1004">
        <f>IF(tbl_HR_Data[[#This Row],[Travel_Code]]=2,1,0)</f>
        <v>1</v>
      </c>
      <c r="AO1004">
        <f>(tbl_HR_Data[[#This Row],[Flag_OT]] * Logic_Parameters!$B$2) +
 (tbl_HR_Data[[#This Row],[Flag_Travel]] * Logic_Parameters!$B$3) +
 (tbl_HR_Data[[#This Row],[Flag_Satisfaction]] * Logic_Parameters!$B$4) +
 (tbl_HR_Data[[#This Row],[Flag_Distance]]* Logic_Parameters!$B$5) +
 (tbl_HR_Data[[#This Row],[Flag_Income]] * Logic_Parameters!$B$6)</f>
        <v>8.3264966763655544</v>
      </c>
      <c r="AP1004" s="15">
        <f>tbl_HR_Data[[#This Row],[Risk_Score_Raw]] / SUM(Logic_Parameters!$B$2:$B$6)</f>
        <v>0.28686873650719891</v>
      </c>
      <c r="AQ1004" s="16" t="str" cm="1">
        <f t="array" ref="AQ1004">_xlfn.IFS(tbl_HR_Data[[#This Row],[Attrition_Risk_Percentage]] &gt;= 0.75, "Critical",tbl_HR_Data[ [#This Row],[Attrition_Risk_Percentage] ]&gt;= 0.5, "High",tbl_HR_Data[[#This Row],[Attrition_Risk_Percentage]] &gt;= 0.25, "Medium",TRUE, "Low")</f>
        <v>Medium</v>
      </c>
      <c r="AR1004" s="16" cm="1">
        <f t="array" ref="AR1004">IFERROR(_xlfn.IFS(tbl_HR_Data[[#This Row],[Risk_Category]]="Critical",tbl_HR_Data[[#This Row],[MonthlyIncome]]*1.5,tbl_HR_Data[[#This Row],[Risk_Category]]="High",tbl_HR_Data[[#This Row],[MonthlyIncome]]*1.5),0)</f>
        <v>0</v>
      </c>
    </row>
    <row r="1005" spans="1:44" x14ac:dyDescent="0.35">
      <c r="A1005" t="s">
        <v>502</v>
      </c>
      <c r="B1005">
        <v>25</v>
      </c>
      <c r="C1005" t="s">
        <v>31</v>
      </c>
      <c r="D1005">
        <v>949</v>
      </c>
      <c r="E1005" t="s">
        <v>38</v>
      </c>
      <c r="F1005">
        <v>1</v>
      </c>
      <c r="G1005">
        <v>3</v>
      </c>
      <c r="H1005" t="s">
        <v>52</v>
      </c>
      <c r="I1005">
        <v>1</v>
      </c>
      <c r="J1005" t="s">
        <v>39</v>
      </c>
      <c r="K1005">
        <v>81</v>
      </c>
      <c r="L1005">
        <v>3</v>
      </c>
      <c r="M1005">
        <v>1</v>
      </c>
      <c r="N1005" t="s">
        <v>43</v>
      </c>
      <c r="O1005">
        <v>4</v>
      </c>
      <c r="P1005" t="s">
        <v>41</v>
      </c>
      <c r="Q1005">
        <v>3229</v>
      </c>
      <c r="R1005">
        <v>4910</v>
      </c>
      <c r="S1005">
        <v>4</v>
      </c>
      <c r="T1005">
        <v>0</v>
      </c>
      <c r="U1005" s="17">
        <v>0.11</v>
      </c>
      <c r="V1005">
        <v>3</v>
      </c>
      <c r="W1005">
        <v>2</v>
      </c>
      <c r="X1005">
        <v>1</v>
      </c>
      <c r="Y1005">
        <v>7</v>
      </c>
      <c r="Z1005">
        <v>2</v>
      </c>
      <c r="AA1005">
        <v>2</v>
      </c>
      <c r="AB1005">
        <v>3</v>
      </c>
      <c r="AC1005">
        <v>2</v>
      </c>
      <c r="AD1005">
        <v>0</v>
      </c>
      <c r="AE1005">
        <v>2</v>
      </c>
      <c r="AF1005">
        <v>0</v>
      </c>
      <c r="AG1005">
        <f>IF(tbl_HR_Data[[#This Row],[Gender]]="Male",1,0)</f>
        <v>1</v>
      </c>
      <c r="AH1005" cm="1">
        <f t="array" ref="AH1005">_xlfn.SWITCH(tbl_HR_Data[[#This Row],[BusinessTravel]], "Non-Travel", 0, "Travel_Rarely", 1, "Travel_Frequently", 2)</f>
        <v>1</v>
      </c>
      <c r="AI1005" cm="1">
        <f t="array" ref="AI1005">_xlfn.SWITCH(tbl_HR_Data[[#This Row],[MaritalStatus]],"Single",0,"Married",1,"Divorced",2)</f>
        <v>1</v>
      </c>
      <c r="AJ1005">
        <f>IF(tbl_HR_Data[[#This Row],[OverTime]]=1,1,0)</f>
        <v>0</v>
      </c>
      <c r="AK1005">
        <f>IF(tbl_HR_Data[[#This Row],[DistanceFromHome]]&gt;15,1,0)</f>
        <v>0</v>
      </c>
      <c r="AL1005">
        <f>IF(tbl_HR_Data[[#This Row],[JobSatisfaction]]&lt;=2,1,0)</f>
        <v>0</v>
      </c>
      <c r="AM1005">
        <f>IF(tbl_HR_Data[[#This Row],[MonthlyIncome]]&lt;$AT$2,1,0)</f>
        <v>1</v>
      </c>
      <c r="AN1005">
        <f>IF(tbl_HR_Data[[#This Row],[Travel_Code]]=2,1,0)</f>
        <v>0</v>
      </c>
      <c r="AO1005">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005" s="15">
        <f>tbl_HR_Data[[#This Row],[Risk_Score_Raw]] / SUM(Logic_Parameters!$B$2:$B$6)</f>
        <v>0.22374939857982484</v>
      </c>
      <c r="AQ1005" s="16" t="str" cm="1">
        <f t="array" ref="AQ1005">_xlfn.IFS(tbl_HR_Data[[#This Row],[Attrition_Risk_Percentage]] &gt;= 0.75, "Critical",tbl_HR_Data[ [#This Row],[Attrition_Risk_Percentage] ]&gt;= 0.5, "High",tbl_HR_Data[[#This Row],[Attrition_Risk_Percentage]] &gt;= 0.25, "Medium",TRUE, "Low")</f>
        <v>Low</v>
      </c>
      <c r="AR1005" s="16" cm="1">
        <f t="array" ref="AR1005">IFERROR(_xlfn.IFS(tbl_HR_Data[[#This Row],[Risk_Category]]="Critical",tbl_HR_Data[[#This Row],[MonthlyIncome]]*1.5,tbl_HR_Data[[#This Row],[Risk_Category]]="High",tbl_HR_Data[[#This Row],[MonthlyIncome]]*1.5),0)</f>
        <v>0</v>
      </c>
    </row>
    <row r="1006" spans="1:44" x14ac:dyDescent="0.35">
      <c r="A1006" t="s">
        <v>615</v>
      </c>
      <c r="B1006">
        <v>26</v>
      </c>
      <c r="C1006" t="s">
        <v>31</v>
      </c>
      <c r="D1006">
        <v>652</v>
      </c>
      <c r="E1006" t="s">
        <v>38</v>
      </c>
      <c r="F1006">
        <v>7</v>
      </c>
      <c r="G1006">
        <v>3</v>
      </c>
      <c r="H1006" t="s">
        <v>42</v>
      </c>
      <c r="I1006">
        <v>3</v>
      </c>
      <c r="J1006" t="s">
        <v>39</v>
      </c>
      <c r="K1006">
        <v>100</v>
      </c>
      <c r="L1006">
        <v>4</v>
      </c>
      <c r="M1006">
        <v>1</v>
      </c>
      <c r="N1006" t="s">
        <v>43</v>
      </c>
      <c r="O1006">
        <v>1</v>
      </c>
      <c r="P1006" t="s">
        <v>36</v>
      </c>
      <c r="Q1006">
        <v>3578</v>
      </c>
      <c r="R1006">
        <v>23577</v>
      </c>
      <c r="S1006">
        <v>0</v>
      </c>
      <c r="T1006">
        <v>0</v>
      </c>
      <c r="U1006" s="17">
        <v>0.12</v>
      </c>
      <c r="V1006">
        <v>3</v>
      </c>
      <c r="W1006">
        <v>4</v>
      </c>
      <c r="X1006">
        <v>0</v>
      </c>
      <c r="Y1006">
        <v>8</v>
      </c>
      <c r="Z1006">
        <v>2</v>
      </c>
      <c r="AA1006">
        <v>3</v>
      </c>
      <c r="AB1006">
        <v>7</v>
      </c>
      <c r="AC1006">
        <v>7</v>
      </c>
      <c r="AD1006">
        <v>0</v>
      </c>
      <c r="AE1006">
        <v>7</v>
      </c>
      <c r="AF1006">
        <v>0</v>
      </c>
      <c r="AG1006">
        <f>IF(tbl_HR_Data[[#This Row],[Gender]]="Male",1,0)</f>
        <v>1</v>
      </c>
      <c r="AH1006" cm="1">
        <f t="array" ref="AH1006">_xlfn.SWITCH(tbl_HR_Data[[#This Row],[BusinessTravel]], "Non-Travel", 0, "Travel_Rarely", 1, "Travel_Frequently", 2)</f>
        <v>1</v>
      </c>
      <c r="AI1006" cm="1">
        <f t="array" ref="AI1006">_xlfn.SWITCH(tbl_HR_Data[[#This Row],[MaritalStatus]],"Single",0,"Married",1,"Divorced",2)</f>
        <v>0</v>
      </c>
      <c r="AJ1006">
        <f>IF(tbl_HR_Data[[#This Row],[OverTime]]=1,1,0)</f>
        <v>0</v>
      </c>
      <c r="AK1006">
        <f>IF(tbl_HR_Data[[#This Row],[DistanceFromHome]]&gt;15,1,0)</f>
        <v>0</v>
      </c>
      <c r="AL1006">
        <f>IF(tbl_HR_Data[[#This Row],[JobSatisfaction]]&lt;=2,1,0)</f>
        <v>1</v>
      </c>
      <c r="AM1006">
        <f>IF(tbl_HR_Data[[#This Row],[MonthlyIncome]]&lt;$AT$2,1,0)</f>
        <v>1</v>
      </c>
      <c r="AN1006">
        <f>IF(tbl_HR_Data[[#This Row],[Travel_Code]]=2,1,0)</f>
        <v>0</v>
      </c>
      <c r="AO1006">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006" s="15">
        <f>tbl_HR_Data[[#This Row],[Risk_Score_Raw]] / SUM(Logic_Parameters!$B$2:$B$6)</f>
        <v>0.3686061316669938</v>
      </c>
      <c r="AQ1006" s="16" t="str" cm="1">
        <f t="array" ref="AQ1006">_xlfn.IFS(tbl_HR_Data[[#This Row],[Attrition_Risk_Percentage]] &gt;= 0.75, "Critical",tbl_HR_Data[ [#This Row],[Attrition_Risk_Percentage] ]&gt;= 0.5, "High",tbl_HR_Data[[#This Row],[Attrition_Risk_Percentage]] &gt;= 0.25, "Medium",TRUE, "Low")</f>
        <v>Medium</v>
      </c>
      <c r="AR1006" s="16" cm="1">
        <f t="array" ref="AR1006">IFERROR(_xlfn.IFS(tbl_HR_Data[[#This Row],[Risk_Category]]="Critical",tbl_HR_Data[[#This Row],[MonthlyIncome]]*1.5,tbl_HR_Data[[#This Row],[Risk_Category]]="High",tbl_HR_Data[[#This Row],[MonthlyIncome]]*1.5),0)</f>
        <v>0</v>
      </c>
    </row>
    <row r="1007" spans="1:44" x14ac:dyDescent="0.35">
      <c r="A1007" t="s">
        <v>842</v>
      </c>
      <c r="B1007">
        <v>29</v>
      </c>
      <c r="C1007" t="s">
        <v>31</v>
      </c>
      <c r="D1007">
        <v>332</v>
      </c>
      <c r="E1007" t="s">
        <v>53</v>
      </c>
      <c r="F1007">
        <v>17</v>
      </c>
      <c r="G1007">
        <v>3</v>
      </c>
      <c r="H1007" t="s">
        <v>42</v>
      </c>
      <c r="I1007">
        <v>2</v>
      </c>
      <c r="J1007" t="s">
        <v>39</v>
      </c>
      <c r="K1007">
        <v>51</v>
      </c>
      <c r="L1007">
        <v>2</v>
      </c>
      <c r="M1007">
        <v>3</v>
      </c>
      <c r="N1007" t="s">
        <v>53</v>
      </c>
      <c r="O1007">
        <v>1</v>
      </c>
      <c r="P1007" t="s">
        <v>36</v>
      </c>
      <c r="Q1007">
        <v>7988</v>
      </c>
      <c r="R1007">
        <v>9769</v>
      </c>
      <c r="S1007">
        <v>1</v>
      </c>
      <c r="T1007">
        <v>0</v>
      </c>
      <c r="U1007" s="17">
        <v>0.13</v>
      </c>
      <c r="V1007">
        <v>3</v>
      </c>
      <c r="W1007">
        <v>1</v>
      </c>
      <c r="X1007">
        <v>0</v>
      </c>
      <c r="Y1007">
        <v>10</v>
      </c>
      <c r="Z1007">
        <v>3</v>
      </c>
      <c r="AA1007">
        <v>2</v>
      </c>
      <c r="AB1007">
        <v>10</v>
      </c>
      <c r="AC1007">
        <v>9</v>
      </c>
      <c r="AD1007">
        <v>0</v>
      </c>
      <c r="AE1007">
        <v>9</v>
      </c>
      <c r="AF1007">
        <v>0</v>
      </c>
      <c r="AG1007">
        <f>IF(tbl_HR_Data[[#This Row],[Gender]]="Male",1,0)</f>
        <v>1</v>
      </c>
      <c r="AH1007" cm="1">
        <f t="array" ref="AH1007">_xlfn.SWITCH(tbl_HR_Data[[#This Row],[BusinessTravel]], "Non-Travel", 0, "Travel_Rarely", 1, "Travel_Frequently", 2)</f>
        <v>1</v>
      </c>
      <c r="AI1007" cm="1">
        <f t="array" ref="AI1007">_xlfn.SWITCH(tbl_HR_Data[[#This Row],[MaritalStatus]],"Single",0,"Married",1,"Divorced",2)</f>
        <v>0</v>
      </c>
      <c r="AJ1007">
        <f>IF(tbl_HR_Data[[#This Row],[OverTime]]=1,1,0)</f>
        <v>0</v>
      </c>
      <c r="AK1007">
        <f>IF(tbl_HR_Data[[#This Row],[DistanceFromHome]]&gt;15,1,0)</f>
        <v>1</v>
      </c>
      <c r="AL1007">
        <f>IF(tbl_HR_Data[[#This Row],[JobSatisfaction]]&lt;=2,1,0)</f>
        <v>1</v>
      </c>
      <c r="AM1007">
        <f>IF(tbl_HR_Data[[#This Row],[MonthlyIncome]]&lt;$AT$2,1,0)</f>
        <v>0</v>
      </c>
      <c r="AN1007">
        <f>IF(tbl_HR_Data[[#This Row],[Travel_Code]]=2,1,0)</f>
        <v>0</v>
      </c>
      <c r="AO1007">
        <f>(tbl_HR_Data[[#This Row],[Flag_OT]] * Logic_Parameters!$B$2) +
 (tbl_HR_Data[[#This Row],[Flag_Travel]] * Logic_Parameters!$B$3) +
 (tbl_HR_Data[[#This Row],[Flag_Satisfaction]] * Logic_Parameters!$B$4) +
 (tbl_HR_Data[[#This Row],[Flag_Distance]]* Logic_Parameters!$B$5) +
 (tbl_HR_Data[[#This Row],[Flag_Income]] * Logic_Parameters!$B$6)</f>
        <v>7.3706398258535089</v>
      </c>
      <c r="AP1007" s="15">
        <f>tbl_HR_Data[[#This Row],[Risk_Score_Raw]] / SUM(Logic_Parameters!$B$2:$B$6)</f>
        <v>0.25393706576427255</v>
      </c>
      <c r="AQ1007" s="16" t="str" cm="1">
        <f t="array" ref="AQ1007">_xlfn.IFS(tbl_HR_Data[[#This Row],[Attrition_Risk_Percentage]] &gt;= 0.75, "Critical",tbl_HR_Data[ [#This Row],[Attrition_Risk_Percentage] ]&gt;= 0.5, "High",tbl_HR_Data[[#This Row],[Attrition_Risk_Percentage]] &gt;= 0.25, "Medium",TRUE, "Low")</f>
        <v>Medium</v>
      </c>
      <c r="AR1007" s="16" cm="1">
        <f t="array" ref="AR1007">IFERROR(_xlfn.IFS(tbl_HR_Data[[#This Row],[Risk_Category]]="Critical",tbl_HR_Data[[#This Row],[MonthlyIncome]]*1.5,tbl_HR_Data[[#This Row],[Risk_Category]]="High",tbl_HR_Data[[#This Row],[MonthlyIncome]]*1.5),0)</f>
        <v>0</v>
      </c>
    </row>
    <row r="1008" spans="1:44" x14ac:dyDescent="0.35">
      <c r="A1008" t="s">
        <v>520</v>
      </c>
      <c r="B1008">
        <v>49</v>
      </c>
      <c r="C1008" t="s">
        <v>37</v>
      </c>
      <c r="D1008">
        <v>1475</v>
      </c>
      <c r="E1008" t="s">
        <v>38</v>
      </c>
      <c r="F1008">
        <v>28</v>
      </c>
      <c r="G1008">
        <v>2</v>
      </c>
      <c r="H1008" t="s">
        <v>33</v>
      </c>
      <c r="I1008">
        <v>1</v>
      </c>
      <c r="J1008" t="s">
        <v>39</v>
      </c>
      <c r="K1008">
        <v>97</v>
      </c>
      <c r="L1008">
        <v>2</v>
      </c>
      <c r="M1008">
        <v>2</v>
      </c>
      <c r="N1008" t="s">
        <v>43</v>
      </c>
      <c r="O1008">
        <v>1</v>
      </c>
      <c r="P1008" t="s">
        <v>36</v>
      </c>
      <c r="Q1008">
        <v>4284</v>
      </c>
      <c r="R1008">
        <v>22710</v>
      </c>
      <c r="S1008">
        <v>3</v>
      </c>
      <c r="T1008">
        <v>0</v>
      </c>
      <c r="U1008" s="17">
        <v>0.2</v>
      </c>
      <c r="V1008">
        <v>4</v>
      </c>
      <c r="W1008">
        <v>1</v>
      </c>
      <c r="X1008">
        <v>0</v>
      </c>
      <c r="Y1008">
        <v>20</v>
      </c>
      <c r="Z1008">
        <v>2</v>
      </c>
      <c r="AA1008">
        <v>3</v>
      </c>
      <c r="AB1008">
        <v>4</v>
      </c>
      <c r="AC1008">
        <v>3</v>
      </c>
      <c r="AD1008">
        <v>1</v>
      </c>
      <c r="AE1008">
        <v>3</v>
      </c>
      <c r="AF1008">
        <v>1</v>
      </c>
      <c r="AG1008">
        <f>IF(tbl_HR_Data[[#This Row],[Gender]]="Male",1,0)</f>
        <v>1</v>
      </c>
      <c r="AH1008" cm="1">
        <f t="array" ref="AH1008">_xlfn.SWITCH(tbl_HR_Data[[#This Row],[BusinessTravel]], "Non-Travel", 0, "Travel_Rarely", 1, "Travel_Frequently", 2)</f>
        <v>2</v>
      </c>
      <c r="AI1008" cm="1">
        <f t="array" ref="AI1008">_xlfn.SWITCH(tbl_HR_Data[[#This Row],[MaritalStatus]],"Single",0,"Married",1,"Divorced",2)</f>
        <v>0</v>
      </c>
      <c r="AJ1008">
        <f>IF(tbl_HR_Data[[#This Row],[OverTime]]=1,1,0)</f>
        <v>0</v>
      </c>
      <c r="AK1008">
        <f>IF(tbl_HR_Data[[#This Row],[DistanceFromHome]]&gt;15,1,0)</f>
        <v>1</v>
      </c>
      <c r="AL1008">
        <f>IF(tbl_HR_Data[[#This Row],[JobSatisfaction]]&lt;=2,1,0)</f>
        <v>1</v>
      </c>
      <c r="AM1008">
        <f>IF(tbl_HR_Data[[#This Row],[MonthlyIncome]]&lt;$AT$2,1,0)</f>
        <v>1</v>
      </c>
      <c r="AN1008">
        <f>IF(tbl_HR_Data[[#This Row],[Travel_Code]]=2,1,0)</f>
        <v>1</v>
      </c>
      <c r="AO1008">
        <f>(tbl_HR_Data[[#This Row],[Flag_OT]] * Logic_Parameters!$B$2) +
 (tbl_HR_Data[[#This Row],[Flag_Travel]] * Logic_Parameters!$B$3) +
 (tbl_HR_Data[[#This Row],[Flag_Satisfaction]] * Logic_Parameters!$B$4) +
 (tbl_HR_Data[[#This Row],[Flag_Distance]]* Logic_Parameters!$B$5) +
 (tbl_HR_Data[[#This Row],[Flag_Income]] * Logic_Parameters!$B$6)</f>
        <v>19.025458743764514</v>
      </c>
      <c r="AP1008" s="15">
        <f>tbl_HR_Data[[#This Row],[Risk_Score_Raw]] / SUM(Logic_Parameters!$B$2:$B$6)</f>
        <v>0.65547486817419276</v>
      </c>
      <c r="AQ1008" s="16" t="str" cm="1">
        <f t="array" ref="AQ1008">_xlfn.IFS(tbl_HR_Data[[#This Row],[Attrition_Risk_Percentage]] &gt;= 0.75, "Critical",tbl_HR_Data[ [#This Row],[Attrition_Risk_Percentage] ]&gt;= 0.5, "High",tbl_HR_Data[[#This Row],[Attrition_Risk_Percentage]] &gt;= 0.25, "Medium",TRUE, "Low")</f>
        <v>High</v>
      </c>
      <c r="AR1008" s="16" cm="1">
        <f t="array" ref="AR1008">IFERROR(_xlfn.IFS(tbl_HR_Data[[#This Row],[Risk_Category]]="Critical",tbl_HR_Data[[#This Row],[MonthlyIncome]]*1.5,tbl_HR_Data[[#This Row],[Risk_Category]]="High",tbl_HR_Data[[#This Row],[MonthlyIncome]]*1.5),0)</f>
        <v>6426</v>
      </c>
    </row>
    <row r="1009" spans="1:44" x14ac:dyDescent="0.35">
      <c r="A1009" t="s">
        <v>532</v>
      </c>
      <c r="B1009">
        <v>29</v>
      </c>
      <c r="C1009" t="s">
        <v>37</v>
      </c>
      <c r="D1009">
        <v>337</v>
      </c>
      <c r="E1009" t="s">
        <v>38</v>
      </c>
      <c r="F1009">
        <v>14</v>
      </c>
      <c r="G1009">
        <v>1</v>
      </c>
      <c r="H1009" t="s">
        <v>42</v>
      </c>
      <c r="I1009">
        <v>3</v>
      </c>
      <c r="J1009" t="s">
        <v>34</v>
      </c>
      <c r="K1009">
        <v>84</v>
      </c>
      <c r="L1009">
        <v>3</v>
      </c>
      <c r="M1009">
        <v>3</v>
      </c>
      <c r="N1009" t="s">
        <v>47</v>
      </c>
      <c r="O1009">
        <v>4</v>
      </c>
      <c r="P1009" t="s">
        <v>36</v>
      </c>
      <c r="Q1009">
        <v>7553</v>
      </c>
      <c r="R1009">
        <v>22930</v>
      </c>
      <c r="S1009">
        <v>0</v>
      </c>
      <c r="T1009">
        <v>1</v>
      </c>
      <c r="U1009" s="17">
        <v>0.12</v>
      </c>
      <c r="V1009">
        <v>3</v>
      </c>
      <c r="W1009">
        <v>1</v>
      </c>
      <c r="X1009">
        <v>0</v>
      </c>
      <c r="Y1009">
        <v>9</v>
      </c>
      <c r="Z1009">
        <v>1</v>
      </c>
      <c r="AA1009">
        <v>3</v>
      </c>
      <c r="AB1009">
        <v>8</v>
      </c>
      <c r="AC1009">
        <v>7</v>
      </c>
      <c r="AD1009">
        <v>7</v>
      </c>
      <c r="AE1009">
        <v>7</v>
      </c>
      <c r="AF1009">
        <v>1</v>
      </c>
      <c r="AG1009">
        <f>IF(tbl_HR_Data[[#This Row],[Gender]]="Male",1,0)</f>
        <v>0</v>
      </c>
      <c r="AH1009" cm="1">
        <f t="array" ref="AH1009">_xlfn.SWITCH(tbl_HR_Data[[#This Row],[BusinessTravel]], "Non-Travel", 0, "Travel_Rarely", 1, "Travel_Frequently", 2)</f>
        <v>2</v>
      </c>
      <c r="AI1009" cm="1">
        <f t="array" ref="AI1009">_xlfn.SWITCH(tbl_HR_Data[[#This Row],[MaritalStatus]],"Single",0,"Married",1,"Divorced",2)</f>
        <v>0</v>
      </c>
      <c r="AJ1009">
        <f>IF(tbl_HR_Data[[#This Row],[OverTime]]=1,1,0)</f>
        <v>1</v>
      </c>
      <c r="AK1009">
        <f>IF(tbl_HR_Data[[#This Row],[DistanceFromHome]]&gt;15,1,0)</f>
        <v>0</v>
      </c>
      <c r="AL1009">
        <f>IF(tbl_HR_Data[[#This Row],[JobSatisfaction]]&lt;=2,1,0)</f>
        <v>0</v>
      </c>
      <c r="AM1009">
        <f>IF(tbl_HR_Data[[#This Row],[MonthlyIncome]]&lt;$AT$2,1,0)</f>
        <v>0</v>
      </c>
      <c r="AN1009">
        <f>IF(tbl_HR_Data[[#This Row],[Travel_Code]]=2,1,0)</f>
        <v>1</v>
      </c>
      <c r="AO1009">
        <f>(tbl_HR_Data[[#This Row],[Flag_OT]] * Logic_Parameters!$B$2) +
 (tbl_HR_Data[[#This Row],[Flag_Travel]] * Logic_Parameters!$B$3) +
 (tbl_HR_Data[[#This Row],[Flag_Satisfaction]] * Logic_Parameters!$B$4) +
 (tbl_HR_Data[[#This Row],[Flag_Distance]]* Logic_Parameters!$B$5) +
 (tbl_HR_Data[[#This Row],[Flag_Income]] * Logic_Parameters!$B$6)</f>
        <v>15.160389980490176</v>
      </c>
      <c r="AP1009" s="15">
        <f>tbl_HR_Data[[#This Row],[Risk_Score_Raw]] / SUM(Logic_Parameters!$B$2:$B$6)</f>
        <v>0.52231353565590266</v>
      </c>
      <c r="AQ1009" s="16" t="str" cm="1">
        <f t="array" ref="AQ1009">_xlfn.IFS(tbl_HR_Data[[#This Row],[Attrition_Risk_Percentage]] &gt;= 0.75, "Critical",tbl_HR_Data[ [#This Row],[Attrition_Risk_Percentage] ]&gt;= 0.5, "High",tbl_HR_Data[[#This Row],[Attrition_Risk_Percentage]] &gt;= 0.25, "Medium",TRUE, "Low")</f>
        <v>High</v>
      </c>
      <c r="AR1009" s="16" cm="1">
        <f t="array" ref="AR1009">IFERROR(_xlfn.IFS(tbl_HR_Data[[#This Row],[Risk_Category]]="Critical",tbl_HR_Data[[#This Row],[MonthlyIncome]]*1.5,tbl_HR_Data[[#This Row],[Risk_Category]]="High",tbl_HR_Data[[#This Row],[MonthlyIncome]]*1.5),0)</f>
        <v>11329.5</v>
      </c>
    </row>
    <row r="1010" spans="1:44" x14ac:dyDescent="0.35">
      <c r="A1010" t="s">
        <v>106</v>
      </c>
      <c r="B1010">
        <v>54</v>
      </c>
      <c r="C1010" t="s">
        <v>31</v>
      </c>
      <c r="D1010">
        <v>971</v>
      </c>
      <c r="E1010" t="s">
        <v>38</v>
      </c>
      <c r="F1010">
        <v>1</v>
      </c>
      <c r="G1010">
        <v>3</v>
      </c>
      <c r="H1010" t="s">
        <v>44</v>
      </c>
      <c r="I1010">
        <v>4</v>
      </c>
      <c r="J1010" t="s">
        <v>34</v>
      </c>
      <c r="K1010">
        <v>54</v>
      </c>
      <c r="L1010">
        <v>3</v>
      </c>
      <c r="M1010">
        <v>4</v>
      </c>
      <c r="N1010" t="s">
        <v>50</v>
      </c>
      <c r="O1010">
        <v>4</v>
      </c>
      <c r="P1010" t="s">
        <v>36</v>
      </c>
      <c r="Q1010">
        <v>17328</v>
      </c>
      <c r="R1010">
        <v>5652</v>
      </c>
      <c r="S1010">
        <v>6</v>
      </c>
      <c r="T1010">
        <v>0</v>
      </c>
      <c r="U1010" s="17">
        <v>0.19</v>
      </c>
      <c r="V1010">
        <v>3</v>
      </c>
      <c r="W1010">
        <v>4</v>
      </c>
      <c r="X1010">
        <v>0</v>
      </c>
      <c r="Y1010">
        <v>29</v>
      </c>
      <c r="Z1010">
        <v>3</v>
      </c>
      <c r="AA1010">
        <v>2</v>
      </c>
      <c r="AB1010">
        <v>20</v>
      </c>
      <c r="AC1010">
        <v>7</v>
      </c>
      <c r="AD1010">
        <v>12</v>
      </c>
      <c r="AE1010">
        <v>7</v>
      </c>
      <c r="AF1010">
        <v>0</v>
      </c>
      <c r="AG1010">
        <f>IF(tbl_HR_Data[[#This Row],[Gender]]="Male",1,0)</f>
        <v>0</v>
      </c>
      <c r="AH1010" cm="1">
        <f t="array" ref="AH1010">_xlfn.SWITCH(tbl_HR_Data[[#This Row],[BusinessTravel]], "Non-Travel", 0, "Travel_Rarely", 1, "Travel_Frequently", 2)</f>
        <v>1</v>
      </c>
      <c r="AI1010" cm="1">
        <f t="array" ref="AI1010">_xlfn.SWITCH(tbl_HR_Data[[#This Row],[MaritalStatus]],"Single",0,"Married",1,"Divorced",2)</f>
        <v>0</v>
      </c>
      <c r="AJ1010">
        <f>IF(tbl_HR_Data[[#This Row],[OverTime]]=1,1,0)</f>
        <v>0</v>
      </c>
      <c r="AK1010">
        <f>IF(tbl_HR_Data[[#This Row],[DistanceFromHome]]&gt;15,1,0)</f>
        <v>0</v>
      </c>
      <c r="AL1010">
        <f>IF(tbl_HR_Data[[#This Row],[JobSatisfaction]]&lt;=2,1,0)</f>
        <v>0</v>
      </c>
      <c r="AM1010">
        <f>IF(tbl_HR_Data[[#This Row],[MonthlyIncome]]&lt;$AT$2,1,0)</f>
        <v>0</v>
      </c>
      <c r="AN1010">
        <f>IF(tbl_HR_Data[[#This Row],[Travel_Code]]=2,1,0)</f>
        <v>0</v>
      </c>
      <c r="AO1010">
        <f>(tbl_HR_Data[[#This Row],[Flag_OT]] * Logic_Parameters!$B$2) +
 (tbl_HR_Data[[#This Row],[Flag_Travel]] * Logic_Parameters!$B$3) +
 (tbl_HR_Data[[#This Row],[Flag_Satisfaction]] * Logic_Parameters!$B$4) +
 (tbl_HR_Data[[#This Row],[Flag_Distance]]* Logic_Parameters!$B$5) +
 (tbl_HR_Data[[#This Row],[Flag_Income]] * Logic_Parameters!$B$6)</f>
        <v>0</v>
      </c>
      <c r="AP1010" s="15">
        <f>tbl_HR_Data[[#This Row],[Risk_Score_Raw]] / SUM(Logic_Parameters!$B$2:$B$6)</f>
        <v>0</v>
      </c>
      <c r="AQ1010" s="16" t="str" cm="1">
        <f t="array" ref="AQ1010">_xlfn.IFS(tbl_HR_Data[[#This Row],[Attrition_Risk_Percentage]] &gt;= 0.75, "Critical",tbl_HR_Data[ [#This Row],[Attrition_Risk_Percentage] ]&gt;= 0.5, "High",tbl_HR_Data[[#This Row],[Attrition_Risk_Percentage]] &gt;= 0.25, "Medium",TRUE, "Low")</f>
        <v>Low</v>
      </c>
      <c r="AR1010" s="16" cm="1">
        <f t="array" ref="AR1010">IFERROR(_xlfn.IFS(tbl_HR_Data[[#This Row],[Risk_Category]]="Critical",tbl_HR_Data[[#This Row],[MonthlyIncome]]*1.5,tbl_HR_Data[[#This Row],[Risk_Category]]="High",tbl_HR_Data[[#This Row],[MonthlyIncome]]*1.5),0)</f>
        <v>0</v>
      </c>
    </row>
    <row r="1011" spans="1:44" x14ac:dyDescent="0.35">
      <c r="A1011" t="s">
        <v>257</v>
      </c>
      <c r="B1011">
        <v>58</v>
      </c>
      <c r="C1011" t="s">
        <v>31</v>
      </c>
      <c r="D1011">
        <v>1055</v>
      </c>
      <c r="E1011" t="s">
        <v>38</v>
      </c>
      <c r="F1011">
        <v>1</v>
      </c>
      <c r="G1011">
        <v>3</v>
      </c>
      <c r="H1011" t="s">
        <v>44</v>
      </c>
      <c r="I1011">
        <v>4</v>
      </c>
      <c r="J1011" t="s">
        <v>34</v>
      </c>
      <c r="K1011">
        <v>76</v>
      </c>
      <c r="L1011">
        <v>3</v>
      </c>
      <c r="M1011">
        <v>5</v>
      </c>
      <c r="N1011" t="s">
        <v>50</v>
      </c>
      <c r="O1011">
        <v>1</v>
      </c>
      <c r="P1011" t="s">
        <v>41</v>
      </c>
      <c r="Q1011">
        <v>19701</v>
      </c>
      <c r="R1011">
        <v>22456</v>
      </c>
      <c r="S1011">
        <v>3</v>
      </c>
      <c r="T1011">
        <v>1</v>
      </c>
      <c r="U1011" s="17">
        <v>0.21</v>
      </c>
      <c r="V1011">
        <v>4</v>
      </c>
      <c r="W1011">
        <v>3</v>
      </c>
      <c r="X1011">
        <v>1</v>
      </c>
      <c r="Y1011">
        <v>32</v>
      </c>
      <c r="Z1011">
        <v>3</v>
      </c>
      <c r="AA1011">
        <v>3</v>
      </c>
      <c r="AB1011">
        <v>9</v>
      </c>
      <c r="AC1011">
        <v>8</v>
      </c>
      <c r="AD1011">
        <v>1</v>
      </c>
      <c r="AE1011">
        <v>5</v>
      </c>
      <c r="AF1011">
        <v>0</v>
      </c>
      <c r="AG1011">
        <f>IF(tbl_HR_Data[[#This Row],[Gender]]="Male",1,0)</f>
        <v>0</v>
      </c>
      <c r="AH1011" cm="1">
        <f t="array" ref="AH1011">_xlfn.SWITCH(tbl_HR_Data[[#This Row],[BusinessTravel]], "Non-Travel", 0, "Travel_Rarely", 1, "Travel_Frequently", 2)</f>
        <v>1</v>
      </c>
      <c r="AI1011" cm="1">
        <f t="array" ref="AI1011">_xlfn.SWITCH(tbl_HR_Data[[#This Row],[MaritalStatus]],"Single",0,"Married",1,"Divorced",2)</f>
        <v>1</v>
      </c>
      <c r="AJ1011">
        <f>IF(tbl_HR_Data[[#This Row],[OverTime]]=1,1,0)</f>
        <v>1</v>
      </c>
      <c r="AK1011">
        <f>IF(tbl_HR_Data[[#This Row],[DistanceFromHome]]&gt;15,1,0)</f>
        <v>0</v>
      </c>
      <c r="AL1011">
        <f>IF(tbl_HR_Data[[#This Row],[JobSatisfaction]]&lt;=2,1,0)</f>
        <v>1</v>
      </c>
      <c r="AM1011">
        <f>IF(tbl_HR_Data[[#This Row],[MonthlyIncome]]&lt;$AT$2,1,0)</f>
        <v>0</v>
      </c>
      <c r="AN1011">
        <f>IF(tbl_HR_Data[[#This Row],[Travel_Code]]=2,1,0)</f>
        <v>0</v>
      </c>
      <c r="AO1011">
        <f>(tbl_HR_Data[[#This Row],[Flag_OT]] * Logic_Parameters!$B$2) +
 (tbl_HR_Data[[#This Row],[Flag_Travel]] * Logic_Parameters!$B$3) +
 (tbl_HR_Data[[#This Row],[Flag_Satisfaction]] * Logic_Parameters!$B$4) +
 (tbl_HR_Data[[#This Row],[Flag_Distance]]* Logic_Parameters!$B$5) +
 (tbl_HR_Data[[#This Row],[Flag_Income]] * Logic_Parameters!$B$6)</f>
        <v>14.204533129978131</v>
      </c>
      <c r="AP1011" s="15">
        <f>tbl_HR_Data[[#This Row],[Risk_Score_Raw]] / SUM(Logic_Parameters!$B$2:$B$6)</f>
        <v>0.48938186491297625</v>
      </c>
      <c r="AQ1011" s="16" t="str" cm="1">
        <f t="array" ref="AQ1011">_xlfn.IFS(tbl_HR_Data[[#This Row],[Attrition_Risk_Percentage]] &gt;= 0.75, "Critical",tbl_HR_Data[ [#This Row],[Attrition_Risk_Percentage] ]&gt;= 0.5, "High",tbl_HR_Data[[#This Row],[Attrition_Risk_Percentage]] &gt;= 0.25, "Medium",TRUE, "Low")</f>
        <v>Medium</v>
      </c>
      <c r="AR1011" s="16" cm="1">
        <f t="array" ref="AR1011">IFERROR(_xlfn.IFS(tbl_HR_Data[[#This Row],[Risk_Category]]="Critical",tbl_HR_Data[[#This Row],[MonthlyIncome]]*1.5,tbl_HR_Data[[#This Row],[Risk_Category]]="High",tbl_HR_Data[[#This Row],[MonthlyIncome]]*1.5),0)</f>
        <v>0</v>
      </c>
    </row>
    <row r="1012" spans="1:44" x14ac:dyDescent="0.35">
      <c r="A1012" t="s">
        <v>1391</v>
      </c>
      <c r="B1012">
        <v>55</v>
      </c>
      <c r="C1012" t="s">
        <v>31</v>
      </c>
      <c r="D1012">
        <v>1136</v>
      </c>
      <c r="E1012" t="s">
        <v>38</v>
      </c>
      <c r="F1012">
        <v>1</v>
      </c>
      <c r="G1012">
        <v>4</v>
      </c>
      <c r="H1012" t="s">
        <v>44</v>
      </c>
      <c r="I1012">
        <v>2</v>
      </c>
      <c r="J1012" t="s">
        <v>39</v>
      </c>
      <c r="K1012">
        <v>81</v>
      </c>
      <c r="L1012">
        <v>4</v>
      </c>
      <c r="M1012">
        <v>4</v>
      </c>
      <c r="N1012" t="s">
        <v>50</v>
      </c>
      <c r="O1012">
        <v>4</v>
      </c>
      <c r="P1012" t="s">
        <v>45</v>
      </c>
      <c r="Q1012">
        <v>14732</v>
      </c>
      <c r="R1012">
        <v>12414</v>
      </c>
      <c r="S1012">
        <v>2</v>
      </c>
      <c r="T1012">
        <v>0</v>
      </c>
      <c r="U1012" s="17">
        <v>0.13</v>
      </c>
      <c r="V1012">
        <v>3</v>
      </c>
      <c r="W1012">
        <v>4</v>
      </c>
      <c r="X1012">
        <v>2</v>
      </c>
      <c r="Y1012">
        <v>31</v>
      </c>
      <c r="Z1012">
        <v>4</v>
      </c>
      <c r="AA1012">
        <v>4</v>
      </c>
      <c r="AB1012">
        <v>7</v>
      </c>
      <c r="AC1012">
        <v>7</v>
      </c>
      <c r="AD1012">
        <v>0</v>
      </c>
      <c r="AE1012">
        <v>0</v>
      </c>
      <c r="AF1012">
        <v>0</v>
      </c>
      <c r="AG1012">
        <f>IF(tbl_HR_Data[[#This Row],[Gender]]="Male",1,0)</f>
        <v>1</v>
      </c>
      <c r="AH1012" cm="1">
        <f t="array" ref="AH1012">_xlfn.SWITCH(tbl_HR_Data[[#This Row],[BusinessTravel]], "Non-Travel", 0, "Travel_Rarely", 1, "Travel_Frequently", 2)</f>
        <v>1</v>
      </c>
      <c r="AI1012" cm="1">
        <f t="array" ref="AI1012">_xlfn.SWITCH(tbl_HR_Data[[#This Row],[MaritalStatus]],"Single",0,"Married",1,"Divorced",2)</f>
        <v>2</v>
      </c>
      <c r="AJ1012">
        <f>IF(tbl_HR_Data[[#This Row],[OverTime]]=1,1,0)</f>
        <v>0</v>
      </c>
      <c r="AK1012">
        <f>IF(tbl_HR_Data[[#This Row],[DistanceFromHome]]&gt;15,1,0)</f>
        <v>0</v>
      </c>
      <c r="AL1012">
        <f>IF(tbl_HR_Data[[#This Row],[JobSatisfaction]]&lt;=2,1,0)</f>
        <v>0</v>
      </c>
      <c r="AM1012">
        <f>IF(tbl_HR_Data[[#This Row],[MonthlyIncome]]&lt;$AT$2,1,0)</f>
        <v>0</v>
      </c>
      <c r="AN1012">
        <f>IF(tbl_HR_Data[[#This Row],[Travel_Code]]=2,1,0)</f>
        <v>0</v>
      </c>
      <c r="AO1012">
        <f>(tbl_HR_Data[[#This Row],[Flag_OT]] * Logic_Parameters!$B$2) +
 (tbl_HR_Data[[#This Row],[Flag_Travel]] * Logic_Parameters!$B$3) +
 (tbl_HR_Data[[#This Row],[Flag_Satisfaction]] * Logic_Parameters!$B$4) +
 (tbl_HR_Data[[#This Row],[Flag_Distance]]* Logic_Parameters!$B$5) +
 (tbl_HR_Data[[#This Row],[Flag_Income]] * Logic_Parameters!$B$6)</f>
        <v>0</v>
      </c>
      <c r="AP1012" s="15">
        <f>tbl_HR_Data[[#This Row],[Risk_Score_Raw]] / SUM(Logic_Parameters!$B$2:$B$6)</f>
        <v>0</v>
      </c>
      <c r="AQ1012" s="16" t="str" cm="1">
        <f t="array" ref="AQ1012">_xlfn.IFS(tbl_HR_Data[[#This Row],[Attrition_Risk_Percentage]] &gt;= 0.75, "Critical",tbl_HR_Data[ [#This Row],[Attrition_Risk_Percentage] ]&gt;= 0.5, "High",tbl_HR_Data[[#This Row],[Attrition_Risk_Percentage]] &gt;= 0.25, "Medium",TRUE, "Low")</f>
        <v>Low</v>
      </c>
      <c r="AR1012" s="16" cm="1">
        <f t="array" ref="AR1012">IFERROR(_xlfn.IFS(tbl_HR_Data[[#This Row],[Risk_Category]]="Critical",tbl_HR_Data[[#This Row],[MonthlyIncome]]*1.5,tbl_HR_Data[[#This Row],[Risk_Category]]="High",tbl_HR_Data[[#This Row],[MonthlyIncome]]*1.5),0)</f>
        <v>0</v>
      </c>
    </row>
    <row r="1013" spans="1:44" x14ac:dyDescent="0.35">
      <c r="A1013" t="s">
        <v>516</v>
      </c>
      <c r="B1013">
        <v>36</v>
      </c>
      <c r="C1013" t="s">
        <v>31</v>
      </c>
      <c r="D1013">
        <v>1174</v>
      </c>
      <c r="E1013" t="s">
        <v>32</v>
      </c>
      <c r="F1013">
        <v>3</v>
      </c>
      <c r="G1013">
        <v>4</v>
      </c>
      <c r="H1013" t="s">
        <v>51</v>
      </c>
      <c r="I1013">
        <v>1</v>
      </c>
      <c r="J1013" t="s">
        <v>34</v>
      </c>
      <c r="K1013">
        <v>99</v>
      </c>
      <c r="L1013">
        <v>3</v>
      </c>
      <c r="M1013">
        <v>2</v>
      </c>
      <c r="N1013" t="s">
        <v>35</v>
      </c>
      <c r="O1013">
        <v>2</v>
      </c>
      <c r="P1013" t="s">
        <v>36</v>
      </c>
      <c r="Q1013">
        <v>9278</v>
      </c>
      <c r="R1013">
        <v>20763</v>
      </c>
      <c r="S1013">
        <v>3</v>
      </c>
      <c r="T1013">
        <v>1</v>
      </c>
      <c r="U1013" s="17">
        <v>0.16</v>
      </c>
      <c r="V1013">
        <v>3</v>
      </c>
      <c r="W1013">
        <v>4</v>
      </c>
      <c r="X1013">
        <v>0</v>
      </c>
      <c r="Y1013">
        <v>15</v>
      </c>
      <c r="Z1013">
        <v>3</v>
      </c>
      <c r="AA1013">
        <v>3</v>
      </c>
      <c r="AB1013">
        <v>5</v>
      </c>
      <c r="AC1013">
        <v>4</v>
      </c>
      <c r="AD1013">
        <v>0</v>
      </c>
      <c r="AE1013">
        <v>1</v>
      </c>
      <c r="AF1013">
        <v>0</v>
      </c>
      <c r="AG1013">
        <f>IF(tbl_HR_Data[[#This Row],[Gender]]="Male",1,0)</f>
        <v>0</v>
      </c>
      <c r="AH1013" cm="1">
        <f t="array" ref="AH1013">_xlfn.SWITCH(tbl_HR_Data[[#This Row],[BusinessTravel]], "Non-Travel", 0, "Travel_Rarely", 1, "Travel_Frequently", 2)</f>
        <v>1</v>
      </c>
      <c r="AI1013" cm="1">
        <f t="array" ref="AI1013">_xlfn.SWITCH(tbl_HR_Data[[#This Row],[MaritalStatus]],"Single",0,"Married",1,"Divorced",2)</f>
        <v>0</v>
      </c>
      <c r="AJ1013">
        <f>IF(tbl_HR_Data[[#This Row],[OverTime]]=1,1,0)</f>
        <v>1</v>
      </c>
      <c r="AK1013">
        <f>IF(tbl_HR_Data[[#This Row],[DistanceFromHome]]&gt;15,1,0)</f>
        <v>0</v>
      </c>
      <c r="AL1013">
        <f>IF(tbl_HR_Data[[#This Row],[JobSatisfaction]]&lt;=2,1,0)</f>
        <v>1</v>
      </c>
      <c r="AM1013">
        <f>IF(tbl_HR_Data[[#This Row],[MonthlyIncome]]&lt;$AT$2,1,0)</f>
        <v>0</v>
      </c>
      <c r="AN1013">
        <f>IF(tbl_HR_Data[[#This Row],[Travel_Code]]=2,1,0)</f>
        <v>0</v>
      </c>
      <c r="AO1013">
        <f>(tbl_HR_Data[[#This Row],[Flag_OT]] * Logic_Parameters!$B$2) +
 (tbl_HR_Data[[#This Row],[Flag_Travel]] * Logic_Parameters!$B$3) +
 (tbl_HR_Data[[#This Row],[Flag_Satisfaction]] * Logic_Parameters!$B$4) +
 (tbl_HR_Data[[#This Row],[Flag_Distance]]* Logic_Parameters!$B$5) +
 (tbl_HR_Data[[#This Row],[Flag_Income]] * Logic_Parameters!$B$6)</f>
        <v>14.204533129978131</v>
      </c>
      <c r="AP1013" s="15">
        <f>tbl_HR_Data[[#This Row],[Risk_Score_Raw]] / SUM(Logic_Parameters!$B$2:$B$6)</f>
        <v>0.48938186491297625</v>
      </c>
      <c r="AQ1013" s="16" t="str" cm="1">
        <f t="array" ref="AQ1013">_xlfn.IFS(tbl_HR_Data[[#This Row],[Attrition_Risk_Percentage]] &gt;= 0.75, "Critical",tbl_HR_Data[ [#This Row],[Attrition_Risk_Percentage] ]&gt;= 0.5, "High",tbl_HR_Data[[#This Row],[Attrition_Risk_Percentage]] &gt;= 0.25, "Medium",TRUE, "Low")</f>
        <v>Medium</v>
      </c>
      <c r="AR1013" s="16" cm="1">
        <f t="array" ref="AR1013">IFERROR(_xlfn.IFS(tbl_HR_Data[[#This Row],[Risk_Category]]="Critical",tbl_HR_Data[[#This Row],[MonthlyIncome]]*1.5,tbl_HR_Data[[#This Row],[Risk_Category]]="High",tbl_HR_Data[[#This Row],[MonthlyIncome]]*1.5),0)</f>
        <v>0</v>
      </c>
    </row>
    <row r="1014" spans="1:44" x14ac:dyDescent="0.35">
      <c r="A1014" t="s">
        <v>586</v>
      </c>
      <c r="B1014">
        <v>31</v>
      </c>
      <c r="C1014" t="s">
        <v>37</v>
      </c>
      <c r="D1014">
        <v>667</v>
      </c>
      <c r="E1014" t="s">
        <v>32</v>
      </c>
      <c r="F1014">
        <v>1</v>
      </c>
      <c r="G1014">
        <v>4</v>
      </c>
      <c r="H1014" t="s">
        <v>33</v>
      </c>
      <c r="I1014">
        <v>2</v>
      </c>
      <c r="J1014" t="s">
        <v>34</v>
      </c>
      <c r="K1014">
        <v>50</v>
      </c>
      <c r="L1014">
        <v>1</v>
      </c>
      <c r="M1014">
        <v>1</v>
      </c>
      <c r="N1014" t="s">
        <v>49</v>
      </c>
      <c r="O1014">
        <v>3</v>
      </c>
      <c r="P1014" t="s">
        <v>36</v>
      </c>
      <c r="Q1014">
        <v>1359</v>
      </c>
      <c r="R1014">
        <v>16154</v>
      </c>
      <c r="S1014">
        <v>1</v>
      </c>
      <c r="T1014">
        <v>0</v>
      </c>
      <c r="U1014" s="17">
        <v>0.12</v>
      </c>
      <c r="V1014">
        <v>3</v>
      </c>
      <c r="W1014">
        <v>2</v>
      </c>
      <c r="X1014">
        <v>0</v>
      </c>
      <c r="Y1014">
        <v>1</v>
      </c>
      <c r="Z1014">
        <v>3</v>
      </c>
      <c r="AA1014">
        <v>3</v>
      </c>
      <c r="AB1014">
        <v>1</v>
      </c>
      <c r="AC1014">
        <v>0</v>
      </c>
      <c r="AD1014">
        <v>0</v>
      </c>
      <c r="AE1014">
        <v>0</v>
      </c>
      <c r="AF1014">
        <v>1</v>
      </c>
      <c r="AG1014">
        <f>IF(tbl_HR_Data[[#This Row],[Gender]]="Male",1,0)</f>
        <v>0</v>
      </c>
      <c r="AH1014" cm="1">
        <f t="array" ref="AH1014">_xlfn.SWITCH(tbl_HR_Data[[#This Row],[BusinessTravel]], "Non-Travel", 0, "Travel_Rarely", 1, "Travel_Frequently", 2)</f>
        <v>2</v>
      </c>
      <c r="AI1014" cm="1">
        <f t="array" ref="AI1014">_xlfn.SWITCH(tbl_HR_Data[[#This Row],[MaritalStatus]],"Single",0,"Married",1,"Divorced",2)</f>
        <v>0</v>
      </c>
      <c r="AJ1014">
        <f>IF(tbl_HR_Data[[#This Row],[OverTime]]=1,1,0)</f>
        <v>0</v>
      </c>
      <c r="AK1014">
        <f>IF(tbl_HR_Data[[#This Row],[DistanceFromHome]]&gt;15,1,0)</f>
        <v>0</v>
      </c>
      <c r="AL1014">
        <f>IF(tbl_HR_Data[[#This Row],[JobSatisfaction]]&lt;=2,1,0)</f>
        <v>0</v>
      </c>
      <c r="AM1014">
        <f>IF(tbl_HR_Data[[#This Row],[MonthlyIncome]]&lt;$AT$2,1,0)</f>
        <v>1</v>
      </c>
      <c r="AN1014">
        <f>IF(tbl_HR_Data[[#This Row],[Travel_Code]]=2,1,0)</f>
        <v>1</v>
      </c>
      <c r="AO1014">
        <f>(tbl_HR_Data[[#This Row],[Flag_OT]] * Logic_Parameters!$B$2) +
 (tbl_HR_Data[[#This Row],[Flag_Travel]] * Logic_Parameters!$B$3) +
 (tbl_HR_Data[[#This Row],[Flag_Satisfaction]] * Logic_Parameters!$B$4) +
 (tbl_HR_Data[[#This Row],[Flag_Distance]]* Logic_Parameters!$B$5) +
 (tbl_HR_Data[[#This Row],[Flag_Income]] * Logic_Parameters!$B$6)</f>
        <v>11.654818917911005</v>
      </c>
      <c r="AP1014" s="15">
        <f>tbl_HR_Data[[#This Row],[Risk_Score_Raw]] / SUM(Logic_Parameters!$B$2:$B$6)</f>
        <v>0.40153780240992015</v>
      </c>
      <c r="AQ1014" s="16" t="str" cm="1">
        <f t="array" ref="AQ1014">_xlfn.IFS(tbl_HR_Data[[#This Row],[Attrition_Risk_Percentage]] &gt;= 0.75, "Critical",tbl_HR_Data[ [#This Row],[Attrition_Risk_Percentage] ]&gt;= 0.5, "High",tbl_HR_Data[[#This Row],[Attrition_Risk_Percentage]] &gt;= 0.25, "Medium",TRUE, "Low")</f>
        <v>Medium</v>
      </c>
      <c r="AR1014" s="16" cm="1">
        <f t="array" ref="AR1014">IFERROR(_xlfn.IFS(tbl_HR_Data[[#This Row],[Risk_Category]]="Critical",tbl_HR_Data[[#This Row],[MonthlyIncome]]*1.5,tbl_HR_Data[[#This Row],[Risk_Category]]="High",tbl_HR_Data[[#This Row],[MonthlyIncome]]*1.5),0)</f>
        <v>0</v>
      </c>
    </row>
    <row r="1015" spans="1:44" x14ac:dyDescent="0.35">
      <c r="A1015" t="s">
        <v>347</v>
      </c>
      <c r="B1015">
        <v>30</v>
      </c>
      <c r="C1015" t="s">
        <v>31</v>
      </c>
      <c r="D1015">
        <v>855</v>
      </c>
      <c r="E1015" t="s">
        <v>32</v>
      </c>
      <c r="F1015">
        <v>7</v>
      </c>
      <c r="G1015">
        <v>4</v>
      </c>
      <c r="H1015" t="s">
        <v>51</v>
      </c>
      <c r="I1015">
        <v>4</v>
      </c>
      <c r="J1015" t="s">
        <v>34</v>
      </c>
      <c r="K1015">
        <v>73</v>
      </c>
      <c r="L1015">
        <v>3</v>
      </c>
      <c r="M1015">
        <v>2</v>
      </c>
      <c r="N1015" t="s">
        <v>35</v>
      </c>
      <c r="O1015">
        <v>1</v>
      </c>
      <c r="P1015" t="s">
        <v>45</v>
      </c>
      <c r="Q1015">
        <v>4779</v>
      </c>
      <c r="R1015">
        <v>12761</v>
      </c>
      <c r="S1015">
        <v>7</v>
      </c>
      <c r="T1015">
        <v>0</v>
      </c>
      <c r="U1015" s="17">
        <v>0.14000000000000001</v>
      </c>
      <c r="V1015">
        <v>3</v>
      </c>
      <c r="W1015">
        <v>2</v>
      </c>
      <c r="X1015">
        <v>2</v>
      </c>
      <c r="Y1015">
        <v>8</v>
      </c>
      <c r="Z1015">
        <v>3</v>
      </c>
      <c r="AA1015">
        <v>3</v>
      </c>
      <c r="AB1015">
        <v>3</v>
      </c>
      <c r="AC1015">
        <v>2</v>
      </c>
      <c r="AD1015">
        <v>0</v>
      </c>
      <c r="AE1015">
        <v>2</v>
      </c>
      <c r="AF1015">
        <v>0</v>
      </c>
      <c r="AG1015">
        <f>IF(tbl_HR_Data[[#This Row],[Gender]]="Male",1,0)</f>
        <v>0</v>
      </c>
      <c r="AH1015" cm="1">
        <f t="array" ref="AH1015">_xlfn.SWITCH(tbl_HR_Data[[#This Row],[BusinessTravel]], "Non-Travel", 0, "Travel_Rarely", 1, "Travel_Frequently", 2)</f>
        <v>1</v>
      </c>
      <c r="AI1015" cm="1">
        <f t="array" ref="AI1015">_xlfn.SWITCH(tbl_HR_Data[[#This Row],[MaritalStatus]],"Single",0,"Married",1,"Divorced",2)</f>
        <v>2</v>
      </c>
      <c r="AJ1015">
        <f>IF(tbl_HR_Data[[#This Row],[OverTime]]=1,1,0)</f>
        <v>0</v>
      </c>
      <c r="AK1015">
        <f>IF(tbl_HR_Data[[#This Row],[DistanceFromHome]]&gt;15,1,0)</f>
        <v>0</v>
      </c>
      <c r="AL1015">
        <f>IF(tbl_HR_Data[[#This Row],[JobSatisfaction]]&lt;=2,1,0)</f>
        <v>1</v>
      </c>
      <c r="AM1015">
        <f>IF(tbl_HR_Data[[#This Row],[MonthlyIncome]]&lt;$AT$2,1,0)</f>
        <v>1</v>
      </c>
      <c r="AN1015">
        <f>IF(tbl_HR_Data[[#This Row],[Travel_Code]]=2,1,0)</f>
        <v>0</v>
      </c>
      <c r="AO1015">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015" s="15">
        <f>tbl_HR_Data[[#This Row],[Risk_Score_Raw]] / SUM(Logic_Parameters!$B$2:$B$6)</f>
        <v>0.3686061316669938</v>
      </c>
      <c r="AQ1015" s="16" t="str" cm="1">
        <f t="array" ref="AQ1015">_xlfn.IFS(tbl_HR_Data[[#This Row],[Attrition_Risk_Percentage]] &gt;= 0.75, "Critical",tbl_HR_Data[ [#This Row],[Attrition_Risk_Percentage] ]&gt;= 0.5, "High",tbl_HR_Data[[#This Row],[Attrition_Risk_Percentage]] &gt;= 0.25, "Medium",TRUE, "Low")</f>
        <v>Medium</v>
      </c>
      <c r="AR1015" s="16" cm="1">
        <f t="array" ref="AR1015">IFERROR(_xlfn.IFS(tbl_HR_Data[[#This Row],[Risk_Category]]="Critical",tbl_HR_Data[[#This Row],[MonthlyIncome]]*1.5,tbl_HR_Data[[#This Row],[Risk_Category]]="High",tbl_HR_Data[[#This Row],[MonthlyIncome]]*1.5),0)</f>
        <v>0</v>
      </c>
    </row>
    <row r="1016" spans="1:44" x14ac:dyDescent="0.35">
      <c r="A1016" t="s">
        <v>605</v>
      </c>
      <c r="B1016">
        <v>31</v>
      </c>
      <c r="C1016" t="s">
        <v>31</v>
      </c>
      <c r="D1016">
        <v>182</v>
      </c>
      <c r="E1016" t="s">
        <v>38</v>
      </c>
      <c r="F1016">
        <v>8</v>
      </c>
      <c r="G1016">
        <v>5</v>
      </c>
      <c r="H1016" t="s">
        <v>33</v>
      </c>
      <c r="I1016">
        <v>1</v>
      </c>
      <c r="J1016" t="s">
        <v>34</v>
      </c>
      <c r="K1016">
        <v>93</v>
      </c>
      <c r="L1016">
        <v>3</v>
      </c>
      <c r="M1016">
        <v>4</v>
      </c>
      <c r="N1016" t="s">
        <v>50</v>
      </c>
      <c r="O1016">
        <v>2</v>
      </c>
      <c r="P1016" t="s">
        <v>36</v>
      </c>
      <c r="Q1016">
        <v>16422</v>
      </c>
      <c r="R1016">
        <v>8847</v>
      </c>
      <c r="S1016">
        <v>3</v>
      </c>
      <c r="T1016">
        <v>0</v>
      </c>
      <c r="U1016" s="17">
        <v>0.11</v>
      </c>
      <c r="V1016">
        <v>3</v>
      </c>
      <c r="W1016">
        <v>3</v>
      </c>
      <c r="X1016">
        <v>0</v>
      </c>
      <c r="Y1016">
        <v>9</v>
      </c>
      <c r="Z1016">
        <v>3</v>
      </c>
      <c r="AA1016">
        <v>4</v>
      </c>
      <c r="AB1016">
        <v>3</v>
      </c>
      <c r="AC1016">
        <v>2</v>
      </c>
      <c r="AD1016">
        <v>1</v>
      </c>
      <c r="AE1016">
        <v>0</v>
      </c>
      <c r="AF1016">
        <v>0</v>
      </c>
      <c r="AG1016">
        <f>IF(tbl_HR_Data[[#This Row],[Gender]]="Male",1,0)</f>
        <v>0</v>
      </c>
      <c r="AH1016" cm="1">
        <f t="array" ref="AH1016">_xlfn.SWITCH(tbl_HR_Data[[#This Row],[BusinessTravel]], "Non-Travel", 0, "Travel_Rarely", 1, "Travel_Frequently", 2)</f>
        <v>1</v>
      </c>
      <c r="AI1016" cm="1">
        <f t="array" ref="AI1016">_xlfn.SWITCH(tbl_HR_Data[[#This Row],[MaritalStatus]],"Single",0,"Married",1,"Divorced",2)</f>
        <v>0</v>
      </c>
      <c r="AJ1016">
        <f>IF(tbl_HR_Data[[#This Row],[OverTime]]=1,1,0)</f>
        <v>0</v>
      </c>
      <c r="AK1016">
        <f>IF(tbl_HR_Data[[#This Row],[DistanceFromHome]]&gt;15,1,0)</f>
        <v>0</v>
      </c>
      <c r="AL1016">
        <f>IF(tbl_HR_Data[[#This Row],[JobSatisfaction]]&lt;=2,1,0)</f>
        <v>1</v>
      </c>
      <c r="AM1016">
        <f>IF(tbl_HR_Data[[#This Row],[MonthlyIncome]]&lt;$AT$2,1,0)</f>
        <v>0</v>
      </c>
      <c r="AN1016">
        <f>IF(tbl_HR_Data[[#This Row],[Travel_Code]]=2,1,0)</f>
        <v>0</v>
      </c>
      <c r="AO1016">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016" s="15">
        <f>tbl_HR_Data[[#This Row],[Risk_Score_Raw]] / SUM(Logic_Parameters!$B$2:$B$6)</f>
        <v>0.14485673308716898</v>
      </c>
      <c r="AQ1016" s="16" t="str" cm="1">
        <f t="array" ref="AQ1016">_xlfn.IFS(tbl_HR_Data[[#This Row],[Attrition_Risk_Percentage]] &gt;= 0.75, "Critical",tbl_HR_Data[ [#This Row],[Attrition_Risk_Percentage] ]&gt;= 0.5, "High",tbl_HR_Data[[#This Row],[Attrition_Risk_Percentage]] &gt;= 0.25, "Medium",TRUE, "Low")</f>
        <v>Low</v>
      </c>
      <c r="AR1016" s="16" cm="1">
        <f t="array" ref="AR1016">IFERROR(_xlfn.IFS(tbl_HR_Data[[#This Row],[Risk_Category]]="Critical",tbl_HR_Data[[#This Row],[MonthlyIncome]]*1.5,tbl_HR_Data[[#This Row],[Risk_Category]]="High",tbl_HR_Data[[#This Row],[MonthlyIncome]]*1.5),0)</f>
        <v>0</v>
      </c>
    </row>
    <row r="1017" spans="1:44" x14ac:dyDescent="0.35">
      <c r="A1017" t="s">
        <v>120</v>
      </c>
      <c r="B1017">
        <v>34</v>
      </c>
      <c r="C1017" t="s">
        <v>37</v>
      </c>
      <c r="D1017">
        <v>560</v>
      </c>
      <c r="E1017" t="s">
        <v>38</v>
      </c>
      <c r="F1017">
        <v>1</v>
      </c>
      <c r="G1017">
        <v>4</v>
      </c>
      <c r="H1017" t="s">
        <v>42</v>
      </c>
      <c r="I1017">
        <v>4</v>
      </c>
      <c r="J1017" t="s">
        <v>39</v>
      </c>
      <c r="K1017">
        <v>91</v>
      </c>
      <c r="L1017">
        <v>3</v>
      </c>
      <c r="M1017">
        <v>1</v>
      </c>
      <c r="N1017" t="s">
        <v>40</v>
      </c>
      <c r="O1017">
        <v>1</v>
      </c>
      <c r="P1017" t="s">
        <v>45</v>
      </c>
      <c r="Q1017">
        <v>2996</v>
      </c>
      <c r="R1017">
        <v>20284</v>
      </c>
      <c r="S1017">
        <v>5</v>
      </c>
      <c r="T1017">
        <v>0</v>
      </c>
      <c r="U1017" s="17">
        <v>0.14000000000000001</v>
      </c>
      <c r="V1017">
        <v>3</v>
      </c>
      <c r="W1017">
        <v>3</v>
      </c>
      <c r="X1017">
        <v>2</v>
      </c>
      <c r="Y1017">
        <v>10</v>
      </c>
      <c r="Z1017">
        <v>2</v>
      </c>
      <c r="AA1017">
        <v>3</v>
      </c>
      <c r="AB1017">
        <v>4</v>
      </c>
      <c r="AC1017">
        <v>3</v>
      </c>
      <c r="AD1017">
        <v>1</v>
      </c>
      <c r="AE1017">
        <v>3</v>
      </c>
      <c r="AF1017">
        <v>0</v>
      </c>
      <c r="AG1017">
        <f>IF(tbl_HR_Data[[#This Row],[Gender]]="Male",1,0)</f>
        <v>1</v>
      </c>
      <c r="AH1017" cm="1">
        <f t="array" ref="AH1017">_xlfn.SWITCH(tbl_HR_Data[[#This Row],[BusinessTravel]], "Non-Travel", 0, "Travel_Rarely", 1, "Travel_Frequently", 2)</f>
        <v>2</v>
      </c>
      <c r="AI1017" cm="1">
        <f t="array" ref="AI1017">_xlfn.SWITCH(tbl_HR_Data[[#This Row],[MaritalStatus]],"Single",0,"Married",1,"Divorced",2)</f>
        <v>2</v>
      </c>
      <c r="AJ1017">
        <f>IF(tbl_HR_Data[[#This Row],[OverTime]]=1,1,0)</f>
        <v>0</v>
      </c>
      <c r="AK1017">
        <f>IF(tbl_HR_Data[[#This Row],[DistanceFromHome]]&gt;15,1,0)</f>
        <v>0</v>
      </c>
      <c r="AL1017">
        <f>IF(tbl_HR_Data[[#This Row],[JobSatisfaction]]&lt;=2,1,0)</f>
        <v>1</v>
      </c>
      <c r="AM1017">
        <f>IF(tbl_HR_Data[[#This Row],[MonthlyIncome]]&lt;$AT$2,1,0)</f>
        <v>1</v>
      </c>
      <c r="AN1017">
        <f>IF(tbl_HR_Data[[#This Row],[Travel_Code]]=2,1,0)</f>
        <v>1</v>
      </c>
      <c r="AO1017">
        <f>(tbl_HR_Data[[#This Row],[Flag_OT]] * Logic_Parameters!$B$2) +
 (tbl_HR_Data[[#This Row],[Flag_Travel]] * Logic_Parameters!$B$3) +
 (tbl_HR_Data[[#This Row],[Flag_Satisfaction]] * Logic_Parameters!$B$4) +
 (tbl_HR_Data[[#This Row],[Flag_Distance]]* Logic_Parameters!$B$5) +
 (tbl_HR_Data[[#This Row],[Flag_Income]] * Logic_Parameters!$B$6)</f>
        <v>15.859352047889136</v>
      </c>
      <c r="AP1017" s="15">
        <f>tbl_HR_Data[[#This Row],[Risk_Score_Raw]] / SUM(Logic_Parameters!$B$2:$B$6)</f>
        <v>0.54639453549708916</v>
      </c>
      <c r="AQ1017" s="16" t="str" cm="1">
        <f t="array" ref="AQ1017">_xlfn.IFS(tbl_HR_Data[[#This Row],[Attrition_Risk_Percentage]] &gt;= 0.75, "Critical",tbl_HR_Data[ [#This Row],[Attrition_Risk_Percentage] ]&gt;= 0.5, "High",tbl_HR_Data[[#This Row],[Attrition_Risk_Percentage]] &gt;= 0.25, "Medium",TRUE, "Low")</f>
        <v>High</v>
      </c>
      <c r="AR1017" s="16" cm="1">
        <f t="array" ref="AR1017">IFERROR(_xlfn.IFS(tbl_HR_Data[[#This Row],[Risk_Category]]="Critical",tbl_HR_Data[[#This Row],[MonthlyIncome]]*1.5,tbl_HR_Data[[#This Row],[Risk_Category]]="High",tbl_HR_Data[[#This Row],[MonthlyIncome]]*1.5),0)</f>
        <v>4494</v>
      </c>
    </row>
    <row r="1018" spans="1:44" x14ac:dyDescent="0.35">
      <c r="A1018" t="s">
        <v>882</v>
      </c>
      <c r="B1018">
        <v>31</v>
      </c>
      <c r="C1018" t="s">
        <v>31</v>
      </c>
      <c r="D1018">
        <v>202</v>
      </c>
      <c r="E1018" t="s">
        <v>38</v>
      </c>
      <c r="F1018">
        <v>8</v>
      </c>
      <c r="G1018">
        <v>3</v>
      </c>
      <c r="H1018" t="s">
        <v>33</v>
      </c>
      <c r="I1018">
        <v>1</v>
      </c>
      <c r="J1018" t="s">
        <v>34</v>
      </c>
      <c r="K1018">
        <v>34</v>
      </c>
      <c r="L1018">
        <v>2</v>
      </c>
      <c r="M1018">
        <v>1</v>
      </c>
      <c r="N1018" t="s">
        <v>40</v>
      </c>
      <c r="O1018">
        <v>2</v>
      </c>
      <c r="P1018" t="s">
        <v>36</v>
      </c>
      <c r="Q1018">
        <v>1261</v>
      </c>
      <c r="R1018">
        <v>22262</v>
      </c>
      <c r="S1018">
        <v>1</v>
      </c>
      <c r="T1018">
        <v>0</v>
      </c>
      <c r="U1018" s="17">
        <v>0.12</v>
      </c>
      <c r="V1018">
        <v>3</v>
      </c>
      <c r="W1018">
        <v>3</v>
      </c>
      <c r="X1018">
        <v>0</v>
      </c>
      <c r="Y1018">
        <v>1</v>
      </c>
      <c r="Z1018">
        <v>3</v>
      </c>
      <c r="AA1018">
        <v>4</v>
      </c>
      <c r="AB1018">
        <v>1</v>
      </c>
      <c r="AC1018">
        <v>0</v>
      </c>
      <c r="AD1018">
        <v>0</v>
      </c>
      <c r="AE1018">
        <v>0</v>
      </c>
      <c r="AF1018">
        <v>1</v>
      </c>
      <c r="AG1018">
        <f>IF(tbl_HR_Data[[#This Row],[Gender]]="Male",1,0)</f>
        <v>0</v>
      </c>
      <c r="AH1018" cm="1">
        <f t="array" ref="AH1018">_xlfn.SWITCH(tbl_HR_Data[[#This Row],[BusinessTravel]], "Non-Travel", 0, "Travel_Rarely", 1, "Travel_Frequently", 2)</f>
        <v>1</v>
      </c>
      <c r="AI1018" cm="1">
        <f t="array" ref="AI1018">_xlfn.SWITCH(tbl_HR_Data[[#This Row],[MaritalStatus]],"Single",0,"Married",1,"Divorced",2)</f>
        <v>0</v>
      </c>
      <c r="AJ1018">
        <f>IF(tbl_HR_Data[[#This Row],[OverTime]]=1,1,0)</f>
        <v>0</v>
      </c>
      <c r="AK1018">
        <f>IF(tbl_HR_Data[[#This Row],[DistanceFromHome]]&gt;15,1,0)</f>
        <v>0</v>
      </c>
      <c r="AL1018">
        <f>IF(tbl_HR_Data[[#This Row],[JobSatisfaction]]&lt;=2,1,0)</f>
        <v>1</v>
      </c>
      <c r="AM1018">
        <f>IF(tbl_HR_Data[[#This Row],[MonthlyIncome]]&lt;$AT$2,1,0)</f>
        <v>1</v>
      </c>
      <c r="AN1018">
        <f>IF(tbl_HR_Data[[#This Row],[Travel_Code]]=2,1,0)</f>
        <v>0</v>
      </c>
      <c r="AO1018">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018" s="15">
        <f>tbl_HR_Data[[#This Row],[Risk_Score_Raw]] / SUM(Logic_Parameters!$B$2:$B$6)</f>
        <v>0.3686061316669938</v>
      </c>
      <c r="AQ1018" s="16" t="str" cm="1">
        <f t="array" ref="AQ1018">_xlfn.IFS(tbl_HR_Data[[#This Row],[Attrition_Risk_Percentage]] &gt;= 0.75, "Critical",tbl_HR_Data[ [#This Row],[Attrition_Risk_Percentage] ]&gt;= 0.5, "High",tbl_HR_Data[[#This Row],[Attrition_Risk_Percentage]] &gt;= 0.25, "Medium",TRUE, "Low")</f>
        <v>Medium</v>
      </c>
      <c r="AR1018" s="16" cm="1">
        <f t="array" ref="AR1018">IFERROR(_xlfn.IFS(tbl_HR_Data[[#This Row],[Risk_Category]]="Critical",tbl_HR_Data[[#This Row],[MonthlyIncome]]*1.5,tbl_HR_Data[[#This Row],[Risk_Category]]="High",tbl_HR_Data[[#This Row],[MonthlyIncome]]*1.5),0)</f>
        <v>0</v>
      </c>
    </row>
    <row r="1019" spans="1:44" x14ac:dyDescent="0.35">
      <c r="A1019" t="s">
        <v>371</v>
      </c>
      <c r="B1019">
        <v>27</v>
      </c>
      <c r="C1019" t="s">
        <v>31</v>
      </c>
      <c r="D1019">
        <v>1377</v>
      </c>
      <c r="E1019" t="s">
        <v>38</v>
      </c>
      <c r="F1019">
        <v>11</v>
      </c>
      <c r="G1019">
        <v>1</v>
      </c>
      <c r="H1019" t="s">
        <v>33</v>
      </c>
      <c r="I1019">
        <v>2</v>
      </c>
      <c r="J1019" t="s">
        <v>39</v>
      </c>
      <c r="K1019">
        <v>91</v>
      </c>
      <c r="L1019">
        <v>3</v>
      </c>
      <c r="M1019">
        <v>1</v>
      </c>
      <c r="N1019" t="s">
        <v>43</v>
      </c>
      <c r="O1019">
        <v>1</v>
      </c>
      <c r="P1019" t="s">
        <v>41</v>
      </c>
      <c r="Q1019">
        <v>2099</v>
      </c>
      <c r="R1019">
        <v>7679</v>
      </c>
      <c r="S1019">
        <v>0</v>
      </c>
      <c r="T1019">
        <v>0</v>
      </c>
      <c r="U1019" s="17">
        <v>0.14000000000000001</v>
      </c>
      <c r="V1019">
        <v>3</v>
      </c>
      <c r="W1019">
        <v>2</v>
      </c>
      <c r="X1019">
        <v>0</v>
      </c>
      <c r="Y1019">
        <v>6</v>
      </c>
      <c r="Z1019">
        <v>3</v>
      </c>
      <c r="AA1019">
        <v>4</v>
      </c>
      <c r="AB1019">
        <v>5</v>
      </c>
      <c r="AC1019">
        <v>0</v>
      </c>
      <c r="AD1019">
        <v>1</v>
      </c>
      <c r="AE1019">
        <v>4</v>
      </c>
      <c r="AF1019">
        <v>0</v>
      </c>
      <c r="AG1019">
        <f>IF(tbl_HR_Data[[#This Row],[Gender]]="Male",1,0)</f>
        <v>1</v>
      </c>
      <c r="AH1019" cm="1">
        <f t="array" ref="AH1019">_xlfn.SWITCH(tbl_HR_Data[[#This Row],[BusinessTravel]], "Non-Travel", 0, "Travel_Rarely", 1, "Travel_Frequently", 2)</f>
        <v>1</v>
      </c>
      <c r="AI1019" cm="1">
        <f t="array" ref="AI1019">_xlfn.SWITCH(tbl_HR_Data[[#This Row],[MaritalStatus]],"Single",0,"Married",1,"Divorced",2)</f>
        <v>1</v>
      </c>
      <c r="AJ1019">
        <f>IF(tbl_HR_Data[[#This Row],[OverTime]]=1,1,0)</f>
        <v>0</v>
      </c>
      <c r="AK1019">
        <f>IF(tbl_HR_Data[[#This Row],[DistanceFromHome]]&gt;15,1,0)</f>
        <v>0</v>
      </c>
      <c r="AL1019">
        <f>IF(tbl_HR_Data[[#This Row],[JobSatisfaction]]&lt;=2,1,0)</f>
        <v>1</v>
      </c>
      <c r="AM1019">
        <f>IF(tbl_HR_Data[[#This Row],[MonthlyIncome]]&lt;$AT$2,1,0)</f>
        <v>1</v>
      </c>
      <c r="AN1019">
        <f>IF(tbl_HR_Data[[#This Row],[Travel_Code]]=2,1,0)</f>
        <v>0</v>
      </c>
      <c r="AO1019">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019" s="15">
        <f>tbl_HR_Data[[#This Row],[Risk_Score_Raw]] / SUM(Logic_Parameters!$B$2:$B$6)</f>
        <v>0.3686061316669938</v>
      </c>
      <c r="AQ1019" s="16" t="str" cm="1">
        <f t="array" ref="AQ1019">_xlfn.IFS(tbl_HR_Data[[#This Row],[Attrition_Risk_Percentage]] &gt;= 0.75, "Critical",tbl_HR_Data[ [#This Row],[Attrition_Risk_Percentage] ]&gt;= 0.5, "High",tbl_HR_Data[[#This Row],[Attrition_Risk_Percentage]] &gt;= 0.25, "Medium",TRUE, "Low")</f>
        <v>Medium</v>
      </c>
      <c r="AR1019" s="16" cm="1">
        <f t="array" ref="AR1019">IFERROR(_xlfn.IFS(tbl_HR_Data[[#This Row],[Risk_Category]]="Critical",tbl_HR_Data[[#This Row],[MonthlyIncome]]*1.5,tbl_HR_Data[[#This Row],[Risk_Category]]="High",tbl_HR_Data[[#This Row],[MonthlyIncome]]*1.5),0)</f>
        <v>0</v>
      </c>
    </row>
    <row r="1020" spans="1:44" x14ac:dyDescent="0.35">
      <c r="A1020" t="s">
        <v>487</v>
      </c>
      <c r="B1020">
        <v>36</v>
      </c>
      <c r="C1020" t="s">
        <v>31</v>
      </c>
      <c r="D1020">
        <v>172</v>
      </c>
      <c r="E1020" t="s">
        <v>38</v>
      </c>
      <c r="F1020">
        <v>4</v>
      </c>
      <c r="G1020">
        <v>4</v>
      </c>
      <c r="H1020" t="s">
        <v>33</v>
      </c>
      <c r="I1020">
        <v>1</v>
      </c>
      <c r="J1020" t="s">
        <v>39</v>
      </c>
      <c r="K1020">
        <v>37</v>
      </c>
      <c r="L1020">
        <v>2</v>
      </c>
      <c r="M1020">
        <v>2</v>
      </c>
      <c r="N1020" t="s">
        <v>43</v>
      </c>
      <c r="O1020">
        <v>4</v>
      </c>
      <c r="P1020" t="s">
        <v>36</v>
      </c>
      <c r="Q1020">
        <v>5810</v>
      </c>
      <c r="R1020">
        <v>22604</v>
      </c>
      <c r="S1020">
        <v>1</v>
      </c>
      <c r="T1020">
        <v>0</v>
      </c>
      <c r="U1020" s="17">
        <v>0.16</v>
      </c>
      <c r="V1020">
        <v>3</v>
      </c>
      <c r="W1020">
        <v>3</v>
      </c>
      <c r="X1020">
        <v>0</v>
      </c>
      <c r="Y1020">
        <v>10</v>
      </c>
      <c r="Z1020">
        <v>2</v>
      </c>
      <c r="AA1020">
        <v>2</v>
      </c>
      <c r="AB1020">
        <v>10</v>
      </c>
      <c r="AC1020">
        <v>4</v>
      </c>
      <c r="AD1020">
        <v>1</v>
      </c>
      <c r="AE1020">
        <v>8</v>
      </c>
      <c r="AF1020">
        <v>0</v>
      </c>
      <c r="AG1020">
        <f>IF(tbl_HR_Data[[#This Row],[Gender]]="Male",1,0)</f>
        <v>1</v>
      </c>
      <c r="AH1020" cm="1">
        <f t="array" ref="AH1020">_xlfn.SWITCH(tbl_HR_Data[[#This Row],[BusinessTravel]], "Non-Travel", 0, "Travel_Rarely", 1, "Travel_Frequently", 2)</f>
        <v>1</v>
      </c>
      <c r="AI1020" cm="1">
        <f t="array" ref="AI1020">_xlfn.SWITCH(tbl_HR_Data[[#This Row],[MaritalStatus]],"Single",0,"Married",1,"Divorced",2)</f>
        <v>0</v>
      </c>
      <c r="AJ1020">
        <f>IF(tbl_HR_Data[[#This Row],[OverTime]]=1,1,0)</f>
        <v>0</v>
      </c>
      <c r="AK1020">
        <f>IF(tbl_HR_Data[[#This Row],[DistanceFromHome]]&gt;15,1,0)</f>
        <v>0</v>
      </c>
      <c r="AL1020">
        <f>IF(tbl_HR_Data[[#This Row],[JobSatisfaction]]&lt;=2,1,0)</f>
        <v>0</v>
      </c>
      <c r="AM1020">
        <f>IF(tbl_HR_Data[[#This Row],[MonthlyIncome]]&lt;$AT$2,1,0)</f>
        <v>0</v>
      </c>
      <c r="AN1020">
        <f>IF(tbl_HR_Data[[#This Row],[Travel_Code]]=2,1,0)</f>
        <v>0</v>
      </c>
      <c r="AO1020">
        <f>(tbl_HR_Data[[#This Row],[Flag_OT]] * Logic_Parameters!$B$2) +
 (tbl_HR_Data[[#This Row],[Flag_Travel]] * Logic_Parameters!$B$3) +
 (tbl_HR_Data[[#This Row],[Flag_Satisfaction]] * Logic_Parameters!$B$4) +
 (tbl_HR_Data[[#This Row],[Flag_Distance]]* Logic_Parameters!$B$5) +
 (tbl_HR_Data[[#This Row],[Flag_Income]] * Logic_Parameters!$B$6)</f>
        <v>0</v>
      </c>
      <c r="AP1020" s="15">
        <f>tbl_HR_Data[[#This Row],[Risk_Score_Raw]] / SUM(Logic_Parameters!$B$2:$B$6)</f>
        <v>0</v>
      </c>
      <c r="AQ1020" s="16" t="str" cm="1">
        <f t="array" ref="AQ1020">_xlfn.IFS(tbl_HR_Data[[#This Row],[Attrition_Risk_Percentage]] &gt;= 0.75, "Critical",tbl_HR_Data[ [#This Row],[Attrition_Risk_Percentage] ]&gt;= 0.5, "High",tbl_HR_Data[[#This Row],[Attrition_Risk_Percentage]] &gt;= 0.25, "Medium",TRUE, "Low")</f>
        <v>Low</v>
      </c>
      <c r="AR1020" s="16" cm="1">
        <f t="array" ref="AR1020">IFERROR(_xlfn.IFS(tbl_HR_Data[[#This Row],[Risk_Category]]="Critical",tbl_HR_Data[[#This Row],[MonthlyIncome]]*1.5,tbl_HR_Data[[#This Row],[Risk_Category]]="High",tbl_HR_Data[[#This Row],[MonthlyIncome]]*1.5),0)</f>
        <v>0</v>
      </c>
    </row>
    <row r="1021" spans="1:44" x14ac:dyDescent="0.35">
      <c r="A1021" t="s">
        <v>859</v>
      </c>
      <c r="B1021">
        <v>36</v>
      </c>
      <c r="C1021" t="s">
        <v>31</v>
      </c>
      <c r="D1021">
        <v>329</v>
      </c>
      <c r="E1021" t="s">
        <v>32</v>
      </c>
      <c r="F1021">
        <v>16</v>
      </c>
      <c r="G1021">
        <v>4</v>
      </c>
      <c r="H1021" t="s">
        <v>51</v>
      </c>
      <c r="I1021">
        <v>3</v>
      </c>
      <c r="J1021" t="s">
        <v>34</v>
      </c>
      <c r="K1021">
        <v>98</v>
      </c>
      <c r="L1021">
        <v>2</v>
      </c>
      <c r="M1021">
        <v>2</v>
      </c>
      <c r="N1021" t="s">
        <v>35</v>
      </c>
      <c r="O1021">
        <v>1</v>
      </c>
      <c r="P1021" t="s">
        <v>41</v>
      </c>
      <c r="Q1021">
        <v>5647</v>
      </c>
      <c r="R1021">
        <v>13494</v>
      </c>
      <c r="S1021">
        <v>4</v>
      </c>
      <c r="T1021">
        <v>0</v>
      </c>
      <c r="U1021" s="17">
        <v>0.13</v>
      </c>
      <c r="V1021">
        <v>3</v>
      </c>
      <c r="W1021">
        <v>1</v>
      </c>
      <c r="X1021">
        <v>2</v>
      </c>
      <c r="Y1021">
        <v>11</v>
      </c>
      <c r="Z1021">
        <v>3</v>
      </c>
      <c r="AA1021">
        <v>2</v>
      </c>
      <c r="AB1021">
        <v>3</v>
      </c>
      <c r="AC1021">
        <v>2</v>
      </c>
      <c r="AD1021">
        <v>0</v>
      </c>
      <c r="AE1021">
        <v>2</v>
      </c>
      <c r="AF1021">
        <v>0</v>
      </c>
      <c r="AG1021">
        <f>IF(tbl_HR_Data[[#This Row],[Gender]]="Male",1,0)</f>
        <v>0</v>
      </c>
      <c r="AH1021" cm="1">
        <f t="array" ref="AH1021">_xlfn.SWITCH(tbl_HR_Data[[#This Row],[BusinessTravel]], "Non-Travel", 0, "Travel_Rarely", 1, "Travel_Frequently", 2)</f>
        <v>1</v>
      </c>
      <c r="AI1021" cm="1">
        <f t="array" ref="AI1021">_xlfn.SWITCH(tbl_HR_Data[[#This Row],[MaritalStatus]],"Single",0,"Married",1,"Divorced",2)</f>
        <v>1</v>
      </c>
      <c r="AJ1021">
        <f>IF(tbl_HR_Data[[#This Row],[OverTime]]=1,1,0)</f>
        <v>0</v>
      </c>
      <c r="AK1021">
        <f>IF(tbl_HR_Data[[#This Row],[DistanceFromHome]]&gt;15,1,0)</f>
        <v>1</v>
      </c>
      <c r="AL1021">
        <f>IF(tbl_HR_Data[[#This Row],[JobSatisfaction]]&lt;=2,1,0)</f>
        <v>1</v>
      </c>
      <c r="AM1021">
        <f>IF(tbl_HR_Data[[#This Row],[MonthlyIncome]]&lt;$AT$2,1,0)</f>
        <v>0</v>
      </c>
      <c r="AN1021">
        <f>IF(tbl_HR_Data[[#This Row],[Travel_Code]]=2,1,0)</f>
        <v>0</v>
      </c>
      <c r="AO1021">
        <f>(tbl_HR_Data[[#This Row],[Flag_OT]] * Logic_Parameters!$B$2) +
 (tbl_HR_Data[[#This Row],[Flag_Travel]] * Logic_Parameters!$B$3) +
 (tbl_HR_Data[[#This Row],[Flag_Satisfaction]] * Logic_Parameters!$B$4) +
 (tbl_HR_Data[[#This Row],[Flag_Distance]]* Logic_Parameters!$B$5) +
 (tbl_HR_Data[[#This Row],[Flag_Income]] * Logic_Parameters!$B$6)</f>
        <v>7.3706398258535089</v>
      </c>
      <c r="AP1021" s="15">
        <f>tbl_HR_Data[[#This Row],[Risk_Score_Raw]] / SUM(Logic_Parameters!$B$2:$B$6)</f>
        <v>0.25393706576427255</v>
      </c>
      <c r="AQ1021" s="16" t="str" cm="1">
        <f t="array" ref="AQ1021">_xlfn.IFS(tbl_HR_Data[[#This Row],[Attrition_Risk_Percentage]] &gt;= 0.75, "Critical",tbl_HR_Data[ [#This Row],[Attrition_Risk_Percentage] ]&gt;= 0.5, "High",tbl_HR_Data[[#This Row],[Attrition_Risk_Percentage]] &gt;= 0.25, "Medium",TRUE, "Low")</f>
        <v>Medium</v>
      </c>
      <c r="AR1021" s="16" cm="1">
        <f t="array" ref="AR1021">IFERROR(_xlfn.IFS(tbl_HR_Data[[#This Row],[Risk_Category]]="Critical",tbl_HR_Data[[#This Row],[MonthlyIncome]]*1.5,tbl_HR_Data[[#This Row],[Risk_Category]]="High",tbl_HR_Data[[#This Row],[MonthlyIncome]]*1.5),0)</f>
        <v>0</v>
      </c>
    </row>
    <row r="1022" spans="1:44" x14ac:dyDescent="0.35">
      <c r="A1022" t="s">
        <v>401</v>
      </c>
      <c r="B1022">
        <v>47</v>
      </c>
      <c r="C1022" t="s">
        <v>31</v>
      </c>
      <c r="D1022">
        <v>465</v>
      </c>
      <c r="E1022" t="s">
        <v>38</v>
      </c>
      <c r="F1022">
        <v>1</v>
      </c>
      <c r="G1022">
        <v>3</v>
      </c>
      <c r="H1022" t="s">
        <v>52</v>
      </c>
      <c r="I1022">
        <v>1</v>
      </c>
      <c r="J1022" t="s">
        <v>39</v>
      </c>
      <c r="K1022">
        <v>74</v>
      </c>
      <c r="L1022">
        <v>3</v>
      </c>
      <c r="M1022">
        <v>1</v>
      </c>
      <c r="N1022" t="s">
        <v>40</v>
      </c>
      <c r="O1022">
        <v>4</v>
      </c>
      <c r="P1022" t="s">
        <v>41</v>
      </c>
      <c r="Q1022">
        <v>3420</v>
      </c>
      <c r="R1022">
        <v>10205</v>
      </c>
      <c r="S1022">
        <v>7</v>
      </c>
      <c r="T1022">
        <v>0</v>
      </c>
      <c r="U1022" s="17">
        <v>0.12</v>
      </c>
      <c r="V1022">
        <v>3</v>
      </c>
      <c r="W1022">
        <v>3</v>
      </c>
      <c r="X1022">
        <v>1</v>
      </c>
      <c r="Y1022">
        <v>17</v>
      </c>
      <c r="Z1022">
        <v>2</v>
      </c>
      <c r="AA1022">
        <v>2</v>
      </c>
      <c r="AB1022">
        <v>6</v>
      </c>
      <c r="AC1022">
        <v>5</v>
      </c>
      <c r="AD1022">
        <v>1</v>
      </c>
      <c r="AE1022">
        <v>2</v>
      </c>
      <c r="AF1022">
        <v>0</v>
      </c>
      <c r="AG1022">
        <f>IF(tbl_HR_Data[[#This Row],[Gender]]="Male",1,0)</f>
        <v>1</v>
      </c>
      <c r="AH1022" cm="1">
        <f t="array" ref="AH1022">_xlfn.SWITCH(tbl_HR_Data[[#This Row],[BusinessTravel]], "Non-Travel", 0, "Travel_Rarely", 1, "Travel_Frequently", 2)</f>
        <v>1</v>
      </c>
      <c r="AI1022" cm="1">
        <f t="array" ref="AI1022">_xlfn.SWITCH(tbl_HR_Data[[#This Row],[MaritalStatus]],"Single",0,"Married",1,"Divorced",2)</f>
        <v>1</v>
      </c>
      <c r="AJ1022">
        <f>IF(tbl_HR_Data[[#This Row],[OverTime]]=1,1,0)</f>
        <v>0</v>
      </c>
      <c r="AK1022">
        <f>IF(tbl_HR_Data[[#This Row],[DistanceFromHome]]&gt;15,1,0)</f>
        <v>0</v>
      </c>
      <c r="AL1022">
        <f>IF(tbl_HR_Data[[#This Row],[JobSatisfaction]]&lt;=2,1,0)</f>
        <v>0</v>
      </c>
      <c r="AM1022">
        <f>IF(tbl_HR_Data[[#This Row],[MonthlyIncome]]&lt;$AT$2,1,0)</f>
        <v>1</v>
      </c>
      <c r="AN1022">
        <f>IF(tbl_HR_Data[[#This Row],[Travel_Code]]=2,1,0)</f>
        <v>0</v>
      </c>
      <c r="AO1022">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022" s="15">
        <f>tbl_HR_Data[[#This Row],[Risk_Score_Raw]] / SUM(Logic_Parameters!$B$2:$B$6)</f>
        <v>0.22374939857982484</v>
      </c>
      <c r="AQ1022" s="16" t="str" cm="1">
        <f t="array" ref="AQ1022">_xlfn.IFS(tbl_HR_Data[[#This Row],[Attrition_Risk_Percentage]] &gt;= 0.75, "Critical",tbl_HR_Data[ [#This Row],[Attrition_Risk_Percentage] ]&gt;= 0.5, "High",tbl_HR_Data[[#This Row],[Attrition_Risk_Percentage]] &gt;= 0.25, "Medium",TRUE, "Low")</f>
        <v>Low</v>
      </c>
      <c r="AR1022" s="16" cm="1">
        <f t="array" ref="AR1022">IFERROR(_xlfn.IFS(tbl_HR_Data[[#This Row],[Risk_Category]]="Critical",tbl_HR_Data[[#This Row],[MonthlyIncome]]*1.5,tbl_HR_Data[[#This Row],[Risk_Category]]="High",tbl_HR_Data[[#This Row],[MonthlyIncome]]*1.5),0)</f>
        <v>0</v>
      </c>
    </row>
    <row r="1023" spans="1:44" x14ac:dyDescent="0.35">
      <c r="A1023" t="s">
        <v>1029</v>
      </c>
      <c r="B1023">
        <v>25</v>
      </c>
      <c r="C1023" t="s">
        <v>31</v>
      </c>
      <c r="D1023">
        <v>383</v>
      </c>
      <c r="E1023" t="s">
        <v>32</v>
      </c>
      <c r="F1023">
        <v>9</v>
      </c>
      <c r="G1023">
        <v>2</v>
      </c>
      <c r="H1023" t="s">
        <v>33</v>
      </c>
      <c r="I1023">
        <v>1</v>
      </c>
      <c r="J1023" t="s">
        <v>39</v>
      </c>
      <c r="K1023">
        <v>68</v>
      </c>
      <c r="L1023">
        <v>2</v>
      </c>
      <c r="M1023">
        <v>1</v>
      </c>
      <c r="N1023" t="s">
        <v>49</v>
      </c>
      <c r="O1023">
        <v>1</v>
      </c>
      <c r="P1023" t="s">
        <v>41</v>
      </c>
      <c r="Q1023">
        <v>4400</v>
      </c>
      <c r="R1023">
        <v>15182</v>
      </c>
      <c r="S1023">
        <v>3</v>
      </c>
      <c r="T1023">
        <v>0</v>
      </c>
      <c r="U1023" s="17">
        <v>0.12</v>
      </c>
      <c r="V1023">
        <v>3</v>
      </c>
      <c r="W1023">
        <v>1</v>
      </c>
      <c r="X1023">
        <v>0</v>
      </c>
      <c r="Y1023">
        <v>6</v>
      </c>
      <c r="Z1023">
        <v>2</v>
      </c>
      <c r="AA1023">
        <v>3</v>
      </c>
      <c r="AB1023">
        <v>3</v>
      </c>
      <c r="AC1023">
        <v>2</v>
      </c>
      <c r="AD1023">
        <v>2</v>
      </c>
      <c r="AE1023">
        <v>2</v>
      </c>
      <c r="AF1023">
        <v>1</v>
      </c>
      <c r="AG1023">
        <f>IF(tbl_HR_Data[[#This Row],[Gender]]="Male",1,0)</f>
        <v>1</v>
      </c>
      <c r="AH1023" cm="1">
        <f t="array" ref="AH1023">_xlfn.SWITCH(tbl_HR_Data[[#This Row],[BusinessTravel]], "Non-Travel", 0, "Travel_Rarely", 1, "Travel_Frequently", 2)</f>
        <v>1</v>
      </c>
      <c r="AI1023" cm="1">
        <f t="array" ref="AI1023">_xlfn.SWITCH(tbl_HR_Data[[#This Row],[MaritalStatus]],"Single",0,"Married",1,"Divorced",2)</f>
        <v>1</v>
      </c>
      <c r="AJ1023">
        <f>IF(tbl_HR_Data[[#This Row],[OverTime]]=1,1,0)</f>
        <v>0</v>
      </c>
      <c r="AK1023">
        <f>IF(tbl_HR_Data[[#This Row],[DistanceFromHome]]&gt;15,1,0)</f>
        <v>0</v>
      </c>
      <c r="AL1023">
        <f>IF(tbl_HR_Data[[#This Row],[JobSatisfaction]]&lt;=2,1,0)</f>
        <v>1</v>
      </c>
      <c r="AM1023">
        <f>IF(tbl_HR_Data[[#This Row],[MonthlyIncome]]&lt;$AT$2,1,0)</f>
        <v>1</v>
      </c>
      <c r="AN1023">
        <f>IF(tbl_HR_Data[[#This Row],[Travel_Code]]=2,1,0)</f>
        <v>0</v>
      </c>
      <c r="AO1023">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023" s="15">
        <f>tbl_HR_Data[[#This Row],[Risk_Score_Raw]] / SUM(Logic_Parameters!$B$2:$B$6)</f>
        <v>0.3686061316669938</v>
      </c>
      <c r="AQ1023" s="16" t="str" cm="1">
        <f t="array" ref="AQ1023">_xlfn.IFS(tbl_HR_Data[[#This Row],[Attrition_Risk_Percentage]] &gt;= 0.75, "Critical",tbl_HR_Data[ [#This Row],[Attrition_Risk_Percentage] ]&gt;= 0.5, "High",tbl_HR_Data[[#This Row],[Attrition_Risk_Percentage]] &gt;= 0.25, "Medium",TRUE, "Low")</f>
        <v>Medium</v>
      </c>
      <c r="AR1023" s="16" cm="1">
        <f t="array" ref="AR1023">IFERROR(_xlfn.IFS(tbl_HR_Data[[#This Row],[Risk_Category]]="Critical",tbl_HR_Data[[#This Row],[MonthlyIncome]]*1.5,tbl_HR_Data[[#This Row],[Risk_Category]]="High",tbl_HR_Data[[#This Row],[MonthlyIncome]]*1.5),0)</f>
        <v>0</v>
      </c>
    </row>
    <row r="1024" spans="1:44" x14ac:dyDescent="0.35">
      <c r="A1024" t="s">
        <v>269</v>
      </c>
      <c r="B1024">
        <v>37</v>
      </c>
      <c r="C1024" t="s">
        <v>1525</v>
      </c>
      <c r="D1024">
        <v>1413</v>
      </c>
      <c r="E1024" t="s">
        <v>38</v>
      </c>
      <c r="F1024">
        <v>5</v>
      </c>
      <c r="G1024">
        <v>2</v>
      </c>
      <c r="H1024" t="s">
        <v>52</v>
      </c>
      <c r="I1024">
        <v>3</v>
      </c>
      <c r="J1024" t="s">
        <v>39</v>
      </c>
      <c r="K1024">
        <v>84</v>
      </c>
      <c r="L1024">
        <v>4</v>
      </c>
      <c r="M1024">
        <v>1</v>
      </c>
      <c r="N1024" t="s">
        <v>43</v>
      </c>
      <c r="O1024">
        <v>3</v>
      </c>
      <c r="P1024" t="s">
        <v>36</v>
      </c>
      <c r="Q1024">
        <v>3500</v>
      </c>
      <c r="R1024">
        <v>25470</v>
      </c>
      <c r="S1024">
        <v>0</v>
      </c>
      <c r="T1024">
        <v>0</v>
      </c>
      <c r="U1024" s="17">
        <v>0.14000000000000001</v>
      </c>
      <c r="V1024">
        <v>3</v>
      </c>
      <c r="W1024">
        <v>1</v>
      </c>
      <c r="X1024">
        <v>0</v>
      </c>
      <c r="Y1024">
        <v>7</v>
      </c>
      <c r="Z1024">
        <v>2</v>
      </c>
      <c r="AA1024">
        <v>1</v>
      </c>
      <c r="AB1024">
        <v>6</v>
      </c>
      <c r="AC1024">
        <v>5</v>
      </c>
      <c r="AD1024">
        <v>1</v>
      </c>
      <c r="AE1024">
        <v>3</v>
      </c>
      <c r="AF1024">
        <v>0</v>
      </c>
      <c r="AG1024">
        <f>IF(tbl_HR_Data[[#This Row],[Gender]]="Male",1,0)</f>
        <v>1</v>
      </c>
      <c r="AH1024" cm="1">
        <f t="array" ref="AH1024">_xlfn.SWITCH(tbl_HR_Data[[#This Row],[BusinessTravel]], "Non-Travel", 0, "Travel_Rarely", 1, "Travel_Frequently", 2)</f>
        <v>0</v>
      </c>
      <c r="AI1024" cm="1">
        <f t="array" ref="AI1024">_xlfn.SWITCH(tbl_HR_Data[[#This Row],[MaritalStatus]],"Single",0,"Married",1,"Divorced",2)</f>
        <v>0</v>
      </c>
      <c r="AJ1024">
        <f>IF(tbl_HR_Data[[#This Row],[OverTime]]=1,1,0)</f>
        <v>0</v>
      </c>
      <c r="AK1024">
        <f>IF(tbl_HR_Data[[#This Row],[DistanceFromHome]]&gt;15,1,0)</f>
        <v>0</v>
      </c>
      <c r="AL1024">
        <f>IF(tbl_HR_Data[[#This Row],[JobSatisfaction]]&lt;=2,1,0)</f>
        <v>0</v>
      </c>
      <c r="AM1024">
        <f>IF(tbl_HR_Data[[#This Row],[MonthlyIncome]]&lt;$AT$2,1,0)</f>
        <v>1</v>
      </c>
      <c r="AN1024">
        <f>IF(tbl_HR_Data[[#This Row],[Travel_Code]]=2,1,0)</f>
        <v>0</v>
      </c>
      <c r="AO1024">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024" s="15">
        <f>tbl_HR_Data[[#This Row],[Risk_Score_Raw]] / SUM(Logic_Parameters!$B$2:$B$6)</f>
        <v>0.22374939857982484</v>
      </c>
      <c r="AQ1024" s="16" t="str" cm="1">
        <f t="array" ref="AQ1024">_xlfn.IFS(tbl_HR_Data[[#This Row],[Attrition_Risk_Percentage]] &gt;= 0.75, "Critical",tbl_HR_Data[ [#This Row],[Attrition_Risk_Percentage] ]&gt;= 0.5, "High",tbl_HR_Data[[#This Row],[Attrition_Risk_Percentage]] &gt;= 0.25, "Medium",TRUE, "Low")</f>
        <v>Low</v>
      </c>
      <c r="AR1024" s="16" cm="1">
        <f t="array" ref="AR1024">IFERROR(_xlfn.IFS(tbl_HR_Data[[#This Row],[Risk_Category]]="Critical",tbl_HR_Data[[#This Row],[MonthlyIncome]]*1.5,tbl_HR_Data[[#This Row],[Risk_Category]]="High",tbl_HR_Data[[#This Row],[MonthlyIncome]]*1.5),0)</f>
        <v>0</v>
      </c>
    </row>
    <row r="1025" spans="1:44" x14ac:dyDescent="0.35">
      <c r="A1025" t="s">
        <v>910</v>
      </c>
      <c r="B1025">
        <v>56</v>
      </c>
      <c r="C1025" t="s">
        <v>31</v>
      </c>
      <c r="D1025">
        <v>1255</v>
      </c>
      <c r="E1025" t="s">
        <v>38</v>
      </c>
      <c r="F1025">
        <v>1</v>
      </c>
      <c r="G1025">
        <v>2</v>
      </c>
      <c r="H1025" t="s">
        <v>33</v>
      </c>
      <c r="I1025">
        <v>1</v>
      </c>
      <c r="J1025" t="s">
        <v>34</v>
      </c>
      <c r="K1025">
        <v>90</v>
      </c>
      <c r="L1025">
        <v>3</v>
      </c>
      <c r="M1025">
        <v>1</v>
      </c>
      <c r="N1025" t="s">
        <v>40</v>
      </c>
      <c r="O1025">
        <v>1</v>
      </c>
      <c r="P1025" t="s">
        <v>41</v>
      </c>
      <c r="Q1025">
        <v>2066</v>
      </c>
      <c r="R1025">
        <v>10494</v>
      </c>
      <c r="S1025">
        <v>2</v>
      </c>
      <c r="T1025">
        <v>0</v>
      </c>
      <c r="U1025" s="17">
        <v>0.22</v>
      </c>
      <c r="V1025">
        <v>4</v>
      </c>
      <c r="W1025">
        <v>4</v>
      </c>
      <c r="X1025">
        <v>1</v>
      </c>
      <c r="Y1025">
        <v>5</v>
      </c>
      <c r="Z1025">
        <v>3</v>
      </c>
      <c r="AA1025">
        <v>4</v>
      </c>
      <c r="AB1025">
        <v>3</v>
      </c>
      <c r="AC1025">
        <v>2</v>
      </c>
      <c r="AD1025">
        <v>1</v>
      </c>
      <c r="AE1025">
        <v>0</v>
      </c>
      <c r="AF1025">
        <v>0</v>
      </c>
      <c r="AG1025">
        <f>IF(tbl_HR_Data[[#This Row],[Gender]]="Male",1,0)</f>
        <v>0</v>
      </c>
      <c r="AH1025" cm="1">
        <f t="array" ref="AH1025">_xlfn.SWITCH(tbl_HR_Data[[#This Row],[BusinessTravel]], "Non-Travel", 0, "Travel_Rarely", 1, "Travel_Frequently", 2)</f>
        <v>1</v>
      </c>
      <c r="AI1025" cm="1">
        <f t="array" ref="AI1025">_xlfn.SWITCH(tbl_HR_Data[[#This Row],[MaritalStatus]],"Single",0,"Married",1,"Divorced",2)</f>
        <v>1</v>
      </c>
      <c r="AJ1025">
        <f>IF(tbl_HR_Data[[#This Row],[OverTime]]=1,1,0)</f>
        <v>0</v>
      </c>
      <c r="AK1025">
        <f>IF(tbl_HR_Data[[#This Row],[DistanceFromHome]]&gt;15,1,0)</f>
        <v>0</v>
      </c>
      <c r="AL1025">
        <f>IF(tbl_HR_Data[[#This Row],[JobSatisfaction]]&lt;=2,1,0)</f>
        <v>1</v>
      </c>
      <c r="AM1025">
        <f>IF(tbl_HR_Data[[#This Row],[MonthlyIncome]]&lt;$AT$2,1,0)</f>
        <v>1</v>
      </c>
      <c r="AN1025">
        <f>IF(tbl_HR_Data[[#This Row],[Travel_Code]]=2,1,0)</f>
        <v>0</v>
      </c>
      <c r="AO1025">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025" s="15">
        <f>tbl_HR_Data[[#This Row],[Risk_Score_Raw]] / SUM(Logic_Parameters!$B$2:$B$6)</f>
        <v>0.3686061316669938</v>
      </c>
      <c r="AQ1025" s="16" t="str" cm="1">
        <f t="array" ref="AQ1025">_xlfn.IFS(tbl_HR_Data[[#This Row],[Attrition_Risk_Percentage]] &gt;= 0.75, "Critical",tbl_HR_Data[ [#This Row],[Attrition_Risk_Percentage] ]&gt;= 0.5, "High",tbl_HR_Data[[#This Row],[Attrition_Risk_Percentage]] &gt;= 0.25, "Medium",TRUE, "Low")</f>
        <v>Medium</v>
      </c>
      <c r="AR1025" s="16" cm="1">
        <f t="array" ref="AR1025">IFERROR(_xlfn.IFS(tbl_HR_Data[[#This Row],[Risk_Category]]="Critical",tbl_HR_Data[[#This Row],[MonthlyIncome]]*1.5,tbl_HR_Data[[#This Row],[Risk_Category]]="High",tbl_HR_Data[[#This Row],[MonthlyIncome]]*1.5),0)</f>
        <v>0</v>
      </c>
    </row>
    <row r="1026" spans="1:44" x14ac:dyDescent="0.35">
      <c r="A1026" t="s">
        <v>846</v>
      </c>
      <c r="B1026">
        <v>47</v>
      </c>
      <c r="C1026" t="s">
        <v>31</v>
      </c>
      <c r="D1026">
        <v>359</v>
      </c>
      <c r="E1026" t="s">
        <v>38</v>
      </c>
      <c r="F1026">
        <v>2</v>
      </c>
      <c r="G1026">
        <v>4</v>
      </c>
      <c r="H1026" t="s">
        <v>44</v>
      </c>
      <c r="I1026">
        <v>1</v>
      </c>
      <c r="J1026" t="s">
        <v>34</v>
      </c>
      <c r="K1026">
        <v>82</v>
      </c>
      <c r="L1026">
        <v>3</v>
      </c>
      <c r="M1026">
        <v>4</v>
      </c>
      <c r="N1026" t="s">
        <v>50</v>
      </c>
      <c r="O1026">
        <v>3</v>
      </c>
      <c r="P1026" t="s">
        <v>41</v>
      </c>
      <c r="Q1026">
        <v>17169</v>
      </c>
      <c r="R1026">
        <v>26703</v>
      </c>
      <c r="S1026">
        <v>3</v>
      </c>
      <c r="T1026">
        <v>0</v>
      </c>
      <c r="U1026" s="17">
        <v>0.19</v>
      </c>
      <c r="V1026">
        <v>3</v>
      </c>
      <c r="W1026">
        <v>2</v>
      </c>
      <c r="X1026">
        <v>2</v>
      </c>
      <c r="Y1026">
        <v>26</v>
      </c>
      <c r="Z1026">
        <v>2</v>
      </c>
      <c r="AA1026">
        <v>4</v>
      </c>
      <c r="AB1026">
        <v>20</v>
      </c>
      <c r="AC1026">
        <v>17</v>
      </c>
      <c r="AD1026">
        <v>5</v>
      </c>
      <c r="AE1026">
        <v>6</v>
      </c>
      <c r="AF1026">
        <v>0</v>
      </c>
      <c r="AG1026">
        <f>IF(tbl_HR_Data[[#This Row],[Gender]]="Male",1,0)</f>
        <v>0</v>
      </c>
      <c r="AH1026" cm="1">
        <f t="array" ref="AH1026">_xlfn.SWITCH(tbl_HR_Data[[#This Row],[BusinessTravel]], "Non-Travel", 0, "Travel_Rarely", 1, "Travel_Frequently", 2)</f>
        <v>1</v>
      </c>
      <c r="AI1026" cm="1">
        <f t="array" ref="AI1026">_xlfn.SWITCH(tbl_HR_Data[[#This Row],[MaritalStatus]],"Single",0,"Married",1,"Divorced",2)</f>
        <v>1</v>
      </c>
      <c r="AJ1026">
        <f>IF(tbl_HR_Data[[#This Row],[OverTime]]=1,1,0)</f>
        <v>0</v>
      </c>
      <c r="AK1026">
        <f>IF(tbl_HR_Data[[#This Row],[DistanceFromHome]]&gt;15,1,0)</f>
        <v>0</v>
      </c>
      <c r="AL1026">
        <f>IF(tbl_HR_Data[[#This Row],[JobSatisfaction]]&lt;=2,1,0)</f>
        <v>0</v>
      </c>
      <c r="AM1026">
        <f>IF(tbl_HR_Data[[#This Row],[MonthlyIncome]]&lt;$AT$2,1,0)</f>
        <v>0</v>
      </c>
      <c r="AN1026">
        <f>IF(tbl_HR_Data[[#This Row],[Travel_Code]]=2,1,0)</f>
        <v>0</v>
      </c>
      <c r="AO1026">
        <f>(tbl_HR_Data[[#This Row],[Flag_OT]] * Logic_Parameters!$B$2) +
 (tbl_HR_Data[[#This Row],[Flag_Travel]] * Logic_Parameters!$B$3) +
 (tbl_HR_Data[[#This Row],[Flag_Satisfaction]] * Logic_Parameters!$B$4) +
 (tbl_HR_Data[[#This Row],[Flag_Distance]]* Logic_Parameters!$B$5) +
 (tbl_HR_Data[[#This Row],[Flag_Income]] * Logic_Parameters!$B$6)</f>
        <v>0</v>
      </c>
      <c r="AP1026" s="15">
        <f>tbl_HR_Data[[#This Row],[Risk_Score_Raw]] / SUM(Logic_Parameters!$B$2:$B$6)</f>
        <v>0</v>
      </c>
      <c r="AQ1026" s="16" t="str" cm="1">
        <f t="array" ref="AQ1026">_xlfn.IFS(tbl_HR_Data[[#This Row],[Attrition_Risk_Percentage]] &gt;= 0.75, "Critical",tbl_HR_Data[ [#This Row],[Attrition_Risk_Percentage] ]&gt;= 0.5, "High",tbl_HR_Data[[#This Row],[Attrition_Risk_Percentage]] &gt;= 0.25, "Medium",TRUE, "Low")</f>
        <v>Low</v>
      </c>
      <c r="AR1026" s="16" cm="1">
        <f t="array" ref="AR1026">IFERROR(_xlfn.IFS(tbl_HR_Data[[#This Row],[Risk_Category]]="Critical",tbl_HR_Data[[#This Row],[MonthlyIncome]]*1.5,tbl_HR_Data[[#This Row],[Risk_Category]]="High",tbl_HR_Data[[#This Row],[MonthlyIncome]]*1.5),0)</f>
        <v>0</v>
      </c>
    </row>
    <row r="1027" spans="1:44" x14ac:dyDescent="0.35">
      <c r="A1027" t="s">
        <v>658</v>
      </c>
      <c r="B1027">
        <v>24</v>
      </c>
      <c r="C1027" t="s">
        <v>31</v>
      </c>
      <c r="D1027">
        <v>1476</v>
      </c>
      <c r="E1027" t="s">
        <v>32</v>
      </c>
      <c r="F1027">
        <v>4</v>
      </c>
      <c r="G1027">
        <v>1</v>
      </c>
      <c r="H1027" t="s">
        <v>44</v>
      </c>
      <c r="I1027">
        <v>4</v>
      </c>
      <c r="J1027" t="s">
        <v>34</v>
      </c>
      <c r="K1027">
        <v>42</v>
      </c>
      <c r="L1027">
        <v>3</v>
      </c>
      <c r="M1027">
        <v>2</v>
      </c>
      <c r="N1027" t="s">
        <v>35</v>
      </c>
      <c r="O1027">
        <v>3</v>
      </c>
      <c r="P1027" t="s">
        <v>41</v>
      </c>
      <c r="Q1027">
        <v>4162</v>
      </c>
      <c r="R1027">
        <v>15211</v>
      </c>
      <c r="S1027">
        <v>1</v>
      </c>
      <c r="T1027">
        <v>1</v>
      </c>
      <c r="U1027" s="17">
        <v>0.12</v>
      </c>
      <c r="V1027">
        <v>3</v>
      </c>
      <c r="W1027">
        <v>3</v>
      </c>
      <c r="X1027">
        <v>2</v>
      </c>
      <c r="Y1027">
        <v>5</v>
      </c>
      <c r="Z1027">
        <v>3</v>
      </c>
      <c r="AA1027">
        <v>3</v>
      </c>
      <c r="AB1027">
        <v>5</v>
      </c>
      <c r="AC1027">
        <v>4</v>
      </c>
      <c r="AD1027">
        <v>0</v>
      </c>
      <c r="AE1027">
        <v>3</v>
      </c>
      <c r="AF1027">
        <v>0</v>
      </c>
      <c r="AG1027">
        <f>IF(tbl_HR_Data[[#This Row],[Gender]]="Male",1,0)</f>
        <v>0</v>
      </c>
      <c r="AH1027" cm="1">
        <f t="array" ref="AH1027">_xlfn.SWITCH(tbl_HR_Data[[#This Row],[BusinessTravel]], "Non-Travel", 0, "Travel_Rarely", 1, "Travel_Frequently", 2)</f>
        <v>1</v>
      </c>
      <c r="AI1027" cm="1">
        <f t="array" ref="AI1027">_xlfn.SWITCH(tbl_HR_Data[[#This Row],[MaritalStatus]],"Single",0,"Married",1,"Divorced",2)</f>
        <v>1</v>
      </c>
      <c r="AJ1027">
        <f>IF(tbl_HR_Data[[#This Row],[OverTime]]=1,1,0)</f>
        <v>1</v>
      </c>
      <c r="AK1027">
        <f>IF(tbl_HR_Data[[#This Row],[DistanceFromHome]]&gt;15,1,0)</f>
        <v>0</v>
      </c>
      <c r="AL1027">
        <f>IF(tbl_HR_Data[[#This Row],[JobSatisfaction]]&lt;=2,1,0)</f>
        <v>0</v>
      </c>
      <c r="AM1027">
        <f>IF(tbl_HR_Data[[#This Row],[MonthlyIncome]]&lt;$AT$2,1,0)</f>
        <v>1</v>
      </c>
      <c r="AN1027">
        <f>IF(tbl_HR_Data[[#This Row],[Travel_Code]]=2,1,0)</f>
        <v>0</v>
      </c>
      <c r="AO1027">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1027" s="15">
        <f>tbl_HR_Data[[#This Row],[Risk_Score_Raw]] / SUM(Logic_Parameters!$B$2:$B$6)</f>
        <v>0.56827453040563214</v>
      </c>
      <c r="AQ1027" s="16" t="str" cm="1">
        <f t="array" ref="AQ1027">_xlfn.IFS(tbl_HR_Data[[#This Row],[Attrition_Risk_Percentage]] &gt;= 0.75, "Critical",tbl_HR_Data[ [#This Row],[Attrition_Risk_Percentage] ]&gt;= 0.5, "High",tbl_HR_Data[[#This Row],[Attrition_Risk_Percentage]] &gt;= 0.25, "Medium",TRUE, "Low")</f>
        <v>High</v>
      </c>
      <c r="AR1027" s="16" cm="1">
        <f t="array" ref="AR1027">IFERROR(_xlfn.IFS(tbl_HR_Data[[#This Row],[Risk_Category]]="Critical",tbl_HR_Data[[#This Row],[MonthlyIncome]]*1.5,tbl_HR_Data[[#This Row],[Risk_Category]]="High",tbl_HR_Data[[#This Row],[MonthlyIncome]]*1.5),0)</f>
        <v>6243</v>
      </c>
    </row>
    <row r="1028" spans="1:44" x14ac:dyDescent="0.35">
      <c r="A1028" t="s">
        <v>335</v>
      </c>
      <c r="B1028">
        <v>32</v>
      </c>
      <c r="C1028" t="s">
        <v>31</v>
      </c>
      <c r="D1028">
        <v>601</v>
      </c>
      <c r="E1028" t="s">
        <v>32</v>
      </c>
      <c r="F1028">
        <v>7</v>
      </c>
      <c r="G1028">
        <v>5</v>
      </c>
      <c r="H1028" t="s">
        <v>51</v>
      </c>
      <c r="I1028">
        <v>4</v>
      </c>
      <c r="J1028" t="s">
        <v>39</v>
      </c>
      <c r="K1028">
        <v>97</v>
      </c>
      <c r="L1028">
        <v>3</v>
      </c>
      <c r="M1028">
        <v>2</v>
      </c>
      <c r="N1028" t="s">
        <v>35</v>
      </c>
      <c r="O1028">
        <v>4</v>
      </c>
      <c r="P1028" t="s">
        <v>41</v>
      </c>
      <c r="Q1028">
        <v>9204</v>
      </c>
      <c r="R1028">
        <v>23343</v>
      </c>
      <c r="S1028">
        <v>4</v>
      </c>
      <c r="T1028">
        <v>0</v>
      </c>
      <c r="U1028" s="17">
        <v>0.12</v>
      </c>
      <c r="V1028">
        <v>3</v>
      </c>
      <c r="W1028">
        <v>3</v>
      </c>
      <c r="X1028">
        <v>1</v>
      </c>
      <c r="Y1028">
        <v>7</v>
      </c>
      <c r="Z1028">
        <v>3</v>
      </c>
      <c r="AA1028">
        <v>2</v>
      </c>
      <c r="AB1028">
        <v>4</v>
      </c>
      <c r="AC1028">
        <v>3</v>
      </c>
      <c r="AD1028">
        <v>0</v>
      </c>
      <c r="AE1028">
        <v>3</v>
      </c>
      <c r="AF1028">
        <v>0</v>
      </c>
      <c r="AG1028">
        <f>IF(tbl_HR_Data[[#This Row],[Gender]]="Male",1,0)</f>
        <v>1</v>
      </c>
      <c r="AH1028" cm="1">
        <f t="array" ref="AH1028">_xlfn.SWITCH(tbl_HR_Data[[#This Row],[BusinessTravel]], "Non-Travel", 0, "Travel_Rarely", 1, "Travel_Frequently", 2)</f>
        <v>1</v>
      </c>
      <c r="AI1028" cm="1">
        <f t="array" ref="AI1028">_xlfn.SWITCH(tbl_HR_Data[[#This Row],[MaritalStatus]],"Single",0,"Married",1,"Divorced",2)</f>
        <v>1</v>
      </c>
      <c r="AJ1028">
        <f>IF(tbl_HR_Data[[#This Row],[OverTime]]=1,1,0)</f>
        <v>0</v>
      </c>
      <c r="AK1028">
        <f>IF(tbl_HR_Data[[#This Row],[DistanceFromHome]]&gt;15,1,0)</f>
        <v>0</v>
      </c>
      <c r="AL1028">
        <f>IF(tbl_HR_Data[[#This Row],[JobSatisfaction]]&lt;=2,1,0)</f>
        <v>0</v>
      </c>
      <c r="AM1028">
        <f>IF(tbl_HR_Data[[#This Row],[MonthlyIncome]]&lt;$AT$2,1,0)</f>
        <v>0</v>
      </c>
      <c r="AN1028">
        <f>IF(tbl_HR_Data[[#This Row],[Travel_Code]]=2,1,0)</f>
        <v>0</v>
      </c>
      <c r="AO1028">
        <f>(tbl_HR_Data[[#This Row],[Flag_OT]] * Logic_Parameters!$B$2) +
 (tbl_HR_Data[[#This Row],[Flag_Travel]] * Logic_Parameters!$B$3) +
 (tbl_HR_Data[[#This Row],[Flag_Satisfaction]] * Logic_Parameters!$B$4) +
 (tbl_HR_Data[[#This Row],[Flag_Distance]]* Logic_Parameters!$B$5) +
 (tbl_HR_Data[[#This Row],[Flag_Income]] * Logic_Parameters!$B$6)</f>
        <v>0</v>
      </c>
      <c r="AP1028" s="15">
        <f>tbl_HR_Data[[#This Row],[Risk_Score_Raw]] / SUM(Logic_Parameters!$B$2:$B$6)</f>
        <v>0</v>
      </c>
      <c r="AQ1028" s="16" t="str" cm="1">
        <f t="array" ref="AQ1028">_xlfn.IFS(tbl_HR_Data[[#This Row],[Attrition_Risk_Percentage]] &gt;= 0.75, "Critical",tbl_HR_Data[ [#This Row],[Attrition_Risk_Percentage] ]&gt;= 0.5, "High",tbl_HR_Data[[#This Row],[Attrition_Risk_Percentage]] &gt;= 0.25, "Medium",TRUE, "Low")</f>
        <v>Low</v>
      </c>
      <c r="AR1028" s="16" cm="1">
        <f t="array" ref="AR1028">IFERROR(_xlfn.IFS(tbl_HR_Data[[#This Row],[Risk_Category]]="Critical",tbl_HR_Data[[#This Row],[MonthlyIncome]]*1.5,tbl_HR_Data[[#This Row],[Risk_Category]]="High",tbl_HR_Data[[#This Row],[MonthlyIncome]]*1.5),0)</f>
        <v>0</v>
      </c>
    </row>
    <row r="1029" spans="1:44" x14ac:dyDescent="0.35">
      <c r="A1029" t="s">
        <v>280</v>
      </c>
      <c r="B1029">
        <v>34</v>
      </c>
      <c r="C1029" t="s">
        <v>31</v>
      </c>
      <c r="D1029">
        <v>401</v>
      </c>
      <c r="E1029" t="s">
        <v>38</v>
      </c>
      <c r="F1029">
        <v>1</v>
      </c>
      <c r="G1029">
        <v>3</v>
      </c>
      <c r="H1029" t="s">
        <v>33</v>
      </c>
      <c r="I1029">
        <v>4</v>
      </c>
      <c r="J1029" t="s">
        <v>34</v>
      </c>
      <c r="K1029">
        <v>86</v>
      </c>
      <c r="L1029">
        <v>2</v>
      </c>
      <c r="M1029">
        <v>1</v>
      </c>
      <c r="N1029" t="s">
        <v>43</v>
      </c>
      <c r="O1029">
        <v>2</v>
      </c>
      <c r="P1029" t="s">
        <v>41</v>
      </c>
      <c r="Q1029">
        <v>3294</v>
      </c>
      <c r="R1029">
        <v>3708</v>
      </c>
      <c r="S1029">
        <v>5</v>
      </c>
      <c r="T1029">
        <v>0</v>
      </c>
      <c r="U1029" s="17">
        <v>0.17</v>
      </c>
      <c r="V1029">
        <v>3</v>
      </c>
      <c r="W1029">
        <v>1</v>
      </c>
      <c r="X1029">
        <v>1</v>
      </c>
      <c r="Y1029">
        <v>7</v>
      </c>
      <c r="Z1029">
        <v>2</v>
      </c>
      <c r="AA1029">
        <v>2</v>
      </c>
      <c r="AB1029">
        <v>5</v>
      </c>
      <c r="AC1029">
        <v>4</v>
      </c>
      <c r="AD1029">
        <v>0</v>
      </c>
      <c r="AE1029">
        <v>2</v>
      </c>
      <c r="AF1029">
        <v>0</v>
      </c>
      <c r="AG1029">
        <f>IF(tbl_HR_Data[[#This Row],[Gender]]="Male",1,0)</f>
        <v>0</v>
      </c>
      <c r="AH1029" cm="1">
        <f t="array" ref="AH1029">_xlfn.SWITCH(tbl_HR_Data[[#This Row],[BusinessTravel]], "Non-Travel", 0, "Travel_Rarely", 1, "Travel_Frequently", 2)</f>
        <v>1</v>
      </c>
      <c r="AI1029" cm="1">
        <f t="array" ref="AI1029">_xlfn.SWITCH(tbl_HR_Data[[#This Row],[MaritalStatus]],"Single",0,"Married",1,"Divorced",2)</f>
        <v>1</v>
      </c>
      <c r="AJ1029">
        <f>IF(tbl_HR_Data[[#This Row],[OverTime]]=1,1,0)</f>
        <v>0</v>
      </c>
      <c r="AK1029">
        <f>IF(tbl_HR_Data[[#This Row],[DistanceFromHome]]&gt;15,1,0)</f>
        <v>0</v>
      </c>
      <c r="AL1029">
        <f>IF(tbl_HR_Data[[#This Row],[JobSatisfaction]]&lt;=2,1,0)</f>
        <v>1</v>
      </c>
      <c r="AM1029">
        <f>IF(tbl_HR_Data[[#This Row],[MonthlyIncome]]&lt;$AT$2,1,0)</f>
        <v>1</v>
      </c>
      <c r="AN1029">
        <f>IF(tbl_HR_Data[[#This Row],[Travel_Code]]=2,1,0)</f>
        <v>0</v>
      </c>
      <c r="AO1029">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029" s="15">
        <f>tbl_HR_Data[[#This Row],[Risk_Score_Raw]] / SUM(Logic_Parameters!$B$2:$B$6)</f>
        <v>0.3686061316669938</v>
      </c>
      <c r="AQ1029" s="16" t="str" cm="1">
        <f t="array" ref="AQ1029">_xlfn.IFS(tbl_HR_Data[[#This Row],[Attrition_Risk_Percentage]] &gt;= 0.75, "Critical",tbl_HR_Data[ [#This Row],[Attrition_Risk_Percentage] ]&gt;= 0.5, "High",tbl_HR_Data[[#This Row],[Attrition_Risk_Percentage]] &gt;= 0.25, "Medium",TRUE, "Low")</f>
        <v>Medium</v>
      </c>
      <c r="AR1029" s="16" cm="1">
        <f t="array" ref="AR1029">IFERROR(_xlfn.IFS(tbl_HR_Data[[#This Row],[Risk_Category]]="Critical",tbl_HR_Data[[#This Row],[MonthlyIncome]]*1.5,tbl_HR_Data[[#This Row],[Risk_Category]]="High",tbl_HR_Data[[#This Row],[MonthlyIncome]]*1.5),0)</f>
        <v>0</v>
      </c>
    </row>
    <row r="1030" spans="1:44" x14ac:dyDescent="0.35">
      <c r="A1030" t="s">
        <v>314</v>
      </c>
      <c r="B1030">
        <v>41</v>
      </c>
      <c r="C1030" t="s">
        <v>31</v>
      </c>
      <c r="D1030">
        <v>1283</v>
      </c>
      <c r="E1030" t="s">
        <v>38</v>
      </c>
      <c r="F1030">
        <v>5</v>
      </c>
      <c r="G1030">
        <v>5</v>
      </c>
      <c r="H1030" t="s">
        <v>44</v>
      </c>
      <c r="I1030">
        <v>2</v>
      </c>
      <c r="J1030" t="s">
        <v>39</v>
      </c>
      <c r="K1030">
        <v>90</v>
      </c>
      <c r="L1030">
        <v>4</v>
      </c>
      <c r="M1030">
        <v>1</v>
      </c>
      <c r="N1030" t="s">
        <v>40</v>
      </c>
      <c r="O1030">
        <v>3</v>
      </c>
      <c r="P1030" t="s">
        <v>41</v>
      </c>
      <c r="Q1030">
        <v>2127</v>
      </c>
      <c r="R1030">
        <v>5561</v>
      </c>
      <c r="S1030">
        <v>2</v>
      </c>
      <c r="T1030">
        <v>1</v>
      </c>
      <c r="U1030" s="17">
        <v>0.12</v>
      </c>
      <c r="V1030">
        <v>3</v>
      </c>
      <c r="W1030">
        <v>1</v>
      </c>
      <c r="X1030">
        <v>0</v>
      </c>
      <c r="Y1030">
        <v>7</v>
      </c>
      <c r="Z1030">
        <v>5</v>
      </c>
      <c r="AA1030">
        <v>2</v>
      </c>
      <c r="AB1030">
        <v>4</v>
      </c>
      <c r="AC1030">
        <v>2</v>
      </c>
      <c r="AD1030">
        <v>0</v>
      </c>
      <c r="AE1030">
        <v>3</v>
      </c>
      <c r="AF1030">
        <v>0</v>
      </c>
      <c r="AG1030">
        <f>IF(tbl_HR_Data[[#This Row],[Gender]]="Male",1,0)</f>
        <v>1</v>
      </c>
      <c r="AH1030" cm="1">
        <f t="array" ref="AH1030">_xlfn.SWITCH(tbl_HR_Data[[#This Row],[BusinessTravel]], "Non-Travel", 0, "Travel_Rarely", 1, "Travel_Frequently", 2)</f>
        <v>1</v>
      </c>
      <c r="AI1030" cm="1">
        <f t="array" ref="AI1030">_xlfn.SWITCH(tbl_HR_Data[[#This Row],[MaritalStatus]],"Single",0,"Married",1,"Divorced",2)</f>
        <v>1</v>
      </c>
      <c r="AJ1030">
        <f>IF(tbl_HR_Data[[#This Row],[OverTime]]=1,1,0)</f>
        <v>1</v>
      </c>
      <c r="AK1030">
        <f>IF(tbl_HR_Data[[#This Row],[DistanceFromHome]]&gt;15,1,0)</f>
        <v>0</v>
      </c>
      <c r="AL1030">
        <f>IF(tbl_HR_Data[[#This Row],[JobSatisfaction]]&lt;=2,1,0)</f>
        <v>0</v>
      </c>
      <c r="AM1030">
        <f>IF(tbl_HR_Data[[#This Row],[MonthlyIncome]]&lt;$AT$2,1,0)</f>
        <v>1</v>
      </c>
      <c r="AN1030">
        <f>IF(tbl_HR_Data[[#This Row],[Travel_Code]]=2,1,0)</f>
        <v>0</v>
      </c>
      <c r="AO1030">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1030" s="15">
        <f>tbl_HR_Data[[#This Row],[Risk_Score_Raw]] / SUM(Logic_Parameters!$B$2:$B$6)</f>
        <v>0.56827453040563214</v>
      </c>
      <c r="AQ1030" s="16" t="str" cm="1">
        <f t="array" ref="AQ1030">_xlfn.IFS(tbl_HR_Data[[#This Row],[Attrition_Risk_Percentage]] &gt;= 0.75, "Critical",tbl_HR_Data[ [#This Row],[Attrition_Risk_Percentage] ]&gt;= 0.5, "High",tbl_HR_Data[[#This Row],[Attrition_Risk_Percentage]] &gt;= 0.25, "Medium",TRUE, "Low")</f>
        <v>High</v>
      </c>
      <c r="AR1030" s="16" cm="1">
        <f t="array" ref="AR1030">IFERROR(_xlfn.IFS(tbl_HR_Data[[#This Row],[Risk_Category]]="Critical",tbl_HR_Data[[#This Row],[MonthlyIncome]]*1.5,tbl_HR_Data[[#This Row],[Risk_Category]]="High",tbl_HR_Data[[#This Row],[MonthlyIncome]]*1.5),0)</f>
        <v>3190.5</v>
      </c>
    </row>
    <row r="1031" spans="1:44" x14ac:dyDescent="0.35">
      <c r="A1031" t="s">
        <v>445</v>
      </c>
      <c r="B1031">
        <v>40</v>
      </c>
      <c r="C1031" t="s">
        <v>1525</v>
      </c>
      <c r="D1031">
        <v>663</v>
      </c>
      <c r="E1031" t="s">
        <v>38</v>
      </c>
      <c r="F1031">
        <v>9</v>
      </c>
      <c r="G1031">
        <v>4</v>
      </c>
      <c r="H1031" t="s">
        <v>42</v>
      </c>
      <c r="I1031">
        <v>3</v>
      </c>
      <c r="J1031" t="s">
        <v>39</v>
      </c>
      <c r="K1031">
        <v>81</v>
      </c>
      <c r="L1031">
        <v>3</v>
      </c>
      <c r="M1031">
        <v>2</v>
      </c>
      <c r="N1031" t="s">
        <v>43</v>
      </c>
      <c r="O1031">
        <v>3</v>
      </c>
      <c r="P1031" t="s">
        <v>45</v>
      </c>
      <c r="Q1031">
        <v>3975</v>
      </c>
      <c r="R1031">
        <v>23099</v>
      </c>
      <c r="S1031">
        <v>3</v>
      </c>
      <c r="T1031">
        <v>0</v>
      </c>
      <c r="U1031" s="17">
        <v>0.11</v>
      </c>
      <c r="V1031">
        <v>3</v>
      </c>
      <c r="W1031">
        <v>3</v>
      </c>
      <c r="X1031">
        <v>2</v>
      </c>
      <c r="Y1031">
        <v>11</v>
      </c>
      <c r="Z1031">
        <v>2</v>
      </c>
      <c r="AA1031">
        <v>4</v>
      </c>
      <c r="AB1031">
        <v>8</v>
      </c>
      <c r="AC1031">
        <v>7</v>
      </c>
      <c r="AD1031">
        <v>0</v>
      </c>
      <c r="AE1031">
        <v>7</v>
      </c>
      <c r="AF1031">
        <v>0</v>
      </c>
      <c r="AG1031">
        <f>IF(tbl_HR_Data[[#This Row],[Gender]]="Male",1,0)</f>
        <v>1</v>
      </c>
      <c r="AH1031" cm="1">
        <f t="array" ref="AH1031">_xlfn.SWITCH(tbl_HR_Data[[#This Row],[BusinessTravel]], "Non-Travel", 0, "Travel_Rarely", 1, "Travel_Frequently", 2)</f>
        <v>0</v>
      </c>
      <c r="AI1031" cm="1">
        <f t="array" ref="AI1031">_xlfn.SWITCH(tbl_HR_Data[[#This Row],[MaritalStatus]],"Single",0,"Married",1,"Divorced",2)</f>
        <v>2</v>
      </c>
      <c r="AJ1031">
        <f>IF(tbl_HR_Data[[#This Row],[OverTime]]=1,1,0)</f>
        <v>0</v>
      </c>
      <c r="AK1031">
        <f>IF(tbl_HR_Data[[#This Row],[DistanceFromHome]]&gt;15,1,0)</f>
        <v>0</v>
      </c>
      <c r="AL1031">
        <f>IF(tbl_HR_Data[[#This Row],[JobSatisfaction]]&lt;=2,1,0)</f>
        <v>0</v>
      </c>
      <c r="AM1031">
        <f>IF(tbl_HR_Data[[#This Row],[MonthlyIncome]]&lt;$AT$2,1,0)</f>
        <v>1</v>
      </c>
      <c r="AN1031">
        <f>IF(tbl_HR_Data[[#This Row],[Travel_Code]]=2,1,0)</f>
        <v>0</v>
      </c>
      <c r="AO1031">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031" s="15">
        <f>tbl_HR_Data[[#This Row],[Risk_Score_Raw]] / SUM(Logic_Parameters!$B$2:$B$6)</f>
        <v>0.22374939857982484</v>
      </c>
      <c r="AQ1031" s="16" t="str" cm="1">
        <f t="array" ref="AQ1031">_xlfn.IFS(tbl_HR_Data[[#This Row],[Attrition_Risk_Percentage]] &gt;= 0.75, "Critical",tbl_HR_Data[ [#This Row],[Attrition_Risk_Percentage] ]&gt;= 0.5, "High",tbl_HR_Data[[#This Row],[Attrition_Risk_Percentage]] &gt;= 0.25, "Medium",TRUE, "Low")</f>
        <v>Low</v>
      </c>
      <c r="AR1031" s="16" cm="1">
        <f t="array" ref="AR1031">IFERROR(_xlfn.IFS(tbl_HR_Data[[#This Row],[Risk_Category]]="Critical",tbl_HR_Data[[#This Row],[MonthlyIncome]]*1.5,tbl_HR_Data[[#This Row],[Risk_Category]]="High",tbl_HR_Data[[#This Row],[MonthlyIncome]]*1.5),0)</f>
        <v>0</v>
      </c>
    </row>
    <row r="1032" spans="1:44" x14ac:dyDescent="0.35">
      <c r="A1032" t="s">
        <v>1168</v>
      </c>
      <c r="B1032">
        <v>31</v>
      </c>
      <c r="C1032" t="s">
        <v>31</v>
      </c>
      <c r="D1032">
        <v>326</v>
      </c>
      <c r="E1032" t="s">
        <v>32</v>
      </c>
      <c r="F1032">
        <v>8</v>
      </c>
      <c r="G1032">
        <v>2</v>
      </c>
      <c r="H1032" t="s">
        <v>33</v>
      </c>
      <c r="I1032">
        <v>1</v>
      </c>
      <c r="J1032" t="s">
        <v>39</v>
      </c>
      <c r="K1032">
        <v>31</v>
      </c>
      <c r="L1032">
        <v>3</v>
      </c>
      <c r="M1032">
        <v>3</v>
      </c>
      <c r="N1032" t="s">
        <v>35</v>
      </c>
      <c r="O1032">
        <v>4</v>
      </c>
      <c r="P1032" t="s">
        <v>45</v>
      </c>
      <c r="Q1032">
        <v>10793</v>
      </c>
      <c r="R1032">
        <v>8386</v>
      </c>
      <c r="S1032">
        <v>1</v>
      </c>
      <c r="T1032">
        <v>0</v>
      </c>
      <c r="U1032" s="17">
        <v>0.18</v>
      </c>
      <c r="V1032">
        <v>3</v>
      </c>
      <c r="W1032">
        <v>1</v>
      </c>
      <c r="X1032">
        <v>1</v>
      </c>
      <c r="Y1032">
        <v>13</v>
      </c>
      <c r="Z1032">
        <v>5</v>
      </c>
      <c r="AA1032">
        <v>3</v>
      </c>
      <c r="AB1032">
        <v>13</v>
      </c>
      <c r="AC1032">
        <v>7</v>
      </c>
      <c r="AD1032">
        <v>9</v>
      </c>
      <c r="AE1032">
        <v>9</v>
      </c>
      <c r="AF1032">
        <v>0</v>
      </c>
      <c r="AG1032">
        <f>IF(tbl_HR_Data[[#This Row],[Gender]]="Male",1,0)</f>
        <v>1</v>
      </c>
      <c r="AH1032" cm="1">
        <f t="array" ref="AH1032">_xlfn.SWITCH(tbl_HR_Data[[#This Row],[BusinessTravel]], "Non-Travel", 0, "Travel_Rarely", 1, "Travel_Frequently", 2)</f>
        <v>1</v>
      </c>
      <c r="AI1032" cm="1">
        <f t="array" ref="AI1032">_xlfn.SWITCH(tbl_HR_Data[[#This Row],[MaritalStatus]],"Single",0,"Married",1,"Divorced",2)</f>
        <v>2</v>
      </c>
      <c r="AJ1032">
        <f>IF(tbl_HR_Data[[#This Row],[OverTime]]=1,1,0)</f>
        <v>0</v>
      </c>
      <c r="AK1032">
        <f>IF(tbl_HR_Data[[#This Row],[DistanceFromHome]]&gt;15,1,0)</f>
        <v>0</v>
      </c>
      <c r="AL1032">
        <f>IF(tbl_HR_Data[[#This Row],[JobSatisfaction]]&lt;=2,1,0)</f>
        <v>0</v>
      </c>
      <c r="AM1032">
        <f>IF(tbl_HR_Data[[#This Row],[MonthlyIncome]]&lt;$AT$2,1,0)</f>
        <v>0</v>
      </c>
      <c r="AN1032">
        <f>IF(tbl_HR_Data[[#This Row],[Travel_Code]]=2,1,0)</f>
        <v>0</v>
      </c>
      <c r="AO1032">
        <f>(tbl_HR_Data[[#This Row],[Flag_OT]] * Logic_Parameters!$B$2) +
 (tbl_HR_Data[[#This Row],[Flag_Travel]] * Logic_Parameters!$B$3) +
 (tbl_HR_Data[[#This Row],[Flag_Satisfaction]] * Logic_Parameters!$B$4) +
 (tbl_HR_Data[[#This Row],[Flag_Distance]]* Logic_Parameters!$B$5) +
 (tbl_HR_Data[[#This Row],[Flag_Income]] * Logic_Parameters!$B$6)</f>
        <v>0</v>
      </c>
      <c r="AP1032" s="15">
        <f>tbl_HR_Data[[#This Row],[Risk_Score_Raw]] / SUM(Logic_Parameters!$B$2:$B$6)</f>
        <v>0</v>
      </c>
      <c r="AQ1032" s="16" t="str" cm="1">
        <f t="array" ref="AQ1032">_xlfn.IFS(tbl_HR_Data[[#This Row],[Attrition_Risk_Percentage]] &gt;= 0.75, "Critical",tbl_HR_Data[ [#This Row],[Attrition_Risk_Percentage] ]&gt;= 0.5, "High",tbl_HR_Data[[#This Row],[Attrition_Risk_Percentage]] &gt;= 0.25, "Medium",TRUE, "Low")</f>
        <v>Low</v>
      </c>
      <c r="AR1032" s="16" cm="1">
        <f t="array" ref="AR1032">IFERROR(_xlfn.IFS(tbl_HR_Data[[#This Row],[Risk_Category]]="Critical",tbl_HR_Data[[#This Row],[MonthlyIncome]]*1.5,tbl_HR_Data[[#This Row],[Risk_Category]]="High",tbl_HR_Data[[#This Row],[MonthlyIncome]]*1.5),0)</f>
        <v>0</v>
      </c>
    </row>
    <row r="1033" spans="1:44" x14ac:dyDescent="0.35">
      <c r="A1033" t="s">
        <v>991</v>
      </c>
      <c r="B1033">
        <v>46</v>
      </c>
      <c r="C1033" t="s">
        <v>31</v>
      </c>
      <c r="D1033">
        <v>377</v>
      </c>
      <c r="E1033" t="s">
        <v>32</v>
      </c>
      <c r="F1033">
        <v>9</v>
      </c>
      <c r="G1033">
        <v>3</v>
      </c>
      <c r="H1033" t="s">
        <v>51</v>
      </c>
      <c r="I1033">
        <v>1</v>
      </c>
      <c r="J1033" t="s">
        <v>39</v>
      </c>
      <c r="K1033">
        <v>52</v>
      </c>
      <c r="L1033">
        <v>3</v>
      </c>
      <c r="M1033">
        <v>3</v>
      </c>
      <c r="N1033" t="s">
        <v>35</v>
      </c>
      <c r="O1033">
        <v>4</v>
      </c>
      <c r="P1033" t="s">
        <v>45</v>
      </c>
      <c r="Q1033">
        <v>10096</v>
      </c>
      <c r="R1033">
        <v>15986</v>
      </c>
      <c r="S1033">
        <v>4</v>
      </c>
      <c r="T1033">
        <v>0</v>
      </c>
      <c r="U1033" s="17">
        <v>0.11</v>
      </c>
      <c r="V1033">
        <v>3</v>
      </c>
      <c r="W1033">
        <v>1</v>
      </c>
      <c r="X1033">
        <v>1</v>
      </c>
      <c r="Y1033">
        <v>28</v>
      </c>
      <c r="Z1033">
        <v>1</v>
      </c>
      <c r="AA1033">
        <v>4</v>
      </c>
      <c r="AB1033">
        <v>7</v>
      </c>
      <c r="AC1033">
        <v>7</v>
      </c>
      <c r="AD1033">
        <v>4</v>
      </c>
      <c r="AE1033">
        <v>3</v>
      </c>
      <c r="AF1033">
        <v>1</v>
      </c>
      <c r="AG1033">
        <f>IF(tbl_HR_Data[[#This Row],[Gender]]="Male",1,0)</f>
        <v>1</v>
      </c>
      <c r="AH1033" cm="1">
        <f t="array" ref="AH1033">_xlfn.SWITCH(tbl_HR_Data[[#This Row],[BusinessTravel]], "Non-Travel", 0, "Travel_Rarely", 1, "Travel_Frequently", 2)</f>
        <v>1</v>
      </c>
      <c r="AI1033" cm="1">
        <f t="array" ref="AI1033">_xlfn.SWITCH(tbl_HR_Data[[#This Row],[MaritalStatus]],"Single",0,"Married",1,"Divorced",2)</f>
        <v>2</v>
      </c>
      <c r="AJ1033">
        <f>IF(tbl_HR_Data[[#This Row],[OverTime]]=1,1,0)</f>
        <v>0</v>
      </c>
      <c r="AK1033">
        <f>IF(tbl_HR_Data[[#This Row],[DistanceFromHome]]&gt;15,1,0)</f>
        <v>0</v>
      </c>
      <c r="AL1033">
        <f>IF(tbl_HR_Data[[#This Row],[JobSatisfaction]]&lt;=2,1,0)</f>
        <v>0</v>
      </c>
      <c r="AM1033">
        <f>IF(tbl_HR_Data[[#This Row],[MonthlyIncome]]&lt;$AT$2,1,0)</f>
        <v>0</v>
      </c>
      <c r="AN1033">
        <f>IF(tbl_HR_Data[[#This Row],[Travel_Code]]=2,1,0)</f>
        <v>0</v>
      </c>
      <c r="AO1033">
        <f>(tbl_HR_Data[[#This Row],[Flag_OT]] * Logic_Parameters!$B$2) +
 (tbl_HR_Data[[#This Row],[Flag_Travel]] * Logic_Parameters!$B$3) +
 (tbl_HR_Data[[#This Row],[Flag_Satisfaction]] * Logic_Parameters!$B$4) +
 (tbl_HR_Data[[#This Row],[Flag_Distance]]* Logic_Parameters!$B$5) +
 (tbl_HR_Data[[#This Row],[Flag_Income]] * Logic_Parameters!$B$6)</f>
        <v>0</v>
      </c>
      <c r="AP1033" s="15">
        <f>tbl_HR_Data[[#This Row],[Risk_Score_Raw]] / SUM(Logic_Parameters!$B$2:$B$6)</f>
        <v>0</v>
      </c>
      <c r="AQ1033" s="16" t="str" cm="1">
        <f t="array" ref="AQ1033">_xlfn.IFS(tbl_HR_Data[[#This Row],[Attrition_Risk_Percentage]] &gt;= 0.75, "Critical",tbl_HR_Data[ [#This Row],[Attrition_Risk_Percentage] ]&gt;= 0.5, "High",tbl_HR_Data[[#This Row],[Attrition_Risk_Percentage]] &gt;= 0.25, "Medium",TRUE, "Low")</f>
        <v>Low</v>
      </c>
      <c r="AR1033" s="16" cm="1">
        <f t="array" ref="AR1033">IFERROR(_xlfn.IFS(tbl_HR_Data[[#This Row],[Risk_Category]]="Critical",tbl_HR_Data[[#This Row],[MonthlyIncome]]*1.5,tbl_HR_Data[[#This Row],[Risk_Category]]="High",tbl_HR_Data[[#This Row],[MonthlyIncome]]*1.5),0)</f>
        <v>0</v>
      </c>
    </row>
    <row r="1034" spans="1:44" x14ac:dyDescent="0.35">
      <c r="A1034" t="s">
        <v>739</v>
      </c>
      <c r="B1034">
        <v>39</v>
      </c>
      <c r="C1034" t="s">
        <v>1525</v>
      </c>
      <c r="D1034">
        <v>592</v>
      </c>
      <c r="E1034" t="s">
        <v>38</v>
      </c>
      <c r="F1034">
        <v>2</v>
      </c>
      <c r="G1034">
        <v>3</v>
      </c>
      <c r="H1034" t="s">
        <v>33</v>
      </c>
      <c r="I1034">
        <v>1</v>
      </c>
      <c r="J1034" t="s">
        <v>34</v>
      </c>
      <c r="K1034">
        <v>54</v>
      </c>
      <c r="L1034">
        <v>2</v>
      </c>
      <c r="M1034">
        <v>1</v>
      </c>
      <c r="N1034" t="s">
        <v>43</v>
      </c>
      <c r="O1034">
        <v>1</v>
      </c>
      <c r="P1034" t="s">
        <v>36</v>
      </c>
      <c r="Q1034">
        <v>3646</v>
      </c>
      <c r="R1034">
        <v>17181</v>
      </c>
      <c r="S1034">
        <v>2</v>
      </c>
      <c r="T1034">
        <v>1</v>
      </c>
      <c r="U1034" s="17">
        <v>0.23</v>
      </c>
      <c r="V1034">
        <v>4</v>
      </c>
      <c r="W1034">
        <v>2</v>
      </c>
      <c r="X1034">
        <v>0</v>
      </c>
      <c r="Y1034">
        <v>11</v>
      </c>
      <c r="Z1034">
        <v>2</v>
      </c>
      <c r="AA1034">
        <v>4</v>
      </c>
      <c r="AB1034">
        <v>1</v>
      </c>
      <c r="AC1034">
        <v>0</v>
      </c>
      <c r="AD1034">
        <v>0</v>
      </c>
      <c r="AE1034">
        <v>0</v>
      </c>
      <c r="AF1034">
        <v>1</v>
      </c>
      <c r="AG1034">
        <f>IF(tbl_HR_Data[[#This Row],[Gender]]="Male",1,0)</f>
        <v>0</v>
      </c>
      <c r="AH1034" cm="1">
        <f t="array" ref="AH1034">_xlfn.SWITCH(tbl_HR_Data[[#This Row],[BusinessTravel]], "Non-Travel", 0, "Travel_Rarely", 1, "Travel_Frequently", 2)</f>
        <v>0</v>
      </c>
      <c r="AI1034" cm="1">
        <f t="array" ref="AI1034">_xlfn.SWITCH(tbl_HR_Data[[#This Row],[MaritalStatus]],"Single",0,"Married",1,"Divorced",2)</f>
        <v>0</v>
      </c>
      <c r="AJ1034">
        <f>IF(tbl_HR_Data[[#This Row],[OverTime]]=1,1,0)</f>
        <v>1</v>
      </c>
      <c r="AK1034">
        <f>IF(tbl_HR_Data[[#This Row],[DistanceFromHome]]&gt;15,1,0)</f>
        <v>0</v>
      </c>
      <c r="AL1034">
        <f>IF(tbl_HR_Data[[#This Row],[JobSatisfaction]]&lt;=2,1,0)</f>
        <v>1</v>
      </c>
      <c r="AM1034">
        <f>IF(tbl_HR_Data[[#This Row],[MonthlyIncome]]&lt;$AT$2,1,0)</f>
        <v>1</v>
      </c>
      <c r="AN1034">
        <f>IF(tbl_HR_Data[[#This Row],[Travel_Code]]=2,1,0)</f>
        <v>0</v>
      </c>
      <c r="AO1034">
        <f>(tbl_HR_Data[[#This Row],[Flag_OT]] * Logic_Parameters!$B$2) +
 (tbl_HR_Data[[#This Row],[Flag_Travel]] * Logic_Parameters!$B$3) +
 (tbl_HR_Data[[#This Row],[Flag_Satisfaction]] * Logic_Parameters!$B$4) +
 (tbl_HR_Data[[#This Row],[Flag_Distance]]* Logic_Parameters!$B$5) +
 (tbl_HR_Data[[#This Row],[Flag_Income]] * Logic_Parameters!$B$6)</f>
        <v>20.698962067398959</v>
      </c>
      <c r="AP1034" s="15">
        <f>tbl_HR_Data[[#This Row],[Risk_Score_Raw]] / SUM(Logic_Parameters!$B$2:$B$6)</f>
        <v>0.71313126349280109</v>
      </c>
      <c r="AQ1034" s="16" t="str" cm="1">
        <f t="array" ref="AQ1034">_xlfn.IFS(tbl_HR_Data[[#This Row],[Attrition_Risk_Percentage]] &gt;= 0.75, "Critical",tbl_HR_Data[ [#This Row],[Attrition_Risk_Percentage] ]&gt;= 0.5, "High",tbl_HR_Data[[#This Row],[Attrition_Risk_Percentage]] &gt;= 0.25, "Medium",TRUE, "Low")</f>
        <v>High</v>
      </c>
      <c r="AR1034" s="16" cm="1">
        <f t="array" ref="AR1034">IFERROR(_xlfn.IFS(tbl_HR_Data[[#This Row],[Risk_Category]]="Critical",tbl_HR_Data[[#This Row],[MonthlyIncome]]*1.5,tbl_HR_Data[[#This Row],[Risk_Category]]="High",tbl_HR_Data[[#This Row],[MonthlyIncome]]*1.5),0)</f>
        <v>5469</v>
      </c>
    </row>
    <row r="1035" spans="1:44" x14ac:dyDescent="0.35">
      <c r="A1035" t="s">
        <v>221</v>
      </c>
      <c r="B1035">
        <v>31</v>
      </c>
      <c r="C1035" t="s">
        <v>37</v>
      </c>
      <c r="D1035">
        <v>1445</v>
      </c>
      <c r="E1035" t="s">
        <v>38</v>
      </c>
      <c r="F1035">
        <v>1</v>
      </c>
      <c r="G1035">
        <v>5</v>
      </c>
      <c r="H1035" t="s">
        <v>33</v>
      </c>
      <c r="I1035">
        <v>3</v>
      </c>
      <c r="J1035" t="s">
        <v>34</v>
      </c>
      <c r="K1035">
        <v>100</v>
      </c>
      <c r="L1035">
        <v>4</v>
      </c>
      <c r="M1035">
        <v>3</v>
      </c>
      <c r="N1035" t="s">
        <v>46</v>
      </c>
      <c r="O1035">
        <v>2</v>
      </c>
      <c r="P1035" t="s">
        <v>36</v>
      </c>
      <c r="Q1035">
        <v>7446</v>
      </c>
      <c r="R1035">
        <v>8931</v>
      </c>
      <c r="S1035">
        <v>1</v>
      </c>
      <c r="T1035">
        <v>0</v>
      </c>
      <c r="U1035" s="17">
        <v>0.11</v>
      </c>
      <c r="V1035">
        <v>3</v>
      </c>
      <c r="W1035">
        <v>1</v>
      </c>
      <c r="X1035">
        <v>0</v>
      </c>
      <c r="Y1035">
        <v>10</v>
      </c>
      <c r="Z1035">
        <v>2</v>
      </c>
      <c r="AA1035">
        <v>3</v>
      </c>
      <c r="AB1035">
        <v>10</v>
      </c>
      <c r="AC1035">
        <v>8</v>
      </c>
      <c r="AD1035">
        <v>4</v>
      </c>
      <c r="AE1035">
        <v>7</v>
      </c>
      <c r="AF1035">
        <v>1</v>
      </c>
      <c r="AG1035">
        <f>IF(tbl_HR_Data[[#This Row],[Gender]]="Male",1,0)</f>
        <v>0</v>
      </c>
      <c r="AH1035" cm="1">
        <f t="array" ref="AH1035">_xlfn.SWITCH(tbl_HR_Data[[#This Row],[BusinessTravel]], "Non-Travel", 0, "Travel_Rarely", 1, "Travel_Frequently", 2)</f>
        <v>2</v>
      </c>
      <c r="AI1035" cm="1">
        <f t="array" ref="AI1035">_xlfn.SWITCH(tbl_HR_Data[[#This Row],[MaritalStatus]],"Single",0,"Married",1,"Divorced",2)</f>
        <v>0</v>
      </c>
      <c r="AJ1035">
        <f>IF(tbl_HR_Data[[#This Row],[OverTime]]=1,1,0)</f>
        <v>0</v>
      </c>
      <c r="AK1035">
        <f>IF(tbl_HR_Data[[#This Row],[DistanceFromHome]]&gt;15,1,0)</f>
        <v>0</v>
      </c>
      <c r="AL1035">
        <f>IF(tbl_HR_Data[[#This Row],[JobSatisfaction]]&lt;=2,1,0)</f>
        <v>1</v>
      </c>
      <c r="AM1035">
        <f>IF(tbl_HR_Data[[#This Row],[MonthlyIncome]]&lt;$AT$2,1,0)</f>
        <v>0</v>
      </c>
      <c r="AN1035">
        <f>IF(tbl_HR_Data[[#This Row],[Travel_Code]]=2,1,0)</f>
        <v>1</v>
      </c>
      <c r="AO1035">
        <f>(tbl_HR_Data[[#This Row],[Flag_OT]] * Logic_Parameters!$B$2) +
 (tbl_HR_Data[[#This Row],[Flag_Travel]] * Logic_Parameters!$B$3) +
 (tbl_HR_Data[[#This Row],[Flag_Satisfaction]] * Logic_Parameters!$B$4) +
 (tbl_HR_Data[[#This Row],[Flag_Distance]]* Logic_Parameters!$B$5) +
 (tbl_HR_Data[[#This Row],[Flag_Income]] * Logic_Parameters!$B$6)</f>
        <v>9.3649231104683075</v>
      </c>
      <c r="AP1035" s="15">
        <f>tbl_HR_Data[[#This Row],[Risk_Score_Raw]] / SUM(Logic_Parameters!$B$2:$B$6)</f>
        <v>0.32264513691726432</v>
      </c>
      <c r="AQ1035" s="16" t="str" cm="1">
        <f t="array" ref="AQ1035">_xlfn.IFS(tbl_HR_Data[[#This Row],[Attrition_Risk_Percentage]] &gt;= 0.75, "Critical",tbl_HR_Data[ [#This Row],[Attrition_Risk_Percentage] ]&gt;= 0.5, "High",tbl_HR_Data[[#This Row],[Attrition_Risk_Percentage]] &gt;= 0.25, "Medium",TRUE, "Low")</f>
        <v>Medium</v>
      </c>
      <c r="AR1035" s="16" cm="1">
        <f t="array" ref="AR1035">IFERROR(_xlfn.IFS(tbl_HR_Data[[#This Row],[Risk_Category]]="Critical",tbl_HR_Data[[#This Row],[MonthlyIncome]]*1.5,tbl_HR_Data[[#This Row],[Risk_Category]]="High",tbl_HR_Data[[#This Row],[MonthlyIncome]]*1.5),0)</f>
        <v>0</v>
      </c>
    </row>
    <row r="1036" spans="1:44" x14ac:dyDescent="0.35">
      <c r="A1036" t="s">
        <v>429</v>
      </c>
      <c r="B1036">
        <v>45</v>
      </c>
      <c r="C1036" t="s">
        <v>31</v>
      </c>
      <c r="D1036">
        <v>1038</v>
      </c>
      <c r="E1036" t="s">
        <v>38</v>
      </c>
      <c r="F1036">
        <v>20</v>
      </c>
      <c r="G1036">
        <v>3</v>
      </c>
      <c r="H1036" t="s">
        <v>44</v>
      </c>
      <c r="I1036">
        <v>2</v>
      </c>
      <c r="J1036" t="s">
        <v>39</v>
      </c>
      <c r="K1036">
        <v>95</v>
      </c>
      <c r="L1036">
        <v>1</v>
      </c>
      <c r="M1036">
        <v>3</v>
      </c>
      <c r="N1036" t="s">
        <v>47</v>
      </c>
      <c r="O1036">
        <v>1</v>
      </c>
      <c r="P1036" t="s">
        <v>45</v>
      </c>
      <c r="Q1036">
        <v>10851</v>
      </c>
      <c r="R1036">
        <v>19863</v>
      </c>
      <c r="S1036">
        <v>2</v>
      </c>
      <c r="T1036">
        <v>1</v>
      </c>
      <c r="U1036" s="17">
        <v>0.18</v>
      </c>
      <c r="V1036">
        <v>3</v>
      </c>
      <c r="W1036">
        <v>2</v>
      </c>
      <c r="X1036">
        <v>1</v>
      </c>
      <c r="Y1036">
        <v>24</v>
      </c>
      <c r="Z1036">
        <v>2</v>
      </c>
      <c r="AA1036">
        <v>3</v>
      </c>
      <c r="AB1036">
        <v>7</v>
      </c>
      <c r="AC1036">
        <v>7</v>
      </c>
      <c r="AD1036">
        <v>0</v>
      </c>
      <c r="AE1036">
        <v>7</v>
      </c>
      <c r="AF1036">
        <v>0</v>
      </c>
      <c r="AG1036">
        <f>IF(tbl_HR_Data[[#This Row],[Gender]]="Male",1,0)</f>
        <v>1</v>
      </c>
      <c r="AH1036" cm="1">
        <f t="array" ref="AH1036">_xlfn.SWITCH(tbl_HR_Data[[#This Row],[BusinessTravel]], "Non-Travel", 0, "Travel_Rarely", 1, "Travel_Frequently", 2)</f>
        <v>1</v>
      </c>
      <c r="AI1036" cm="1">
        <f t="array" ref="AI1036">_xlfn.SWITCH(tbl_HR_Data[[#This Row],[MaritalStatus]],"Single",0,"Married",1,"Divorced",2)</f>
        <v>2</v>
      </c>
      <c r="AJ1036">
        <f>IF(tbl_HR_Data[[#This Row],[OverTime]]=1,1,0)</f>
        <v>1</v>
      </c>
      <c r="AK1036">
        <f>IF(tbl_HR_Data[[#This Row],[DistanceFromHome]]&gt;15,1,0)</f>
        <v>1</v>
      </c>
      <c r="AL1036">
        <f>IF(tbl_HR_Data[[#This Row],[JobSatisfaction]]&lt;=2,1,0)</f>
        <v>1</v>
      </c>
      <c r="AM1036">
        <f>IF(tbl_HR_Data[[#This Row],[MonthlyIncome]]&lt;$AT$2,1,0)</f>
        <v>0</v>
      </c>
      <c r="AN1036">
        <f>IF(tbl_HR_Data[[#This Row],[Travel_Code]]=2,1,0)</f>
        <v>0</v>
      </c>
      <c r="AO1036">
        <f>(tbl_HR_Data[[#This Row],[Flag_OT]] * Logic_Parameters!$B$2) +
 (tbl_HR_Data[[#This Row],[Flag_Travel]] * Logic_Parameters!$B$3) +
 (tbl_HR_Data[[#This Row],[Flag_Satisfaction]] * Logic_Parameters!$B$4) +
 (tbl_HR_Data[[#This Row],[Flag_Distance]]* Logic_Parameters!$B$5) +
 (tbl_HR_Data[[#This Row],[Flag_Income]] * Logic_Parameters!$B$6)</f>
        <v>17.370639825853509</v>
      </c>
      <c r="AP1036" s="15">
        <f>tbl_HR_Data[[#This Row],[Risk_Score_Raw]] / SUM(Logic_Parameters!$B$2:$B$6)</f>
        <v>0.59846219759007979</v>
      </c>
      <c r="AQ1036" s="16" t="str" cm="1">
        <f t="array" ref="AQ1036">_xlfn.IFS(tbl_HR_Data[[#This Row],[Attrition_Risk_Percentage]] &gt;= 0.75, "Critical",tbl_HR_Data[ [#This Row],[Attrition_Risk_Percentage] ]&gt;= 0.5, "High",tbl_HR_Data[[#This Row],[Attrition_Risk_Percentage]] &gt;= 0.25, "Medium",TRUE, "Low")</f>
        <v>High</v>
      </c>
      <c r="AR1036" s="16" cm="1">
        <f t="array" ref="AR1036">IFERROR(_xlfn.IFS(tbl_HR_Data[[#This Row],[Risk_Category]]="Critical",tbl_HR_Data[[#This Row],[MonthlyIncome]]*1.5,tbl_HR_Data[[#This Row],[Risk_Category]]="High",tbl_HR_Data[[#This Row],[MonthlyIncome]]*1.5),0)</f>
        <v>16276.5</v>
      </c>
    </row>
    <row r="1037" spans="1:44" x14ac:dyDescent="0.35">
      <c r="A1037" t="s">
        <v>1291</v>
      </c>
      <c r="B1037">
        <v>31</v>
      </c>
      <c r="C1037" t="s">
        <v>31</v>
      </c>
      <c r="D1037">
        <v>1398</v>
      </c>
      <c r="E1037" t="s">
        <v>53</v>
      </c>
      <c r="F1037">
        <v>8</v>
      </c>
      <c r="G1037">
        <v>2</v>
      </c>
      <c r="H1037" t="s">
        <v>44</v>
      </c>
      <c r="I1037">
        <v>4</v>
      </c>
      <c r="J1037" t="s">
        <v>34</v>
      </c>
      <c r="K1037">
        <v>96</v>
      </c>
      <c r="L1037">
        <v>4</v>
      </c>
      <c r="M1037">
        <v>1</v>
      </c>
      <c r="N1037" t="s">
        <v>53</v>
      </c>
      <c r="O1037">
        <v>2</v>
      </c>
      <c r="P1037" t="s">
        <v>36</v>
      </c>
      <c r="Q1037">
        <v>2109</v>
      </c>
      <c r="R1037">
        <v>24609</v>
      </c>
      <c r="S1037">
        <v>9</v>
      </c>
      <c r="T1037">
        <v>0</v>
      </c>
      <c r="U1037" s="17">
        <v>0.18</v>
      </c>
      <c r="V1037">
        <v>3</v>
      </c>
      <c r="W1037">
        <v>4</v>
      </c>
      <c r="X1037">
        <v>0</v>
      </c>
      <c r="Y1037">
        <v>8</v>
      </c>
      <c r="Z1037">
        <v>3</v>
      </c>
      <c r="AA1037">
        <v>3</v>
      </c>
      <c r="AB1037">
        <v>3</v>
      </c>
      <c r="AC1037">
        <v>2</v>
      </c>
      <c r="AD1037">
        <v>0</v>
      </c>
      <c r="AE1037">
        <v>2</v>
      </c>
      <c r="AF1037">
        <v>0</v>
      </c>
      <c r="AG1037">
        <f>IF(tbl_HR_Data[[#This Row],[Gender]]="Male",1,0)</f>
        <v>0</v>
      </c>
      <c r="AH1037" cm="1">
        <f t="array" ref="AH1037">_xlfn.SWITCH(tbl_HR_Data[[#This Row],[BusinessTravel]], "Non-Travel", 0, "Travel_Rarely", 1, "Travel_Frequently", 2)</f>
        <v>1</v>
      </c>
      <c r="AI1037" cm="1">
        <f t="array" ref="AI1037">_xlfn.SWITCH(tbl_HR_Data[[#This Row],[MaritalStatus]],"Single",0,"Married",1,"Divorced",2)</f>
        <v>0</v>
      </c>
      <c r="AJ1037">
        <f>IF(tbl_HR_Data[[#This Row],[OverTime]]=1,1,0)</f>
        <v>0</v>
      </c>
      <c r="AK1037">
        <f>IF(tbl_HR_Data[[#This Row],[DistanceFromHome]]&gt;15,1,0)</f>
        <v>0</v>
      </c>
      <c r="AL1037">
        <f>IF(tbl_HR_Data[[#This Row],[JobSatisfaction]]&lt;=2,1,0)</f>
        <v>1</v>
      </c>
      <c r="AM1037">
        <f>IF(tbl_HR_Data[[#This Row],[MonthlyIncome]]&lt;$AT$2,1,0)</f>
        <v>1</v>
      </c>
      <c r="AN1037">
        <f>IF(tbl_HR_Data[[#This Row],[Travel_Code]]=2,1,0)</f>
        <v>0</v>
      </c>
      <c r="AO1037">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037" s="15">
        <f>tbl_HR_Data[[#This Row],[Risk_Score_Raw]] / SUM(Logic_Parameters!$B$2:$B$6)</f>
        <v>0.3686061316669938</v>
      </c>
      <c r="AQ1037" s="16" t="str" cm="1">
        <f t="array" ref="AQ1037">_xlfn.IFS(tbl_HR_Data[[#This Row],[Attrition_Risk_Percentage]] &gt;= 0.75, "Critical",tbl_HR_Data[ [#This Row],[Attrition_Risk_Percentage] ]&gt;= 0.5, "High",tbl_HR_Data[[#This Row],[Attrition_Risk_Percentage]] &gt;= 0.25, "Medium",TRUE, "Low")</f>
        <v>Medium</v>
      </c>
      <c r="AR1037" s="16" cm="1">
        <f t="array" ref="AR1037">IFERROR(_xlfn.IFS(tbl_HR_Data[[#This Row],[Risk_Category]]="Critical",tbl_HR_Data[[#This Row],[MonthlyIncome]]*1.5,tbl_HR_Data[[#This Row],[Risk_Category]]="High",tbl_HR_Data[[#This Row],[MonthlyIncome]]*1.5),0)</f>
        <v>0</v>
      </c>
    </row>
    <row r="1038" spans="1:44" x14ac:dyDescent="0.35">
      <c r="A1038" t="s">
        <v>958</v>
      </c>
      <c r="B1038">
        <v>31</v>
      </c>
      <c r="C1038" t="s">
        <v>37</v>
      </c>
      <c r="D1038">
        <v>523</v>
      </c>
      <c r="E1038" t="s">
        <v>38</v>
      </c>
      <c r="F1038">
        <v>2</v>
      </c>
      <c r="G1038">
        <v>3</v>
      </c>
      <c r="H1038" t="s">
        <v>33</v>
      </c>
      <c r="I1038">
        <v>2</v>
      </c>
      <c r="J1038" t="s">
        <v>39</v>
      </c>
      <c r="K1038">
        <v>94</v>
      </c>
      <c r="L1038">
        <v>3</v>
      </c>
      <c r="M1038">
        <v>1</v>
      </c>
      <c r="N1038" t="s">
        <v>43</v>
      </c>
      <c r="O1038">
        <v>4</v>
      </c>
      <c r="P1038" t="s">
        <v>41</v>
      </c>
      <c r="Q1038">
        <v>3722</v>
      </c>
      <c r="R1038">
        <v>21081</v>
      </c>
      <c r="S1038">
        <v>6</v>
      </c>
      <c r="T1038">
        <v>1</v>
      </c>
      <c r="U1038" s="17">
        <v>0.13</v>
      </c>
      <c r="V1038">
        <v>3</v>
      </c>
      <c r="W1038">
        <v>3</v>
      </c>
      <c r="X1038">
        <v>1</v>
      </c>
      <c r="Y1038">
        <v>7</v>
      </c>
      <c r="Z1038">
        <v>2</v>
      </c>
      <c r="AA1038">
        <v>1</v>
      </c>
      <c r="AB1038">
        <v>2</v>
      </c>
      <c r="AC1038">
        <v>2</v>
      </c>
      <c r="AD1038">
        <v>2</v>
      </c>
      <c r="AE1038">
        <v>2</v>
      </c>
      <c r="AF1038">
        <v>1</v>
      </c>
      <c r="AG1038">
        <f>IF(tbl_HR_Data[[#This Row],[Gender]]="Male",1,0)</f>
        <v>1</v>
      </c>
      <c r="AH1038" cm="1">
        <f t="array" ref="AH1038">_xlfn.SWITCH(tbl_HR_Data[[#This Row],[BusinessTravel]], "Non-Travel", 0, "Travel_Rarely", 1, "Travel_Frequently", 2)</f>
        <v>2</v>
      </c>
      <c r="AI1038" cm="1">
        <f t="array" ref="AI1038">_xlfn.SWITCH(tbl_HR_Data[[#This Row],[MaritalStatus]],"Single",0,"Married",1,"Divorced",2)</f>
        <v>1</v>
      </c>
      <c r="AJ1038">
        <f>IF(tbl_HR_Data[[#This Row],[OverTime]]=1,1,0)</f>
        <v>1</v>
      </c>
      <c r="AK1038">
        <f>IF(tbl_HR_Data[[#This Row],[DistanceFromHome]]&gt;15,1,0)</f>
        <v>0</v>
      </c>
      <c r="AL1038">
        <f>IF(tbl_HR_Data[[#This Row],[JobSatisfaction]]&lt;=2,1,0)</f>
        <v>0</v>
      </c>
      <c r="AM1038">
        <f>IF(tbl_HR_Data[[#This Row],[MonthlyIncome]]&lt;$AT$2,1,0)</f>
        <v>1</v>
      </c>
      <c r="AN1038">
        <f>IF(tbl_HR_Data[[#This Row],[Travel_Code]]=2,1,0)</f>
        <v>1</v>
      </c>
      <c r="AO1038">
        <f>(tbl_HR_Data[[#This Row],[Flag_OT]] * Logic_Parameters!$B$2) +
 (tbl_HR_Data[[#This Row],[Flag_Travel]] * Logic_Parameters!$B$3) +
 (tbl_HR_Data[[#This Row],[Flag_Satisfaction]] * Logic_Parameters!$B$4) +
 (tbl_HR_Data[[#This Row],[Flag_Distance]]* Logic_Parameters!$B$5) +
 (tbl_HR_Data[[#This Row],[Flag_Income]] * Logic_Parameters!$B$6)</f>
        <v>21.654818917911005</v>
      </c>
      <c r="AP1038" s="15">
        <f>tbl_HR_Data[[#This Row],[Risk_Score_Raw]] / SUM(Logic_Parameters!$B$2:$B$6)</f>
        <v>0.74606293423572745</v>
      </c>
      <c r="AQ1038" s="16" t="str" cm="1">
        <f t="array" ref="AQ1038">_xlfn.IFS(tbl_HR_Data[[#This Row],[Attrition_Risk_Percentage]] &gt;= 0.75, "Critical",tbl_HR_Data[ [#This Row],[Attrition_Risk_Percentage] ]&gt;= 0.5, "High",tbl_HR_Data[[#This Row],[Attrition_Risk_Percentage]] &gt;= 0.25, "Medium",TRUE, "Low")</f>
        <v>High</v>
      </c>
      <c r="AR1038" s="16" cm="1">
        <f t="array" ref="AR1038">IFERROR(_xlfn.IFS(tbl_HR_Data[[#This Row],[Risk_Category]]="Critical",tbl_HR_Data[[#This Row],[MonthlyIncome]]*1.5,tbl_HR_Data[[#This Row],[Risk_Category]]="High",tbl_HR_Data[[#This Row],[MonthlyIncome]]*1.5),0)</f>
        <v>5583</v>
      </c>
    </row>
    <row r="1039" spans="1:44" x14ac:dyDescent="0.35">
      <c r="A1039" t="s">
        <v>1196</v>
      </c>
      <c r="B1039">
        <v>45</v>
      </c>
      <c r="C1039" t="s">
        <v>31</v>
      </c>
      <c r="D1039">
        <v>1448</v>
      </c>
      <c r="E1039" t="s">
        <v>38</v>
      </c>
      <c r="F1039">
        <v>29</v>
      </c>
      <c r="G1039">
        <v>3</v>
      </c>
      <c r="H1039" t="s">
        <v>52</v>
      </c>
      <c r="I1039">
        <v>2</v>
      </c>
      <c r="J1039" t="s">
        <v>39</v>
      </c>
      <c r="K1039">
        <v>55</v>
      </c>
      <c r="L1039">
        <v>3</v>
      </c>
      <c r="M1039">
        <v>3</v>
      </c>
      <c r="N1039" t="s">
        <v>46</v>
      </c>
      <c r="O1039">
        <v>4</v>
      </c>
      <c r="P1039" t="s">
        <v>41</v>
      </c>
      <c r="Q1039">
        <v>9380</v>
      </c>
      <c r="R1039">
        <v>14720</v>
      </c>
      <c r="S1039">
        <v>4</v>
      </c>
      <c r="T1039">
        <v>1</v>
      </c>
      <c r="U1039" s="17">
        <v>0.18</v>
      </c>
      <c r="V1039">
        <v>3</v>
      </c>
      <c r="W1039">
        <v>4</v>
      </c>
      <c r="X1039">
        <v>2</v>
      </c>
      <c r="Y1039">
        <v>10</v>
      </c>
      <c r="Z1039">
        <v>4</v>
      </c>
      <c r="AA1039">
        <v>4</v>
      </c>
      <c r="AB1039">
        <v>3</v>
      </c>
      <c r="AC1039">
        <v>1</v>
      </c>
      <c r="AD1039">
        <v>1</v>
      </c>
      <c r="AE1039">
        <v>2</v>
      </c>
      <c r="AF1039">
        <v>0</v>
      </c>
      <c r="AG1039">
        <f>IF(tbl_HR_Data[[#This Row],[Gender]]="Male",1,0)</f>
        <v>1</v>
      </c>
      <c r="AH1039" cm="1">
        <f t="array" ref="AH1039">_xlfn.SWITCH(tbl_HR_Data[[#This Row],[BusinessTravel]], "Non-Travel", 0, "Travel_Rarely", 1, "Travel_Frequently", 2)</f>
        <v>1</v>
      </c>
      <c r="AI1039" cm="1">
        <f t="array" ref="AI1039">_xlfn.SWITCH(tbl_HR_Data[[#This Row],[MaritalStatus]],"Single",0,"Married",1,"Divorced",2)</f>
        <v>1</v>
      </c>
      <c r="AJ1039">
        <f>IF(tbl_HR_Data[[#This Row],[OverTime]]=1,1,0)</f>
        <v>1</v>
      </c>
      <c r="AK1039">
        <f>IF(tbl_HR_Data[[#This Row],[DistanceFromHome]]&gt;15,1,0)</f>
        <v>1</v>
      </c>
      <c r="AL1039">
        <f>IF(tbl_HR_Data[[#This Row],[JobSatisfaction]]&lt;=2,1,0)</f>
        <v>0</v>
      </c>
      <c r="AM1039">
        <f>IF(tbl_HR_Data[[#This Row],[MonthlyIncome]]&lt;$AT$2,1,0)</f>
        <v>0</v>
      </c>
      <c r="AN1039">
        <f>IF(tbl_HR_Data[[#This Row],[Travel_Code]]=2,1,0)</f>
        <v>0</v>
      </c>
      <c r="AO1039">
        <f>(tbl_HR_Data[[#This Row],[Flag_OT]] * Logic_Parameters!$B$2) +
 (tbl_HR_Data[[#This Row],[Flag_Travel]] * Logic_Parameters!$B$3) +
 (tbl_HR_Data[[#This Row],[Flag_Satisfaction]] * Logic_Parameters!$B$4) +
 (tbl_HR_Data[[#This Row],[Flag_Distance]]* Logic_Parameters!$B$5) +
 (tbl_HR_Data[[#This Row],[Flag_Income]] * Logic_Parameters!$B$6)</f>
        <v>13.166106695875378</v>
      </c>
      <c r="AP1039" s="15">
        <f>tbl_HR_Data[[#This Row],[Risk_Score_Raw]] / SUM(Logic_Parameters!$B$2:$B$6)</f>
        <v>0.45360546450291089</v>
      </c>
      <c r="AQ1039" s="16" t="str" cm="1">
        <f t="array" ref="AQ1039">_xlfn.IFS(tbl_HR_Data[[#This Row],[Attrition_Risk_Percentage]] &gt;= 0.75, "Critical",tbl_HR_Data[ [#This Row],[Attrition_Risk_Percentage] ]&gt;= 0.5, "High",tbl_HR_Data[[#This Row],[Attrition_Risk_Percentage]] &gt;= 0.25, "Medium",TRUE, "Low")</f>
        <v>Medium</v>
      </c>
      <c r="AR1039" s="16" cm="1">
        <f t="array" ref="AR1039">IFERROR(_xlfn.IFS(tbl_HR_Data[[#This Row],[Risk_Category]]="Critical",tbl_HR_Data[[#This Row],[MonthlyIncome]]*1.5,tbl_HR_Data[[#This Row],[Risk_Category]]="High",tbl_HR_Data[[#This Row],[MonthlyIncome]]*1.5),0)</f>
        <v>0</v>
      </c>
    </row>
    <row r="1040" spans="1:44" x14ac:dyDescent="0.35">
      <c r="A1040" t="s">
        <v>1300</v>
      </c>
      <c r="B1040">
        <v>48</v>
      </c>
      <c r="C1040" t="s">
        <v>31</v>
      </c>
      <c r="D1040">
        <v>1221</v>
      </c>
      <c r="E1040" t="s">
        <v>32</v>
      </c>
      <c r="F1040">
        <v>7</v>
      </c>
      <c r="G1040">
        <v>3</v>
      </c>
      <c r="H1040" t="s">
        <v>51</v>
      </c>
      <c r="I1040">
        <v>3</v>
      </c>
      <c r="J1040" t="s">
        <v>39</v>
      </c>
      <c r="K1040">
        <v>96</v>
      </c>
      <c r="L1040">
        <v>3</v>
      </c>
      <c r="M1040">
        <v>2</v>
      </c>
      <c r="N1040" t="s">
        <v>35</v>
      </c>
      <c r="O1040">
        <v>1</v>
      </c>
      <c r="P1040" t="s">
        <v>45</v>
      </c>
      <c r="Q1040">
        <v>5486</v>
      </c>
      <c r="R1040">
        <v>24795</v>
      </c>
      <c r="S1040">
        <v>4</v>
      </c>
      <c r="T1040">
        <v>0</v>
      </c>
      <c r="U1040" s="17">
        <v>0.11</v>
      </c>
      <c r="V1040">
        <v>3</v>
      </c>
      <c r="W1040">
        <v>1</v>
      </c>
      <c r="X1040">
        <v>3</v>
      </c>
      <c r="Y1040">
        <v>15</v>
      </c>
      <c r="Z1040">
        <v>3</v>
      </c>
      <c r="AA1040">
        <v>3</v>
      </c>
      <c r="AB1040">
        <v>2</v>
      </c>
      <c r="AC1040">
        <v>2</v>
      </c>
      <c r="AD1040">
        <v>2</v>
      </c>
      <c r="AE1040">
        <v>2</v>
      </c>
      <c r="AF1040">
        <v>0</v>
      </c>
      <c r="AG1040">
        <f>IF(tbl_HR_Data[[#This Row],[Gender]]="Male",1,0)</f>
        <v>1</v>
      </c>
      <c r="AH1040" cm="1">
        <f t="array" ref="AH1040">_xlfn.SWITCH(tbl_HR_Data[[#This Row],[BusinessTravel]], "Non-Travel", 0, "Travel_Rarely", 1, "Travel_Frequently", 2)</f>
        <v>1</v>
      </c>
      <c r="AI1040" cm="1">
        <f t="array" ref="AI1040">_xlfn.SWITCH(tbl_HR_Data[[#This Row],[MaritalStatus]],"Single",0,"Married",1,"Divorced",2)</f>
        <v>2</v>
      </c>
      <c r="AJ1040">
        <f>IF(tbl_HR_Data[[#This Row],[OverTime]]=1,1,0)</f>
        <v>0</v>
      </c>
      <c r="AK1040">
        <f>IF(tbl_HR_Data[[#This Row],[DistanceFromHome]]&gt;15,1,0)</f>
        <v>0</v>
      </c>
      <c r="AL1040">
        <f>IF(tbl_HR_Data[[#This Row],[JobSatisfaction]]&lt;=2,1,0)</f>
        <v>1</v>
      </c>
      <c r="AM1040">
        <f>IF(tbl_HR_Data[[#This Row],[MonthlyIncome]]&lt;$AT$2,1,0)</f>
        <v>0</v>
      </c>
      <c r="AN1040">
        <f>IF(tbl_HR_Data[[#This Row],[Travel_Code]]=2,1,0)</f>
        <v>0</v>
      </c>
      <c r="AO1040">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040" s="15">
        <f>tbl_HR_Data[[#This Row],[Risk_Score_Raw]] / SUM(Logic_Parameters!$B$2:$B$6)</f>
        <v>0.14485673308716898</v>
      </c>
      <c r="AQ1040" s="16" t="str" cm="1">
        <f t="array" ref="AQ1040">_xlfn.IFS(tbl_HR_Data[[#This Row],[Attrition_Risk_Percentage]] &gt;= 0.75, "Critical",tbl_HR_Data[ [#This Row],[Attrition_Risk_Percentage] ]&gt;= 0.5, "High",tbl_HR_Data[[#This Row],[Attrition_Risk_Percentage]] &gt;= 0.25, "Medium",TRUE, "Low")</f>
        <v>Low</v>
      </c>
      <c r="AR1040" s="16" cm="1">
        <f t="array" ref="AR1040">IFERROR(_xlfn.IFS(tbl_HR_Data[[#This Row],[Risk_Category]]="Critical",tbl_HR_Data[[#This Row],[MonthlyIncome]]*1.5,tbl_HR_Data[[#This Row],[Risk_Category]]="High",tbl_HR_Data[[#This Row],[MonthlyIncome]]*1.5),0)</f>
        <v>0</v>
      </c>
    </row>
    <row r="1041" spans="1:44" x14ac:dyDescent="0.35">
      <c r="A1041" t="s">
        <v>1149</v>
      </c>
      <c r="B1041">
        <v>34</v>
      </c>
      <c r="C1041" t="s">
        <v>31</v>
      </c>
      <c r="D1041">
        <v>1107</v>
      </c>
      <c r="E1041" t="s">
        <v>53</v>
      </c>
      <c r="F1041">
        <v>9</v>
      </c>
      <c r="G1041">
        <v>4</v>
      </c>
      <c r="H1041" t="s">
        <v>52</v>
      </c>
      <c r="I1041">
        <v>1</v>
      </c>
      <c r="J1041" t="s">
        <v>34</v>
      </c>
      <c r="K1041">
        <v>52</v>
      </c>
      <c r="L1041">
        <v>3</v>
      </c>
      <c r="M1041">
        <v>1</v>
      </c>
      <c r="N1041" t="s">
        <v>53</v>
      </c>
      <c r="O1041">
        <v>3</v>
      </c>
      <c r="P1041" t="s">
        <v>41</v>
      </c>
      <c r="Q1041">
        <v>2742</v>
      </c>
      <c r="R1041">
        <v>3072</v>
      </c>
      <c r="S1041">
        <v>1</v>
      </c>
      <c r="T1041">
        <v>0</v>
      </c>
      <c r="U1041" s="17">
        <v>0.15</v>
      </c>
      <c r="V1041">
        <v>3</v>
      </c>
      <c r="W1041">
        <v>4</v>
      </c>
      <c r="X1041">
        <v>0</v>
      </c>
      <c r="Y1041">
        <v>2</v>
      </c>
      <c r="Z1041">
        <v>0</v>
      </c>
      <c r="AA1041">
        <v>3</v>
      </c>
      <c r="AB1041">
        <v>2</v>
      </c>
      <c r="AC1041">
        <v>2</v>
      </c>
      <c r="AD1041">
        <v>2</v>
      </c>
      <c r="AE1041">
        <v>2</v>
      </c>
      <c r="AF1041">
        <v>1</v>
      </c>
      <c r="AG1041">
        <f>IF(tbl_HR_Data[[#This Row],[Gender]]="Male",1,0)</f>
        <v>0</v>
      </c>
      <c r="AH1041" cm="1">
        <f t="array" ref="AH1041">_xlfn.SWITCH(tbl_HR_Data[[#This Row],[BusinessTravel]], "Non-Travel", 0, "Travel_Rarely", 1, "Travel_Frequently", 2)</f>
        <v>1</v>
      </c>
      <c r="AI1041" cm="1">
        <f t="array" ref="AI1041">_xlfn.SWITCH(tbl_HR_Data[[#This Row],[MaritalStatus]],"Single",0,"Married",1,"Divorced",2)</f>
        <v>1</v>
      </c>
      <c r="AJ1041">
        <f>IF(tbl_HR_Data[[#This Row],[OverTime]]=1,1,0)</f>
        <v>0</v>
      </c>
      <c r="AK1041">
        <f>IF(tbl_HR_Data[[#This Row],[DistanceFromHome]]&gt;15,1,0)</f>
        <v>0</v>
      </c>
      <c r="AL1041">
        <f>IF(tbl_HR_Data[[#This Row],[JobSatisfaction]]&lt;=2,1,0)</f>
        <v>0</v>
      </c>
      <c r="AM1041">
        <f>IF(tbl_HR_Data[[#This Row],[MonthlyIncome]]&lt;$AT$2,1,0)</f>
        <v>1</v>
      </c>
      <c r="AN1041">
        <f>IF(tbl_HR_Data[[#This Row],[Travel_Code]]=2,1,0)</f>
        <v>0</v>
      </c>
      <c r="AO1041">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041" s="15">
        <f>tbl_HR_Data[[#This Row],[Risk_Score_Raw]] / SUM(Logic_Parameters!$B$2:$B$6)</f>
        <v>0.22374939857982484</v>
      </c>
      <c r="AQ1041" s="16" t="str" cm="1">
        <f t="array" ref="AQ1041">_xlfn.IFS(tbl_HR_Data[[#This Row],[Attrition_Risk_Percentage]] &gt;= 0.75, "Critical",tbl_HR_Data[ [#This Row],[Attrition_Risk_Percentage] ]&gt;= 0.5, "High",tbl_HR_Data[[#This Row],[Attrition_Risk_Percentage]] &gt;= 0.25, "Medium",TRUE, "Low")</f>
        <v>Low</v>
      </c>
      <c r="AR1041" s="16" cm="1">
        <f t="array" ref="AR1041">IFERROR(_xlfn.IFS(tbl_HR_Data[[#This Row],[Risk_Category]]="Critical",tbl_HR_Data[[#This Row],[MonthlyIncome]]*1.5,tbl_HR_Data[[#This Row],[Risk_Category]]="High",tbl_HR_Data[[#This Row],[MonthlyIncome]]*1.5),0)</f>
        <v>0</v>
      </c>
    </row>
    <row r="1042" spans="1:44" x14ac:dyDescent="0.35">
      <c r="A1042" t="s">
        <v>1247</v>
      </c>
      <c r="B1042">
        <v>40</v>
      </c>
      <c r="C1042" t="s">
        <v>1525</v>
      </c>
      <c r="D1042">
        <v>218</v>
      </c>
      <c r="E1042" t="s">
        <v>38</v>
      </c>
      <c r="F1042">
        <v>8</v>
      </c>
      <c r="G1042">
        <v>1</v>
      </c>
      <c r="H1042" t="s">
        <v>44</v>
      </c>
      <c r="I1042">
        <v>4</v>
      </c>
      <c r="J1042" t="s">
        <v>39</v>
      </c>
      <c r="K1042">
        <v>55</v>
      </c>
      <c r="L1042">
        <v>2</v>
      </c>
      <c r="M1042">
        <v>3</v>
      </c>
      <c r="N1042" t="s">
        <v>50</v>
      </c>
      <c r="O1042">
        <v>2</v>
      </c>
      <c r="P1042" t="s">
        <v>45</v>
      </c>
      <c r="Q1042">
        <v>13757</v>
      </c>
      <c r="R1042">
        <v>25178</v>
      </c>
      <c r="S1042">
        <v>2</v>
      </c>
      <c r="T1042">
        <v>0</v>
      </c>
      <c r="U1042" s="17">
        <v>0.11</v>
      </c>
      <c r="V1042">
        <v>3</v>
      </c>
      <c r="W1042">
        <v>3</v>
      </c>
      <c r="X1042">
        <v>1</v>
      </c>
      <c r="Y1042">
        <v>16</v>
      </c>
      <c r="Z1042">
        <v>5</v>
      </c>
      <c r="AA1042">
        <v>3</v>
      </c>
      <c r="AB1042">
        <v>9</v>
      </c>
      <c r="AC1042">
        <v>8</v>
      </c>
      <c r="AD1042">
        <v>4</v>
      </c>
      <c r="AE1042">
        <v>8</v>
      </c>
      <c r="AF1042">
        <v>0</v>
      </c>
      <c r="AG1042">
        <f>IF(tbl_HR_Data[[#This Row],[Gender]]="Male",1,0)</f>
        <v>1</v>
      </c>
      <c r="AH1042" cm="1">
        <f t="array" ref="AH1042">_xlfn.SWITCH(tbl_HR_Data[[#This Row],[BusinessTravel]], "Non-Travel", 0, "Travel_Rarely", 1, "Travel_Frequently", 2)</f>
        <v>0</v>
      </c>
      <c r="AI1042" cm="1">
        <f t="array" ref="AI1042">_xlfn.SWITCH(tbl_HR_Data[[#This Row],[MaritalStatus]],"Single",0,"Married",1,"Divorced",2)</f>
        <v>2</v>
      </c>
      <c r="AJ1042">
        <f>IF(tbl_HR_Data[[#This Row],[OverTime]]=1,1,0)</f>
        <v>0</v>
      </c>
      <c r="AK1042">
        <f>IF(tbl_HR_Data[[#This Row],[DistanceFromHome]]&gt;15,1,0)</f>
        <v>0</v>
      </c>
      <c r="AL1042">
        <f>IF(tbl_HR_Data[[#This Row],[JobSatisfaction]]&lt;=2,1,0)</f>
        <v>1</v>
      </c>
      <c r="AM1042">
        <f>IF(tbl_HR_Data[[#This Row],[MonthlyIncome]]&lt;$AT$2,1,0)</f>
        <v>0</v>
      </c>
      <c r="AN1042">
        <f>IF(tbl_HR_Data[[#This Row],[Travel_Code]]=2,1,0)</f>
        <v>0</v>
      </c>
      <c r="AO1042">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042" s="15">
        <f>tbl_HR_Data[[#This Row],[Risk_Score_Raw]] / SUM(Logic_Parameters!$B$2:$B$6)</f>
        <v>0.14485673308716898</v>
      </c>
      <c r="AQ1042" s="16" t="str" cm="1">
        <f t="array" ref="AQ1042">_xlfn.IFS(tbl_HR_Data[[#This Row],[Attrition_Risk_Percentage]] &gt;= 0.75, "Critical",tbl_HR_Data[ [#This Row],[Attrition_Risk_Percentage] ]&gt;= 0.5, "High",tbl_HR_Data[[#This Row],[Attrition_Risk_Percentage]] &gt;= 0.25, "Medium",TRUE, "Low")</f>
        <v>Low</v>
      </c>
      <c r="AR1042" s="16" cm="1">
        <f t="array" ref="AR1042">IFERROR(_xlfn.IFS(tbl_HR_Data[[#This Row],[Risk_Category]]="Critical",tbl_HR_Data[[#This Row],[MonthlyIncome]]*1.5,tbl_HR_Data[[#This Row],[Risk_Category]]="High",tbl_HR_Data[[#This Row],[MonthlyIncome]]*1.5),0)</f>
        <v>0</v>
      </c>
    </row>
    <row r="1043" spans="1:44" x14ac:dyDescent="0.35">
      <c r="A1043" t="s">
        <v>400</v>
      </c>
      <c r="B1043">
        <v>28</v>
      </c>
      <c r="C1043" t="s">
        <v>31</v>
      </c>
      <c r="D1043">
        <v>866</v>
      </c>
      <c r="E1043" t="s">
        <v>32</v>
      </c>
      <c r="F1043">
        <v>5</v>
      </c>
      <c r="G1043">
        <v>3</v>
      </c>
      <c r="H1043" t="s">
        <v>44</v>
      </c>
      <c r="I1043">
        <v>4</v>
      </c>
      <c r="J1043" t="s">
        <v>39</v>
      </c>
      <c r="K1043">
        <v>84</v>
      </c>
      <c r="L1043">
        <v>3</v>
      </c>
      <c r="M1043">
        <v>2</v>
      </c>
      <c r="N1043" t="s">
        <v>35</v>
      </c>
      <c r="O1043">
        <v>1</v>
      </c>
      <c r="P1043" t="s">
        <v>36</v>
      </c>
      <c r="Q1043">
        <v>8463</v>
      </c>
      <c r="R1043">
        <v>23490</v>
      </c>
      <c r="S1043">
        <v>0</v>
      </c>
      <c r="T1043">
        <v>0</v>
      </c>
      <c r="U1043" s="17">
        <v>0.18</v>
      </c>
      <c r="V1043">
        <v>3</v>
      </c>
      <c r="W1043">
        <v>4</v>
      </c>
      <c r="X1043">
        <v>0</v>
      </c>
      <c r="Y1043">
        <v>6</v>
      </c>
      <c r="Z1043">
        <v>4</v>
      </c>
      <c r="AA1043">
        <v>3</v>
      </c>
      <c r="AB1043">
        <v>5</v>
      </c>
      <c r="AC1043">
        <v>4</v>
      </c>
      <c r="AD1043">
        <v>1</v>
      </c>
      <c r="AE1043">
        <v>3</v>
      </c>
      <c r="AF1043">
        <v>0</v>
      </c>
      <c r="AG1043">
        <f>IF(tbl_HR_Data[[#This Row],[Gender]]="Male",1,0)</f>
        <v>1</v>
      </c>
      <c r="AH1043" cm="1">
        <f t="array" ref="AH1043">_xlfn.SWITCH(tbl_HR_Data[[#This Row],[BusinessTravel]], "Non-Travel", 0, "Travel_Rarely", 1, "Travel_Frequently", 2)</f>
        <v>1</v>
      </c>
      <c r="AI1043" cm="1">
        <f t="array" ref="AI1043">_xlfn.SWITCH(tbl_HR_Data[[#This Row],[MaritalStatus]],"Single",0,"Married",1,"Divorced",2)</f>
        <v>0</v>
      </c>
      <c r="AJ1043">
        <f>IF(tbl_HR_Data[[#This Row],[OverTime]]=1,1,0)</f>
        <v>0</v>
      </c>
      <c r="AK1043">
        <f>IF(tbl_HR_Data[[#This Row],[DistanceFromHome]]&gt;15,1,0)</f>
        <v>0</v>
      </c>
      <c r="AL1043">
        <f>IF(tbl_HR_Data[[#This Row],[JobSatisfaction]]&lt;=2,1,0)</f>
        <v>1</v>
      </c>
      <c r="AM1043">
        <f>IF(tbl_HR_Data[[#This Row],[MonthlyIncome]]&lt;$AT$2,1,0)</f>
        <v>0</v>
      </c>
      <c r="AN1043">
        <f>IF(tbl_HR_Data[[#This Row],[Travel_Code]]=2,1,0)</f>
        <v>0</v>
      </c>
      <c r="AO1043">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043" s="15">
        <f>tbl_HR_Data[[#This Row],[Risk_Score_Raw]] / SUM(Logic_Parameters!$B$2:$B$6)</f>
        <v>0.14485673308716898</v>
      </c>
      <c r="AQ1043" s="16" t="str" cm="1">
        <f t="array" ref="AQ1043">_xlfn.IFS(tbl_HR_Data[[#This Row],[Attrition_Risk_Percentage]] &gt;= 0.75, "Critical",tbl_HR_Data[ [#This Row],[Attrition_Risk_Percentage] ]&gt;= 0.5, "High",tbl_HR_Data[[#This Row],[Attrition_Risk_Percentage]] &gt;= 0.25, "Medium",TRUE, "Low")</f>
        <v>Low</v>
      </c>
      <c r="AR1043" s="16" cm="1">
        <f t="array" ref="AR1043">IFERROR(_xlfn.IFS(tbl_HR_Data[[#This Row],[Risk_Category]]="Critical",tbl_HR_Data[[#This Row],[MonthlyIncome]]*1.5,tbl_HR_Data[[#This Row],[Risk_Category]]="High",tbl_HR_Data[[#This Row],[MonthlyIncome]]*1.5),0)</f>
        <v>0</v>
      </c>
    </row>
    <row r="1044" spans="1:44" x14ac:dyDescent="0.35">
      <c r="A1044" t="s">
        <v>1501</v>
      </c>
      <c r="B1044">
        <v>44</v>
      </c>
      <c r="C1044" t="s">
        <v>1525</v>
      </c>
      <c r="D1044">
        <v>981</v>
      </c>
      <c r="E1044" t="s">
        <v>38</v>
      </c>
      <c r="F1044">
        <v>5</v>
      </c>
      <c r="G1044">
        <v>3</v>
      </c>
      <c r="H1044" t="s">
        <v>33</v>
      </c>
      <c r="I1044">
        <v>3</v>
      </c>
      <c r="J1044" t="s">
        <v>39</v>
      </c>
      <c r="K1044">
        <v>90</v>
      </c>
      <c r="L1044">
        <v>2</v>
      </c>
      <c r="M1044">
        <v>1</v>
      </c>
      <c r="N1044" t="s">
        <v>43</v>
      </c>
      <c r="O1044">
        <v>3</v>
      </c>
      <c r="P1044" t="s">
        <v>36</v>
      </c>
      <c r="Q1044">
        <v>3162</v>
      </c>
      <c r="R1044">
        <v>7973</v>
      </c>
      <c r="S1044">
        <v>3</v>
      </c>
      <c r="T1044">
        <v>0</v>
      </c>
      <c r="U1044" s="17">
        <v>0.14000000000000001</v>
      </c>
      <c r="V1044">
        <v>3</v>
      </c>
      <c r="W1044">
        <v>4</v>
      </c>
      <c r="X1044">
        <v>0</v>
      </c>
      <c r="Y1044">
        <v>7</v>
      </c>
      <c r="Z1044">
        <v>5</v>
      </c>
      <c r="AA1044">
        <v>3</v>
      </c>
      <c r="AB1044">
        <v>5</v>
      </c>
      <c r="AC1044">
        <v>2</v>
      </c>
      <c r="AD1044">
        <v>0</v>
      </c>
      <c r="AE1044">
        <v>3</v>
      </c>
      <c r="AF1044">
        <v>0</v>
      </c>
      <c r="AG1044">
        <f>IF(tbl_HR_Data[[#This Row],[Gender]]="Male",1,0)</f>
        <v>1</v>
      </c>
      <c r="AH1044" cm="1">
        <f t="array" ref="AH1044">_xlfn.SWITCH(tbl_HR_Data[[#This Row],[BusinessTravel]], "Non-Travel", 0, "Travel_Rarely", 1, "Travel_Frequently", 2)</f>
        <v>0</v>
      </c>
      <c r="AI1044" cm="1">
        <f t="array" ref="AI1044">_xlfn.SWITCH(tbl_HR_Data[[#This Row],[MaritalStatus]],"Single",0,"Married",1,"Divorced",2)</f>
        <v>0</v>
      </c>
      <c r="AJ1044">
        <f>IF(tbl_HR_Data[[#This Row],[OverTime]]=1,1,0)</f>
        <v>0</v>
      </c>
      <c r="AK1044">
        <f>IF(tbl_HR_Data[[#This Row],[DistanceFromHome]]&gt;15,1,0)</f>
        <v>0</v>
      </c>
      <c r="AL1044">
        <f>IF(tbl_HR_Data[[#This Row],[JobSatisfaction]]&lt;=2,1,0)</f>
        <v>0</v>
      </c>
      <c r="AM1044">
        <f>IF(tbl_HR_Data[[#This Row],[MonthlyIncome]]&lt;$AT$2,1,0)</f>
        <v>1</v>
      </c>
      <c r="AN1044">
        <f>IF(tbl_HR_Data[[#This Row],[Travel_Code]]=2,1,0)</f>
        <v>0</v>
      </c>
      <c r="AO1044">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044" s="15">
        <f>tbl_HR_Data[[#This Row],[Risk_Score_Raw]] / SUM(Logic_Parameters!$B$2:$B$6)</f>
        <v>0.22374939857982484</v>
      </c>
      <c r="AQ1044" s="16" t="str" cm="1">
        <f t="array" ref="AQ1044">_xlfn.IFS(tbl_HR_Data[[#This Row],[Attrition_Risk_Percentage]] &gt;= 0.75, "Critical",tbl_HR_Data[ [#This Row],[Attrition_Risk_Percentage] ]&gt;= 0.5, "High",tbl_HR_Data[[#This Row],[Attrition_Risk_Percentage]] &gt;= 0.25, "Medium",TRUE, "Low")</f>
        <v>Low</v>
      </c>
      <c r="AR1044" s="16" cm="1">
        <f t="array" ref="AR1044">IFERROR(_xlfn.IFS(tbl_HR_Data[[#This Row],[Risk_Category]]="Critical",tbl_HR_Data[[#This Row],[MonthlyIncome]]*1.5,tbl_HR_Data[[#This Row],[Risk_Category]]="High",tbl_HR_Data[[#This Row],[MonthlyIncome]]*1.5),0)</f>
        <v>0</v>
      </c>
    </row>
    <row r="1045" spans="1:44" x14ac:dyDescent="0.35">
      <c r="A1045" t="s">
        <v>1497</v>
      </c>
      <c r="B1045">
        <v>53</v>
      </c>
      <c r="C1045" t="s">
        <v>31</v>
      </c>
      <c r="D1045">
        <v>447</v>
      </c>
      <c r="E1045" t="s">
        <v>38</v>
      </c>
      <c r="F1045">
        <v>2</v>
      </c>
      <c r="G1045">
        <v>3</v>
      </c>
      <c r="H1045" t="s">
        <v>44</v>
      </c>
      <c r="I1045">
        <v>4</v>
      </c>
      <c r="J1045" t="s">
        <v>39</v>
      </c>
      <c r="K1045">
        <v>39</v>
      </c>
      <c r="L1045">
        <v>4</v>
      </c>
      <c r="M1045">
        <v>4</v>
      </c>
      <c r="N1045" t="s">
        <v>50</v>
      </c>
      <c r="O1045">
        <v>2</v>
      </c>
      <c r="P1045" t="s">
        <v>36</v>
      </c>
      <c r="Q1045">
        <v>16598</v>
      </c>
      <c r="R1045">
        <v>19764</v>
      </c>
      <c r="S1045">
        <v>4</v>
      </c>
      <c r="T1045">
        <v>0</v>
      </c>
      <c r="U1045" s="17">
        <v>0.12</v>
      </c>
      <c r="V1045">
        <v>3</v>
      </c>
      <c r="W1045">
        <v>2</v>
      </c>
      <c r="X1045">
        <v>0</v>
      </c>
      <c r="Y1045">
        <v>35</v>
      </c>
      <c r="Z1045">
        <v>2</v>
      </c>
      <c r="AA1045">
        <v>2</v>
      </c>
      <c r="AB1045">
        <v>9</v>
      </c>
      <c r="AC1045">
        <v>8</v>
      </c>
      <c r="AD1045">
        <v>8</v>
      </c>
      <c r="AE1045">
        <v>8</v>
      </c>
      <c r="AF1045">
        <v>0</v>
      </c>
      <c r="AG1045">
        <f>IF(tbl_HR_Data[[#This Row],[Gender]]="Male",1,0)</f>
        <v>1</v>
      </c>
      <c r="AH1045" cm="1">
        <f t="array" ref="AH1045">_xlfn.SWITCH(tbl_HR_Data[[#This Row],[BusinessTravel]], "Non-Travel", 0, "Travel_Rarely", 1, "Travel_Frequently", 2)</f>
        <v>1</v>
      </c>
      <c r="AI1045" cm="1">
        <f t="array" ref="AI1045">_xlfn.SWITCH(tbl_HR_Data[[#This Row],[MaritalStatus]],"Single",0,"Married",1,"Divorced",2)</f>
        <v>0</v>
      </c>
      <c r="AJ1045">
        <f>IF(tbl_HR_Data[[#This Row],[OverTime]]=1,1,0)</f>
        <v>0</v>
      </c>
      <c r="AK1045">
        <f>IF(tbl_HR_Data[[#This Row],[DistanceFromHome]]&gt;15,1,0)</f>
        <v>0</v>
      </c>
      <c r="AL1045">
        <f>IF(tbl_HR_Data[[#This Row],[JobSatisfaction]]&lt;=2,1,0)</f>
        <v>1</v>
      </c>
      <c r="AM1045">
        <f>IF(tbl_HR_Data[[#This Row],[MonthlyIncome]]&lt;$AT$2,1,0)</f>
        <v>0</v>
      </c>
      <c r="AN1045">
        <f>IF(tbl_HR_Data[[#This Row],[Travel_Code]]=2,1,0)</f>
        <v>0</v>
      </c>
      <c r="AO1045">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045" s="15">
        <f>tbl_HR_Data[[#This Row],[Risk_Score_Raw]] / SUM(Logic_Parameters!$B$2:$B$6)</f>
        <v>0.14485673308716898</v>
      </c>
      <c r="AQ1045" s="16" t="str" cm="1">
        <f t="array" ref="AQ1045">_xlfn.IFS(tbl_HR_Data[[#This Row],[Attrition_Risk_Percentage]] &gt;= 0.75, "Critical",tbl_HR_Data[ [#This Row],[Attrition_Risk_Percentage] ]&gt;= 0.5, "High",tbl_HR_Data[[#This Row],[Attrition_Risk_Percentage]] &gt;= 0.25, "Medium",TRUE, "Low")</f>
        <v>Low</v>
      </c>
      <c r="AR1045" s="16" cm="1">
        <f t="array" ref="AR1045">IFERROR(_xlfn.IFS(tbl_HR_Data[[#This Row],[Risk_Category]]="Critical",tbl_HR_Data[[#This Row],[MonthlyIncome]]*1.5,tbl_HR_Data[[#This Row],[Risk_Category]]="High",tbl_HR_Data[[#This Row],[MonthlyIncome]]*1.5),0)</f>
        <v>0</v>
      </c>
    </row>
    <row r="1046" spans="1:44" x14ac:dyDescent="0.35">
      <c r="A1046" t="s">
        <v>1246</v>
      </c>
      <c r="B1046">
        <v>49</v>
      </c>
      <c r="C1046" t="s">
        <v>31</v>
      </c>
      <c r="D1046">
        <v>1495</v>
      </c>
      <c r="E1046" t="s">
        <v>38</v>
      </c>
      <c r="F1046">
        <v>5</v>
      </c>
      <c r="G1046">
        <v>4</v>
      </c>
      <c r="H1046" t="s">
        <v>52</v>
      </c>
      <c r="I1046">
        <v>1</v>
      </c>
      <c r="J1046" t="s">
        <v>39</v>
      </c>
      <c r="K1046">
        <v>96</v>
      </c>
      <c r="L1046">
        <v>3</v>
      </c>
      <c r="M1046">
        <v>2</v>
      </c>
      <c r="N1046" t="s">
        <v>47</v>
      </c>
      <c r="O1046">
        <v>3</v>
      </c>
      <c r="P1046" t="s">
        <v>41</v>
      </c>
      <c r="Q1046">
        <v>6651</v>
      </c>
      <c r="R1046">
        <v>21534</v>
      </c>
      <c r="S1046">
        <v>2</v>
      </c>
      <c r="T1046">
        <v>0</v>
      </c>
      <c r="U1046" s="17">
        <v>0.14000000000000001</v>
      </c>
      <c r="V1046">
        <v>3</v>
      </c>
      <c r="W1046">
        <v>2</v>
      </c>
      <c r="X1046">
        <v>1</v>
      </c>
      <c r="Y1046">
        <v>20</v>
      </c>
      <c r="Z1046">
        <v>0</v>
      </c>
      <c r="AA1046">
        <v>2</v>
      </c>
      <c r="AB1046">
        <v>3</v>
      </c>
      <c r="AC1046">
        <v>2</v>
      </c>
      <c r="AD1046">
        <v>1</v>
      </c>
      <c r="AE1046">
        <v>2</v>
      </c>
      <c r="AF1046">
        <v>0</v>
      </c>
      <c r="AG1046">
        <f>IF(tbl_HR_Data[[#This Row],[Gender]]="Male",1,0)</f>
        <v>1</v>
      </c>
      <c r="AH1046" cm="1">
        <f t="array" ref="AH1046">_xlfn.SWITCH(tbl_HR_Data[[#This Row],[BusinessTravel]], "Non-Travel", 0, "Travel_Rarely", 1, "Travel_Frequently", 2)</f>
        <v>1</v>
      </c>
      <c r="AI1046" cm="1">
        <f t="array" ref="AI1046">_xlfn.SWITCH(tbl_HR_Data[[#This Row],[MaritalStatus]],"Single",0,"Married",1,"Divorced",2)</f>
        <v>1</v>
      </c>
      <c r="AJ1046">
        <f>IF(tbl_HR_Data[[#This Row],[OverTime]]=1,1,0)</f>
        <v>0</v>
      </c>
      <c r="AK1046">
        <f>IF(tbl_HR_Data[[#This Row],[DistanceFromHome]]&gt;15,1,0)</f>
        <v>0</v>
      </c>
      <c r="AL1046">
        <f>IF(tbl_HR_Data[[#This Row],[JobSatisfaction]]&lt;=2,1,0)</f>
        <v>0</v>
      </c>
      <c r="AM1046">
        <f>IF(tbl_HR_Data[[#This Row],[MonthlyIncome]]&lt;$AT$2,1,0)</f>
        <v>0</v>
      </c>
      <c r="AN1046">
        <f>IF(tbl_HR_Data[[#This Row],[Travel_Code]]=2,1,0)</f>
        <v>0</v>
      </c>
      <c r="AO1046">
        <f>(tbl_HR_Data[[#This Row],[Flag_OT]] * Logic_Parameters!$B$2) +
 (tbl_HR_Data[[#This Row],[Flag_Travel]] * Logic_Parameters!$B$3) +
 (tbl_HR_Data[[#This Row],[Flag_Satisfaction]] * Logic_Parameters!$B$4) +
 (tbl_HR_Data[[#This Row],[Flag_Distance]]* Logic_Parameters!$B$5) +
 (tbl_HR_Data[[#This Row],[Flag_Income]] * Logic_Parameters!$B$6)</f>
        <v>0</v>
      </c>
      <c r="AP1046" s="15">
        <f>tbl_HR_Data[[#This Row],[Risk_Score_Raw]] / SUM(Logic_Parameters!$B$2:$B$6)</f>
        <v>0</v>
      </c>
      <c r="AQ1046" s="16" t="str" cm="1">
        <f t="array" ref="AQ1046">_xlfn.IFS(tbl_HR_Data[[#This Row],[Attrition_Risk_Percentage]] &gt;= 0.75, "Critical",tbl_HR_Data[ [#This Row],[Attrition_Risk_Percentage] ]&gt;= 0.5, "High",tbl_HR_Data[[#This Row],[Attrition_Risk_Percentage]] &gt;= 0.25, "Medium",TRUE, "Low")</f>
        <v>Low</v>
      </c>
      <c r="AR1046" s="16" cm="1">
        <f t="array" ref="AR1046">IFERROR(_xlfn.IFS(tbl_HR_Data[[#This Row],[Risk_Category]]="Critical",tbl_HR_Data[[#This Row],[MonthlyIncome]]*1.5,tbl_HR_Data[[#This Row],[Risk_Category]]="High",tbl_HR_Data[[#This Row],[MonthlyIncome]]*1.5),0)</f>
        <v>0</v>
      </c>
    </row>
    <row r="1047" spans="1:44" x14ac:dyDescent="0.35">
      <c r="A1047" t="s">
        <v>1307</v>
      </c>
      <c r="B1047">
        <v>40</v>
      </c>
      <c r="C1047" t="s">
        <v>31</v>
      </c>
      <c r="D1047">
        <v>896</v>
      </c>
      <c r="E1047" t="s">
        <v>38</v>
      </c>
      <c r="F1047">
        <v>2</v>
      </c>
      <c r="G1047">
        <v>3</v>
      </c>
      <c r="H1047" t="s">
        <v>44</v>
      </c>
      <c r="I1047">
        <v>3</v>
      </c>
      <c r="J1047" t="s">
        <v>39</v>
      </c>
      <c r="K1047">
        <v>68</v>
      </c>
      <c r="L1047">
        <v>3</v>
      </c>
      <c r="M1047">
        <v>1</v>
      </c>
      <c r="N1047" t="s">
        <v>40</v>
      </c>
      <c r="O1047">
        <v>3</v>
      </c>
      <c r="P1047" t="s">
        <v>45</v>
      </c>
      <c r="Q1047">
        <v>2345</v>
      </c>
      <c r="R1047">
        <v>8045</v>
      </c>
      <c r="S1047">
        <v>2</v>
      </c>
      <c r="T1047">
        <v>0</v>
      </c>
      <c r="U1047" s="17">
        <v>0.14000000000000001</v>
      </c>
      <c r="V1047">
        <v>3</v>
      </c>
      <c r="W1047">
        <v>3</v>
      </c>
      <c r="X1047">
        <v>1</v>
      </c>
      <c r="Y1047">
        <v>8</v>
      </c>
      <c r="Z1047">
        <v>3</v>
      </c>
      <c r="AA1047">
        <v>4</v>
      </c>
      <c r="AB1047">
        <v>3</v>
      </c>
      <c r="AC1047">
        <v>1</v>
      </c>
      <c r="AD1047">
        <v>1</v>
      </c>
      <c r="AE1047">
        <v>2</v>
      </c>
      <c r="AF1047">
        <v>0</v>
      </c>
      <c r="AG1047">
        <f>IF(tbl_HR_Data[[#This Row],[Gender]]="Male",1,0)</f>
        <v>1</v>
      </c>
      <c r="AH1047" cm="1">
        <f t="array" ref="AH1047">_xlfn.SWITCH(tbl_HR_Data[[#This Row],[BusinessTravel]], "Non-Travel", 0, "Travel_Rarely", 1, "Travel_Frequently", 2)</f>
        <v>1</v>
      </c>
      <c r="AI1047" cm="1">
        <f t="array" ref="AI1047">_xlfn.SWITCH(tbl_HR_Data[[#This Row],[MaritalStatus]],"Single",0,"Married",1,"Divorced",2)</f>
        <v>2</v>
      </c>
      <c r="AJ1047">
        <f>IF(tbl_HR_Data[[#This Row],[OverTime]]=1,1,0)</f>
        <v>0</v>
      </c>
      <c r="AK1047">
        <f>IF(tbl_HR_Data[[#This Row],[DistanceFromHome]]&gt;15,1,0)</f>
        <v>0</v>
      </c>
      <c r="AL1047">
        <f>IF(tbl_HR_Data[[#This Row],[JobSatisfaction]]&lt;=2,1,0)</f>
        <v>0</v>
      </c>
      <c r="AM1047">
        <f>IF(tbl_HR_Data[[#This Row],[MonthlyIncome]]&lt;$AT$2,1,0)</f>
        <v>1</v>
      </c>
      <c r="AN1047">
        <f>IF(tbl_HR_Data[[#This Row],[Travel_Code]]=2,1,0)</f>
        <v>0</v>
      </c>
      <c r="AO1047">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047" s="15">
        <f>tbl_HR_Data[[#This Row],[Risk_Score_Raw]] / SUM(Logic_Parameters!$B$2:$B$6)</f>
        <v>0.22374939857982484</v>
      </c>
      <c r="AQ1047" s="16" t="str" cm="1">
        <f t="array" ref="AQ1047">_xlfn.IFS(tbl_HR_Data[[#This Row],[Attrition_Risk_Percentage]] &gt;= 0.75, "Critical",tbl_HR_Data[ [#This Row],[Attrition_Risk_Percentage] ]&gt;= 0.5, "High",tbl_HR_Data[[#This Row],[Attrition_Risk_Percentage]] &gt;= 0.25, "Medium",TRUE, "Low")</f>
        <v>Low</v>
      </c>
      <c r="AR1047" s="16" cm="1">
        <f t="array" ref="AR1047">IFERROR(_xlfn.IFS(tbl_HR_Data[[#This Row],[Risk_Category]]="Critical",tbl_HR_Data[[#This Row],[MonthlyIncome]]*1.5,tbl_HR_Data[[#This Row],[Risk_Category]]="High",tbl_HR_Data[[#This Row],[MonthlyIncome]]*1.5),0)</f>
        <v>0</v>
      </c>
    </row>
    <row r="1048" spans="1:44" x14ac:dyDescent="0.35">
      <c r="A1048" t="s">
        <v>591</v>
      </c>
      <c r="B1048">
        <v>44</v>
      </c>
      <c r="C1048" t="s">
        <v>31</v>
      </c>
      <c r="D1048">
        <v>1467</v>
      </c>
      <c r="E1048" t="s">
        <v>38</v>
      </c>
      <c r="F1048">
        <v>20</v>
      </c>
      <c r="G1048">
        <v>3</v>
      </c>
      <c r="H1048" t="s">
        <v>33</v>
      </c>
      <c r="I1048">
        <v>4</v>
      </c>
      <c r="J1048" t="s">
        <v>39</v>
      </c>
      <c r="K1048">
        <v>49</v>
      </c>
      <c r="L1048">
        <v>3</v>
      </c>
      <c r="M1048">
        <v>1</v>
      </c>
      <c r="N1048" t="s">
        <v>40</v>
      </c>
      <c r="O1048">
        <v>2</v>
      </c>
      <c r="P1048" t="s">
        <v>36</v>
      </c>
      <c r="Q1048">
        <v>3420</v>
      </c>
      <c r="R1048">
        <v>21158</v>
      </c>
      <c r="S1048">
        <v>1</v>
      </c>
      <c r="T1048">
        <v>0</v>
      </c>
      <c r="U1048" s="17">
        <v>0.13</v>
      </c>
      <c r="V1048">
        <v>3</v>
      </c>
      <c r="W1048">
        <v>3</v>
      </c>
      <c r="X1048">
        <v>0</v>
      </c>
      <c r="Y1048">
        <v>6</v>
      </c>
      <c r="Z1048">
        <v>3</v>
      </c>
      <c r="AA1048">
        <v>2</v>
      </c>
      <c r="AB1048">
        <v>5</v>
      </c>
      <c r="AC1048">
        <v>2</v>
      </c>
      <c r="AD1048">
        <v>1</v>
      </c>
      <c r="AE1048">
        <v>3</v>
      </c>
      <c r="AF1048">
        <v>0</v>
      </c>
      <c r="AG1048">
        <f>IF(tbl_HR_Data[[#This Row],[Gender]]="Male",1,0)</f>
        <v>1</v>
      </c>
      <c r="AH1048" cm="1">
        <f t="array" ref="AH1048">_xlfn.SWITCH(tbl_HR_Data[[#This Row],[BusinessTravel]], "Non-Travel", 0, "Travel_Rarely", 1, "Travel_Frequently", 2)</f>
        <v>1</v>
      </c>
      <c r="AI1048" cm="1">
        <f t="array" ref="AI1048">_xlfn.SWITCH(tbl_HR_Data[[#This Row],[MaritalStatus]],"Single",0,"Married",1,"Divorced",2)</f>
        <v>0</v>
      </c>
      <c r="AJ1048">
        <f>IF(tbl_HR_Data[[#This Row],[OverTime]]=1,1,0)</f>
        <v>0</v>
      </c>
      <c r="AK1048">
        <f>IF(tbl_HR_Data[[#This Row],[DistanceFromHome]]&gt;15,1,0)</f>
        <v>1</v>
      </c>
      <c r="AL1048">
        <f>IF(tbl_HR_Data[[#This Row],[JobSatisfaction]]&lt;=2,1,0)</f>
        <v>1</v>
      </c>
      <c r="AM1048">
        <f>IF(tbl_HR_Data[[#This Row],[MonthlyIncome]]&lt;$AT$2,1,0)</f>
        <v>1</v>
      </c>
      <c r="AN1048">
        <f>IF(tbl_HR_Data[[#This Row],[Travel_Code]]=2,1,0)</f>
        <v>0</v>
      </c>
      <c r="AO1048">
        <f>(tbl_HR_Data[[#This Row],[Flag_OT]] * Logic_Parameters!$B$2) +
 (tbl_HR_Data[[#This Row],[Flag_Travel]] * Logic_Parameters!$B$3) +
 (tbl_HR_Data[[#This Row],[Flag_Satisfaction]] * Logic_Parameters!$B$4) +
 (tbl_HR_Data[[#This Row],[Flag_Distance]]* Logic_Parameters!$B$5) +
 (tbl_HR_Data[[#This Row],[Flag_Income]] * Logic_Parameters!$B$6)</f>
        <v>13.865068763274337</v>
      </c>
      <c r="AP1048" s="15">
        <f>tbl_HR_Data[[#This Row],[Risk_Score_Raw]] / SUM(Logic_Parameters!$B$2:$B$6)</f>
        <v>0.47768646434409739</v>
      </c>
      <c r="AQ1048" s="16" t="str" cm="1">
        <f t="array" ref="AQ1048">_xlfn.IFS(tbl_HR_Data[[#This Row],[Attrition_Risk_Percentage]] &gt;= 0.75, "Critical",tbl_HR_Data[ [#This Row],[Attrition_Risk_Percentage] ]&gt;= 0.5, "High",tbl_HR_Data[[#This Row],[Attrition_Risk_Percentage]] &gt;= 0.25, "Medium",TRUE, "Low")</f>
        <v>Medium</v>
      </c>
      <c r="AR1048" s="16" cm="1">
        <f t="array" ref="AR1048">IFERROR(_xlfn.IFS(tbl_HR_Data[[#This Row],[Risk_Category]]="Critical",tbl_HR_Data[[#This Row],[MonthlyIncome]]*1.5,tbl_HR_Data[[#This Row],[Risk_Category]]="High",tbl_HR_Data[[#This Row],[MonthlyIncome]]*1.5),0)</f>
        <v>0</v>
      </c>
    </row>
    <row r="1049" spans="1:44" x14ac:dyDescent="0.35">
      <c r="A1049" t="s">
        <v>698</v>
      </c>
      <c r="B1049">
        <v>33</v>
      </c>
      <c r="C1049" t="s">
        <v>37</v>
      </c>
      <c r="D1049">
        <v>430</v>
      </c>
      <c r="E1049" t="s">
        <v>32</v>
      </c>
      <c r="F1049">
        <v>7</v>
      </c>
      <c r="G1049">
        <v>3</v>
      </c>
      <c r="H1049" t="s">
        <v>44</v>
      </c>
      <c r="I1049">
        <v>4</v>
      </c>
      <c r="J1049" t="s">
        <v>39</v>
      </c>
      <c r="K1049">
        <v>54</v>
      </c>
      <c r="L1049">
        <v>3</v>
      </c>
      <c r="M1049">
        <v>2</v>
      </c>
      <c r="N1049" t="s">
        <v>35</v>
      </c>
      <c r="O1049">
        <v>1</v>
      </c>
      <c r="P1049" t="s">
        <v>41</v>
      </c>
      <c r="Q1049">
        <v>4373</v>
      </c>
      <c r="R1049">
        <v>17456</v>
      </c>
      <c r="S1049">
        <v>0</v>
      </c>
      <c r="T1049">
        <v>0</v>
      </c>
      <c r="U1049" s="17">
        <v>0.14000000000000001</v>
      </c>
      <c r="V1049">
        <v>3</v>
      </c>
      <c r="W1049">
        <v>1</v>
      </c>
      <c r="X1049">
        <v>2</v>
      </c>
      <c r="Y1049">
        <v>5</v>
      </c>
      <c r="Z1049">
        <v>2</v>
      </c>
      <c r="AA1049">
        <v>3</v>
      </c>
      <c r="AB1049">
        <v>4</v>
      </c>
      <c r="AC1049">
        <v>3</v>
      </c>
      <c r="AD1049">
        <v>0</v>
      </c>
      <c r="AE1049">
        <v>3</v>
      </c>
      <c r="AF1049">
        <v>0</v>
      </c>
      <c r="AG1049">
        <f>IF(tbl_HR_Data[[#This Row],[Gender]]="Male",1,0)</f>
        <v>1</v>
      </c>
      <c r="AH1049" cm="1">
        <f t="array" ref="AH1049">_xlfn.SWITCH(tbl_HR_Data[[#This Row],[BusinessTravel]], "Non-Travel", 0, "Travel_Rarely", 1, "Travel_Frequently", 2)</f>
        <v>2</v>
      </c>
      <c r="AI1049" cm="1">
        <f t="array" ref="AI1049">_xlfn.SWITCH(tbl_HR_Data[[#This Row],[MaritalStatus]],"Single",0,"Married",1,"Divorced",2)</f>
        <v>1</v>
      </c>
      <c r="AJ1049">
        <f>IF(tbl_HR_Data[[#This Row],[OverTime]]=1,1,0)</f>
        <v>0</v>
      </c>
      <c r="AK1049">
        <f>IF(tbl_HR_Data[[#This Row],[DistanceFromHome]]&gt;15,1,0)</f>
        <v>0</v>
      </c>
      <c r="AL1049">
        <f>IF(tbl_HR_Data[[#This Row],[JobSatisfaction]]&lt;=2,1,0)</f>
        <v>1</v>
      </c>
      <c r="AM1049">
        <f>IF(tbl_HR_Data[[#This Row],[MonthlyIncome]]&lt;$AT$2,1,0)</f>
        <v>1</v>
      </c>
      <c r="AN1049">
        <f>IF(tbl_HR_Data[[#This Row],[Travel_Code]]=2,1,0)</f>
        <v>1</v>
      </c>
      <c r="AO1049">
        <f>(tbl_HR_Data[[#This Row],[Flag_OT]] * Logic_Parameters!$B$2) +
 (tbl_HR_Data[[#This Row],[Flag_Travel]] * Logic_Parameters!$B$3) +
 (tbl_HR_Data[[#This Row],[Flag_Satisfaction]] * Logic_Parameters!$B$4) +
 (tbl_HR_Data[[#This Row],[Flag_Distance]]* Logic_Parameters!$B$5) +
 (tbl_HR_Data[[#This Row],[Flag_Income]] * Logic_Parameters!$B$6)</f>
        <v>15.859352047889136</v>
      </c>
      <c r="AP1049" s="15">
        <f>tbl_HR_Data[[#This Row],[Risk_Score_Raw]] / SUM(Logic_Parameters!$B$2:$B$6)</f>
        <v>0.54639453549708916</v>
      </c>
      <c r="AQ1049" s="16" t="str" cm="1">
        <f t="array" ref="AQ1049">_xlfn.IFS(tbl_HR_Data[[#This Row],[Attrition_Risk_Percentage]] &gt;= 0.75, "Critical",tbl_HR_Data[ [#This Row],[Attrition_Risk_Percentage] ]&gt;= 0.5, "High",tbl_HR_Data[[#This Row],[Attrition_Risk_Percentage]] &gt;= 0.25, "Medium",TRUE, "Low")</f>
        <v>High</v>
      </c>
      <c r="AR1049" s="16" cm="1">
        <f t="array" ref="AR1049">IFERROR(_xlfn.IFS(tbl_HR_Data[[#This Row],[Risk_Category]]="Critical",tbl_HR_Data[[#This Row],[MonthlyIncome]]*1.5,tbl_HR_Data[[#This Row],[Risk_Category]]="High",tbl_HR_Data[[#This Row],[MonthlyIncome]]*1.5),0)</f>
        <v>6559.5</v>
      </c>
    </row>
    <row r="1050" spans="1:44" x14ac:dyDescent="0.35">
      <c r="A1050" t="s">
        <v>403</v>
      </c>
      <c r="B1050">
        <v>34</v>
      </c>
      <c r="C1050" t="s">
        <v>31</v>
      </c>
      <c r="D1050">
        <v>1326</v>
      </c>
      <c r="E1050" t="s">
        <v>32</v>
      </c>
      <c r="F1050">
        <v>3</v>
      </c>
      <c r="G1050">
        <v>3</v>
      </c>
      <c r="H1050" t="s">
        <v>42</v>
      </c>
      <c r="I1050">
        <v>4</v>
      </c>
      <c r="J1050" t="s">
        <v>39</v>
      </c>
      <c r="K1050">
        <v>81</v>
      </c>
      <c r="L1050">
        <v>1</v>
      </c>
      <c r="M1050">
        <v>2</v>
      </c>
      <c r="N1050" t="s">
        <v>35</v>
      </c>
      <c r="O1050">
        <v>1</v>
      </c>
      <c r="P1050" t="s">
        <v>36</v>
      </c>
      <c r="Q1050">
        <v>4759</v>
      </c>
      <c r="R1050">
        <v>15891</v>
      </c>
      <c r="S1050">
        <v>3</v>
      </c>
      <c r="T1050">
        <v>0</v>
      </c>
      <c r="U1050" s="17">
        <v>0.18</v>
      </c>
      <c r="V1050">
        <v>3</v>
      </c>
      <c r="W1050">
        <v>4</v>
      </c>
      <c r="X1050">
        <v>0</v>
      </c>
      <c r="Y1050">
        <v>15</v>
      </c>
      <c r="Z1050">
        <v>2</v>
      </c>
      <c r="AA1050">
        <v>3</v>
      </c>
      <c r="AB1050">
        <v>13</v>
      </c>
      <c r="AC1050">
        <v>9</v>
      </c>
      <c r="AD1050">
        <v>3</v>
      </c>
      <c r="AE1050">
        <v>12</v>
      </c>
      <c r="AF1050">
        <v>0</v>
      </c>
      <c r="AG1050">
        <f>IF(tbl_HR_Data[[#This Row],[Gender]]="Male",1,0)</f>
        <v>1</v>
      </c>
      <c r="AH1050" cm="1">
        <f t="array" ref="AH1050">_xlfn.SWITCH(tbl_HR_Data[[#This Row],[BusinessTravel]], "Non-Travel", 0, "Travel_Rarely", 1, "Travel_Frequently", 2)</f>
        <v>1</v>
      </c>
      <c r="AI1050" cm="1">
        <f t="array" ref="AI1050">_xlfn.SWITCH(tbl_HR_Data[[#This Row],[MaritalStatus]],"Single",0,"Married",1,"Divorced",2)</f>
        <v>0</v>
      </c>
      <c r="AJ1050">
        <f>IF(tbl_HR_Data[[#This Row],[OverTime]]=1,1,0)</f>
        <v>0</v>
      </c>
      <c r="AK1050">
        <f>IF(tbl_HR_Data[[#This Row],[DistanceFromHome]]&gt;15,1,0)</f>
        <v>0</v>
      </c>
      <c r="AL1050">
        <f>IF(tbl_HR_Data[[#This Row],[JobSatisfaction]]&lt;=2,1,0)</f>
        <v>1</v>
      </c>
      <c r="AM1050">
        <f>IF(tbl_HR_Data[[#This Row],[MonthlyIncome]]&lt;$AT$2,1,0)</f>
        <v>1</v>
      </c>
      <c r="AN1050">
        <f>IF(tbl_HR_Data[[#This Row],[Travel_Code]]=2,1,0)</f>
        <v>0</v>
      </c>
      <c r="AO1050">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050" s="15">
        <f>tbl_HR_Data[[#This Row],[Risk_Score_Raw]] / SUM(Logic_Parameters!$B$2:$B$6)</f>
        <v>0.3686061316669938</v>
      </c>
      <c r="AQ1050" s="16" t="str" cm="1">
        <f t="array" ref="AQ1050">_xlfn.IFS(tbl_HR_Data[[#This Row],[Attrition_Risk_Percentage]] &gt;= 0.75, "Critical",tbl_HR_Data[ [#This Row],[Attrition_Risk_Percentage] ]&gt;= 0.5, "High",tbl_HR_Data[[#This Row],[Attrition_Risk_Percentage]] &gt;= 0.25, "Medium",TRUE, "Low")</f>
        <v>Medium</v>
      </c>
      <c r="AR1050" s="16" cm="1">
        <f t="array" ref="AR1050">IFERROR(_xlfn.IFS(tbl_HR_Data[[#This Row],[Risk_Category]]="Critical",tbl_HR_Data[[#This Row],[MonthlyIncome]]*1.5,tbl_HR_Data[[#This Row],[Risk_Category]]="High",tbl_HR_Data[[#This Row],[MonthlyIncome]]*1.5),0)</f>
        <v>0</v>
      </c>
    </row>
    <row r="1051" spans="1:44" x14ac:dyDescent="0.35">
      <c r="A1051" t="s">
        <v>1398</v>
      </c>
      <c r="B1051">
        <v>30</v>
      </c>
      <c r="C1051" t="s">
        <v>31</v>
      </c>
      <c r="D1051">
        <v>1358</v>
      </c>
      <c r="E1051" t="s">
        <v>32</v>
      </c>
      <c r="F1051">
        <v>16</v>
      </c>
      <c r="G1051">
        <v>1</v>
      </c>
      <c r="H1051" t="s">
        <v>33</v>
      </c>
      <c r="I1051">
        <v>4</v>
      </c>
      <c r="J1051" t="s">
        <v>39</v>
      </c>
      <c r="K1051">
        <v>96</v>
      </c>
      <c r="L1051">
        <v>3</v>
      </c>
      <c r="M1051">
        <v>2</v>
      </c>
      <c r="N1051" t="s">
        <v>35</v>
      </c>
      <c r="O1051">
        <v>3</v>
      </c>
      <c r="P1051" t="s">
        <v>41</v>
      </c>
      <c r="Q1051">
        <v>5301</v>
      </c>
      <c r="R1051">
        <v>2939</v>
      </c>
      <c r="S1051">
        <v>8</v>
      </c>
      <c r="T1051">
        <v>0</v>
      </c>
      <c r="U1051" s="17">
        <v>0.15</v>
      </c>
      <c r="V1051">
        <v>3</v>
      </c>
      <c r="W1051">
        <v>3</v>
      </c>
      <c r="X1051">
        <v>2</v>
      </c>
      <c r="Y1051">
        <v>4</v>
      </c>
      <c r="Z1051">
        <v>2</v>
      </c>
      <c r="AA1051">
        <v>2</v>
      </c>
      <c r="AB1051">
        <v>2</v>
      </c>
      <c r="AC1051">
        <v>1</v>
      </c>
      <c r="AD1051">
        <v>2</v>
      </c>
      <c r="AE1051">
        <v>2</v>
      </c>
      <c r="AF1051">
        <v>0</v>
      </c>
      <c r="AG1051">
        <f>IF(tbl_HR_Data[[#This Row],[Gender]]="Male",1,0)</f>
        <v>1</v>
      </c>
      <c r="AH1051" cm="1">
        <f t="array" ref="AH1051">_xlfn.SWITCH(tbl_HR_Data[[#This Row],[BusinessTravel]], "Non-Travel", 0, "Travel_Rarely", 1, "Travel_Frequently", 2)</f>
        <v>1</v>
      </c>
      <c r="AI1051" cm="1">
        <f t="array" ref="AI1051">_xlfn.SWITCH(tbl_HR_Data[[#This Row],[MaritalStatus]],"Single",0,"Married",1,"Divorced",2)</f>
        <v>1</v>
      </c>
      <c r="AJ1051">
        <f>IF(tbl_HR_Data[[#This Row],[OverTime]]=1,1,0)</f>
        <v>0</v>
      </c>
      <c r="AK1051">
        <f>IF(tbl_HR_Data[[#This Row],[DistanceFromHome]]&gt;15,1,0)</f>
        <v>1</v>
      </c>
      <c r="AL1051">
        <f>IF(tbl_HR_Data[[#This Row],[JobSatisfaction]]&lt;=2,1,0)</f>
        <v>0</v>
      </c>
      <c r="AM1051">
        <f>IF(tbl_HR_Data[[#This Row],[MonthlyIncome]]&lt;$AT$2,1,0)</f>
        <v>0</v>
      </c>
      <c r="AN1051">
        <f>IF(tbl_HR_Data[[#This Row],[Travel_Code]]=2,1,0)</f>
        <v>0</v>
      </c>
      <c r="AO1051">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1051" s="15">
        <f>tbl_HR_Data[[#This Row],[Risk_Score_Raw]] / SUM(Logic_Parameters!$B$2:$B$6)</f>
        <v>0.10908033267710357</v>
      </c>
      <c r="AQ1051" s="16" t="str" cm="1">
        <f t="array" ref="AQ1051">_xlfn.IFS(tbl_HR_Data[[#This Row],[Attrition_Risk_Percentage]] &gt;= 0.75, "Critical",tbl_HR_Data[ [#This Row],[Attrition_Risk_Percentage] ]&gt;= 0.5, "High",tbl_HR_Data[[#This Row],[Attrition_Risk_Percentage]] &gt;= 0.25, "Medium",TRUE, "Low")</f>
        <v>Low</v>
      </c>
      <c r="AR1051" s="16" cm="1">
        <f t="array" ref="AR1051">IFERROR(_xlfn.IFS(tbl_HR_Data[[#This Row],[Risk_Category]]="Critical",tbl_HR_Data[[#This Row],[MonthlyIncome]]*1.5,tbl_HR_Data[[#This Row],[Risk_Category]]="High",tbl_HR_Data[[#This Row],[MonthlyIncome]]*1.5),0)</f>
        <v>0</v>
      </c>
    </row>
    <row r="1052" spans="1:44" x14ac:dyDescent="0.35">
      <c r="A1052" t="s">
        <v>98</v>
      </c>
      <c r="B1052">
        <v>42</v>
      </c>
      <c r="C1052" t="s">
        <v>37</v>
      </c>
      <c r="D1052">
        <v>748</v>
      </c>
      <c r="E1052" t="s">
        <v>38</v>
      </c>
      <c r="F1052">
        <v>9</v>
      </c>
      <c r="G1052">
        <v>2</v>
      </c>
      <c r="H1052" t="s">
        <v>44</v>
      </c>
      <c r="I1052">
        <v>1</v>
      </c>
      <c r="J1052" t="s">
        <v>34</v>
      </c>
      <c r="K1052">
        <v>74</v>
      </c>
      <c r="L1052">
        <v>3</v>
      </c>
      <c r="M1052">
        <v>1</v>
      </c>
      <c r="N1052" t="s">
        <v>43</v>
      </c>
      <c r="O1052">
        <v>4</v>
      </c>
      <c r="P1052" t="s">
        <v>36</v>
      </c>
      <c r="Q1052">
        <v>3673</v>
      </c>
      <c r="R1052">
        <v>16458</v>
      </c>
      <c r="S1052">
        <v>1</v>
      </c>
      <c r="T1052">
        <v>0</v>
      </c>
      <c r="U1052" s="17">
        <v>0.13</v>
      </c>
      <c r="V1052">
        <v>3</v>
      </c>
      <c r="W1052">
        <v>3</v>
      </c>
      <c r="X1052">
        <v>0</v>
      </c>
      <c r="Y1052">
        <v>12</v>
      </c>
      <c r="Z1052">
        <v>3</v>
      </c>
      <c r="AA1052">
        <v>3</v>
      </c>
      <c r="AB1052">
        <v>12</v>
      </c>
      <c r="AC1052">
        <v>9</v>
      </c>
      <c r="AD1052">
        <v>5</v>
      </c>
      <c r="AE1052">
        <v>8</v>
      </c>
      <c r="AF1052">
        <v>0</v>
      </c>
      <c r="AG1052">
        <f>IF(tbl_HR_Data[[#This Row],[Gender]]="Male",1,0)</f>
        <v>0</v>
      </c>
      <c r="AH1052" cm="1">
        <f t="array" ref="AH1052">_xlfn.SWITCH(tbl_HR_Data[[#This Row],[BusinessTravel]], "Non-Travel", 0, "Travel_Rarely", 1, "Travel_Frequently", 2)</f>
        <v>2</v>
      </c>
      <c r="AI1052" cm="1">
        <f t="array" ref="AI1052">_xlfn.SWITCH(tbl_HR_Data[[#This Row],[MaritalStatus]],"Single",0,"Married",1,"Divorced",2)</f>
        <v>0</v>
      </c>
      <c r="AJ1052">
        <f>IF(tbl_HR_Data[[#This Row],[OverTime]]=1,1,0)</f>
        <v>0</v>
      </c>
      <c r="AK1052">
        <f>IF(tbl_HR_Data[[#This Row],[DistanceFromHome]]&gt;15,1,0)</f>
        <v>0</v>
      </c>
      <c r="AL1052">
        <f>IF(tbl_HR_Data[[#This Row],[JobSatisfaction]]&lt;=2,1,0)</f>
        <v>0</v>
      </c>
      <c r="AM1052">
        <f>IF(tbl_HR_Data[[#This Row],[MonthlyIncome]]&lt;$AT$2,1,0)</f>
        <v>1</v>
      </c>
      <c r="AN1052">
        <f>IF(tbl_HR_Data[[#This Row],[Travel_Code]]=2,1,0)</f>
        <v>1</v>
      </c>
      <c r="AO1052">
        <f>(tbl_HR_Data[[#This Row],[Flag_OT]] * Logic_Parameters!$B$2) +
 (tbl_HR_Data[[#This Row],[Flag_Travel]] * Logic_Parameters!$B$3) +
 (tbl_HR_Data[[#This Row],[Flag_Satisfaction]] * Logic_Parameters!$B$4) +
 (tbl_HR_Data[[#This Row],[Flag_Distance]]* Logic_Parameters!$B$5) +
 (tbl_HR_Data[[#This Row],[Flag_Income]] * Logic_Parameters!$B$6)</f>
        <v>11.654818917911005</v>
      </c>
      <c r="AP1052" s="15">
        <f>tbl_HR_Data[[#This Row],[Risk_Score_Raw]] / SUM(Logic_Parameters!$B$2:$B$6)</f>
        <v>0.40153780240992015</v>
      </c>
      <c r="AQ1052" s="16" t="str" cm="1">
        <f t="array" ref="AQ1052">_xlfn.IFS(tbl_HR_Data[[#This Row],[Attrition_Risk_Percentage]] &gt;= 0.75, "Critical",tbl_HR_Data[ [#This Row],[Attrition_Risk_Percentage] ]&gt;= 0.5, "High",tbl_HR_Data[[#This Row],[Attrition_Risk_Percentage]] &gt;= 0.25, "Medium",TRUE, "Low")</f>
        <v>Medium</v>
      </c>
      <c r="AR1052" s="16" cm="1">
        <f t="array" ref="AR1052">IFERROR(_xlfn.IFS(tbl_HR_Data[[#This Row],[Risk_Category]]="Critical",tbl_HR_Data[[#This Row],[MonthlyIncome]]*1.5,tbl_HR_Data[[#This Row],[Risk_Category]]="High",tbl_HR_Data[[#This Row],[MonthlyIncome]]*1.5),0)</f>
        <v>0</v>
      </c>
    </row>
    <row r="1053" spans="1:44" x14ac:dyDescent="0.35">
      <c r="A1053" t="s">
        <v>771</v>
      </c>
      <c r="B1053">
        <v>44</v>
      </c>
      <c r="C1053" t="s">
        <v>37</v>
      </c>
      <c r="D1053">
        <v>383</v>
      </c>
      <c r="E1053" t="s">
        <v>32</v>
      </c>
      <c r="F1053">
        <v>1</v>
      </c>
      <c r="G1053">
        <v>5</v>
      </c>
      <c r="H1053" t="s">
        <v>51</v>
      </c>
      <c r="I1053">
        <v>1</v>
      </c>
      <c r="J1053" t="s">
        <v>34</v>
      </c>
      <c r="K1053">
        <v>79</v>
      </c>
      <c r="L1053">
        <v>3</v>
      </c>
      <c r="M1053">
        <v>2</v>
      </c>
      <c r="N1053" t="s">
        <v>35</v>
      </c>
      <c r="O1053">
        <v>3</v>
      </c>
      <c r="P1053" t="s">
        <v>41</v>
      </c>
      <c r="Q1053">
        <v>4768</v>
      </c>
      <c r="R1053">
        <v>9282</v>
      </c>
      <c r="S1053">
        <v>7</v>
      </c>
      <c r="T1053">
        <v>0</v>
      </c>
      <c r="U1053" s="17">
        <v>0.12</v>
      </c>
      <c r="V1053">
        <v>3</v>
      </c>
      <c r="W1053">
        <v>3</v>
      </c>
      <c r="X1053">
        <v>1</v>
      </c>
      <c r="Y1053">
        <v>11</v>
      </c>
      <c r="Z1053">
        <v>4</v>
      </c>
      <c r="AA1053">
        <v>2</v>
      </c>
      <c r="AB1053">
        <v>1</v>
      </c>
      <c r="AC1053">
        <v>0</v>
      </c>
      <c r="AD1053">
        <v>0</v>
      </c>
      <c r="AE1053">
        <v>0</v>
      </c>
      <c r="AF1053">
        <v>0</v>
      </c>
      <c r="AG1053">
        <f>IF(tbl_HR_Data[[#This Row],[Gender]]="Male",1,0)</f>
        <v>0</v>
      </c>
      <c r="AH1053" cm="1">
        <f t="array" ref="AH1053">_xlfn.SWITCH(tbl_HR_Data[[#This Row],[BusinessTravel]], "Non-Travel", 0, "Travel_Rarely", 1, "Travel_Frequently", 2)</f>
        <v>2</v>
      </c>
      <c r="AI1053" cm="1">
        <f t="array" ref="AI1053">_xlfn.SWITCH(tbl_HR_Data[[#This Row],[MaritalStatus]],"Single",0,"Married",1,"Divorced",2)</f>
        <v>1</v>
      </c>
      <c r="AJ1053">
        <f>IF(tbl_HR_Data[[#This Row],[OverTime]]=1,1,0)</f>
        <v>0</v>
      </c>
      <c r="AK1053">
        <f>IF(tbl_HR_Data[[#This Row],[DistanceFromHome]]&gt;15,1,0)</f>
        <v>0</v>
      </c>
      <c r="AL1053">
        <f>IF(tbl_HR_Data[[#This Row],[JobSatisfaction]]&lt;=2,1,0)</f>
        <v>0</v>
      </c>
      <c r="AM1053">
        <f>IF(tbl_HR_Data[[#This Row],[MonthlyIncome]]&lt;$AT$2,1,0)</f>
        <v>1</v>
      </c>
      <c r="AN1053">
        <f>IF(tbl_HR_Data[[#This Row],[Travel_Code]]=2,1,0)</f>
        <v>1</v>
      </c>
      <c r="AO1053">
        <f>(tbl_HR_Data[[#This Row],[Flag_OT]] * Logic_Parameters!$B$2) +
 (tbl_HR_Data[[#This Row],[Flag_Travel]] * Logic_Parameters!$B$3) +
 (tbl_HR_Data[[#This Row],[Flag_Satisfaction]] * Logic_Parameters!$B$4) +
 (tbl_HR_Data[[#This Row],[Flag_Distance]]* Logic_Parameters!$B$5) +
 (tbl_HR_Data[[#This Row],[Flag_Income]] * Logic_Parameters!$B$6)</f>
        <v>11.654818917911005</v>
      </c>
      <c r="AP1053" s="15">
        <f>tbl_HR_Data[[#This Row],[Risk_Score_Raw]] / SUM(Logic_Parameters!$B$2:$B$6)</f>
        <v>0.40153780240992015</v>
      </c>
      <c r="AQ1053" s="16" t="str" cm="1">
        <f t="array" ref="AQ1053">_xlfn.IFS(tbl_HR_Data[[#This Row],[Attrition_Risk_Percentage]] &gt;= 0.75, "Critical",tbl_HR_Data[ [#This Row],[Attrition_Risk_Percentage] ]&gt;= 0.5, "High",tbl_HR_Data[[#This Row],[Attrition_Risk_Percentage]] &gt;= 0.25, "Medium",TRUE, "Low")</f>
        <v>Medium</v>
      </c>
      <c r="AR1053" s="16" cm="1">
        <f t="array" ref="AR1053">IFERROR(_xlfn.IFS(tbl_HR_Data[[#This Row],[Risk_Category]]="Critical",tbl_HR_Data[[#This Row],[MonthlyIncome]]*1.5,tbl_HR_Data[[#This Row],[Risk_Category]]="High",tbl_HR_Data[[#This Row],[MonthlyIncome]]*1.5),0)</f>
        <v>0</v>
      </c>
    </row>
    <row r="1054" spans="1:44" x14ac:dyDescent="0.35">
      <c r="A1054" t="s">
        <v>367</v>
      </c>
      <c r="B1054">
        <v>30</v>
      </c>
      <c r="C1054" t="s">
        <v>1525</v>
      </c>
      <c r="D1054">
        <v>990</v>
      </c>
      <c r="E1054" t="s">
        <v>38</v>
      </c>
      <c r="F1054">
        <v>7</v>
      </c>
      <c r="G1054">
        <v>3</v>
      </c>
      <c r="H1054" t="s">
        <v>52</v>
      </c>
      <c r="I1054">
        <v>3</v>
      </c>
      <c r="J1054" t="s">
        <v>39</v>
      </c>
      <c r="K1054">
        <v>64</v>
      </c>
      <c r="L1054">
        <v>3</v>
      </c>
      <c r="M1054">
        <v>1</v>
      </c>
      <c r="N1054" t="s">
        <v>40</v>
      </c>
      <c r="O1054">
        <v>3</v>
      </c>
      <c r="P1054" t="s">
        <v>45</v>
      </c>
      <c r="Q1054">
        <v>1274</v>
      </c>
      <c r="R1054">
        <v>7152</v>
      </c>
      <c r="S1054">
        <v>1</v>
      </c>
      <c r="T1054">
        <v>0</v>
      </c>
      <c r="U1054" s="17">
        <v>0.13</v>
      </c>
      <c r="V1054">
        <v>3</v>
      </c>
      <c r="W1054">
        <v>2</v>
      </c>
      <c r="X1054">
        <v>2</v>
      </c>
      <c r="Y1054">
        <v>1</v>
      </c>
      <c r="Z1054">
        <v>2</v>
      </c>
      <c r="AA1054">
        <v>2</v>
      </c>
      <c r="AB1054">
        <v>1</v>
      </c>
      <c r="AC1054">
        <v>0</v>
      </c>
      <c r="AD1054">
        <v>0</v>
      </c>
      <c r="AE1054">
        <v>0</v>
      </c>
      <c r="AF1054">
        <v>0</v>
      </c>
      <c r="AG1054">
        <f>IF(tbl_HR_Data[[#This Row],[Gender]]="Male",1,0)</f>
        <v>1</v>
      </c>
      <c r="AH1054" cm="1">
        <f t="array" ref="AH1054">_xlfn.SWITCH(tbl_HR_Data[[#This Row],[BusinessTravel]], "Non-Travel", 0, "Travel_Rarely", 1, "Travel_Frequently", 2)</f>
        <v>0</v>
      </c>
      <c r="AI1054" cm="1">
        <f t="array" ref="AI1054">_xlfn.SWITCH(tbl_HR_Data[[#This Row],[MaritalStatus]],"Single",0,"Married",1,"Divorced",2)</f>
        <v>2</v>
      </c>
      <c r="AJ1054">
        <f>IF(tbl_HR_Data[[#This Row],[OverTime]]=1,1,0)</f>
        <v>0</v>
      </c>
      <c r="AK1054">
        <f>IF(tbl_HR_Data[[#This Row],[DistanceFromHome]]&gt;15,1,0)</f>
        <v>0</v>
      </c>
      <c r="AL1054">
        <f>IF(tbl_HR_Data[[#This Row],[JobSatisfaction]]&lt;=2,1,0)</f>
        <v>0</v>
      </c>
      <c r="AM1054">
        <f>IF(tbl_HR_Data[[#This Row],[MonthlyIncome]]&lt;$AT$2,1,0)</f>
        <v>1</v>
      </c>
      <c r="AN1054">
        <f>IF(tbl_HR_Data[[#This Row],[Travel_Code]]=2,1,0)</f>
        <v>0</v>
      </c>
      <c r="AO1054">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054" s="15">
        <f>tbl_HR_Data[[#This Row],[Risk_Score_Raw]] / SUM(Logic_Parameters!$B$2:$B$6)</f>
        <v>0.22374939857982484</v>
      </c>
      <c r="AQ1054" s="16" t="str" cm="1">
        <f t="array" ref="AQ1054">_xlfn.IFS(tbl_HR_Data[[#This Row],[Attrition_Risk_Percentage]] &gt;= 0.75, "Critical",tbl_HR_Data[ [#This Row],[Attrition_Risk_Percentage] ]&gt;= 0.5, "High",tbl_HR_Data[[#This Row],[Attrition_Risk_Percentage]] &gt;= 0.25, "Medium",TRUE, "Low")</f>
        <v>Low</v>
      </c>
      <c r="AR1054" s="16" cm="1">
        <f t="array" ref="AR1054">IFERROR(_xlfn.IFS(tbl_HR_Data[[#This Row],[Risk_Category]]="Critical",tbl_HR_Data[[#This Row],[MonthlyIncome]]*1.5,tbl_HR_Data[[#This Row],[Risk_Category]]="High",tbl_HR_Data[[#This Row],[MonthlyIncome]]*1.5),0)</f>
        <v>0</v>
      </c>
    </row>
    <row r="1055" spans="1:44" x14ac:dyDescent="0.35">
      <c r="A1055" t="s">
        <v>580</v>
      </c>
      <c r="B1055">
        <v>57</v>
      </c>
      <c r="C1055" t="s">
        <v>31</v>
      </c>
      <c r="D1055">
        <v>405</v>
      </c>
      <c r="E1055" t="s">
        <v>38</v>
      </c>
      <c r="F1055">
        <v>1</v>
      </c>
      <c r="G1055">
        <v>2</v>
      </c>
      <c r="H1055" t="s">
        <v>33</v>
      </c>
      <c r="I1055">
        <v>2</v>
      </c>
      <c r="J1055" t="s">
        <v>39</v>
      </c>
      <c r="K1055">
        <v>93</v>
      </c>
      <c r="L1055">
        <v>4</v>
      </c>
      <c r="M1055">
        <v>2</v>
      </c>
      <c r="N1055" t="s">
        <v>40</v>
      </c>
      <c r="O1055">
        <v>3</v>
      </c>
      <c r="P1055" t="s">
        <v>41</v>
      </c>
      <c r="Q1055">
        <v>4900</v>
      </c>
      <c r="R1055">
        <v>2721</v>
      </c>
      <c r="S1055">
        <v>0</v>
      </c>
      <c r="T1055">
        <v>0</v>
      </c>
      <c r="U1055" s="17">
        <v>0.24</v>
      </c>
      <c r="V1055">
        <v>4</v>
      </c>
      <c r="W1055">
        <v>1</v>
      </c>
      <c r="X1055">
        <v>1</v>
      </c>
      <c r="Y1055">
        <v>13</v>
      </c>
      <c r="Z1055">
        <v>2</v>
      </c>
      <c r="AA1055">
        <v>2</v>
      </c>
      <c r="AB1055">
        <v>12</v>
      </c>
      <c r="AC1055">
        <v>9</v>
      </c>
      <c r="AD1055">
        <v>2</v>
      </c>
      <c r="AE1055">
        <v>8</v>
      </c>
      <c r="AF1055">
        <v>0</v>
      </c>
      <c r="AG1055">
        <f>IF(tbl_HR_Data[[#This Row],[Gender]]="Male",1,0)</f>
        <v>1</v>
      </c>
      <c r="AH1055" cm="1">
        <f t="array" ref="AH1055">_xlfn.SWITCH(tbl_HR_Data[[#This Row],[BusinessTravel]], "Non-Travel", 0, "Travel_Rarely", 1, "Travel_Frequently", 2)</f>
        <v>1</v>
      </c>
      <c r="AI1055" cm="1">
        <f t="array" ref="AI1055">_xlfn.SWITCH(tbl_HR_Data[[#This Row],[MaritalStatus]],"Single",0,"Married",1,"Divorced",2)</f>
        <v>1</v>
      </c>
      <c r="AJ1055">
        <f>IF(tbl_HR_Data[[#This Row],[OverTime]]=1,1,0)</f>
        <v>0</v>
      </c>
      <c r="AK1055">
        <f>IF(tbl_HR_Data[[#This Row],[DistanceFromHome]]&gt;15,1,0)</f>
        <v>0</v>
      </c>
      <c r="AL1055">
        <f>IF(tbl_HR_Data[[#This Row],[JobSatisfaction]]&lt;=2,1,0)</f>
        <v>0</v>
      </c>
      <c r="AM1055">
        <f>IF(tbl_HR_Data[[#This Row],[MonthlyIncome]]&lt;$AT$2,1,0)</f>
        <v>1</v>
      </c>
      <c r="AN1055">
        <f>IF(tbl_HR_Data[[#This Row],[Travel_Code]]=2,1,0)</f>
        <v>0</v>
      </c>
      <c r="AO1055">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055" s="15">
        <f>tbl_HR_Data[[#This Row],[Risk_Score_Raw]] / SUM(Logic_Parameters!$B$2:$B$6)</f>
        <v>0.22374939857982484</v>
      </c>
      <c r="AQ1055" s="16" t="str" cm="1">
        <f t="array" ref="AQ1055">_xlfn.IFS(tbl_HR_Data[[#This Row],[Attrition_Risk_Percentage]] &gt;= 0.75, "Critical",tbl_HR_Data[ [#This Row],[Attrition_Risk_Percentage] ]&gt;= 0.5, "High",tbl_HR_Data[[#This Row],[Attrition_Risk_Percentage]] &gt;= 0.25, "Medium",TRUE, "Low")</f>
        <v>Low</v>
      </c>
      <c r="AR1055" s="16" cm="1">
        <f t="array" ref="AR1055">IFERROR(_xlfn.IFS(tbl_HR_Data[[#This Row],[Risk_Category]]="Critical",tbl_HR_Data[[#This Row],[MonthlyIncome]]*1.5,tbl_HR_Data[[#This Row],[Risk_Category]]="High",tbl_HR_Data[[#This Row],[MonthlyIncome]]*1.5),0)</f>
        <v>0</v>
      </c>
    </row>
    <row r="1056" spans="1:44" x14ac:dyDescent="0.35">
      <c r="A1056" t="s">
        <v>329</v>
      </c>
      <c r="B1056">
        <v>49</v>
      </c>
      <c r="C1056" t="s">
        <v>31</v>
      </c>
      <c r="D1056">
        <v>1490</v>
      </c>
      <c r="E1056" t="s">
        <v>38</v>
      </c>
      <c r="F1056">
        <v>7</v>
      </c>
      <c r="G1056">
        <v>4</v>
      </c>
      <c r="H1056" t="s">
        <v>33</v>
      </c>
      <c r="I1056">
        <v>3</v>
      </c>
      <c r="J1056" t="s">
        <v>39</v>
      </c>
      <c r="K1056">
        <v>35</v>
      </c>
      <c r="L1056">
        <v>3</v>
      </c>
      <c r="M1056">
        <v>3</v>
      </c>
      <c r="N1056" t="s">
        <v>47</v>
      </c>
      <c r="O1056">
        <v>2</v>
      </c>
      <c r="P1056" t="s">
        <v>45</v>
      </c>
      <c r="Q1056">
        <v>10466</v>
      </c>
      <c r="R1056">
        <v>20948</v>
      </c>
      <c r="S1056">
        <v>3</v>
      </c>
      <c r="T1056">
        <v>0</v>
      </c>
      <c r="U1056" s="17">
        <v>0.14000000000000001</v>
      </c>
      <c r="V1056">
        <v>3</v>
      </c>
      <c r="W1056">
        <v>2</v>
      </c>
      <c r="X1056">
        <v>2</v>
      </c>
      <c r="Y1056">
        <v>29</v>
      </c>
      <c r="Z1056">
        <v>3</v>
      </c>
      <c r="AA1056">
        <v>3</v>
      </c>
      <c r="AB1056">
        <v>8</v>
      </c>
      <c r="AC1056">
        <v>7</v>
      </c>
      <c r="AD1056">
        <v>0</v>
      </c>
      <c r="AE1056">
        <v>7</v>
      </c>
      <c r="AF1056">
        <v>0</v>
      </c>
      <c r="AG1056">
        <f>IF(tbl_HR_Data[[#This Row],[Gender]]="Male",1,0)</f>
        <v>1</v>
      </c>
      <c r="AH1056" cm="1">
        <f t="array" ref="AH1056">_xlfn.SWITCH(tbl_HR_Data[[#This Row],[BusinessTravel]], "Non-Travel", 0, "Travel_Rarely", 1, "Travel_Frequently", 2)</f>
        <v>1</v>
      </c>
      <c r="AI1056" cm="1">
        <f t="array" ref="AI1056">_xlfn.SWITCH(tbl_HR_Data[[#This Row],[MaritalStatus]],"Single",0,"Married",1,"Divorced",2)</f>
        <v>2</v>
      </c>
      <c r="AJ1056">
        <f>IF(tbl_HR_Data[[#This Row],[OverTime]]=1,1,0)</f>
        <v>0</v>
      </c>
      <c r="AK1056">
        <f>IF(tbl_HR_Data[[#This Row],[DistanceFromHome]]&gt;15,1,0)</f>
        <v>0</v>
      </c>
      <c r="AL1056">
        <f>IF(tbl_HR_Data[[#This Row],[JobSatisfaction]]&lt;=2,1,0)</f>
        <v>1</v>
      </c>
      <c r="AM1056">
        <f>IF(tbl_HR_Data[[#This Row],[MonthlyIncome]]&lt;$AT$2,1,0)</f>
        <v>0</v>
      </c>
      <c r="AN1056">
        <f>IF(tbl_HR_Data[[#This Row],[Travel_Code]]=2,1,0)</f>
        <v>0</v>
      </c>
      <c r="AO1056">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056" s="15">
        <f>tbl_HR_Data[[#This Row],[Risk_Score_Raw]] / SUM(Logic_Parameters!$B$2:$B$6)</f>
        <v>0.14485673308716898</v>
      </c>
      <c r="AQ1056" s="16" t="str" cm="1">
        <f t="array" ref="AQ1056">_xlfn.IFS(tbl_HR_Data[[#This Row],[Attrition_Risk_Percentage]] &gt;= 0.75, "Critical",tbl_HR_Data[ [#This Row],[Attrition_Risk_Percentage] ]&gt;= 0.5, "High",tbl_HR_Data[[#This Row],[Attrition_Risk_Percentage]] &gt;= 0.25, "Medium",TRUE, "Low")</f>
        <v>Low</v>
      </c>
      <c r="AR1056" s="16" cm="1">
        <f t="array" ref="AR1056">IFERROR(_xlfn.IFS(tbl_HR_Data[[#This Row],[Risk_Category]]="Critical",tbl_HR_Data[[#This Row],[MonthlyIncome]]*1.5,tbl_HR_Data[[#This Row],[Risk_Category]]="High",tbl_HR_Data[[#This Row],[MonthlyIncome]]*1.5),0)</f>
        <v>0</v>
      </c>
    </row>
    <row r="1057" spans="1:44" x14ac:dyDescent="0.35">
      <c r="A1057" t="s">
        <v>927</v>
      </c>
      <c r="B1057">
        <v>34</v>
      </c>
      <c r="C1057" t="s">
        <v>37</v>
      </c>
      <c r="D1057">
        <v>829</v>
      </c>
      <c r="E1057" t="s">
        <v>38</v>
      </c>
      <c r="F1057">
        <v>15</v>
      </c>
      <c r="G1057">
        <v>3</v>
      </c>
      <c r="H1057" t="s">
        <v>44</v>
      </c>
      <c r="I1057">
        <v>2</v>
      </c>
      <c r="J1057" t="s">
        <v>39</v>
      </c>
      <c r="K1057">
        <v>71</v>
      </c>
      <c r="L1057">
        <v>3</v>
      </c>
      <c r="M1057">
        <v>4</v>
      </c>
      <c r="N1057" t="s">
        <v>50</v>
      </c>
      <c r="O1057">
        <v>1</v>
      </c>
      <c r="P1057" t="s">
        <v>45</v>
      </c>
      <c r="Q1057">
        <v>17007</v>
      </c>
      <c r="R1057">
        <v>11929</v>
      </c>
      <c r="S1057">
        <v>7</v>
      </c>
      <c r="T1057">
        <v>0</v>
      </c>
      <c r="U1057" s="17">
        <v>0.14000000000000001</v>
      </c>
      <c r="V1057">
        <v>3</v>
      </c>
      <c r="W1057">
        <v>4</v>
      </c>
      <c r="X1057">
        <v>2</v>
      </c>
      <c r="Y1057">
        <v>16</v>
      </c>
      <c r="Z1057">
        <v>3</v>
      </c>
      <c r="AA1057">
        <v>2</v>
      </c>
      <c r="AB1057">
        <v>14</v>
      </c>
      <c r="AC1057">
        <v>8</v>
      </c>
      <c r="AD1057">
        <v>6</v>
      </c>
      <c r="AE1057">
        <v>9</v>
      </c>
      <c r="AF1057">
        <v>0</v>
      </c>
      <c r="AG1057">
        <f>IF(tbl_HR_Data[[#This Row],[Gender]]="Male",1,0)</f>
        <v>1</v>
      </c>
      <c r="AH1057" cm="1">
        <f t="array" ref="AH1057">_xlfn.SWITCH(tbl_HR_Data[[#This Row],[BusinessTravel]], "Non-Travel", 0, "Travel_Rarely", 1, "Travel_Frequently", 2)</f>
        <v>2</v>
      </c>
      <c r="AI1057" cm="1">
        <f t="array" ref="AI1057">_xlfn.SWITCH(tbl_HR_Data[[#This Row],[MaritalStatus]],"Single",0,"Married",1,"Divorced",2)</f>
        <v>2</v>
      </c>
      <c r="AJ1057">
        <f>IF(tbl_HR_Data[[#This Row],[OverTime]]=1,1,0)</f>
        <v>0</v>
      </c>
      <c r="AK1057">
        <f>IF(tbl_HR_Data[[#This Row],[DistanceFromHome]]&gt;15,1,0)</f>
        <v>0</v>
      </c>
      <c r="AL1057">
        <f>IF(tbl_HR_Data[[#This Row],[JobSatisfaction]]&lt;=2,1,0)</f>
        <v>1</v>
      </c>
      <c r="AM1057">
        <f>IF(tbl_HR_Data[[#This Row],[MonthlyIncome]]&lt;$AT$2,1,0)</f>
        <v>0</v>
      </c>
      <c r="AN1057">
        <f>IF(tbl_HR_Data[[#This Row],[Travel_Code]]=2,1,0)</f>
        <v>1</v>
      </c>
      <c r="AO1057">
        <f>(tbl_HR_Data[[#This Row],[Flag_OT]] * Logic_Parameters!$B$2) +
 (tbl_HR_Data[[#This Row],[Flag_Travel]] * Logic_Parameters!$B$3) +
 (tbl_HR_Data[[#This Row],[Flag_Satisfaction]] * Logic_Parameters!$B$4) +
 (tbl_HR_Data[[#This Row],[Flag_Distance]]* Logic_Parameters!$B$5) +
 (tbl_HR_Data[[#This Row],[Flag_Income]] * Logic_Parameters!$B$6)</f>
        <v>9.3649231104683075</v>
      </c>
      <c r="AP1057" s="15">
        <f>tbl_HR_Data[[#This Row],[Risk_Score_Raw]] / SUM(Logic_Parameters!$B$2:$B$6)</f>
        <v>0.32264513691726432</v>
      </c>
      <c r="AQ1057" s="16" t="str" cm="1">
        <f t="array" ref="AQ1057">_xlfn.IFS(tbl_HR_Data[[#This Row],[Attrition_Risk_Percentage]] &gt;= 0.75, "Critical",tbl_HR_Data[ [#This Row],[Attrition_Risk_Percentage] ]&gt;= 0.5, "High",tbl_HR_Data[[#This Row],[Attrition_Risk_Percentage]] &gt;= 0.25, "Medium",TRUE, "Low")</f>
        <v>Medium</v>
      </c>
      <c r="AR1057" s="16" cm="1">
        <f t="array" ref="AR1057">IFERROR(_xlfn.IFS(tbl_HR_Data[[#This Row],[Risk_Category]]="Critical",tbl_HR_Data[[#This Row],[MonthlyIncome]]*1.5,tbl_HR_Data[[#This Row],[Risk_Category]]="High",tbl_HR_Data[[#This Row],[MonthlyIncome]]*1.5),0)</f>
        <v>0</v>
      </c>
    </row>
    <row r="1058" spans="1:44" x14ac:dyDescent="0.35">
      <c r="A1058" t="s">
        <v>423</v>
      </c>
      <c r="B1058">
        <v>28</v>
      </c>
      <c r="C1058" t="s">
        <v>37</v>
      </c>
      <c r="D1058">
        <v>1496</v>
      </c>
      <c r="E1058" t="s">
        <v>32</v>
      </c>
      <c r="F1058">
        <v>1</v>
      </c>
      <c r="G1058">
        <v>3</v>
      </c>
      <c r="H1058" t="s">
        <v>52</v>
      </c>
      <c r="I1058">
        <v>1</v>
      </c>
      <c r="J1058" t="s">
        <v>39</v>
      </c>
      <c r="K1058">
        <v>92</v>
      </c>
      <c r="L1058">
        <v>3</v>
      </c>
      <c r="M1058">
        <v>1</v>
      </c>
      <c r="N1058" t="s">
        <v>49</v>
      </c>
      <c r="O1058">
        <v>3</v>
      </c>
      <c r="P1058" t="s">
        <v>41</v>
      </c>
      <c r="Q1058">
        <v>2909</v>
      </c>
      <c r="R1058">
        <v>15747</v>
      </c>
      <c r="S1058">
        <v>3</v>
      </c>
      <c r="T1058">
        <v>0</v>
      </c>
      <c r="U1058" s="17">
        <v>0.15</v>
      </c>
      <c r="V1058">
        <v>3</v>
      </c>
      <c r="W1058">
        <v>4</v>
      </c>
      <c r="X1058">
        <v>1</v>
      </c>
      <c r="Y1058">
        <v>5</v>
      </c>
      <c r="Z1058">
        <v>3</v>
      </c>
      <c r="AA1058">
        <v>4</v>
      </c>
      <c r="AB1058">
        <v>3</v>
      </c>
      <c r="AC1058">
        <v>2</v>
      </c>
      <c r="AD1058">
        <v>1</v>
      </c>
      <c r="AE1058">
        <v>2</v>
      </c>
      <c r="AF1058">
        <v>1</v>
      </c>
      <c r="AG1058">
        <f>IF(tbl_HR_Data[[#This Row],[Gender]]="Male",1,0)</f>
        <v>1</v>
      </c>
      <c r="AH1058" cm="1">
        <f t="array" ref="AH1058">_xlfn.SWITCH(tbl_HR_Data[[#This Row],[BusinessTravel]], "Non-Travel", 0, "Travel_Rarely", 1, "Travel_Frequently", 2)</f>
        <v>2</v>
      </c>
      <c r="AI1058" cm="1">
        <f t="array" ref="AI1058">_xlfn.SWITCH(tbl_HR_Data[[#This Row],[MaritalStatus]],"Single",0,"Married",1,"Divorced",2)</f>
        <v>1</v>
      </c>
      <c r="AJ1058">
        <f>IF(tbl_HR_Data[[#This Row],[OverTime]]=1,1,0)</f>
        <v>0</v>
      </c>
      <c r="AK1058">
        <f>IF(tbl_HR_Data[[#This Row],[DistanceFromHome]]&gt;15,1,0)</f>
        <v>0</v>
      </c>
      <c r="AL1058">
        <f>IF(tbl_HR_Data[[#This Row],[JobSatisfaction]]&lt;=2,1,0)</f>
        <v>0</v>
      </c>
      <c r="AM1058">
        <f>IF(tbl_HR_Data[[#This Row],[MonthlyIncome]]&lt;$AT$2,1,0)</f>
        <v>1</v>
      </c>
      <c r="AN1058">
        <f>IF(tbl_HR_Data[[#This Row],[Travel_Code]]=2,1,0)</f>
        <v>1</v>
      </c>
      <c r="AO1058">
        <f>(tbl_HR_Data[[#This Row],[Flag_OT]] * Logic_Parameters!$B$2) +
 (tbl_HR_Data[[#This Row],[Flag_Travel]] * Logic_Parameters!$B$3) +
 (tbl_HR_Data[[#This Row],[Flag_Satisfaction]] * Logic_Parameters!$B$4) +
 (tbl_HR_Data[[#This Row],[Flag_Distance]]* Logic_Parameters!$B$5) +
 (tbl_HR_Data[[#This Row],[Flag_Income]] * Logic_Parameters!$B$6)</f>
        <v>11.654818917911005</v>
      </c>
      <c r="AP1058" s="15">
        <f>tbl_HR_Data[[#This Row],[Risk_Score_Raw]] / SUM(Logic_Parameters!$B$2:$B$6)</f>
        <v>0.40153780240992015</v>
      </c>
      <c r="AQ1058" s="16" t="str" cm="1">
        <f t="array" ref="AQ1058">_xlfn.IFS(tbl_HR_Data[[#This Row],[Attrition_Risk_Percentage]] &gt;= 0.75, "Critical",tbl_HR_Data[ [#This Row],[Attrition_Risk_Percentage] ]&gt;= 0.5, "High",tbl_HR_Data[[#This Row],[Attrition_Risk_Percentage]] &gt;= 0.25, "Medium",TRUE, "Low")</f>
        <v>Medium</v>
      </c>
      <c r="AR1058" s="16" cm="1">
        <f t="array" ref="AR1058">IFERROR(_xlfn.IFS(tbl_HR_Data[[#This Row],[Risk_Category]]="Critical",tbl_HR_Data[[#This Row],[MonthlyIncome]]*1.5,tbl_HR_Data[[#This Row],[Risk_Category]]="High",tbl_HR_Data[[#This Row],[MonthlyIncome]]*1.5),0)</f>
        <v>0</v>
      </c>
    </row>
    <row r="1059" spans="1:44" x14ac:dyDescent="0.35">
      <c r="A1059" t="s">
        <v>817</v>
      </c>
      <c r="B1059">
        <v>29</v>
      </c>
      <c r="C1059" t="s">
        <v>37</v>
      </c>
      <c r="D1059">
        <v>115</v>
      </c>
      <c r="E1059" t="s">
        <v>32</v>
      </c>
      <c r="F1059">
        <v>13</v>
      </c>
      <c r="G1059">
        <v>3</v>
      </c>
      <c r="H1059" t="s">
        <v>52</v>
      </c>
      <c r="I1059">
        <v>1</v>
      </c>
      <c r="J1059" t="s">
        <v>34</v>
      </c>
      <c r="K1059">
        <v>51</v>
      </c>
      <c r="L1059">
        <v>3</v>
      </c>
      <c r="M1059">
        <v>2</v>
      </c>
      <c r="N1059" t="s">
        <v>35</v>
      </c>
      <c r="O1059">
        <v>2</v>
      </c>
      <c r="P1059" t="s">
        <v>36</v>
      </c>
      <c r="Q1059">
        <v>5765</v>
      </c>
      <c r="R1059">
        <v>17485</v>
      </c>
      <c r="S1059">
        <v>5</v>
      </c>
      <c r="T1059">
        <v>0</v>
      </c>
      <c r="U1059" s="17">
        <v>0.11</v>
      </c>
      <c r="V1059">
        <v>3</v>
      </c>
      <c r="W1059">
        <v>1</v>
      </c>
      <c r="X1059">
        <v>0</v>
      </c>
      <c r="Y1059">
        <v>7</v>
      </c>
      <c r="Z1059">
        <v>4</v>
      </c>
      <c r="AA1059">
        <v>1</v>
      </c>
      <c r="AB1059">
        <v>5</v>
      </c>
      <c r="AC1059">
        <v>3</v>
      </c>
      <c r="AD1059">
        <v>0</v>
      </c>
      <c r="AE1059">
        <v>0</v>
      </c>
      <c r="AF1059">
        <v>1</v>
      </c>
      <c r="AG1059">
        <f>IF(tbl_HR_Data[[#This Row],[Gender]]="Male",1,0)</f>
        <v>0</v>
      </c>
      <c r="AH1059" cm="1">
        <f t="array" ref="AH1059">_xlfn.SWITCH(tbl_HR_Data[[#This Row],[BusinessTravel]], "Non-Travel", 0, "Travel_Rarely", 1, "Travel_Frequently", 2)</f>
        <v>2</v>
      </c>
      <c r="AI1059" cm="1">
        <f t="array" ref="AI1059">_xlfn.SWITCH(tbl_HR_Data[[#This Row],[MaritalStatus]],"Single",0,"Married",1,"Divorced",2)</f>
        <v>0</v>
      </c>
      <c r="AJ1059">
        <f>IF(tbl_HR_Data[[#This Row],[OverTime]]=1,1,0)</f>
        <v>0</v>
      </c>
      <c r="AK1059">
        <f>IF(tbl_HR_Data[[#This Row],[DistanceFromHome]]&gt;15,1,0)</f>
        <v>0</v>
      </c>
      <c r="AL1059">
        <f>IF(tbl_HR_Data[[#This Row],[JobSatisfaction]]&lt;=2,1,0)</f>
        <v>1</v>
      </c>
      <c r="AM1059">
        <f>IF(tbl_HR_Data[[#This Row],[MonthlyIncome]]&lt;$AT$2,1,0)</f>
        <v>0</v>
      </c>
      <c r="AN1059">
        <f>IF(tbl_HR_Data[[#This Row],[Travel_Code]]=2,1,0)</f>
        <v>1</v>
      </c>
      <c r="AO1059">
        <f>(tbl_HR_Data[[#This Row],[Flag_OT]] * Logic_Parameters!$B$2) +
 (tbl_HR_Data[[#This Row],[Flag_Travel]] * Logic_Parameters!$B$3) +
 (tbl_HR_Data[[#This Row],[Flag_Satisfaction]] * Logic_Parameters!$B$4) +
 (tbl_HR_Data[[#This Row],[Flag_Distance]]* Logic_Parameters!$B$5) +
 (tbl_HR_Data[[#This Row],[Flag_Income]] * Logic_Parameters!$B$6)</f>
        <v>9.3649231104683075</v>
      </c>
      <c r="AP1059" s="15">
        <f>tbl_HR_Data[[#This Row],[Risk_Score_Raw]] / SUM(Logic_Parameters!$B$2:$B$6)</f>
        <v>0.32264513691726432</v>
      </c>
      <c r="AQ1059" s="16" t="str" cm="1">
        <f t="array" ref="AQ1059">_xlfn.IFS(tbl_HR_Data[[#This Row],[Attrition_Risk_Percentage]] &gt;= 0.75, "Critical",tbl_HR_Data[ [#This Row],[Attrition_Risk_Percentage] ]&gt;= 0.5, "High",tbl_HR_Data[[#This Row],[Attrition_Risk_Percentage]] &gt;= 0.25, "Medium",TRUE, "Low")</f>
        <v>Medium</v>
      </c>
      <c r="AR1059" s="16" cm="1">
        <f t="array" ref="AR1059">IFERROR(_xlfn.IFS(tbl_HR_Data[[#This Row],[Risk_Category]]="Critical",tbl_HR_Data[[#This Row],[MonthlyIncome]]*1.5,tbl_HR_Data[[#This Row],[Risk_Category]]="High",tbl_HR_Data[[#This Row],[MonthlyIncome]]*1.5),0)</f>
        <v>0</v>
      </c>
    </row>
    <row r="1060" spans="1:44" x14ac:dyDescent="0.35">
      <c r="A1060" t="s">
        <v>1281</v>
      </c>
      <c r="B1060">
        <v>34</v>
      </c>
      <c r="C1060" t="s">
        <v>31</v>
      </c>
      <c r="D1060">
        <v>790</v>
      </c>
      <c r="E1060" t="s">
        <v>32</v>
      </c>
      <c r="F1060">
        <v>24</v>
      </c>
      <c r="G1060">
        <v>4</v>
      </c>
      <c r="H1060" t="s">
        <v>44</v>
      </c>
      <c r="I1060">
        <v>1</v>
      </c>
      <c r="J1060" t="s">
        <v>34</v>
      </c>
      <c r="K1060">
        <v>40</v>
      </c>
      <c r="L1060">
        <v>2</v>
      </c>
      <c r="M1060">
        <v>2</v>
      </c>
      <c r="N1060" t="s">
        <v>35</v>
      </c>
      <c r="O1060">
        <v>2</v>
      </c>
      <c r="P1060" t="s">
        <v>36</v>
      </c>
      <c r="Q1060">
        <v>4599</v>
      </c>
      <c r="R1060">
        <v>7815</v>
      </c>
      <c r="S1060">
        <v>0</v>
      </c>
      <c r="T1060">
        <v>1</v>
      </c>
      <c r="U1060" s="17">
        <v>0.23</v>
      </c>
      <c r="V1060">
        <v>4</v>
      </c>
      <c r="W1060">
        <v>3</v>
      </c>
      <c r="X1060">
        <v>0</v>
      </c>
      <c r="Y1060">
        <v>16</v>
      </c>
      <c r="Z1060">
        <v>2</v>
      </c>
      <c r="AA1060">
        <v>4</v>
      </c>
      <c r="AB1060">
        <v>15</v>
      </c>
      <c r="AC1060">
        <v>9</v>
      </c>
      <c r="AD1060">
        <v>10</v>
      </c>
      <c r="AE1060">
        <v>10</v>
      </c>
      <c r="AF1060">
        <v>1</v>
      </c>
      <c r="AG1060">
        <f>IF(tbl_HR_Data[[#This Row],[Gender]]="Male",1,0)</f>
        <v>0</v>
      </c>
      <c r="AH1060" cm="1">
        <f t="array" ref="AH1060">_xlfn.SWITCH(tbl_HR_Data[[#This Row],[BusinessTravel]], "Non-Travel", 0, "Travel_Rarely", 1, "Travel_Frequently", 2)</f>
        <v>1</v>
      </c>
      <c r="AI1060" cm="1">
        <f t="array" ref="AI1060">_xlfn.SWITCH(tbl_HR_Data[[#This Row],[MaritalStatus]],"Single",0,"Married",1,"Divorced",2)</f>
        <v>0</v>
      </c>
      <c r="AJ1060">
        <f>IF(tbl_HR_Data[[#This Row],[OverTime]]=1,1,0)</f>
        <v>1</v>
      </c>
      <c r="AK1060">
        <f>IF(tbl_HR_Data[[#This Row],[DistanceFromHome]]&gt;15,1,0)</f>
        <v>1</v>
      </c>
      <c r="AL1060">
        <f>IF(tbl_HR_Data[[#This Row],[JobSatisfaction]]&lt;=2,1,0)</f>
        <v>1</v>
      </c>
      <c r="AM1060">
        <f>IF(tbl_HR_Data[[#This Row],[MonthlyIncome]]&lt;$AT$2,1,0)</f>
        <v>1</v>
      </c>
      <c r="AN1060">
        <f>IF(tbl_HR_Data[[#This Row],[Travel_Code]]=2,1,0)</f>
        <v>0</v>
      </c>
      <c r="AO1060">
        <f>(tbl_HR_Data[[#This Row],[Flag_OT]] * Logic_Parameters!$B$2) +
 (tbl_HR_Data[[#This Row],[Flag_Travel]] * Logic_Parameters!$B$3) +
 (tbl_HR_Data[[#This Row],[Flag_Satisfaction]] * Logic_Parameters!$B$4) +
 (tbl_HR_Data[[#This Row],[Flag_Distance]]* Logic_Parameters!$B$5) +
 (tbl_HR_Data[[#This Row],[Flag_Income]] * Logic_Parameters!$B$6)</f>
        <v>23.865068763274337</v>
      </c>
      <c r="AP1060" s="15">
        <f>tbl_HR_Data[[#This Row],[Risk_Score_Raw]] / SUM(Logic_Parameters!$B$2:$B$6)</f>
        <v>0.82221159616990469</v>
      </c>
      <c r="AQ1060" s="16" t="str" cm="1">
        <f t="array" ref="AQ1060">_xlfn.IFS(tbl_HR_Data[[#This Row],[Attrition_Risk_Percentage]] &gt;= 0.75, "Critical",tbl_HR_Data[ [#This Row],[Attrition_Risk_Percentage] ]&gt;= 0.5, "High",tbl_HR_Data[[#This Row],[Attrition_Risk_Percentage]] &gt;= 0.25, "Medium",TRUE, "Low")</f>
        <v>Critical</v>
      </c>
      <c r="AR1060" s="16" cm="1">
        <f t="array" ref="AR1060">IFERROR(_xlfn.IFS(tbl_HR_Data[[#This Row],[Risk_Category]]="Critical",tbl_HR_Data[[#This Row],[MonthlyIncome]]*1.5,tbl_HR_Data[[#This Row],[Risk_Category]]="High",tbl_HR_Data[[#This Row],[MonthlyIncome]]*1.5),0)</f>
        <v>6898.5</v>
      </c>
    </row>
    <row r="1061" spans="1:44" x14ac:dyDescent="0.35">
      <c r="A1061" t="s">
        <v>1134</v>
      </c>
      <c r="B1061">
        <v>35</v>
      </c>
      <c r="C1061" t="s">
        <v>31</v>
      </c>
      <c r="D1061">
        <v>660</v>
      </c>
      <c r="E1061" t="s">
        <v>32</v>
      </c>
      <c r="F1061">
        <v>7</v>
      </c>
      <c r="G1061">
        <v>1</v>
      </c>
      <c r="H1061" t="s">
        <v>33</v>
      </c>
      <c r="I1061">
        <v>4</v>
      </c>
      <c r="J1061" t="s">
        <v>39</v>
      </c>
      <c r="K1061">
        <v>76</v>
      </c>
      <c r="L1061">
        <v>3</v>
      </c>
      <c r="M1061">
        <v>1</v>
      </c>
      <c r="N1061" t="s">
        <v>49</v>
      </c>
      <c r="O1061">
        <v>3</v>
      </c>
      <c r="P1061" t="s">
        <v>41</v>
      </c>
      <c r="Q1061">
        <v>2404</v>
      </c>
      <c r="R1061">
        <v>16192</v>
      </c>
      <c r="S1061">
        <v>1</v>
      </c>
      <c r="T1061">
        <v>0</v>
      </c>
      <c r="U1061" s="17">
        <v>0.13</v>
      </c>
      <c r="V1061">
        <v>3</v>
      </c>
      <c r="W1061">
        <v>1</v>
      </c>
      <c r="X1061">
        <v>1</v>
      </c>
      <c r="Y1061">
        <v>1</v>
      </c>
      <c r="Z1061">
        <v>3</v>
      </c>
      <c r="AA1061">
        <v>3</v>
      </c>
      <c r="AB1061">
        <v>1</v>
      </c>
      <c r="AC1061">
        <v>0</v>
      </c>
      <c r="AD1061">
        <v>0</v>
      </c>
      <c r="AE1061">
        <v>0</v>
      </c>
      <c r="AF1061">
        <v>0</v>
      </c>
      <c r="AG1061">
        <f>IF(tbl_HR_Data[[#This Row],[Gender]]="Male",1,0)</f>
        <v>1</v>
      </c>
      <c r="AH1061" cm="1">
        <f t="array" ref="AH1061">_xlfn.SWITCH(tbl_HR_Data[[#This Row],[BusinessTravel]], "Non-Travel", 0, "Travel_Rarely", 1, "Travel_Frequently", 2)</f>
        <v>1</v>
      </c>
      <c r="AI1061" cm="1">
        <f t="array" ref="AI1061">_xlfn.SWITCH(tbl_HR_Data[[#This Row],[MaritalStatus]],"Single",0,"Married",1,"Divorced",2)</f>
        <v>1</v>
      </c>
      <c r="AJ1061">
        <f>IF(tbl_HR_Data[[#This Row],[OverTime]]=1,1,0)</f>
        <v>0</v>
      </c>
      <c r="AK1061">
        <f>IF(tbl_HR_Data[[#This Row],[DistanceFromHome]]&gt;15,1,0)</f>
        <v>0</v>
      </c>
      <c r="AL1061">
        <f>IF(tbl_HR_Data[[#This Row],[JobSatisfaction]]&lt;=2,1,0)</f>
        <v>0</v>
      </c>
      <c r="AM1061">
        <f>IF(tbl_HR_Data[[#This Row],[MonthlyIncome]]&lt;$AT$2,1,0)</f>
        <v>1</v>
      </c>
      <c r="AN1061">
        <f>IF(tbl_HR_Data[[#This Row],[Travel_Code]]=2,1,0)</f>
        <v>0</v>
      </c>
      <c r="AO1061">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061" s="15">
        <f>tbl_HR_Data[[#This Row],[Risk_Score_Raw]] / SUM(Logic_Parameters!$B$2:$B$6)</f>
        <v>0.22374939857982484</v>
      </c>
      <c r="AQ1061" s="16" t="str" cm="1">
        <f t="array" ref="AQ1061">_xlfn.IFS(tbl_HR_Data[[#This Row],[Attrition_Risk_Percentage]] &gt;= 0.75, "Critical",tbl_HR_Data[ [#This Row],[Attrition_Risk_Percentage] ]&gt;= 0.5, "High",tbl_HR_Data[[#This Row],[Attrition_Risk_Percentage]] &gt;= 0.25, "Medium",TRUE, "Low")</f>
        <v>Low</v>
      </c>
      <c r="AR1061" s="16" cm="1">
        <f t="array" ref="AR1061">IFERROR(_xlfn.IFS(tbl_HR_Data[[#This Row],[Risk_Category]]="Critical",tbl_HR_Data[[#This Row],[MonthlyIncome]]*1.5,tbl_HR_Data[[#This Row],[Risk_Category]]="High",tbl_HR_Data[[#This Row],[MonthlyIncome]]*1.5),0)</f>
        <v>0</v>
      </c>
    </row>
    <row r="1062" spans="1:44" x14ac:dyDescent="0.35">
      <c r="A1062" t="s">
        <v>1476</v>
      </c>
      <c r="B1062">
        <v>24</v>
      </c>
      <c r="C1062" t="s">
        <v>37</v>
      </c>
      <c r="D1062">
        <v>381</v>
      </c>
      <c r="E1062" t="s">
        <v>38</v>
      </c>
      <c r="F1062">
        <v>9</v>
      </c>
      <c r="G1062">
        <v>3</v>
      </c>
      <c r="H1062" t="s">
        <v>44</v>
      </c>
      <c r="I1062">
        <v>2</v>
      </c>
      <c r="J1062" t="s">
        <v>39</v>
      </c>
      <c r="K1062">
        <v>89</v>
      </c>
      <c r="L1062">
        <v>3</v>
      </c>
      <c r="M1062">
        <v>1</v>
      </c>
      <c r="N1062" t="s">
        <v>43</v>
      </c>
      <c r="O1062">
        <v>1</v>
      </c>
      <c r="P1062" t="s">
        <v>36</v>
      </c>
      <c r="Q1062">
        <v>3172</v>
      </c>
      <c r="R1062">
        <v>16998</v>
      </c>
      <c r="S1062">
        <v>2</v>
      </c>
      <c r="T1062">
        <v>1</v>
      </c>
      <c r="U1062" s="17">
        <v>0.11</v>
      </c>
      <c r="V1062">
        <v>3</v>
      </c>
      <c r="W1062">
        <v>3</v>
      </c>
      <c r="X1062">
        <v>0</v>
      </c>
      <c r="Y1062">
        <v>4</v>
      </c>
      <c r="Z1062">
        <v>2</v>
      </c>
      <c r="AA1062">
        <v>2</v>
      </c>
      <c r="AB1062">
        <v>0</v>
      </c>
      <c r="AC1062">
        <v>0</v>
      </c>
      <c r="AD1062">
        <v>0</v>
      </c>
      <c r="AE1062">
        <v>0</v>
      </c>
      <c r="AF1062">
        <v>1</v>
      </c>
      <c r="AG1062">
        <f>IF(tbl_HR_Data[[#This Row],[Gender]]="Male",1,0)</f>
        <v>1</v>
      </c>
      <c r="AH1062" cm="1">
        <f t="array" ref="AH1062">_xlfn.SWITCH(tbl_HR_Data[[#This Row],[BusinessTravel]], "Non-Travel", 0, "Travel_Rarely", 1, "Travel_Frequently", 2)</f>
        <v>2</v>
      </c>
      <c r="AI1062" cm="1">
        <f t="array" ref="AI1062">_xlfn.SWITCH(tbl_HR_Data[[#This Row],[MaritalStatus]],"Single",0,"Married",1,"Divorced",2)</f>
        <v>0</v>
      </c>
      <c r="AJ1062">
        <f>IF(tbl_HR_Data[[#This Row],[OverTime]]=1,1,0)</f>
        <v>1</v>
      </c>
      <c r="AK1062">
        <f>IF(tbl_HR_Data[[#This Row],[DistanceFromHome]]&gt;15,1,0)</f>
        <v>0</v>
      </c>
      <c r="AL1062">
        <f>IF(tbl_HR_Data[[#This Row],[JobSatisfaction]]&lt;=2,1,0)</f>
        <v>1</v>
      </c>
      <c r="AM1062">
        <f>IF(tbl_HR_Data[[#This Row],[MonthlyIncome]]&lt;$AT$2,1,0)</f>
        <v>1</v>
      </c>
      <c r="AN1062">
        <f>IF(tbl_HR_Data[[#This Row],[Travel_Code]]=2,1,0)</f>
        <v>1</v>
      </c>
      <c r="AO1062">
        <f>(tbl_HR_Data[[#This Row],[Flag_OT]] * Logic_Parameters!$B$2) +
 (tbl_HR_Data[[#This Row],[Flag_Travel]] * Logic_Parameters!$B$3) +
 (tbl_HR_Data[[#This Row],[Flag_Satisfaction]] * Logic_Parameters!$B$4) +
 (tbl_HR_Data[[#This Row],[Flag_Distance]]* Logic_Parameters!$B$5) +
 (tbl_HR_Data[[#This Row],[Flag_Income]] * Logic_Parameters!$B$6)</f>
        <v>25.859352047889136</v>
      </c>
      <c r="AP1062" s="15">
        <f>tbl_HR_Data[[#This Row],[Risk_Score_Raw]] / SUM(Logic_Parameters!$B$2:$B$6)</f>
        <v>0.8909196673228964</v>
      </c>
      <c r="AQ1062" s="16" t="str" cm="1">
        <f t="array" ref="AQ1062">_xlfn.IFS(tbl_HR_Data[[#This Row],[Attrition_Risk_Percentage]] &gt;= 0.75, "Critical",tbl_HR_Data[ [#This Row],[Attrition_Risk_Percentage] ]&gt;= 0.5, "High",tbl_HR_Data[[#This Row],[Attrition_Risk_Percentage]] &gt;= 0.25, "Medium",TRUE, "Low")</f>
        <v>Critical</v>
      </c>
      <c r="AR1062" s="16" cm="1">
        <f t="array" ref="AR1062">IFERROR(_xlfn.IFS(tbl_HR_Data[[#This Row],[Risk_Category]]="Critical",tbl_HR_Data[[#This Row],[MonthlyIncome]]*1.5,tbl_HR_Data[[#This Row],[Risk_Category]]="High",tbl_HR_Data[[#This Row],[MonthlyIncome]]*1.5),0)</f>
        <v>4758</v>
      </c>
    </row>
    <row r="1063" spans="1:44" x14ac:dyDescent="0.35">
      <c r="A1063" t="s">
        <v>425</v>
      </c>
      <c r="B1063">
        <v>24</v>
      </c>
      <c r="C1063" t="s">
        <v>1525</v>
      </c>
      <c r="D1063">
        <v>830</v>
      </c>
      <c r="E1063" t="s">
        <v>32</v>
      </c>
      <c r="F1063">
        <v>13</v>
      </c>
      <c r="G1063">
        <v>2</v>
      </c>
      <c r="H1063" t="s">
        <v>33</v>
      </c>
      <c r="I1063">
        <v>4</v>
      </c>
      <c r="J1063" t="s">
        <v>34</v>
      </c>
      <c r="K1063">
        <v>78</v>
      </c>
      <c r="L1063">
        <v>3</v>
      </c>
      <c r="M1063">
        <v>1</v>
      </c>
      <c r="N1063" t="s">
        <v>49</v>
      </c>
      <c r="O1063">
        <v>2</v>
      </c>
      <c r="P1063" t="s">
        <v>41</v>
      </c>
      <c r="Q1063">
        <v>2033</v>
      </c>
      <c r="R1063">
        <v>7103</v>
      </c>
      <c r="S1063">
        <v>1</v>
      </c>
      <c r="T1063">
        <v>0</v>
      </c>
      <c r="U1063" s="17">
        <v>0.13</v>
      </c>
      <c r="V1063">
        <v>3</v>
      </c>
      <c r="W1063">
        <v>3</v>
      </c>
      <c r="X1063">
        <v>1</v>
      </c>
      <c r="Y1063">
        <v>1</v>
      </c>
      <c r="Z1063">
        <v>2</v>
      </c>
      <c r="AA1063">
        <v>3</v>
      </c>
      <c r="AB1063">
        <v>1</v>
      </c>
      <c r="AC1063">
        <v>0</v>
      </c>
      <c r="AD1063">
        <v>0</v>
      </c>
      <c r="AE1063">
        <v>0</v>
      </c>
      <c r="AF1063">
        <v>0</v>
      </c>
      <c r="AG1063">
        <f>IF(tbl_HR_Data[[#This Row],[Gender]]="Male",1,0)</f>
        <v>0</v>
      </c>
      <c r="AH1063" cm="1">
        <f t="array" ref="AH1063">_xlfn.SWITCH(tbl_HR_Data[[#This Row],[BusinessTravel]], "Non-Travel", 0, "Travel_Rarely", 1, "Travel_Frequently", 2)</f>
        <v>0</v>
      </c>
      <c r="AI1063" cm="1">
        <f t="array" ref="AI1063">_xlfn.SWITCH(tbl_HR_Data[[#This Row],[MaritalStatus]],"Single",0,"Married",1,"Divorced",2)</f>
        <v>1</v>
      </c>
      <c r="AJ1063">
        <f>IF(tbl_HR_Data[[#This Row],[OverTime]]=1,1,0)</f>
        <v>0</v>
      </c>
      <c r="AK1063">
        <f>IF(tbl_HR_Data[[#This Row],[DistanceFromHome]]&gt;15,1,0)</f>
        <v>0</v>
      </c>
      <c r="AL1063">
        <f>IF(tbl_HR_Data[[#This Row],[JobSatisfaction]]&lt;=2,1,0)</f>
        <v>1</v>
      </c>
      <c r="AM1063">
        <f>IF(tbl_HR_Data[[#This Row],[MonthlyIncome]]&lt;$AT$2,1,0)</f>
        <v>1</v>
      </c>
      <c r="AN1063">
        <f>IF(tbl_HR_Data[[#This Row],[Travel_Code]]=2,1,0)</f>
        <v>0</v>
      </c>
      <c r="AO1063">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063" s="15">
        <f>tbl_HR_Data[[#This Row],[Risk_Score_Raw]] / SUM(Logic_Parameters!$B$2:$B$6)</f>
        <v>0.3686061316669938</v>
      </c>
      <c r="AQ1063" s="16" t="str" cm="1">
        <f t="array" ref="AQ1063">_xlfn.IFS(tbl_HR_Data[[#This Row],[Attrition_Risk_Percentage]] &gt;= 0.75, "Critical",tbl_HR_Data[ [#This Row],[Attrition_Risk_Percentage] ]&gt;= 0.5, "High",tbl_HR_Data[[#This Row],[Attrition_Risk_Percentage]] &gt;= 0.25, "Medium",TRUE, "Low")</f>
        <v>Medium</v>
      </c>
      <c r="AR1063" s="16" cm="1">
        <f t="array" ref="AR1063">IFERROR(_xlfn.IFS(tbl_HR_Data[[#This Row],[Risk_Category]]="Critical",tbl_HR_Data[[#This Row],[MonthlyIncome]]*1.5,tbl_HR_Data[[#This Row],[Risk_Category]]="High",tbl_HR_Data[[#This Row],[MonthlyIncome]]*1.5),0)</f>
        <v>0</v>
      </c>
    </row>
    <row r="1064" spans="1:44" x14ac:dyDescent="0.35">
      <c r="A1064" t="s">
        <v>1331</v>
      </c>
      <c r="B1064">
        <v>44</v>
      </c>
      <c r="C1064" t="s">
        <v>37</v>
      </c>
      <c r="D1064">
        <v>1193</v>
      </c>
      <c r="E1064" t="s">
        <v>38</v>
      </c>
      <c r="F1064">
        <v>2</v>
      </c>
      <c r="G1064">
        <v>1</v>
      </c>
      <c r="H1064" t="s">
        <v>44</v>
      </c>
      <c r="I1064">
        <v>2</v>
      </c>
      <c r="J1064" t="s">
        <v>39</v>
      </c>
      <c r="K1064">
        <v>86</v>
      </c>
      <c r="L1064">
        <v>3</v>
      </c>
      <c r="M1064">
        <v>3</v>
      </c>
      <c r="N1064" t="s">
        <v>46</v>
      </c>
      <c r="O1064">
        <v>3</v>
      </c>
      <c r="P1064" t="s">
        <v>36</v>
      </c>
      <c r="Q1064">
        <v>10209</v>
      </c>
      <c r="R1064">
        <v>19719</v>
      </c>
      <c r="S1064">
        <v>5</v>
      </c>
      <c r="T1064">
        <v>1</v>
      </c>
      <c r="U1064" s="17">
        <v>0.18</v>
      </c>
      <c r="V1064">
        <v>3</v>
      </c>
      <c r="W1064">
        <v>2</v>
      </c>
      <c r="X1064">
        <v>0</v>
      </c>
      <c r="Y1064">
        <v>16</v>
      </c>
      <c r="Z1064">
        <v>2</v>
      </c>
      <c r="AA1064">
        <v>2</v>
      </c>
      <c r="AB1064">
        <v>2</v>
      </c>
      <c r="AC1064">
        <v>2</v>
      </c>
      <c r="AD1064">
        <v>2</v>
      </c>
      <c r="AE1064">
        <v>2</v>
      </c>
      <c r="AF1064">
        <v>0</v>
      </c>
      <c r="AG1064">
        <f>IF(tbl_HR_Data[[#This Row],[Gender]]="Male",1,0)</f>
        <v>1</v>
      </c>
      <c r="AH1064" cm="1">
        <f t="array" ref="AH1064">_xlfn.SWITCH(tbl_HR_Data[[#This Row],[BusinessTravel]], "Non-Travel", 0, "Travel_Rarely", 1, "Travel_Frequently", 2)</f>
        <v>2</v>
      </c>
      <c r="AI1064" cm="1">
        <f t="array" ref="AI1064">_xlfn.SWITCH(tbl_HR_Data[[#This Row],[MaritalStatus]],"Single",0,"Married",1,"Divorced",2)</f>
        <v>0</v>
      </c>
      <c r="AJ1064">
        <f>IF(tbl_HR_Data[[#This Row],[OverTime]]=1,1,0)</f>
        <v>1</v>
      </c>
      <c r="AK1064">
        <f>IF(tbl_HR_Data[[#This Row],[DistanceFromHome]]&gt;15,1,0)</f>
        <v>0</v>
      </c>
      <c r="AL1064">
        <f>IF(tbl_HR_Data[[#This Row],[JobSatisfaction]]&lt;=2,1,0)</f>
        <v>0</v>
      </c>
      <c r="AM1064">
        <f>IF(tbl_HR_Data[[#This Row],[MonthlyIncome]]&lt;$AT$2,1,0)</f>
        <v>0</v>
      </c>
      <c r="AN1064">
        <f>IF(tbl_HR_Data[[#This Row],[Travel_Code]]=2,1,0)</f>
        <v>1</v>
      </c>
      <c r="AO1064">
        <f>(tbl_HR_Data[[#This Row],[Flag_OT]] * Logic_Parameters!$B$2) +
 (tbl_HR_Data[[#This Row],[Flag_Travel]] * Logic_Parameters!$B$3) +
 (tbl_HR_Data[[#This Row],[Flag_Satisfaction]] * Logic_Parameters!$B$4) +
 (tbl_HR_Data[[#This Row],[Flag_Distance]]* Logic_Parameters!$B$5) +
 (tbl_HR_Data[[#This Row],[Flag_Income]] * Logic_Parameters!$B$6)</f>
        <v>15.160389980490176</v>
      </c>
      <c r="AP1064" s="15">
        <f>tbl_HR_Data[[#This Row],[Risk_Score_Raw]] / SUM(Logic_Parameters!$B$2:$B$6)</f>
        <v>0.52231353565590266</v>
      </c>
      <c r="AQ1064" s="16" t="str" cm="1">
        <f t="array" ref="AQ1064">_xlfn.IFS(tbl_HR_Data[[#This Row],[Attrition_Risk_Percentage]] &gt;= 0.75, "Critical",tbl_HR_Data[ [#This Row],[Attrition_Risk_Percentage] ]&gt;= 0.5, "High",tbl_HR_Data[[#This Row],[Attrition_Risk_Percentage]] &gt;= 0.25, "Medium",TRUE, "Low")</f>
        <v>High</v>
      </c>
      <c r="AR1064" s="16" cm="1">
        <f t="array" ref="AR1064">IFERROR(_xlfn.IFS(tbl_HR_Data[[#This Row],[Risk_Category]]="Critical",tbl_HR_Data[[#This Row],[MonthlyIncome]]*1.5,tbl_HR_Data[[#This Row],[Risk_Category]]="High",tbl_HR_Data[[#This Row],[MonthlyIncome]]*1.5),0)</f>
        <v>15313.5</v>
      </c>
    </row>
    <row r="1065" spans="1:44" x14ac:dyDescent="0.35">
      <c r="A1065" t="s">
        <v>908</v>
      </c>
      <c r="B1065">
        <v>29</v>
      </c>
      <c r="C1065" t="s">
        <v>31</v>
      </c>
      <c r="D1065">
        <v>1246</v>
      </c>
      <c r="E1065" t="s">
        <v>32</v>
      </c>
      <c r="F1065">
        <v>19</v>
      </c>
      <c r="G1065">
        <v>3</v>
      </c>
      <c r="H1065" t="s">
        <v>33</v>
      </c>
      <c r="I1065">
        <v>3</v>
      </c>
      <c r="J1065" t="s">
        <v>39</v>
      </c>
      <c r="K1065">
        <v>77</v>
      </c>
      <c r="L1065">
        <v>2</v>
      </c>
      <c r="M1065">
        <v>2</v>
      </c>
      <c r="N1065" t="s">
        <v>35</v>
      </c>
      <c r="O1065">
        <v>3</v>
      </c>
      <c r="P1065" t="s">
        <v>45</v>
      </c>
      <c r="Q1065">
        <v>8620</v>
      </c>
      <c r="R1065">
        <v>23757</v>
      </c>
      <c r="S1065">
        <v>1</v>
      </c>
      <c r="T1065">
        <v>0</v>
      </c>
      <c r="U1065" s="17">
        <v>0.14000000000000001</v>
      </c>
      <c r="V1065">
        <v>3</v>
      </c>
      <c r="W1065">
        <v>3</v>
      </c>
      <c r="X1065">
        <v>2</v>
      </c>
      <c r="Y1065">
        <v>10</v>
      </c>
      <c r="Z1065">
        <v>3</v>
      </c>
      <c r="AA1065">
        <v>3</v>
      </c>
      <c r="AB1065">
        <v>10</v>
      </c>
      <c r="AC1065">
        <v>7</v>
      </c>
      <c r="AD1065">
        <v>0</v>
      </c>
      <c r="AE1065">
        <v>4</v>
      </c>
      <c r="AF1065">
        <v>0</v>
      </c>
      <c r="AG1065">
        <f>IF(tbl_HR_Data[[#This Row],[Gender]]="Male",1,0)</f>
        <v>1</v>
      </c>
      <c r="AH1065" cm="1">
        <f t="array" ref="AH1065">_xlfn.SWITCH(tbl_HR_Data[[#This Row],[BusinessTravel]], "Non-Travel", 0, "Travel_Rarely", 1, "Travel_Frequently", 2)</f>
        <v>1</v>
      </c>
      <c r="AI1065" cm="1">
        <f t="array" ref="AI1065">_xlfn.SWITCH(tbl_HR_Data[[#This Row],[MaritalStatus]],"Single",0,"Married",1,"Divorced",2)</f>
        <v>2</v>
      </c>
      <c r="AJ1065">
        <f>IF(tbl_HR_Data[[#This Row],[OverTime]]=1,1,0)</f>
        <v>0</v>
      </c>
      <c r="AK1065">
        <f>IF(tbl_HR_Data[[#This Row],[DistanceFromHome]]&gt;15,1,0)</f>
        <v>1</v>
      </c>
      <c r="AL1065">
        <f>IF(tbl_HR_Data[[#This Row],[JobSatisfaction]]&lt;=2,1,0)</f>
        <v>0</v>
      </c>
      <c r="AM1065">
        <f>IF(tbl_HR_Data[[#This Row],[MonthlyIncome]]&lt;$AT$2,1,0)</f>
        <v>0</v>
      </c>
      <c r="AN1065">
        <f>IF(tbl_HR_Data[[#This Row],[Travel_Code]]=2,1,0)</f>
        <v>0</v>
      </c>
      <c r="AO1065">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1065" s="15">
        <f>tbl_HR_Data[[#This Row],[Risk_Score_Raw]] / SUM(Logic_Parameters!$B$2:$B$6)</f>
        <v>0.10908033267710357</v>
      </c>
      <c r="AQ1065" s="16" t="str" cm="1">
        <f t="array" ref="AQ1065">_xlfn.IFS(tbl_HR_Data[[#This Row],[Attrition_Risk_Percentage]] &gt;= 0.75, "Critical",tbl_HR_Data[ [#This Row],[Attrition_Risk_Percentage] ]&gt;= 0.5, "High",tbl_HR_Data[[#This Row],[Attrition_Risk_Percentage]] &gt;= 0.25, "Medium",TRUE, "Low")</f>
        <v>Low</v>
      </c>
      <c r="AR1065" s="16" cm="1">
        <f t="array" ref="AR1065">IFERROR(_xlfn.IFS(tbl_HR_Data[[#This Row],[Risk_Category]]="Critical",tbl_HR_Data[[#This Row],[MonthlyIncome]]*1.5,tbl_HR_Data[[#This Row],[Risk_Category]]="High",tbl_HR_Data[[#This Row],[MonthlyIncome]]*1.5),0)</f>
        <v>0</v>
      </c>
    </row>
    <row r="1066" spans="1:44" x14ac:dyDescent="0.35">
      <c r="A1066" t="s">
        <v>1342</v>
      </c>
      <c r="B1066">
        <v>30</v>
      </c>
      <c r="C1066" t="s">
        <v>31</v>
      </c>
      <c r="D1066">
        <v>330</v>
      </c>
      <c r="E1066" t="s">
        <v>53</v>
      </c>
      <c r="F1066">
        <v>1</v>
      </c>
      <c r="G1066">
        <v>3</v>
      </c>
      <c r="H1066" t="s">
        <v>33</v>
      </c>
      <c r="I1066">
        <v>3</v>
      </c>
      <c r="J1066" t="s">
        <v>39</v>
      </c>
      <c r="K1066">
        <v>46</v>
      </c>
      <c r="L1066">
        <v>3</v>
      </c>
      <c r="M1066">
        <v>1</v>
      </c>
      <c r="N1066" t="s">
        <v>53</v>
      </c>
      <c r="O1066">
        <v>3</v>
      </c>
      <c r="P1066" t="s">
        <v>45</v>
      </c>
      <c r="Q1066">
        <v>2064</v>
      </c>
      <c r="R1066">
        <v>15428</v>
      </c>
      <c r="S1066">
        <v>0</v>
      </c>
      <c r="T1066">
        <v>0</v>
      </c>
      <c r="U1066" s="17">
        <v>0.21</v>
      </c>
      <c r="V1066">
        <v>4</v>
      </c>
      <c r="W1066">
        <v>1</v>
      </c>
      <c r="X1066">
        <v>1</v>
      </c>
      <c r="Y1066">
        <v>6</v>
      </c>
      <c r="Z1066">
        <v>3</v>
      </c>
      <c r="AA1066">
        <v>4</v>
      </c>
      <c r="AB1066">
        <v>5</v>
      </c>
      <c r="AC1066">
        <v>3</v>
      </c>
      <c r="AD1066">
        <v>1</v>
      </c>
      <c r="AE1066">
        <v>3</v>
      </c>
      <c r="AF1066">
        <v>0</v>
      </c>
      <c r="AG1066">
        <f>IF(tbl_HR_Data[[#This Row],[Gender]]="Male",1,0)</f>
        <v>1</v>
      </c>
      <c r="AH1066" cm="1">
        <f t="array" ref="AH1066">_xlfn.SWITCH(tbl_HR_Data[[#This Row],[BusinessTravel]], "Non-Travel", 0, "Travel_Rarely", 1, "Travel_Frequently", 2)</f>
        <v>1</v>
      </c>
      <c r="AI1066" cm="1">
        <f t="array" ref="AI1066">_xlfn.SWITCH(tbl_HR_Data[[#This Row],[MaritalStatus]],"Single",0,"Married",1,"Divorced",2)</f>
        <v>2</v>
      </c>
      <c r="AJ1066">
        <f>IF(tbl_HR_Data[[#This Row],[OverTime]]=1,1,0)</f>
        <v>0</v>
      </c>
      <c r="AK1066">
        <f>IF(tbl_HR_Data[[#This Row],[DistanceFromHome]]&gt;15,1,0)</f>
        <v>0</v>
      </c>
      <c r="AL1066">
        <f>IF(tbl_HR_Data[[#This Row],[JobSatisfaction]]&lt;=2,1,0)</f>
        <v>0</v>
      </c>
      <c r="AM1066">
        <f>IF(tbl_HR_Data[[#This Row],[MonthlyIncome]]&lt;$AT$2,1,0)</f>
        <v>1</v>
      </c>
      <c r="AN1066">
        <f>IF(tbl_HR_Data[[#This Row],[Travel_Code]]=2,1,0)</f>
        <v>0</v>
      </c>
      <c r="AO1066">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066" s="15">
        <f>tbl_HR_Data[[#This Row],[Risk_Score_Raw]] / SUM(Logic_Parameters!$B$2:$B$6)</f>
        <v>0.22374939857982484</v>
      </c>
      <c r="AQ1066" s="16" t="str" cm="1">
        <f t="array" ref="AQ1066">_xlfn.IFS(tbl_HR_Data[[#This Row],[Attrition_Risk_Percentage]] &gt;= 0.75, "Critical",tbl_HR_Data[ [#This Row],[Attrition_Risk_Percentage] ]&gt;= 0.5, "High",tbl_HR_Data[[#This Row],[Attrition_Risk_Percentage]] &gt;= 0.25, "Medium",TRUE, "Low")</f>
        <v>Low</v>
      </c>
      <c r="AR1066" s="16" cm="1">
        <f t="array" ref="AR1066">IFERROR(_xlfn.IFS(tbl_HR_Data[[#This Row],[Risk_Category]]="Critical",tbl_HR_Data[[#This Row],[MonthlyIncome]]*1.5,tbl_HR_Data[[#This Row],[Risk_Category]]="High",tbl_HR_Data[[#This Row],[MonthlyIncome]]*1.5),0)</f>
        <v>0</v>
      </c>
    </row>
    <row r="1067" spans="1:44" x14ac:dyDescent="0.35">
      <c r="A1067" t="s">
        <v>64</v>
      </c>
      <c r="B1067">
        <v>55</v>
      </c>
      <c r="C1067" t="s">
        <v>31</v>
      </c>
      <c r="D1067">
        <v>1229</v>
      </c>
      <c r="E1067" t="s">
        <v>38</v>
      </c>
      <c r="F1067">
        <v>4</v>
      </c>
      <c r="G1067">
        <v>4</v>
      </c>
      <c r="H1067" t="s">
        <v>33</v>
      </c>
      <c r="I1067">
        <v>4</v>
      </c>
      <c r="J1067" t="s">
        <v>39</v>
      </c>
      <c r="K1067">
        <v>30</v>
      </c>
      <c r="L1067">
        <v>3</v>
      </c>
      <c r="M1067">
        <v>2</v>
      </c>
      <c r="N1067" t="s">
        <v>47</v>
      </c>
      <c r="O1067">
        <v>3</v>
      </c>
      <c r="P1067" t="s">
        <v>41</v>
      </c>
      <c r="Q1067">
        <v>4035</v>
      </c>
      <c r="R1067">
        <v>16143</v>
      </c>
      <c r="S1067">
        <v>0</v>
      </c>
      <c r="T1067">
        <v>1</v>
      </c>
      <c r="U1067" s="17">
        <v>0.16</v>
      </c>
      <c r="V1067">
        <v>3</v>
      </c>
      <c r="W1067">
        <v>2</v>
      </c>
      <c r="X1067">
        <v>0</v>
      </c>
      <c r="Y1067">
        <v>4</v>
      </c>
      <c r="Z1067">
        <v>2</v>
      </c>
      <c r="AA1067">
        <v>3</v>
      </c>
      <c r="AB1067">
        <v>3</v>
      </c>
      <c r="AC1067">
        <v>2</v>
      </c>
      <c r="AD1067">
        <v>1</v>
      </c>
      <c r="AE1067">
        <v>2</v>
      </c>
      <c r="AF1067">
        <v>0</v>
      </c>
      <c r="AG1067">
        <f>IF(tbl_HR_Data[[#This Row],[Gender]]="Male",1,0)</f>
        <v>1</v>
      </c>
      <c r="AH1067" cm="1">
        <f t="array" ref="AH1067">_xlfn.SWITCH(tbl_HR_Data[[#This Row],[BusinessTravel]], "Non-Travel", 0, "Travel_Rarely", 1, "Travel_Frequently", 2)</f>
        <v>1</v>
      </c>
      <c r="AI1067" cm="1">
        <f t="array" ref="AI1067">_xlfn.SWITCH(tbl_HR_Data[[#This Row],[MaritalStatus]],"Single",0,"Married",1,"Divorced",2)</f>
        <v>1</v>
      </c>
      <c r="AJ1067">
        <f>IF(tbl_HR_Data[[#This Row],[OverTime]]=1,1,0)</f>
        <v>1</v>
      </c>
      <c r="AK1067">
        <f>IF(tbl_HR_Data[[#This Row],[DistanceFromHome]]&gt;15,1,0)</f>
        <v>0</v>
      </c>
      <c r="AL1067">
        <f>IF(tbl_HR_Data[[#This Row],[JobSatisfaction]]&lt;=2,1,0)</f>
        <v>0</v>
      </c>
      <c r="AM1067">
        <f>IF(tbl_HR_Data[[#This Row],[MonthlyIncome]]&lt;$AT$2,1,0)</f>
        <v>1</v>
      </c>
      <c r="AN1067">
        <f>IF(tbl_HR_Data[[#This Row],[Travel_Code]]=2,1,0)</f>
        <v>0</v>
      </c>
      <c r="AO1067">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1067" s="15">
        <f>tbl_HR_Data[[#This Row],[Risk_Score_Raw]] / SUM(Logic_Parameters!$B$2:$B$6)</f>
        <v>0.56827453040563214</v>
      </c>
      <c r="AQ1067" s="16" t="str" cm="1">
        <f t="array" ref="AQ1067">_xlfn.IFS(tbl_HR_Data[[#This Row],[Attrition_Risk_Percentage]] &gt;= 0.75, "Critical",tbl_HR_Data[ [#This Row],[Attrition_Risk_Percentage] ]&gt;= 0.5, "High",tbl_HR_Data[[#This Row],[Attrition_Risk_Percentage]] &gt;= 0.25, "Medium",TRUE, "Low")</f>
        <v>High</v>
      </c>
      <c r="AR1067" s="16" cm="1">
        <f t="array" ref="AR1067">IFERROR(_xlfn.IFS(tbl_HR_Data[[#This Row],[Risk_Category]]="Critical",tbl_HR_Data[[#This Row],[MonthlyIncome]]*1.5,tbl_HR_Data[[#This Row],[Risk_Category]]="High",tbl_HR_Data[[#This Row],[MonthlyIncome]]*1.5),0)</f>
        <v>6052.5</v>
      </c>
    </row>
    <row r="1068" spans="1:44" x14ac:dyDescent="0.35">
      <c r="A1068" t="s">
        <v>154</v>
      </c>
      <c r="B1068">
        <v>33</v>
      </c>
      <c r="C1068" t="s">
        <v>31</v>
      </c>
      <c r="D1068">
        <v>1099</v>
      </c>
      <c r="E1068" t="s">
        <v>38</v>
      </c>
      <c r="F1068">
        <v>4</v>
      </c>
      <c r="G1068">
        <v>4</v>
      </c>
      <c r="H1068" t="s">
        <v>44</v>
      </c>
      <c r="I1068">
        <v>1</v>
      </c>
      <c r="J1068" t="s">
        <v>34</v>
      </c>
      <c r="K1068">
        <v>82</v>
      </c>
      <c r="L1068">
        <v>2</v>
      </c>
      <c r="M1068">
        <v>1</v>
      </c>
      <c r="N1068" t="s">
        <v>43</v>
      </c>
      <c r="O1068">
        <v>2</v>
      </c>
      <c r="P1068" t="s">
        <v>41</v>
      </c>
      <c r="Q1068">
        <v>3838</v>
      </c>
      <c r="R1068">
        <v>8192</v>
      </c>
      <c r="S1068">
        <v>8</v>
      </c>
      <c r="T1068">
        <v>0</v>
      </c>
      <c r="U1068" s="17">
        <v>0.11</v>
      </c>
      <c r="V1068">
        <v>3</v>
      </c>
      <c r="W1068">
        <v>4</v>
      </c>
      <c r="X1068">
        <v>0</v>
      </c>
      <c r="Y1068">
        <v>8</v>
      </c>
      <c r="Z1068">
        <v>5</v>
      </c>
      <c r="AA1068">
        <v>3</v>
      </c>
      <c r="AB1068">
        <v>5</v>
      </c>
      <c r="AC1068">
        <v>4</v>
      </c>
      <c r="AD1068">
        <v>0</v>
      </c>
      <c r="AE1068">
        <v>2</v>
      </c>
      <c r="AF1068">
        <v>0</v>
      </c>
      <c r="AG1068">
        <f>IF(tbl_HR_Data[[#This Row],[Gender]]="Male",1,0)</f>
        <v>0</v>
      </c>
      <c r="AH1068" cm="1">
        <f t="array" ref="AH1068">_xlfn.SWITCH(tbl_HR_Data[[#This Row],[BusinessTravel]], "Non-Travel", 0, "Travel_Rarely", 1, "Travel_Frequently", 2)</f>
        <v>1</v>
      </c>
      <c r="AI1068" cm="1">
        <f t="array" ref="AI1068">_xlfn.SWITCH(tbl_HR_Data[[#This Row],[MaritalStatus]],"Single",0,"Married",1,"Divorced",2)</f>
        <v>1</v>
      </c>
      <c r="AJ1068">
        <f>IF(tbl_HR_Data[[#This Row],[OverTime]]=1,1,0)</f>
        <v>0</v>
      </c>
      <c r="AK1068">
        <f>IF(tbl_HR_Data[[#This Row],[DistanceFromHome]]&gt;15,1,0)</f>
        <v>0</v>
      </c>
      <c r="AL1068">
        <f>IF(tbl_HR_Data[[#This Row],[JobSatisfaction]]&lt;=2,1,0)</f>
        <v>1</v>
      </c>
      <c r="AM1068">
        <f>IF(tbl_HR_Data[[#This Row],[MonthlyIncome]]&lt;$AT$2,1,0)</f>
        <v>1</v>
      </c>
      <c r="AN1068">
        <f>IF(tbl_HR_Data[[#This Row],[Travel_Code]]=2,1,0)</f>
        <v>0</v>
      </c>
      <c r="AO1068">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068" s="15">
        <f>tbl_HR_Data[[#This Row],[Risk_Score_Raw]] / SUM(Logic_Parameters!$B$2:$B$6)</f>
        <v>0.3686061316669938</v>
      </c>
      <c r="AQ1068" s="16" t="str" cm="1">
        <f t="array" ref="AQ1068">_xlfn.IFS(tbl_HR_Data[[#This Row],[Attrition_Risk_Percentage]] &gt;= 0.75, "Critical",tbl_HR_Data[ [#This Row],[Attrition_Risk_Percentage] ]&gt;= 0.5, "High",tbl_HR_Data[[#This Row],[Attrition_Risk_Percentage]] &gt;= 0.25, "Medium",TRUE, "Low")</f>
        <v>Medium</v>
      </c>
      <c r="AR1068" s="16" cm="1">
        <f t="array" ref="AR1068">IFERROR(_xlfn.IFS(tbl_HR_Data[[#This Row],[Risk_Category]]="Critical",tbl_HR_Data[[#This Row],[MonthlyIncome]]*1.5,tbl_HR_Data[[#This Row],[Risk_Category]]="High",tbl_HR_Data[[#This Row],[MonthlyIncome]]*1.5),0)</f>
        <v>0</v>
      </c>
    </row>
    <row r="1069" spans="1:44" x14ac:dyDescent="0.35">
      <c r="A1069" t="s">
        <v>965</v>
      </c>
      <c r="B1069">
        <v>47</v>
      </c>
      <c r="C1069" t="s">
        <v>31</v>
      </c>
      <c r="D1069">
        <v>571</v>
      </c>
      <c r="E1069" t="s">
        <v>32</v>
      </c>
      <c r="F1069">
        <v>14</v>
      </c>
      <c r="G1069">
        <v>3</v>
      </c>
      <c r="H1069" t="s">
        <v>44</v>
      </c>
      <c r="I1069">
        <v>3</v>
      </c>
      <c r="J1069" t="s">
        <v>34</v>
      </c>
      <c r="K1069">
        <v>78</v>
      </c>
      <c r="L1069">
        <v>3</v>
      </c>
      <c r="M1069">
        <v>2</v>
      </c>
      <c r="N1069" t="s">
        <v>35</v>
      </c>
      <c r="O1069">
        <v>3</v>
      </c>
      <c r="P1069" t="s">
        <v>41</v>
      </c>
      <c r="Q1069">
        <v>4591</v>
      </c>
      <c r="R1069">
        <v>24200</v>
      </c>
      <c r="S1069">
        <v>3</v>
      </c>
      <c r="T1069">
        <v>1</v>
      </c>
      <c r="U1069" s="17">
        <v>0.17</v>
      </c>
      <c r="V1069">
        <v>3</v>
      </c>
      <c r="W1069">
        <v>3</v>
      </c>
      <c r="X1069">
        <v>1</v>
      </c>
      <c r="Y1069">
        <v>11</v>
      </c>
      <c r="Z1069">
        <v>4</v>
      </c>
      <c r="AA1069">
        <v>2</v>
      </c>
      <c r="AB1069">
        <v>5</v>
      </c>
      <c r="AC1069">
        <v>4</v>
      </c>
      <c r="AD1069">
        <v>1</v>
      </c>
      <c r="AE1069">
        <v>2</v>
      </c>
      <c r="AF1069">
        <v>0</v>
      </c>
      <c r="AG1069">
        <f>IF(tbl_HR_Data[[#This Row],[Gender]]="Male",1,0)</f>
        <v>0</v>
      </c>
      <c r="AH1069" cm="1">
        <f t="array" ref="AH1069">_xlfn.SWITCH(tbl_HR_Data[[#This Row],[BusinessTravel]], "Non-Travel", 0, "Travel_Rarely", 1, "Travel_Frequently", 2)</f>
        <v>1</v>
      </c>
      <c r="AI1069" cm="1">
        <f t="array" ref="AI1069">_xlfn.SWITCH(tbl_HR_Data[[#This Row],[MaritalStatus]],"Single",0,"Married",1,"Divorced",2)</f>
        <v>1</v>
      </c>
      <c r="AJ1069">
        <f>IF(tbl_HR_Data[[#This Row],[OverTime]]=1,1,0)</f>
        <v>1</v>
      </c>
      <c r="AK1069">
        <f>IF(tbl_HR_Data[[#This Row],[DistanceFromHome]]&gt;15,1,0)</f>
        <v>0</v>
      </c>
      <c r="AL1069">
        <f>IF(tbl_HR_Data[[#This Row],[JobSatisfaction]]&lt;=2,1,0)</f>
        <v>0</v>
      </c>
      <c r="AM1069">
        <f>IF(tbl_HR_Data[[#This Row],[MonthlyIncome]]&lt;$AT$2,1,0)</f>
        <v>1</v>
      </c>
      <c r="AN1069">
        <f>IF(tbl_HR_Data[[#This Row],[Travel_Code]]=2,1,0)</f>
        <v>0</v>
      </c>
      <c r="AO1069">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1069" s="15">
        <f>tbl_HR_Data[[#This Row],[Risk_Score_Raw]] / SUM(Logic_Parameters!$B$2:$B$6)</f>
        <v>0.56827453040563214</v>
      </c>
      <c r="AQ1069" s="16" t="str" cm="1">
        <f t="array" ref="AQ1069">_xlfn.IFS(tbl_HR_Data[[#This Row],[Attrition_Risk_Percentage]] &gt;= 0.75, "Critical",tbl_HR_Data[ [#This Row],[Attrition_Risk_Percentage] ]&gt;= 0.5, "High",tbl_HR_Data[[#This Row],[Attrition_Risk_Percentage]] &gt;= 0.25, "Medium",TRUE, "Low")</f>
        <v>High</v>
      </c>
      <c r="AR1069" s="16" cm="1">
        <f t="array" ref="AR1069">IFERROR(_xlfn.IFS(tbl_HR_Data[[#This Row],[Risk_Category]]="Critical",tbl_HR_Data[[#This Row],[MonthlyIncome]]*1.5,tbl_HR_Data[[#This Row],[Risk_Category]]="High",tbl_HR_Data[[#This Row],[MonthlyIncome]]*1.5),0)</f>
        <v>6886.5</v>
      </c>
    </row>
    <row r="1070" spans="1:44" x14ac:dyDescent="0.35">
      <c r="A1070" t="s">
        <v>1226</v>
      </c>
      <c r="B1070">
        <v>28</v>
      </c>
      <c r="C1070" t="s">
        <v>37</v>
      </c>
      <c r="D1070">
        <v>289</v>
      </c>
      <c r="E1070" t="s">
        <v>38</v>
      </c>
      <c r="F1070">
        <v>2</v>
      </c>
      <c r="G1070">
        <v>2</v>
      </c>
      <c r="H1070" t="s">
        <v>44</v>
      </c>
      <c r="I1070">
        <v>3</v>
      </c>
      <c r="J1070" t="s">
        <v>39</v>
      </c>
      <c r="K1070">
        <v>38</v>
      </c>
      <c r="L1070">
        <v>2</v>
      </c>
      <c r="M1070">
        <v>1</v>
      </c>
      <c r="N1070" t="s">
        <v>43</v>
      </c>
      <c r="O1070">
        <v>1</v>
      </c>
      <c r="P1070" t="s">
        <v>36</v>
      </c>
      <c r="Q1070">
        <v>2561</v>
      </c>
      <c r="R1070">
        <v>5355</v>
      </c>
      <c r="S1070">
        <v>7</v>
      </c>
      <c r="T1070">
        <v>0</v>
      </c>
      <c r="U1070" s="17">
        <v>0.11</v>
      </c>
      <c r="V1070">
        <v>3</v>
      </c>
      <c r="W1070">
        <v>3</v>
      </c>
      <c r="X1070">
        <v>0</v>
      </c>
      <c r="Y1070">
        <v>8</v>
      </c>
      <c r="Z1070">
        <v>2</v>
      </c>
      <c r="AA1070">
        <v>2</v>
      </c>
      <c r="AB1070">
        <v>0</v>
      </c>
      <c r="AC1070">
        <v>0</v>
      </c>
      <c r="AD1070">
        <v>0</v>
      </c>
      <c r="AE1070">
        <v>0</v>
      </c>
      <c r="AF1070">
        <v>1</v>
      </c>
      <c r="AG1070">
        <f>IF(tbl_HR_Data[[#This Row],[Gender]]="Male",1,0)</f>
        <v>1</v>
      </c>
      <c r="AH1070" cm="1">
        <f t="array" ref="AH1070">_xlfn.SWITCH(tbl_HR_Data[[#This Row],[BusinessTravel]], "Non-Travel", 0, "Travel_Rarely", 1, "Travel_Frequently", 2)</f>
        <v>2</v>
      </c>
      <c r="AI1070" cm="1">
        <f t="array" ref="AI1070">_xlfn.SWITCH(tbl_HR_Data[[#This Row],[MaritalStatus]],"Single",0,"Married",1,"Divorced",2)</f>
        <v>0</v>
      </c>
      <c r="AJ1070">
        <f>IF(tbl_HR_Data[[#This Row],[OverTime]]=1,1,0)</f>
        <v>0</v>
      </c>
      <c r="AK1070">
        <f>IF(tbl_HR_Data[[#This Row],[DistanceFromHome]]&gt;15,1,0)</f>
        <v>0</v>
      </c>
      <c r="AL1070">
        <f>IF(tbl_HR_Data[[#This Row],[JobSatisfaction]]&lt;=2,1,0)</f>
        <v>1</v>
      </c>
      <c r="AM1070">
        <f>IF(tbl_HR_Data[[#This Row],[MonthlyIncome]]&lt;$AT$2,1,0)</f>
        <v>1</v>
      </c>
      <c r="AN1070">
        <f>IF(tbl_HR_Data[[#This Row],[Travel_Code]]=2,1,0)</f>
        <v>1</v>
      </c>
      <c r="AO1070">
        <f>(tbl_HR_Data[[#This Row],[Flag_OT]] * Logic_Parameters!$B$2) +
 (tbl_HR_Data[[#This Row],[Flag_Travel]] * Logic_Parameters!$B$3) +
 (tbl_HR_Data[[#This Row],[Flag_Satisfaction]] * Logic_Parameters!$B$4) +
 (tbl_HR_Data[[#This Row],[Flag_Distance]]* Logic_Parameters!$B$5) +
 (tbl_HR_Data[[#This Row],[Flag_Income]] * Logic_Parameters!$B$6)</f>
        <v>15.859352047889136</v>
      </c>
      <c r="AP1070" s="15">
        <f>tbl_HR_Data[[#This Row],[Risk_Score_Raw]] / SUM(Logic_Parameters!$B$2:$B$6)</f>
        <v>0.54639453549708916</v>
      </c>
      <c r="AQ1070" s="16" t="str" cm="1">
        <f t="array" ref="AQ1070">_xlfn.IFS(tbl_HR_Data[[#This Row],[Attrition_Risk_Percentage]] &gt;= 0.75, "Critical",tbl_HR_Data[ [#This Row],[Attrition_Risk_Percentage] ]&gt;= 0.5, "High",tbl_HR_Data[[#This Row],[Attrition_Risk_Percentage]] &gt;= 0.25, "Medium",TRUE, "Low")</f>
        <v>High</v>
      </c>
      <c r="AR1070" s="16" cm="1">
        <f t="array" ref="AR1070">IFERROR(_xlfn.IFS(tbl_HR_Data[[#This Row],[Risk_Category]]="Critical",tbl_HR_Data[[#This Row],[MonthlyIncome]]*1.5,tbl_HR_Data[[#This Row],[Risk_Category]]="High",tbl_HR_Data[[#This Row],[MonthlyIncome]]*1.5),0)</f>
        <v>3841.5</v>
      </c>
    </row>
    <row r="1071" spans="1:44" x14ac:dyDescent="0.35">
      <c r="A1071" t="s">
        <v>507</v>
      </c>
      <c r="B1071">
        <v>28</v>
      </c>
      <c r="C1071" t="s">
        <v>31</v>
      </c>
      <c r="D1071">
        <v>1423</v>
      </c>
      <c r="E1071" t="s">
        <v>38</v>
      </c>
      <c r="F1071">
        <v>1</v>
      </c>
      <c r="G1071">
        <v>3</v>
      </c>
      <c r="H1071" t="s">
        <v>33</v>
      </c>
      <c r="I1071">
        <v>1</v>
      </c>
      <c r="J1071" t="s">
        <v>39</v>
      </c>
      <c r="K1071">
        <v>72</v>
      </c>
      <c r="L1071">
        <v>2</v>
      </c>
      <c r="M1071">
        <v>1</v>
      </c>
      <c r="N1071" t="s">
        <v>40</v>
      </c>
      <c r="O1071">
        <v>3</v>
      </c>
      <c r="P1071" t="s">
        <v>45</v>
      </c>
      <c r="Q1071">
        <v>1563</v>
      </c>
      <c r="R1071">
        <v>12530</v>
      </c>
      <c r="S1071">
        <v>1</v>
      </c>
      <c r="T1071">
        <v>0</v>
      </c>
      <c r="U1071" s="17">
        <v>0.14000000000000001</v>
      </c>
      <c r="V1071">
        <v>3</v>
      </c>
      <c r="W1071">
        <v>4</v>
      </c>
      <c r="X1071">
        <v>1</v>
      </c>
      <c r="Y1071">
        <v>1</v>
      </c>
      <c r="Z1071">
        <v>2</v>
      </c>
      <c r="AA1071">
        <v>1</v>
      </c>
      <c r="AB1071">
        <v>1</v>
      </c>
      <c r="AC1071">
        <v>0</v>
      </c>
      <c r="AD1071">
        <v>0</v>
      </c>
      <c r="AE1071">
        <v>0</v>
      </c>
      <c r="AF1071">
        <v>0</v>
      </c>
      <c r="AG1071">
        <f>IF(tbl_HR_Data[[#This Row],[Gender]]="Male",1,0)</f>
        <v>1</v>
      </c>
      <c r="AH1071" cm="1">
        <f t="array" ref="AH1071">_xlfn.SWITCH(tbl_HR_Data[[#This Row],[BusinessTravel]], "Non-Travel", 0, "Travel_Rarely", 1, "Travel_Frequently", 2)</f>
        <v>1</v>
      </c>
      <c r="AI1071" cm="1">
        <f t="array" ref="AI1071">_xlfn.SWITCH(tbl_HR_Data[[#This Row],[MaritalStatus]],"Single",0,"Married",1,"Divorced",2)</f>
        <v>2</v>
      </c>
      <c r="AJ1071">
        <f>IF(tbl_HR_Data[[#This Row],[OverTime]]=1,1,0)</f>
        <v>0</v>
      </c>
      <c r="AK1071">
        <f>IF(tbl_HR_Data[[#This Row],[DistanceFromHome]]&gt;15,1,0)</f>
        <v>0</v>
      </c>
      <c r="AL1071">
        <f>IF(tbl_HR_Data[[#This Row],[JobSatisfaction]]&lt;=2,1,0)</f>
        <v>0</v>
      </c>
      <c r="AM1071">
        <f>IF(tbl_HR_Data[[#This Row],[MonthlyIncome]]&lt;$AT$2,1,0)</f>
        <v>1</v>
      </c>
      <c r="AN1071">
        <f>IF(tbl_HR_Data[[#This Row],[Travel_Code]]=2,1,0)</f>
        <v>0</v>
      </c>
      <c r="AO1071">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071" s="15">
        <f>tbl_HR_Data[[#This Row],[Risk_Score_Raw]] / SUM(Logic_Parameters!$B$2:$B$6)</f>
        <v>0.22374939857982484</v>
      </c>
      <c r="AQ1071" s="16" t="str" cm="1">
        <f t="array" ref="AQ1071">_xlfn.IFS(tbl_HR_Data[[#This Row],[Attrition_Risk_Percentage]] &gt;= 0.75, "Critical",tbl_HR_Data[ [#This Row],[Attrition_Risk_Percentage] ]&gt;= 0.5, "High",tbl_HR_Data[[#This Row],[Attrition_Risk_Percentage]] &gt;= 0.25, "Medium",TRUE, "Low")</f>
        <v>Low</v>
      </c>
      <c r="AR1071" s="16" cm="1">
        <f t="array" ref="AR1071">IFERROR(_xlfn.IFS(tbl_HR_Data[[#This Row],[Risk_Category]]="Critical",tbl_HR_Data[[#This Row],[MonthlyIncome]]*1.5,tbl_HR_Data[[#This Row],[Risk_Category]]="High",tbl_HR_Data[[#This Row],[MonthlyIncome]]*1.5),0)</f>
        <v>0</v>
      </c>
    </row>
    <row r="1072" spans="1:44" x14ac:dyDescent="0.35">
      <c r="A1072" t="s">
        <v>1176</v>
      </c>
      <c r="B1072">
        <v>28</v>
      </c>
      <c r="C1072" t="s">
        <v>37</v>
      </c>
      <c r="D1072">
        <v>467</v>
      </c>
      <c r="E1072" t="s">
        <v>32</v>
      </c>
      <c r="F1072">
        <v>7</v>
      </c>
      <c r="G1072">
        <v>3</v>
      </c>
      <c r="H1072" t="s">
        <v>33</v>
      </c>
      <c r="I1072">
        <v>3</v>
      </c>
      <c r="J1072" t="s">
        <v>39</v>
      </c>
      <c r="K1072">
        <v>55</v>
      </c>
      <c r="L1072">
        <v>3</v>
      </c>
      <c r="M1072">
        <v>2</v>
      </c>
      <c r="N1072" t="s">
        <v>35</v>
      </c>
      <c r="O1072">
        <v>1</v>
      </c>
      <c r="P1072" t="s">
        <v>36</v>
      </c>
      <c r="Q1072">
        <v>4898</v>
      </c>
      <c r="R1072">
        <v>11827</v>
      </c>
      <c r="S1072">
        <v>0</v>
      </c>
      <c r="T1072">
        <v>0</v>
      </c>
      <c r="U1072" s="17">
        <v>0.14000000000000001</v>
      </c>
      <c r="V1072">
        <v>3</v>
      </c>
      <c r="W1072">
        <v>4</v>
      </c>
      <c r="X1072">
        <v>0</v>
      </c>
      <c r="Y1072">
        <v>5</v>
      </c>
      <c r="Z1072">
        <v>5</v>
      </c>
      <c r="AA1072">
        <v>3</v>
      </c>
      <c r="AB1072">
        <v>4</v>
      </c>
      <c r="AC1072">
        <v>2</v>
      </c>
      <c r="AD1072">
        <v>1</v>
      </c>
      <c r="AE1072">
        <v>3</v>
      </c>
      <c r="AF1072">
        <v>0</v>
      </c>
      <c r="AG1072">
        <f>IF(tbl_HR_Data[[#This Row],[Gender]]="Male",1,0)</f>
        <v>1</v>
      </c>
      <c r="AH1072" cm="1">
        <f t="array" ref="AH1072">_xlfn.SWITCH(tbl_HR_Data[[#This Row],[BusinessTravel]], "Non-Travel", 0, "Travel_Rarely", 1, "Travel_Frequently", 2)</f>
        <v>2</v>
      </c>
      <c r="AI1072" cm="1">
        <f t="array" ref="AI1072">_xlfn.SWITCH(tbl_HR_Data[[#This Row],[MaritalStatus]],"Single",0,"Married",1,"Divorced",2)</f>
        <v>0</v>
      </c>
      <c r="AJ1072">
        <f>IF(tbl_HR_Data[[#This Row],[OverTime]]=1,1,0)</f>
        <v>0</v>
      </c>
      <c r="AK1072">
        <f>IF(tbl_HR_Data[[#This Row],[DistanceFromHome]]&gt;15,1,0)</f>
        <v>0</v>
      </c>
      <c r="AL1072">
        <f>IF(tbl_HR_Data[[#This Row],[JobSatisfaction]]&lt;=2,1,0)</f>
        <v>1</v>
      </c>
      <c r="AM1072">
        <f>IF(tbl_HR_Data[[#This Row],[MonthlyIncome]]&lt;$AT$2,1,0)</f>
        <v>1</v>
      </c>
      <c r="AN1072">
        <f>IF(tbl_HR_Data[[#This Row],[Travel_Code]]=2,1,0)</f>
        <v>1</v>
      </c>
      <c r="AO1072">
        <f>(tbl_HR_Data[[#This Row],[Flag_OT]] * Logic_Parameters!$B$2) +
 (tbl_HR_Data[[#This Row],[Flag_Travel]] * Logic_Parameters!$B$3) +
 (tbl_HR_Data[[#This Row],[Flag_Satisfaction]] * Logic_Parameters!$B$4) +
 (tbl_HR_Data[[#This Row],[Flag_Distance]]* Logic_Parameters!$B$5) +
 (tbl_HR_Data[[#This Row],[Flag_Income]] * Logic_Parameters!$B$6)</f>
        <v>15.859352047889136</v>
      </c>
      <c r="AP1072" s="15">
        <f>tbl_HR_Data[[#This Row],[Risk_Score_Raw]] / SUM(Logic_Parameters!$B$2:$B$6)</f>
        <v>0.54639453549708916</v>
      </c>
      <c r="AQ1072" s="16" t="str" cm="1">
        <f t="array" ref="AQ1072">_xlfn.IFS(tbl_HR_Data[[#This Row],[Attrition_Risk_Percentage]] &gt;= 0.75, "Critical",tbl_HR_Data[ [#This Row],[Attrition_Risk_Percentage] ]&gt;= 0.5, "High",tbl_HR_Data[[#This Row],[Attrition_Risk_Percentage]] &gt;= 0.25, "Medium",TRUE, "Low")</f>
        <v>High</v>
      </c>
      <c r="AR1072" s="16" cm="1">
        <f t="array" ref="AR1072">IFERROR(_xlfn.IFS(tbl_HR_Data[[#This Row],[Risk_Category]]="Critical",tbl_HR_Data[[#This Row],[MonthlyIncome]]*1.5,tbl_HR_Data[[#This Row],[Risk_Category]]="High",tbl_HR_Data[[#This Row],[MonthlyIncome]]*1.5),0)</f>
        <v>7347</v>
      </c>
    </row>
    <row r="1073" spans="1:44" x14ac:dyDescent="0.35">
      <c r="A1073" t="s">
        <v>1148</v>
      </c>
      <c r="B1073">
        <v>49</v>
      </c>
      <c r="C1073" t="s">
        <v>31</v>
      </c>
      <c r="D1073">
        <v>271</v>
      </c>
      <c r="E1073" t="s">
        <v>38</v>
      </c>
      <c r="F1073">
        <v>3</v>
      </c>
      <c r="G1073">
        <v>2</v>
      </c>
      <c r="H1073" t="s">
        <v>44</v>
      </c>
      <c r="I1073">
        <v>3</v>
      </c>
      <c r="J1073" t="s">
        <v>34</v>
      </c>
      <c r="K1073">
        <v>43</v>
      </c>
      <c r="L1073">
        <v>2</v>
      </c>
      <c r="M1073">
        <v>2</v>
      </c>
      <c r="N1073" t="s">
        <v>43</v>
      </c>
      <c r="O1073">
        <v>1</v>
      </c>
      <c r="P1073" t="s">
        <v>41</v>
      </c>
      <c r="Q1073">
        <v>4789</v>
      </c>
      <c r="R1073">
        <v>23070</v>
      </c>
      <c r="S1073">
        <v>4</v>
      </c>
      <c r="T1073">
        <v>0</v>
      </c>
      <c r="U1073" s="17">
        <v>0.25</v>
      </c>
      <c r="V1073">
        <v>4</v>
      </c>
      <c r="W1073">
        <v>1</v>
      </c>
      <c r="X1073">
        <v>1</v>
      </c>
      <c r="Y1073">
        <v>10</v>
      </c>
      <c r="Z1073">
        <v>3</v>
      </c>
      <c r="AA1073">
        <v>3</v>
      </c>
      <c r="AB1073">
        <v>3</v>
      </c>
      <c r="AC1073">
        <v>2</v>
      </c>
      <c r="AD1073">
        <v>1</v>
      </c>
      <c r="AE1073">
        <v>2</v>
      </c>
      <c r="AF1073">
        <v>0</v>
      </c>
      <c r="AG1073">
        <f>IF(tbl_HR_Data[[#This Row],[Gender]]="Male",1,0)</f>
        <v>0</v>
      </c>
      <c r="AH1073" cm="1">
        <f t="array" ref="AH1073">_xlfn.SWITCH(tbl_HR_Data[[#This Row],[BusinessTravel]], "Non-Travel", 0, "Travel_Rarely", 1, "Travel_Frequently", 2)</f>
        <v>1</v>
      </c>
      <c r="AI1073" cm="1">
        <f t="array" ref="AI1073">_xlfn.SWITCH(tbl_HR_Data[[#This Row],[MaritalStatus]],"Single",0,"Married",1,"Divorced",2)</f>
        <v>1</v>
      </c>
      <c r="AJ1073">
        <f>IF(tbl_HR_Data[[#This Row],[OverTime]]=1,1,0)</f>
        <v>0</v>
      </c>
      <c r="AK1073">
        <f>IF(tbl_HR_Data[[#This Row],[DistanceFromHome]]&gt;15,1,0)</f>
        <v>0</v>
      </c>
      <c r="AL1073">
        <f>IF(tbl_HR_Data[[#This Row],[JobSatisfaction]]&lt;=2,1,0)</f>
        <v>1</v>
      </c>
      <c r="AM1073">
        <f>IF(tbl_HR_Data[[#This Row],[MonthlyIncome]]&lt;$AT$2,1,0)</f>
        <v>1</v>
      </c>
      <c r="AN1073">
        <f>IF(tbl_HR_Data[[#This Row],[Travel_Code]]=2,1,0)</f>
        <v>0</v>
      </c>
      <c r="AO1073">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073" s="15">
        <f>tbl_HR_Data[[#This Row],[Risk_Score_Raw]] / SUM(Logic_Parameters!$B$2:$B$6)</f>
        <v>0.3686061316669938</v>
      </c>
      <c r="AQ1073" s="16" t="str" cm="1">
        <f t="array" ref="AQ1073">_xlfn.IFS(tbl_HR_Data[[#This Row],[Attrition_Risk_Percentage]] &gt;= 0.75, "Critical",tbl_HR_Data[ [#This Row],[Attrition_Risk_Percentage] ]&gt;= 0.5, "High",tbl_HR_Data[[#This Row],[Attrition_Risk_Percentage]] &gt;= 0.25, "Medium",TRUE, "Low")</f>
        <v>Medium</v>
      </c>
      <c r="AR1073" s="16" cm="1">
        <f t="array" ref="AR1073">IFERROR(_xlfn.IFS(tbl_HR_Data[[#This Row],[Risk_Category]]="Critical",tbl_HR_Data[[#This Row],[MonthlyIncome]]*1.5,tbl_HR_Data[[#This Row],[Risk_Category]]="High",tbl_HR_Data[[#This Row],[MonthlyIncome]]*1.5),0)</f>
        <v>0</v>
      </c>
    </row>
    <row r="1074" spans="1:44" x14ac:dyDescent="0.35">
      <c r="A1074" t="s">
        <v>353</v>
      </c>
      <c r="B1074">
        <v>29</v>
      </c>
      <c r="C1074" t="s">
        <v>37</v>
      </c>
      <c r="D1074">
        <v>410</v>
      </c>
      <c r="E1074" t="s">
        <v>38</v>
      </c>
      <c r="F1074">
        <v>2</v>
      </c>
      <c r="G1074">
        <v>1</v>
      </c>
      <c r="H1074" t="s">
        <v>33</v>
      </c>
      <c r="I1074">
        <v>4</v>
      </c>
      <c r="J1074" t="s">
        <v>34</v>
      </c>
      <c r="K1074">
        <v>97</v>
      </c>
      <c r="L1074">
        <v>3</v>
      </c>
      <c r="M1074">
        <v>1</v>
      </c>
      <c r="N1074" t="s">
        <v>43</v>
      </c>
      <c r="O1074">
        <v>2</v>
      </c>
      <c r="P1074" t="s">
        <v>41</v>
      </c>
      <c r="Q1074">
        <v>3180</v>
      </c>
      <c r="R1074">
        <v>4668</v>
      </c>
      <c r="S1074">
        <v>0</v>
      </c>
      <c r="T1074">
        <v>0</v>
      </c>
      <c r="U1074" s="17">
        <v>0.13</v>
      </c>
      <c r="V1074">
        <v>3</v>
      </c>
      <c r="W1074">
        <v>3</v>
      </c>
      <c r="X1074">
        <v>3</v>
      </c>
      <c r="Y1074">
        <v>4</v>
      </c>
      <c r="Z1074">
        <v>3</v>
      </c>
      <c r="AA1074">
        <v>3</v>
      </c>
      <c r="AB1074">
        <v>3</v>
      </c>
      <c r="AC1074">
        <v>2</v>
      </c>
      <c r="AD1074">
        <v>0</v>
      </c>
      <c r="AE1074">
        <v>2</v>
      </c>
      <c r="AF1074">
        <v>0</v>
      </c>
      <c r="AG1074">
        <f>IF(tbl_HR_Data[[#This Row],[Gender]]="Male",1,0)</f>
        <v>0</v>
      </c>
      <c r="AH1074" cm="1">
        <f t="array" ref="AH1074">_xlfn.SWITCH(tbl_HR_Data[[#This Row],[BusinessTravel]], "Non-Travel", 0, "Travel_Rarely", 1, "Travel_Frequently", 2)</f>
        <v>2</v>
      </c>
      <c r="AI1074" cm="1">
        <f t="array" ref="AI1074">_xlfn.SWITCH(tbl_HR_Data[[#This Row],[MaritalStatus]],"Single",0,"Married",1,"Divorced",2)</f>
        <v>1</v>
      </c>
      <c r="AJ1074">
        <f>IF(tbl_HR_Data[[#This Row],[OverTime]]=1,1,0)</f>
        <v>0</v>
      </c>
      <c r="AK1074">
        <f>IF(tbl_HR_Data[[#This Row],[DistanceFromHome]]&gt;15,1,0)</f>
        <v>0</v>
      </c>
      <c r="AL1074">
        <f>IF(tbl_HR_Data[[#This Row],[JobSatisfaction]]&lt;=2,1,0)</f>
        <v>1</v>
      </c>
      <c r="AM1074">
        <f>IF(tbl_HR_Data[[#This Row],[MonthlyIncome]]&lt;$AT$2,1,0)</f>
        <v>1</v>
      </c>
      <c r="AN1074">
        <f>IF(tbl_HR_Data[[#This Row],[Travel_Code]]=2,1,0)</f>
        <v>1</v>
      </c>
      <c r="AO1074">
        <f>(tbl_HR_Data[[#This Row],[Flag_OT]] * Logic_Parameters!$B$2) +
 (tbl_HR_Data[[#This Row],[Flag_Travel]] * Logic_Parameters!$B$3) +
 (tbl_HR_Data[[#This Row],[Flag_Satisfaction]] * Logic_Parameters!$B$4) +
 (tbl_HR_Data[[#This Row],[Flag_Distance]]* Logic_Parameters!$B$5) +
 (tbl_HR_Data[[#This Row],[Flag_Income]] * Logic_Parameters!$B$6)</f>
        <v>15.859352047889136</v>
      </c>
      <c r="AP1074" s="15">
        <f>tbl_HR_Data[[#This Row],[Risk_Score_Raw]] / SUM(Logic_Parameters!$B$2:$B$6)</f>
        <v>0.54639453549708916</v>
      </c>
      <c r="AQ1074" s="16" t="str" cm="1">
        <f t="array" ref="AQ1074">_xlfn.IFS(tbl_HR_Data[[#This Row],[Attrition_Risk_Percentage]] &gt;= 0.75, "Critical",tbl_HR_Data[ [#This Row],[Attrition_Risk_Percentage] ]&gt;= 0.5, "High",tbl_HR_Data[[#This Row],[Attrition_Risk_Percentage]] &gt;= 0.25, "Medium",TRUE, "Low")</f>
        <v>High</v>
      </c>
      <c r="AR1074" s="16" cm="1">
        <f t="array" ref="AR1074">IFERROR(_xlfn.IFS(tbl_HR_Data[[#This Row],[Risk_Category]]="Critical",tbl_HR_Data[[#This Row],[MonthlyIncome]]*1.5,tbl_HR_Data[[#This Row],[Risk_Category]]="High",tbl_HR_Data[[#This Row],[MonthlyIncome]]*1.5),0)</f>
        <v>4770</v>
      </c>
    </row>
    <row r="1075" spans="1:44" x14ac:dyDescent="0.35">
      <c r="A1075" t="s">
        <v>956</v>
      </c>
      <c r="B1075">
        <v>28</v>
      </c>
      <c r="C1075" t="s">
        <v>31</v>
      </c>
      <c r="D1075">
        <v>1083</v>
      </c>
      <c r="E1075" t="s">
        <v>38</v>
      </c>
      <c r="F1075">
        <v>29</v>
      </c>
      <c r="G1075">
        <v>1</v>
      </c>
      <c r="H1075" t="s">
        <v>33</v>
      </c>
      <c r="I1075">
        <v>3</v>
      </c>
      <c r="J1075" t="s">
        <v>39</v>
      </c>
      <c r="K1075">
        <v>96</v>
      </c>
      <c r="L1075">
        <v>1</v>
      </c>
      <c r="M1075">
        <v>2</v>
      </c>
      <c r="N1075" t="s">
        <v>46</v>
      </c>
      <c r="O1075">
        <v>2</v>
      </c>
      <c r="P1075" t="s">
        <v>41</v>
      </c>
      <c r="Q1075">
        <v>6549</v>
      </c>
      <c r="R1075">
        <v>3173</v>
      </c>
      <c r="S1075">
        <v>1</v>
      </c>
      <c r="T1075">
        <v>0</v>
      </c>
      <c r="U1075" s="17">
        <v>0.14000000000000001</v>
      </c>
      <c r="V1075">
        <v>3</v>
      </c>
      <c r="W1075">
        <v>2</v>
      </c>
      <c r="X1075">
        <v>2</v>
      </c>
      <c r="Y1075">
        <v>8</v>
      </c>
      <c r="Z1075">
        <v>2</v>
      </c>
      <c r="AA1075">
        <v>2</v>
      </c>
      <c r="AB1075">
        <v>8</v>
      </c>
      <c r="AC1075">
        <v>6</v>
      </c>
      <c r="AD1075">
        <v>1</v>
      </c>
      <c r="AE1075">
        <v>7</v>
      </c>
      <c r="AF1075">
        <v>0</v>
      </c>
      <c r="AG1075">
        <f>IF(tbl_HR_Data[[#This Row],[Gender]]="Male",1,0)</f>
        <v>1</v>
      </c>
      <c r="AH1075" cm="1">
        <f t="array" ref="AH1075">_xlfn.SWITCH(tbl_HR_Data[[#This Row],[BusinessTravel]], "Non-Travel", 0, "Travel_Rarely", 1, "Travel_Frequently", 2)</f>
        <v>1</v>
      </c>
      <c r="AI1075" cm="1">
        <f t="array" ref="AI1075">_xlfn.SWITCH(tbl_HR_Data[[#This Row],[MaritalStatus]],"Single",0,"Married",1,"Divorced",2)</f>
        <v>1</v>
      </c>
      <c r="AJ1075">
        <f>IF(tbl_HR_Data[[#This Row],[OverTime]]=1,1,0)</f>
        <v>0</v>
      </c>
      <c r="AK1075">
        <f>IF(tbl_HR_Data[[#This Row],[DistanceFromHome]]&gt;15,1,0)</f>
        <v>1</v>
      </c>
      <c r="AL1075">
        <f>IF(tbl_HR_Data[[#This Row],[JobSatisfaction]]&lt;=2,1,0)</f>
        <v>1</v>
      </c>
      <c r="AM1075">
        <f>IF(tbl_HR_Data[[#This Row],[MonthlyIncome]]&lt;$AT$2,1,0)</f>
        <v>0</v>
      </c>
      <c r="AN1075">
        <f>IF(tbl_HR_Data[[#This Row],[Travel_Code]]=2,1,0)</f>
        <v>0</v>
      </c>
      <c r="AO1075">
        <f>(tbl_HR_Data[[#This Row],[Flag_OT]] * Logic_Parameters!$B$2) +
 (tbl_HR_Data[[#This Row],[Flag_Travel]] * Logic_Parameters!$B$3) +
 (tbl_HR_Data[[#This Row],[Flag_Satisfaction]] * Logic_Parameters!$B$4) +
 (tbl_HR_Data[[#This Row],[Flag_Distance]]* Logic_Parameters!$B$5) +
 (tbl_HR_Data[[#This Row],[Flag_Income]] * Logic_Parameters!$B$6)</f>
        <v>7.3706398258535089</v>
      </c>
      <c r="AP1075" s="15">
        <f>tbl_HR_Data[[#This Row],[Risk_Score_Raw]] / SUM(Logic_Parameters!$B$2:$B$6)</f>
        <v>0.25393706576427255</v>
      </c>
      <c r="AQ1075" s="16" t="str" cm="1">
        <f t="array" ref="AQ1075">_xlfn.IFS(tbl_HR_Data[[#This Row],[Attrition_Risk_Percentage]] &gt;= 0.75, "Critical",tbl_HR_Data[ [#This Row],[Attrition_Risk_Percentage] ]&gt;= 0.5, "High",tbl_HR_Data[[#This Row],[Attrition_Risk_Percentage]] &gt;= 0.25, "Medium",TRUE, "Low")</f>
        <v>Medium</v>
      </c>
      <c r="AR1075" s="16" cm="1">
        <f t="array" ref="AR1075">IFERROR(_xlfn.IFS(tbl_HR_Data[[#This Row],[Risk_Category]]="Critical",tbl_HR_Data[[#This Row],[MonthlyIncome]]*1.5,tbl_HR_Data[[#This Row],[Risk_Category]]="High",tbl_HR_Data[[#This Row],[MonthlyIncome]]*1.5),0)</f>
        <v>0</v>
      </c>
    </row>
    <row r="1076" spans="1:44" x14ac:dyDescent="0.35">
      <c r="A1076" t="s">
        <v>1439</v>
      </c>
      <c r="B1076">
        <v>33</v>
      </c>
      <c r="C1076" t="s">
        <v>31</v>
      </c>
      <c r="D1076">
        <v>516</v>
      </c>
      <c r="E1076" t="s">
        <v>38</v>
      </c>
      <c r="F1076">
        <v>8</v>
      </c>
      <c r="G1076">
        <v>5</v>
      </c>
      <c r="H1076" t="s">
        <v>33</v>
      </c>
      <c r="I1076">
        <v>4</v>
      </c>
      <c r="J1076" t="s">
        <v>39</v>
      </c>
      <c r="K1076">
        <v>69</v>
      </c>
      <c r="L1076">
        <v>3</v>
      </c>
      <c r="M1076">
        <v>2</v>
      </c>
      <c r="N1076" t="s">
        <v>47</v>
      </c>
      <c r="O1076">
        <v>3</v>
      </c>
      <c r="P1076" t="s">
        <v>36</v>
      </c>
      <c r="Q1076">
        <v>6388</v>
      </c>
      <c r="R1076">
        <v>22049</v>
      </c>
      <c r="S1076">
        <v>2</v>
      </c>
      <c r="T1076">
        <v>1</v>
      </c>
      <c r="U1076" s="17">
        <v>0.17</v>
      </c>
      <c r="V1076">
        <v>3</v>
      </c>
      <c r="W1076">
        <v>1</v>
      </c>
      <c r="X1076">
        <v>0</v>
      </c>
      <c r="Y1076">
        <v>14</v>
      </c>
      <c r="Z1076">
        <v>6</v>
      </c>
      <c r="AA1076">
        <v>3</v>
      </c>
      <c r="AB1076">
        <v>0</v>
      </c>
      <c r="AC1076">
        <v>0</v>
      </c>
      <c r="AD1076">
        <v>0</v>
      </c>
      <c r="AE1076">
        <v>0</v>
      </c>
      <c r="AF1076">
        <v>0</v>
      </c>
      <c r="AG1076">
        <f>IF(tbl_HR_Data[[#This Row],[Gender]]="Male",1,0)</f>
        <v>1</v>
      </c>
      <c r="AH1076" cm="1">
        <f t="array" ref="AH1076">_xlfn.SWITCH(tbl_HR_Data[[#This Row],[BusinessTravel]], "Non-Travel", 0, "Travel_Rarely", 1, "Travel_Frequently", 2)</f>
        <v>1</v>
      </c>
      <c r="AI1076" cm="1">
        <f t="array" ref="AI1076">_xlfn.SWITCH(tbl_HR_Data[[#This Row],[MaritalStatus]],"Single",0,"Married",1,"Divorced",2)</f>
        <v>0</v>
      </c>
      <c r="AJ1076">
        <f>IF(tbl_HR_Data[[#This Row],[OverTime]]=1,1,0)</f>
        <v>1</v>
      </c>
      <c r="AK1076">
        <f>IF(tbl_HR_Data[[#This Row],[DistanceFromHome]]&gt;15,1,0)</f>
        <v>0</v>
      </c>
      <c r="AL1076">
        <f>IF(tbl_HR_Data[[#This Row],[JobSatisfaction]]&lt;=2,1,0)</f>
        <v>0</v>
      </c>
      <c r="AM1076">
        <f>IF(tbl_HR_Data[[#This Row],[MonthlyIncome]]&lt;$AT$2,1,0)</f>
        <v>0</v>
      </c>
      <c r="AN1076">
        <f>IF(tbl_HR_Data[[#This Row],[Travel_Code]]=2,1,0)</f>
        <v>0</v>
      </c>
      <c r="AO1076">
        <f>(tbl_HR_Data[[#This Row],[Flag_OT]] * Logic_Parameters!$B$2) +
 (tbl_HR_Data[[#This Row],[Flag_Travel]] * Logic_Parameters!$B$3) +
 (tbl_HR_Data[[#This Row],[Flag_Satisfaction]] * Logic_Parameters!$B$4) +
 (tbl_HR_Data[[#This Row],[Flag_Distance]]* Logic_Parameters!$B$5) +
 (tbl_HR_Data[[#This Row],[Flag_Income]] * Logic_Parameters!$B$6)</f>
        <v>10</v>
      </c>
      <c r="AP1076" s="15">
        <f>tbl_HR_Data[[#This Row],[Risk_Score_Raw]] / SUM(Logic_Parameters!$B$2:$B$6)</f>
        <v>0.3445251318258073</v>
      </c>
      <c r="AQ1076" s="16" t="str" cm="1">
        <f t="array" ref="AQ1076">_xlfn.IFS(tbl_HR_Data[[#This Row],[Attrition_Risk_Percentage]] &gt;= 0.75, "Critical",tbl_HR_Data[ [#This Row],[Attrition_Risk_Percentage] ]&gt;= 0.5, "High",tbl_HR_Data[[#This Row],[Attrition_Risk_Percentage]] &gt;= 0.25, "Medium",TRUE, "Low")</f>
        <v>Medium</v>
      </c>
      <c r="AR1076" s="16" cm="1">
        <f t="array" ref="AR1076">IFERROR(_xlfn.IFS(tbl_HR_Data[[#This Row],[Risk_Category]]="Critical",tbl_HR_Data[[#This Row],[MonthlyIncome]]*1.5,tbl_HR_Data[[#This Row],[Risk_Category]]="High",tbl_HR_Data[[#This Row],[MonthlyIncome]]*1.5),0)</f>
        <v>0</v>
      </c>
    </row>
    <row r="1077" spans="1:44" x14ac:dyDescent="0.35">
      <c r="A1077" t="s">
        <v>1136</v>
      </c>
      <c r="B1077">
        <v>32</v>
      </c>
      <c r="C1077" t="s">
        <v>31</v>
      </c>
      <c r="D1077">
        <v>495</v>
      </c>
      <c r="E1077" t="s">
        <v>38</v>
      </c>
      <c r="F1077">
        <v>10</v>
      </c>
      <c r="G1077">
        <v>3</v>
      </c>
      <c r="H1077" t="s">
        <v>44</v>
      </c>
      <c r="I1077">
        <v>3</v>
      </c>
      <c r="J1077" t="s">
        <v>39</v>
      </c>
      <c r="K1077">
        <v>64</v>
      </c>
      <c r="L1077">
        <v>3</v>
      </c>
      <c r="M1077">
        <v>3</v>
      </c>
      <c r="N1077" t="s">
        <v>48</v>
      </c>
      <c r="O1077">
        <v>4</v>
      </c>
      <c r="P1077" t="s">
        <v>36</v>
      </c>
      <c r="Q1077">
        <v>11244</v>
      </c>
      <c r="R1077">
        <v>21072</v>
      </c>
      <c r="S1077">
        <v>2</v>
      </c>
      <c r="T1077">
        <v>0</v>
      </c>
      <c r="U1077" s="17">
        <v>0.25</v>
      </c>
      <c r="V1077">
        <v>4</v>
      </c>
      <c r="W1077">
        <v>2</v>
      </c>
      <c r="X1077">
        <v>0</v>
      </c>
      <c r="Y1077">
        <v>10</v>
      </c>
      <c r="Z1077">
        <v>5</v>
      </c>
      <c r="AA1077">
        <v>4</v>
      </c>
      <c r="AB1077">
        <v>5</v>
      </c>
      <c r="AC1077">
        <v>2</v>
      </c>
      <c r="AD1077">
        <v>0</v>
      </c>
      <c r="AE1077">
        <v>0</v>
      </c>
      <c r="AF1077">
        <v>0</v>
      </c>
      <c r="AG1077">
        <f>IF(tbl_HR_Data[[#This Row],[Gender]]="Male",1,0)</f>
        <v>1</v>
      </c>
      <c r="AH1077" cm="1">
        <f t="array" ref="AH1077">_xlfn.SWITCH(tbl_HR_Data[[#This Row],[BusinessTravel]], "Non-Travel", 0, "Travel_Rarely", 1, "Travel_Frequently", 2)</f>
        <v>1</v>
      </c>
      <c r="AI1077" cm="1">
        <f t="array" ref="AI1077">_xlfn.SWITCH(tbl_HR_Data[[#This Row],[MaritalStatus]],"Single",0,"Married",1,"Divorced",2)</f>
        <v>0</v>
      </c>
      <c r="AJ1077">
        <f>IF(tbl_HR_Data[[#This Row],[OverTime]]=1,1,0)</f>
        <v>0</v>
      </c>
      <c r="AK1077">
        <f>IF(tbl_HR_Data[[#This Row],[DistanceFromHome]]&gt;15,1,0)</f>
        <v>0</v>
      </c>
      <c r="AL1077">
        <f>IF(tbl_HR_Data[[#This Row],[JobSatisfaction]]&lt;=2,1,0)</f>
        <v>0</v>
      </c>
      <c r="AM1077">
        <f>IF(tbl_HR_Data[[#This Row],[MonthlyIncome]]&lt;$AT$2,1,0)</f>
        <v>0</v>
      </c>
      <c r="AN1077">
        <f>IF(tbl_HR_Data[[#This Row],[Travel_Code]]=2,1,0)</f>
        <v>0</v>
      </c>
      <c r="AO1077">
        <f>(tbl_HR_Data[[#This Row],[Flag_OT]] * Logic_Parameters!$B$2) +
 (tbl_HR_Data[[#This Row],[Flag_Travel]] * Logic_Parameters!$B$3) +
 (tbl_HR_Data[[#This Row],[Flag_Satisfaction]] * Logic_Parameters!$B$4) +
 (tbl_HR_Data[[#This Row],[Flag_Distance]]* Logic_Parameters!$B$5) +
 (tbl_HR_Data[[#This Row],[Flag_Income]] * Logic_Parameters!$B$6)</f>
        <v>0</v>
      </c>
      <c r="AP1077" s="15">
        <f>tbl_HR_Data[[#This Row],[Risk_Score_Raw]] / SUM(Logic_Parameters!$B$2:$B$6)</f>
        <v>0</v>
      </c>
      <c r="AQ1077" s="16" t="str" cm="1">
        <f t="array" ref="AQ1077">_xlfn.IFS(tbl_HR_Data[[#This Row],[Attrition_Risk_Percentage]] &gt;= 0.75, "Critical",tbl_HR_Data[ [#This Row],[Attrition_Risk_Percentage] ]&gt;= 0.5, "High",tbl_HR_Data[[#This Row],[Attrition_Risk_Percentage]] &gt;= 0.25, "Medium",TRUE, "Low")</f>
        <v>Low</v>
      </c>
      <c r="AR1077" s="16" cm="1">
        <f t="array" ref="AR1077">IFERROR(_xlfn.IFS(tbl_HR_Data[[#This Row],[Risk_Category]]="Critical",tbl_HR_Data[[#This Row],[MonthlyIncome]]*1.5,tbl_HR_Data[[#This Row],[Risk_Category]]="High",tbl_HR_Data[[#This Row],[MonthlyIncome]]*1.5),0)</f>
        <v>0</v>
      </c>
    </row>
    <row r="1078" spans="1:44" x14ac:dyDescent="0.35">
      <c r="A1078" t="s">
        <v>602</v>
      </c>
      <c r="B1078">
        <v>54</v>
      </c>
      <c r="C1078" t="s">
        <v>37</v>
      </c>
      <c r="D1078">
        <v>1050</v>
      </c>
      <c r="E1078" t="s">
        <v>38</v>
      </c>
      <c r="F1078">
        <v>11</v>
      </c>
      <c r="G1078">
        <v>4</v>
      </c>
      <c r="H1078" t="s">
        <v>44</v>
      </c>
      <c r="I1078">
        <v>2</v>
      </c>
      <c r="J1078" t="s">
        <v>34</v>
      </c>
      <c r="K1078">
        <v>87</v>
      </c>
      <c r="L1078">
        <v>3</v>
      </c>
      <c r="M1078">
        <v>4</v>
      </c>
      <c r="N1078" t="s">
        <v>48</v>
      </c>
      <c r="O1078">
        <v>4</v>
      </c>
      <c r="P1078" t="s">
        <v>45</v>
      </c>
      <c r="Q1078">
        <v>16032</v>
      </c>
      <c r="R1078">
        <v>24456</v>
      </c>
      <c r="S1078">
        <v>3</v>
      </c>
      <c r="T1078">
        <v>0</v>
      </c>
      <c r="U1078" s="17">
        <v>0.2</v>
      </c>
      <c r="V1078">
        <v>4</v>
      </c>
      <c r="W1078">
        <v>1</v>
      </c>
      <c r="X1078">
        <v>1</v>
      </c>
      <c r="Y1078">
        <v>26</v>
      </c>
      <c r="Z1078">
        <v>2</v>
      </c>
      <c r="AA1078">
        <v>3</v>
      </c>
      <c r="AB1078">
        <v>14</v>
      </c>
      <c r="AC1078">
        <v>9</v>
      </c>
      <c r="AD1078">
        <v>1</v>
      </c>
      <c r="AE1078">
        <v>12</v>
      </c>
      <c r="AF1078">
        <v>0</v>
      </c>
      <c r="AG1078">
        <f>IF(tbl_HR_Data[[#This Row],[Gender]]="Male",1,0)</f>
        <v>0</v>
      </c>
      <c r="AH1078" cm="1">
        <f t="array" ref="AH1078">_xlfn.SWITCH(tbl_HR_Data[[#This Row],[BusinessTravel]], "Non-Travel", 0, "Travel_Rarely", 1, "Travel_Frequently", 2)</f>
        <v>2</v>
      </c>
      <c r="AI1078" cm="1">
        <f t="array" ref="AI1078">_xlfn.SWITCH(tbl_HR_Data[[#This Row],[MaritalStatus]],"Single",0,"Married",1,"Divorced",2)</f>
        <v>2</v>
      </c>
      <c r="AJ1078">
        <f>IF(tbl_HR_Data[[#This Row],[OverTime]]=1,1,0)</f>
        <v>0</v>
      </c>
      <c r="AK1078">
        <f>IF(tbl_HR_Data[[#This Row],[DistanceFromHome]]&gt;15,1,0)</f>
        <v>0</v>
      </c>
      <c r="AL1078">
        <f>IF(tbl_HR_Data[[#This Row],[JobSatisfaction]]&lt;=2,1,0)</f>
        <v>0</v>
      </c>
      <c r="AM1078">
        <f>IF(tbl_HR_Data[[#This Row],[MonthlyIncome]]&lt;$AT$2,1,0)</f>
        <v>0</v>
      </c>
      <c r="AN1078">
        <f>IF(tbl_HR_Data[[#This Row],[Travel_Code]]=2,1,0)</f>
        <v>1</v>
      </c>
      <c r="AO1078">
        <f>(tbl_HR_Data[[#This Row],[Flag_OT]] * Logic_Parameters!$B$2) +
 (tbl_HR_Data[[#This Row],[Flag_Travel]] * Logic_Parameters!$B$3) +
 (tbl_HR_Data[[#This Row],[Flag_Satisfaction]] * Logic_Parameters!$B$4) +
 (tbl_HR_Data[[#This Row],[Flag_Distance]]* Logic_Parameters!$B$5) +
 (tbl_HR_Data[[#This Row],[Flag_Income]] * Logic_Parameters!$B$6)</f>
        <v>5.1603899804901765</v>
      </c>
      <c r="AP1078" s="15">
        <f>tbl_HR_Data[[#This Row],[Risk_Score_Raw]] / SUM(Logic_Parameters!$B$2:$B$6)</f>
        <v>0.17778840383009531</v>
      </c>
      <c r="AQ1078" s="16" t="str" cm="1">
        <f t="array" ref="AQ1078">_xlfn.IFS(tbl_HR_Data[[#This Row],[Attrition_Risk_Percentage]] &gt;= 0.75, "Critical",tbl_HR_Data[ [#This Row],[Attrition_Risk_Percentage] ]&gt;= 0.5, "High",tbl_HR_Data[[#This Row],[Attrition_Risk_Percentage]] &gt;= 0.25, "Medium",TRUE, "Low")</f>
        <v>Low</v>
      </c>
      <c r="AR1078" s="16" cm="1">
        <f t="array" ref="AR1078">IFERROR(_xlfn.IFS(tbl_HR_Data[[#This Row],[Risk_Category]]="Critical",tbl_HR_Data[[#This Row],[MonthlyIncome]]*1.5,tbl_HR_Data[[#This Row],[Risk_Category]]="High",tbl_HR_Data[[#This Row],[MonthlyIncome]]*1.5),0)</f>
        <v>0</v>
      </c>
    </row>
    <row r="1079" spans="1:44" x14ac:dyDescent="0.35">
      <c r="A1079" t="s">
        <v>1273</v>
      </c>
      <c r="B1079">
        <v>29</v>
      </c>
      <c r="C1079" t="s">
        <v>31</v>
      </c>
      <c r="D1079">
        <v>224</v>
      </c>
      <c r="E1079" t="s">
        <v>38</v>
      </c>
      <c r="F1079">
        <v>1</v>
      </c>
      <c r="G1079">
        <v>4</v>
      </c>
      <c r="H1079" t="s">
        <v>52</v>
      </c>
      <c r="I1079">
        <v>1</v>
      </c>
      <c r="J1079" t="s">
        <v>39</v>
      </c>
      <c r="K1079">
        <v>100</v>
      </c>
      <c r="L1079">
        <v>2</v>
      </c>
      <c r="M1079">
        <v>1</v>
      </c>
      <c r="N1079" t="s">
        <v>40</v>
      </c>
      <c r="O1079">
        <v>1</v>
      </c>
      <c r="P1079" t="s">
        <v>36</v>
      </c>
      <c r="Q1079">
        <v>2362</v>
      </c>
      <c r="R1079">
        <v>7568</v>
      </c>
      <c r="S1079">
        <v>6</v>
      </c>
      <c r="T1079">
        <v>0</v>
      </c>
      <c r="U1079" s="17">
        <v>0.13</v>
      </c>
      <c r="V1079">
        <v>3</v>
      </c>
      <c r="W1079">
        <v>3</v>
      </c>
      <c r="X1079">
        <v>0</v>
      </c>
      <c r="Y1079">
        <v>11</v>
      </c>
      <c r="Z1079">
        <v>2</v>
      </c>
      <c r="AA1079">
        <v>1</v>
      </c>
      <c r="AB1079">
        <v>9</v>
      </c>
      <c r="AC1079">
        <v>7</v>
      </c>
      <c r="AD1079">
        <v>0</v>
      </c>
      <c r="AE1079">
        <v>7</v>
      </c>
      <c r="AF1079">
        <v>1</v>
      </c>
      <c r="AG1079">
        <f>IF(tbl_HR_Data[[#This Row],[Gender]]="Male",1,0)</f>
        <v>1</v>
      </c>
      <c r="AH1079" cm="1">
        <f t="array" ref="AH1079">_xlfn.SWITCH(tbl_HR_Data[[#This Row],[BusinessTravel]], "Non-Travel", 0, "Travel_Rarely", 1, "Travel_Frequently", 2)</f>
        <v>1</v>
      </c>
      <c r="AI1079" cm="1">
        <f t="array" ref="AI1079">_xlfn.SWITCH(tbl_HR_Data[[#This Row],[MaritalStatus]],"Single",0,"Married",1,"Divorced",2)</f>
        <v>0</v>
      </c>
      <c r="AJ1079">
        <f>IF(tbl_HR_Data[[#This Row],[OverTime]]=1,1,0)</f>
        <v>0</v>
      </c>
      <c r="AK1079">
        <f>IF(tbl_HR_Data[[#This Row],[DistanceFromHome]]&gt;15,1,0)</f>
        <v>0</v>
      </c>
      <c r="AL1079">
        <f>IF(tbl_HR_Data[[#This Row],[JobSatisfaction]]&lt;=2,1,0)</f>
        <v>1</v>
      </c>
      <c r="AM1079">
        <f>IF(tbl_HR_Data[[#This Row],[MonthlyIncome]]&lt;$AT$2,1,0)</f>
        <v>1</v>
      </c>
      <c r="AN1079">
        <f>IF(tbl_HR_Data[[#This Row],[Travel_Code]]=2,1,0)</f>
        <v>0</v>
      </c>
      <c r="AO1079">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079" s="15">
        <f>tbl_HR_Data[[#This Row],[Risk_Score_Raw]] / SUM(Logic_Parameters!$B$2:$B$6)</f>
        <v>0.3686061316669938</v>
      </c>
      <c r="AQ1079" s="16" t="str" cm="1">
        <f t="array" ref="AQ1079">_xlfn.IFS(tbl_HR_Data[[#This Row],[Attrition_Risk_Percentage]] &gt;= 0.75, "Critical",tbl_HR_Data[ [#This Row],[Attrition_Risk_Percentage] ]&gt;= 0.5, "High",tbl_HR_Data[[#This Row],[Attrition_Risk_Percentage]] &gt;= 0.25, "Medium",TRUE, "Low")</f>
        <v>Medium</v>
      </c>
      <c r="AR1079" s="16" cm="1">
        <f t="array" ref="AR1079">IFERROR(_xlfn.IFS(tbl_HR_Data[[#This Row],[Risk_Category]]="Critical",tbl_HR_Data[[#This Row],[MonthlyIncome]]*1.5,tbl_HR_Data[[#This Row],[Risk_Category]]="High",tbl_HR_Data[[#This Row],[MonthlyIncome]]*1.5),0)</f>
        <v>0</v>
      </c>
    </row>
    <row r="1080" spans="1:44" x14ac:dyDescent="0.35">
      <c r="A1080" t="s">
        <v>1365</v>
      </c>
      <c r="B1080">
        <v>44</v>
      </c>
      <c r="C1080" t="s">
        <v>31</v>
      </c>
      <c r="D1080">
        <v>136</v>
      </c>
      <c r="E1080" t="s">
        <v>38</v>
      </c>
      <c r="F1080">
        <v>28</v>
      </c>
      <c r="G1080">
        <v>3</v>
      </c>
      <c r="H1080" t="s">
        <v>33</v>
      </c>
      <c r="I1080">
        <v>4</v>
      </c>
      <c r="J1080" t="s">
        <v>39</v>
      </c>
      <c r="K1080">
        <v>32</v>
      </c>
      <c r="L1080">
        <v>3</v>
      </c>
      <c r="M1080">
        <v>4</v>
      </c>
      <c r="N1080" t="s">
        <v>50</v>
      </c>
      <c r="O1080">
        <v>1</v>
      </c>
      <c r="P1080" t="s">
        <v>41</v>
      </c>
      <c r="Q1080">
        <v>16328</v>
      </c>
      <c r="R1080">
        <v>22074</v>
      </c>
      <c r="S1080">
        <v>3</v>
      </c>
      <c r="T1080">
        <v>0</v>
      </c>
      <c r="U1080" s="17">
        <v>0.13</v>
      </c>
      <c r="V1080">
        <v>3</v>
      </c>
      <c r="W1080">
        <v>3</v>
      </c>
      <c r="X1080">
        <v>1</v>
      </c>
      <c r="Y1080">
        <v>24</v>
      </c>
      <c r="Z1080">
        <v>1</v>
      </c>
      <c r="AA1080">
        <v>4</v>
      </c>
      <c r="AB1080">
        <v>20</v>
      </c>
      <c r="AC1080">
        <v>6</v>
      </c>
      <c r="AD1080">
        <v>14</v>
      </c>
      <c r="AE1080">
        <v>17</v>
      </c>
      <c r="AF1080">
        <v>0</v>
      </c>
      <c r="AG1080">
        <f>IF(tbl_HR_Data[[#This Row],[Gender]]="Male",1,0)</f>
        <v>1</v>
      </c>
      <c r="AH1080" cm="1">
        <f t="array" ref="AH1080">_xlfn.SWITCH(tbl_HR_Data[[#This Row],[BusinessTravel]], "Non-Travel", 0, "Travel_Rarely", 1, "Travel_Frequently", 2)</f>
        <v>1</v>
      </c>
      <c r="AI1080" cm="1">
        <f t="array" ref="AI1080">_xlfn.SWITCH(tbl_HR_Data[[#This Row],[MaritalStatus]],"Single",0,"Married",1,"Divorced",2)</f>
        <v>1</v>
      </c>
      <c r="AJ1080">
        <f>IF(tbl_HR_Data[[#This Row],[OverTime]]=1,1,0)</f>
        <v>0</v>
      </c>
      <c r="AK1080">
        <f>IF(tbl_HR_Data[[#This Row],[DistanceFromHome]]&gt;15,1,0)</f>
        <v>1</v>
      </c>
      <c r="AL1080">
        <f>IF(tbl_HR_Data[[#This Row],[JobSatisfaction]]&lt;=2,1,0)</f>
        <v>1</v>
      </c>
      <c r="AM1080">
        <f>IF(tbl_HR_Data[[#This Row],[MonthlyIncome]]&lt;$AT$2,1,0)</f>
        <v>0</v>
      </c>
      <c r="AN1080">
        <f>IF(tbl_HR_Data[[#This Row],[Travel_Code]]=2,1,0)</f>
        <v>0</v>
      </c>
      <c r="AO1080">
        <f>(tbl_HR_Data[[#This Row],[Flag_OT]] * Logic_Parameters!$B$2) +
 (tbl_HR_Data[[#This Row],[Flag_Travel]] * Logic_Parameters!$B$3) +
 (tbl_HR_Data[[#This Row],[Flag_Satisfaction]] * Logic_Parameters!$B$4) +
 (tbl_HR_Data[[#This Row],[Flag_Distance]]* Logic_Parameters!$B$5) +
 (tbl_HR_Data[[#This Row],[Flag_Income]] * Logic_Parameters!$B$6)</f>
        <v>7.3706398258535089</v>
      </c>
      <c r="AP1080" s="15">
        <f>tbl_HR_Data[[#This Row],[Risk_Score_Raw]] / SUM(Logic_Parameters!$B$2:$B$6)</f>
        <v>0.25393706576427255</v>
      </c>
      <c r="AQ1080" s="16" t="str" cm="1">
        <f t="array" ref="AQ1080">_xlfn.IFS(tbl_HR_Data[[#This Row],[Attrition_Risk_Percentage]] &gt;= 0.75, "Critical",tbl_HR_Data[ [#This Row],[Attrition_Risk_Percentage] ]&gt;= 0.5, "High",tbl_HR_Data[[#This Row],[Attrition_Risk_Percentage]] &gt;= 0.25, "Medium",TRUE, "Low")</f>
        <v>Medium</v>
      </c>
      <c r="AR1080" s="16" cm="1">
        <f t="array" ref="AR1080">IFERROR(_xlfn.IFS(tbl_HR_Data[[#This Row],[Risk_Category]]="Critical",tbl_HR_Data[[#This Row],[MonthlyIncome]]*1.5,tbl_HR_Data[[#This Row],[Risk_Category]]="High",tbl_HR_Data[[#This Row],[MonthlyIncome]]*1.5),0)</f>
        <v>0</v>
      </c>
    </row>
    <row r="1081" spans="1:44" x14ac:dyDescent="0.35">
      <c r="A1081" t="s">
        <v>407</v>
      </c>
      <c r="B1081">
        <v>39</v>
      </c>
      <c r="C1081" t="s">
        <v>31</v>
      </c>
      <c r="D1081">
        <v>1089</v>
      </c>
      <c r="E1081" t="s">
        <v>38</v>
      </c>
      <c r="F1081">
        <v>6</v>
      </c>
      <c r="G1081">
        <v>3</v>
      </c>
      <c r="H1081" t="s">
        <v>33</v>
      </c>
      <c r="I1081">
        <v>2</v>
      </c>
      <c r="J1081" t="s">
        <v>34</v>
      </c>
      <c r="K1081">
        <v>32</v>
      </c>
      <c r="L1081">
        <v>3</v>
      </c>
      <c r="M1081">
        <v>3</v>
      </c>
      <c r="N1081" t="s">
        <v>46</v>
      </c>
      <c r="O1081">
        <v>2</v>
      </c>
      <c r="P1081" t="s">
        <v>36</v>
      </c>
      <c r="Q1081">
        <v>8376</v>
      </c>
      <c r="R1081">
        <v>9150</v>
      </c>
      <c r="S1081">
        <v>4</v>
      </c>
      <c r="T1081">
        <v>0</v>
      </c>
      <c r="U1081" s="17">
        <v>0.18</v>
      </c>
      <c r="V1081">
        <v>3</v>
      </c>
      <c r="W1081">
        <v>4</v>
      </c>
      <c r="X1081">
        <v>0</v>
      </c>
      <c r="Y1081">
        <v>9</v>
      </c>
      <c r="Z1081">
        <v>3</v>
      </c>
      <c r="AA1081">
        <v>3</v>
      </c>
      <c r="AB1081">
        <v>2</v>
      </c>
      <c r="AC1081">
        <v>0</v>
      </c>
      <c r="AD1081">
        <v>2</v>
      </c>
      <c r="AE1081">
        <v>2</v>
      </c>
      <c r="AF1081">
        <v>0</v>
      </c>
      <c r="AG1081">
        <f>IF(tbl_HR_Data[[#This Row],[Gender]]="Male",1,0)</f>
        <v>0</v>
      </c>
      <c r="AH1081" cm="1">
        <f t="array" ref="AH1081">_xlfn.SWITCH(tbl_HR_Data[[#This Row],[BusinessTravel]], "Non-Travel", 0, "Travel_Rarely", 1, "Travel_Frequently", 2)</f>
        <v>1</v>
      </c>
      <c r="AI1081" cm="1">
        <f t="array" ref="AI1081">_xlfn.SWITCH(tbl_HR_Data[[#This Row],[MaritalStatus]],"Single",0,"Married",1,"Divorced",2)</f>
        <v>0</v>
      </c>
      <c r="AJ1081">
        <f>IF(tbl_HR_Data[[#This Row],[OverTime]]=1,1,0)</f>
        <v>0</v>
      </c>
      <c r="AK1081">
        <f>IF(tbl_HR_Data[[#This Row],[DistanceFromHome]]&gt;15,1,0)</f>
        <v>0</v>
      </c>
      <c r="AL1081">
        <f>IF(tbl_HR_Data[[#This Row],[JobSatisfaction]]&lt;=2,1,0)</f>
        <v>1</v>
      </c>
      <c r="AM1081">
        <f>IF(tbl_HR_Data[[#This Row],[MonthlyIncome]]&lt;$AT$2,1,0)</f>
        <v>0</v>
      </c>
      <c r="AN1081">
        <f>IF(tbl_HR_Data[[#This Row],[Travel_Code]]=2,1,0)</f>
        <v>0</v>
      </c>
      <c r="AO1081">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081" s="15">
        <f>tbl_HR_Data[[#This Row],[Risk_Score_Raw]] / SUM(Logic_Parameters!$B$2:$B$6)</f>
        <v>0.14485673308716898</v>
      </c>
      <c r="AQ1081" s="16" t="str" cm="1">
        <f t="array" ref="AQ1081">_xlfn.IFS(tbl_HR_Data[[#This Row],[Attrition_Risk_Percentage]] &gt;= 0.75, "Critical",tbl_HR_Data[ [#This Row],[Attrition_Risk_Percentage] ]&gt;= 0.5, "High",tbl_HR_Data[[#This Row],[Attrition_Risk_Percentage]] &gt;= 0.25, "Medium",TRUE, "Low")</f>
        <v>Low</v>
      </c>
      <c r="AR1081" s="16" cm="1">
        <f t="array" ref="AR1081">IFERROR(_xlfn.IFS(tbl_HR_Data[[#This Row],[Risk_Category]]="Critical",tbl_HR_Data[[#This Row],[MonthlyIncome]]*1.5,tbl_HR_Data[[#This Row],[Risk_Category]]="High",tbl_HR_Data[[#This Row],[MonthlyIncome]]*1.5),0)</f>
        <v>0</v>
      </c>
    </row>
    <row r="1082" spans="1:44" x14ac:dyDescent="0.35">
      <c r="A1082" t="s">
        <v>872</v>
      </c>
      <c r="B1082">
        <v>46</v>
      </c>
      <c r="C1082" t="s">
        <v>31</v>
      </c>
      <c r="D1082">
        <v>228</v>
      </c>
      <c r="E1082" t="s">
        <v>32</v>
      </c>
      <c r="F1082">
        <v>3</v>
      </c>
      <c r="G1082">
        <v>3</v>
      </c>
      <c r="H1082" t="s">
        <v>33</v>
      </c>
      <c r="I1082">
        <v>3</v>
      </c>
      <c r="J1082" t="s">
        <v>34</v>
      </c>
      <c r="K1082">
        <v>51</v>
      </c>
      <c r="L1082">
        <v>3</v>
      </c>
      <c r="M1082">
        <v>4</v>
      </c>
      <c r="N1082" t="s">
        <v>48</v>
      </c>
      <c r="O1082">
        <v>2</v>
      </c>
      <c r="P1082" t="s">
        <v>41</v>
      </c>
      <c r="Q1082">
        <v>16606</v>
      </c>
      <c r="R1082">
        <v>11380</v>
      </c>
      <c r="S1082">
        <v>8</v>
      </c>
      <c r="T1082">
        <v>0</v>
      </c>
      <c r="U1082" s="17">
        <v>0.12</v>
      </c>
      <c r="V1082">
        <v>3</v>
      </c>
      <c r="W1082">
        <v>4</v>
      </c>
      <c r="X1082">
        <v>1</v>
      </c>
      <c r="Y1082">
        <v>23</v>
      </c>
      <c r="Z1082">
        <v>2</v>
      </c>
      <c r="AA1082">
        <v>4</v>
      </c>
      <c r="AB1082">
        <v>13</v>
      </c>
      <c r="AC1082">
        <v>12</v>
      </c>
      <c r="AD1082">
        <v>5</v>
      </c>
      <c r="AE1082">
        <v>1</v>
      </c>
      <c r="AF1082">
        <v>0</v>
      </c>
      <c r="AG1082">
        <f>IF(tbl_HR_Data[[#This Row],[Gender]]="Male",1,0)</f>
        <v>0</v>
      </c>
      <c r="AH1082" cm="1">
        <f t="array" ref="AH1082">_xlfn.SWITCH(tbl_HR_Data[[#This Row],[BusinessTravel]], "Non-Travel", 0, "Travel_Rarely", 1, "Travel_Frequently", 2)</f>
        <v>1</v>
      </c>
      <c r="AI1082" cm="1">
        <f t="array" ref="AI1082">_xlfn.SWITCH(tbl_HR_Data[[#This Row],[MaritalStatus]],"Single",0,"Married",1,"Divorced",2)</f>
        <v>1</v>
      </c>
      <c r="AJ1082">
        <f>IF(tbl_HR_Data[[#This Row],[OverTime]]=1,1,0)</f>
        <v>0</v>
      </c>
      <c r="AK1082">
        <f>IF(tbl_HR_Data[[#This Row],[DistanceFromHome]]&gt;15,1,0)</f>
        <v>0</v>
      </c>
      <c r="AL1082">
        <f>IF(tbl_HR_Data[[#This Row],[JobSatisfaction]]&lt;=2,1,0)</f>
        <v>1</v>
      </c>
      <c r="AM1082">
        <f>IF(tbl_HR_Data[[#This Row],[MonthlyIncome]]&lt;$AT$2,1,0)</f>
        <v>0</v>
      </c>
      <c r="AN1082">
        <f>IF(tbl_HR_Data[[#This Row],[Travel_Code]]=2,1,0)</f>
        <v>0</v>
      </c>
      <c r="AO1082">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082" s="15">
        <f>tbl_HR_Data[[#This Row],[Risk_Score_Raw]] / SUM(Logic_Parameters!$B$2:$B$6)</f>
        <v>0.14485673308716898</v>
      </c>
      <c r="AQ1082" s="16" t="str" cm="1">
        <f t="array" ref="AQ1082">_xlfn.IFS(tbl_HR_Data[[#This Row],[Attrition_Risk_Percentage]] &gt;= 0.75, "Critical",tbl_HR_Data[ [#This Row],[Attrition_Risk_Percentage] ]&gt;= 0.5, "High",tbl_HR_Data[[#This Row],[Attrition_Risk_Percentage]] &gt;= 0.25, "Medium",TRUE, "Low")</f>
        <v>Low</v>
      </c>
      <c r="AR1082" s="16" cm="1">
        <f t="array" ref="AR1082">IFERROR(_xlfn.IFS(tbl_HR_Data[[#This Row],[Risk_Category]]="Critical",tbl_HR_Data[[#This Row],[MonthlyIncome]]*1.5,tbl_HR_Data[[#This Row],[Risk_Category]]="High",tbl_HR_Data[[#This Row],[MonthlyIncome]]*1.5),0)</f>
        <v>0</v>
      </c>
    </row>
    <row r="1083" spans="1:44" x14ac:dyDescent="0.35">
      <c r="A1083" t="s">
        <v>1264</v>
      </c>
      <c r="B1083">
        <v>35</v>
      </c>
      <c r="C1083" t="s">
        <v>31</v>
      </c>
      <c r="D1083">
        <v>1029</v>
      </c>
      <c r="E1083" t="s">
        <v>38</v>
      </c>
      <c r="F1083">
        <v>16</v>
      </c>
      <c r="G1083">
        <v>3</v>
      </c>
      <c r="H1083" t="s">
        <v>33</v>
      </c>
      <c r="I1083">
        <v>4</v>
      </c>
      <c r="J1083" t="s">
        <v>34</v>
      </c>
      <c r="K1083">
        <v>91</v>
      </c>
      <c r="L1083">
        <v>2</v>
      </c>
      <c r="M1083">
        <v>3</v>
      </c>
      <c r="N1083" t="s">
        <v>47</v>
      </c>
      <c r="O1083">
        <v>2</v>
      </c>
      <c r="P1083" t="s">
        <v>36</v>
      </c>
      <c r="Q1083">
        <v>8606</v>
      </c>
      <c r="R1083">
        <v>21195</v>
      </c>
      <c r="S1083">
        <v>1</v>
      </c>
      <c r="T1083">
        <v>0</v>
      </c>
      <c r="U1083" s="17">
        <v>0.19</v>
      </c>
      <c r="V1083">
        <v>3</v>
      </c>
      <c r="W1083">
        <v>4</v>
      </c>
      <c r="X1083">
        <v>0</v>
      </c>
      <c r="Y1083">
        <v>11</v>
      </c>
      <c r="Z1083">
        <v>3</v>
      </c>
      <c r="AA1083">
        <v>1</v>
      </c>
      <c r="AB1083">
        <v>11</v>
      </c>
      <c r="AC1083">
        <v>8</v>
      </c>
      <c r="AD1083">
        <v>3</v>
      </c>
      <c r="AE1083">
        <v>3</v>
      </c>
      <c r="AF1083">
        <v>0</v>
      </c>
      <c r="AG1083">
        <f>IF(tbl_HR_Data[[#This Row],[Gender]]="Male",1,0)</f>
        <v>0</v>
      </c>
      <c r="AH1083" cm="1">
        <f t="array" ref="AH1083">_xlfn.SWITCH(tbl_HR_Data[[#This Row],[BusinessTravel]], "Non-Travel", 0, "Travel_Rarely", 1, "Travel_Frequently", 2)</f>
        <v>1</v>
      </c>
      <c r="AI1083" cm="1">
        <f t="array" ref="AI1083">_xlfn.SWITCH(tbl_HR_Data[[#This Row],[MaritalStatus]],"Single",0,"Married",1,"Divorced",2)</f>
        <v>0</v>
      </c>
      <c r="AJ1083">
        <f>IF(tbl_HR_Data[[#This Row],[OverTime]]=1,1,0)</f>
        <v>0</v>
      </c>
      <c r="AK1083">
        <f>IF(tbl_HR_Data[[#This Row],[DistanceFromHome]]&gt;15,1,0)</f>
        <v>1</v>
      </c>
      <c r="AL1083">
        <f>IF(tbl_HR_Data[[#This Row],[JobSatisfaction]]&lt;=2,1,0)</f>
        <v>1</v>
      </c>
      <c r="AM1083">
        <f>IF(tbl_HR_Data[[#This Row],[MonthlyIncome]]&lt;$AT$2,1,0)</f>
        <v>0</v>
      </c>
      <c r="AN1083">
        <f>IF(tbl_HR_Data[[#This Row],[Travel_Code]]=2,1,0)</f>
        <v>0</v>
      </c>
      <c r="AO1083">
        <f>(tbl_HR_Data[[#This Row],[Flag_OT]] * Logic_Parameters!$B$2) +
 (tbl_HR_Data[[#This Row],[Flag_Travel]] * Logic_Parameters!$B$3) +
 (tbl_HR_Data[[#This Row],[Flag_Satisfaction]] * Logic_Parameters!$B$4) +
 (tbl_HR_Data[[#This Row],[Flag_Distance]]* Logic_Parameters!$B$5) +
 (tbl_HR_Data[[#This Row],[Flag_Income]] * Logic_Parameters!$B$6)</f>
        <v>7.3706398258535089</v>
      </c>
      <c r="AP1083" s="15">
        <f>tbl_HR_Data[[#This Row],[Risk_Score_Raw]] / SUM(Logic_Parameters!$B$2:$B$6)</f>
        <v>0.25393706576427255</v>
      </c>
      <c r="AQ1083" s="16" t="str" cm="1">
        <f t="array" ref="AQ1083">_xlfn.IFS(tbl_HR_Data[[#This Row],[Attrition_Risk_Percentage]] &gt;= 0.75, "Critical",tbl_HR_Data[ [#This Row],[Attrition_Risk_Percentage] ]&gt;= 0.5, "High",tbl_HR_Data[[#This Row],[Attrition_Risk_Percentage]] &gt;= 0.25, "Medium",TRUE, "Low")</f>
        <v>Medium</v>
      </c>
      <c r="AR1083" s="16" cm="1">
        <f t="array" ref="AR1083">IFERROR(_xlfn.IFS(tbl_HR_Data[[#This Row],[Risk_Category]]="Critical",tbl_HR_Data[[#This Row],[MonthlyIncome]]*1.5,tbl_HR_Data[[#This Row],[Risk_Category]]="High",tbl_HR_Data[[#This Row],[MonthlyIncome]]*1.5),0)</f>
        <v>0</v>
      </c>
    </row>
    <row r="1084" spans="1:44" x14ac:dyDescent="0.35">
      <c r="A1084" t="s">
        <v>1079</v>
      </c>
      <c r="B1084">
        <v>23</v>
      </c>
      <c r="C1084" t="s">
        <v>31</v>
      </c>
      <c r="D1084">
        <v>507</v>
      </c>
      <c r="E1084" t="s">
        <v>38</v>
      </c>
      <c r="F1084">
        <v>20</v>
      </c>
      <c r="G1084">
        <v>1</v>
      </c>
      <c r="H1084" t="s">
        <v>33</v>
      </c>
      <c r="I1084">
        <v>1</v>
      </c>
      <c r="J1084" t="s">
        <v>39</v>
      </c>
      <c r="K1084">
        <v>97</v>
      </c>
      <c r="L1084">
        <v>3</v>
      </c>
      <c r="M1084">
        <v>2</v>
      </c>
      <c r="N1084" t="s">
        <v>43</v>
      </c>
      <c r="O1084">
        <v>3</v>
      </c>
      <c r="P1084" t="s">
        <v>36</v>
      </c>
      <c r="Q1084">
        <v>2272</v>
      </c>
      <c r="R1084">
        <v>24812</v>
      </c>
      <c r="S1084">
        <v>0</v>
      </c>
      <c r="T1084">
        <v>0</v>
      </c>
      <c r="U1084" s="17">
        <v>0.14000000000000001</v>
      </c>
      <c r="V1084">
        <v>3</v>
      </c>
      <c r="W1084">
        <v>2</v>
      </c>
      <c r="X1084">
        <v>0</v>
      </c>
      <c r="Y1084">
        <v>5</v>
      </c>
      <c r="Z1084">
        <v>2</v>
      </c>
      <c r="AA1084">
        <v>3</v>
      </c>
      <c r="AB1084">
        <v>4</v>
      </c>
      <c r="AC1084">
        <v>3</v>
      </c>
      <c r="AD1084">
        <v>1</v>
      </c>
      <c r="AE1084">
        <v>2</v>
      </c>
      <c r="AF1084">
        <v>0</v>
      </c>
      <c r="AG1084">
        <f>IF(tbl_HR_Data[[#This Row],[Gender]]="Male",1,0)</f>
        <v>1</v>
      </c>
      <c r="AH1084" cm="1">
        <f t="array" ref="AH1084">_xlfn.SWITCH(tbl_HR_Data[[#This Row],[BusinessTravel]], "Non-Travel", 0, "Travel_Rarely", 1, "Travel_Frequently", 2)</f>
        <v>1</v>
      </c>
      <c r="AI1084" cm="1">
        <f t="array" ref="AI1084">_xlfn.SWITCH(tbl_HR_Data[[#This Row],[MaritalStatus]],"Single",0,"Married",1,"Divorced",2)</f>
        <v>0</v>
      </c>
      <c r="AJ1084">
        <f>IF(tbl_HR_Data[[#This Row],[OverTime]]=1,1,0)</f>
        <v>0</v>
      </c>
      <c r="AK1084">
        <f>IF(tbl_HR_Data[[#This Row],[DistanceFromHome]]&gt;15,1,0)</f>
        <v>1</v>
      </c>
      <c r="AL1084">
        <f>IF(tbl_HR_Data[[#This Row],[JobSatisfaction]]&lt;=2,1,0)</f>
        <v>0</v>
      </c>
      <c r="AM1084">
        <f>IF(tbl_HR_Data[[#This Row],[MonthlyIncome]]&lt;$AT$2,1,0)</f>
        <v>1</v>
      </c>
      <c r="AN1084">
        <f>IF(tbl_HR_Data[[#This Row],[Travel_Code]]=2,1,0)</f>
        <v>0</v>
      </c>
      <c r="AO1084">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1084" s="15">
        <f>tbl_HR_Data[[#This Row],[Risk_Score_Raw]] / SUM(Logic_Parameters!$B$2:$B$6)</f>
        <v>0.33282973125692844</v>
      </c>
      <c r="AQ1084" s="16" t="str" cm="1">
        <f t="array" ref="AQ1084">_xlfn.IFS(tbl_HR_Data[[#This Row],[Attrition_Risk_Percentage]] &gt;= 0.75, "Critical",tbl_HR_Data[ [#This Row],[Attrition_Risk_Percentage] ]&gt;= 0.5, "High",tbl_HR_Data[[#This Row],[Attrition_Risk_Percentage]] &gt;= 0.25, "Medium",TRUE, "Low")</f>
        <v>Medium</v>
      </c>
      <c r="AR1084" s="16" cm="1">
        <f t="array" ref="AR1084">IFERROR(_xlfn.IFS(tbl_HR_Data[[#This Row],[Risk_Category]]="Critical",tbl_HR_Data[[#This Row],[MonthlyIncome]]*1.5,tbl_HR_Data[[#This Row],[Risk_Category]]="High",tbl_HR_Data[[#This Row],[MonthlyIncome]]*1.5),0)</f>
        <v>0</v>
      </c>
    </row>
    <row r="1085" spans="1:44" x14ac:dyDescent="0.35">
      <c r="A1085" t="s">
        <v>343</v>
      </c>
      <c r="B1085">
        <v>40</v>
      </c>
      <c r="C1085" t="s">
        <v>31</v>
      </c>
      <c r="D1085">
        <v>676</v>
      </c>
      <c r="E1085" t="s">
        <v>38</v>
      </c>
      <c r="F1085">
        <v>9</v>
      </c>
      <c r="G1085">
        <v>4</v>
      </c>
      <c r="H1085" t="s">
        <v>33</v>
      </c>
      <c r="I1085">
        <v>4</v>
      </c>
      <c r="J1085" t="s">
        <v>39</v>
      </c>
      <c r="K1085">
        <v>86</v>
      </c>
      <c r="L1085">
        <v>3</v>
      </c>
      <c r="M1085">
        <v>1</v>
      </c>
      <c r="N1085" t="s">
        <v>43</v>
      </c>
      <c r="O1085">
        <v>1</v>
      </c>
      <c r="P1085" t="s">
        <v>36</v>
      </c>
      <c r="Q1085">
        <v>2018</v>
      </c>
      <c r="R1085">
        <v>21831</v>
      </c>
      <c r="S1085">
        <v>3</v>
      </c>
      <c r="T1085">
        <v>0</v>
      </c>
      <c r="U1085" s="17">
        <v>0.14000000000000001</v>
      </c>
      <c r="V1085">
        <v>3</v>
      </c>
      <c r="W1085">
        <v>2</v>
      </c>
      <c r="X1085">
        <v>0</v>
      </c>
      <c r="Y1085">
        <v>15</v>
      </c>
      <c r="Z1085">
        <v>3</v>
      </c>
      <c r="AA1085">
        <v>1</v>
      </c>
      <c r="AB1085">
        <v>5</v>
      </c>
      <c r="AC1085">
        <v>4</v>
      </c>
      <c r="AD1085">
        <v>1</v>
      </c>
      <c r="AE1085">
        <v>0</v>
      </c>
      <c r="AF1085">
        <v>1</v>
      </c>
      <c r="AG1085">
        <f>IF(tbl_HR_Data[[#This Row],[Gender]]="Male",1,0)</f>
        <v>1</v>
      </c>
      <c r="AH1085" cm="1">
        <f t="array" ref="AH1085">_xlfn.SWITCH(tbl_HR_Data[[#This Row],[BusinessTravel]], "Non-Travel", 0, "Travel_Rarely", 1, "Travel_Frequently", 2)</f>
        <v>1</v>
      </c>
      <c r="AI1085" cm="1">
        <f t="array" ref="AI1085">_xlfn.SWITCH(tbl_HR_Data[[#This Row],[MaritalStatus]],"Single",0,"Married",1,"Divorced",2)</f>
        <v>0</v>
      </c>
      <c r="AJ1085">
        <f>IF(tbl_HR_Data[[#This Row],[OverTime]]=1,1,0)</f>
        <v>0</v>
      </c>
      <c r="AK1085">
        <f>IF(tbl_HR_Data[[#This Row],[DistanceFromHome]]&gt;15,1,0)</f>
        <v>0</v>
      </c>
      <c r="AL1085">
        <f>IF(tbl_HR_Data[[#This Row],[JobSatisfaction]]&lt;=2,1,0)</f>
        <v>1</v>
      </c>
      <c r="AM1085">
        <f>IF(tbl_HR_Data[[#This Row],[MonthlyIncome]]&lt;$AT$2,1,0)</f>
        <v>1</v>
      </c>
      <c r="AN1085">
        <f>IF(tbl_HR_Data[[#This Row],[Travel_Code]]=2,1,0)</f>
        <v>0</v>
      </c>
      <c r="AO1085">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085" s="15">
        <f>tbl_HR_Data[[#This Row],[Risk_Score_Raw]] / SUM(Logic_Parameters!$B$2:$B$6)</f>
        <v>0.3686061316669938</v>
      </c>
      <c r="AQ1085" s="16" t="str" cm="1">
        <f t="array" ref="AQ1085">_xlfn.IFS(tbl_HR_Data[[#This Row],[Attrition_Risk_Percentage]] &gt;= 0.75, "Critical",tbl_HR_Data[ [#This Row],[Attrition_Risk_Percentage] ]&gt;= 0.5, "High",tbl_HR_Data[[#This Row],[Attrition_Risk_Percentage]] &gt;= 0.25, "Medium",TRUE, "Low")</f>
        <v>Medium</v>
      </c>
      <c r="AR1085" s="16" cm="1">
        <f t="array" ref="AR1085">IFERROR(_xlfn.IFS(tbl_HR_Data[[#This Row],[Risk_Category]]="Critical",tbl_HR_Data[[#This Row],[MonthlyIncome]]*1.5,tbl_HR_Data[[#This Row],[Risk_Category]]="High",tbl_HR_Data[[#This Row],[MonthlyIncome]]*1.5),0)</f>
        <v>0</v>
      </c>
    </row>
    <row r="1086" spans="1:44" x14ac:dyDescent="0.35">
      <c r="A1086" t="s">
        <v>687</v>
      </c>
      <c r="B1086">
        <v>34</v>
      </c>
      <c r="C1086" t="s">
        <v>31</v>
      </c>
      <c r="D1086">
        <v>971</v>
      </c>
      <c r="E1086" t="s">
        <v>32</v>
      </c>
      <c r="F1086">
        <v>1</v>
      </c>
      <c r="G1086">
        <v>3</v>
      </c>
      <c r="H1086" t="s">
        <v>52</v>
      </c>
      <c r="I1086">
        <v>4</v>
      </c>
      <c r="J1086" t="s">
        <v>39</v>
      </c>
      <c r="K1086">
        <v>64</v>
      </c>
      <c r="L1086">
        <v>2</v>
      </c>
      <c r="M1086">
        <v>3</v>
      </c>
      <c r="N1086" t="s">
        <v>35</v>
      </c>
      <c r="O1086">
        <v>3</v>
      </c>
      <c r="P1086" t="s">
        <v>41</v>
      </c>
      <c r="Q1086">
        <v>7083</v>
      </c>
      <c r="R1086">
        <v>12288</v>
      </c>
      <c r="S1086">
        <v>1</v>
      </c>
      <c r="T1086">
        <v>1</v>
      </c>
      <c r="U1086" s="17">
        <v>0.14000000000000001</v>
      </c>
      <c r="V1086">
        <v>3</v>
      </c>
      <c r="W1086">
        <v>4</v>
      </c>
      <c r="X1086">
        <v>0</v>
      </c>
      <c r="Y1086">
        <v>10</v>
      </c>
      <c r="Z1086">
        <v>3</v>
      </c>
      <c r="AA1086">
        <v>3</v>
      </c>
      <c r="AB1086">
        <v>10</v>
      </c>
      <c r="AC1086">
        <v>9</v>
      </c>
      <c r="AD1086">
        <v>8</v>
      </c>
      <c r="AE1086">
        <v>6</v>
      </c>
      <c r="AF1086">
        <v>0</v>
      </c>
      <c r="AG1086">
        <f>IF(tbl_HR_Data[[#This Row],[Gender]]="Male",1,0)</f>
        <v>1</v>
      </c>
      <c r="AH1086" cm="1">
        <f t="array" ref="AH1086">_xlfn.SWITCH(tbl_HR_Data[[#This Row],[BusinessTravel]], "Non-Travel", 0, "Travel_Rarely", 1, "Travel_Frequently", 2)</f>
        <v>1</v>
      </c>
      <c r="AI1086" cm="1">
        <f t="array" ref="AI1086">_xlfn.SWITCH(tbl_HR_Data[[#This Row],[MaritalStatus]],"Single",0,"Married",1,"Divorced",2)</f>
        <v>1</v>
      </c>
      <c r="AJ1086">
        <f>IF(tbl_HR_Data[[#This Row],[OverTime]]=1,1,0)</f>
        <v>1</v>
      </c>
      <c r="AK1086">
        <f>IF(tbl_HR_Data[[#This Row],[DistanceFromHome]]&gt;15,1,0)</f>
        <v>0</v>
      </c>
      <c r="AL1086">
        <f>IF(tbl_HR_Data[[#This Row],[JobSatisfaction]]&lt;=2,1,0)</f>
        <v>0</v>
      </c>
      <c r="AM1086">
        <f>IF(tbl_HR_Data[[#This Row],[MonthlyIncome]]&lt;$AT$2,1,0)</f>
        <v>0</v>
      </c>
      <c r="AN1086">
        <f>IF(tbl_HR_Data[[#This Row],[Travel_Code]]=2,1,0)</f>
        <v>0</v>
      </c>
      <c r="AO1086">
        <f>(tbl_HR_Data[[#This Row],[Flag_OT]] * Logic_Parameters!$B$2) +
 (tbl_HR_Data[[#This Row],[Flag_Travel]] * Logic_Parameters!$B$3) +
 (tbl_HR_Data[[#This Row],[Flag_Satisfaction]] * Logic_Parameters!$B$4) +
 (tbl_HR_Data[[#This Row],[Flag_Distance]]* Logic_Parameters!$B$5) +
 (tbl_HR_Data[[#This Row],[Flag_Income]] * Logic_Parameters!$B$6)</f>
        <v>10</v>
      </c>
      <c r="AP1086" s="15">
        <f>tbl_HR_Data[[#This Row],[Risk_Score_Raw]] / SUM(Logic_Parameters!$B$2:$B$6)</f>
        <v>0.3445251318258073</v>
      </c>
      <c r="AQ1086" s="16" t="str" cm="1">
        <f t="array" ref="AQ1086">_xlfn.IFS(tbl_HR_Data[[#This Row],[Attrition_Risk_Percentage]] &gt;= 0.75, "Critical",tbl_HR_Data[ [#This Row],[Attrition_Risk_Percentage] ]&gt;= 0.5, "High",tbl_HR_Data[[#This Row],[Attrition_Risk_Percentage]] &gt;= 0.25, "Medium",TRUE, "Low")</f>
        <v>Medium</v>
      </c>
      <c r="AR1086" s="16" cm="1">
        <f t="array" ref="AR1086">IFERROR(_xlfn.IFS(tbl_HR_Data[[#This Row],[Risk_Category]]="Critical",tbl_HR_Data[[#This Row],[MonthlyIncome]]*1.5,tbl_HR_Data[[#This Row],[Risk_Category]]="High",tbl_HR_Data[[#This Row],[MonthlyIncome]]*1.5),0)</f>
        <v>0</v>
      </c>
    </row>
    <row r="1087" spans="1:44" x14ac:dyDescent="0.35">
      <c r="A1087" t="s">
        <v>754</v>
      </c>
      <c r="B1087">
        <v>31</v>
      </c>
      <c r="C1087" t="s">
        <v>37</v>
      </c>
      <c r="D1087">
        <v>561</v>
      </c>
      <c r="E1087" t="s">
        <v>38</v>
      </c>
      <c r="F1087">
        <v>3</v>
      </c>
      <c r="G1087">
        <v>3</v>
      </c>
      <c r="H1087" t="s">
        <v>33</v>
      </c>
      <c r="I1087">
        <v>4</v>
      </c>
      <c r="J1087" t="s">
        <v>34</v>
      </c>
      <c r="K1087">
        <v>33</v>
      </c>
      <c r="L1087">
        <v>3</v>
      </c>
      <c r="M1087">
        <v>1</v>
      </c>
      <c r="N1087" t="s">
        <v>40</v>
      </c>
      <c r="O1087">
        <v>3</v>
      </c>
      <c r="P1087" t="s">
        <v>36</v>
      </c>
      <c r="Q1087">
        <v>4084</v>
      </c>
      <c r="R1087">
        <v>4156</v>
      </c>
      <c r="S1087">
        <v>1</v>
      </c>
      <c r="T1087">
        <v>0</v>
      </c>
      <c r="U1087" s="17">
        <v>0.12</v>
      </c>
      <c r="V1087">
        <v>3</v>
      </c>
      <c r="W1087">
        <v>1</v>
      </c>
      <c r="X1087">
        <v>0</v>
      </c>
      <c r="Y1087">
        <v>7</v>
      </c>
      <c r="Z1087">
        <v>2</v>
      </c>
      <c r="AA1087">
        <v>1</v>
      </c>
      <c r="AB1087">
        <v>7</v>
      </c>
      <c r="AC1087">
        <v>2</v>
      </c>
      <c r="AD1087">
        <v>7</v>
      </c>
      <c r="AE1087">
        <v>7</v>
      </c>
      <c r="AF1087">
        <v>1</v>
      </c>
      <c r="AG1087">
        <f>IF(tbl_HR_Data[[#This Row],[Gender]]="Male",1,0)</f>
        <v>0</v>
      </c>
      <c r="AH1087" cm="1">
        <f t="array" ref="AH1087">_xlfn.SWITCH(tbl_HR_Data[[#This Row],[BusinessTravel]], "Non-Travel", 0, "Travel_Rarely", 1, "Travel_Frequently", 2)</f>
        <v>2</v>
      </c>
      <c r="AI1087" cm="1">
        <f t="array" ref="AI1087">_xlfn.SWITCH(tbl_HR_Data[[#This Row],[MaritalStatus]],"Single",0,"Married",1,"Divorced",2)</f>
        <v>0</v>
      </c>
      <c r="AJ1087">
        <f>IF(tbl_HR_Data[[#This Row],[OverTime]]=1,1,0)</f>
        <v>0</v>
      </c>
      <c r="AK1087">
        <f>IF(tbl_HR_Data[[#This Row],[DistanceFromHome]]&gt;15,1,0)</f>
        <v>0</v>
      </c>
      <c r="AL1087">
        <f>IF(tbl_HR_Data[[#This Row],[JobSatisfaction]]&lt;=2,1,0)</f>
        <v>0</v>
      </c>
      <c r="AM1087">
        <f>IF(tbl_HR_Data[[#This Row],[MonthlyIncome]]&lt;$AT$2,1,0)</f>
        <v>1</v>
      </c>
      <c r="AN1087">
        <f>IF(tbl_HR_Data[[#This Row],[Travel_Code]]=2,1,0)</f>
        <v>1</v>
      </c>
      <c r="AO1087">
        <f>(tbl_HR_Data[[#This Row],[Flag_OT]] * Logic_Parameters!$B$2) +
 (tbl_HR_Data[[#This Row],[Flag_Travel]] * Logic_Parameters!$B$3) +
 (tbl_HR_Data[[#This Row],[Flag_Satisfaction]] * Logic_Parameters!$B$4) +
 (tbl_HR_Data[[#This Row],[Flag_Distance]]* Logic_Parameters!$B$5) +
 (tbl_HR_Data[[#This Row],[Flag_Income]] * Logic_Parameters!$B$6)</f>
        <v>11.654818917911005</v>
      </c>
      <c r="AP1087" s="15">
        <f>tbl_HR_Data[[#This Row],[Risk_Score_Raw]] / SUM(Logic_Parameters!$B$2:$B$6)</f>
        <v>0.40153780240992015</v>
      </c>
      <c r="AQ1087" s="16" t="str" cm="1">
        <f t="array" ref="AQ1087">_xlfn.IFS(tbl_HR_Data[[#This Row],[Attrition_Risk_Percentage]] &gt;= 0.75, "Critical",tbl_HR_Data[ [#This Row],[Attrition_Risk_Percentage] ]&gt;= 0.5, "High",tbl_HR_Data[[#This Row],[Attrition_Risk_Percentage]] &gt;= 0.25, "Medium",TRUE, "Low")</f>
        <v>Medium</v>
      </c>
      <c r="AR1087" s="16" cm="1">
        <f t="array" ref="AR1087">IFERROR(_xlfn.IFS(tbl_HR_Data[[#This Row],[Risk_Category]]="Critical",tbl_HR_Data[[#This Row],[MonthlyIncome]]*1.5,tbl_HR_Data[[#This Row],[Risk_Category]]="High",tbl_HR_Data[[#This Row],[MonthlyIncome]]*1.5),0)</f>
        <v>0</v>
      </c>
    </row>
    <row r="1088" spans="1:44" x14ac:dyDescent="0.35">
      <c r="A1088" t="s">
        <v>442</v>
      </c>
      <c r="B1088">
        <v>50</v>
      </c>
      <c r="C1088" t="s">
        <v>37</v>
      </c>
      <c r="D1088">
        <v>333</v>
      </c>
      <c r="E1088" t="s">
        <v>38</v>
      </c>
      <c r="F1088">
        <v>22</v>
      </c>
      <c r="G1088">
        <v>5</v>
      </c>
      <c r="H1088" t="s">
        <v>44</v>
      </c>
      <c r="I1088">
        <v>3</v>
      </c>
      <c r="J1088" t="s">
        <v>39</v>
      </c>
      <c r="K1088">
        <v>88</v>
      </c>
      <c r="L1088">
        <v>1</v>
      </c>
      <c r="M1088">
        <v>4</v>
      </c>
      <c r="N1088" t="s">
        <v>50</v>
      </c>
      <c r="O1088">
        <v>4</v>
      </c>
      <c r="P1088" t="s">
        <v>36</v>
      </c>
      <c r="Q1088">
        <v>14411</v>
      </c>
      <c r="R1088">
        <v>24450</v>
      </c>
      <c r="S1088">
        <v>1</v>
      </c>
      <c r="T1088">
        <v>1</v>
      </c>
      <c r="U1088" s="17">
        <v>0.13</v>
      </c>
      <c r="V1088">
        <v>3</v>
      </c>
      <c r="W1088">
        <v>4</v>
      </c>
      <c r="X1088">
        <v>0</v>
      </c>
      <c r="Y1088">
        <v>32</v>
      </c>
      <c r="Z1088">
        <v>2</v>
      </c>
      <c r="AA1088">
        <v>3</v>
      </c>
      <c r="AB1088">
        <v>32</v>
      </c>
      <c r="AC1088">
        <v>6</v>
      </c>
      <c r="AD1088">
        <v>13</v>
      </c>
      <c r="AE1088">
        <v>9</v>
      </c>
      <c r="AF1088">
        <v>0</v>
      </c>
      <c r="AG1088">
        <f>IF(tbl_HR_Data[[#This Row],[Gender]]="Male",1,0)</f>
        <v>1</v>
      </c>
      <c r="AH1088" cm="1">
        <f t="array" ref="AH1088">_xlfn.SWITCH(tbl_HR_Data[[#This Row],[BusinessTravel]], "Non-Travel", 0, "Travel_Rarely", 1, "Travel_Frequently", 2)</f>
        <v>2</v>
      </c>
      <c r="AI1088" cm="1">
        <f t="array" ref="AI1088">_xlfn.SWITCH(tbl_HR_Data[[#This Row],[MaritalStatus]],"Single",0,"Married",1,"Divorced",2)</f>
        <v>0</v>
      </c>
      <c r="AJ1088">
        <f>IF(tbl_HR_Data[[#This Row],[OverTime]]=1,1,0)</f>
        <v>1</v>
      </c>
      <c r="AK1088">
        <f>IF(tbl_HR_Data[[#This Row],[DistanceFromHome]]&gt;15,1,0)</f>
        <v>1</v>
      </c>
      <c r="AL1088">
        <f>IF(tbl_HR_Data[[#This Row],[JobSatisfaction]]&lt;=2,1,0)</f>
        <v>0</v>
      </c>
      <c r="AM1088">
        <f>IF(tbl_HR_Data[[#This Row],[MonthlyIncome]]&lt;$AT$2,1,0)</f>
        <v>0</v>
      </c>
      <c r="AN1088">
        <f>IF(tbl_HR_Data[[#This Row],[Travel_Code]]=2,1,0)</f>
        <v>1</v>
      </c>
      <c r="AO1088">
        <f>(tbl_HR_Data[[#This Row],[Flag_OT]] * Logic_Parameters!$B$2) +
 (tbl_HR_Data[[#This Row],[Flag_Travel]] * Logic_Parameters!$B$3) +
 (tbl_HR_Data[[#This Row],[Flag_Satisfaction]] * Logic_Parameters!$B$4) +
 (tbl_HR_Data[[#This Row],[Flag_Distance]]* Logic_Parameters!$B$5) +
 (tbl_HR_Data[[#This Row],[Flag_Income]] * Logic_Parameters!$B$6)</f>
        <v>18.326496676365554</v>
      </c>
      <c r="AP1088" s="15">
        <f>tbl_HR_Data[[#This Row],[Risk_Score_Raw]] / SUM(Logic_Parameters!$B$2:$B$6)</f>
        <v>0.63139386833300615</v>
      </c>
      <c r="AQ1088" s="16" t="str" cm="1">
        <f t="array" ref="AQ1088">_xlfn.IFS(tbl_HR_Data[[#This Row],[Attrition_Risk_Percentage]] &gt;= 0.75, "Critical",tbl_HR_Data[ [#This Row],[Attrition_Risk_Percentage] ]&gt;= 0.5, "High",tbl_HR_Data[[#This Row],[Attrition_Risk_Percentage]] &gt;= 0.25, "Medium",TRUE, "Low")</f>
        <v>High</v>
      </c>
      <c r="AR1088" s="16" cm="1">
        <f t="array" ref="AR1088">IFERROR(_xlfn.IFS(tbl_HR_Data[[#This Row],[Risk_Category]]="Critical",tbl_HR_Data[[#This Row],[MonthlyIncome]]*1.5,tbl_HR_Data[[#This Row],[Risk_Category]]="High",tbl_HR_Data[[#This Row],[MonthlyIncome]]*1.5),0)</f>
        <v>21616.5</v>
      </c>
    </row>
    <row r="1089" spans="1:44" x14ac:dyDescent="0.35">
      <c r="A1089" t="s">
        <v>823</v>
      </c>
      <c r="B1089">
        <v>34</v>
      </c>
      <c r="C1089" t="s">
        <v>31</v>
      </c>
      <c r="D1089">
        <v>1440</v>
      </c>
      <c r="E1089" t="s">
        <v>32</v>
      </c>
      <c r="F1089">
        <v>7</v>
      </c>
      <c r="G1089">
        <v>2</v>
      </c>
      <c r="H1089" t="s">
        <v>52</v>
      </c>
      <c r="I1089">
        <v>2</v>
      </c>
      <c r="J1089" t="s">
        <v>39</v>
      </c>
      <c r="K1089">
        <v>55</v>
      </c>
      <c r="L1089">
        <v>3</v>
      </c>
      <c r="M1089">
        <v>1</v>
      </c>
      <c r="N1089" t="s">
        <v>49</v>
      </c>
      <c r="O1089">
        <v>3</v>
      </c>
      <c r="P1089" t="s">
        <v>41</v>
      </c>
      <c r="Q1089">
        <v>2308</v>
      </c>
      <c r="R1089">
        <v>4944</v>
      </c>
      <c r="S1089">
        <v>0</v>
      </c>
      <c r="T1089">
        <v>1</v>
      </c>
      <c r="U1089" s="17">
        <v>0.25</v>
      </c>
      <c r="V1089">
        <v>4</v>
      </c>
      <c r="W1089">
        <v>2</v>
      </c>
      <c r="X1089">
        <v>1</v>
      </c>
      <c r="Y1089">
        <v>12</v>
      </c>
      <c r="Z1089">
        <v>4</v>
      </c>
      <c r="AA1089">
        <v>3</v>
      </c>
      <c r="AB1089">
        <v>11</v>
      </c>
      <c r="AC1089">
        <v>10</v>
      </c>
      <c r="AD1089">
        <v>5</v>
      </c>
      <c r="AE1089">
        <v>7</v>
      </c>
      <c r="AF1089">
        <v>0</v>
      </c>
      <c r="AG1089">
        <f>IF(tbl_HR_Data[[#This Row],[Gender]]="Male",1,0)</f>
        <v>1</v>
      </c>
      <c r="AH1089" cm="1">
        <f t="array" ref="AH1089">_xlfn.SWITCH(tbl_HR_Data[[#This Row],[BusinessTravel]], "Non-Travel", 0, "Travel_Rarely", 1, "Travel_Frequently", 2)</f>
        <v>1</v>
      </c>
      <c r="AI1089" cm="1">
        <f t="array" ref="AI1089">_xlfn.SWITCH(tbl_HR_Data[[#This Row],[MaritalStatus]],"Single",0,"Married",1,"Divorced",2)</f>
        <v>1</v>
      </c>
      <c r="AJ1089">
        <f>IF(tbl_HR_Data[[#This Row],[OverTime]]=1,1,0)</f>
        <v>1</v>
      </c>
      <c r="AK1089">
        <f>IF(tbl_HR_Data[[#This Row],[DistanceFromHome]]&gt;15,1,0)</f>
        <v>0</v>
      </c>
      <c r="AL1089">
        <f>IF(tbl_HR_Data[[#This Row],[JobSatisfaction]]&lt;=2,1,0)</f>
        <v>0</v>
      </c>
      <c r="AM1089">
        <f>IF(tbl_HR_Data[[#This Row],[MonthlyIncome]]&lt;$AT$2,1,0)</f>
        <v>1</v>
      </c>
      <c r="AN1089">
        <f>IF(tbl_HR_Data[[#This Row],[Travel_Code]]=2,1,0)</f>
        <v>0</v>
      </c>
      <c r="AO1089">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1089" s="15">
        <f>tbl_HR_Data[[#This Row],[Risk_Score_Raw]] / SUM(Logic_Parameters!$B$2:$B$6)</f>
        <v>0.56827453040563214</v>
      </c>
      <c r="AQ1089" s="16" t="str" cm="1">
        <f t="array" ref="AQ1089">_xlfn.IFS(tbl_HR_Data[[#This Row],[Attrition_Risk_Percentage]] &gt;= 0.75, "Critical",tbl_HR_Data[ [#This Row],[Attrition_Risk_Percentage] ]&gt;= 0.5, "High",tbl_HR_Data[[#This Row],[Attrition_Risk_Percentage]] &gt;= 0.25, "Medium",TRUE, "Low")</f>
        <v>High</v>
      </c>
      <c r="AR1089" s="16" cm="1">
        <f t="array" ref="AR1089">IFERROR(_xlfn.IFS(tbl_HR_Data[[#This Row],[Risk_Category]]="Critical",tbl_HR_Data[[#This Row],[MonthlyIncome]]*1.5,tbl_HR_Data[[#This Row],[Risk_Category]]="High",tbl_HR_Data[[#This Row],[MonthlyIncome]]*1.5),0)</f>
        <v>3462</v>
      </c>
    </row>
    <row r="1090" spans="1:44" x14ac:dyDescent="0.35">
      <c r="A1090" t="s">
        <v>348</v>
      </c>
      <c r="B1090">
        <v>42</v>
      </c>
      <c r="C1090" t="s">
        <v>31</v>
      </c>
      <c r="D1090">
        <v>1210</v>
      </c>
      <c r="E1090" t="s">
        <v>38</v>
      </c>
      <c r="F1090">
        <v>2</v>
      </c>
      <c r="G1090">
        <v>3</v>
      </c>
      <c r="H1090" t="s">
        <v>44</v>
      </c>
      <c r="I1090">
        <v>3</v>
      </c>
      <c r="J1090" t="s">
        <v>39</v>
      </c>
      <c r="K1090">
        <v>68</v>
      </c>
      <c r="L1090">
        <v>2</v>
      </c>
      <c r="M1090">
        <v>1</v>
      </c>
      <c r="N1090" t="s">
        <v>43</v>
      </c>
      <c r="O1090">
        <v>2</v>
      </c>
      <c r="P1090" t="s">
        <v>41</v>
      </c>
      <c r="Q1090">
        <v>4841</v>
      </c>
      <c r="R1090">
        <v>24052</v>
      </c>
      <c r="S1090">
        <v>4</v>
      </c>
      <c r="T1090">
        <v>0</v>
      </c>
      <c r="U1090" s="17">
        <v>0.14000000000000001</v>
      </c>
      <c r="V1090">
        <v>3</v>
      </c>
      <c r="W1090">
        <v>2</v>
      </c>
      <c r="X1090">
        <v>1</v>
      </c>
      <c r="Y1090">
        <v>4</v>
      </c>
      <c r="Z1090">
        <v>3</v>
      </c>
      <c r="AA1090">
        <v>3</v>
      </c>
      <c r="AB1090">
        <v>1</v>
      </c>
      <c r="AC1090">
        <v>0</v>
      </c>
      <c r="AD1090">
        <v>0</v>
      </c>
      <c r="AE1090">
        <v>0</v>
      </c>
      <c r="AF1090">
        <v>0</v>
      </c>
      <c r="AG1090">
        <f>IF(tbl_HR_Data[[#This Row],[Gender]]="Male",1,0)</f>
        <v>1</v>
      </c>
      <c r="AH1090" cm="1">
        <f t="array" ref="AH1090">_xlfn.SWITCH(tbl_HR_Data[[#This Row],[BusinessTravel]], "Non-Travel", 0, "Travel_Rarely", 1, "Travel_Frequently", 2)</f>
        <v>1</v>
      </c>
      <c r="AI1090" cm="1">
        <f t="array" ref="AI1090">_xlfn.SWITCH(tbl_HR_Data[[#This Row],[MaritalStatus]],"Single",0,"Married",1,"Divorced",2)</f>
        <v>1</v>
      </c>
      <c r="AJ1090">
        <f>IF(tbl_HR_Data[[#This Row],[OverTime]]=1,1,0)</f>
        <v>0</v>
      </c>
      <c r="AK1090">
        <f>IF(tbl_HR_Data[[#This Row],[DistanceFromHome]]&gt;15,1,0)</f>
        <v>0</v>
      </c>
      <c r="AL1090">
        <f>IF(tbl_HR_Data[[#This Row],[JobSatisfaction]]&lt;=2,1,0)</f>
        <v>1</v>
      </c>
      <c r="AM1090">
        <f>IF(tbl_HR_Data[[#This Row],[MonthlyIncome]]&lt;$AT$2,1,0)</f>
        <v>1</v>
      </c>
      <c r="AN1090">
        <f>IF(tbl_HR_Data[[#This Row],[Travel_Code]]=2,1,0)</f>
        <v>0</v>
      </c>
      <c r="AO1090">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090" s="15">
        <f>tbl_HR_Data[[#This Row],[Risk_Score_Raw]] / SUM(Logic_Parameters!$B$2:$B$6)</f>
        <v>0.3686061316669938</v>
      </c>
      <c r="AQ1090" s="16" t="str" cm="1">
        <f t="array" ref="AQ1090">_xlfn.IFS(tbl_HR_Data[[#This Row],[Attrition_Risk_Percentage]] &gt;= 0.75, "Critical",tbl_HR_Data[ [#This Row],[Attrition_Risk_Percentage] ]&gt;= 0.5, "High",tbl_HR_Data[[#This Row],[Attrition_Risk_Percentage]] &gt;= 0.25, "Medium",TRUE, "Low")</f>
        <v>Medium</v>
      </c>
      <c r="AR1090" s="16" cm="1">
        <f t="array" ref="AR1090">IFERROR(_xlfn.IFS(tbl_HR_Data[[#This Row],[Risk_Category]]="Critical",tbl_HR_Data[[#This Row],[MonthlyIncome]]*1.5,tbl_HR_Data[[#This Row],[Risk_Category]]="High",tbl_HR_Data[[#This Row],[MonthlyIncome]]*1.5),0)</f>
        <v>0</v>
      </c>
    </row>
    <row r="1091" spans="1:44" x14ac:dyDescent="0.35">
      <c r="A1091" t="s">
        <v>503</v>
      </c>
      <c r="B1091">
        <v>37</v>
      </c>
      <c r="C1091" t="s">
        <v>31</v>
      </c>
      <c r="D1091">
        <v>674</v>
      </c>
      <c r="E1091" t="s">
        <v>38</v>
      </c>
      <c r="F1091">
        <v>13</v>
      </c>
      <c r="G1091">
        <v>3</v>
      </c>
      <c r="H1091" t="s">
        <v>44</v>
      </c>
      <c r="I1091">
        <v>1</v>
      </c>
      <c r="J1091" t="s">
        <v>39</v>
      </c>
      <c r="K1091">
        <v>47</v>
      </c>
      <c r="L1091">
        <v>3</v>
      </c>
      <c r="M1091">
        <v>2</v>
      </c>
      <c r="N1091" t="s">
        <v>40</v>
      </c>
      <c r="O1091">
        <v>4</v>
      </c>
      <c r="P1091" t="s">
        <v>41</v>
      </c>
      <c r="Q1091">
        <v>4285</v>
      </c>
      <c r="R1091">
        <v>3031</v>
      </c>
      <c r="S1091">
        <v>1</v>
      </c>
      <c r="T1091">
        <v>0</v>
      </c>
      <c r="U1091" s="17">
        <v>0.17</v>
      </c>
      <c r="V1091">
        <v>3</v>
      </c>
      <c r="W1091">
        <v>1</v>
      </c>
      <c r="X1091">
        <v>0</v>
      </c>
      <c r="Y1091">
        <v>10</v>
      </c>
      <c r="Z1091">
        <v>2</v>
      </c>
      <c r="AA1091">
        <v>3</v>
      </c>
      <c r="AB1091">
        <v>10</v>
      </c>
      <c r="AC1091">
        <v>8</v>
      </c>
      <c r="AD1091">
        <v>3</v>
      </c>
      <c r="AE1091">
        <v>7</v>
      </c>
      <c r="AF1091">
        <v>0</v>
      </c>
      <c r="AG1091">
        <f>IF(tbl_HR_Data[[#This Row],[Gender]]="Male",1,0)</f>
        <v>1</v>
      </c>
      <c r="AH1091" cm="1">
        <f t="array" ref="AH1091">_xlfn.SWITCH(tbl_HR_Data[[#This Row],[BusinessTravel]], "Non-Travel", 0, "Travel_Rarely", 1, "Travel_Frequently", 2)</f>
        <v>1</v>
      </c>
      <c r="AI1091" cm="1">
        <f t="array" ref="AI1091">_xlfn.SWITCH(tbl_HR_Data[[#This Row],[MaritalStatus]],"Single",0,"Married",1,"Divorced",2)</f>
        <v>1</v>
      </c>
      <c r="AJ1091">
        <f>IF(tbl_HR_Data[[#This Row],[OverTime]]=1,1,0)</f>
        <v>0</v>
      </c>
      <c r="AK1091">
        <f>IF(tbl_HR_Data[[#This Row],[DistanceFromHome]]&gt;15,1,0)</f>
        <v>0</v>
      </c>
      <c r="AL1091">
        <f>IF(tbl_HR_Data[[#This Row],[JobSatisfaction]]&lt;=2,1,0)</f>
        <v>0</v>
      </c>
      <c r="AM1091">
        <f>IF(tbl_HR_Data[[#This Row],[MonthlyIncome]]&lt;$AT$2,1,0)</f>
        <v>1</v>
      </c>
      <c r="AN1091">
        <f>IF(tbl_HR_Data[[#This Row],[Travel_Code]]=2,1,0)</f>
        <v>0</v>
      </c>
      <c r="AO1091">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091" s="15">
        <f>tbl_HR_Data[[#This Row],[Risk_Score_Raw]] / SUM(Logic_Parameters!$B$2:$B$6)</f>
        <v>0.22374939857982484</v>
      </c>
      <c r="AQ1091" s="16" t="str" cm="1">
        <f t="array" ref="AQ1091">_xlfn.IFS(tbl_HR_Data[[#This Row],[Attrition_Risk_Percentage]] &gt;= 0.75, "Critical",tbl_HR_Data[ [#This Row],[Attrition_Risk_Percentage] ]&gt;= 0.5, "High",tbl_HR_Data[[#This Row],[Attrition_Risk_Percentage]] &gt;= 0.25, "Medium",TRUE, "Low")</f>
        <v>Low</v>
      </c>
      <c r="AR1091" s="16" cm="1">
        <f t="array" ref="AR1091">IFERROR(_xlfn.IFS(tbl_HR_Data[[#This Row],[Risk_Category]]="Critical",tbl_HR_Data[[#This Row],[MonthlyIncome]]*1.5,tbl_HR_Data[[#This Row],[Risk_Category]]="High",tbl_HR_Data[[#This Row],[MonthlyIncome]]*1.5),0)</f>
        <v>0</v>
      </c>
    </row>
    <row r="1092" spans="1:44" x14ac:dyDescent="0.35">
      <c r="A1092" t="s">
        <v>587</v>
      </c>
      <c r="B1092">
        <v>29</v>
      </c>
      <c r="C1092" t="s">
        <v>31</v>
      </c>
      <c r="D1092">
        <v>441</v>
      </c>
      <c r="E1092" t="s">
        <v>38</v>
      </c>
      <c r="F1092">
        <v>8</v>
      </c>
      <c r="G1092">
        <v>1</v>
      </c>
      <c r="H1092" t="s">
        <v>42</v>
      </c>
      <c r="I1092">
        <v>3</v>
      </c>
      <c r="J1092" t="s">
        <v>34</v>
      </c>
      <c r="K1092">
        <v>39</v>
      </c>
      <c r="L1092">
        <v>1</v>
      </c>
      <c r="M1092">
        <v>2</v>
      </c>
      <c r="N1092" t="s">
        <v>47</v>
      </c>
      <c r="O1092">
        <v>1</v>
      </c>
      <c r="P1092" t="s">
        <v>41</v>
      </c>
      <c r="Q1092">
        <v>9715</v>
      </c>
      <c r="R1092">
        <v>7288</v>
      </c>
      <c r="S1092">
        <v>3</v>
      </c>
      <c r="T1092">
        <v>0</v>
      </c>
      <c r="U1092" s="17">
        <v>0.13</v>
      </c>
      <c r="V1092">
        <v>3</v>
      </c>
      <c r="W1092">
        <v>3</v>
      </c>
      <c r="X1092">
        <v>1</v>
      </c>
      <c r="Y1092">
        <v>9</v>
      </c>
      <c r="Z1092">
        <v>3</v>
      </c>
      <c r="AA1092">
        <v>3</v>
      </c>
      <c r="AB1092">
        <v>7</v>
      </c>
      <c r="AC1092">
        <v>7</v>
      </c>
      <c r="AD1092">
        <v>0</v>
      </c>
      <c r="AE1092">
        <v>7</v>
      </c>
      <c r="AF1092">
        <v>0</v>
      </c>
      <c r="AG1092">
        <f>IF(tbl_HR_Data[[#This Row],[Gender]]="Male",1,0)</f>
        <v>0</v>
      </c>
      <c r="AH1092" cm="1">
        <f t="array" ref="AH1092">_xlfn.SWITCH(tbl_HR_Data[[#This Row],[BusinessTravel]], "Non-Travel", 0, "Travel_Rarely", 1, "Travel_Frequently", 2)</f>
        <v>1</v>
      </c>
      <c r="AI1092" cm="1">
        <f t="array" ref="AI1092">_xlfn.SWITCH(tbl_HR_Data[[#This Row],[MaritalStatus]],"Single",0,"Married",1,"Divorced",2)</f>
        <v>1</v>
      </c>
      <c r="AJ1092">
        <f>IF(tbl_HR_Data[[#This Row],[OverTime]]=1,1,0)</f>
        <v>0</v>
      </c>
      <c r="AK1092">
        <f>IF(tbl_HR_Data[[#This Row],[DistanceFromHome]]&gt;15,1,0)</f>
        <v>0</v>
      </c>
      <c r="AL1092">
        <f>IF(tbl_HR_Data[[#This Row],[JobSatisfaction]]&lt;=2,1,0)</f>
        <v>1</v>
      </c>
      <c r="AM1092">
        <f>IF(tbl_HR_Data[[#This Row],[MonthlyIncome]]&lt;$AT$2,1,0)</f>
        <v>0</v>
      </c>
      <c r="AN1092">
        <f>IF(tbl_HR_Data[[#This Row],[Travel_Code]]=2,1,0)</f>
        <v>0</v>
      </c>
      <c r="AO1092">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092" s="15">
        <f>tbl_HR_Data[[#This Row],[Risk_Score_Raw]] / SUM(Logic_Parameters!$B$2:$B$6)</f>
        <v>0.14485673308716898</v>
      </c>
      <c r="AQ1092" s="16" t="str" cm="1">
        <f t="array" ref="AQ1092">_xlfn.IFS(tbl_HR_Data[[#This Row],[Attrition_Risk_Percentage]] &gt;= 0.75, "Critical",tbl_HR_Data[ [#This Row],[Attrition_Risk_Percentage] ]&gt;= 0.5, "High",tbl_HR_Data[[#This Row],[Attrition_Risk_Percentage]] &gt;= 0.25, "Medium",TRUE, "Low")</f>
        <v>Low</v>
      </c>
      <c r="AR1092" s="16" cm="1">
        <f t="array" ref="AR1092">IFERROR(_xlfn.IFS(tbl_HR_Data[[#This Row],[Risk_Category]]="Critical",tbl_HR_Data[[#This Row],[MonthlyIncome]]*1.5,tbl_HR_Data[[#This Row],[Risk_Category]]="High",tbl_HR_Data[[#This Row],[MonthlyIncome]]*1.5),0)</f>
        <v>0</v>
      </c>
    </row>
    <row r="1093" spans="1:44" x14ac:dyDescent="0.35">
      <c r="A1093" t="s">
        <v>85</v>
      </c>
      <c r="B1093">
        <v>33</v>
      </c>
      <c r="C1093" t="s">
        <v>31</v>
      </c>
      <c r="D1093">
        <v>575</v>
      </c>
      <c r="E1093" t="s">
        <v>38</v>
      </c>
      <c r="F1093">
        <v>25</v>
      </c>
      <c r="G1093">
        <v>3</v>
      </c>
      <c r="H1093" t="s">
        <v>33</v>
      </c>
      <c r="I1093">
        <v>4</v>
      </c>
      <c r="J1093" t="s">
        <v>39</v>
      </c>
      <c r="K1093">
        <v>44</v>
      </c>
      <c r="L1093">
        <v>2</v>
      </c>
      <c r="M1093">
        <v>2</v>
      </c>
      <c r="N1093" t="s">
        <v>46</v>
      </c>
      <c r="O1093">
        <v>2</v>
      </c>
      <c r="P1093" t="s">
        <v>36</v>
      </c>
      <c r="Q1093">
        <v>4320</v>
      </c>
      <c r="R1093">
        <v>24152</v>
      </c>
      <c r="S1093">
        <v>1</v>
      </c>
      <c r="T1093">
        <v>0</v>
      </c>
      <c r="U1093" s="17">
        <v>0.13</v>
      </c>
      <c r="V1093">
        <v>3</v>
      </c>
      <c r="W1093">
        <v>4</v>
      </c>
      <c r="X1093">
        <v>0</v>
      </c>
      <c r="Y1093">
        <v>5</v>
      </c>
      <c r="Z1093">
        <v>2</v>
      </c>
      <c r="AA1093">
        <v>3</v>
      </c>
      <c r="AB1093">
        <v>5</v>
      </c>
      <c r="AC1093">
        <v>3</v>
      </c>
      <c r="AD1093">
        <v>0</v>
      </c>
      <c r="AE1093">
        <v>2</v>
      </c>
      <c r="AF1093">
        <v>0</v>
      </c>
      <c r="AG1093">
        <f>IF(tbl_HR_Data[[#This Row],[Gender]]="Male",1,0)</f>
        <v>1</v>
      </c>
      <c r="AH1093" cm="1">
        <f t="array" ref="AH1093">_xlfn.SWITCH(tbl_HR_Data[[#This Row],[BusinessTravel]], "Non-Travel", 0, "Travel_Rarely", 1, "Travel_Frequently", 2)</f>
        <v>1</v>
      </c>
      <c r="AI1093" cm="1">
        <f t="array" ref="AI1093">_xlfn.SWITCH(tbl_HR_Data[[#This Row],[MaritalStatus]],"Single",0,"Married",1,"Divorced",2)</f>
        <v>0</v>
      </c>
      <c r="AJ1093">
        <f>IF(tbl_HR_Data[[#This Row],[OverTime]]=1,1,0)</f>
        <v>0</v>
      </c>
      <c r="AK1093">
        <f>IF(tbl_HR_Data[[#This Row],[DistanceFromHome]]&gt;15,1,0)</f>
        <v>1</v>
      </c>
      <c r="AL1093">
        <f>IF(tbl_HR_Data[[#This Row],[JobSatisfaction]]&lt;=2,1,0)</f>
        <v>1</v>
      </c>
      <c r="AM1093">
        <f>IF(tbl_HR_Data[[#This Row],[MonthlyIncome]]&lt;$AT$2,1,0)</f>
        <v>1</v>
      </c>
      <c r="AN1093">
        <f>IF(tbl_HR_Data[[#This Row],[Travel_Code]]=2,1,0)</f>
        <v>0</v>
      </c>
      <c r="AO1093">
        <f>(tbl_HR_Data[[#This Row],[Flag_OT]] * Logic_Parameters!$B$2) +
 (tbl_HR_Data[[#This Row],[Flag_Travel]] * Logic_Parameters!$B$3) +
 (tbl_HR_Data[[#This Row],[Flag_Satisfaction]] * Logic_Parameters!$B$4) +
 (tbl_HR_Data[[#This Row],[Flag_Distance]]* Logic_Parameters!$B$5) +
 (tbl_HR_Data[[#This Row],[Flag_Income]] * Logic_Parameters!$B$6)</f>
        <v>13.865068763274337</v>
      </c>
      <c r="AP1093" s="15">
        <f>tbl_HR_Data[[#This Row],[Risk_Score_Raw]] / SUM(Logic_Parameters!$B$2:$B$6)</f>
        <v>0.47768646434409739</v>
      </c>
      <c r="AQ1093" s="16" t="str" cm="1">
        <f t="array" ref="AQ1093">_xlfn.IFS(tbl_HR_Data[[#This Row],[Attrition_Risk_Percentage]] &gt;= 0.75, "Critical",tbl_HR_Data[ [#This Row],[Attrition_Risk_Percentage] ]&gt;= 0.5, "High",tbl_HR_Data[[#This Row],[Attrition_Risk_Percentage]] &gt;= 0.25, "Medium",TRUE, "Low")</f>
        <v>Medium</v>
      </c>
      <c r="AR1093" s="16" cm="1">
        <f t="array" ref="AR1093">IFERROR(_xlfn.IFS(tbl_HR_Data[[#This Row],[Risk_Category]]="Critical",tbl_HR_Data[[#This Row],[MonthlyIncome]]*1.5,tbl_HR_Data[[#This Row],[Risk_Category]]="High",tbl_HR_Data[[#This Row],[MonthlyIncome]]*1.5),0)</f>
        <v>0</v>
      </c>
    </row>
    <row r="1094" spans="1:44" x14ac:dyDescent="0.35">
      <c r="A1094" t="s">
        <v>334</v>
      </c>
      <c r="B1094">
        <v>45</v>
      </c>
      <c r="C1094" t="s">
        <v>31</v>
      </c>
      <c r="D1094">
        <v>950</v>
      </c>
      <c r="E1094" t="s">
        <v>38</v>
      </c>
      <c r="F1094">
        <v>28</v>
      </c>
      <c r="G1094">
        <v>3</v>
      </c>
      <c r="H1094" t="s">
        <v>52</v>
      </c>
      <c r="I1094">
        <v>4</v>
      </c>
      <c r="J1094" t="s">
        <v>39</v>
      </c>
      <c r="K1094">
        <v>97</v>
      </c>
      <c r="L1094">
        <v>3</v>
      </c>
      <c r="M1094">
        <v>1</v>
      </c>
      <c r="N1094" t="s">
        <v>40</v>
      </c>
      <c r="O1094">
        <v>4</v>
      </c>
      <c r="P1094" t="s">
        <v>41</v>
      </c>
      <c r="Q1094">
        <v>2132</v>
      </c>
      <c r="R1094">
        <v>4585</v>
      </c>
      <c r="S1094">
        <v>4</v>
      </c>
      <c r="T1094">
        <v>0</v>
      </c>
      <c r="U1094" s="17">
        <v>0.2</v>
      </c>
      <c r="V1094">
        <v>4</v>
      </c>
      <c r="W1094">
        <v>4</v>
      </c>
      <c r="X1094">
        <v>1</v>
      </c>
      <c r="Y1094">
        <v>8</v>
      </c>
      <c r="Z1094">
        <v>3</v>
      </c>
      <c r="AA1094">
        <v>3</v>
      </c>
      <c r="AB1094">
        <v>5</v>
      </c>
      <c r="AC1094">
        <v>4</v>
      </c>
      <c r="AD1094">
        <v>0</v>
      </c>
      <c r="AE1094">
        <v>3</v>
      </c>
      <c r="AF1094">
        <v>0</v>
      </c>
      <c r="AG1094">
        <f>IF(tbl_HR_Data[[#This Row],[Gender]]="Male",1,0)</f>
        <v>1</v>
      </c>
      <c r="AH1094" cm="1">
        <f t="array" ref="AH1094">_xlfn.SWITCH(tbl_HR_Data[[#This Row],[BusinessTravel]], "Non-Travel", 0, "Travel_Rarely", 1, "Travel_Frequently", 2)</f>
        <v>1</v>
      </c>
      <c r="AI1094" cm="1">
        <f t="array" ref="AI1094">_xlfn.SWITCH(tbl_HR_Data[[#This Row],[MaritalStatus]],"Single",0,"Married",1,"Divorced",2)</f>
        <v>1</v>
      </c>
      <c r="AJ1094">
        <f>IF(tbl_HR_Data[[#This Row],[OverTime]]=1,1,0)</f>
        <v>0</v>
      </c>
      <c r="AK1094">
        <f>IF(tbl_HR_Data[[#This Row],[DistanceFromHome]]&gt;15,1,0)</f>
        <v>1</v>
      </c>
      <c r="AL1094">
        <f>IF(tbl_HR_Data[[#This Row],[JobSatisfaction]]&lt;=2,1,0)</f>
        <v>0</v>
      </c>
      <c r="AM1094">
        <f>IF(tbl_HR_Data[[#This Row],[MonthlyIncome]]&lt;$AT$2,1,0)</f>
        <v>1</v>
      </c>
      <c r="AN1094">
        <f>IF(tbl_HR_Data[[#This Row],[Travel_Code]]=2,1,0)</f>
        <v>0</v>
      </c>
      <c r="AO1094">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1094" s="15">
        <f>tbl_HR_Data[[#This Row],[Risk_Score_Raw]] / SUM(Logic_Parameters!$B$2:$B$6)</f>
        <v>0.33282973125692844</v>
      </c>
      <c r="AQ1094" s="16" t="str" cm="1">
        <f t="array" ref="AQ1094">_xlfn.IFS(tbl_HR_Data[[#This Row],[Attrition_Risk_Percentage]] &gt;= 0.75, "Critical",tbl_HR_Data[ [#This Row],[Attrition_Risk_Percentage] ]&gt;= 0.5, "High",tbl_HR_Data[[#This Row],[Attrition_Risk_Percentage]] &gt;= 0.25, "Medium",TRUE, "Low")</f>
        <v>Medium</v>
      </c>
      <c r="AR1094" s="16" cm="1">
        <f t="array" ref="AR1094">IFERROR(_xlfn.IFS(tbl_HR_Data[[#This Row],[Risk_Category]]="Critical",tbl_HR_Data[[#This Row],[MonthlyIncome]]*1.5,tbl_HR_Data[[#This Row],[Risk_Category]]="High",tbl_HR_Data[[#This Row],[MonthlyIncome]]*1.5),0)</f>
        <v>0</v>
      </c>
    </row>
    <row r="1095" spans="1:44" x14ac:dyDescent="0.35">
      <c r="A1095" t="s">
        <v>1159</v>
      </c>
      <c r="B1095">
        <v>42</v>
      </c>
      <c r="C1095" t="s">
        <v>37</v>
      </c>
      <c r="D1095">
        <v>288</v>
      </c>
      <c r="E1095" t="s">
        <v>38</v>
      </c>
      <c r="F1095">
        <v>2</v>
      </c>
      <c r="G1095">
        <v>3</v>
      </c>
      <c r="H1095" t="s">
        <v>33</v>
      </c>
      <c r="I1095">
        <v>4</v>
      </c>
      <c r="J1095" t="s">
        <v>39</v>
      </c>
      <c r="K1095">
        <v>40</v>
      </c>
      <c r="L1095">
        <v>3</v>
      </c>
      <c r="M1095">
        <v>3</v>
      </c>
      <c r="N1095" t="s">
        <v>47</v>
      </c>
      <c r="O1095">
        <v>4</v>
      </c>
      <c r="P1095" t="s">
        <v>41</v>
      </c>
      <c r="Q1095">
        <v>10124</v>
      </c>
      <c r="R1095">
        <v>18611</v>
      </c>
      <c r="S1095">
        <v>2</v>
      </c>
      <c r="T1095">
        <v>1</v>
      </c>
      <c r="U1095" s="17">
        <v>0.14000000000000001</v>
      </c>
      <c r="V1095">
        <v>3</v>
      </c>
      <c r="W1095">
        <v>3</v>
      </c>
      <c r="X1095">
        <v>1</v>
      </c>
      <c r="Y1095">
        <v>24</v>
      </c>
      <c r="Z1095">
        <v>3</v>
      </c>
      <c r="AA1095">
        <v>1</v>
      </c>
      <c r="AB1095">
        <v>20</v>
      </c>
      <c r="AC1095">
        <v>8</v>
      </c>
      <c r="AD1095">
        <v>13</v>
      </c>
      <c r="AE1095">
        <v>9</v>
      </c>
      <c r="AF1095">
        <v>0</v>
      </c>
      <c r="AG1095">
        <f>IF(tbl_HR_Data[[#This Row],[Gender]]="Male",1,0)</f>
        <v>1</v>
      </c>
      <c r="AH1095" cm="1">
        <f t="array" ref="AH1095">_xlfn.SWITCH(tbl_HR_Data[[#This Row],[BusinessTravel]], "Non-Travel", 0, "Travel_Rarely", 1, "Travel_Frequently", 2)</f>
        <v>2</v>
      </c>
      <c r="AI1095" cm="1">
        <f t="array" ref="AI1095">_xlfn.SWITCH(tbl_HR_Data[[#This Row],[MaritalStatus]],"Single",0,"Married",1,"Divorced",2)</f>
        <v>1</v>
      </c>
      <c r="AJ1095">
        <f>IF(tbl_HR_Data[[#This Row],[OverTime]]=1,1,0)</f>
        <v>1</v>
      </c>
      <c r="AK1095">
        <f>IF(tbl_HR_Data[[#This Row],[DistanceFromHome]]&gt;15,1,0)</f>
        <v>0</v>
      </c>
      <c r="AL1095">
        <f>IF(tbl_HR_Data[[#This Row],[JobSatisfaction]]&lt;=2,1,0)</f>
        <v>0</v>
      </c>
      <c r="AM1095">
        <f>IF(tbl_HR_Data[[#This Row],[MonthlyIncome]]&lt;$AT$2,1,0)</f>
        <v>0</v>
      </c>
      <c r="AN1095">
        <f>IF(tbl_HR_Data[[#This Row],[Travel_Code]]=2,1,0)</f>
        <v>1</v>
      </c>
      <c r="AO1095">
        <f>(tbl_HR_Data[[#This Row],[Flag_OT]] * Logic_Parameters!$B$2) +
 (tbl_HR_Data[[#This Row],[Flag_Travel]] * Logic_Parameters!$B$3) +
 (tbl_HR_Data[[#This Row],[Flag_Satisfaction]] * Logic_Parameters!$B$4) +
 (tbl_HR_Data[[#This Row],[Flag_Distance]]* Logic_Parameters!$B$5) +
 (tbl_HR_Data[[#This Row],[Flag_Income]] * Logic_Parameters!$B$6)</f>
        <v>15.160389980490176</v>
      </c>
      <c r="AP1095" s="15">
        <f>tbl_HR_Data[[#This Row],[Risk_Score_Raw]] / SUM(Logic_Parameters!$B$2:$B$6)</f>
        <v>0.52231353565590266</v>
      </c>
      <c r="AQ1095" s="16" t="str" cm="1">
        <f t="array" ref="AQ1095">_xlfn.IFS(tbl_HR_Data[[#This Row],[Attrition_Risk_Percentage]] &gt;= 0.75, "Critical",tbl_HR_Data[ [#This Row],[Attrition_Risk_Percentage] ]&gt;= 0.5, "High",tbl_HR_Data[[#This Row],[Attrition_Risk_Percentage]] &gt;= 0.25, "Medium",TRUE, "Low")</f>
        <v>High</v>
      </c>
      <c r="AR1095" s="16" cm="1">
        <f t="array" ref="AR1095">IFERROR(_xlfn.IFS(tbl_HR_Data[[#This Row],[Risk_Category]]="Critical",tbl_HR_Data[[#This Row],[MonthlyIncome]]*1.5,tbl_HR_Data[[#This Row],[Risk_Category]]="High",tbl_HR_Data[[#This Row],[MonthlyIncome]]*1.5),0)</f>
        <v>15186</v>
      </c>
    </row>
    <row r="1096" spans="1:44" x14ac:dyDescent="0.35">
      <c r="A1096" t="s">
        <v>990</v>
      </c>
      <c r="B1096">
        <v>40</v>
      </c>
      <c r="C1096" t="s">
        <v>31</v>
      </c>
      <c r="D1096">
        <v>1342</v>
      </c>
      <c r="E1096" t="s">
        <v>32</v>
      </c>
      <c r="F1096">
        <v>9</v>
      </c>
      <c r="G1096">
        <v>2</v>
      </c>
      <c r="H1096" t="s">
        <v>44</v>
      </c>
      <c r="I1096">
        <v>1</v>
      </c>
      <c r="J1096" t="s">
        <v>39</v>
      </c>
      <c r="K1096">
        <v>47</v>
      </c>
      <c r="L1096">
        <v>3</v>
      </c>
      <c r="M1096">
        <v>2</v>
      </c>
      <c r="N1096" t="s">
        <v>35</v>
      </c>
      <c r="O1096">
        <v>1</v>
      </c>
      <c r="P1096" t="s">
        <v>41</v>
      </c>
      <c r="Q1096">
        <v>5473</v>
      </c>
      <c r="R1096">
        <v>19345</v>
      </c>
      <c r="S1096">
        <v>0</v>
      </c>
      <c r="T1096">
        <v>0</v>
      </c>
      <c r="U1096" s="17">
        <v>0.12</v>
      </c>
      <c r="V1096">
        <v>3</v>
      </c>
      <c r="W1096">
        <v>4</v>
      </c>
      <c r="X1096">
        <v>0</v>
      </c>
      <c r="Y1096">
        <v>9</v>
      </c>
      <c r="Z1096">
        <v>5</v>
      </c>
      <c r="AA1096">
        <v>4</v>
      </c>
      <c r="AB1096">
        <v>8</v>
      </c>
      <c r="AC1096">
        <v>4</v>
      </c>
      <c r="AD1096">
        <v>7</v>
      </c>
      <c r="AE1096">
        <v>1</v>
      </c>
      <c r="AF1096">
        <v>0</v>
      </c>
      <c r="AG1096">
        <f>IF(tbl_HR_Data[[#This Row],[Gender]]="Male",1,0)</f>
        <v>1</v>
      </c>
      <c r="AH1096" cm="1">
        <f t="array" ref="AH1096">_xlfn.SWITCH(tbl_HR_Data[[#This Row],[BusinessTravel]], "Non-Travel", 0, "Travel_Rarely", 1, "Travel_Frequently", 2)</f>
        <v>1</v>
      </c>
      <c r="AI1096" cm="1">
        <f t="array" ref="AI1096">_xlfn.SWITCH(tbl_HR_Data[[#This Row],[MaritalStatus]],"Single",0,"Married",1,"Divorced",2)</f>
        <v>1</v>
      </c>
      <c r="AJ1096">
        <f>IF(tbl_HR_Data[[#This Row],[OverTime]]=1,1,0)</f>
        <v>0</v>
      </c>
      <c r="AK1096">
        <f>IF(tbl_HR_Data[[#This Row],[DistanceFromHome]]&gt;15,1,0)</f>
        <v>0</v>
      </c>
      <c r="AL1096">
        <f>IF(tbl_HR_Data[[#This Row],[JobSatisfaction]]&lt;=2,1,0)</f>
        <v>1</v>
      </c>
      <c r="AM1096">
        <f>IF(tbl_HR_Data[[#This Row],[MonthlyIncome]]&lt;$AT$2,1,0)</f>
        <v>0</v>
      </c>
      <c r="AN1096">
        <f>IF(tbl_HR_Data[[#This Row],[Travel_Code]]=2,1,0)</f>
        <v>0</v>
      </c>
      <c r="AO1096">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096" s="15">
        <f>tbl_HR_Data[[#This Row],[Risk_Score_Raw]] / SUM(Logic_Parameters!$B$2:$B$6)</f>
        <v>0.14485673308716898</v>
      </c>
      <c r="AQ1096" s="16" t="str" cm="1">
        <f t="array" ref="AQ1096">_xlfn.IFS(tbl_HR_Data[[#This Row],[Attrition_Risk_Percentage]] &gt;= 0.75, "Critical",tbl_HR_Data[ [#This Row],[Attrition_Risk_Percentage] ]&gt;= 0.5, "High",tbl_HR_Data[[#This Row],[Attrition_Risk_Percentage]] &gt;= 0.25, "Medium",TRUE, "Low")</f>
        <v>Low</v>
      </c>
      <c r="AR1096" s="16" cm="1">
        <f t="array" ref="AR1096">IFERROR(_xlfn.IFS(tbl_HR_Data[[#This Row],[Risk_Category]]="Critical",tbl_HR_Data[[#This Row],[MonthlyIncome]]*1.5,tbl_HR_Data[[#This Row],[Risk_Category]]="High",tbl_HR_Data[[#This Row],[MonthlyIncome]]*1.5),0)</f>
        <v>0</v>
      </c>
    </row>
    <row r="1097" spans="1:44" x14ac:dyDescent="0.35">
      <c r="A1097" t="s">
        <v>59</v>
      </c>
      <c r="B1097">
        <v>33</v>
      </c>
      <c r="C1097" t="s">
        <v>31</v>
      </c>
      <c r="D1097">
        <v>589</v>
      </c>
      <c r="E1097" t="s">
        <v>38</v>
      </c>
      <c r="F1097">
        <v>28</v>
      </c>
      <c r="G1097">
        <v>4</v>
      </c>
      <c r="H1097" t="s">
        <v>33</v>
      </c>
      <c r="I1097">
        <v>2</v>
      </c>
      <c r="J1097" t="s">
        <v>39</v>
      </c>
      <c r="K1097">
        <v>79</v>
      </c>
      <c r="L1097">
        <v>3</v>
      </c>
      <c r="M1097">
        <v>2</v>
      </c>
      <c r="N1097" t="s">
        <v>43</v>
      </c>
      <c r="O1097">
        <v>3</v>
      </c>
      <c r="P1097" t="s">
        <v>41</v>
      </c>
      <c r="Q1097">
        <v>5207</v>
      </c>
      <c r="R1097">
        <v>22949</v>
      </c>
      <c r="S1097">
        <v>1</v>
      </c>
      <c r="T1097">
        <v>1</v>
      </c>
      <c r="U1097" s="17">
        <v>0.12</v>
      </c>
      <c r="V1097">
        <v>3</v>
      </c>
      <c r="W1097">
        <v>2</v>
      </c>
      <c r="X1097">
        <v>1</v>
      </c>
      <c r="Y1097">
        <v>15</v>
      </c>
      <c r="Z1097">
        <v>3</v>
      </c>
      <c r="AA1097">
        <v>3</v>
      </c>
      <c r="AB1097">
        <v>15</v>
      </c>
      <c r="AC1097">
        <v>14</v>
      </c>
      <c r="AD1097">
        <v>5</v>
      </c>
      <c r="AE1097">
        <v>7</v>
      </c>
      <c r="AF1097">
        <v>0</v>
      </c>
      <c r="AG1097">
        <f>IF(tbl_HR_Data[[#This Row],[Gender]]="Male",1,0)</f>
        <v>1</v>
      </c>
      <c r="AH1097" cm="1">
        <f t="array" ref="AH1097">_xlfn.SWITCH(tbl_HR_Data[[#This Row],[BusinessTravel]], "Non-Travel", 0, "Travel_Rarely", 1, "Travel_Frequently", 2)</f>
        <v>1</v>
      </c>
      <c r="AI1097" cm="1">
        <f t="array" ref="AI1097">_xlfn.SWITCH(tbl_HR_Data[[#This Row],[MaritalStatus]],"Single",0,"Married",1,"Divorced",2)</f>
        <v>1</v>
      </c>
      <c r="AJ1097">
        <f>IF(tbl_HR_Data[[#This Row],[OverTime]]=1,1,0)</f>
        <v>1</v>
      </c>
      <c r="AK1097">
        <f>IF(tbl_HR_Data[[#This Row],[DistanceFromHome]]&gt;15,1,0)</f>
        <v>1</v>
      </c>
      <c r="AL1097">
        <f>IF(tbl_HR_Data[[#This Row],[JobSatisfaction]]&lt;=2,1,0)</f>
        <v>0</v>
      </c>
      <c r="AM1097">
        <f>IF(tbl_HR_Data[[#This Row],[MonthlyIncome]]&lt;$AT$2,1,0)</f>
        <v>0</v>
      </c>
      <c r="AN1097">
        <f>IF(tbl_HR_Data[[#This Row],[Travel_Code]]=2,1,0)</f>
        <v>0</v>
      </c>
      <c r="AO1097">
        <f>(tbl_HR_Data[[#This Row],[Flag_OT]] * Logic_Parameters!$B$2) +
 (tbl_HR_Data[[#This Row],[Flag_Travel]] * Logic_Parameters!$B$3) +
 (tbl_HR_Data[[#This Row],[Flag_Satisfaction]] * Logic_Parameters!$B$4) +
 (tbl_HR_Data[[#This Row],[Flag_Distance]]* Logic_Parameters!$B$5) +
 (tbl_HR_Data[[#This Row],[Flag_Income]] * Logic_Parameters!$B$6)</f>
        <v>13.166106695875378</v>
      </c>
      <c r="AP1097" s="15">
        <f>tbl_HR_Data[[#This Row],[Risk_Score_Raw]] / SUM(Logic_Parameters!$B$2:$B$6)</f>
        <v>0.45360546450291089</v>
      </c>
      <c r="AQ1097" s="16" t="str" cm="1">
        <f t="array" ref="AQ1097">_xlfn.IFS(tbl_HR_Data[[#This Row],[Attrition_Risk_Percentage]] &gt;= 0.75, "Critical",tbl_HR_Data[ [#This Row],[Attrition_Risk_Percentage] ]&gt;= 0.5, "High",tbl_HR_Data[[#This Row],[Attrition_Risk_Percentage]] &gt;= 0.25, "Medium",TRUE, "Low")</f>
        <v>Medium</v>
      </c>
      <c r="AR1097" s="16" cm="1">
        <f t="array" ref="AR1097">IFERROR(_xlfn.IFS(tbl_HR_Data[[#This Row],[Risk_Category]]="Critical",tbl_HR_Data[[#This Row],[MonthlyIncome]]*1.5,tbl_HR_Data[[#This Row],[Risk_Category]]="High",tbl_HR_Data[[#This Row],[MonthlyIncome]]*1.5),0)</f>
        <v>0</v>
      </c>
    </row>
    <row r="1098" spans="1:44" x14ac:dyDescent="0.35">
      <c r="A1098" t="s">
        <v>1494</v>
      </c>
      <c r="B1098">
        <v>40</v>
      </c>
      <c r="C1098" t="s">
        <v>31</v>
      </c>
      <c r="D1098">
        <v>898</v>
      </c>
      <c r="E1098" t="s">
        <v>53</v>
      </c>
      <c r="F1098">
        <v>6</v>
      </c>
      <c r="G1098">
        <v>2</v>
      </c>
      <c r="H1098" t="s">
        <v>44</v>
      </c>
      <c r="I1098">
        <v>3</v>
      </c>
      <c r="J1098" t="s">
        <v>39</v>
      </c>
      <c r="K1098">
        <v>38</v>
      </c>
      <c r="L1098">
        <v>3</v>
      </c>
      <c r="M1098">
        <v>4</v>
      </c>
      <c r="N1098" t="s">
        <v>48</v>
      </c>
      <c r="O1098">
        <v>4</v>
      </c>
      <c r="P1098" t="s">
        <v>36</v>
      </c>
      <c r="Q1098">
        <v>16437</v>
      </c>
      <c r="R1098">
        <v>17381</v>
      </c>
      <c r="S1098">
        <v>1</v>
      </c>
      <c r="T1098">
        <v>1</v>
      </c>
      <c r="U1098" s="17">
        <v>0.21</v>
      </c>
      <c r="V1098">
        <v>4</v>
      </c>
      <c r="W1098">
        <v>4</v>
      </c>
      <c r="X1098">
        <v>0</v>
      </c>
      <c r="Y1098">
        <v>21</v>
      </c>
      <c r="Z1098">
        <v>2</v>
      </c>
      <c r="AA1098">
        <v>3</v>
      </c>
      <c r="AB1098">
        <v>21</v>
      </c>
      <c r="AC1098">
        <v>7</v>
      </c>
      <c r="AD1098">
        <v>7</v>
      </c>
      <c r="AE1098">
        <v>7</v>
      </c>
      <c r="AF1098">
        <v>0</v>
      </c>
      <c r="AG1098">
        <f>IF(tbl_HR_Data[[#This Row],[Gender]]="Male",1,0)</f>
        <v>1</v>
      </c>
      <c r="AH1098" cm="1">
        <f t="array" ref="AH1098">_xlfn.SWITCH(tbl_HR_Data[[#This Row],[BusinessTravel]], "Non-Travel", 0, "Travel_Rarely", 1, "Travel_Frequently", 2)</f>
        <v>1</v>
      </c>
      <c r="AI1098" cm="1">
        <f t="array" ref="AI1098">_xlfn.SWITCH(tbl_HR_Data[[#This Row],[MaritalStatus]],"Single",0,"Married",1,"Divorced",2)</f>
        <v>0</v>
      </c>
      <c r="AJ1098">
        <f>IF(tbl_HR_Data[[#This Row],[OverTime]]=1,1,0)</f>
        <v>1</v>
      </c>
      <c r="AK1098">
        <f>IF(tbl_HR_Data[[#This Row],[DistanceFromHome]]&gt;15,1,0)</f>
        <v>0</v>
      </c>
      <c r="AL1098">
        <f>IF(tbl_HR_Data[[#This Row],[JobSatisfaction]]&lt;=2,1,0)</f>
        <v>0</v>
      </c>
      <c r="AM1098">
        <f>IF(tbl_HR_Data[[#This Row],[MonthlyIncome]]&lt;$AT$2,1,0)</f>
        <v>0</v>
      </c>
      <c r="AN1098">
        <f>IF(tbl_HR_Data[[#This Row],[Travel_Code]]=2,1,0)</f>
        <v>0</v>
      </c>
      <c r="AO1098">
        <f>(tbl_HR_Data[[#This Row],[Flag_OT]] * Logic_Parameters!$B$2) +
 (tbl_HR_Data[[#This Row],[Flag_Travel]] * Logic_Parameters!$B$3) +
 (tbl_HR_Data[[#This Row],[Flag_Satisfaction]] * Logic_Parameters!$B$4) +
 (tbl_HR_Data[[#This Row],[Flag_Distance]]* Logic_Parameters!$B$5) +
 (tbl_HR_Data[[#This Row],[Flag_Income]] * Logic_Parameters!$B$6)</f>
        <v>10</v>
      </c>
      <c r="AP1098" s="15">
        <f>tbl_HR_Data[[#This Row],[Risk_Score_Raw]] / SUM(Logic_Parameters!$B$2:$B$6)</f>
        <v>0.3445251318258073</v>
      </c>
      <c r="AQ1098" s="16" t="str" cm="1">
        <f t="array" ref="AQ1098">_xlfn.IFS(tbl_HR_Data[[#This Row],[Attrition_Risk_Percentage]] &gt;= 0.75, "Critical",tbl_HR_Data[ [#This Row],[Attrition_Risk_Percentage] ]&gt;= 0.5, "High",tbl_HR_Data[[#This Row],[Attrition_Risk_Percentage]] &gt;= 0.25, "Medium",TRUE, "Low")</f>
        <v>Medium</v>
      </c>
      <c r="AR1098" s="16" cm="1">
        <f t="array" ref="AR1098">IFERROR(_xlfn.IFS(tbl_HR_Data[[#This Row],[Risk_Category]]="Critical",tbl_HR_Data[[#This Row],[MonthlyIncome]]*1.5,tbl_HR_Data[[#This Row],[Risk_Category]]="High",tbl_HR_Data[[#This Row],[MonthlyIncome]]*1.5),0)</f>
        <v>0</v>
      </c>
    </row>
    <row r="1099" spans="1:44" x14ac:dyDescent="0.35">
      <c r="A1099" t="s">
        <v>357</v>
      </c>
      <c r="B1099">
        <v>24</v>
      </c>
      <c r="C1099" t="s">
        <v>31</v>
      </c>
      <c r="D1099">
        <v>350</v>
      </c>
      <c r="E1099" t="s">
        <v>38</v>
      </c>
      <c r="F1099">
        <v>21</v>
      </c>
      <c r="G1099">
        <v>2</v>
      </c>
      <c r="H1099" t="s">
        <v>52</v>
      </c>
      <c r="I1099">
        <v>3</v>
      </c>
      <c r="J1099" t="s">
        <v>39</v>
      </c>
      <c r="K1099">
        <v>57</v>
      </c>
      <c r="L1099">
        <v>2</v>
      </c>
      <c r="M1099">
        <v>1</v>
      </c>
      <c r="N1099" t="s">
        <v>43</v>
      </c>
      <c r="O1099">
        <v>1</v>
      </c>
      <c r="P1099" t="s">
        <v>45</v>
      </c>
      <c r="Q1099">
        <v>2296</v>
      </c>
      <c r="R1099">
        <v>10036</v>
      </c>
      <c r="S1099">
        <v>0</v>
      </c>
      <c r="T1099">
        <v>0</v>
      </c>
      <c r="U1099" s="17">
        <v>0.14000000000000001</v>
      </c>
      <c r="V1099">
        <v>3</v>
      </c>
      <c r="W1099">
        <v>2</v>
      </c>
      <c r="X1099">
        <v>3</v>
      </c>
      <c r="Y1099">
        <v>2</v>
      </c>
      <c r="Z1099">
        <v>3</v>
      </c>
      <c r="AA1099">
        <v>3</v>
      </c>
      <c r="AB1099">
        <v>1</v>
      </c>
      <c r="AC1099">
        <v>1</v>
      </c>
      <c r="AD1099">
        <v>0</v>
      </c>
      <c r="AE1099">
        <v>0</v>
      </c>
      <c r="AF1099">
        <v>0</v>
      </c>
      <c r="AG1099">
        <f>IF(tbl_HR_Data[[#This Row],[Gender]]="Male",1,0)</f>
        <v>1</v>
      </c>
      <c r="AH1099" cm="1">
        <f t="array" ref="AH1099">_xlfn.SWITCH(tbl_HR_Data[[#This Row],[BusinessTravel]], "Non-Travel", 0, "Travel_Rarely", 1, "Travel_Frequently", 2)</f>
        <v>1</v>
      </c>
      <c r="AI1099" cm="1">
        <f t="array" ref="AI1099">_xlfn.SWITCH(tbl_HR_Data[[#This Row],[MaritalStatus]],"Single",0,"Married",1,"Divorced",2)</f>
        <v>2</v>
      </c>
      <c r="AJ1099">
        <f>IF(tbl_HR_Data[[#This Row],[OverTime]]=1,1,0)</f>
        <v>0</v>
      </c>
      <c r="AK1099">
        <f>IF(tbl_HR_Data[[#This Row],[DistanceFromHome]]&gt;15,1,0)</f>
        <v>1</v>
      </c>
      <c r="AL1099">
        <f>IF(tbl_HR_Data[[#This Row],[JobSatisfaction]]&lt;=2,1,0)</f>
        <v>1</v>
      </c>
      <c r="AM1099">
        <f>IF(tbl_HR_Data[[#This Row],[MonthlyIncome]]&lt;$AT$2,1,0)</f>
        <v>1</v>
      </c>
      <c r="AN1099">
        <f>IF(tbl_HR_Data[[#This Row],[Travel_Code]]=2,1,0)</f>
        <v>0</v>
      </c>
      <c r="AO1099">
        <f>(tbl_HR_Data[[#This Row],[Flag_OT]] * Logic_Parameters!$B$2) +
 (tbl_HR_Data[[#This Row],[Flag_Travel]] * Logic_Parameters!$B$3) +
 (tbl_HR_Data[[#This Row],[Flag_Satisfaction]] * Logic_Parameters!$B$4) +
 (tbl_HR_Data[[#This Row],[Flag_Distance]]* Logic_Parameters!$B$5) +
 (tbl_HR_Data[[#This Row],[Flag_Income]] * Logic_Parameters!$B$6)</f>
        <v>13.865068763274337</v>
      </c>
      <c r="AP1099" s="15">
        <f>tbl_HR_Data[[#This Row],[Risk_Score_Raw]] / SUM(Logic_Parameters!$B$2:$B$6)</f>
        <v>0.47768646434409739</v>
      </c>
      <c r="AQ1099" s="16" t="str" cm="1">
        <f t="array" ref="AQ1099">_xlfn.IFS(tbl_HR_Data[[#This Row],[Attrition_Risk_Percentage]] &gt;= 0.75, "Critical",tbl_HR_Data[ [#This Row],[Attrition_Risk_Percentage] ]&gt;= 0.5, "High",tbl_HR_Data[[#This Row],[Attrition_Risk_Percentage]] &gt;= 0.25, "Medium",TRUE, "Low")</f>
        <v>Medium</v>
      </c>
      <c r="AR1099" s="16" cm="1">
        <f t="array" ref="AR1099">IFERROR(_xlfn.IFS(tbl_HR_Data[[#This Row],[Risk_Category]]="Critical",tbl_HR_Data[[#This Row],[MonthlyIncome]]*1.5,tbl_HR_Data[[#This Row],[Risk_Category]]="High",tbl_HR_Data[[#This Row],[MonthlyIncome]]*1.5),0)</f>
        <v>0</v>
      </c>
    </row>
    <row r="1100" spans="1:44" x14ac:dyDescent="0.35">
      <c r="A1100" t="s">
        <v>804</v>
      </c>
      <c r="B1100">
        <v>40</v>
      </c>
      <c r="C1100" t="s">
        <v>1525</v>
      </c>
      <c r="D1100">
        <v>1142</v>
      </c>
      <c r="E1100" t="s">
        <v>38</v>
      </c>
      <c r="F1100">
        <v>8</v>
      </c>
      <c r="G1100">
        <v>2</v>
      </c>
      <c r="H1100" t="s">
        <v>33</v>
      </c>
      <c r="I1100">
        <v>4</v>
      </c>
      <c r="J1100" t="s">
        <v>39</v>
      </c>
      <c r="K1100">
        <v>72</v>
      </c>
      <c r="L1100">
        <v>3</v>
      </c>
      <c r="M1100">
        <v>2</v>
      </c>
      <c r="N1100" t="s">
        <v>47</v>
      </c>
      <c r="O1100">
        <v>4</v>
      </c>
      <c r="P1100" t="s">
        <v>45</v>
      </c>
      <c r="Q1100">
        <v>4069</v>
      </c>
      <c r="R1100">
        <v>8841</v>
      </c>
      <c r="S1100">
        <v>3</v>
      </c>
      <c r="T1100">
        <v>1</v>
      </c>
      <c r="U1100" s="17">
        <v>0.18</v>
      </c>
      <c r="V1100">
        <v>3</v>
      </c>
      <c r="W1100">
        <v>3</v>
      </c>
      <c r="X1100">
        <v>0</v>
      </c>
      <c r="Y1100">
        <v>8</v>
      </c>
      <c r="Z1100">
        <v>2</v>
      </c>
      <c r="AA1100">
        <v>3</v>
      </c>
      <c r="AB1100">
        <v>2</v>
      </c>
      <c r="AC1100">
        <v>2</v>
      </c>
      <c r="AD1100">
        <v>2</v>
      </c>
      <c r="AE1100">
        <v>2</v>
      </c>
      <c r="AF1100">
        <v>0</v>
      </c>
      <c r="AG1100">
        <f>IF(tbl_HR_Data[[#This Row],[Gender]]="Male",1,0)</f>
        <v>1</v>
      </c>
      <c r="AH1100" cm="1">
        <f t="array" ref="AH1100">_xlfn.SWITCH(tbl_HR_Data[[#This Row],[BusinessTravel]], "Non-Travel", 0, "Travel_Rarely", 1, "Travel_Frequently", 2)</f>
        <v>0</v>
      </c>
      <c r="AI1100" cm="1">
        <f t="array" ref="AI1100">_xlfn.SWITCH(tbl_HR_Data[[#This Row],[MaritalStatus]],"Single",0,"Married",1,"Divorced",2)</f>
        <v>2</v>
      </c>
      <c r="AJ1100">
        <f>IF(tbl_HR_Data[[#This Row],[OverTime]]=1,1,0)</f>
        <v>1</v>
      </c>
      <c r="AK1100">
        <f>IF(tbl_HR_Data[[#This Row],[DistanceFromHome]]&gt;15,1,0)</f>
        <v>0</v>
      </c>
      <c r="AL1100">
        <f>IF(tbl_HR_Data[[#This Row],[JobSatisfaction]]&lt;=2,1,0)</f>
        <v>0</v>
      </c>
      <c r="AM1100">
        <f>IF(tbl_HR_Data[[#This Row],[MonthlyIncome]]&lt;$AT$2,1,0)</f>
        <v>1</v>
      </c>
      <c r="AN1100">
        <f>IF(tbl_HR_Data[[#This Row],[Travel_Code]]=2,1,0)</f>
        <v>0</v>
      </c>
      <c r="AO1100">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1100" s="15">
        <f>tbl_HR_Data[[#This Row],[Risk_Score_Raw]] / SUM(Logic_Parameters!$B$2:$B$6)</f>
        <v>0.56827453040563214</v>
      </c>
      <c r="AQ1100" s="16" t="str" cm="1">
        <f t="array" ref="AQ1100">_xlfn.IFS(tbl_HR_Data[[#This Row],[Attrition_Risk_Percentage]] &gt;= 0.75, "Critical",tbl_HR_Data[ [#This Row],[Attrition_Risk_Percentage] ]&gt;= 0.5, "High",tbl_HR_Data[[#This Row],[Attrition_Risk_Percentage]] &gt;= 0.25, "Medium",TRUE, "Low")</f>
        <v>High</v>
      </c>
      <c r="AR1100" s="16" cm="1">
        <f t="array" ref="AR1100">IFERROR(_xlfn.IFS(tbl_HR_Data[[#This Row],[Risk_Category]]="Critical",tbl_HR_Data[[#This Row],[MonthlyIncome]]*1.5,tbl_HR_Data[[#This Row],[Risk_Category]]="High",tbl_HR_Data[[#This Row],[MonthlyIncome]]*1.5),0)</f>
        <v>6103.5</v>
      </c>
    </row>
    <row r="1101" spans="1:44" x14ac:dyDescent="0.35">
      <c r="A1101" t="s">
        <v>716</v>
      </c>
      <c r="B1101">
        <v>45</v>
      </c>
      <c r="C1101" t="s">
        <v>31</v>
      </c>
      <c r="D1101">
        <v>538</v>
      </c>
      <c r="E1101" t="s">
        <v>38</v>
      </c>
      <c r="F1101">
        <v>1</v>
      </c>
      <c r="G1101">
        <v>4</v>
      </c>
      <c r="H1101" t="s">
        <v>52</v>
      </c>
      <c r="I1101">
        <v>1</v>
      </c>
      <c r="J1101" t="s">
        <v>39</v>
      </c>
      <c r="K1101">
        <v>66</v>
      </c>
      <c r="L1101">
        <v>3</v>
      </c>
      <c r="M1101">
        <v>3</v>
      </c>
      <c r="N1101" t="s">
        <v>47</v>
      </c>
      <c r="O1101">
        <v>2</v>
      </c>
      <c r="P1101" t="s">
        <v>45</v>
      </c>
      <c r="Q1101">
        <v>7441</v>
      </c>
      <c r="R1101">
        <v>20933</v>
      </c>
      <c r="S1101">
        <v>1</v>
      </c>
      <c r="T1101">
        <v>0</v>
      </c>
      <c r="U1101" s="17">
        <v>0.12</v>
      </c>
      <c r="V1101">
        <v>3</v>
      </c>
      <c r="W1101">
        <v>1</v>
      </c>
      <c r="X1101">
        <v>3</v>
      </c>
      <c r="Y1101">
        <v>10</v>
      </c>
      <c r="Z1101">
        <v>4</v>
      </c>
      <c r="AA1101">
        <v>3</v>
      </c>
      <c r="AB1101">
        <v>10</v>
      </c>
      <c r="AC1101">
        <v>8</v>
      </c>
      <c r="AD1101">
        <v>7</v>
      </c>
      <c r="AE1101">
        <v>7</v>
      </c>
      <c r="AF1101">
        <v>0</v>
      </c>
      <c r="AG1101">
        <f>IF(tbl_HR_Data[[#This Row],[Gender]]="Male",1,0)</f>
        <v>1</v>
      </c>
      <c r="AH1101" cm="1">
        <f t="array" ref="AH1101">_xlfn.SWITCH(tbl_HR_Data[[#This Row],[BusinessTravel]], "Non-Travel", 0, "Travel_Rarely", 1, "Travel_Frequently", 2)</f>
        <v>1</v>
      </c>
      <c r="AI1101" cm="1">
        <f t="array" ref="AI1101">_xlfn.SWITCH(tbl_HR_Data[[#This Row],[MaritalStatus]],"Single",0,"Married",1,"Divorced",2)</f>
        <v>2</v>
      </c>
      <c r="AJ1101">
        <f>IF(tbl_HR_Data[[#This Row],[OverTime]]=1,1,0)</f>
        <v>0</v>
      </c>
      <c r="AK1101">
        <f>IF(tbl_HR_Data[[#This Row],[DistanceFromHome]]&gt;15,1,0)</f>
        <v>0</v>
      </c>
      <c r="AL1101">
        <f>IF(tbl_HR_Data[[#This Row],[JobSatisfaction]]&lt;=2,1,0)</f>
        <v>1</v>
      </c>
      <c r="AM1101">
        <f>IF(tbl_HR_Data[[#This Row],[MonthlyIncome]]&lt;$AT$2,1,0)</f>
        <v>0</v>
      </c>
      <c r="AN1101">
        <f>IF(tbl_HR_Data[[#This Row],[Travel_Code]]=2,1,0)</f>
        <v>0</v>
      </c>
      <c r="AO1101">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101" s="15">
        <f>tbl_HR_Data[[#This Row],[Risk_Score_Raw]] / SUM(Logic_Parameters!$B$2:$B$6)</f>
        <v>0.14485673308716898</v>
      </c>
      <c r="AQ1101" s="16" t="str" cm="1">
        <f t="array" ref="AQ1101">_xlfn.IFS(tbl_HR_Data[[#This Row],[Attrition_Risk_Percentage]] &gt;= 0.75, "Critical",tbl_HR_Data[ [#This Row],[Attrition_Risk_Percentage] ]&gt;= 0.5, "High",tbl_HR_Data[[#This Row],[Attrition_Risk_Percentage]] &gt;= 0.25, "Medium",TRUE, "Low")</f>
        <v>Low</v>
      </c>
      <c r="AR1101" s="16" cm="1">
        <f t="array" ref="AR1101">IFERROR(_xlfn.IFS(tbl_HR_Data[[#This Row],[Risk_Category]]="Critical",tbl_HR_Data[[#This Row],[MonthlyIncome]]*1.5,tbl_HR_Data[[#This Row],[Risk_Category]]="High",tbl_HR_Data[[#This Row],[MonthlyIncome]]*1.5),0)</f>
        <v>0</v>
      </c>
    </row>
    <row r="1102" spans="1:44" x14ac:dyDescent="0.35">
      <c r="A1102" t="s">
        <v>267</v>
      </c>
      <c r="B1102">
        <v>35</v>
      </c>
      <c r="C1102" t="s">
        <v>31</v>
      </c>
      <c r="D1102">
        <v>1402</v>
      </c>
      <c r="E1102" t="s">
        <v>32</v>
      </c>
      <c r="F1102">
        <v>28</v>
      </c>
      <c r="G1102">
        <v>4</v>
      </c>
      <c r="H1102" t="s">
        <v>33</v>
      </c>
      <c r="I1102">
        <v>2</v>
      </c>
      <c r="J1102" t="s">
        <v>34</v>
      </c>
      <c r="K1102">
        <v>98</v>
      </c>
      <c r="L1102">
        <v>2</v>
      </c>
      <c r="M1102">
        <v>1</v>
      </c>
      <c r="N1102" t="s">
        <v>49</v>
      </c>
      <c r="O1102">
        <v>3</v>
      </c>
      <c r="P1102" t="s">
        <v>41</v>
      </c>
      <c r="Q1102">
        <v>2430</v>
      </c>
      <c r="R1102">
        <v>26204</v>
      </c>
      <c r="S1102">
        <v>0</v>
      </c>
      <c r="T1102">
        <v>0</v>
      </c>
      <c r="U1102" s="17">
        <v>0.23</v>
      </c>
      <c r="V1102">
        <v>4</v>
      </c>
      <c r="W1102">
        <v>1</v>
      </c>
      <c r="X1102">
        <v>2</v>
      </c>
      <c r="Y1102">
        <v>6</v>
      </c>
      <c r="Z1102">
        <v>5</v>
      </c>
      <c r="AA1102">
        <v>3</v>
      </c>
      <c r="AB1102">
        <v>5</v>
      </c>
      <c r="AC1102">
        <v>3</v>
      </c>
      <c r="AD1102">
        <v>4</v>
      </c>
      <c r="AE1102">
        <v>2</v>
      </c>
      <c r="AF1102">
        <v>0</v>
      </c>
      <c r="AG1102">
        <f>IF(tbl_HR_Data[[#This Row],[Gender]]="Male",1,0)</f>
        <v>0</v>
      </c>
      <c r="AH1102" cm="1">
        <f t="array" ref="AH1102">_xlfn.SWITCH(tbl_HR_Data[[#This Row],[BusinessTravel]], "Non-Travel", 0, "Travel_Rarely", 1, "Travel_Frequently", 2)</f>
        <v>1</v>
      </c>
      <c r="AI1102" cm="1">
        <f t="array" ref="AI1102">_xlfn.SWITCH(tbl_HR_Data[[#This Row],[MaritalStatus]],"Single",0,"Married",1,"Divorced",2)</f>
        <v>1</v>
      </c>
      <c r="AJ1102">
        <f>IF(tbl_HR_Data[[#This Row],[OverTime]]=1,1,0)</f>
        <v>0</v>
      </c>
      <c r="AK1102">
        <f>IF(tbl_HR_Data[[#This Row],[DistanceFromHome]]&gt;15,1,0)</f>
        <v>1</v>
      </c>
      <c r="AL1102">
        <f>IF(tbl_HR_Data[[#This Row],[JobSatisfaction]]&lt;=2,1,0)</f>
        <v>0</v>
      </c>
      <c r="AM1102">
        <f>IF(tbl_HR_Data[[#This Row],[MonthlyIncome]]&lt;$AT$2,1,0)</f>
        <v>1</v>
      </c>
      <c r="AN1102">
        <f>IF(tbl_HR_Data[[#This Row],[Travel_Code]]=2,1,0)</f>
        <v>0</v>
      </c>
      <c r="AO1102">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1102" s="15">
        <f>tbl_HR_Data[[#This Row],[Risk_Score_Raw]] / SUM(Logic_Parameters!$B$2:$B$6)</f>
        <v>0.33282973125692844</v>
      </c>
      <c r="AQ1102" s="16" t="str" cm="1">
        <f t="array" ref="AQ1102">_xlfn.IFS(tbl_HR_Data[[#This Row],[Attrition_Risk_Percentage]] &gt;= 0.75, "Critical",tbl_HR_Data[ [#This Row],[Attrition_Risk_Percentage] ]&gt;= 0.5, "High",tbl_HR_Data[[#This Row],[Attrition_Risk_Percentage]] &gt;= 0.25, "Medium",TRUE, "Low")</f>
        <v>Medium</v>
      </c>
      <c r="AR1102" s="16" cm="1">
        <f t="array" ref="AR1102">IFERROR(_xlfn.IFS(tbl_HR_Data[[#This Row],[Risk_Category]]="Critical",tbl_HR_Data[[#This Row],[MonthlyIncome]]*1.5,tbl_HR_Data[[#This Row],[Risk_Category]]="High",tbl_HR_Data[[#This Row],[MonthlyIncome]]*1.5),0)</f>
        <v>0</v>
      </c>
    </row>
    <row r="1103" spans="1:44" x14ac:dyDescent="0.35">
      <c r="A1103" t="s">
        <v>1161</v>
      </c>
      <c r="B1103">
        <v>32</v>
      </c>
      <c r="C1103" t="s">
        <v>31</v>
      </c>
      <c r="D1103">
        <v>824</v>
      </c>
      <c r="E1103" t="s">
        <v>38</v>
      </c>
      <c r="F1103">
        <v>5</v>
      </c>
      <c r="G1103">
        <v>2</v>
      </c>
      <c r="H1103" t="s">
        <v>33</v>
      </c>
      <c r="I1103">
        <v>4</v>
      </c>
      <c r="J1103" t="s">
        <v>34</v>
      </c>
      <c r="K1103">
        <v>67</v>
      </c>
      <c r="L1103">
        <v>2</v>
      </c>
      <c r="M1103">
        <v>2</v>
      </c>
      <c r="N1103" t="s">
        <v>40</v>
      </c>
      <c r="O1103">
        <v>2</v>
      </c>
      <c r="P1103" t="s">
        <v>41</v>
      </c>
      <c r="Q1103">
        <v>5878</v>
      </c>
      <c r="R1103">
        <v>15624</v>
      </c>
      <c r="S1103">
        <v>3</v>
      </c>
      <c r="T1103">
        <v>0</v>
      </c>
      <c r="U1103" s="17">
        <v>0.12</v>
      </c>
      <c r="V1103">
        <v>3</v>
      </c>
      <c r="W1103">
        <v>1</v>
      </c>
      <c r="X1103">
        <v>1</v>
      </c>
      <c r="Y1103">
        <v>12</v>
      </c>
      <c r="Z1103">
        <v>2</v>
      </c>
      <c r="AA1103">
        <v>3</v>
      </c>
      <c r="AB1103">
        <v>7</v>
      </c>
      <c r="AC1103">
        <v>1</v>
      </c>
      <c r="AD1103">
        <v>2</v>
      </c>
      <c r="AE1103">
        <v>5</v>
      </c>
      <c r="AF1103">
        <v>0</v>
      </c>
      <c r="AG1103">
        <f>IF(tbl_HR_Data[[#This Row],[Gender]]="Male",1,0)</f>
        <v>0</v>
      </c>
      <c r="AH1103" cm="1">
        <f t="array" ref="AH1103">_xlfn.SWITCH(tbl_HR_Data[[#This Row],[BusinessTravel]], "Non-Travel", 0, "Travel_Rarely", 1, "Travel_Frequently", 2)</f>
        <v>1</v>
      </c>
      <c r="AI1103" cm="1">
        <f t="array" ref="AI1103">_xlfn.SWITCH(tbl_HR_Data[[#This Row],[MaritalStatus]],"Single",0,"Married",1,"Divorced",2)</f>
        <v>1</v>
      </c>
      <c r="AJ1103">
        <f>IF(tbl_HR_Data[[#This Row],[OverTime]]=1,1,0)</f>
        <v>0</v>
      </c>
      <c r="AK1103">
        <f>IF(tbl_HR_Data[[#This Row],[DistanceFromHome]]&gt;15,1,0)</f>
        <v>0</v>
      </c>
      <c r="AL1103">
        <f>IF(tbl_HR_Data[[#This Row],[JobSatisfaction]]&lt;=2,1,0)</f>
        <v>1</v>
      </c>
      <c r="AM1103">
        <f>IF(tbl_HR_Data[[#This Row],[MonthlyIncome]]&lt;$AT$2,1,0)</f>
        <v>0</v>
      </c>
      <c r="AN1103">
        <f>IF(tbl_HR_Data[[#This Row],[Travel_Code]]=2,1,0)</f>
        <v>0</v>
      </c>
      <c r="AO1103">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103" s="15">
        <f>tbl_HR_Data[[#This Row],[Risk_Score_Raw]] / SUM(Logic_Parameters!$B$2:$B$6)</f>
        <v>0.14485673308716898</v>
      </c>
      <c r="AQ1103" s="16" t="str" cm="1">
        <f t="array" ref="AQ1103">_xlfn.IFS(tbl_HR_Data[[#This Row],[Attrition_Risk_Percentage]] &gt;= 0.75, "Critical",tbl_HR_Data[ [#This Row],[Attrition_Risk_Percentage] ]&gt;= 0.5, "High",tbl_HR_Data[[#This Row],[Attrition_Risk_Percentage]] &gt;= 0.25, "Medium",TRUE, "Low")</f>
        <v>Low</v>
      </c>
      <c r="AR1103" s="16" cm="1">
        <f t="array" ref="AR1103">IFERROR(_xlfn.IFS(tbl_HR_Data[[#This Row],[Risk_Category]]="Critical",tbl_HR_Data[[#This Row],[MonthlyIncome]]*1.5,tbl_HR_Data[[#This Row],[Risk_Category]]="High",tbl_HR_Data[[#This Row],[MonthlyIncome]]*1.5),0)</f>
        <v>0</v>
      </c>
    </row>
    <row r="1104" spans="1:44" x14ac:dyDescent="0.35">
      <c r="A1104" t="s">
        <v>540</v>
      </c>
      <c r="B1104">
        <v>36</v>
      </c>
      <c r="C1104" t="s">
        <v>31</v>
      </c>
      <c r="D1104">
        <v>1157</v>
      </c>
      <c r="E1104" t="s">
        <v>32</v>
      </c>
      <c r="F1104">
        <v>2</v>
      </c>
      <c r="G1104">
        <v>4</v>
      </c>
      <c r="H1104" t="s">
        <v>33</v>
      </c>
      <c r="I1104">
        <v>3</v>
      </c>
      <c r="J1104" t="s">
        <v>39</v>
      </c>
      <c r="K1104">
        <v>70</v>
      </c>
      <c r="L1104">
        <v>3</v>
      </c>
      <c r="M1104">
        <v>1</v>
      </c>
      <c r="N1104" t="s">
        <v>49</v>
      </c>
      <c r="O1104">
        <v>4</v>
      </c>
      <c r="P1104" t="s">
        <v>36</v>
      </c>
      <c r="Q1104">
        <v>2644</v>
      </c>
      <c r="R1104">
        <v>17001</v>
      </c>
      <c r="S1104">
        <v>3</v>
      </c>
      <c r="T1104">
        <v>1</v>
      </c>
      <c r="U1104" s="17">
        <v>0.21</v>
      </c>
      <c r="V1104">
        <v>4</v>
      </c>
      <c r="W1104">
        <v>4</v>
      </c>
      <c r="X1104">
        <v>0</v>
      </c>
      <c r="Y1104">
        <v>7</v>
      </c>
      <c r="Z1104">
        <v>3</v>
      </c>
      <c r="AA1104">
        <v>2</v>
      </c>
      <c r="AB1104">
        <v>3</v>
      </c>
      <c r="AC1104">
        <v>2</v>
      </c>
      <c r="AD1104">
        <v>1</v>
      </c>
      <c r="AE1104">
        <v>2</v>
      </c>
      <c r="AF1104">
        <v>0</v>
      </c>
      <c r="AG1104">
        <f>IF(tbl_HR_Data[[#This Row],[Gender]]="Male",1,0)</f>
        <v>1</v>
      </c>
      <c r="AH1104" cm="1">
        <f t="array" ref="AH1104">_xlfn.SWITCH(tbl_HR_Data[[#This Row],[BusinessTravel]], "Non-Travel", 0, "Travel_Rarely", 1, "Travel_Frequently", 2)</f>
        <v>1</v>
      </c>
      <c r="AI1104" cm="1">
        <f t="array" ref="AI1104">_xlfn.SWITCH(tbl_HR_Data[[#This Row],[MaritalStatus]],"Single",0,"Married",1,"Divorced",2)</f>
        <v>0</v>
      </c>
      <c r="AJ1104">
        <f>IF(tbl_HR_Data[[#This Row],[OverTime]]=1,1,0)</f>
        <v>1</v>
      </c>
      <c r="AK1104">
        <f>IF(tbl_HR_Data[[#This Row],[DistanceFromHome]]&gt;15,1,0)</f>
        <v>0</v>
      </c>
      <c r="AL1104">
        <f>IF(tbl_HR_Data[[#This Row],[JobSatisfaction]]&lt;=2,1,0)</f>
        <v>0</v>
      </c>
      <c r="AM1104">
        <f>IF(tbl_HR_Data[[#This Row],[MonthlyIncome]]&lt;$AT$2,1,0)</f>
        <v>1</v>
      </c>
      <c r="AN1104">
        <f>IF(tbl_HR_Data[[#This Row],[Travel_Code]]=2,1,0)</f>
        <v>0</v>
      </c>
      <c r="AO1104">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1104" s="15">
        <f>tbl_HR_Data[[#This Row],[Risk_Score_Raw]] / SUM(Logic_Parameters!$B$2:$B$6)</f>
        <v>0.56827453040563214</v>
      </c>
      <c r="AQ1104" s="16" t="str" cm="1">
        <f t="array" ref="AQ1104">_xlfn.IFS(tbl_HR_Data[[#This Row],[Attrition_Risk_Percentage]] &gt;= 0.75, "Critical",tbl_HR_Data[ [#This Row],[Attrition_Risk_Percentage] ]&gt;= 0.5, "High",tbl_HR_Data[[#This Row],[Attrition_Risk_Percentage]] &gt;= 0.25, "Medium",TRUE, "Low")</f>
        <v>High</v>
      </c>
      <c r="AR1104" s="16" cm="1">
        <f t="array" ref="AR1104">IFERROR(_xlfn.IFS(tbl_HR_Data[[#This Row],[Risk_Category]]="Critical",tbl_HR_Data[[#This Row],[MonthlyIncome]]*1.5,tbl_HR_Data[[#This Row],[Risk_Category]]="High",tbl_HR_Data[[#This Row],[MonthlyIncome]]*1.5),0)</f>
        <v>3966</v>
      </c>
    </row>
    <row r="1105" spans="1:44" x14ac:dyDescent="0.35">
      <c r="A1105" t="s">
        <v>1007</v>
      </c>
      <c r="B1105">
        <v>48</v>
      </c>
      <c r="C1105" t="s">
        <v>31</v>
      </c>
      <c r="D1105">
        <v>492</v>
      </c>
      <c r="E1105" t="s">
        <v>32</v>
      </c>
      <c r="F1105">
        <v>16</v>
      </c>
      <c r="G1105">
        <v>4</v>
      </c>
      <c r="H1105" t="s">
        <v>33</v>
      </c>
      <c r="I1105">
        <v>3</v>
      </c>
      <c r="J1105" t="s">
        <v>34</v>
      </c>
      <c r="K1105">
        <v>96</v>
      </c>
      <c r="L1105">
        <v>3</v>
      </c>
      <c r="M1105">
        <v>2</v>
      </c>
      <c r="N1105" t="s">
        <v>35</v>
      </c>
      <c r="O1105">
        <v>3</v>
      </c>
      <c r="P1105" t="s">
        <v>45</v>
      </c>
      <c r="Q1105">
        <v>6439</v>
      </c>
      <c r="R1105">
        <v>13693</v>
      </c>
      <c r="S1105">
        <v>8</v>
      </c>
      <c r="T1105">
        <v>0</v>
      </c>
      <c r="U1105" s="17">
        <v>0.14000000000000001</v>
      </c>
      <c r="V1105">
        <v>3</v>
      </c>
      <c r="W1105">
        <v>3</v>
      </c>
      <c r="X1105">
        <v>1</v>
      </c>
      <c r="Y1105">
        <v>18</v>
      </c>
      <c r="Z1105">
        <v>2</v>
      </c>
      <c r="AA1105">
        <v>3</v>
      </c>
      <c r="AB1105">
        <v>8</v>
      </c>
      <c r="AC1105">
        <v>7</v>
      </c>
      <c r="AD1105">
        <v>7</v>
      </c>
      <c r="AE1105">
        <v>7</v>
      </c>
      <c r="AF1105">
        <v>0</v>
      </c>
      <c r="AG1105">
        <f>IF(tbl_HR_Data[[#This Row],[Gender]]="Male",1,0)</f>
        <v>0</v>
      </c>
      <c r="AH1105" cm="1">
        <f t="array" ref="AH1105">_xlfn.SWITCH(tbl_HR_Data[[#This Row],[BusinessTravel]], "Non-Travel", 0, "Travel_Rarely", 1, "Travel_Frequently", 2)</f>
        <v>1</v>
      </c>
      <c r="AI1105" cm="1">
        <f t="array" ref="AI1105">_xlfn.SWITCH(tbl_HR_Data[[#This Row],[MaritalStatus]],"Single",0,"Married",1,"Divorced",2)</f>
        <v>2</v>
      </c>
      <c r="AJ1105">
        <f>IF(tbl_HR_Data[[#This Row],[OverTime]]=1,1,0)</f>
        <v>0</v>
      </c>
      <c r="AK1105">
        <f>IF(tbl_HR_Data[[#This Row],[DistanceFromHome]]&gt;15,1,0)</f>
        <v>1</v>
      </c>
      <c r="AL1105">
        <f>IF(tbl_HR_Data[[#This Row],[JobSatisfaction]]&lt;=2,1,0)</f>
        <v>0</v>
      </c>
      <c r="AM1105">
        <f>IF(tbl_HR_Data[[#This Row],[MonthlyIncome]]&lt;$AT$2,1,0)</f>
        <v>0</v>
      </c>
      <c r="AN1105">
        <f>IF(tbl_HR_Data[[#This Row],[Travel_Code]]=2,1,0)</f>
        <v>0</v>
      </c>
      <c r="AO1105">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1105" s="15">
        <f>tbl_HR_Data[[#This Row],[Risk_Score_Raw]] / SUM(Logic_Parameters!$B$2:$B$6)</f>
        <v>0.10908033267710357</v>
      </c>
      <c r="AQ1105" s="16" t="str" cm="1">
        <f t="array" ref="AQ1105">_xlfn.IFS(tbl_HR_Data[[#This Row],[Attrition_Risk_Percentage]] &gt;= 0.75, "Critical",tbl_HR_Data[ [#This Row],[Attrition_Risk_Percentage] ]&gt;= 0.5, "High",tbl_HR_Data[[#This Row],[Attrition_Risk_Percentage]] &gt;= 0.25, "Medium",TRUE, "Low")</f>
        <v>Low</v>
      </c>
      <c r="AR1105" s="16" cm="1">
        <f t="array" ref="AR1105">IFERROR(_xlfn.IFS(tbl_HR_Data[[#This Row],[Risk_Category]]="Critical",tbl_HR_Data[[#This Row],[MonthlyIncome]]*1.5,tbl_HR_Data[[#This Row],[Risk_Category]]="High",tbl_HR_Data[[#This Row],[MonthlyIncome]]*1.5),0)</f>
        <v>0</v>
      </c>
    </row>
    <row r="1106" spans="1:44" x14ac:dyDescent="0.35">
      <c r="A1106" t="s">
        <v>829</v>
      </c>
      <c r="B1106">
        <v>29</v>
      </c>
      <c r="C1106" t="s">
        <v>31</v>
      </c>
      <c r="D1106">
        <v>598</v>
      </c>
      <c r="E1106" t="s">
        <v>38</v>
      </c>
      <c r="F1106">
        <v>9</v>
      </c>
      <c r="G1106">
        <v>3</v>
      </c>
      <c r="H1106" t="s">
        <v>33</v>
      </c>
      <c r="I1106">
        <v>3</v>
      </c>
      <c r="J1106" t="s">
        <v>39</v>
      </c>
      <c r="K1106">
        <v>91</v>
      </c>
      <c r="L1106">
        <v>4</v>
      </c>
      <c r="M1106">
        <v>1</v>
      </c>
      <c r="N1106" t="s">
        <v>40</v>
      </c>
      <c r="O1106">
        <v>3</v>
      </c>
      <c r="P1106" t="s">
        <v>41</v>
      </c>
      <c r="Q1106">
        <v>2451</v>
      </c>
      <c r="R1106">
        <v>22376</v>
      </c>
      <c r="S1106">
        <v>6</v>
      </c>
      <c r="T1106">
        <v>0</v>
      </c>
      <c r="U1106" s="17">
        <v>0.18</v>
      </c>
      <c r="V1106">
        <v>3</v>
      </c>
      <c r="W1106">
        <v>1</v>
      </c>
      <c r="X1106">
        <v>2</v>
      </c>
      <c r="Y1106">
        <v>5</v>
      </c>
      <c r="Z1106">
        <v>2</v>
      </c>
      <c r="AA1106">
        <v>2</v>
      </c>
      <c r="AB1106">
        <v>1</v>
      </c>
      <c r="AC1106">
        <v>0</v>
      </c>
      <c r="AD1106">
        <v>0</v>
      </c>
      <c r="AE1106">
        <v>0</v>
      </c>
      <c r="AF1106">
        <v>0</v>
      </c>
      <c r="AG1106">
        <f>IF(tbl_HR_Data[[#This Row],[Gender]]="Male",1,0)</f>
        <v>1</v>
      </c>
      <c r="AH1106" cm="1">
        <f t="array" ref="AH1106">_xlfn.SWITCH(tbl_HR_Data[[#This Row],[BusinessTravel]], "Non-Travel", 0, "Travel_Rarely", 1, "Travel_Frequently", 2)</f>
        <v>1</v>
      </c>
      <c r="AI1106" cm="1">
        <f t="array" ref="AI1106">_xlfn.SWITCH(tbl_HR_Data[[#This Row],[MaritalStatus]],"Single",0,"Married",1,"Divorced",2)</f>
        <v>1</v>
      </c>
      <c r="AJ1106">
        <f>IF(tbl_HR_Data[[#This Row],[OverTime]]=1,1,0)</f>
        <v>0</v>
      </c>
      <c r="AK1106">
        <f>IF(tbl_HR_Data[[#This Row],[DistanceFromHome]]&gt;15,1,0)</f>
        <v>0</v>
      </c>
      <c r="AL1106">
        <f>IF(tbl_HR_Data[[#This Row],[JobSatisfaction]]&lt;=2,1,0)</f>
        <v>0</v>
      </c>
      <c r="AM1106">
        <f>IF(tbl_HR_Data[[#This Row],[MonthlyIncome]]&lt;$AT$2,1,0)</f>
        <v>1</v>
      </c>
      <c r="AN1106">
        <f>IF(tbl_HR_Data[[#This Row],[Travel_Code]]=2,1,0)</f>
        <v>0</v>
      </c>
      <c r="AO1106">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106" s="15">
        <f>tbl_HR_Data[[#This Row],[Risk_Score_Raw]] / SUM(Logic_Parameters!$B$2:$B$6)</f>
        <v>0.22374939857982484</v>
      </c>
      <c r="AQ1106" s="16" t="str" cm="1">
        <f t="array" ref="AQ1106">_xlfn.IFS(tbl_HR_Data[[#This Row],[Attrition_Risk_Percentage]] &gt;= 0.75, "Critical",tbl_HR_Data[ [#This Row],[Attrition_Risk_Percentage] ]&gt;= 0.5, "High",tbl_HR_Data[[#This Row],[Attrition_Risk_Percentage]] &gt;= 0.25, "Medium",TRUE, "Low")</f>
        <v>Low</v>
      </c>
      <c r="AR1106" s="16" cm="1">
        <f t="array" ref="AR1106">IFERROR(_xlfn.IFS(tbl_HR_Data[[#This Row],[Risk_Category]]="Critical",tbl_HR_Data[[#This Row],[MonthlyIncome]]*1.5,tbl_HR_Data[[#This Row],[Risk_Category]]="High",tbl_HR_Data[[#This Row],[MonthlyIncome]]*1.5),0)</f>
        <v>0</v>
      </c>
    </row>
    <row r="1107" spans="1:44" x14ac:dyDescent="0.35">
      <c r="A1107" t="s">
        <v>110</v>
      </c>
      <c r="B1107">
        <v>33</v>
      </c>
      <c r="C1107" t="s">
        <v>31</v>
      </c>
      <c r="D1107">
        <v>1242</v>
      </c>
      <c r="E1107" t="s">
        <v>32</v>
      </c>
      <c r="F1107">
        <v>8</v>
      </c>
      <c r="G1107">
        <v>4</v>
      </c>
      <c r="H1107" t="s">
        <v>33</v>
      </c>
      <c r="I1107">
        <v>1</v>
      </c>
      <c r="J1107" t="s">
        <v>39</v>
      </c>
      <c r="K1107">
        <v>46</v>
      </c>
      <c r="L1107">
        <v>3</v>
      </c>
      <c r="M1107">
        <v>2</v>
      </c>
      <c r="N1107" t="s">
        <v>35</v>
      </c>
      <c r="O1107">
        <v>1</v>
      </c>
      <c r="P1107" t="s">
        <v>41</v>
      </c>
      <c r="Q1107">
        <v>6392</v>
      </c>
      <c r="R1107">
        <v>10589</v>
      </c>
      <c r="S1107">
        <v>2</v>
      </c>
      <c r="T1107">
        <v>0</v>
      </c>
      <c r="U1107" s="17">
        <v>0.13</v>
      </c>
      <c r="V1107">
        <v>3</v>
      </c>
      <c r="W1107">
        <v>4</v>
      </c>
      <c r="X1107">
        <v>1</v>
      </c>
      <c r="Y1107">
        <v>8</v>
      </c>
      <c r="Z1107">
        <v>6</v>
      </c>
      <c r="AA1107">
        <v>1</v>
      </c>
      <c r="AB1107">
        <v>2</v>
      </c>
      <c r="AC1107">
        <v>2</v>
      </c>
      <c r="AD1107">
        <v>2</v>
      </c>
      <c r="AE1107">
        <v>2</v>
      </c>
      <c r="AF1107">
        <v>0</v>
      </c>
      <c r="AG1107">
        <f>IF(tbl_HR_Data[[#This Row],[Gender]]="Male",1,0)</f>
        <v>1</v>
      </c>
      <c r="AH1107" cm="1">
        <f t="array" ref="AH1107">_xlfn.SWITCH(tbl_HR_Data[[#This Row],[BusinessTravel]], "Non-Travel", 0, "Travel_Rarely", 1, "Travel_Frequently", 2)</f>
        <v>1</v>
      </c>
      <c r="AI1107" cm="1">
        <f t="array" ref="AI1107">_xlfn.SWITCH(tbl_HR_Data[[#This Row],[MaritalStatus]],"Single",0,"Married",1,"Divorced",2)</f>
        <v>1</v>
      </c>
      <c r="AJ1107">
        <f>IF(tbl_HR_Data[[#This Row],[OverTime]]=1,1,0)</f>
        <v>0</v>
      </c>
      <c r="AK1107">
        <f>IF(tbl_HR_Data[[#This Row],[DistanceFromHome]]&gt;15,1,0)</f>
        <v>0</v>
      </c>
      <c r="AL1107">
        <f>IF(tbl_HR_Data[[#This Row],[JobSatisfaction]]&lt;=2,1,0)</f>
        <v>1</v>
      </c>
      <c r="AM1107">
        <f>IF(tbl_HR_Data[[#This Row],[MonthlyIncome]]&lt;$AT$2,1,0)</f>
        <v>0</v>
      </c>
      <c r="AN1107">
        <f>IF(tbl_HR_Data[[#This Row],[Travel_Code]]=2,1,0)</f>
        <v>0</v>
      </c>
      <c r="AO1107">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107" s="15">
        <f>tbl_HR_Data[[#This Row],[Risk_Score_Raw]] / SUM(Logic_Parameters!$B$2:$B$6)</f>
        <v>0.14485673308716898</v>
      </c>
      <c r="AQ1107" s="16" t="str" cm="1">
        <f t="array" ref="AQ1107">_xlfn.IFS(tbl_HR_Data[[#This Row],[Attrition_Risk_Percentage]] &gt;= 0.75, "Critical",tbl_HR_Data[ [#This Row],[Attrition_Risk_Percentage] ]&gt;= 0.5, "High",tbl_HR_Data[[#This Row],[Attrition_Risk_Percentage]] &gt;= 0.25, "Medium",TRUE, "Low")</f>
        <v>Low</v>
      </c>
      <c r="AR1107" s="16" cm="1">
        <f t="array" ref="AR1107">IFERROR(_xlfn.IFS(tbl_HR_Data[[#This Row],[Risk_Category]]="Critical",tbl_HR_Data[[#This Row],[MonthlyIncome]]*1.5,tbl_HR_Data[[#This Row],[Risk_Category]]="High",tbl_HR_Data[[#This Row],[MonthlyIncome]]*1.5),0)</f>
        <v>0</v>
      </c>
    </row>
    <row r="1108" spans="1:44" x14ac:dyDescent="0.35">
      <c r="A1108" t="s">
        <v>1460</v>
      </c>
      <c r="B1108">
        <v>30</v>
      </c>
      <c r="C1108" t="s">
        <v>31</v>
      </c>
      <c r="D1108">
        <v>740</v>
      </c>
      <c r="E1108" t="s">
        <v>32</v>
      </c>
      <c r="F1108">
        <v>1</v>
      </c>
      <c r="G1108">
        <v>3</v>
      </c>
      <c r="H1108" t="s">
        <v>33</v>
      </c>
      <c r="I1108">
        <v>2</v>
      </c>
      <c r="J1108" t="s">
        <v>39</v>
      </c>
      <c r="K1108">
        <v>64</v>
      </c>
      <c r="L1108">
        <v>2</v>
      </c>
      <c r="M1108">
        <v>2</v>
      </c>
      <c r="N1108" t="s">
        <v>35</v>
      </c>
      <c r="O1108">
        <v>1</v>
      </c>
      <c r="P1108" t="s">
        <v>41</v>
      </c>
      <c r="Q1108">
        <v>9714</v>
      </c>
      <c r="R1108">
        <v>5323</v>
      </c>
      <c r="S1108">
        <v>1</v>
      </c>
      <c r="T1108">
        <v>0</v>
      </c>
      <c r="U1108" s="17">
        <v>0.11</v>
      </c>
      <c r="V1108">
        <v>3</v>
      </c>
      <c r="W1108">
        <v>4</v>
      </c>
      <c r="X1108">
        <v>1</v>
      </c>
      <c r="Y1108">
        <v>10</v>
      </c>
      <c r="Z1108">
        <v>4</v>
      </c>
      <c r="AA1108">
        <v>3</v>
      </c>
      <c r="AB1108">
        <v>10</v>
      </c>
      <c r="AC1108">
        <v>8</v>
      </c>
      <c r="AD1108">
        <v>6</v>
      </c>
      <c r="AE1108">
        <v>7</v>
      </c>
      <c r="AF1108">
        <v>1</v>
      </c>
      <c r="AG1108">
        <f>IF(tbl_HR_Data[[#This Row],[Gender]]="Male",1,0)</f>
        <v>1</v>
      </c>
      <c r="AH1108" cm="1">
        <f t="array" ref="AH1108">_xlfn.SWITCH(tbl_HR_Data[[#This Row],[BusinessTravel]], "Non-Travel", 0, "Travel_Rarely", 1, "Travel_Frequently", 2)</f>
        <v>1</v>
      </c>
      <c r="AI1108" cm="1">
        <f t="array" ref="AI1108">_xlfn.SWITCH(tbl_HR_Data[[#This Row],[MaritalStatus]],"Single",0,"Married",1,"Divorced",2)</f>
        <v>1</v>
      </c>
      <c r="AJ1108">
        <f>IF(tbl_HR_Data[[#This Row],[OverTime]]=1,1,0)</f>
        <v>0</v>
      </c>
      <c r="AK1108">
        <f>IF(tbl_HR_Data[[#This Row],[DistanceFromHome]]&gt;15,1,0)</f>
        <v>0</v>
      </c>
      <c r="AL1108">
        <f>IF(tbl_HR_Data[[#This Row],[JobSatisfaction]]&lt;=2,1,0)</f>
        <v>1</v>
      </c>
      <c r="AM1108">
        <f>IF(tbl_HR_Data[[#This Row],[MonthlyIncome]]&lt;$AT$2,1,0)</f>
        <v>0</v>
      </c>
      <c r="AN1108">
        <f>IF(tbl_HR_Data[[#This Row],[Travel_Code]]=2,1,0)</f>
        <v>0</v>
      </c>
      <c r="AO1108">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108" s="15">
        <f>tbl_HR_Data[[#This Row],[Risk_Score_Raw]] / SUM(Logic_Parameters!$B$2:$B$6)</f>
        <v>0.14485673308716898</v>
      </c>
      <c r="AQ1108" s="16" t="str" cm="1">
        <f t="array" ref="AQ1108">_xlfn.IFS(tbl_HR_Data[[#This Row],[Attrition_Risk_Percentage]] &gt;= 0.75, "Critical",tbl_HR_Data[ [#This Row],[Attrition_Risk_Percentage] ]&gt;= 0.5, "High",tbl_HR_Data[[#This Row],[Attrition_Risk_Percentage]] &gt;= 0.25, "Medium",TRUE, "Low")</f>
        <v>Low</v>
      </c>
      <c r="AR1108" s="16" cm="1">
        <f t="array" ref="AR1108">IFERROR(_xlfn.IFS(tbl_HR_Data[[#This Row],[Risk_Category]]="Critical",tbl_HR_Data[[#This Row],[MonthlyIncome]]*1.5,tbl_HR_Data[[#This Row],[Risk_Category]]="High",tbl_HR_Data[[#This Row],[MonthlyIncome]]*1.5),0)</f>
        <v>0</v>
      </c>
    </row>
    <row r="1109" spans="1:44" x14ac:dyDescent="0.35">
      <c r="A1109" t="s">
        <v>1156</v>
      </c>
      <c r="B1109">
        <v>38</v>
      </c>
      <c r="C1109" t="s">
        <v>37</v>
      </c>
      <c r="D1109">
        <v>888</v>
      </c>
      <c r="E1109" t="s">
        <v>53</v>
      </c>
      <c r="F1109">
        <v>10</v>
      </c>
      <c r="G1109">
        <v>4</v>
      </c>
      <c r="H1109" t="s">
        <v>53</v>
      </c>
      <c r="I1109">
        <v>3</v>
      </c>
      <c r="J1109" t="s">
        <v>39</v>
      </c>
      <c r="K1109">
        <v>71</v>
      </c>
      <c r="L1109">
        <v>3</v>
      </c>
      <c r="M1109">
        <v>2</v>
      </c>
      <c r="N1109" t="s">
        <v>53</v>
      </c>
      <c r="O1109">
        <v>3</v>
      </c>
      <c r="P1109" t="s">
        <v>41</v>
      </c>
      <c r="Q1109">
        <v>6077</v>
      </c>
      <c r="R1109">
        <v>14814</v>
      </c>
      <c r="S1109">
        <v>3</v>
      </c>
      <c r="T1109">
        <v>0</v>
      </c>
      <c r="U1109" s="17">
        <v>0.11</v>
      </c>
      <c r="V1109">
        <v>3</v>
      </c>
      <c r="W1109">
        <v>3</v>
      </c>
      <c r="X1109">
        <v>0</v>
      </c>
      <c r="Y1109">
        <v>10</v>
      </c>
      <c r="Z1109">
        <v>2</v>
      </c>
      <c r="AA1109">
        <v>3</v>
      </c>
      <c r="AB1109">
        <v>6</v>
      </c>
      <c r="AC1109">
        <v>3</v>
      </c>
      <c r="AD1109">
        <v>1</v>
      </c>
      <c r="AE1109">
        <v>2</v>
      </c>
      <c r="AF1109">
        <v>0</v>
      </c>
      <c r="AG1109">
        <f>IF(tbl_HR_Data[[#This Row],[Gender]]="Male",1,0)</f>
        <v>1</v>
      </c>
      <c r="AH1109" cm="1">
        <f t="array" ref="AH1109">_xlfn.SWITCH(tbl_HR_Data[[#This Row],[BusinessTravel]], "Non-Travel", 0, "Travel_Rarely", 1, "Travel_Frequently", 2)</f>
        <v>2</v>
      </c>
      <c r="AI1109" cm="1">
        <f t="array" ref="AI1109">_xlfn.SWITCH(tbl_HR_Data[[#This Row],[MaritalStatus]],"Single",0,"Married",1,"Divorced",2)</f>
        <v>1</v>
      </c>
      <c r="AJ1109">
        <f>IF(tbl_HR_Data[[#This Row],[OverTime]]=1,1,0)</f>
        <v>0</v>
      </c>
      <c r="AK1109">
        <f>IF(tbl_HR_Data[[#This Row],[DistanceFromHome]]&gt;15,1,0)</f>
        <v>0</v>
      </c>
      <c r="AL1109">
        <f>IF(tbl_HR_Data[[#This Row],[JobSatisfaction]]&lt;=2,1,0)</f>
        <v>0</v>
      </c>
      <c r="AM1109">
        <f>IF(tbl_HR_Data[[#This Row],[MonthlyIncome]]&lt;$AT$2,1,0)</f>
        <v>0</v>
      </c>
      <c r="AN1109">
        <f>IF(tbl_HR_Data[[#This Row],[Travel_Code]]=2,1,0)</f>
        <v>1</v>
      </c>
      <c r="AO1109">
        <f>(tbl_HR_Data[[#This Row],[Flag_OT]] * Logic_Parameters!$B$2) +
 (tbl_HR_Data[[#This Row],[Flag_Travel]] * Logic_Parameters!$B$3) +
 (tbl_HR_Data[[#This Row],[Flag_Satisfaction]] * Logic_Parameters!$B$4) +
 (tbl_HR_Data[[#This Row],[Flag_Distance]]* Logic_Parameters!$B$5) +
 (tbl_HR_Data[[#This Row],[Flag_Income]] * Logic_Parameters!$B$6)</f>
        <v>5.1603899804901765</v>
      </c>
      <c r="AP1109" s="15">
        <f>tbl_HR_Data[[#This Row],[Risk_Score_Raw]] / SUM(Logic_Parameters!$B$2:$B$6)</f>
        <v>0.17778840383009531</v>
      </c>
      <c r="AQ1109" s="16" t="str" cm="1">
        <f t="array" ref="AQ1109">_xlfn.IFS(tbl_HR_Data[[#This Row],[Attrition_Risk_Percentage]] &gt;= 0.75, "Critical",tbl_HR_Data[ [#This Row],[Attrition_Risk_Percentage] ]&gt;= 0.5, "High",tbl_HR_Data[[#This Row],[Attrition_Risk_Percentage]] &gt;= 0.25, "Medium",TRUE, "Low")</f>
        <v>Low</v>
      </c>
      <c r="AR1109" s="16" cm="1">
        <f t="array" ref="AR1109">IFERROR(_xlfn.IFS(tbl_HR_Data[[#This Row],[Risk_Category]]="Critical",tbl_HR_Data[[#This Row],[MonthlyIncome]]*1.5,tbl_HR_Data[[#This Row],[Risk_Category]]="High",tbl_HR_Data[[#This Row],[MonthlyIncome]]*1.5),0)</f>
        <v>0</v>
      </c>
    </row>
    <row r="1110" spans="1:44" x14ac:dyDescent="0.35">
      <c r="A1110" t="s">
        <v>751</v>
      </c>
      <c r="B1110">
        <v>35</v>
      </c>
      <c r="C1110" t="s">
        <v>31</v>
      </c>
      <c r="D1110">
        <v>992</v>
      </c>
      <c r="E1110" t="s">
        <v>38</v>
      </c>
      <c r="F1110">
        <v>1</v>
      </c>
      <c r="G1110">
        <v>3</v>
      </c>
      <c r="H1110" t="s">
        <v>44</v>
      </c>
      <c r="I1110">
        <v>4</v>
      </c>
      <c r="J1110" t="s">
        <v>39</v>
      </c>
      <c r="K1110">
        <v>68</v>
      </c>
      <c r="L1110">
        <v>2</v>
      </c>
      <c r="M1110">
        <v>1</v>
      </c>
      <c r="N1110" t="s">
        <v>43</v>
      </c>
      <c r="O1110">
        <v>1</v>
      </c>
      <c r="P1110" t="s">
        <v>36</v>
      </c>
      <c r="Q1110">
        <v>2450</v>
      </c>
      <c r="R1110">
        <v>21731</v>
      </c>
      <c r="S1110">
        <v>1</v>
      </c>
      <c r="T1110">
        <v>0</v>
      </c>
      <c r="U1110" s="17">
        <v>0.19</v>
      </c>
      <c r="V1110">
        <v>3</v>
      </c>
      <c r="W1110">
        <v>2</v>
      </c>
      <c r="X1110">
        <v>0</v>
      </c>
      <c r="Y1110">
        <v>3</v>
      </c>
      <c r="Z1110">
        <v>3</v>
      </c>
      <c r="AA1110">
        <v>3</v>
      </c>
      <c r="AB1110">
        <v>3</v>
      </c>
      <c r="AC1110">
        <v>0</v>
      </c>
      <c r="AD1110">
        <v>1</v>
      </c>
      <c r="AE1110">
        <v>2</v>
      </c>
      <c r="AF1110">
        <v>0</v>
      </c>
      <c r="AG1110">
        <f>IF(tbl_HR_Data[[#This Row],[Gender]]="Male",1,0)</f>
        <v>1</v>
      </c>
      <c r="AH1110" cm="1">
        <f t="array" ref="AH1110">_xlfn.SWITCH(tbl_HR_Data[[#This Row],[BusinessTravel]], "Non-Travel", 0, "Travel_Rarely", 1, "Travel_Frequently", 2)</f>
        <v>1</v>
      </c>
      <c r="AI1110" cm="1">
        <f t="array" ref="AI1110">_xlfn.SWITCH(tbl_HR_Data[[#This Row],[MaritalStatus]],"Single",0,"Married",1,"Divorced",2)</f>
        <v>0</v>
      </c>
      <c r="AJ1110">
        <f>IF(tbl_HR_Data[[#This Row],[OverTime]]=1,1,0)</f>
        <v>0</v>
      </c>
      <c r="AK1110">
        <f>IF(tbl_HR_Data[[#This Row],[DistanceFromHome]]&gt;15,1,0)</f>
        <v>0</v>
      </c>
      <c r="AL1110">
        <f>IF(tbl_HR_Data[[#This Row],[JobSatisfaction]]&lt;=2,1,0)</f>
        <v>1</v>
      </c>
      <c r="AM1110">
        <f>IF(tbl_HR_Data[[#This Row],[MonthlyIncome]]&lt;$AT$2,1,0)</f>
        <v>1</v>
      </c>
      <c r="AN1110">
        <f>IF(tbl_HR_Data[[#This Row],[Travel_Code]]=2,1,0)</f>
        <v>0</v>
      </c>
      <c r="AO1110">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110" s="15">
        <f>tbl_HR_Data[[#This Row],[Risk_Score_Raw]] / SUM(Logic_Parameters!$B$2:$B$6)</f>
        <v>0.3686061316669938</v>
      </c>
      <c r="AQ1110" s="16" t="str" cm="1">
        <f t="array" ref="AQ1110">_xlfn.IFS(tbl_HR_Data[[#This Row],[Attrition_Risk_Percentage]] &gt;= 0.75, "Critical",tbl_HR_Data[ [#This Row],[Attrition_Risk_Percentage] ]&gt;= 0.5, "High",tbl_HR_Data[[#This Row],[Attrition_Risk_Percentage]] &gt;= 0.25, "Medium",TRUE, "Low")</f>
        <v>Medium</v>
      </c>
      <c r="AR1110" s="16" cm="1">
        <f t="array" ref="AR1110">IFERROR(_xlfn.IFS(tbl_HR_Data[[#This Row],[Risk_Category]]="Critical",tbl_HR_Data[[#This Row],[MonthlyIncome]]*1.5,tbl_HR_Data[[#This Row],[Risk_Category]]="High",tbl_HR_Data[[#This Row],[MonthlyIncome]]*1.5),0)</f>
        <v>0</v>
      </c>
    </row>
    <row r="1111" spans="1:44" x14ac:dyDescent="0.35">
      <c r="A1111" t="s">
        <v>1477</v>
      </c>
      <c r="B1111">
        <v>30</v>
      </c>
      <c r="C1111" t="s">
        <v>31</v>
      </c>
      <c r="D1111">
        <v>1288</v>
      </c>
      <c r="E1111" t="s">
        <v>32</v>
      </c>
      <c r="F1111">
        <v>29</v>
      </c>
      <c r="G1111">
        <v>4</v>
      </c>
      <c r="H1111" t="s">
        <v>52</v>
      </c>
      <c r="I1111">
        <v>3</v>
      </c>
      <c r="J1111" t="s">
        <v>39</v>
      </c>
      <c r="K1111">
        <v>33</v>
      </c>
      <c r="L1111">
        <v>3</v>
      </c>
      <c r="M1111">
        <v>3</v>
      </c>
      <c r="N1111" t="s">
        <v>35</v>
      </c>
      <c r="O1111">
        <v>2</v>
      </c>
      <c r="P1111" t="s">
        <v>41</v>
      </c>
      <c r="Q1111">
        <v>9250</v>
      </c>
      <c r="R1111">
        <v>17799</v>
      </c>
      <c r="S1111">
        <v>3</v>
      </c>
      <c r="T1111">
        <v>0</v>
      </c>
      <c r="U1111" s="17">
        <v>0.12</v>
      </c>
      <c r="V1111">
        <v>3</v>
      </c>
      <c r="W1111">
        <v>2</v>
      </c>
      <c r="X1111">
        <v>1</v>
      </c>
      <c r="Y1111">
        <v>9</v>
      </c>
      <c r="Z1111">
        <v>3</v>
      </c>
      <c r="AA1111">
        <v>3</v>
      </c>
      <c r="AB1111">
        <v>4</v>
      </c>
      <c r="AC1111">
        <v>2</v>
      </c>
      <c r="AD1111">
        <v>1</v>
      </c>
      <c r="AE1111">
        <v>3</v>
      </c>
      <c r="AF1111">
        <v>0</v>
      </c>
      <c r="AG1111">
        <f>IF(tbl_HR_Data[[#This Row],[Gender]]="Male",1,0)</f>
        <v>1</v>
      </c>
      <c r="AH1111" cm="1">
        <f t="array" ref="AH1111">_xlfn.SWITCH(tbl_HR_Data[[#This Row],[BusinessTravel]], "Non-Travel", 0, "Travel_Rarely", 1, "Travel_Frequently", 2)</f>
        <v>1</v>
      </c>
      <c r="AI1111" cm="1">
        <f t="array" ref="AI1111">_xlfn.SWITCH(tbl_HR_Data[[#This Row],[MaritalStatus]],"Single",0,"Married",1,"Divorced",2)</f>
        <v>1</v>
      </c>
      <c r="AJ1111">
        <f>IF(tbl_HR_Data[[#This Row],[OverTime]]=1,1,0)</f>
        <v>0</v>
      </c>
      <c r="AK1111">
        <f>IF(tbl_HR_Data[[#This Row],[DistanceFromHome]]&gt;15,1,0)</f>
        <v>1</v>
      </c>
      <c r="AL1111">
        <f>IF(tbl_HR_Data[[#This Row],[JobSatisfaction]]&lt;=2,1,0)</f>
        <v>1</v>
      </c>
      <c r="AM1111">
        <f>IF(tbl_HR_Data[[#This Row],[MonthlyIncome]]&lt;$AT$2,1,0)</f>
        <v>0</v>
      </c>
      <c r="AN1111">
        <f>IF(tbl_HR_Data[[#This Row],[Travel_Code]]=2,1,0)</f>
        <v>0</v>
      </c>
      <c r="AO1111">
        <f>(tbl_HR_Data[[#This Row],[Flag_OT]] * Logic_Parameters!$B$2) +
 (tbl_HR_Data[[#This Row],[Flag_Travel]] * Logic_Parameters!$B$3) +
 (tbl_HR_Data[[#This Row],[Flag_Satisfaction]] * Logic_Parameters!$B$4) +
 (tbl_HR_Data[[#This Row],[Flag_Distance]]* Logic_Parameters!$B$5) +
 (tbl_HR_Data[[#This Row],[Flag_Income]] * Logic_Parameters!$B$6)</f>
        <v>7.3706398258535089</v>
      </c>
      <c r="AP1111" s="15">
        <f>tbl_HR_Data[[#This Row],[Risk_Score_Raw]] / SUM(Logic_Parameters!$B$2:$B$6)</f>
        <v>0.25393706576427255</v>
      </c>
      <c r="AQ1111" s="16" t="str" cm="1">
        <f t="array" ref="AQ1111">_xlfn.IFS(tbl_HR_Data[[#This Row],[Attrition_Risk_Percentage]] &gt;= 0.75, "Critical",tbl_HR_Data[ [#This Row],[Attrition_Risk_Percentage] ]&gt;= 0.5, "High",tbl_HR_Data[[#This Row],[Attrition_Risk_Percentage]] &gt;= 0.25, "Medium",TRUE, "Low")</f>
        <v>Medium</v>
      </c>
      <c r="AR1111" s="16" cm="1">
        <f t="array" ref="AR1111">IFERROR(_xlfn.IFS(tbl_HR_Data[[#This Row],[Risk_Category]]="Critical",tbl_HR_Data[[#This Row],[MonthlyIncome]]*1.5,tbl_HR_Data[[#This Row],[Risk_Category]]="High",tbl_HR_Data[[#This Row],[MonthlyIncome]]*1.5),0)</f>
        <v>0</v>
      </c>
    </row>
    <row r="1112" spans="1:44" x14ac:dyDescent="0.35">
      <c r="A1112" t="s">
        <v>783</v>
      </c>
      <c r="B1112">
        <v>35</v>
      </c>
      <c r="C1112" t="s">
        <v>31</v>
      </c>
      <c r="D1112">
        <v>104</v>
      </c>
      <c r="E1112" t="s">
        <v>38</v>
      </c>
      <c r="F1112">
        <v>2</v>
      </c>
      <c r="G1112">
        <v>3</v>
      </c>
      <c r="H1112" t="s">
        <v>33</v>
      </c>
      <c r="I1112">
        <v>1</v>
      </c>
      <c r="J1112" t="s">
        <v>34</v>
      </c>
      <c r="K1112">
        <v>69</v>
      </c>
      <c r="L1112">
        <v>3</v>
      </c>
      <c r="M1112">
        <v>1</v>
      </c>
      <c r="N1112" t="s">
        <v>43</v>
      </c>
      <c r="O1112">
        <v>1</v>
      </c>
      <c r="P1112" t="s">
        <v>45</v>
      </c>
      <c r="Q1112">
        <v>2074</v>
      </c>
      <c r="R1112">
        <v>26619</v>
      </c>
      <c r="S1112">
        <v>1</v>
      </c>
      <c r="T1112">
        <v>1</v>
      </c>
      <c r="U1112" s="17">
        <v>0.12</v>
      </c>
      <c r="V1112">
        <v>3</v>
      </c>
      <c r="W1112">
        <v>4</v>
      </c>
      <c r="X1112">
        <v>1</v>
      </c>
      <c r="Y1112">
        <v>1</v>
      </c>
      <c r="Z1112">
        <v>2</v>
      </c>
      <c r="AA1112">
        <v>3</v>
      </c>
      <c r="AB1112">
        <v>1</v>
      </c>
      <c r="AC1112">
        <v>0</v>
      </c>
      <c r="AD1112">
        <v>0</v>
      </c>
      <c r="AE1112">
        <v>0</v>
      </c>
      <c r="AF1112">
        <v>1</v>
      </c>
      <c r="AG1112">
        <f>IF(tbl_HR_Data[[#This Row],[Gender]]="Male",1,0)</f>
        <v>0</v>
      </c>
      <c r="AH1112" cm="1">
        <f t="array" ref="AH1112">_xlfn.SWITCH(tbl_HR_Data[[#This Row],[BusinessTravel]], "Non-Travel", 0, "Travel_Rarely", 1, "Travel_Frequently", 2)</f>
        <v>1</v>
      </c>
      <c r="AI1112" cm="1">
        <f t="array" ref="AI1112">_xlfn.SWITCH(tbl_HR_Data[[#This Row],[MaritalStatus]],"Single",0,"Married",1,"Divorced",2)</f>
        <v>2</v>
      </c>
      <c r="AJ1112">
        <f>IF(tbl_HR_Data[[#This Row],[OverTime]]=1,1,0)</f>
        <v>1</v>
      </c>
      <c r="AK1112">
        <f>IF(tbl_HR_Data[[#This Row],[DistanceFromHome]]&gt;15,1,0)</f>
        <v>0</v>
      </c>
      <c r="AL1112">
        <f>IF(tbl_HR_Data[[#This Row],[JobSatisfaction]]&lt;=2,1,0)</f>
        <v>1</v>
      </c>
      <c r="AM1112">
        <f>IF(tbl_HR_Data[[#This Row],[MonthlyIncome]]&lt;$AT$2,1,0)</f>
        <v>1</v>
      </c>
      <c r="AN1112">
        <f>IF(tbl_HR_Data[[#This Row],[Travel_Code]]=2,1,0)</f>
        <v>0</v>
      </c>
      <c r="AO1112">
        <f>(tbl_HR_Data[[#This Row],[Flag_OT]] * Logic_Parameters!$B$2) +
 (tbl_HR_Data[[#This Row],[Flag_Travel]] * Logic_Parameters!$B$3) +
 (tbl_HR_Data[[#This Row],[Flag_Satisfaction]] * Logic_Parameters!$B$4) +
 (tbl_HR_Data[[#This Row],[Flag_Distance]]* Logic_Parameters!$B$5) +
 (tbl_HR_Data[[#This Row],[Flag_Income]] * Logic_Parameters!$B$6)</f>
        <v>20.698962067398959</v>
      </c>
      <c r="AP1112" s="15">
        <f>tbl_HR_Data[[#This Row],[Risk_Score_Raw]] / SUM(Logic_Parameters!$B$2:$B$6)</f>
        <v>0.71313126349280109</v>
      </c>
      <c r="AQ1112" s="16" t="str" cm="1">
        <f t="array" ref="AQ1112">_xlfn.IFS(tbl_HR_Data[[#This Row],[Attrition_Risk_Percentage]] &gt;= 0.75, "Critical",tbl_HR_Data[ [#This Row],[Attrition_Risk_Percentage] ]&gt;= 0.5, "High",tbl_HR_Data[[#This Row],[Attrition_Risk_Percentage]] &gt;= 0.25, "Medium",TRUE, "Low")</f>
        <v>High</v>
      </c>
      <c r="AR1112" s="16" cm="1">
        <f t="array" ref="AR1112">IFERROR(_xlfn.IFS(tbl_HR_Data[[#This Row],[Risk_Category]]="Critical",tbl_HR_Data[[#This Row],[MonthlyIncome]]*1.5,tbl_HR_Data[[#This Row],[Risk_Category]]="High",tbl_HR_Data[[#This Row],[MonthlyIncome]]*1.5),0)</f>
        <v>3111</v>
      </c>
    </row>
    <row r="1113" spans="1:44" x14ac:dyDescent="0.35">
      <c r="A1113" t="s">
        <v>1182</v>
      </c>
      <c r="B1113">
        <v>53</v>
      </c>
      <c r="C1113" t="s">
        <v>31</v>
      </c>
      <c r="D1113">
        <v>607</v>
      </c>
      <c r="E1113" t="s">
        <v>38</v>
      </c>
      <c r="F1113">
        <v>2</v>
      </c>
      <c r="G1113">
        <v>5</v>
      </c>
      <c r="H1113" t="s">
        <v>52</v>
      </c>
      <c r="I1113">
        <v>3</v>
      </c>
      <c r="J1113" t="s">
        <v>34</v>
      </c>
      <c r="K1113">
        <v>78</v>
      </c>
      <c r="L1113">
        <v>2</v>
      </c>
      <c r="M1113">
        <v>3</v>
      </c>
      <c r="N1113" t="s">
        <v>46</v>
      </c>
      <c r="O1113">
        <v>4</v>
      </c>
      <c r="P1113" t="s">
        <v>41</v>
      </c>
      <c r="Q1113">
        <v>10169</v>
      </c>
      <c r="R1113">
        <v>14618</v>
      </c>
      <c r="S1113">
        <v>0</v>
      </c>
      <c r="T1113">
        <v>0</v>
      </c>
      <c r="U1113" s="17">
        <v>0.16</v>
      </c>
      <c r="V1113">
        <v>3</v>
      </c>
      <c r="W1113">
        <v>2</v>
      </c>
      <c r="X1113">
        <v>1</v>
      </c>
      <c r="Y1113">
        <v>34</v>
      </c>
      <c r="Z1113">
        <v>4</v>
      </c>
      <c r="AA1113">
        <v>3</v>
      </c>
      <c r="AB1113">
        <v>33</v>
      </c>
      <c r="AC1113">
        <v>7</v>
      </c>
      <c r="AD1113">
        <v>1</v>
      </c>
      <c r="AE1113">
        <v>9</v>
      </c>
      <c r="AF1113">
        <v>1</v>
      </c>
      <c r="AG1113">
        <f>IF(tbl_HR_Data[[#This Row],[Gender]]="Male",1,0)</f>
        <v>0</v>
      </c>
      <c r="AH1113" cm="1">
        <f t="array" ref="AH1113">_xlfn.SWITCH(tbl_HR_Data[[#This Row],[BusinessTravel]], "Non-Travel", 0, "Travel_Rarely", 1, "Travel_Frequently", 2)</f>
        <v>1</v>
      </c>
      <c r="AI1113" cm="1">
        <f t="array" ref="AI1113">_xlfn.SWITCH(tbl_HR_Data[[#This Row],[MaritalStatus]],"Single",0,"Married",1,"Divorced",2)</f>
        <v>1</v>
      </c>
      <c r="AJ1113">
        <f>IF(tbl_HR_Data[[#This Row],[OverTime]]=1,1,0)</f>
        <v>0</v>
      </c>
      <c r="AK1113">
        <f>IF(tbl_HR_Data[[#This Row],[DistanceFromHome]]&gt;15,1,0)</f>
        <v>0</v>
      </c>
      <c r="AL1113">
        <f>IF(tbl_HR_Data[[#This Row],[JobSatisfaction]]&lt;=2,1,0)</f>
        <v>0</v>
      </c>
      <c r="AM1113">
        <f>IF(tbl_HR_Data[[#This Row],[MonthlyIncome]]&lt;$AT$2,1,0)</f>
        <v>0</v>
      </c>
      <c r="AN1113">
        <f>IF(tbl_HR_Data[[#This Row],[Travel_Code]]=2,1,0)</f>
        <v>0</v>
      </c>
      <c r="AO1113">
        <f>(tbl_HR_Data[[#This Row],[Flag_OT]] * Logic_Parameters!$B$2) +
 (tbl_HR_Data[[#This Row],[Flag_Travel]] * Logic_Parameters!$B$3) +
 (tbl_HR_Data[[#This Row],[Flag_Satisfaction]] * Logic_Parameters!$B$4) +
 (tbl_HR_Data[[#This Row],[Flag_Distance]]* Logic_Parameters!$B$5) +
 (tbl_HR_Data[[#This Row],[Flag_Income]] * Logic_Parameters!$B$6)</f>
        <v>0</v>
      </c>
      <c r="AP1113" s="15">
        <f>tbl_HR_Data[[#This Row],[Risk_Score_Raw]] / SUM(Logic_Parameters!$B$2:$B$6)</f>
        <v>0</v>
      </c>
      <c r="AQ1113" s="16" t="str" cm="1">
        <f t="array" ref="AQ1113">_xlfn.IFS(tbl_HR_Data[[#This Row],[Attrition_Risk_Percentage]] &gt;= 0.75, "Critical",tbl_HR_Data[ [#This Row],[Attrition_Risk_Percentage] ]&gt;= 0.5, "High",tbl_HR_Data[[#This Row],[Attrition_Risk_Percentage]] &gt;= 0.25, "Medium",TRUE, "Low")</f>
        <v>Low</v>
      </c>
      <c r="AR1113" s="16" cm="1">
        <f t="array" ref="AR1113">IFERROR(_xlfn.IFS(tbl_HR_Data[[#This Row],[Risk_Category]]="Critical",tbl_HR_Data[[#This Row],[MonthlyIncome]]*1.5,tbl_HR_Data[[#This Row],[Risk_Category]]="High",tbl_HR_Data[[#This Row],[MonthlyIncome]]*1.5),0)</f>
        <v>0</v>
      </c>
    </row>
    <row r="1114" spans="1:44" x14ac:dyDescent="0.35">
      <c r="A1114" t="s">
        <v>1052</v>
      </c>
      <c r="B1114">
        <v>38</v>
      </c>
      <c r="C1114" t="s">
        <v>31</v>
      </c>
      <c r="D1114">
        <v>903</v>
      </c>
      <c r="E1114" t="s">
        <v>38</v>
      </c>
      <c r="F1114">
        <v>2</v>
      </c>
      <c r="G1114">
        <v>3</v>
      </c>
      <c r="H1114" t="s">
        <v>44</v>
      </c>
      <c r="I1114">
        <v>3</v>
      </c>
      <c r="J1114" t="s">
        <v>39</v>
      </c>
      <c r="K1114">
        <v>81</v>
      </c>
      <c r="L1114">
        <v>3</v>
      </c>
      <c r="M1114">
        <v>2</v>
      </c>
      <c r="N1114" t="s">
        <v>46</v>
      </c>
      <c r="O1114">
        <v>2</v>
      </c>
      <c r="P1114" t="s">
        <v>41</v>
      </c>
      <c r="Q1114">
        <v>4855</v>
      </c>
      <c r="R1114">
        <v>7653</v>
      </c>
      <c r="S1114">
        <v>4</v>
      </c>
      <c r="T1114">
        <v>0</v>
      </c>
      <c r="U1114" s="17">
        <v>0.11</v>
      </c>
      <c r="V1114">
        <v>3</v>
      </c>
      <c r="W1114">
        <v>1</v>
      </c>
      <c r="X1114">
        <v>2</v>
      </c>
      <c r="Y1114">
        <v>7</v>
      </c>
      <c r="Z1114">
        <v>2</v>
      </c>
      <c r="AA1114">
        <v>3</v>
      </c>
      <c r="AB1114">
        <v>5</v>
      </c>
      <c r="AC1114">
        <v>2</v>
      </c>
      <c r="AD1114">
        <v>1</v>
      </c>
      <c r="AE1114">
        <v>4</v>
      </c>
      <c r="AF1114">
        <v>1</v>
      </c>
      <c r="AG1114">
        <f>IF(tbl_HR_Data[[#This Row],[Gender]]="Male",1,0)</f>
        <v>1</v>
      </c>
      <c r="AH1114" cm="1">
        <f t="array" ref="AH1114">_xlfn.SWITCH(tbl_HR_Data[[#This Row],[BusinessTravel]], "Non-Travel", 0, "Travel_Rarely", 1, "Travel_Frequently", 2)</f>
        <v>1</v>
      </c>
      <c r="AI1114" cm="1">
        <f t="array" ref="AI1114">_xlfn.SWITCH(tbl_HR_Data[[#This Row],[MaritalStatus]],"Single",0,"Married",1,"Divorced",2)</f>
        <v>1</v>
      </c>
      <c r="AJ1114">
        <f>IF(tbl_HR_Data[[#This Row],[OverTime]]=1,1,0)</f>
        <v>0</v>
      </c>
      <c r="AK1114">
        <f>IF(tbl_HR_Data[[#This Row],[DistanceFromHome]]&gt;15,1,0)</f>
        <v>0</v>
      </c>
      <c r="AL1114">
        <f>IF(tbl_HR_Data[[#This Row],[JobSatisfaction]]&lt;=2,1,0)</f>
        <v>1</v>
      </c>
      <c r="AM1114">
        <f>IF(tbl_HR_Data[[#This Row],[MonthlyIncome]]&lt;$AT$2,1,0)</f>
        <v>1</v>
      </c>
      <c r="AN1114">
        <f>IF(tbl_HR_Data[[#This Row],[Travel_Code]]=2,1,0)</f>
        <v>0</v>
      </c>
      <c r="AO1114">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114" s="15">
        <f>tbl_HR_Data[[#This Row],[Risk_Score_Raw]] / SUM(Logic_Parameters!$B$2:$B$6)</f>
        <v>0.3686061316669938</v>
      </c>
      <c r="AQ1114" s="16" t="str" cm="1">
        <f t="array" ref="AQ1114">_xlfn.IFS(tbl_HR_Data[[#This Row],[Attrition_Risk_Percentage]] &gt;= 0.75, "Critical",tbl_HR_Data[ [#This Row],[Attrition_Risk_Percentage] ]&gt;= 0.5, "High",tbl_HR_Data[[#This Row],[Attrition_Risk_Percentage]] &gt;= 0.25, "Medium",TRUE, "Low")</f>
        <v>Medium</v>
      </c>
      <c r="AR1114" s="16" cm="1">
        <f t="array" ref="AR1114">IFERROR(_xlfn.IFS(tbl_HR_Data[[#This Row],[Risk_Category]]="Critical",tbl_HR_Data[[#This Row],[MonthlyIncome]]*1.5,tbl_HR_Data[[#This Row],[Risk_Category]]="High",tbl_HR_Data[[#This Row],[MonthlyIncome]]*1.5),0)</f>
        <v>0</v>
      </c>
    </row>
    <row r="1115" spans="1:44" x14ac:dyDescent="0.35">
      <c r="A1115" t="s">
        <v>1211</v>
      </c>
      <c r="B1115">
        <v>32</v>
      </c>
      <c r="C1115" t="s">
        <v>1525</v>
      </c>
      <c r="D1115">
        <v>1200</v>
      </c>
      <c r="E1115" t="s">
        <v>38</v>
      </c>
      <c r="F1115">
        <v>1</v>
      </c>
      <c r="G1115">
        <v>4</v>
      </c>
      <c r="H1115" t="s">
        <v>52</v>
      </c>
      <c r="I1115">
        <v>4</v>
      </c>
      <c r="J1115" t="s">
        <v>39</v>
      </c>
      <c r="K1115">
        <v>62</v>
      </c>
      <c r="L1115">
        <v>3</v>
      </c>
      <c r="M1115">
        <v>2</v>
      </c>
      <c r="N1115" t="s">
        <v>40</v>
      </c>
      <c r="O1115">
        <v>1</v>
      </c>
      <c r="P1115" t="s">
        <v>41</v>
      </c>
      <c r="Q1115">
        <v>4087</v>
      </c>
      <c r="R1115">
        <v>25174</v>
      </c>
      <c r="S1115">
        <v>4</v>
      </c>
      <c r="T1115">
        <v>0</v>
      </c>
      <c r="U1115" s="17">
        <v>0.14000000000000001</v>
      </c>
      <c r="V1115">
        <v>3</v>
      </c>
      <c r="W1115">
        <v>2</v>
      </c>
      <c r="X1115">
        <v>1</v>
      </c>
      <c r="Y1115">
        <v>9</v>
      </c>
      <c r="Z1115">
        <v>3</v>
      </c>
      <c r="AA1115">
        <v>2</v>
      </c>
      <c r="AB1115">
        <v>6</v>
      </c>
      <c r="AC1115">
        <v>5</v>
      </c>
      <c r="AD1115">
        <v>1</v>
      </c>
      <c r="AE1115">
        <v>2</v>
      </c>
      <c r="AF1115">
        <v>0</v>
      </c>
      <c r="AG1115">
        <f>IF(tbl_HR_Data[[#This Row],[Gender]]="Male",1,0)</f>
        <v>1</v>
      </c>
      <c r="AH1115" cm="1">
        <f t="array" ref="AH1115">_xlfn.SWITCH(tbl_HR_Data[[#This Row],[BusinessTravel]], "Non-Travel", 0, "Travel_Rarely", 1, "Travel_Frequently", 2)</f>
        <v>0</v>
      </c>
      <c r="AI1115" cm="1">
        <f t="array" ref="AI1115">_xlfn.SWITCH(tbl_HR_Data[[#This Row],[MaritalStatus]],"Single",0,"Married",1,"Divorced",2)</f>
        <v>1</v>
      </c>
      <c r="AJ1115">
        <f>IF(tbl_HR_Data[[#This Row],[OverTime]]=1,1,0)</f>
        <v>0</v>
      </c>
      <c r="AK1115">
        <f>IF(tbl_HR_Data[[#This Row],[DistanceFromHome]]&gt;15,1,0)</f>
        <v>0</v>
      </c>
      <c r="AL1115">
        <f>IF(tbl_HR_Data[[#This Row],[JobSatisfaction]]&lt;=2,1,0)</f>
        <v>1</v>
      </c>
      <c r="AM1115">
        <f>IF(tbl_HR_Data[[#This Row],[MonthlyIncome]]&lt;$AT$2,1,0)</f>
        <v>1</v>
      </c>
      <c r="AN1115">
        <f>IF(tbl_HR_Data[[#This Row],[Travel_Code]]=2,1,0)</f>
        <v>0</v>
      </c>
      <c r="AO1115">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115" s="15">
        <f>tbl_HR_Data[[#This Row],[Risk_Score_Raw]] / SUM(Logic_Parameters!$B$2:$B$6)</f>
        <v>0.3686061316669938</v>
      </c>
      <c r="AQ1115" s="16" t="str" cm="1">
        <f t="array" ref="AQ1115">_xlfn.IFS(tbl_HR_Data[[#This Row],[Attrition_Risk_Percentage]] &gt;= 0.75, "Critical",tbl_HR_Data[ [#This Row],[Attrition_Risk_Percentage] ]&gt;= 0.5, "High",tbl_HR_Data[[#This Row],[Attrition_Risk_Percentage]] &gt;= 0.25, "Medium",TRUE, "Low")</f>
        <v>Medium</v>
      </c>
      <c r="AR1115" s="16" cm="1">
        <f t="array" ref="AR1115">IFERROR(_xlfn.IFS(tbl_HR_Data[[#This Row],[Risk_Category]]="Critical",tbl_HR_Data[[#This Row],[MonthlyIncome]]*1.5,tbl_HR_Data[[#This Row],[Risk_Category]]="High",tbl_HR_Data[[#This Row],[MonthlyIncome]]*1.5),0)</f>
        <v>0</v>
      </c>
    </row>
    <row r="1116" spans="1:44" x14ac:dyDescent="0.35">
      <c r="A1116" t="s">
        <v>644</v>
      </c>
      <c r="B1116">
        <v>48</v>
      </c>
      <c r="C1116" t="s">
        <v>31</v>
      </c>
      <c r="D1116">
        <v>1108</v>
      </c>
      <c r="E1116" t="s">
        <v>38</v>
      </c>
      <c r="F1116">
        <v>15</v>
      </c>
      <c r="G1116">
        <v>4</v>
      </c>
      <c r="H1116" t="s">
        <v>42</v>
      </c>
      <c r="I1116">
        <v>3</v>
      </c>
      <c r="J1116" t="s">
        <v>34</v>
      </c>
      <c r="K1116">
        <v>65</v>
      </c>
      <c r="L1116">
        <v>3</v>
      </c>
      <c r="M1116">
        <v>1</v>
      </c>
      <c r="N1116" t="s">
        <v>40</v>
      </c>
      <c r="O1116">
        <v>1</v>
      </c>
      <c r="P1116" t="s">
        <v>41</v>
      </c>
      <c r="Q1116">
        <v>2367</v>
      </c>
      <c r="R1116">
        <v>16530</v>
      </c>
      <c r="S1116">
        <v>8</v>
      </c>
      <c r="T1116">
        <v>0</v>
      </c>
      <c r="U1116" s="17">
        <v>0.12</v>
      </c>
      <c r="V1116">
        <v>3</v>
      </c>
      <c r="W1116">
        <v>4</v>
      </c>
      <c r="X1116">
        <v>1</v>
      </c>
      <c r="Y1116">
        <v>10</v>
      </c>
      <c r="Z1116">
        <v>3</v>
      </c>
      <c r="AA1116">
        <v>2</v>
      </c>
      <c r="AB1116">
        <v>8</v>
      </c>
      <c r="AC1116">
        <v>2</v>
      </c>
      <c r="AD1116">
        <v>7</v>
      </c>
      <c r="AE1116">
        <v>6</v>
      </c>
      <c r="AF1116">
        <v>0</v>
      </c>
      <c r="AG1116">
        <f>IF(tbl_HR_Data[[#This Row],[Gender]]="Male",1,0)</f>
        <v>0</v>
      </c>
      <c r="AH1116" cm="1">
        <f t="array" ref="AH1116">_xlfn.SWITCH(tbl_HR_Data[[#This Row],[BusinessTravel]], "Non-Travel", 0, "Travel_Rarely", 1, "Travel_Frequently", 2)</f>
        <v>1</v>
      </c>
      <c r="AI1116" cm="1">
        <f t="array" ref="AI1116">_xlfn.SWITCH(tbl_HR_Data[[#This Row],[MaritalStatus]],"Single",0,"Married",1,"Divorced",2)</f>
        <v>1</v>
      </c>
      <c r="AJ1116">
        <f>IF(tbl_HR_Data[[#This Row],[OverTime]]=1,1,0)</f>
        <v>0</v>
      </c>
      <c r="AK1116">
        <f>IF(tbl_HR_Data[[#This Row],[DistanceFromHome]]&gt;15,1,0)</f>
        <v>0</v>
      </c>
      <c r="AL1116">
        <f>IF(tbl_HR_Data[[#This Row],[JobSatisfaction]]&lt;=2,1,0)</f>
        <v>1</v>
      </c>
      <c r="AM1116">
        <f>IF(tbl_HR_Data[[#This Row],[MonthlyIncome]]&lt;$AT$2,1,0)</f>
        <v>1</v>
      </c>
      <c r="AN1116">
        <f>IF(tbl_HR_Data[[#This Row],[Travel_Code]]=2,1,0)</f>
        <v>0</v>
      </c>
      <c r="AO1116">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116" s="15">
        <f>tbl_HR_Data[[#This Row],[Risk_Score_Raw]] / SUM(Logic_Parameters!$B$2:$B$6)</f>
        <v>0.3686061316669938</v>
      </c>
      <c r="AQ1116" s="16" t="str" cm="1">
        <f t="array" ref="AQ1116">_xlfn.IFS(tbl_HR_Data[[#This Row],[Attrition_Risk_Percentage]] &gt;= 0.75, "Critical",tbl_HR_Data[ [#This Row],[Attrition_Risk_Percentage] ]&gt;= 0.5, "High",tbl_HR_Data[[#This Row],[Attrition_Risk_Percentage]] &gt;= 0.25, "Medium",TRUE, "Low")</f>
        <v>Medium</v>
      </c>
      <c r="AR1116" s="16" cm="1">
        <f t="array" ref="AR1116">IFERROR(_xlfn.IFS(tbl_HR_Data[[#This Row],[Risk_Category]]="Critical",tbl_HR_Data[[#This Row],[MonthlyIncome]]*1.5,tbl_HR_Data[[#This Row],[Risk_Category]]="High",tbl_HR_Data[[#This Row],[MonthlyIncome]]*1.5),0)</f>
        <v>0</v>
      </c>
    </row>
    <row r="1117" spans="1:44" x14ac:dyDescent="0.35">
      <c r="A1117" t="s">
        <v>1509</v>
      </c>
      <c r="B1117">
        <v>34</v>
      </c>
      <c r="C1117" t="s">
        <v>31</v>
      </c>
      <c r="D1117">
        <v>479</v>
      </c>
      <c r="E1117" t="s">
        <v>38</v>
      </c>
      <c r="F1117">
        <v>7</v>
      </c>
      <c r="G1117">
        <v>4</v>
      </c>
      <c r="H1117" t="s">
        <v>44</v>
      </c>
      <c r="I1117">
        <v>1</v>
      </c>
      <c r="J1117" t="s">
        <v>39</v>
      </c>
      <c r="K1117">
        <v>35</v>
      </c>
      <c r="L1117">
        <v>3</v>
      </c>
      <c r="M1117">
        <v>1</v>
      </c>
      <c r="N1117" t="s">
        <v>40</v>
      </c>
      <c r="O1117">
        <v>4</v>
      </c>
      <c r="P1117" t="s">
        <v>36</v>
      </c>
      <c r="Q1117">
        <v>2972</v>
      </c>
      <c r="R1117">
        <v>22061</v>
      </c>
      <c r="S1117">
        <v>1</v>
      </c>
      <c r="T1117">
        <v>0</v>
      </c>
      <c r="U1117" s="17">
        <v>0.13</v>
      </c>
      <c r="V1117">
        <v>3</v>
      </c>
      <c r="W1117">
        <v>3</v>
      </c>
      <c r="X1117">
        <v>0</v>
      </c>
      <c r="Y1117">
        <v>1</v>
      </c>
      <c r="Z1117">
        <v>4</v>
      </c>
      <c r="AA1117">
        <v>1</v>
      </c>
      <c r="AB1117">
        <v>1</v>
      </c>
      <c r="AC1117">
        <v>0</v>
      </c>
      <c r="AD1117">
        <v>0</v>
      </c>
      <c r="AE1117">
        <v>0</v>
      </c>
      <c r="AF1117">
        <v>0</v>
      </c>
      <c r="AG1117">
        <f>IF(tbl_HR_Data[[#This Row],[Gender]]="Male",1,0)</f>
        <v>1</v>
      </c>
      <c r="AH1117" cm="1">
        <f t="array" ref="AH1117">_xlfn.SWITCH(tbl_HR_Data[[#This Row],[BusinessTravel]], "Non-Travel", 0, "Travel_Rarely", 1, "Travel_Frequently", 2)</f>
        <v>1</v>
      </c>
      <c r="AI1117" cm="1">
        <f t="array" ref="AI1117">_xlfn.SWITCH(tbl_HR_Data[[#This Row],[MaritalStatus]],"Single",0,"Married",1,"Divorced",2)</f>
        <v>0</v>
      </c>
      <c r="AJ1117">
        <f>IF(tbl_HR_Data[[#This Row],[OverTime]]=1,1,0)</f>
        <v>0</v>
      </c>
      <c r="AK1117">
        <f>IF(tbl_HR_Data[[#This Row],[DistanceFromHome]]&gt;15,1,0)</f>
        <v>0</v>
      </c>
      <c r="AL1117">
        <f>IF(tbl_HR_Data[[#This Row],[JobSatisfaction]]&lt;=2,1,0)</f>
        <v>0</v>
      </c>
      <c r="AM1117">
        <f>IF(tbl_HR_Data[[#This Row],[MonthlyIncome]]&lt;$AT$2,1,0)</f>
        <v>1</v>
      </c>
      <c r="AN1117">
        <f>IF(tbl_HR_Data[[#This Row],[Travel_Code]]=2,1,0)</f>
        <v>0</v>
      </c>
      <c r="AO1117">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117" s="15">
        <f>tbl_HR_Data[[#This Row],[Risk_Score_Raw]] / SUM(Logic_Parameters!$B$2:$B$6)</f>
        <v>0.22374939857982484</v>
      </c>
      <c r="AQ1117" s="16" t="str" cm="1">
        <f t="array" ref="AQ1117">_xlfn.IFS(tbl_HR_Data[[#This Row],[Attrition_Risk_Percentage]] &gt;= 0.75, "Critical",tbl_HR_Data[ [#This Row],[Attrition_Risk_Percentage] ]&gt;= 0.5, "High",tbl_HR_Data[[#This Row],[Attrition_Risk_Percentage]] &gt;= 0.25, "Medium",TRUE, "Low")</f>
        <v>Low</v>
      </c>
      <c r="AR1117" s="16" cm="1">
        <f t="array" ref="AR1117">IFERROR(_xlfn.IFS(tbl_HR_Data[[#This Row],[Risk_Category]]="Critical",tbl_HR_Data[[#This Row],[MonthlyIncome]]*1.5,tbl_HR_Data[[#This Row],[Risk_Category]]="High",tbl_HR_Data[[#This Row],[MonthlyIncome]]*1.5),0)</f>
        <v>0</v>
      </c>
    </row>
    <row r="1118" spans="1:44" x14ac:dyDescent="0.35">
      <c r="A1118" t="s">
        <v>1481</v>
      </c>
      <c r="B1118">
        <v>55</v>
      </c>
      <c r="C1118" t="s">
        <v>31</v>
      </c>
      <c r="D1118">
        <v>685</v>
      </c>
      <c r="E1118" t="s">
        <v>32</v>
      </c>
      <c r="F1118">
        <v>26</v>
      </c>
      <c r="G1118">
        <v>5</v>
      </c>
      <c r="H1118" t="s">
        <v>51</v>
      </c>
      <c r="I1118">
        <v>3</v>
      </c>
      <c r="J1118" t="s">
        <v>39</v>
      </c>
      <c r="K1118">
        <v>60</v>
      </c>
      <c r="L1118">
        <v>2</v>
      </c>
      <c r="M1118">
        <v>5</v>
      </c>
      <c r="N1118" t="s">
        <v>48</v>
      </c>
      <c r="O1118">
        <v>4</v>
      </c>
      <c r="P1118" t="s">
        <v>41</v>
      </c>
      <c r="Q1118">
        <v>19586</v>
      </c>
      <c r="R1118">
        <v>23037</v>
      </c>
      <c r="S1118">
        <v>1</v>
      </c>
      <c r="T1118">
        <v>0</v>
      </c>
      <c r="U1118" s="17">
        <v>0.21</v>
      </c>
      <c r="V1118">
        <v>4</v>
      </c>
      <c r="W1118">
        <v>3</v>
      </c>
      <c r="X1118">
        <v>1</v>
      </c>
      <c r="Y1118">
        <v>36</v>
      </c>
      <c r="Z1118">
        <v>3</v>
      </c>
      <c r="AA1118">
        <v>3</v>
      </c>
      <c r="AB1118">
        <v>36</v>
      </c>
      <c r="AC1118">
        <v>6</v>
      </c>
      <c r="AD1118">
        <v>2</v>
      </c>
      <c r="AE1118">
        <v>13</v>
      </c>
      <c r="AF1118">
        <v>0</v>
      </c>
      <c r="AG1118">
        <f>IF(tbl_HR_Data[[#This Row],[Gender]]="Male",1,0)</f>
        <v>1</v>
      </c>
      <c r="AH1118" cm="1">
        <f t="array" ref="AH1118">_xlfn.SWITCH(tbl_HR_Data[[#This Row],[BusinessTravel]], "Non-Travel", 0, "Travel_Rarely", 1, "Travel_Frequently", 2)</f>
        <v>1</v>
      </c>
      <c r="AI1118" cm="1">
        <f t="array" ref="AI1118">_xlfn.SWITCH(tbl_HR_Data[[#This Row],[MaritalStatus]],"Single",0,"Married",1,"Divorced",2)</f>
        <v>1</v>
      </c>
      <c r="AJ1118">
        <f>IF(tbl_HR_Data[[#This Row],[OverTime]]=1,1,0)</f>
        <v>0</v>
      </c>
      <c r="AK1118">
        <f>IF(tbl_HR_Data[[#This Row],[DistanceFromHome]]&gt;15,1,0)</f>
        <v>1</v>
      </c>
      <c r="AL1118">
        <f>IF(tbl_HR_Data[[#This Row],[JobSatisfaction]]&lt;=2,1,0)</f>
        <v>0</v>
      </c>
      <c r="AM1118">
        <f>IF(tbl_HR_Data[[#This Row],[MonthlyIncome]]&lt;$AT$2,1,0)</f>
        <v>0</v>
      </c>
      <c r="AN1118">
        <f>IF(tbl_HR_Data[[#This Row],[Travel_Code]]=2,1,0)</f>
        <v>0</v>
      </c>
      <c r="AO1118">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1118" s="15">
        <f>tbl_HR_Data[[#This Row],[Risk_Score_Raw]] / SUM(Logic_Parameters!$B$2:$B$6)</f>
        <v>0.10908033267710357</v>
      </c>
      <c r="AQ1118" s="16" t="str" cm="1">
        <f t="array" ref="AQ1118">_xlfn.IFS(tbl_HR_Data[[#This Row],[Attrition_Risk_Percentage]] &gt;= 0.75, "Critical",tbl_HR_Data[ [#This Row],[Attrition_Risk_Percentage] ]&gt;= 0.5, "High",tbl_HR_Data[[#This Row],[Attrition_Risk_Percentage]] &gt;= 0.25, "Medium",TRUE, "Low")</f>
        <v>Low</v>
      </c>
      <c r="AR1118" s="16" cm="1">
        <f t="array" ref="AR1118">IFERROR(_xlfn.IFS(tbl_HR_Data[[#This Row],[Risk_Category]]="Critical",tbl_HR_Data[[#This Row],[MonthlyIncome]]*1.5,tbl_HR_Data[[#This Row],[Risk_Category]]="High",tbl_HR_Data[[#This Row],[MonthlyIncome]]*1.5),0)</f>
        <v>0</v>
      </c>
    </row>
    <row r="1119" spans="1:44" x14ac:dyDescent="0.35">
      <c r="A1119" t="s">
        <v>974</v>
      </c>
      <c r="B1119">
        <v>34</v>
      </c>
      <c r="C1119" t="s">
        <v>31</v>
      </c>
      <c r="D1119">
        <v>1351</v>
      </c>
      <c r="E1119" t="s">
        <v>38</v>
      </c>
      <c r="F1119">
        <v>1</v>
      </c>
      <c r="G1119">
        <v>4</v>
      </c>
      <c r="H1119" t="s">
        <v>33</v>
      </c>
      <c r="I1119">
        <v>2</v>
      </c>
      <c r="J1119" t="s">
        <v>39</v>
      </c>
      <c r="K1119">
        <v>45</v>
      </c>
      <c r="L1119">
        <v>3</v>
      </c>
      <c r="M1119">
        <v>2</v>
      </c>
      <c r="N1119" t="s">
        <v>40</v>
      </c>
      <c r="O1119">
        <v>4</v>
      </c>
      <c r="P1119" t="s">
        <v>41</v>
      </c>
      <c r="Q1119">
        <v>5484</v>
      </c>
      <c r="R1119">
        <v>13008</v>
      </c>
      <c r="S1119">
        <v>9</v>
      </c>
      <c r="T1119">
        <v>0</v>
      </c>
      <c r="U1119" s="17">
        <v>0.17</v>
      </c>
      <c r="V1119">
        <v>3</v>
      </c>
      <c r="W1119">
        <v>2</v>
      </c>
      <c r="X1119">
        <v>1</v>
      </c>
      <c r="Y1119">
        <v>9</v>
      </c>
      <c r="Z1119">
        <v>3</v>
      </c>
      <c r="AA1119">
        <v>2</v>
      </c>
      <c r="AB1119">
        <v>2</v>
      </c>
      <c r="AC1119">
        <v>2</v>
      </c>
      <c r="AD1119">
        <v>2</v>
      </c>
      <c r="AE1119">
        <v>1</v>
      </c>
      <c r="AF1119">
        <v>0</v>
      </c>
      <c r="AG1119">
        <f>IF(tbl_HR_Data[[#This Row],[Gender]]="Male",1,0)</f>
        <v>1</v>
      </c>
      <c r="AH1119" cm="1">
        <f t="array" ref="AH1119">_xlfn.SWITCH(tbl_HR_Data[[#This Row],[BusinessTravel]], "Non-Travel", 0, "Travel_Rarely", 1, "Travel_Frequently", 2)</f>
        <v>1</v>
      </c>
      <c r="AI1119" cm="1">
        <f t="array" ref="AI1119">_xlfn.SWITCH(tbl_HR_Data[[#This Row],[MaritalStatus]],"Single",0,"Married",1,"Divorced",2)</f>
        <v>1</v>
      </c>
      <c r="AJ1119">
        <f>IF(tbl_HR_Data[[#This Row],[OverTime]]=1,1,0)</f>
        <v>0</v>
      </c>
      <c r="AK1119">
        <f>IF(tbl_HR_Data[[#This Row],[DistanceFromHome]]&gt;15,1,0)</f>
        <v>0</v>
      </c>
      <c r="AL1119">
        <f>IF(tbl_HR_Data[[#This Row],[JobSatisfaction]]&lt;=2,1,0)</f>
        <v>0</v>
      </c>
      <c r="AM1119">
        <f>IF(tbl_HR_Data[[#This Row],[MonthlyIncome]]&lt;$AT$2,1,0)</f>
        <v>0</v>
      </c>
      <c r="AN1119">
        <f>IF(tbl_HR_Data[[#This Row],[Travel_Code]]=2,1,0)</f>
        <v>0</v>
      </c>
      <c r="AO1119">
        <f>(tbl_HR_Data[[#This Row],[Flag_OT]] * Logic_Parameters!$B$2) +
 (tbl_HR_Data[[#This Row],[Flag_Travel]] * Logic_Parameters!$B$3) +
 (tbl_HR_Data[[#This Row],[Flag_Satisfaction]] * Logic_Parameters!$B$4) +
 (tbl_HR_Data[[#This Row],[Flag_Distance]]* Logic_Parameters!$B$5) +
 (tbl_HR_Data[[#This Row],[Flag_Income]] * Logic_Parameters!$B$6)</f>
        <v>0</v>
      </c>
      <c r="AP1119" s="15">
        <f>tbl_HR_Data[[#This Row],[Risk_Score_Raw]] / SUM(Logic_Parameters!$B$2:$B$6)</f>
        <v>0</v>
      </c>
      <c r="AQ1119" s="16" t="str" cm="1">
        <f t="array" ref="AQ1119">_xlfn.IFS(tbl_HR_Data[[#This Row],[Attrition_Risk_Percentage]] &gt;= 0.75, "Critical",tbl_HR_Data[ [#This Row],[Attrition_Risk_Percentage] ]&gt;= 0.5, "High",tbl_HR_Data[[#This Row],[Attrition_Risk_Percentage]] &gt;= 0.25, "Medium",TRUE, "Low")</f>
        <v>Low</v>
      </c>
      <c r="AR1119" s="16" cm="1">
        <f t="array" ref="AR1119">IFERROR(_xlfn.IFS(tbl_HR_Data[[#This Row],[Risk_Category]]="Critical",tbl_HR_Data[[#This Row],[MonthlyIncome]]*1.5,tbl_HR_Data[[#This Row],[Risk_Category]]="High",tbl_HR_Data[[#This Row],[MonthlyIncome]]*1.5),0)</f>
        <v>0</v>
      </c>
    </row>
    <row r="1120" spans="1:44" x14ac:dyDescent="0.35">
      <c r="A1120" t="s">
        <v>62</v>
      </c>
      <c r="B1120">
        <v>26</v>
      </c>
      <c r="C1120" t="s">
        <v>31</v>
      </c>
      <c r="D1120">
        <v>474</v>
      </c>
      <c r="E1120" t="s">
        <v>38</v>
      </c>
      <c r="F1120">
        <v>3</v>
      </c>
      <c r="G1120">
        <v>3</v>
      </c>
      <c r="H1120" t="s">
        <v>33</v>
      </c>
      <c r="I1120">
        <v>1</v>
      </c>
      <c r="J1120" t="s">
        <v>34</v>
      </c>
      <c r="K1120">
        <v>89</v>
      </c>
      <c r="L1120">
        <v>3</v>
      </c>
      <c r="M1120">
        <v>1</v>
      </c>
      <c r="N1120" t="s">
        <v>40</v>
      </c>
      <c r="O1120">
        <v>4</v>
      </c>
      <c r="P1120" t="s">
        <v>41</v>
      </c>
      <c r="Q1120">
        <v>2061</v>
      </c>
      <c r="R1120">
        <v>11133</v>
      </c>
      <c r="S1120">
        <v>1</v>
      </c>
      <c r="T1120">
        <v>0</v>
      </c>
      <c r="U1120" s="17">
        <v>0.21</v>
      </c>
      <c r="V1120">
        <v>4</v>
      </c>
      <c r="W1120">
        <v>1</v>
      </c>
      <c r="X1120">
        <v>0</v>
      </c>
      <c r="Y1120">
        <v>1</v>
      </c>
      <c r="Z1120">
        <v>5</v>
      </c>
      <c r="AA1120">
        <v>3</v>
      </c>
      <c r="AB1120">
        <v>1</v>
      </c>
      <c r="AC1120">
        <v>0</v>
      </c>
      <c r="AD1120">
        <v>0</v>
      </c>
      <c r="AE1120">
        <v>0</v>
      </c>
      <c r="AF1120">
        <v>0</v>
      </c>
      <c r="AG1120">
        <f>IF(tbl_HR_Data[[#This Row],[Gender]]="Male",1,0)</f>
        <v>0</v>
      </c>
      <c r="AH1120" cm="1">
        <f t="array" ref="AH1120">_xlfn.SWITCH(tbl_HR_Data[[#This Row],[BusinessTravel]], "Non-Travel", 0, "Travel_Rarely", 1, "Travel_Frequently", 2)</f>
        <v>1</v>
      </c>
      <c r="AI1120" cm="1">
        <f t="array" ref="AI1120">_xlfn.SWITCH(tbl_HR_Data[[#This Row],[MaritalStatus]],"Single",0,"Married",1,"Divorced",2)</f>
        <v>1</v>
      </c>
      <c r="AJ1120">
        <f>IF(tbl_HR_Data[[#This Row],[OverTime]]=1,1,0)</f>
        <v>0</v>
      </c>
      <c r="AK1120">
        <f>IF(tbl_HR_Data[[#This Row],[DistanceFromHome]]&gt;15,1,0)</f>
        <v>0</v>
      </c>
      <c r="AL1120">
        <f>IF(tbl_HR_Data[[#This Row],[JobSatisfaction]]&lt;=2,1,0)</f>
        <v>0</v>
      </c>
      <c r="AM1120">
        <f>IF(tbl_HR_Data[[#This Row],[MonthlyIncome]]&lt;$AT$2,1,0)</f>
        <v>1</v>
      </c>
      <c r="AN1120">
        <f>IF(tbl_HR_Data[[#This Row],[Travel_Code]]=2,1,0)</f>
        <v>0</v>
      </c>
      <c r="AO1120">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120" s="15">
        <f>tbl_HR_Data[[#This Row],[Risk_Score_Raw]] / SUM(Logic_Parameters!$B$2:$B$6)</f>
        <v>0.22374939857982484</v>
      </c>
      <c r="AQ1120" s="16" t="str" cm="1">
        <f t="array" ref="AQ1120">_xlfn.IFS(tbl_HR_Data[[#This Row],[Attrition_Risk_Percentage]] &gt;= 0.75, "Critical",tbl_HR_Data[ [#This Row],[Attrition_Risk_Percentage] ]&gt;= 0.5, "High",tbl_HR_Data[[#This Row],[Attrition_Risk_Percentage]] &gt;= 0.25, "Medium",TRUE, "Low")</f>
        <v>Low</v>
      </c>
      <c r="AR1120" s="16" cm="1">
        <f t="array" ref="AR1120">IFERROR(_xlfn.IFS(tbl_HR_Data[[#This Row],[Risk_Category]]="Critical",tbl_HR_Data[[#This Row],[MonthlyIncome]]*1.5,tbl_HR_Data[[#This Row],[Risk_Category]]="High",tbl_HR_Data[[#This Row],[MonthlyIncome]]*1.5),0)</f>
        <v>0</v>
      </c>
    </row>
    <row r="1121" spans="1:44" x14ac:dyDescent="0.35">
      <c r="A1121" t="s">
        <v>450</v>
      </c>
      <c r="B1121">
        <v>38</v>
      </c>
      <c r="C1121" t="s">
        <v>31</v>
      </c>
      <c r="D1121">
        <v>1245</v>
      </c>
      <c r="E1121" t="s">
        <v>32</v>
      </c>
      <c r="F1121">
        <v>14</v>
      </c>
      <c r="G1121">
        <v>3</v>
      </c>
      <c r="H1121" t="s">
        <v>33</v>
      </c>
      <c r="I1121">
        <v>3</v>
      </c>
      <c r="J1121" t="s">
        <v>39</v>
      </c>
      <c r="K1121">
        <v>80</v>
      </c>
      <c r="L1121">
        <v>3</v>
      </c>
      <c r="M1121">
        <v>2</v>
      </c>
      <c r="N1121" t="s">
        <v>35</v>
      </c>
      <c r="O1121">
        <v>2</v>
      </c>
      <c r="P1121" t="s">
        <v>41</v>
      </c>
      <c r="Q1121">
        <v>9924</v>
      </c>
      <c r="R1121">
        <v>12355</v>
      </c>
      <c r="S1121">
        <v>0</v>
      </c>
      <c r="T1121">
        <v>0</v>
      </c>
      <c r="U1121" s="17">
        <v>0.11</v>
      </c>
      <c r="V1121">
        <v>3</v>
      </c>
      <c r="W1121">
        <v>4</v>
      </c>
      <c r="X1121">
        <v>1</v>
      </c>
      <c r="Y1121">
        <v>10</v>
      </c>
      <c r="Z1121">
        <v>3</v>
      </c>
      <c r="AA1121">
        <v>3</v>
      </c>
      <c r="AB1121">
        <v>9</v>
      </c>
      <c r="AC1121">
        <v>8</v>
      </c>
      <c r="AD1121">
        <v>7</v>
      </c>
      <c r="AE1121">
        <v>7</v>
      </c>
      <c r="AF1121">
        <v>0</v>
      </c>
      <c r="AG1121">
        <f>IF(tbl_HR_Data[[#This Row],[Gender]]="Male",1,0)</f>
        <v>1</v>
      </c>
      <c r="AH1121" cm="1">
        <f t="array" ref="AH1121">_xlfn.SWITCH(tbl_HR_Data[[#This Row],[BusinessTravel]], "Non-Travel", 0, "Travel_Rarely", 1, "Travel_Frequently", 2)</f>
        <v>1</v>
      </c>
      <c r="AI1121" cm="1">
        <f t="array" ref="AI1121">_xlfn.SWITCH(tbl_HR_Data[[#This Row],[MaritalStatus]],"Single",0,"Married",1,"Divorced",2)</f>
        <v>1</v>
      </c>
      <c r="AJ1121">
        <f>IF(tbl_HR_Data[[#This Row],[OverTime]]=1,1,0)</f>
        <v>0</v>
      </c>
      <c r="AK1121">
        <f>IF(tbl_HR_Data[[#This Row],[DistanceFromHome]]&gt;15,1,0)</f>
        <v>0</v>
      </c>
      <c r="AL1121">
        <f>IF(tbl_HR_Data[[#This Row],[JobSatisfaction]]&lt;=2,1,0)</f>
        <v>1</v>
      </c>
      <c r="AM1121">
        <f>IF(tbl_HR_Data[[#This Row],[MonthlyIncome]]&lt;$AT$2,1,0)</f>
        <v>0</v>
      </c>
      <c r="AN1121">
        <f>IF(tbl_HR_Data[[#This Row],[Travel_Code]]=2,1,0)</f>
        <v>0</v>
      </c>
      <c r="AO1121">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121" s="15">
        <f>tbl_HR_Data[[#This Row],[Risk_Score_Raw]] / SUM(Logic_Parameters!$B$2:$B$6)</f>
        <v>0.14485673308716898</v>
      </c>
      <c r="AQ1121" s="16" t="str" cm="1">
        <f t="array" ref="AQ1121">_xlfn.IFS(tbl_HR_Data[[#This Row],[Attrition_Risk_Percentage]] &gt;= 0.75, "Critical",tbl_HR_Data[ [#This Row],[Attrition_Risk_Percentage] ]&gt;= 0.5, "High",tbl_HR_Data[[#This Row],[Attrition_Risk_Percentage]] &gt;= 0.25, "Medium",TRUE, "Low")</f>
        <v>Low</v>
      </c>
      <c r="AR1121" s="16" cm="1">
        <f t="array" ref="AR1121">IFERROR(_xlfn.IFS(tbl_HR_Data[[#This Row],[Risk_Category]]="Critical",tbl_HR_Data[[#This Row],[MonthlyIncome]]*1.5,tbl_HR_Data[[#This Row],[Risk_Category]]="High",tbl_HR_Data[[#This Row],[MonthlyIncome]]*1.5),0)</f>
        <v>0</v>
      </c>
    </row>
    <row r="1122" spans="1:44" x14ac:dyDescent="0.35">
      <c r="A1122" t="s">
        <v>1189</v>
      </c>
      <c r="B1122">
        <v>38</v>
      </c>
      <c r="C1122" t="s">
        <v>31</v>
      </c>
      <c r="D1122">
        <v>437</v>
      </c>
      <c r="E1122" t="s">
        <v>32</v>
      </c>
      <c r="F1122">
        <v>16</v>
      </c>
      <c r="G1122">
        <v>3</v>
      </c>
      <c r="H1122" t="s">
        <v>33</v>
      </c>
      <c r="I1122">
        <v>2</v>
      </c>
      <c r="J1122" t="s">
        <v>34</v>
      </c>
      <c r="K1122">
        <v>90</v>
      </c>
      <c r="L1122">
        <v>3</v>
      </c>
      <c r="M1122">
        <v>2</v>
      </c>
      <c r="N1122" t="s">
        <v>35</v>
      </c>
      <c r="O1122">
        <v>2</v>
      </c>
      <c r="P1122" t="s">
        <v>36</v>
      </c>
      <c r="Q1122">
        <v>4198</v>
      </c>
      <c r="R1122">
        <v>16379</v>
      </c>
      <c r="S1122">
        <v>2</v>
      </c>
      <c r="T1122">
        <v>0</v>
      </c>
      <c r="U1122" s="17">
        <v>0.12</v>
      </c>
      <c r="V1122">
        <v>3</v>
      </c>
      <c r="W1122">
        <v>2</v>
      </c>
      <c r="X1122">
        <v>0</v>
      </c>
      <c r="Y1122">
        <v>8</v>
      </c>
      <c r="Z1122">
        <v>5</v>
      </c>
      <c r="AA1122">
        <v>4</v>
      </c>
      <c r="AB1122">
        <v>3</v>
      </c>
      <c r="AC1122">
        <v>2</v>
      </c>
      <c r="AD1122">
        <v>1</v>
      </c>
      <c r="AE1122">
        <v>2</v>
      </c>
      <c r="AF1122">
        <v>0</v>
      </c>
      <c r="AG1122">
        <f>IF(tbl_HR_Data[[#This Row],[Gender]]="Male",1,0)</f>
        <v>0</v>
      </c>
      <c r="AH1122" cm="1">
        <f t="array" ref="AH1122">_xlfn.SWITCH(tbl_HR_Data[[#This Row],[BusinessTravel]], "Non-Travel", 0, "Travel_Rarely", 1, "Travel_Frequently", 2)</f>
        <v>1</v>
      </c>
      <c r="AI1122" cm="1">
        <f t="array" ref="AI1122">_xlfn.SWITCH(tbl_HR_Data[[#This Row],[MaritalStatus]],"Single",0,"Married",1,"Divorced",2)</f>
        <v>0</v>
      </c>
      <c r="AJ1122">
        <f>IF(tbl_HR_Data[[#This Row],[OverTime]]=1,1,0)</f>
        <v>0</v>
      </c>
      <c r="AK1122">
        <f>IF(tbl_HR_Data[[#This Row],[DistanceFromHome]]&gt;15,1,0)</f>
        <v>1</v>
      </c>
      <c r="AL1122">
        <f>IF(tbl_HR_Data[[#This Row],[JobSatisfaction]]&lt;=2,1,0)</f>
        <v>1</v>
      </c>
      <c r="AM1122">
        <f>IF(tbl_HR_Data[[#This Row],[MonthlyIncome]]&lt;$AT$2,1,0)</f>
        <v>1</v>
      </c>
      <c r="AN1122">
        <f>IF(tbl_HR_Data[[#This Row],[Travel_Code]]=2,1,0)</f>
        <v>0</v>
      </c>
      <c r="AO1122">
        <f>(tbl_HR_Data[[#This Row],[Flag_OT]] * Logic_Parameters!$B$2) +
 (tbl_HR_Data[[#This Row],[Flag_Travel]] * Logic_Parameters!$B$3) +
 (tbl_HR_Data[[#This Row],[Flag_Satisfaction]] * Logic_Parameters!$B$4) +
 (tbl_HR_Data[[#This Row],[Flag_Distance]]* Logic_Parameters!$B$5) +
 (tbl_HR_Data[[#This Row],[Flag_Income]] * Logic_Parameters!$B$6)</f>
        <v>13.865068763274337</v>
      </c>
      <c r="AP1122" s="15">
        <f>tbl_HR_Data[[#This Row],[Risk_Score_Raw]] / SUM(Logic_Parameters!$B$2:$B$6)</f>
        <v>0.47768646434409739</v>
      </c>
      <c r="AQ1122" s="16" t="str" cm="1">
        <f t="array" ref="AQ1122">_xlfn.IFS(tbl_HR_Data[[#This Row],[Attrition_Risk_Percentage]] &gt;= 0.75, "Critical",tbl_HR_Data[ [#This Row],[Attrition_Risk_Percentage] ]&gt;= 0.5, "High",tbl_HR_Data[[#This Row],[Attrition_Risk_Percentage]] &gt;= 0.25, "Medium",TRUE, "Low")</f>
        <v>Medium</v>
      </c>
      <c r="AR1122" s="16" cm="1">
        <f t="array" ref="AR1122">IFERROR(_xlfn.IFS(tbl_HR_Data[[#This Row],[Risk_Category]]="Critical",tbl_HR_Data[[#This Row],[MonthlyIncome]]*1.5,tbl_HR_Data[[#This Row],[Risk_Category]]="High",tbl_HR_Data[[#This Row],[MonthlyIncome]]*1.5),0)</f>
        <v>0</v>
      </c>
    </row>
    <row r="1123" spans="1:44" x14ac:dyDescent="0.35">
      <c r="A1123" t="s">
        <v>858</v>
      </c>
      <c r="B1123">
        <v>36</v>
      </c>
      <c r="C1123" t="s">
        <v>31</v>
      </c>
      <c r="D1123">
        <v>884</v>
      </c>
      <c r="E1123" t="s">
        <v>32</v>
      </c>
      <c r="F1123">
        <v>1</v>
      </c>
      <c r="G1123">
        <v>4</v>
      </c>
      <c r="H1123" t="s">
        <v>33</v>
      </c>
      <c r="I1123">
        <v>2</v>
      </c>
      <c r="J1123" t="s">
        <v>34</v>
      </c>
      <c r="K1123">
        <v>73</v>
      </c>
      <c r="L1123">
        <v>3</v>
      </c>
      <c r="M1123">
        <v>2</v>
      </c>
      <c r="N1123" t="s">
        <v>35</v>
      </c>
      <c r="O1123">
        <v>3</v>
      </c>
      <c r="P1123" t="s">
        <v>36</v>
      </c>
      <c r="Q1123">
        <v>6815</v>
      </c>
      <c r="R1123">
        <v>21447</v>
      </c>
      <c r="S1123">
        <v>6</v>
      </c>
      <c r="T1123">
        <v>0</v>
      </c>
      <c r="U1123" s="17">
        <v>0.13</v>
      </c>
      <c r="V1123">
        <v>3</v>
      </c>
      <c r="W1123">
        <v>1</v>
      </c>
      <c r="X1123">
        <v>0</v>
      </c>
      <c r="Y1123">
        <v>15</v>
      </c>
      <c r="Z1123">
        <v>5</v>
      </c>
      <c r="AA1123">
        <v>3</v>
      </c>
      <c r="AB1123">
        <v>1</v>
      </c>
      <c r="AC1123">
        <v>0</v>
      </c>
      <c r="AD1123">
        <v>0</v>
      </c>
      <c r="AE1123">
        <v>0</v>
      </c>
      <c r="AF1123">
        <v>0</v>
      </c>
      <c r="AG1123">
        <f>IF(tbl_HR_Data[[#This Row],[Gender]]="Male",1,0)</f>
        <v>0</v>
      </c>
      <c r="AH1123" cm="1">
        <f t="array" ref="AH1123">_xlfn.SWITCH(tbl_HR_Data[[#This Row],[BusinessTravel]], "Non-Travel", 0, "Travel_Rarely", 1, "Travel_Frequently", 2)</f>
        <v>1</v>
      </c>
      <c r="AI1123" cm="1">
        <f t="array" ref="AI1123">_xlfn.SWITCH(tbl_HR_Data[[#This Row],[MaritalStatus]],"Single",0,"Married",1,"Divorced",2)</f>
        <v>0</v>
      </c>
      <c r="AJ1123">
        <f>IF(tbl_HR_Data[[#This Row],[OverTime]]=1,1,0)</f>
        <v>0</v>
      </c>
      <c r="AK1123">
        <f>IF(tbl_HR_Data[[#This Row],[DistanceFromHome]]&gt;15,1,0)</f>
        <v>0</v>
      </c>
      <c r="AL1123">
        <f>IF(tbl_HR_Data[[#This Row],[JobSatisfaction]]&lt;=2,1,0)</f>
        <v>0</v>
      </c>
      <c r="AM1123">
        <f>IF(tbl_HR_Data[[#This Row],[MonthlyIncome]]&lt;$AT$2,1,0)</f>
        <v>0</v>
      </c>
      <c r="AN1123">
        <f>IF(tbl_HR_Data[[#This Row],[Travel_Code]]=2,1,0)</f>
        <v>0</v>
      </c>
      <c r="AO1123">
        <f>(tbl_HR_Data[[#This Row],[Flag_OT]] * Logic_Parameters!$B$2) +
 (tbl_HR_Data[[#This Row],[Flag_Travel]] * Logic_Parameters!$B$3) +
 (tbl_HR_Data[[#This Row],[Flag_Satisfaction]] * Logic_Parameters!$B$4) +
 (tbl_HR_Data[[#This Row],[Flag_Distance]]* Logic_Parameters!$B$5) +
 (tbl_HR_Data[[#This Row],[Flag_Income]] * Logic_Parameters!$B$6)</f>
        <v>0</v>
      </c>
      <c r="AP1123" s="15">
        <f>tbl_HR_Data[[#This Row],[Risk_Score_Raw]] / SUM(Logic_Parameters!$B$2:$B$6)</f>
        <v>0</v>
      </c>
      <c r="AQ1123" s="16" t="str" cm="1">
        <f t="array" ref="AQ1123">_xlfn.IFS(tbl_HR_Data[[#This Row],[Attrition_Risk_Percentage]] &gt;= 0.75, "Critical",tbl_HR_Data[ [#This Row],[Attrition_Risk_Percentage] ]&gt;= 0.5, "High",tbl_HR_Data[[#This Row],[Attrition_Risk_Percentage]] &gt;= 0.25, "Medium",TRUE, "Low")</f>
        <v>Low</v>
      </c>
      <c r="AR1123" s="16" cm="1">
        <f t="array" ref="AR1123">IFERROR(_xlfn.IFS(tbl_HR_Data[[#This Row],[Risk_Category]]="Critical",tbl_HR_Data[[#This Row],[MonthlyIncome]]*1.5,tbl_HR_Data[[#This Row],[Risk_Category]]="High",tbl_HR_Data[[#This Row],[MonthlyIncome]]*1.5),0)</f>
        <v>0</v>
      </c>
    </row>
    <row r="1124" spans="1:44" x14ac:dyDescent="0.35">
      <c r="A1124" t="s">
        <v>752</v>
      </c>
      <c r="B1124">
        <v>29</v>
      </c>
      <c r="C1124" t="s">
        <v>31</v>
      </c>
      <c r="D1124">
        <v>1370</v>
      </c>
      <c r="E1124" t="s">
        <v>38</v>
      </c>
      <c r="F1124">
        <v>3</v>
      </c>
      <c r="G1124">
        <v>1</v>
      </c>
      <c r="H1124" t="s">
        <v>44</v>
      </c>
      <c r="I1124">
        <v>2</v>
      </c>
      <c r="J1124" t="s">
        <v>39</v>
      </c>
      <c r="K1124">
        <v>87</v>
      </c>
      <c r="L1124">
        <v>3</v>
      </c>
      <c r="M1124">
        <v>1</v>
      </c>
      <c r="N1124" t="s">
        <v>43</v>
      </c>
      <c r="O1124">
        <v>1</v>
      </c>
      <c r="P1124" t="s">
        <v>36</v>
      </c>
      <c r="Q1124">
        <v>4723</v>
      </c>
      <c r="R1124">
        <v>16213</v>
      </c>
      <c r="S1124">
        <v>1</v>
      </c>
      <c r="T1124">
        <v>1</v>
      </c>
      <c r="U1124" s="17">
        <v>0.18</v>
      </c>
      <c r="V1124">
        <v>3</v>
      </c>
      <c r="W1124">
        <v>4</v>
      </c>
      <c r="X1124">
        <v>0</v>
      </c>
      <c r="Y1124">
        <v>10</v>
      </c>
      <c r="Z1124">
        <v>3</v>
      </c>
      <c r="AA1124">
        <v>3</v>
      </c>
      <c r="AB1124">
        <v>10</v>
      </c>
      <c r="AC1124">
        <v>9</v>
      </c>
      <c r="AD1124">
        <v>1</v>
      </c>
      <c r="AE1124">
        <v>5</v>
      </c>
      <c r="AF1124">
        <v>0</v>
      </c>
      <c r="AG1124">
        <f>IF(tbl_HR_Data[[#This Row],[Gender]]="Male",1,0)</f>
        <v>1</v>
      </c>
      <c r="AH1124" cm="1">
        <f t="array" ref="AH1124">_xlfn.SWITCH(tbl_HR_Data[[#This Row],[BusinessTravel]], "Non-Travel", 0, "Travel_Rarely", 1, "Travel_Frequently", 2)</f>
        <v>1</v>
      </c>
      <c r="AI1124" cm="1">
        <f t="array" ref="AI1124">_xlfn.SWITCH(tbl_HR_Data[[#This Row],[MaritalStatus]],"Single",0,"Married",1,"Divorced",2)</f>
        <v>0</v>
      </c>
      <c r="AJ1124">
        <f>IF(tbl_HR_Data[[#This Row],[OverTime]]=1,1,0)</f>
        <v>1</v>
      </c>
      <c r="AK1124">
        <f>IF(tbl_HR_Data[[#This Row],[DistanceFromHome]]&gt;15,1,0)</f>
        <v>0</v>
      </c>
      <c r="AL1124">
        <f>IF(tbl_HR_Data[[#This Row],[JobSatisfaction]]&lt;=2,1,0)</f>
        <v>1</v>
      </c>
      <c r="AM1124">
        <f>IF(tbl_HR_Data[[#This Row],[MonthlyIncome]]&lt;$AT$2,1,0)</f>
        <v>1</v>
      </c>
      <c r="AN1124">
        <f>IF(tbl_HR_Data[[#This Row],[Travel_Code]]=2,1,0)</f>
        <v>0</v>
      </c>
      <c r="AO1124">
        <f>(tbl_HR_Data[[#This Row],[Flag_OT]] * Logic_Parameters!$B$2) +
 (tbl_HR_Data[[#This Row],[Flag_Travel]] * Logic_Parameters!$B$3) +
 (tbl_HR_Data[[#This Row],[Flag_Satisfaction]] * Logic_Parameters!$B$4) +
 (tbl_HR_Data[[#This Row],[Flag_Distance]]* Logic_Parameters!$B$5) +
 (tbl_HR_Data[[#This Row],[Flag_Income]] * Logic_Parameters!$B$6)</f>
        <v>20.698962067398959</v>
      </c>
      <c r="AP1124" s="15">
        <f>tbl_HR_Data[[#This Row],[Risk_Score_Raw]] / SUM(Logic_Parameters!$B$2:$B$6)</f>
        <v>0.71313126349280109</v>
      </c>
      <c r="AQ1124" s="16" t="str" cm="1">
        <f t="array" ref="AQ1124">_xlfn.IFS(tbl_HR_Data[[#This Row],[Attrition_Risk_Percentage]] &gt;= 0.75, "Critical",tbl_HR_Data[ [#This Row],[Attrition_Risk_Percentage] ]&gt;= 0.5, "High",tbl_HR_Data[[#This Row],[Attrition_Risk_Percentage]] &gt;= 0.25, "Medium",TRUE, "Low")</f>
        <v>High</v>
      </c>
      <c r="AR1124" s="16" cm="1">
        <f t="array" ref="AR1124">IFERROR(_xlfn.IFS(tbl_HR_Data[[#This Row],[Risk_Category]]="Critical",tbl_HR_Data[[#This Row],[MonthlyIncome]]*1.5,tbl_HR_Data[[#This Row],[Risk_Category]]="High",tbl_HR_Data[[#This Row],[MonthlyIncome]]*1.5),0)</f>
        <v>7084.5</v>
      </c>
    </row>
    <row r="1125" spans="1:44" x14ac:dyDescent="0.35">
      <c r="A1125" t="s">
        <v>1404</v>
      </c>
      <c r="B1125">
        <v>35</v>
      </c>
      <c r="C1125" t="s">
        <v>31</v>
      </c>
      <c r="D1125">
        <v>670</v>
      </c>
      <c r="E1125" t="s">
        <v>38</v>
      </c>
      <c r="F1125">
        <v>10</v>
      </c>
      <c r="G1125">
        <v>4</v>
      </c>
      <c r="H1125" t="s">
        <v>44</v>
      </c>
      <c r="I1125">
        <v>1</v>
      </c>
      <c r="J1125" t="s">
        <v>34</v>
      </c>
      <c r="K1125">
        <v>51</v>
      </c>
      <c r="L1125">
        <v>3</v>
      </c>
      <c r="M1125">
        <v>2</v>
      </c>
      <c r="N1125" t="s">
        <v>47</v>
      </c>
      <c r="O1125">
        <v>3</v>
      </c>
      <c r="P1125" t="s">
        <v>36</v>
      </c>
      <c r="Q1125">
        <v>6142</v>
      </c>
      <c r="R1125">
        <v>4223</v>
      </c>
      <c r="S1125">
        <v>3</v>
      </c>
      <c r="T1125">
        <v>1</v>
      </c>
      <c r="U1125" s="17">
        <v>0.16</v>
      </c>
      <c r="V1125">
        <v>3</v>
      </c>
      <c r="W1125">
        <v>3</v>
      </c>
      <c r="X1125">
        <v>0</v>
      </c>
      <c r="Y1125">
        <v>10</v>
      </c>
      <c r="Z1125">
        <v>4</v>
      </c>
      <c r="AA1125">
        <v>3</v>
      </c>
      <c r="AB1125">
        <v>5</v>
      </c>
      <c r="AC1125">
        <v>2</v>
      </c>
      <c r="AD1125">
        <v>0</v>
      </c>
      <c r="AE1125">
        <v>4</v>
      </c>
      <c r="AF1125">
        <v>0</v>
      </c>
      <c r="AG1125">
        <f>IF(tbl_HR_Data[[#This Row],[Gender]]="Male",1,0)</f>
        <v>0</v>
      </c>
      <c r="AH1125" cm="1">
        <f t="array" ref="AH1125">_xlfn.SWITCH(tbl_HR_Data[[#This Row],[BusinessTravel]], "Non-Travel", 0, "Travel_Rarely", 1, "Travel_Frequently", 2)</f>
        <v>1</v>
      </c>
      <c r="AI1125" cm="1">
        <f t="array" ref="AI1125">_xlfn.SWITCH(tbl_HR_Data[[#This Row],[MaritalStatus]],"Single",0,"Married",1,"Divorced",2)</f>
        <v>0</v>
      </c>
      <c r="AJ1125">
        <f>IF(tbl_HR_Data[[#This Row],[OverTime]]=1,1,0)</f>
        <v>1</v>
      </c>
      <c r="AK1125">
        <f>IF(tbl_HR_Data[[#This Row],[DistanceFromHome]]&gt;15,1,0)</f>
        <v>0</v>
      </c>
      <c r="AL1125">
        <f>IF(tbl_HR_Data[[#This Row],[JobSatisfaction]]&lt;=2,1,0)</f>
        <v>0</v>
      </c>
      <c r="AM1125">
        <f>IF(tbl_HR_Data[[#This Row],[MonthlyIncome]]&lt;$AT$2,1,0)</f>
        <v>0</v>
      </c>
      <c r="AN1125">
        <f>IF(tbl_HR_Data[[#This Row],[Travel_Code]]=2,1,0)</f>
        <v>0</v>
      </c>
      <c r="AO1125">
        <f>(tbl_HR_Data[[#This Row],[Flag_OT]] * Logic_Parameters!$B$2) +
 (tbl_HR_Data[[#This Row],[Flag_Travel]] * Logic_Parameters!$B$3) +
 (tbl_HR_Data[[#This Row],[Flag_Satisfaction]] * Logic_Parameters!$B$4) +
 (tbl_HR_Data[[#This Row],[Flag_Distance]]* Logic_Parameters!$B$5) +
 (tbl_HR_Data[[#This Row],[Flag_Income]] * Logic_Parameters!$B$6)</f>
        <v>10</v>
      </c>
      <c r="AP1125" s="15">
        <f>tbl_HR_Data[[#This Row],[Risk_Score_Raw]] / SUM(Logic_Parameters!$B$2:$B$6)</f>
        <v>0.3445251318258073</v>
      </c>
      <c r="AQ1125" s="16" t="str" cm="1">
        <f t="array" ref="AQ1125">_xlfn.IFS(tbl_HR_Data[[#This Row],[Attrition_Risk_Percentage]] &gt;= 0.75, "Critical",tbl_HR_Data[ [#This Row],[Attrition_Risk_Percentage] ]&gt;= 0.5, "High",tbl_HR_Data[[#This Row],[Attrition_Risk_Percentage]] &gt;= 0.25, "Medium",TRUE, "Low")</f>
        <v>Medium</v>
      </c>
      <c r="AR1125" s="16" cm="1">
        <f t="array" ref="AR1125">IFERROR(_xlfn.IFS(tbl_HR_Data[[#This Row],[Risk_Category]]="Critical",tbl_HR_Data[[#This Row],[MonthlyIncome]]*1.5,tbl_HR_Data[[#This Row],[Risk_Category]]="High",tbl_HR_Data[[#This Row],[MonthlyIncome]]*1.5),0)</f>
        <v>0</v>
      </c>
    </row>
    <row r="1126" spans="1:44" x14ac:dyDescent="0.35">
      <c r="A1126" t="s">
        <v>418</v>
      </c>
      <c r="B1126">
        <v>39</v>
      </c>
      <c r="C1126" t="s">
        <v>31</v>
      </c>
      <c r="D1126">
        <v>1462</v>
      </c>
      <c r="E1126" t="s">
        <v>32</v>
      </c>
      <c r="F1126">
        <v>6</v>
      </c>
      <c r="G1126">
        <v>3</v>
      </c>
      <c r="H1126" t="s">
        <v>44</v>
      </c>
      <c r="I1126">
        <v>4</v>
      </c>
      <c r="J1126" t="s">
        <v>39</v>
      </c>
      <c r="K1126">
        <v>38</v>
      </c>
      <c r="L1126">
        <v>4</v>
      </c>
      <c r="M1126">
        <v>3</v>
      </c>
      <c r="N1126" t="s">
        <v>35</v>
      </c>
      <c r="O1126">
        <v>3</v>
      </c>
      <c r="P1126" t="s">
        <v>41</v>
      </c>
      <c r="Q1126">
        <v>8237</v>
      </c>
      <c r="R1126">
        <v>4658</v>
      </c>
      <c r="S1126">
        <v>2</v>
      </c>
      <c r="T1126">
        <v>0</v>
      </c>
      <c r="U1126" s="17">
        <v>0.11</v>
      </c>
      <c r="V1126">
        <v>3</v>
      </c>
      <c r="W1126">
        <v>1</v>
      </c>
      <c r="X1126">
        <v>1</v>
      </c>
      <c r="Y1126">
        <v>11</v>
      </c>
      <c r="Z1126">
        <v>3</v>
      </c>
      <c r="AA1126">
        <v>3</v>
      </c>
      <c r="AB1126">
        <v>7</v>
      </c>
      <c r="AC1126">
        <v>6</v>
      </c>
      <c r="AD1126">
        <v>7</v>
      </c>
      <c r="AE1126">
        <v>6</v>
      </c>
      <c r="AF1126">
        <v>0</v>
      </c>
      <c r="AG1126">
        <f>IF(tbl_HR_Data[[#This Row],[Gender]]="Male",1,0)</f>
        <v>1</v>
      </c>
      <c r="AH1126" cm="1">
        <f t="array" ref="AH1126">_xlfn.SWITCH(tbl_HR_Data[[#This Row],[BusinessTravel]], "Non-Travel", 0, "Travel_Rarely", 1, "Travel_Frequently", 2)</f>
        <v>1</v>
      </c>
      <c r="AI1126" cm="1">
        <f t="array" ref="AI1126">_xlfn.SWITCH(tbl_HR_Data[[#This Row],[MaritalStatus]],"Single",0,"Married",1,"Divorced",2)</f>
        <v>1</v>
      </c>
      <c r="AJ1126">
        <f>IF(tbl_HR_Data[[#This Row],[OverTime]]=1,1,0)</f>
        <v>0</v>
      </c>
      <c r="AK1126">
        <f>IF(tbl_HR_Data[[#This Row],[DistanceFromHome]]&gt;15,1,0)</f>
        <v>0</v>
      </c>
      <c r="AL1126">
        <f>IF(tbl_HR_Data[[#This Row],[JobSatisfaction]]&lt;=2,1,0)</f>
        <v>0</v>
      </c>
      <c r="AM1126">
        <f>IF(tbl_HR_Data[[#This Row],[MonthlyIncome]]&lt;$AT$2,1,0)</f>
        <v>0</v>
      </c>
      <c r="AN1126">
        <f>IF(tbl_HR_Data[[#This Row],[Travel_Code]]=2,1,0)</f>
        <v>0</v>
      </c>
      <c r="AO1126">
        <f>(tbl_HR_Data[[#This Row],[Flag_OT]] * Logic_Parameters!$B$2) +
 (tbl_HR_Data[[#This Row],[Flag_Travel]] * Logic_Parameters!$B$3) +
 (tbl_HR_Data[[#This Row],[Flag_Satisfaction]] * Logic_Parameters!$B$4) +
 (tbl_HR_Data[[#This Row],[Flag_Distance]]* Logic_Parameters!$B$5) +
 (tbl_HR_Data[[#This Row],[Flag_Income]] * Logic_Parameters!$B$6)</f>
        <v>0</v>
      </c>
      <c r="AP1126" s="15">
        <f>tbl_HR_Data[[#This Row],[Risk_Score_Raw]] / SUM(Logic_Parameters!$B$2:$B$6)</f>
        <v>0</v>
      </c>
      <c r="AQ1126" s="16" t="str" cm="1">
        <f t="array" ref="AQ1126">_xlfn.IFS(tbl_HR_Data[[#This Row],[Attrition_Risk_Percentage]] &gt;= 0.75, "Critical",tbl_HR_Data[ [#This Row],[Attrition_Risk_Percentage] ]&gt;= 0.5, "High",tbl_HR_Data[[#This Row],[Attrition_Risk_Percentage]] &gt;= 0.25, "Medium",TRUE, "Low")</f>
        <v>Low</v>
      </c>
      <c r="AR1126" s="16" cm="1">
        <f t="array" ref="AR1126">IFERROR(_xlfn.IFS(tbl_HR_Data[[#This Row],[Risk_Category]]="Critical",tbl_HR_Data[[#This Row],[MonthlyIncome]]*1.5,tbl_HR_Data[[#This Row],[Risk_Category]]="High",tbl_HR_Data[[#This Row],[MonthlyIncome]]*1.5),0)</f>
        <v>0</v>
      </c>
    </row>
    <row r="1127" spans="1:44" x14ac:dyDescent="0.35">
      <c r="A1127" t="s">
        <v>378</v>
      </c>
      <c r="B1127">
        <v>29</v>
      </c>
      <c r="C1127" t="s">
        <v>37</v>
      </c>
      <c r="D1127">
        <v>995</v>
      </c>
      <c r="E1127" t="s">
        <v>38</v>
      </c>
      <c r="F1127">
        <v>2</v>
      </c>
      <c r="G1127">
        <v>1</v>
      </c>
      <c r="H1127" t="s">
        <v>33</v>
      </c>
      <c r="I1127">
        <v>1</v>
      </c>
      <c r="J1127" t="s">
        <v>39</v>
      </c>
      <c r="K1127">
        <v>87</v>
      </c>
      <c r="L1127">
        <v>3</v>
      </c>
      <c r="M1127">
        <v>2</v>
      </c>
      <c r="N1127" t="s">
        <v>47</v>
      </c>
      <c r="O1127">
        <v>4</v>
      </c>
      <c r="P1127" t="s">
        <v>45</v>
      </c>
      <c r="Q1127">
        <v>8853</v>
      </c>
      <c r="R1127">
        <v>24483</v>
      </c>
      <c r="S1127">
        <v>1</v>
      </c>
      <c r="T1127">
        <v>0</v>
      </c>
      <c r="U1127" s="17">
        <v>0.19</v>
      </c>
      <c r="V1127">
        <v>3</v>
      </c>
      <c r="W1127">
        <v>4</v>
      </c>
      <c r="X1127">
        <v>1</v>
      </c>
      <c r="Y1127">
        <v>6</v>
      </c>
      <c r="Z1127">
        <v>0</v>
      </c>
      <c r="AA1127">
        <v>4</v>
      </c>
      <c r="AB1127">
        <v>6</v>
      </c>
      <c r="AC1127">
        <v>4</v>
      </c>
      <c r="AD1127">
        <v>1</v>
      </c>
      <c r="AE1127">
        <v>3</v>
      </c>
      <c r="AF1127">
        <v>0</v>
      </c>
      <c r="AG1127">
        <f>IF(tbl_HR_Data[[#This Row],[Gender]]="Male",1,0)</f>
        <v>1</v>
      </c>
      <c r="AH1127" cm="1">
        <f t="array" ref="AH1127">_xlfn.SWITCH(tbl_HR_Data[[#This Row],[BusinessTravel]], "Non-Travel", 0, "Travel_Rarely", 1, "Travel_Frequently", 2)</f>
        <v>2</v>
      </c>
      <c r="AI1127" cm="1">
        <f t="array" ref="AI1127">_xlfn.SWITCH(tbl_HR_Data[[#This Row],[MaritalStatus]],"Single",0,"Married",1,"Divorced",2)</f>
        <v>2</v>
      </c>
      <c r="AJ1127">
        <f>IF(tbl_HR_Data[[#This Row],[OverTime]]=1,1,0)</f>
        <v>0</v>
      </c>
      <c r="AK1127">
        <f>IF(tbl_HR_Data[[#This Row],[DistanceFromHome]]&gt;15,1,0)</f>
        <v>0</v>
      </c>
      <c r="AL1127">
        <f>IF(tbl_HR_Data[[#This Row],[JobSatisfaction]]&lt;=2,1,0)</f>
        <v>0</v>
      </c>
      <c r="AM1127">
        <f>IF(tbl_HR_Data[[#This Row],[MonthlyIncome]]&lt;$AT$2,1,0)</f>
        <v>0</v>
      </c>
      <c r="AN1127">
        <f>IF(tbl_HR_Data[[#This Row],[Travel_Code]]=2,1,0)</f>
        <v>1</v>
      </c>
      <c r="AO1127">
        <f>(tbl_HR_Data[[#This Row],[Flag_OT]] * Logic_Parameters!$B$2) +
 (tbl_HR_Data[[#This Row],[Flag_Travel]] * Logic_Parameters!$B$3) +
 (tbl_HR_Data[[#This Row],[Flag_Satisfaction]] * Logic_Parameters!$B$4) +
 (tbl_HR_Data[[#This Row],[Flag_Distance]]* Logic_Parameters!$B$5) +
 (tbl_HR_Data[[#This Row],[Flag_Income]] * Logic_Parameters!$B$6)</f>
        <v>5.1603899804901765</v>
      </c>
      <c r="AP1127" s="15">
        <f>tbl_HR_Data[[#This Row],[Risk_Score_Raw]] / SUM(Logic_Parameters!$B$2:$B$6)</f>
        <v>0.17778840383009531</v>
      </c>
      <c r="AQ1127" s="16" t="str" cm="1">
        <f t="array" ref="AQ1127">_xlfn.IFS(tbl_HR_Data[[#This Row],[Attrition_Risk_Percentage]] &gt;= 0.75, "Critical",tbl_HR_Data[ [#This Row],[Attrition_Risk_Percentage] ]&gt;= 0.5, "High",tbl_HR_Data[[#This Row],[Attrition_Risk_Percentage]] &gt;= 0.25, "Medium",TRUE, "Low")</f>
        <v>Low</v>
      </c>
      <c r="AR1127" s="16" cm="1">
        <f t="array" ref="AR1127">IFERROR(_xlfn.IFS(tbl_HR_Data[[#This Row],[Risk_Category]]="Critical",tbl_HR_Data[[#This Row],[MonthlyIncome]]*1.5,tbl_HR_Data[[#This Row],[Risk_Category]]="High",tbl_HR_Data[[#This Row],[MonthlyIncome]]*1.5),0)</f>
        <v>0</v>
      </c>
    </row>
    <row r="1128" spans="1:44" x14ac:dyDescent="0.35">
      <c r="A1128" t="s">
        <v>1311</v>
      </c>
      <c r="B1128">
        <v>50</v>
      </c>
      <c r="C1128" t="s">
        <v>31</v>
      </c>
      <c r="D1128">
        <v>264</v>
      </c>
      <c r="E1128" t="s">
        <v>32</v>
      </c>
      <c r="F1128">
        <v>9</v>
      </c>
      <c r="G1128">
        <v>3</v>
      </c>
      <c r="H1128" t="s">
        <v>51</v>
      </c>
      <c r="I1128">
        <v>3</v>
      </c>
      <c r="J1128" t="s">
        <v>39</v>
      </c>
      <c r="K1128">
        <v>59</v>
      </c>
      <c r="L1128">
        <v>3</v>
      </c>
      <c r="M1128">
        <v>5</v>
      </c>
      <c r="N1128" t="s">
        <v>48</v>
      </c>
      <c r="O1128">
        <v>3</v>
      </c>
      <c r="P1128" t="s">
        <v>41</v>
      </c>
      <c r="Q1128">
        <v>19331</v>
      </c>
      <c r="R1128">
        <v>19519</v>
      </c>
      <c r="S1128">
        <v>4</v>
      </c>
      <c r="T1128">
        <v>1</v>
      </c>
      <c r="U1128" s="17">
        <v>0.16</v>
      </c>
      <c r="V1128">
        <v>3</v>
      </c>
      <c r="W1128">
        <v>3</v>
      </c>
      <c r="X1128">
        <v>1</v>
      </c>
      <c r="Y1128">
        <v>27</v>
      </c>
      <c r="Z1128">
        <v>2</v>
      </c>
      <c r="AA1128">
        <v>3</v>
      </c>
      <c r="AB1128">
        <v>1</v>
      </c>
      <c r="AC1128">
        <v>0</v>
      </c>
      <c r="AD1128">
        <v>0</v>
      </c>
      <c r="AE1128">
        <v>0</v>
      </c>
      <c r="AF1128">
        <v>0</v>
      </c>
      <c r="AG1128">
        <f>IF(tbl_HR_Data[[#This Row],[Gender]]="Male",1,0)</f>
        <v>1</v>
      </c>
      <c r="AH1128" cm="1">
        <f t="array" ref="AH1128">_xlfn.SWITCH(tbl_HR_Data[[#This Row],[BusinessTravel]], "Non-Travel", 0, "Travel_Rarely", 1, "Travel_Frequently", 2)</f>
        <v>1</v>
      </c>
      <c r="AI1128" cm="1">
        <f t="array" ref="AI1128">_xlfn.SWITCH(tbl_HR_Data[[#This Row],[MaritalStatus]],"Single",0,"Married",1,"Divorced",2)</f>
        <v>1</v>
      </c>
      <c r="AJ1128">
        <f>IF(tbl_HR_Data[[#This Row],[OverTime]]=1,1,0)</f>
        <v>1</v>
      </c>
      <c r="AK1128">
        <f>IF(tbl_HR_Data[[#This Row],[DistanceFromHome]]&gt;15,1,0)</f>
        <v>0</v>
      </c>
      <c r="AL1128">
        <f>IF(tbl_HR_Data[[#This Row],[JobSatisfaction]]&lt;=2,1,0)</f>
        <v>0</v>
      </c>
      <c r="AM1128">
        <f>IF(tbl_HR_Data[[#This Row],[MonthlyIncome]]&lt;$AT$2,1,0)</f>
        <v>0</v>
      </c>
      <c r="AN1128">
        <f>IF(tbl_HR_Data[[#This Row],[Travel_Code]]=2,1,0)</f>
        <v>0</v>
      </c>
      <c r="AO1128">
        <f>(tbl_HR_Data[[#This Row],[Flag_OT]] * Logic_Parameters!$B$2) +
 (tbl_HR_Data[[#This Row],[Flag_Travel]] * Logic_Parameters!$B$3) +
 (tbl_HR_Data[[#This Row],[Flag_Satisfaction]] * Logic_Parameters!$B$4) +
 (tbl_HR_Data[[#This Row],[Flag_Distance]]* Logic_Parameters!$B$5) +
 (tbl_HR_Data[[#This Row],[Flag_Income]] * Logic_Parameters!$B$6)</f>
        <v>10</v>
      </c>
      <c r="AP1128" s="15">
        <f>tbl_HR_Data[[#This Row],[Risk_Score_Raw]] / SUM(Logic_Parameters!$B$2:$B$6)</f>
        <v>0.3445251318258073</v>
      </c>
      <c r="AQ1128" s="16" t="str" cm="1">
        <f t="array" ref="AQ1128">_xlfn.IFS(tbl_HR_Data[[#This Row],[Attrition_Risk_Percentage]] &gt;= 0.75, "Critical",tbl_HR_Data[ [#This Row],[Attrition_Risk_Percentage] ]&gt;= 0.5, "High",tbl_HR_Data[[#This Row],[Attrition_Risk_Percentage]] &gt;= 0.25, "Medium",TRUE, "Low")</f>
        <v>Medium</v>
      </c>
      <c r="AR1128" s="16" cm="1">
        <f t="array" ref="AR1128">IFERROR(_xlfn.IFS(tbl_HR_Data[[#This Row],[Risk_Category]]="Critical",tbl_HR_Data[[#This Row],[MonthlyIncome]]*1.5,tbl_HR_Data[[#This Row],[Risk_Category]]="High",tbl_HR_Data[[#This Row],[MonthlyIncome]]*1.5),0)</f>
        <v>0</v>
      </c>
    </row>
    <row r="1129" spans="1:44" x14ac:dyDescent="0.35">
      <c r="A1129" t="s">
        <v>1396</v>
      </c>
      <c r="B1129">
        <v>23</v>
      </c>
      <c r="C1129" t="s">
        <v>31</v>
      </c>
      <c r="D1129">
        <v>977</v>
      </c>
      <c r="E1129" t="s">
        <v>38</v>
      </c>
      <c r="F1129">
        <v>10</v>
      </c>
      <c r="G1129">
        <v>3</v>
      </c>
      <c r="H1129" t="s">
        <v>52</v>
      </c>
      <c r="I1129">
        <v>4</v>
      </c>
      <c r="J1129" t="s">
        <v>39</v>
      </c>
      <c r="K1129">
        <v>45</v>
      </c>
      <c r="L1129">
        <v>4</v>
      </c>
      <c r="M1129">
        <v>1</v>
      </c>
      <c r="N1129" t="s">
        <v>40</v>
      </c>
      <c r="O1129">
        <v>3</v>
      </c>
      <c r="P1129" t="s">
        <v>41</v>
      </c>
      <c r="Q1129">
        <v>2073</v>
      </c>
      <c r="R1129">
        <v>12826</v>
      </c>
      <c r="S1129">
        <v>2</v>
      </c>
      <c r="T1129">
        <v>0</v>
      </c>
      <c r="U1129" s="17">
        <v>0.16</v>
      </c>
      <c r="V1129">
        <v>3</v>
      </c>
      <c r="W1129">
        <v>4</v>
      </c>
      <c r="X1129">
        <v>1</v>
      </c>
      <c r="Y1129">
        <v>4</v>
      </c>
      <c r="Z1129">
        <v>2</v>
      </c>
      <c r="AA1129">
        <v>3</v>
      </c>
      <c r="AB1129">
        <v>2</v>
      </c>
      <c r="AC1129">
        <v>2</v>
      </c>
      <c r="AD1129">
        <v>2</v>
      </c>
      <c r="AE1129">
        <v>2</v>
      </c>
      <c r="AF1129">
        <v>0</v>
      </c>
      <c r="AG1129">
        <f>IF(tbl_HR_Data[[#This Row],[Gender]]="Male",1,0)</f>
        <v>1</v>
      </c>
      <c r="AH1129" cm="1">
        <f t="array" ref="AH1129">_xlfn.SWITCH(tbl_HR_Data[[#This Row],[BusinessTravel]], "Non-Travel", 0, "Travel_Rarely", 1, "Travel_Frequently", 2)</f>
        <v>1</v>
      </c>
      <c r="AI1129" cm="1">
        <f t="array" ref="AI1129">_xlfn.SWITCH(tbl_HR_Data[[#This Row],[MaritalStatus]],"Single",0,"Married",1,"Divorced",2)</f>
        <v>1</v>
      </c>
      <c r="AJ1129">
        <f>IF(tbl_HR_Data[[#This Row],[OverTime]]=1,1,0)</f>
        <v>0</v>
      </c>
      <c r="AK1129">
        <f>IF(tbl_HR_Data[[#This Row],[DistanceFromHome]]&gt;15,1,0)</f>
        <v>0</v>
      </c>
      <c r="AL1129">
        <f>IF(tbl_HR_Data[[#This Row],[JobSatisfaction]]&lt;=2,1,0)</f>
        <v>0</v>
      </c>
      <c r="AM1129">
        <f>IF(tbl_HR_Data[[#This Row],[MonthlyIncome]]&lt;$AT$2,1,0)</f>
        <v>1</v>
      </c>
      <c r="AN1129">
        <f>IF(tbl_HR_Data[[#This Row],[Travel_Code]]=2,1,0)</f>
        <v>0</v>
      </c>
      <c r="AO1129">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129" s="15">
        <f>tbl_HR_Data[[#This Row],[Risk_Score_Raw]] / SUM(Logic_Parameters!$B$2:$B$6)</f>
        <v>0.22374939857982484</v>
      </c>
      <c r="AQ1129" s="16" t="str" cm="1">
        <f t="array" ref="AQ1129">_xlfn.IFS(tbl_HR_Data[[#This Row],[Attrition_Risk_Percentage]] &gt;= 0.75, "Critical",tbl_HR_Data[ [#This Row],[Attrition_Risk_Percentage] ]&gt;= 0.5, "High",tbl_HR_Data[[#This Row],[Attrition_Risk_Percentage]] &gt;= 0.25, "Medium",TRUE, "Low")</f>
        <v>Low</v>
      </c>
      <c r="AR1129" s="16" cm="1">
        <f t="array" ref="AR1129">IFERROR(_xlfn.IFS(tbl_HR_Data[[#This Row],[Risk_Category]]="Critical",tbl_HR_Data[[#This Row],[MonthlyIncome]]*1.5,tbl_HR_Data[[#This Row],[Risk_Category]]="High",tbl_HR_Data[[#This Row],[MonthlyIncome]]*1.5),0)</f>
        <v>0</v>
      </c>
    </row>
    <row r="1130" spans="1:44" x14ac:dyDescent="0.35">
      <c r="A1130" t="s">
        <v>308</v>
      </c>
      <c r="B1130">
        <v>36</v>
      </c>
      <c r="C1130" t="s">
        <v>37</v>
      </c>
      <c r="D1130">
        <v>1302</v>
      </c>
      <c r="E1130" t="s">
        <v>38</v>
      </c>
      <c r="F1130">
        <v>6</v>
      </c>
      <c r="G1130">
        <v>4</v>
      </c>
      <c r="H1130" t="s">
        <v>33</v>
      </c>
      <c r="I1130">
        <v>1</v>
      </c>
      <c r="J1130" t="s">
        <v>39</v>
      </c>
      <c r="K1130">
        <v>80</v>
      </c>
      <c r="L1130">
        <v>4</v>
      </c>
      <c r="M1130">
        <v>2</v>
      </c>
      <c r="N1130" t="s">
        <v>43</v>
      </c>
      <c r="O1130">
        <v>1</v>
      </c>
      <c r="P1130" t="s">
        <v>41</v>
      </c>
      <c r="Q1130">
        <v>5562</v>
      </c>
      <c r="R1130">
        <v>19711</v>
      </c>
      <c r="S1130">
        <v>3</v>
      </c>
      <c r="T1130">
        <v>1</v>
      </c>
      <c r="U1130" s="17">
        <v>0.13</v>
      </c>
      <c r="V1130">
        <v>3</v>
      </c>
      <c r="W1130">
        <v>4</v>
      </c>
      <c r="X1130">
        <v>1</v>
      </c>
      <c r="Y1130">
        <v>9</v>
      </c>
      <c r="Z1130">
        <v>3</v>
      </c>
      <c r="AA1130">
        <v>3</v>
      </c>
      <c r="AB1130">
        <v>3</v>
      </c>
      <c r="AC1130">
        <v>2</v>
      </c>
      <c r="AD1130">
        <v>0</v>
      </c>
      <c r="AE1130">
        <v>2</v>
      </c>
      <c r="AF1130">
        <v>0</v>
      </c>
      <c r="AG1130">
        <f>IF(tbl_HR_Data[[#This Row],[Gender]]="Male",1,0)</f>
        <v>1</v>
      </c>
      <c r="AH1130" cm="1">
        <f t="array" ref="AH1130">_xlfn.SWITCH(tbl_HR_Data[[#This Row],[BusinessTravel]], "Non-Travel", 0, "Travel_Rarely", 1, "Travel_Frequently", 2)</f>
        <v>2</v>
      </c>
      <c r="AI1130" cm="1">
        <f t="array" ref="AI1130">_xlfn.SWITCH(tbl_HR_Data[[#This Row],[MaritalStatus]],"Single",0,"Married",1,"Divorced",2)</f>
        <v>1</v>
      </c>
      <c r="AJ1130">
        <f>IF(tbl_HR_Data[[#This Row],[OverTime]]=1,1,0)</f>
        <v>1</v>
      </c>
      <c r="AK1130">
        <f>IF(tbl_HR_Data[[#This Row],[DistanceFromHome]]&gt;15,1,0)</f>
        <v>0</v>
      </c>
      <c r="AL1130">
        <f>IF(tbl_HR_Data[[#This Row],[JobSatisfaction]]&lt;=2,1,0)</f>
        <v>1</v>
      </c>
      <c r="AM1130">
        <f>IF(tbl_HR_Data[[#This Row],[MonthlyIncome]]&lt;$AT$2,1,0)</f>
        <v>0</v>
      </c>
      <c r="AN1130">
        <f>IF(tbl_HR_Data[[#This Row],[Travel_Code]]=2,1,0)</f>
        <v>1</v>
      </c>
      <c r="AO1130">
        <f>(tbl_HR_Data[[#This Row],[Flag_OT]] * Logic_Parameters!$B$2) +
 (tbl_HR_Data[[#This Row],[Flag_Travel]] * Logic_Parameters!$B$3) +
 (tbl_HR_Data[[#This Row],[Flag_Satisfaction]] * Logic_Parameters!$B$4) +
 (tbl_HR_Data[[#This Row],[Flag_Distance]]* Logic_Parameters!$B$5) +
 (tbl_HR_Data[[#This Row],[Flag_Income]] * Logic_Parameters!$B$6)</f>
        <v>19.364923110468307</v>
      </c>
      <c r="AP1130" s="15">
        <f>tbl_HR_Data[[#This Row],[Risk_Score_Raw]] / SUM(Logic_Parameters!$B$2:$B$6)</f>
        <v>0.66717026874307161</v>
      </c>
      <c r="AQ1130" s="16" t="str" cm="1">
        <f t="array" ref="AQ1130">_xlfn.IFS(tbl_HR_Data[[#This Row],[Attrition_Risk_Percentage]] &gt;= 0.75, "Critical",tbl_HR_Data[ [#This Row],[Attrition_Risk_Percentage] ]&gt;= 0.5, "High",tbl_HR_Data[[#This Row],[Attrition_Risk_Percentage]] &gt;= 0.25, "Medium",TRUE, "Low")</f>
        <v>High</v>
      </c>
      <c r="AR1130" s="16" cm="1">
        <f t="array" ref="AR1130">IFERROR(_xlfn.IFS(tbl_HR_Data[[#This Row],[Risk_Category]]="Critical",tbl_HR_Data[[#This Row],[MonthlyIncome]]*1.5,tbl_HR_Data[[#This Row],[Risk_Category]]="High",tbl_HR_Data[[#This Row],[MonthlyIncome]]*1.5),0)</f>
        <v>8343</v>
      </c>
    </row>
    <row r="1131" spans="1:44" x14ac:dyDescent="0.35">
      <c r="A1131" t="s">
        <v>661</v>
      </c>
      <c r="B1131">
        <v>42</v>
      </c>
      <c r="C1131" t="s">
        <v>31</v>
      </c>
      <c r="D1131">
        <v>1059</v>
      </c>
      <c r="E1131" t="s">
        <v>38</v>
      </c>
      <c r="F1131">
        <v>9</v>
      </c>
      <c r="G1131">
        <v>2</v>
      </c>
      <c r="H1131" t="s">
        <v>42</v>
      </c>
      <c r="I1131">
        <v>4</v>
      </c>
      <c r="J1131" t="s">
        <v>39</v>
      </c>
      <c r="K1131">
        <v>93</v>
      </c>
      <c r="L1131">
        <v>2</v>
      </c>
      <c r="M1131">
        <v>5</v>
      </c>
      <c r="N1131" t="s">
        <v>48</v>
      </c>
      <c r="O1131">
        <v>4</v>
      </c>
      <c r="P1131" t="s">
        <v>36</v>
      </c>
      <c r="Q1131">
        <v>19613</v>
      </c>
      <c r="R1131">
        <v>26362</v>
      </c>
      <c r="S1131">
        <v>8</v>
      </c>
      <c r="T1131">
        <v>0</v>
      </c>
      <c r="U1131" s="17">
        <v>0.22</v>
      </c>
      <c r="V1131">
        <v>4</v>
      </c>
      <c r="W1131">
        <v>4</v>
      </c>
      <c r="X1131">
        <v>0</v>
      </c>
      <c r="Y1131">
        <v>24</v>
      </c>
      <c r="Z1131">
        <v>2</v>
      </c>
      <c r="AA1131">
        <v>3</v>
      </c>
      <c r="AB1131">
        <v>1</v>
      </c>
      <c r="AC1131">
        <v>0</v>
      </c>
      <c r="AD1131">
        <v>0</v>
      </c>
      <c r="AE1131">
        <v>1</v>
      </c>
      <c r="AF1131">
        <v>0</v>
      </c>
      <c r="AG1131">
        <f>IF(tbl_HR_Data[[#This Row],[Gender]]="Male",1,0)</f>
        <v>1</v>
      </c>
      <c r="AH1131" cm="1">
        <f t="array" ref="AH1131">_xlfn.SWITCH(tbl_HR_Data[[#This Row],[BusinessTravel]], "Non-Travel", 0, "Travel_Rarely", 1, "Travel_Frequently", 2)</f>
        <v>1</v>
      </c>
      <c r="AI1131" cm="1">
        <f t="array" ref="AI1131">_xlfn.SWITCH(tbl_HR_Data[[#This Row],[MaritalStatus]],"Single",0,"Married",1,"Divorced",2)</f>
        <v>0</v>
      </c>
      <c r="AJ1131">
        <f>IF(tbl_HR_Data[[#This Row],[OverTime]]=1,1,0)</f>
        <v>0</v>
      </c>
      <c r="AK1131">
        <f>IF(tbl_HR_Data[[#This Row],[DistanceFromHome]]&gt;15,1,0)</f>
        <v>0</v>
      </c>
      <c r="AL1131">
        <f>IF(tbl_HR_Data[[#This Row],[JobSatisfaction]]&lt;=2,1,0)</f>
        <v>0</v>
      </c>
      <c r="AM1131">
        <f>IF(tbl_HR_Data[[#This Row],[MonthlyIncome]]&lt;$AT$2,1,0)</f>
        <v>0</v>
      </c>
      <c r="AN1131">
        <f>IF(tbl_HR_Data[[#This Row],[Travel_Code]]=2,1,0)</f>
        <v>0</v>
      </c>
      <c r="AO1131">
        <f>(tbl_HR_Data[[#This Row],[Flag_OT]] * Logic_Parameters!$B$2) +
 (tbl_HR_Data[[#This Row],[Flag_Travel]] * Logic_Parameters!$B$3) +
 (tbl_HR_Data[[#This Row],[Flag_Satisfaction]] * Logic_Parameters!$B$4) +
 (tbl_HR_Data[[#This Row],[Flag_Distance]]* Logic_Parameters!$B$5) +
 (tbl_HR_Data[[#This Row],[Flag_Income]] * Logic_Parameters!$B$6)</f>
        <v>0</v>
      </c>
      <c r="AP1131" s="15">
        <f>tbl_HR_Data[[#This Row],[Risk_Score_Raw]] / SUM(Logic_Parameters!$B$2:$B$6)</f>
        <v>0</v>
      </c>
      <c r="AQ1131" s="16" t="str" cm="1">
        <f t="array" ref="AQ1131">_xlfn.IFS(tbl_HR_Data[[#This Row],[Attrition_Risk_Percentage]] &gt;= 0.75, "Critical",tbl_HR_Data[ [#This Row],[Attrition_Risk_Percentage] ]&gt;= 0.5, "High",tbl_HR_Data[[#This Row],[Attrition_Risk_Percentage]] &gt;= 0.25, "Medium",TRUE, "Low")</f>
        <v>Low</v>
      </c>
      <c r="AR1131" s="16" cm="1">
        <f t="array" ref="AR1131">IFERROR(_xlfn.IFS(tbl_HR_Data[[#This Row],[Risk_Category]]="Critical",tbl_HR_Data[[#This Row],[MonthlyIncome]]*1.5,tbl_HR_Data[[#This Row],[Risk_Category]]="High",tbl_HR_Data[[#This Row],[MonthlyIncome]]*1.5),0)</f>
        <v>0</v>
      </c>
    </row>
    <row r="1132" spans="1:44" x14ac:dyDescent="0.35">
      <c r="A1132" t="s">
        <v>327</v>
      </c>
      <c r="B1132">
        <v>35</v>
      </c>
      <c r="C1132" t="s">
        <v>31</v>
      </c>
      <c r="D1132">
        <v>750</v>
      </c>
      <c r="E1132" t="s">
        <v>38</v>
      </c>
      <c r="F1132">
        <v>28</v>
      </c>
      <c r="G1132">
        <v>3</v>
      </c>
      <c r="H1132" t="s">
        <v>33</v>
      </c>
      <c r="I1132">
        <v>2</v>
      </c>
      <c r="J1132" t="s">
        <v>39</v>
      </c>
      <c r="K1132">
        <v>46</v>
      </c>
      <c r="L1132">
        <v>4</v>
      </c>
      <c r="M1132">
        <v>2</v>
      </c>
      <c r="N1132" t="s">
        <v>43</v>
      </c>
      <c r="O1132">
        <v>3</v>
      </c>
      <c r="P1132" t="s">
        <v>41</v>
      </c>
      <c r="Q1132">
        <v>3407</v>
      </c>
      <c r="R1132">
        <v>25348</v>
      </c>
      <c r="S1132">
        <v>1</v>
      </c>
      <c r="T1132">
        <v>0</v>
      </c>
      <c r="U1132" s="17">
        <v>0.17</v>
      </c>
      <c r="V1132">
        <v>3</v>
      </c>
      <c r="W1132">
        <v>4</v>
      </c>
      <c r="X1132">
        <v>2</v>
      </c>
      <c r="Y1132">
        <v>10</v>
      </c>
      <c r="Z1132">
        <v>3</v>
      </c>
      <c r="AA1132">
        <v>2</v>
      </c>
      <c r="AB1132">
        <v>10</v>
      </c>
      <c r="AC1132">
        <v>9</v>
      </c>
      <c r="AD1132">
        <v>6</v>
      </c>
      <c r="AE1132">
        <v>8</v>
      </c>
      <c r="AF1132">
        <v>0</v>
      </c>
      <c r="AG1132">
        <f>IF(tbl_HR_Data[[#This Row],[Gender]]="Male",1,0)</f>
        <v>1</v>
      </c>
      <c r="AH1132" cm="1">
        <f t="array" ref="AH1132">_xlfn.SWITCH(tbl_HR_Data[[#This Row],[BusinessTravel]], "Non-Travel", 0, "Travel_Rarely", 1, "Travel_Frequently", 2)</f>
        <v>1</v>
      </c>
      <c r="AI1132" cm="1">
        <f t="array" ref="AI1132">_xlfn.SWITCH(tbl_HR_Data[[#This Row],[MaritalStatus]],"Single",0,"Married",1,"Divorced",2)</f>
        <v>1</v>
      </c>
      <c r="AJ1132">
        <f>IF(tbl_HR_Data[[#This Row],[OverTime]]=1,1,0)</f>
        <v>0</v>
      </c>
      <c r="AK1132">
        <f>IF(tbl_HR_Data[[#This Row],[DistanceFromHome]]&gt;15,1,0)</f>
        <v>1</v>
      </c>
      <c r="AL1132">
        <f>IF(tbl_HR_Data[[#This Row],[JobSatisfaction]]&lt;=2,1,0)</f>
        <v>0</v>
      </c>
      <c r="AM1132">
        <f>IF(tbl_HR_Data[[#This Row],[MonthlyIncome]]&lt;$AT$2,1,0)</f>
        <v>1</v>
      </c>
      <c r="AN1132">
        <f>IF(tbl_HR_Data[[#This Row],[Travel_Code]]=2,1,0)</f>
        <v>0</v>
      </c>
      <c r="AO1132">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1132" s="15">
        <f>tbl_HR_Data[[#This Row],[Risk_Score_Raw]] / SUM(Logic_Parameters!$B$2:$B$6)</f>
        <v>0.33282973125692844</v>
      </c>
      <c r="AQ1132" s="16" t="str" cm="1">
        <f t="array" ref="AQ1132">_xlfn.IFS(tbl_HR_Data[[#This Row],[Attrition_Risk_Percentage]] &gt;= 0.75, "Critical",tbl_HR_Data[ [#This Row],[Attrition_Risk_Percentage] ]&gt;= 0.5, "High",tbl_HR_Data[[#This Row],[Attrition_Risk_Percentage]] &gt;= 0.25, "Medium",TRUE, "Low")</f>
        <v>Medium</v>
      </c>
      <c r="AR1132" s="16" cm="1">
        <f t="array" ref="AR1132">IFERROR(_xlfn.IFS(tbl_HR_Data[[#This Row],[Risk_Category]]="Critical",tbl_HR_Data[[#This Row],[MonthlyIncome]]*1.5,tbl_HR_Data[[#This Row],[Risk_Category]]="High",tbl_HR_Data[[#This Row],[MonthlyIncome]]*1.5),0)</f>
        <v>0</v>
      </c>
    </row>
    <row r="1133" spans="1:44" x14ac:dyDescent="0.35">
      <c r="A1133" t="s">
        <v>216</v>
      </c>
      <c r="B1133">
        <v>34</v>
      </c>
      <c r="C1133" t="s">
        <v>37</v>
      </c>
      <c r="D1133">
        <v>653</v>
      </c>
      <c r="E1133" t="s">
        <v>38</v>
      </c>
      <c r="F1133">
        <v>10</v>
      </c>
      <c r="G1133">
        <v>4</v>
      </c>
      <c r="H1133" t="s">
        <v>52</v>
      </c>
      <c r="I1133">
        <v>4</v>
      </c>
      <c r="J1133" t="s">
        <v>39</v>
      </c>
      <c r="K1133">
        <v>92</v>
      </c>
      <c r="L1133">
        <v>2</v>
      </c>
      <c r="M1133">
        <v>2</v>
      </c>
      <c r="N1133" t="s">
        <v>47</v>
      </c>
      <c r="O1133">
        <v>3</v>
      </c>
      <c r="P1133" t="s">
        <v>41</v>
      </c>
      <c r="Q1133">
        <v>5063</v>
      </c>
      <c r="R1133">
        <v>15332</v>
      </c>
      <c r="S1133">
        <v>1</v>
      </c>
      <c r="T1133">
        <v>0</v>
      </c>
      <c r="U1133" s="17">
        <v>0.14000000000000001</v>
      </c>
      <c r="V1133">
        <v>3</v>
      </c>
      <c r="W1133">
        <v>2</v>
      </c>
      <c r="X1133">
        <v>1</v>
      </c>
      <c r="Y1133">
        <v>8</v>
      </c>
      <c r="Z1133">
        <v>3</v>
      </c>
      <c r="AA1133">
        <v>2</v>
      </c>
      <c r="AB1133">
        <v>8</v>
      </c>
      <c r="AC1133">
        <v>2</v>
      </c>
      <c r="AD1133">
        <v>7</v>
      </c>
      <c r="AE1133">
        <v>7</v>
      </c>
      <c r="AF1133">
        <v>0</v>
      </c>
      <c r="AG1133">
        <f>IF(tbl_HR_Data[[#This Row],[Gender]]="Male",1,0)</f>
        <v>1</v>
      </c>
      <c r="AH1133" cm="1">
        <f t="array" ref="AH1133">_xlfn.SWITCH(tbl_HR_Data[[#This Row],[BusinessTravel]], "Non-Travel", 0, "Travel_Rarely", 1, "Travel_Frequently", 2)</f>
        <v>2</v>
      </c>
      <c r="AI1133" cm="1">
        <f t="array" ref="AI1133">_xlfn.SWITCH(tbl_HR_Data[[#This Row],[MaritalStatus]],"Single",0,"Married",1,"Divorced",2)</f>
        <v>1</v>
      </c>
      <c r="AJ1133">
        <f>IF(tbl_HR_Data[[#This Row],[OverTime]]=1,1,0)</f>
        <v>0</v>
      </c>
      <c r="AK1133">
        <f>IF(tbl_HR_Data[[#This Row],[DistanceFromHome]]&gt;15,1,0)</f>
        <v>0</v>
      </c>
      <c r="AL1133">
        <f>IF(tbl_HR_Data[[#This Row],[JobSatisfaction]]&lt;=2,1,0)</f>
        <v>0</v>
      </c>
      <c r="AM1133">
        <f>IF(tbl_HR_Data[[#This Row],[MonthlyIncome]]&lt;$AT$2,1,0)</f>
        <v>0</v>
      </c>
      <c r="AN1133">
        <f>IF(tbl_HR_Data[[#This Row],[Travel_Code]]=2,1,0)</f>
        <v>1</v>
      </c>
      <c r="AO1133">
        <f>(tbl_HR_Data[[#This Row],[Flag_OT]] * Logic_Parameters!$B$2) +
 (tbl_HR_Data[[#This Row],[Flag_Travel]] * Logic_Parameters!$B$3) +
 (tbl_HR_Data[[#This Row],[Flag_Satisfaction]] * Logic_Parameters!$B$4) +
 (tbl_HR_Data[[#This Row],[Flag_Distance]]* Logic_Parameters!$B$5) +
 (tbl_HR_Data[[#This Row],[Flag_Income]] * Logic_Parameters!$B$6)</f>
        <v>5.1603899804901765</v>
      </c>
      <c r="AP1133" s="15">
        <f>tbl_HR_Data[[#This Row],[Risk_Score_Raw]] / SUM(Logic_Parameters!$B$2:$B$6)</f>
        <v>0.17778840383009531</v>
      </c>
      <c r="AQ1133" s="16" t="str" cm="1">
        <f t="array" ref="AQ1133">_xlfn.IFS(tbl_HR_Data[[#This Row],[Attrition_Risk_Percentage]] &gt;= 0.75, "Critical",tbl_HR_Data[ [#This Row],[Attrition_Risk_Percentage] ]&gt;= 0.5, "High",tbl_HR_Data[[#This Row],[Attrition_Risk_Percentage]] &gt;= 0.25, "Medium",TRUE, "Low")</f>
        <v>Low</v>
      </c>
      <c r="AR1133" s="16" cm="1">
        <f t="array" ref="AR1133">IFERROR(_xlfn.IFS(tbl_HR_Data[[#This Row],[Risk_Category]]="Critical",tbl_HR_Data[[#This Row],[MonthlyIncome]]*1.5,tbl_HR_Data[[#This Row],[Risk_Category]]="High",tbl_HR_Data[[#This Row],[MonthlyIncome]]*1.5),0)</f>
        <v>0</v>
      </c>
    </row>
    <row r="1134" spans="1:44" x14ac:dyDescent="0.35">
      <c r="A1134" t="s">
        <v>832</v>
      </c>
      <c r="B1134">
        <v>40</v>
      </c>
      <c r="C1134" t="s">
        <v>31</v>
      </c>
      <c r="D1134">
        <v>118</v>
      </c>
      <c r="E1134" t="s">
        <v>32</v>
      </c>
      <c r="F1134">
        <v>14</v>
      </c>
      <c r="G1134">
        <v>2</v>
      </c>
      <c r="H1134" t="s">
        <v>33</v>
      </c>
      <c r="I1134">
        <v>4</v>
      </c>
      <c r="J1134" t="s">
        <v>34</v>
      </c>
      <c r="K1134">
        <v>84</v>
      </c>
      <c r="L1134">
        <v>3</v>
      </c>
      <c r="M1134">
        <v>2</v>
      </c>
      <c r="N1134" t="s">
        <v>35</v>
      </c>
      <c r="O1134">
        <v>1</v>
      </c>
      <c r="P1134" t="s">
        <v>41</v>
      </c>
      <c r="Q1134">
        <v>4639</v>
      </c>
      <c r="R1134">
        <v>11262</v>
      </c>
      <c r="S1134">
        <v>1</v>
      </c>
      <c r="T1134">
        <v>0</v>
      </c>
      <c r="U1134" s="17">
        <v>0.15</v>
      </c>
      <c r="V1134">
        <v>3</v>
      </c>
      <c r="W1134">
        <v>3</v>
      </c>
      <c r="X1134">
        <v>1</v>
      </c>
      <c r="Y1134">
        <v>5</v>
      </c>
      <c r="Z1134">
        <v>2</v>
      </c>
      <c r="AA1134">
        <v>3</v>
      </c>
      <c r="AB1134">
        <v>5</v>
      </c>
      <c r="AC1134">
        <v>4</v>
      </c>
      <c r="AD1134">
        <v>1</v>
      </c>
      <c r="AE1134">
        <v>2</v>
      </c>
      <c r="AF1134">
        <v>0</v>
      </c>
      <c r="AG1134">
        <f>IF(tbl_HR_Data[[#This Row],[Gender]]="Male",1,0)</f>
        <v>0</v>
      </c>
      <c r="AH1134" cm="1">
        <f t="array" ref="AH1134">_xlfn.SWITCH(tbl_HR_Data[[#This Row],[BusinessTravel]], "Non-Travel", 0, "Travel_Rarely", 1, "Travel_Frequently", 2)</f>
        <v>1</v>
      </c>
      <c r="AI1134" cm="1">
        <f t="array" ref="AI1134">_xlfn.SWITCH(tbl_HR_Data[[#This Row],[MaritalStatus]],"Single",0,"Married",1,"Divorced",2)</f>
        <v>1</v>
      </c>
      <c r="AJ1134">
        <f>IF(tbl_HR_Data[[#This Row],[OverTime]]=1,1,0)</f>
        <v>0</v>
      </c>
      <c r="AK1134">
        <f>IF(tbl_HR_Data[[#This Row],[DistanceFromHome]]&gt;15,1,0)</f>
        <v>0</v>
      </c>
      <c r="AL1134">
        <f>IF(tbl_HR_Data[[#This Row],[JobSatisfaction]]&lt;=2,1,0)</f>
        <v>1</v>
      </c>
      <c r="AM1134">
        <f>IF(tbl_HR_Data[[#This Row],[MonthlyIncome]]&lt;$AT$2,1,0)</f>
        <v>1</v>
      </c>
      <c r="AN1134">
        <f>IF(tbl_HR_Data[[#This Row],[Travel_Code]]=2,1,0)</f>
        <v>0</v>
      </c>
      <c r="AO1134">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134" s="15">
        <f>tbl_HR_Data[[#This Row],[Risk_Score_Raw]] / SUM(Logic_Parameters!$B$2:$B$6)</f>
        <v>0.3686061316669938</v>
      </c>
      <c r="AQ1134" s="16" t="str" cm="1">
        <f t="array" ref="AQ1134">_xlfn.IFS(tbl_HR_Data[[#This Row],[Attrition_Risk_Percentage]] &gt;= 0.75, "Critical",tbl_HR_Data[ [#This Row],[Attrition_Risk_Percentage] ]&gt;= 0.5, "High",tbl_HR_Data[[#This Row],[Attrition_Risk_Percentage]] &gt;= 0.25, "Medium",TRUE, "Low")</f>
        <v>Medium</v>
      </c>
      <c r="AR1134" s="16" cm="1">
        <f t="array" ref="AR1134">IFERROR(_xlfn.IFS(tbl_HR_Data[[#This Row],[Risk_Category]]="Critical",tbl_HR_Data[[#This Row],[MonthlyIncome]]*1.5,tbl_HR_Data[[#This Row],[Risk_Category]]="High",tbl_HR_Data[[#This Row],[MonthlyIncome]]*1.5),0)</f>
        <v>0</v>
      </c>
    </row>
    <row r="1135" spans="1:44" x14ac:dyDescent="0.35">
      <c r="A1135" t="s">
        <v>220</v>
      </c>
      <c r="B1135">
        <v>43</v>
      </c>
      <c r="C1135" t="s">
        <v>31</v>
      </c>
      <c r="D1135">
        <v>990</v>
      </c>
      <c r="E1135" t="s">
        <v>38</v>
      </c>
      <c r="F1135">
        <v>27</v>
      </c>
      <c r="G1135">
        <v>3</v>
      </c>
      <c r="H1135" t="s">
        <v>52</v>
      </c>
      <c r="I1135">
        <v>4</v>
      </c>
      <c r="J1135" t="s">
        <v>39</v>
      </c>
      <c r="K1135">
        <v>87</v>
      </c>
      <c r="L1135">
        <v>4</v>
      </c>
      <c r="M1135">
        <v>1</v>
      </c>
      <c r="N1135" t="s">
        <v>43</v>
      </c>
      <c r="O1135">
        <v>2</v>
      </c>
      <c r="P1135" t="s">
        <v>45</v>
      </c>
      <c r="Q1135">
        <v>4876</v>
      </c>
      <c r="R1135">
        <v>5855</v>
      </c>
      <c r="S1135">
        <v>5</v>
      </c>
      <c r="T1135">
        <v>0</v>
      </c>
      <c r="U1135" s="17">
        <v>0.12</v>
      </c>
      <c r="V1135">
        <v>3</v>
      </c>
      <c r="W1135">
        <v>3</v>
      </c>
      <c r="X1135">
        <v>1</v>
      </c>
      <c r="Y1135">
        <v>8</v>
      </c>
      <c r="Z1135">
        <v>0</v>
      </c>
      <c r="AA1135">
        <v>3</v>
      </c>
      <c r="AB1135">
        <v>6</v>
      </c>
      <c r="AC1135">
        <v>4</v>
      </c>
      <c r="AD1135">
        <v>0</v>
      </c>
      <c r="AE1135">
        <v>2</v>
      </c>
      <c r="AF1135">
        <v>0</v>
      </c>
      <c r="AG1135">
        <f>IF(tbl_HR_Data[[#This Row],[Gender]]="Male",1,0)</f>
        <v>1</v>
      </c>
      <c r="AH1135" cm="1">
        <f t="array" ref="AH1135">_xlfn.SWITCH(tbl_HR_Data[[#This Row],[BusinessTravel]], "Non-Travel", 0, "Travel_Rarely", 1, "Travel_Frequently", 2)</f>
        <v>1</v>
      </c>
      <c r="AI1135" cm="1">
        <f t="array" ref="AI1135">_xlfn.SWITCH(tbl_HR_Data[[#This Row],[MaritalStatus]],"Single",0,"Married",1,"Divorced",2)</f>
        <v>2</v>
      </c>
      <c r="AJ1135">
        <f>IF(tbl_HR_Data[[#This Row],[OverTime]]=1,1,0)</f>
        <v>0</v>
      </c>
      <c r="AK1135">
        <f>IF(tbl_HR_Data[[#This Row],[DistanceFromHome]]&gt;15,1,0)</f>
        <v>1</v>
      </c>
      <c r="AL1135">
        <f>IF(tbl_HR_Data[[#This Row],[JobSatisfaction]]&lt;=2,1,0)</f>
        <v>1</v>
      </c>
      <c r="AM1135">
        <f>IF(tbl_HR_Data[[#This Row],[MonthlyIncome]]&lt;$AT$2,1,0)</f>
        <v>1</v>
      </c>
      <c r="AN1135">
        <f>IF(tbl_HR_Data[[#This Row],[Travel_Code]]=2,1,0)</f>
        <v>0</v>
      </c>
      <c r="AO1135">
        <f>(tbl_HR_Data[[#This Row],[Flag_OT]] * Logic_Parameters!$B$2) +
 (tbl_HR_Data[[#This Row],[Flag_Travel]] * Logic_Parameters!$B$3) +
 (tbl_HR_Data[[#This Row],[Flag_Satisfaction]] * Logic_Parameters!$B$4) +
 (tbl_HR_Data[[#This Row],[Flag_Distance]]* Logic_Parameters!$B$5) +
 (tbl_HR_Data[[#This Row],[Flag_Income]] * Logic_Parameters!$B$6)</f>
        <v>13.865068763274337</v>
      </c>
      <c r="AP1135" s="15">
        <f>tbl_HR_Data[[#This Row],[Risk_Score_Raw]] / SUM(Logic_Parameters!$B$2:$B$6)</f>
        <v>0.47768646434409739</v>
      </c>
      <c r="AQ1135" s="16" t="str" cm="1">
        <f t="array" ref="AQ1135">_xlfn.IFS(tbl_HR_Data[[#This Row],[Attrition_Risk_Percentage]] &gt;= 0.75, "Critical",tbl_HR_Data[ [#This Row],[Attrition_Risk_Percentage] ]&gt;= 0.5, "High",tbl_HR_Data[[#This Row],[Attrition_Risk_Percentage]] &gt;= 0.25, "Medium",TRUE, "Low")</f>
        <v>Medium</v>
      </c>
      <c r="AR1135" s="16" cm="1">
        <f t="array" ref="AR1135">IFERROR(_xlfn.IFS(tbl_HR_Data[[#This Row],[Risk_Category]]="Critical",tbl_HR_Data[[#This Row],[MonthlyIncome]]*1.5,tbl_HR_Data[[#This Row],[Risk_Category]]="High",tbl_HR_Data[[#This Row],[MonthlyIncome]]*1.5),0)</f>
        <v>0</v>
      </c>
    </row>
    <row r="1136" spans="1:44" x14ac:dyDescent="0.35">
      <c r="A1136" t="s">
        <v>565</v>
      </c>
      <c r="B1136">
        <v>35</v>
      </c>
      <c r="C1136" t="s">
        <v>31</v>
      </c>
      <c r="D1136">
        <v>1349</v>
      </c>
      <c r="E1136" t="s">
        <v>38</v>
      </c>
      <c r="F1136">
        <v>7</v>
      </c>
      <c r="G1136">
        <v>2</v>
      </c>
      <c r="H1136" t="s">
        <v>33</v>
      </c>
      <c r="I1136">
        <v>3</v>
      </c>
      <c r="J1136" t="s">
        <v>39</v>
      </c>
      <c r="K1136">
        <v>63</v>
      </c>
      <c r="L1136">
        <v>2</v>
      </c>
      <c r="M1136">
        <v>1</v>
      </c>
      <c r="N1136" t="s">
        <v>43</v>
      </c>
      <c r="O1136">
        <v>4</v>
      </c>
      <c r="P1136" t="s">
        <v>41</v>
      </c>
      <c r="Q1136">
        <v>2690</v>
      </c>
      <c r="R1136">
        <v>7713</v>
      </c>
      <c r="S1136">
        <v>1</v>
      </c>
      <c r="T1136">
        <v>0</v>
      </c>
      <c r="U1136" s="17">
        <v>0.18</v>
      </c>
      <c r="V1136">
        <v>3</v>
      </c>
      <c r="W1136">
        <v>4</v>
      </c>
      <c r="X1136">
        <v>1</v>
      </c>
      <c r="Y1136">
        <v>1</v>
      </c>
      <c r="Z1136">
        <v>5</v>
      </c>
      <c r="AA1136">
        <v>2</v>
      </c>
      <c r="AB1136">
        <v>1</v>
      </c>
      <c r="AC1136">
        <v>0</v>
      </c>
      <c r="AD1136">
        <v>0</v>
      </c>
      <c r="AE1136">
        <v>1</v>
      </c>
      <c r="AF1136">
        <v>0</v>
      </c>
      <c r="AG1136">
        <f>IF(tbl_HR_Data[[#This Row],[Gender]]="Male",1,0)</f>
        <v>1</v>
      </c>
      <c r="AH1136" cm="1">
        <f t="array" ref="AH1136">_xlfn.SWITCH(tbl_HR_Data[[#This Row],[BusinessTravel]], "Non-Travel", 0, "Travel_Rarely", 1, "Travel_Frequently", 2)</f>
        <v>1</v>
      </c>
      <c r="AI1136" cm="1">
        <f t="array" ref="AI1136">_xlfn.SWITCH(tbl_HR_Data[[#This Row],[MaritalStatus]],"Single",0,"Married",1,"Divorced",2)</f>
        <v>1</v>
      </c>
      <c r="AJ1136">
        <f>IF(tbl_HR_Data[[#This Row],[OverTime]]=1,1,0)</f>
        <v>0</v>
      </c>
      <c r="AK1136">
        <f>IF(tbl_HR_Data[[#This Row],[DistanceFromHome]]&gt;15,1,0)</f>
        <v>0</v>
      </c>
      <c r="AL1136">
        <f>IF(tbl_HR_Data[[#This Row],[JobSatisfaction]]&lt;=2,1,0)</f>
        <v>0</v>
      </c>
      <c r="AM1136">
        <f>IF(tbl_HR_Data[[#This Row],[MonthlyIncome]]&lt;$AT$2,1,0)</f>
        <v>1</v>
      </c>
      <c r="AN1136">
        <f>IF(tbl_HR_Data[[#This Row],[Travel_Code]]=2,1,0)</f>
        <v>0</v>
      </c>
      <c r="AO1136">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136" s="15">
        <f>tbl_HR_Data[[#This Row],[Risk_Score_Raw]] / SUM(Logic_Parameters!$B$2:$B$6)</f>
        <v>0.22374939857982484</v>
      </c>
      <c r="AQ1136" s="16" t="str" cm="1">
        <f t="array" ref="AQ1136">_xlfn.IFS(tbl_HR_Data[[#This Row],[Attrition_Risk_Percentage]] &gt;= 0.75, "Critical",tbl_HR_Data[ [#This Row],[Attrition_Risk_Percentage] ]&gt;= 0.5, "High",tbl_HR_Data[[#This Row],[Attrition_Risk_Percentage]] &gt;= 0.25, "Medium",TRUE, "Low")</f>
        <v>Low</v>
      </c>
      <c r="AR1136" s="16" cm="1">
        <f t="array" ref="AR1136">IFERROR(_xlfn.IFS(tbl_HR_Data[[#This Row],[Risk_Category]]="Critical",tbl_HR_Data[[#This Row],[MonthlyIncome]]*1.5,tbl_HR_Data[[#This Row],[Risk_Category]]="High",tbl_HR_Data[[#This Row],[MonthlyIncome]]*1.5),0)</f>
        <v>0</v>
      </c>
    </row>
    <row r="1137" spans="1:44" x14ac:dyDescent="0.35">
      <c r="A1137" t="s">
        <v>640</v>
      </c>
      <c r="B1137">
        <v>46</v>
      </c>
      <c r="C1137" t="s">
        <v>31</v>
      </c>
      <c r="D1137">
        <v>563</v>
      </c>
      <c r="E1137" t="s">
        <v>32</v>
      </c>
      <c r="F1137">
        <v>1</v>
      </c>
      <c r="G1137">
        <v>4</v>
      </c>
      <c r="H1137" t="s">
        <v>33</v>
      </c>
      <c r="I1137">
        <v>4</v>
      </c>
      <c r="J1137" t="s">
        <v>39</v>
      </c>
      <c r="K1137">
        <v>56</v>
      </c>
      <c r="L1137">
        <v>4</v>
      </c>
      <c r="M1137">
        <v>4</v>
      </c>
      <c r="N1137" t="s">
        <v>48</v>
      </c>
      <c r="O1137">
        <v>1</v>
      </c>
      <c r="P1137" t="s">
        <v>36</v>
      </c>
      <c r="Q1137">
        <v>17567</v>
      </c>
      <c r="R1137">
        <v>3156</v>
      </c>
      <c r="S1137">
        <v>1</v>
      </c>
      <c r="T1137">
        <v>0</v>
      </c>
      <c r="U1137" s="17">
        <v>0.15</v>
      </c>
      <c r="V1137">
        <v>3</v>
      </c>
      <c r="W1137">
        <v>2</v>
      </c>
      <c r="X1137">
        <v>0</v>
      </c>
      <c r="Y1137">
        <v>27</v>
      </c>
      <c r="Z1137">
        <v>5</v>
      </c>
      <c r="AA1137">
        <v>1</v>
      </c>
      <c r="AB1137">
        <v>26</v>
      </c>
      <c r="AC1137">
        <v>0</v>
      </c>
      <c r="AD1137">
        <v>0</v>
      </c>
      <c r="AE1137">
        <v>12</v>
      </c>
      <c r="AF1137">
        <v>0</v>
      </c>
      <c r="AG1137">
        <f>IF(tbl_HR_Data[[#This Row],[Gender]]="Male",1,0)</f>
        <v>1</v>
      </c>
      <c r="AH1137" cm="1">
        <f t="array" ref="AH1137">_xlfn.SWITCH(tbl_HR_Data[[#This Row],[BusinessTravel]], "Non-Travel", 0, "Travel_Rarely", 1, "Travel_Frequently", 2)</f>
        <v>1</v>
      </c>
      <c r="AI1137" cm="1">
        <f t="array" ref="AI1137">_xlfn.SWITCH(tbl_HR_Data[[#This Row],[MaritalStatus]],"Single",0,"Married",1,"Divorced",2)</f>
        <v>0</v>
      </c>
      <c r="AJ1137">
        <f>IF(tbl_HR_Data[[#This Row],[OverTime]]=1,1,0)</f>
        <v>0</v>
      </c>
      <c r="AK1137">
        <f>IF(tbl_HR_Data[[#This Row],[DistanceFromHome]]&gt;15,1,0)</f>
        <v>0</v>
      </c>
      <c r="AL1137">
        <f>IF(tbl_HR_Data[[#This Row],[JobSatisfaction]]&lt;=2,1,0)</f>
        <v>1</v>
      </c>
      <c r="AM1137">
        <f>IF(tbl_HR_Data[[#This Row],[MonthlyIncome]]&lt;$AT$2,1,0)</f>
        <v>0</v>
      </c>
      <c r="AN1137">
        <f>IF(tbl_HR_Data[[#This Row],[Travel_Code]]=2,1,0)</f>
        <v>0</v>
      </c>
      <c r="AO1137">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137" s="15">
        <f>tbl_HR_Data[[#This Row],[Risk_Score_Raw]] / SUM(Logic_Parameters!$B$2:$B$6)</f>
        <v>0.14485673308716898</v>
      </c>
      <c r="AQ1137" s="16" t="str" cm="1">
        <f t="array" ref="AQ1137">_xlfn.IFS(tbl_HR_Data[[#This Row],[Attrition_Risk_Percentage]] &gt;= 0.75, "Critical",tbl_HR_Data[ [#This Row],[Attrition_Risk_Percentage] ]&gt;= 0.5, "High",tbl_HR_Data[[#This Row],[Attrition_Risk_Percentage]] &gt;= 0.25, "Medium",TRUE, "Low")</f>
        <v>Low</v>
      </c>
      <c r="AR1137" s="16" cm="1">
        <f t="array" ref="AR1137">IFERROR(_xlfn.IFS(tbl_HR_Data[[#This Row],[Risk_Category]]="Critical",tbl_HR_Data[[#This Row],[MonthlyIncome]]*1.5,tbl_HR_Data[[#This Row],[Risk_Category]]="High",tbl_HR_Data[[#This Row],[MonthlyIncome]]*1.5),0)</f>
        <v>0</v>
      </c>
    </row>
    <row r="1138" spans="1:44" x14ac:dyDescent="0.35">
      <c r="A1138" t="s">
        <v>549</v>
      </c>
      <c r="B1138">
        <v>28</v>
      </c>
      <c r="C1138" t="s">
        <v>31</v>
      </c>
      <c r="D1138">
        <v>329</v>
      </c>
      <c r="E1138" t="s">
        <v>38</v>
      </c>
      <c r="F1138">
        <v>24</v>
      </c>
      <c r="G1138">
        <v>3</v>
      </c>
      <c r="H1138" t="s">
        <v>44</v>
      </c>
      <c r="I1138">
        <v>3</v>
      </c>
      <c r="J1138" t="s">
        <v>39</v>
      </c>
      <c r="K1138">
        <v>51</v>
      </c>
      <c r="L1138">
        <v>3</v>
      </c>
      <c r="M1138">
        <v>1</v>
      </c>
      <c r="N1138" t="s">
        <v>43</v>
      </c>
      <c r="O1138">
        <v>2</v>
      </c>
      <c r="P1138" t="s">
        <v>41</v>
      </c>
      <c r="Q1138">
        <v>2408</v>
      </c>
      <c r="R1138">
        <v>7324</v>
      </c>
      <c r="S1138">
        <v>1</v>
      </c>
      <c r="T1138">
        <v>1</v>
      </c>
      <c r="U1138" s="17">
        <v>0.17</v>
      </c>
      <c r="V1138">
        <v>3</v>
      </c>
      <c r="W1138">
        <v>3</v>
      </c>
      <c r="X1138">
        <v>3</v>
      </c>
      <c r="Y1138">
        <v>1</v>
      </c>
      <c r="Z1138">
        <v>3</v>
      </c>
      <c r="AA1138">
        <v>3</v>
      </c>
      <c r="AB1138">
        <v>1</v>
      </c>
      <c r="AC1138">
        <v>1</v>
      </c>
      <c r="AD1138">
        <v>0</v>
      </c>
      <c r="AE1138">
        <v>0</v>
      </c>
      <c r="AF1138">
        <v>1</v>
      </c>
      <c r="AG1138">
        <f>IF(tbl_HR_Data[[#This Row],[Gender]]="Male",1,0)</f>
        <v>1</v>
      </c>
      <c r="AH1138" cm="1">
        <f t="array" ref="AH1138">_xlfn.SWITCH(tbl_HR_Data[[#This Row],[BusinessTravel]], "Non-Travel", 0, "Travel_Rarely", 1, "Travel_Frequently", 2)</f>
        <v>1</v>
      </c>
      <c r="AI1138" cm="1">
        <f t="array" ref="AI1138">_xlfn.SWITCH(tbl_HR_Data[[#This Row],[MaritalStatus]],"Single",0,"Married",1,"Divorced",2)</f>
        <v>1</v>
      </c>
      <c r="AJ1138">
        <f>IF(tbl_HR_Data[[#This Row],[OverTime]]=1,1,0)</f>
        <v>1</v>
      </c>
      <c r="AK1138">
        <f>IF(tbl_HR_Data[[#This Row],[DistanceFromHome]]&gt;15,1,0)</f>
        <v>1</v>
      </c>
      <c r="AL1138">
        <f>IF(tbl_HR_Data[[#This Row],[JobSatisfaction]]&lt;=2,1,0)</f>
        <v>1</v>
      </c>
      <c r="AM1138">
        <f>IF(tbl_HR_Data[[#This Row],[MonthlyIncome]]&lt;$AT$2,1,0)</f>
        <v>1</v>
      </c>
      <c r="AN1138">
        <f>IF(tbl_HR_Data[[#This Row],[Travel_Code]]=2,1,0)</f>
        <v>0</v>
      </c>
      <c r="AO1138">
        <f>(tbl_HR_Data[[#This Row],[Flag_OT]] * Logic_Parameters!$B$2) +
 (tbl_HR_Data[[#This Row],[Flag_Travel]] * Logic_Parameters!$B$3) +
 (tbl_HR_Data[[#This Row],[Flag_Satisfaction]] * Logic_Parameters!$B$4) +
 (tbl_HR_Data[[#This Row],[Flag_Distance]]* Logic_Parameters!$B$5) +
 (tbl_HR_Data[[#This Row],[Flag_Income]] * Logic_Parameters!$B$6)</f>
        <v>23.865068763274337</v>
      </c>
      <c r="AP1138" s="15">
        <f>tbl_HR_Data[[#This Row],[Risk_Score_Raw]] / SUM(Logic_Parameters!$B$2:$B$6)</f>
        <v>0.82221159616990469</v>
      </c>
      <c r="AQ1138" s="16" t="str" cm="1">
        <f t="array" ref="AQ1138">_xlfn.IFS(tbl_HR_Data[[#This Row],[Attrition_Risk_Percentage]] &gt;= 0.75, "Critical",tbl_HR_Data[ [#This Row],[Attrition_Risk_Percentage] ]&gt;= 0.5, "High",tbl_HR_Data[[#This Row],[Attrition_Risk_Percentage]] &gt;= 0.25, "Medium",TRUE, "Low")</f>
        <v>Critical</v>
      </c>
      <c r="AR1138" s="16" cm="1">
        <f t="array" ref="AR1138">IFERROR(_xlfn.IFS(tbl_HR_Data[[#This Row],[Risk_Category]]="Critical",tbl_HR_Data[[#This Row],[MonthlyIncome]]*1.5,tbl_HR_Data[[#This Row],[Risk_Category]]="High",tbl_HR_Data[[#This Row],[MonthlyIncome]]*1.5),0)</f>
        <v>3612</v>
      </c>
    </row>
    <row r="1139" spans="1:44" x14ac:dyDescent="0.35">
      <c r="A1139" t="s">
        <v>575</v>
      </c>
      <c r="B1139">
        <v>22</v>
      </c>
      <c r="C1139" t="s">
        <v>1525</v>
      </c>
      <c r="D1139">
        <v>457</v>
      </c>
      <c r="E1139" t="s">
        <v>38</v>
      </c>
      <c r="F1139">
        <v>26</v>
      </c>
      <c r="G1139">
        <v>2</v>
      </c>
      <c r="H1139" t="s">
        <v>42</v>
      </c>
      <c r="I1139">
        <v>2</v>
      </c>
      <c r="J1139" t="s">
        <v>34</v>
      </c>
      <c r="K1139">
        <v>85</v>
      </c>
      <c r="L1139">
        <v>2</v>
      </c>
      <c r="M1139">
        <v>1</v>
      </c>
      <c r="N1139" t="s">
        <v>40</v>
      </c>
      <c r="O1139">
        <v>3</v>
      </c>
      <c r="P1139" t="s">
        <v>41</v>
      </c>
      <c r="Q1139">
        <v>2814</v>
      </c>
      <c r="R1139">
        <v>10293</v>
      </c>
      <c r="S1139">
        <v>1</v>
      </c>
      <c r="T1139">
        <v>1</v>
      </c>
      <c r="U1139" s="17">
        <v>0.14000000000000001</v>
      </c>
      <c r="V1139">
        <v>3</v>
      </c>
      <c r="W1139">
        <v>2</v>
      </c>
      <c r="X1139">
        <v>0</v>
      </c>
      <c r="Y1139">
        <v>4</v>
      </c>
      <c r="Z1139">
        <v>2</v>
      </c>
      <c r="AA1139">
        <v>2</v>
      </c>
      <c r="AB1139">
        <v>4</v>
      </c>
      <c r="AC1139">
        <v>2</v>
      </c>
      <c r="AD1139">
        <v>1</v>
      </c>
      <c r="AE1139">
        <v>3</v>
      </c>
      <c r="AF1139">
        <v>0</v>
      </c>
      <c r="AG1139">
        <f>IF(tbl_HR_Data[[#This Row],[Gender]]="Male",1,0)</f>
        <v>0</v>
      </c>
      <c r="AH1139" cm="1">
        <f t="array" ref="AH1139">_xlfn.SWITCH(tbl_HR_Data[[#This Row],[BusinessTravel]], "Non-Travel", 0, "Travel_Rarely", 1, "Travel_Frequently", 2)</f>
        <v>0</v>
      </c>
      <c r="AI1139" cm="1">
        <f t="array" ref="AI1139">_xlfn.SWITCH(tbl_HR_Data[[#This Row],[MaritalStatus]],"Single",0,"Married",1,"Divorced",2)</f>
        <v>1</v>
      </c>
      <c r="AJ1139">
        <f>IF(tbl_HR_Data[[#This Row],[OverTime]]=1,1,0)</f>
        <v>1</v>
      </c>
      <c r="AK1139">
        <f>IF(tbl_HR_Data[[#This Row],[DistanceFromHome]]&gt;15,1,0)</f>
        <v>1</v>
      </c>
      <c r="AL1139">
        <f>IF(tbl_HR_Data[[#This Row],[JobSatisfaction]]&lt;=2,1,0)</f>
        <v>0</v>
      </c>
      <c r="AM1139">
        <f>IF(tbl_HR_Data[[#This Row],[MonthlyIncome]]&lt;$AT$2,1,0)</f>
        <v>1</v>
      </c>
      <c r="AN1139">
        <f>IF(tbl_HR_Data[[#This Row],[Travel_Code]]=2,1,0)</f>
        <v>0</v>
      </c>
      <c r="AO1139">
        <f>(tbl_HR_Data[[#This Row],[Flag_OT]] * Logic_Parameters!$B$2) +
 (tbl_HR_Data[[#This Row],[Flag_Travel]] * Logic_Parameters!$B$3) +
 (tbl_HR_Data[[#This Row],[Flag_Satisfaction]] * Logic_Parameters!$B$4) +
 (tbl_HR_Data[[#This Row],[Flag_Distance]]* Logic_Parameters!$B$5) +
 (tbl_HR_Data[[#This Row],[Flag_Income]] * Logic_Parameters!$B$6)</f>
        <v>19.660535633296206</v>
      </c>
      <c r="AP1139" s="15">
        <f>tbl_HR_Data[[#This Row],[Risk_Score_Raw]] / SUM(Logic_Parameters!$B$2:$B$6)</f>
        <v>0.67735486308273574</v>
      </c>
      <c r="AQ1139" s="16" t="str" cm="1">
        <f t="array" ref="AQ1139">_xlfn.IFS(tbl_HR_Data[[#This Row],[Attrition_Risk_Percentage]] &gt;= 0.75, "Critical",tbl_HR_Data[ [#This Row],[Attrition_Risk_Percentage] ]&gt;= 0.5, "High",tbl_HR_Data[[#This Row],[Attrition_Risk_Percentage]] &gt;= 0.25, "Medium",TRUE, "Low")</f>
        <v>High</v>
      </c>
      <c r="AR1139" s="16" cm="1">
        <f t="array" ref="AR1139">IFERROR(_xlfn.IFS(tbl_HR_Data[[#This Row],[Risk_Category]]="Critical",tbl_HR_Data[[#This Row],[MonthlyIncome]]*1.5,tbl_HR_Data[[#This Row],[Risk_Category]]="High",tbl_HR_Data[[#This Row],[MonthlyIncome]]*1.5),0)</f>
        <v>4221</v>
      </c>
    </row>
    <row r="1140" spans="1:44" x14ac:dyDescent="0.35">
      <c r="A1140" t="s">
        <v>362</v>
      </c>
      <c r="B1140">
        <v>50</v>
      </c>
      <c r="C1140" t="s">
        <v>37</v>
      </c>
      <c r="D1140">
        <v>1234</v>
      </c>
      <c r="E1140" t="s">
        <v>38</v>
      </c>
      <c r="F1140">
        <v>20</v>
      </c>
      <c r="G1140">
        <v>5</v>
      </c>
      <c r="H1140" t="s">
        <v>44</v>
      </c>
      <c r="I1140">
        <v>2</v>
      </c>
      <c r="J1140" t="s">
        <v>39</v>
      </c>
      <c r="K1140">
        <v>41</v>
      </c>
      <c r="L1140">
        <v>3</v>
      </c>
      <c r="M1140">
        <v>4</v>
      </c>
      <c r="N1140" t="s">
        <v>47</v>
      </c>
      <c r="O1140">
        <v>3</v>
      </c>
      <c r="P1140" t="s">
        <v>41</v>
      </c>
      <c r="Q1140">
        <v>11245</v>
      </c>
      <c r="R1140">
        <v>20689</v>
      </c>
      <c r="S1140">
        <v>2</v>
      </c>
      <c r="T1140">
        <v>1</v>
      </c>
      <c r="U1140" s="17">
        <v>0.15</v>
      </c>
      <c r="V1140">
        <v>3</v>
      </c>
      <c r="W1140">
        <v>3</v>
      </c>
      <c r="X1140">
        <v>1</v>
      </c>
      <c r="Y1140">
        <v>32</v>
      </c>
      <c r="Z1140">
        <v>3</v>
      </c>
      <c r="AA1140">
        <v>3</v>
      </c>
      <c r="AB1140">
        <v>30</v>
      </c>
      <c r="AC1140">
        <v>8</v>
      </c>
      <c r="AD1140">
        <v>12</v>
      </c>
      <c r="AE1140">
        <v>13</v>
      </c>
      <c r="AF1140">
        <v>0</v>
      </c>
      <c r="AG1140">
        <f>IF(tbl_HR_Data[[#This Row],[Gender]]="Male",1,0)</f>
        <v>1</v>
      </c>
      <c r="AH1140" cm="1">
        <f t="array" ref="AH1140">_xlfn.SWITCH(tbl_HR_Data[[#This Row],[BusinessTravel]], "Non-Travel", 0, "Travel_Rarely", 1, "Travel_Frequently", 2)</f>
        <v>2</v>
      </c>
      <c r="AI1140" cm="1">
        <f t="array" ref="AI1140">_xlfn.SWITCH(tbl_HR_Data[[#This Row],[MaritalStatus]],"Single",0,"Married",1,"Divorced",2)</f>
        <v>1</v>
      </c>
      <c r="AJ1140">
        <f>IF(tbl_HR_Data[[#This Row],[OverTime]]=1,1,0)</f>
        <v>1</v>
      </c>
      <c r="AK1140">
        <f>IF(tbl_HR_Data[[#This Row],[DistanceFromHome]]&gt;15,1,0)</f>
        <v>1</v>
      </c>
      <c r="AL1140">
        <f>IF(tbl_HR_Data[[#This Row],[JobSatisfaction]]&lt;=2,1,0)</f>
        <v>0</v>
      </c>
      <c r="AM1140">
        <f>IF(tbl_HR_Data[[#This Row],[MonthlyIncome]]&lt;$AT$2,1,0)</f>
        <v>0</v>
      </c>
      <c r="AN1140">
        <f>IF(tbl_HR_Data[[#This Row],[Travel_Code]]=2,1,0)</f>
        <v>1</v>
      </c>
      <c r="AO1140">
        <f>(tbl_HR_Data[[#This Row],[Flag_OT]] * Logic_Parameters!$B$2) +
 (tbl_HR_Data[[#This Row],[Flag_Travel]] * Logic_Parameters!$B$3) +
 (tbl_HR_Data[[#This Row],[Flag_Satisfaction]] * Logic_Parameters!$B$4) +
 (tbl_HR_Data[[#This Row],[Flag_Distance]]* Logic_Parameters!$B$5) +
 (tbl_HR_Data[[#This Row],[Flag_Income]] * Logic_Parameters!$B$6)</f>
        <v>18.326496676365554</v>
      </c>
      <c r="AP1140" s="15">
        <f>tbl_HR_Data[[#This Row],[Risk_Score_Raw]] / SUM(Logic_Parameters!$B$2:$B$6)</f>
        <v>0.63139386833300615</v>
      </c>
      <c r="AQ1140" s="16" t="str" cm="1">
        <f t="array" ref="AQ1140">_xlfn.IFS(tbl_HR_Data[[#This Row],[Attrition_Risk_Percentage]] &gt;= 0.75, "Critical",tbl_HR_Data[ [#This Row],[Attrition_Risk_Percentage] ]&gt;= 0.5, "High",tbl_HR_Data[[#This Row],[Attrition_Risk_Percentage]] &gt;= 0.25, "Medium",TRUE, "Low")</f>
        <v>High</v>
      </c>
      <c r="AR1140" s="16" cm="1">
        <f t="array" ref="AR1140">IFERROR(_xlfn.IFS(tbl_HR_Data[[#This Row],[Risk_Category]]="Critical",tbl_HR_Data[[#This Row],[MonthlyIncome]]*1.5,tbl_HR_Data[[#This Row],[Risk_Category]]="High",tbl_HR_Data[[#This Row],[MonthlyIncome]]*1.5),0)</f>
        <v>16867.5</v>
      </c>
    </row>
    <row r="1141" spans="1:44" x14ac:dyDescent="0.35">
      <c r="A1141" t="s">
        <v>185</v>
      </c>
      <c r="B1141">
        <v>32</v>
      </c>
      <c r="C1141" t="s">
        <v>31</v>
      </c>
      <c r="D1141">
        <v>634</v>
      </c>
      <c r="E1141" t="s">
        <v>38</v>
      </c>
      <c r="F1141">
        <v>5</v>
      </c>
      <c r="G1141">
        <v>4</v>
      </c>
      <c r="H1141" t="s">
        <v>42</v>
      </c>
      <c r="I1141">
        <v>2</v>
      </c>
      <c r="J1141" t="s">
        <v>34</v>
      </c>
      <c r="K1141">
        <v>35</v>
      </c>
      <c r="L1141">
        <v>4</v>
      </c>
      <c r="M1141">
        <v>1</v>
      </c>
      <c r="N1141" t="s">
        <v>40</v>
      </c>
      <c r="O1141">
        <v>4</v>
      </c>
      <c r="P1141" t="s">
        <v>41</v>
      </c>
      <c r="Q1141">
        <v>3312</v>
      </c>
      <c r="R1141">
        <v>18783</v>
      </c>
      <c r="S1141">
        <v>3</v>
      </c>
      <c r="T1141">
        <v>0</v>
      </c>
      <c r="U1141" s="17">
        <v>0.17</v>
      </c>
      <c r="V1141">
        <v>3</v>
      </c>
      <c r="W1141">
        <v>4</v>
      </c>
      <c r="X1141">
        <v>2</v>
      </c>
      <c r="Y1141">
        <v>6</v>
      </c>
      <c r="Z1141">
        <v>3</v>
      </c>
      <c r="AA1141">
        <v>3</v>
      </c>
      <c r="AB1141">
        <v>3</v>
      </c>
      <c r="AC1141">
        <v>2</v>
      </c>
      <c r="AD1141">
        <v>0</v>
      </c>
      <c r="AE1141">
        <v>2</v>
      </c>
      <c r="AF1141">
        <v>0</v>
      </c>
      <c r="AG1141">
        <f>IF(tbl_HR_Data[[#This Row],[Gender]]="Male",1,0)</f>
        <v>0</v>
      </c>
      <c r="AH1141" cm="1">
        <f t="array" ref="AH1141">_xlfn.SWITCH(tbl_HR_Data[[#This Row],[BusinessTravel]], "Non-Travel", 0, "Travel_Rarely", 1, "Travel_Frequently", 2)</f>
        <v>1</v>
      </c>
      <c r="AI1141" cm="1">
        <f t="array" ref="AI1141">_xlfn.SWITCH(tbl_HR_Data[[#This Row],[MaritalStatus]],"Single",0,"Married",1,"Divorced",2)</f>
        <v>1</v>
      </c>
      <c r="AJ1141">
        <f>IF(tbl_HR_Data[[#This Row],[OverTime]]=1,1,0)</f>
        <v>0</v>
      </c>
      <c r="AK1141">
        <f>IF(tbl_HR_Data[[#This Row],[DistanceFromHome]]&gt;15,1,0)</f>
        <v>0</v>
      </c>
      <c r="AL1141">
        <f>IF(tbl_HR_Data[[#This Row],[JobSatisfaction]]&lt;=2,1,0)</f>
        <v>0</v>
      </c>
      <c r="AM1141">
        <f>IF(tbl_HR_Data[[#This Row],[MonthlyIncome]]&lt;$AT$2,1,0)</f>
        <v>1</v>
      </c>
      <c r="AN1141">
        <f>IF(tbl_HR_Data[[#This Row],[Travel_Code]]=2,1,0)</f>
        <v>0</v>
      </c>
      <c r="AO1141">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141" s="15">
        <f>tbl_HR_Data[[#This Row],[Risk_Score_Raw]] / SUM(Logic_Parameters!$B$2:$B$6)</f>
        <v>0.22374939857982484</v>
      </c>
      <c r="AQ1141" s="16" t="str" cm="1">
        <f t="array" ref="AQ1141">_xlfn.IFS(tbl_HR_Data[[#This Row],[Attrition_Risk_Percentage]] &gt;= 0.75, "Critical",tbl_HR_Data[ [#This Row],[Attrition_Risk_Percentage] ]&gt;= 0.5, "High",tbl_HR_Data[[#This Row],[Attrition_Risk_Percentage]] &gt;= 0.25, "Medium",TRUE, "Low")</f>
        <v>Low</v>
      </c>
      <c r="AR1141" s="16" cm="1">
        <f t="array" ref="AR1141">IFERROR(_xlfn.IFS(tbl_HR_Data[[#This Row],[Risk_Category]]="Critical",tbl_HR_Data[[#This Row],[MonthlyIncome]]*1.5,tbl_HR_Data[[#This Row],[Risk_Category]]="High",tbl_HR_Data[[#This Row],[MonthlyIncome]]*1.5),0)</f>
        <v>0</v>
      </c>
    </row>
    <row r="1142" spans="1:44" x14ac:dyDescent="0.35">
      <c r="A1142" t="s">
        <v>966</v>
      </c>
      <c r="B1142">
        <v>44</v>
      </c>
      <c r="C1142" t="s">
        <v>31</v>
      </c>
      <c r="D1142">
        <v>1313</v>
      </c>
      <c r="E1142" t="s">
        <v>38</v>
      </c>
      <c r="F1142">
        <v>7</v>
      </c>
      <c r="G1142">
        <v>3</v>
      </c>
      <c r="H1142" t="s">
        <v>44</v>
      </c>
      <c r="I1142">
        <v>2</v>
      </c>
      <c r="J1142" t="s">
        <v>34</v>
      </c>
      <c r="K1142">
        <v>31</v>
      </c>
      <c r="L1142">
        <v>3</v>
      </c>
      <c r="M1142">
        <v>5</v>
      </c>
      <c r="N1142" t="s">
        <v>50</v>
      </c>
      <c r="O1142">
        <v>4</v>
      </c>
      <c r="P1142" t="s">
        <v>45</v>
      </c>
      <c r="Q1142">
        <v>19049</v>
      </c>
      <c r="R1142">
        <v>3549</v>
      </c>
      <c r="S1142">
        <v>0</v>
      </c>
      <c r="T1142">
        <v>1</v>
      </c>
      <c r="U1142" s="17">
        <v>0.14000000000000001</v>
      </c>
      <c r="V1142">
        <v>3</v>
      </c>
      <c r="W1142">
        <v>4</v>
      </c>
      <c r="X1142">
        <v>1</v>
      </c>
      <c r="Y1142">
        <v>23</v>
      </c>
      <c r="Z1142">
        <v>4</v>
      </c>
      <c r="AA1142">
        <v>2</v>
      </c>
      <c r="AB1142">
        <v>22</v>
      </c>
      <c r="AC1142">
        <v>7</v>
      </c>
      <c r="AD1142">
        <v>1</v>
      </c>
      <c r="AE1142">
        <v>10</v>
      </c>
      <c r="AF1142">
        <v>0</v>
      </c>
      <c r="AG1142">
        <f>IF(tbl_HR_Data[[#This Row],[Gender]]="Male",1,0)</f>
        <v>0</v>
      </c>
      <c r="AH1142" cm="1">
        <f t="array" ref="AH1142">_xlfn.SWITCH(tbl_HR_Data[[#This Row],[BusinessTravel]], "Non-Travel", 0, "Travel_Rarely", 1, "Travel_Frequently", 2)</f>
        <v>1</v>
      </c>
      <c r="AI1142" cm="1">
        <f t="array" ref="AI1142">_xlfn.SWITCH(tbl_HR_Data[[#This Row],[MaritalStatus]],"Single",0,"Married",1,"Divorced",2)</f>
        <v>2</v>
      </c>
      <c r="AJ1142">
        <f>IF(tbl_HR_Data[[#This Row],[OverTime]]=1,1,0)</f>
        <v>1</v>
      </c>
      <c r="AK1142">
        <f>IF(tbl_HR_Data[[#This Row],[DistanceFromHome]]&gt;15,1,0)</f>
        <v>0</v>
      </c>
      <c r="AL1142">
        <f>IF(tbl_HR_Data[[#This Row],[JobSatisfaction]]&lt;=2,1,0)</f>
        <v>0</v>
      </c>
      <c r="AM1142">
        <f>IF(tbl_HR_Data[[#This Row],[MonthlyIncome]]&lt;$AT$2,1,0)</f>
        <v>0</v>
      </c>
      <c r="AN1142">
        <f>IF(tbl_HR_Data[[#This Row],[Travel_Code]]=2,1,0)</f>
        <v>0</v>
      </c>
      <c r="AO1142">
        <f>(tbl_HR_Data[[#This Row],[Flag_OT]] * Logic_Parameters!$B$2) +
 (tbl_HR_Data[[#This Row],[Flag_Travel]] * Logic_Parameters!$B$3) +
 (tbl_HR_Data[[#This Row],[Flag_Satisfaction]] * Logic_Parameters!$B$4) +
 (tbl_HR_Data[[#This Row],[Flag_Distance]]* Logic_Parameters!$B$5) +
 (tbl_HR_Data[[#This Row],[Flag_Income]] * Logic_Parameters!$B$6)</f>
        <v>10</v>
      </c>
      <c r="AP1142" s="15">
        <f>tbl_HR_Data[[#This Row],[Risk_Score_Raw]] / SUM(Logic_Parameters!$B$2:$B$6)</f>
        <v>0.3445251318258073</v>
      </c>
      <c r="AQ1142" s="16" t="str" cm="1">
        <f t="array" ref="AQ1142">_xlfn.IFS(tbl_HR_Data[[#This Row],[Attrition_Risk_Percentage]] &gt;= 0.75, "Critical",tbl_HR_Data[ [#This Row],[Attrition_Risk_Percentage] ]&gt;= 0.5, "High",tbl_HR_Data[[#This Row],[Attrition_Risk_Percentage]] &gt;= 0.25, "Medium",TRUE, "Low")</f>
        <v>Medium</v>
      </c>
      <c r="AR1142" s="16" cm="1">
        <f t="array" ref="AR1142">IFERROR(_xlfn.IFS(tbl_HR_Data[[#This Row],[Risk_Category]]="Critical",tbl_HR_Data[[#This Row],[MonthlyIncome]]*1.5,tbl_HR_Data[[#This Row],[Risk_Category]]="High",tbl_HR_Data[[#This Row],[MonthlyIncome]]*1.5),0)</f>
        <v>0</v>
      </c>
    </row>
    <row r="1143" spans="1:44" x14ac:dyDescent="0.35">
      <c r="A1143" t="s">
        <v>109</v>
      </c>
      <c r="B1143">
        <v>30</v>
      </c>
      <c r="C1143" t="s">
        <v>31</v>
      </c>
      <c r="D1143">
        <v>241</v>
      </c>
      <c r="E1143" t="s">
        <v>38</v>
      </c>
      <c r="F1143">
        <v>7</v>
      </c>
      <c r="G1143">
        <v>3</v>
      </c>
      <c r="H1143" t="s">
        <v>44</v>
      </c>
      <c r="I1143">
        <v>2</v>
      </c>
      <c r="J1143" t="s">
        <v>39</v>
      </c>
      <c r="K1143">
        <v>48</v>
      </c>
      <c r="L1143">
        <v>2</v>
      </c>
      <c r="M1143">
        <v>1</v>
      </c>
      <c r="N1143" t="s">
        <v>40</v>
      </c>
      <c r="O1143">
        <v>2</v>
      </c>
      <c r="P1143" t="s">
        <v>41</v>
      </c>
      <c r="Q1143">
        <v>2141</v>
      </c>
      <c r="R1143">
        <v>5348</v>
      </c>
      <c r="S1143">
        <v>1</v>
      </c>
      <c r="T1143">
        <v>0</v>
      </c>
      <c r="U1143" s="17">
        <v>0.12</v>
      </c>
      <c r="V1143">
        <v>3</v>
      </c>
      <c r="W1143">
        <v>2</v>
      </c>
      <c r="X1143">
        <v>1</v>
      </c>
      <c r="Y1143">
        <v>6</v>
      </c>
      <c r="Z1143">
        <v>3</v>
      </c>
      <c r="AA1143">
        <v>2</v>
      </c>
      <c r="AB1143">
        <v>6</v>
      </c>
      <c r="AC1143">
        <v>4</v>
      </c>
      <c r="AD1143">
        <v>1</v>
      </c>
      <c r="AE1143">
        <v>1</v>
      </c>
      <c r="AF1143">
        <v>0</v>
      </c>
      <c r="AG1143">
        <f>IF(tbl_HR_Data[[#This Row],[Gender]]="Male",1,0)</f>
        <v>1</v>
      </c>
      <c r="AH1143" cm="1">
        <f t="array" ref="AH1143">_xlfn.SWITCH(tbl_HR_Data[[#This Row],[BusinessTravel]], "Non-Travel", 0, "Travel_Rarely", 1, "Travel_Frequently", 2)</f>
        <v>1</v>
      </c>
      <c r="AI1143" cm="1">
        <f t="array" ref="AI1143">_xlfn.SWITCH(tbl_HR_Data[[#This Row],[MaritalStatus]],"Single",0,"Married",1,"Divorced",2)</f>
        <v>1</v>
      </c>
      <c r="AJ1143">
        <f>IF(tbl_HR_Data[[#This Row],[OverTime]]=1,1,0)</f>
        <v>0</v>
      </c>
      <c r="AK1143">
        <f>IF(tbl_HR_Data[[#This Row],[DistanceFromHome]]&gt;15,1,0)</f>
        <v>0</v>
      </c>
      <c r="AL1143">
        <f>IF(tbl_HR_Data[[#This Row],[JobSatisfaction]]&lt;=2,1,0)</f>
        <v>1</v>
      </c>
      <c r="AM1143">
        <f>IF(tbl_HR_Data[[#This Row],[MonthlyIncome]]&lt;$AT$2,1,0)</f>
        <v>1</v>
      </c>
      <c r="AN1143">
        <f>IF(tbl_HR_Data[[#This Row],[Travel_Code]]=2,1,0)</f>
        <v>0</v>
      </c>
      <c r="AO1143">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143" s="15">
        <f>tbl_HR_Data[[#This Row],[Risk_Score_Raw]] / SUM(Logic_Parameters!$B$2:$B$6)</f>
        <v>0.3686061316669938</v>
      </c>
      <c r="AQ1143" s="16" t="str" cm="1">
        <f t="array" ref="AQ1143">_xlfn.IFS(tbl_HR_Data[[#This Row],[Attrition_Risk_Percentage]] &gt;= 0.75, "Critical",tbl_HR_Data[ [#This Row],[Attrition_Risk_Percentage] ]&gt;= 0.5, "High",tbl_HR_Data[[#This Row],[Attrition_Risk_Percentage]] &gt;= 0.25, "Medium",TRUE, "Low")</f>
        <v>Medium</v>
      </c>
      <c r="AR1143" s="16" cm="1">
        <f t="array" ref="AR1143">IFERROR(_xlfn.IFS(tbl_HR_Data[[#This Row],[Risk_Category]]="Critical",tbl_HR_Data[[#This Row],[MonthlyIncome]]*1.5,tbl_HR_Data[[#This Row],[Risk_Category]]="High",tbl_HR_Data[[#This Row],[MonthlyIncome]]*1.5),0)</f>
        <v>0</v>
      </c>
    </row>
    <row r="1144" spans="1:44" x14ac:dyDescent="0.35">
      <c r="A1144" t="s">
        <v>710</v>
      </c>
      <c r="B1144">
        <v>45</v>
      </c>
      <c r="C1144" t="s">
        <v>31</v>
      </c>
      <c r="D1144">
        <v>1015</v>
      </c>
      <c r="E1144" t="s">
        <v>38</v>
      </c>
      <c r="F1144">
        <v>5</v>
      </c>
      <c r="G1144">
        <v>5</v>
      </c>
      <c r="H1144" t="s">
        <v>44</v>
      </c>
      <c r="I1144">
        <v>3</v>
      </c>
      <c r="J1144" t="s">
        <v>34</v>
      </c>
      <c r="K1144">
        <v>50</v>
      </c>
      <c r="L1144">
        <v>1</v>
      </c>
      <c r="M1144">
        <v>2</v>
      </c>
      <c r="N1144" t="s">
        <v>43</v>
      </c>
      <c r="O1144">
        <v>1</v>
      </c>
      <c r="P1144" t="s">
        <v>36</v>
      </c>
      <c r="Q1144">
        <v>5769</v>
      </c>
      <c r="R1144">
        <v>23447</v>
      </c>
      <c r="S1144">
        <v>1</v>
      </c>
      <c r="T1144">
        <v>1</v>
      </c>
      <c r="U1144" s="17">
        <v>0.14000000000000001</v>
      </c>
      <c r="V1144">
        <v>3</v>
      </c>
      <c r="W1144">
        <v>1</v>
      </c>
      <c r="X1144">
        <v>0</v>
      </c>
      <c r="Y1144">
        <v>10</v>
      </c>
      <c r="Z1144">
        <v>3</v>
      </c>
      <c r="AA1144">
        <v>3</v>
      </c>
      <c r="AB1144">
        <v>10</v>
      </c>
      <c r="AC1144">
        <v>7</v>
      </c>
      <c r="AD1144">
        <v>1</v>
      </c>
      <c r="AE1144">
        <v>4</v>
      </c>
      <c r="AF1144">
        <v>0</v>
      </c>
      <c r="AG1144">
        <f>IF(tbl_HR_Data[[#This Row],[Gender]]="Male",1,0)</f>
        <v>0</v>
      </c>
      <c r="AH1144" cm="1">
        <f t="array" ref="AH1144">_xlfn.SWITCH(tbl_HR_Data[[#This Row],[BusinessTravel]], "Non-Travel", 0, "Travel_Rarely", 1, "Travel_Frequently", 2)</f>
        <v>1</v>
      </c>
      <c r="AI1144" cm="1">
        <f t="array" ref="AI1144">_xlfn.SWITCH(tbl_HR_Data[[#This Row],[MaritalStatus]],"Single",0,"Married",1,"Divorced",2)</f>
        <v>0</v>
      </c>
      <c r="AJ1144">
        <f>IF(tbl_HR_Data[[#This Row],[OverTime]]=1,1,0)</f>
        <v>1</v>
      </c>
      <c r="AK1144">
        <f>IF(tbl_HR_Data[[#This Row],[DistanceFromHome]]&gt;15,1,0)</f>
        <v>0</v>
      </c>
      <c r="AL1144">
        <f>IF(tbl_HR_Data[[#This Row],[JobSatisfaction]]&lt;=2,1,0)</f>
        <v>1</v>
      </c>
      <c r="AM1144">
        <f>IF(tbl_HR_Data[[#This Row],[MonthlyIncome]]&lt;$AT$2,1,0)</f>
        <v>0</v>
      </c>
      <c r="AN1144">
        <f>IF(tbl_HR_Data[[#This Row],[Travel_Code]]=2,1,0)</f>
        <v>0</v>
      </c>
      <c r="AO1144">
        <f>(tbl_HR_Data[[#This Row],[Flag_OT]] * Logic_Parameters!$B$2) +
 (tbl_HR_Data[[#This Row],[Flag_Travel]] * Logic_Parameters!$B$3) +
 (tbl_HR_Data[[#This Row],[Flag_Satisfaction]] * Logic_Parameters!$B$4) +
 (tbl_HR_Data[[#This Row],[Flag_Distance]]* Logic_Parameters!$B$5) +
 (tbl_HR_Data[[#This Row],[Flag_Income]] * Logic_Parameters!$B$6)</f>
        <v>14.204533129978131</v>
      </c>
      <c r="AP1144" s="15">
        <f>tbl_HR_Data[[#This Row],[Risk_Score_Raw]] / SUM(Logic_Parameters!$B$2:$B$6)</f>
        <v>0.48938186491297625</v>
      </c>
      <c r="AQ1144" s="16" t="str" cm="1">
        <f t="array" ref="AQ1144">_xlfn.IFS(tbl_HR_Data[[#This Row],[Attrition_Risk_Percentage]] &gt;= 0.75, "Critical",tbl_HR_Data[ [#This Row],[Attrition_Risk_Percentage] ]&gt;= 0.5, "High",tbl_HR_Data[[#This Row],[Attrition_Risk_Percentage]] &gt;= 0.25, "Medium",TRUE, "Low")</f>
        <v>Medium</v>
      </c>
      <c r="AR1144" s="16" cm="1">
        <f t="array" ref="AR1144">IFERROR(_xlfn.IFS(tbl_HR_Data[[#This Row],[Risk_Category]]="Critical",tbl_HR_Data[[#This Row],[MonthlyIncome]]*1.5,tbl_HR_Data[[#This Row],[Risk_Category]]="High",tbl_HR_Data[[#This Row],[MonthlyIncome]]*1.5),0)</f>
        <v>0</v>
      </c>
    </row>
    <row r="1145" spans="1:44" x14ac:dyDescent="0.35">
      <c r="A1145" t="s">
        <v>1120</v>
      </c>
      <c r="B1145">
        <v>45</v>
      </c>
      <c r="C1145" t="s">
        <v>1525</v>
      </c>
      <c r="D1145">
        <v>336</v>
      </c>
      <c r="E1145" t="s">
        <v>32</v>
      </c>
      <c r="F1145">
        <v>26</v>
      </c>
      <c r="G1145">
        <v>3</v>
      </c>
      <c r="H1145" t="s">
        <v>51</v>
      </c>
      <c r="I1145">
        <v>1</v>
      </c>
      <c r="J1145" t="s">
        <v>39</v>
      </c>
      <c r="K1145">
        <v>52</v>
      </c>
      <c r="L1145">
        <v>2</v>
      </c>
      <c r="M1145">
        <v>2</v>
      </c>
      <c r="N1145" t="s">
        <v>35</v>
      </c>
      <c r="O1145">
        <v>1</v>
      </c>
      <c r="P1145" t="s">
        <v>41</v>
      </c>
      <c r="Q1145">
        <v>4385</v>
      </c>
      <c r="R1145">
        <v>24162</v>
      </c>
      <c r="S1145">
        <v>1</v>
      </c>
      <c r="T1145">
        <v>0</v>
      </c>
      <c r="U1145" s="17">
        <v>0.15</v>
      </c>
      <c r="V1145">
        <v>3</v>
      </c>
      <c r="W1145">
        <v>1</v>
      </c>
      <c r="X1145">
        <v>1</v>
      </c>
      <c r="Y1145">
        <v>10</v>
      </c>
      <c r="Z1145">
        <v>2</v>
      </c>
      <c r="AA1145">
        <v>3</v>
      </c>
      <c r="AB1145">
        <v>10</v>
      </c>
      <c r="AC1145">
        <v>7</v>
      </c>
      <c r="AD1145">
        <v>4</v>
      </c>
      <c r="AE1145">
        <v>5</v>
      </c>
      <c r="AF1145">
        <v>0</v>
      </c>
      <c r="AG1145">
        <f>IF(tbl_HR_Data[[#This Row],[Gender]]="Male",1,0)</f>
        <v>1</v>
      </c>
      <c r="AH1145" cm="1">
        <f t="array" ref="AH1145">_xlfn.SWITCH(tbl_HR_Data[[#This Row],[BusinessTravel]], "Non-Travel", 0, "Travel_Rarely", 1, "Travel_Frequently", 2)</f>
        <v>0</v>
      </c>
      <c r="AI1145" cm="1">
        <f t="array" ref="AI1145">_xlfn.SWITCH(tbl_HR_Data[[#This Row],[MaritalStatus]],"Single",0,"Married",1,"Divorced",2)</f>
        <v>1</v>
      </c>
      <c r="AJ1145">
        <f>IF(tbl_HR_Data[[#This Row],[OverTime]]=1,1,0)</f>
        <v>0</v>
      </c>
      <c r="AK1145">
        <f>IF(tbl_HR_Data[[#This Row],[DistanceFromHome]]&gt;15,1,0)</f>
        <v>1</v>
      </c>
      <c r="AL1145">
        <f>IF(tbl_HR_Data[[#This Row],[JobSatisfaction]]&lt;=2,1,0)</f>
        <v>1</v>
      </c>
      <c r="AM1145">
        <f>IF(tbl_HR_Data[[#This Row],[MonthlyIncome]]&lt;$AT$2,1,0)</f>
        <v>1</v>
      </c>
      <c r="AN1145">
        <f>IF(tbl_HR_Data[[#This Row],[Travel_Code]]=2,1,0)</f>
        <v>0</v>
      </c>
      <c r="AO1145">
        <f>(tbl_HR_Data[[#This Row],[Flag_OT]] * Logic_Parameters!$B$2) +
 (tbl_HR_Data[[#This Row],[Flag_Travel]] * Logic_Parameters!$B$3) +
 (tbl_HR_Data[[#This Row],[Flag_Satisfaction]] * Logic_Parameters!$B$4) +
 (tbl_HR_Data[[#This Row],[Flag_Distance]]* Logic_Parameters!$B$5) +
 (tbl_HR_Data[[#This Row],[Flag_Income]] * Logic_Parameters!$B$6)</f>
        <v>13.865068763274337</v>
      </c>
      <c r="AP1145" s="15">
        <f>tbl_HR_Data[[#This Row],[Risk_Score_Raw]] / SUM(Logic_Parameters!$B$2:$B$6)</f>
        <v>0.47768646434409739</v>
      </c>
      <c r="AQ1145" s="16" t="str" cm="1">
        <f t="array" ref="AQ1145">_xlfn.IFS(tbl_HR_Data[[#This Row],[Attrition_Risk_Percentage]] &gt;= 0.75, "Critical",tbl_HR_Data[ [#This Row],[Attrition_Risk_Percentage] ]&gt;= 0.5, "High",tbl_HR_Data[[#This Row],[Attrition_Risk_Percentage]] &gt;= 0.25, "Medium",TRUE, "Low")</f>
        <v>Medium</v>
      </c>
      <c r="AR1145" s="16" cm="1">
        <f t="array" ref="AR1145">IFERROR(_xlfn.IFS(tbl_HR_Data[[#This Row],[Risk_Category]]="Critical",tbl_HR_Data[[#This Row],[MonthlyIncome]]*1.5,tbl_HR_Data[[#This Row],[Risk_Category]]="High",tbl_HR_Data[[#This Row],[MonthlyIncome]]*1.5),0)</f>
        <v>0</v>
      </c>
    </row>
    <row r="1146" spans="1:44" x14ac:dyDescent="0.35">
      <c r="A1146" t="s">
        <v>76</v>
      </c>
      <c r="B1146">
        <v>31</v>
      </c>
      <c r="C1146" t="s">
        <v>37</v>
      </c>
      <c r="D1146">
        <v>715</v>
      </c>
      <c r="E1146" t="s">
        <v>32</v>
      </c>
      <c r="F1146">
        <v>2</v>
      </c>
      <c r="G1146">
        <v>4</v>
      </c>
      <c r="H1146" t="s">
        <v>42</v>
      </c>
      <c r="I1146">
        <v>4</v>
      </c>
      <c r="J1146" t="s">
        <v>39</v>
      </c>
      <c r="K1146">
        <v>54</v>
      </c>
      <c r="L1146">
        <v>3</v>
      </c>
      <c r="M1146">
        <v>2</v>
      </c>
      <c r="N1146" t="s">
        <v>35</v>
      </c>
      <c r="O1146">
        <v>1</v>
      </c>
      <c r="P1146" t="s">
        <v>36</v>
      </c>
      <c r="Q1146">
        <v>5332</v>
      </c>
      <c r="R1146">
        <v>21602</v>
      </c>
      <c r="S1146">
        <v>7</v>
      </c>
      <c r="T1146">
        <v>0</v>
      </c>
      <c r="U1146" s="17">
        <v>0.13</v>
      </c>
      <c r="V1146">
        <v>3</v>
      </c>
      <c r="W1146">
        <v>4</v>
      </c>
      <c r="X1146">
        <v>0</v>
      </c>
      <c r="Y1146">
        <v>10</v>
      </c>
      <c r="Z1146">
        <v>3</v>
      </c>
      <c r="AA1146">
        <v>3</v>
      </c>
      <c r="AB1146">
        <v>5</v>
      </c>
      <c r="AC1146">
        <v>2</v>
      </c>
      <c r="AD1146">
        <v>0</v>
      </c>
      <c r="AE1146">
        <v>3</v>
      </c>
      <c r="AF1146">
        <v>0</v>
      </c>
      <c r="AG1146">
        <f>IF(tbl_HR_Data[[#This Row],[Gender]]="Male",1,0)</f>
        <v>1</v>
      </c>
      <c r="AH1146" cm="1">
        <f t="array" ref="AH1146">_xlfn.SWITCH(tbl_HR_Data[[#This Row],[BusinessTravel]], "Non-Travel", 0, "Travel_Rarely", 1, "Travel_Frequently", 2)</f>
        <v>2</v>
      </c>
      <c r="AI1146" cm="1">
        <f t="array" ref="AI1146">_xlfn.SWITCH(tbl_HR_Data[[#This Row],[MaritalStatus]],"Single",0,"Married",1,"Divorced",2)</f>
        <v>0</v>
      </c>
      <c r="AJ1146">
        <f>IF(tbl_HR_Data[[#This Row],[OverTime]]=1,1,0)</f>
        <v>0</v>
      </c>
      <c r="AK1146">
        <f>IF(tbl_HR_Data[[#This Row],[DistanceFromHome]]&gt;15,1,0)</f>
        <v>0</v>
      </c>
      <c r="AL1146">
        <f>IF(tbl_HR_Data[[#This Row],[JobSatisfaction]]&lt;=2,1,0)</f>
        <v>1</v>
      </c>
      <c r="AM1146">
        <f>IF(tbl_HR_Data[[#This Row],[MonthlyIncome]]&lt;$AT$2,1,0)</f>
        <v>0</v>
      </c>
      <c r="AN1146">
        <f>IF(tbl_HR_Data[[#This Row],[Travel_Code]]=2,1,0)</f>
        <v>1</v>
      </c>
      <c r="AO1146">
        <f>(tbl_HR_Data[[#This Row],[Flag_OT]] * Logic_Parameters!$B$2) +
 (tbl_HR_Data[[#This Row],[Flag_Travel]] * Logic_Parameters!$B$3) +
 (tbl_HR_Data[[#This Row],[Flag_Satisfaction]] * Logic_Parameters!$B$4) +
 (tbl_HR_Data[[#This Row],[Flag_Distance]]* Logic_Parameters!$B$5) +
 (tbl_HR_Data[[#This Row],[Flag_Income]] * Logic_Parameters!$B$6)</f>
        <v>9.3649231104683075</v>
      </c>
      <c r="AP1146" s="15">
        <f>tbl_HR_Data[[#This Row],[Risk_Score_Raw]] / SUM(Logic_Parameters!$B$2:$B$6)</f>
        <v>0.32264513691726432</v>
      </c>
      <c r="AQ1146" s="16" t="str" cm="1">
        <f t="array" ref="AQ1146">_xlfn.IFS(tbl_HR_Data[[#This Row],[Attrition_Risk_Percentage]] &gt;= 0.75, "Critical",tbl_HR_Data[ [#This Row],[Attrition_Risk_Percentage] ]&gt;= 0.5, "High",tbl_HR_Data[[#This Row],[Attrition_Risk_Percentage]] &gt;= 0.25, "Medium",TRUE, "Low")</f>
        <v>Medium</v>
      </c>
      <c r="AR1146" s="16" cm="1">
        <f t="array" ref="AR1146">IFERROR(_xlfn.IFS(tbl_HR_Data[[#This Row],[Risk_Category]]="Critical",tbl_HR_Data[[#This Row],[MonthlyIncome]]*1.5,tbl_HR_Data[[#This Row],[Risk_Category]]="High",tbl_HR_Data[[#This Row],[MonthlyIncome]]*1.5),0)</f>
        <v>0</v>
      </c>
    </row>
    <row r="1147" spans="1:44" x14ac:dyDescent="0.35">
      <c r="A1147" t="s">
        <v>819</v>
      </c>
      <c r="B1147">
        <v>36</v>
      </c>
      <c r="C1147" t="s">
        <v>31</v>
      </c>
      <c r="D1147">
        <v>559</v>
      </c>
      <c r="E1147" t="s">
        <v>38</v>
      </c>
      <c r="F1147">
        <v>12</v>
      </c>
      <c r="G1147">
        <v>4</v>
      </c>
      <c r="H1147" t="s">
        <v>33</v>
      </c>
      <c r="I1147">
        <v>3</v>
      </c>
      <c r="J1147" t="s">
        <v>34</v>
      </c>
      <c r="K1147">
        <v>76</v>
      </c>
      <c r="L1147">
        <v>3</v>
      </c>
      <c r="M1147">
        <v>2</v>
      </c>
      <c r="N1147" t="s">
        <v>46</v>
      </c>
      <c r="O1147">
        <v>3</v>
      </c>
      <c r="P1147" t="s">
        <v>41</v>
      </c>
      <c r="Q1147">
        <v>4663</v>
      </c>
      <c r="R1147">
        <v>12421</v>
      </c>
      <c r="S1147">
        <v>9</v>
      </c>
      <c r="T1147">
        <v>1</v>
      </c>
      <c r="U1147" s="17">
        <v>0.12</v>
      </c>
      <c r="V1147">
        <v>3</v>
      </c>
      <c r="W1147">
        <v>2</v>
      </c>
      <c r="X1147">
        <v>2</v>
      </c>
      <c r="Y1147">
        <v>7</v>
      </c>
      <c r="Z1147">
        <v>2</v>
      </c>
      <c r="AA1147">
        <v>3</v>
      </c>
      <c r="AB1147">
        <v>3</v>
      </c>
      <c r="AC1147">
        <v>2</v>
      </c>
      <c r="AD1147">
        <v>1</v>
      </c>
      <c r="AE1147">
        <v>1</v>
      </c>
      <c r="AF1147">
        <v>0</v>
      </c>
      <c r="AG1147">
        <f>IF(tbl_HR_Data[[#This Row],[Gender]]="Male",1,0)</f>
        <v>0</v>
      </c>
      <c r="AH1147" cm="1">
        <f t="array" ref="AH1147">_xlfn.SWITCH(tbl_HR_Data[[#This Row],[BusinessTravel]], "Non-Travel", 0, "Travel_Rarely", 1, "Travel_Frequently", 2)</f>
        <v>1</v>
      </c>
      <c r="AI1147" cm="1">
        <f t="array" ref="AI1147">_xlfn.SWITCH(tbl_HR_Data[[#This Row],[MaritalStatus]],"Single",0,"Married",1,"Divorced",2)</f>
        <v>1</v>
      </c>
      <c r="AJ1147">
        <f>IF(tbl_HR_Data[[#This Row],[OverTime]]=1,1,0)</f>
        <v>1</v>
      </c>
      <c r="AK1147">
        <f>IF(tbl_HR_Data[[#This Row],[DistanceFromHome]]&gt;15,1,0)</f>
        <v>0</v>
      </c>
      <c r="AL1147">
        <f>IF(tbl_HR_Data[[#This Row],[JobSatisfaction]]&lt;=2,1,0)</f>
        <v>0</v>
      </c>
      <c r="AM1147">
        <f>IF(tbl_HR_Data[[#This Row],[MonthlyIncome]]&lt;$AT$2,1,0)</f>
        <v>1</v>
      </c>
      <c r="AN1147">
        <f>IF(tbl_HR_Data[[#This Row],[Travel_Code]]=2,1,0)</f>
        <v>0</v>
      </c>
      <c r="AO1147">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1147" s="15">
        <f>tbl_HR_Data[[#This Row],[Risk_Score_Raw]] / SUM(Logic_Parameters!$B$2:$B$6)</f>
        <v>0.56827453040563214</v>
      </c>
      <c r="AQ1147" s="16" t="str" cm="1">
        <f t="array" ref="AQ1147">_xlfn.IFS(tbl_HR_Data[[#This Row],[Attrition_Risk_Percentage]] &gt;= 0.75, "Critical",tbl_HR_Data[ [#This Row],[Attrition_Risk_Percentage] ]&gt;= 0.5, "High",tbl_HR_Data[[#This Row],[Attrition_Risk_Percentage]] &gt;= 0.25, "Medium",TRUE, "Low")</f>
        <v>High</v>
      </c>
      <c r="AR1147" s="16" cm="1">
        <f t="array" ref="AR1147">IFERROR(_xlfn.IFS(tbl_HR_Data[[#This Row],[Risk_Category]]="Critical",tbl_HR_Data[[#This Row],[MonthlyIncome]]*1.5,tbl_HR_Data[[#This Row],[Risk_Category]]="High",tbl_HR_Data[[#This Row],[MonthlyIncome]]*1.5),0)</f>
        <v>6994.5</v>
      </c>
    </row>
    <row r="1148" spans="1:44" x14ac:dyDescent="0.35">
      <c r="A1148" t="s">
        <v>719</v>
      </c>
      <c r="B1148">
        <v>34</v>
      </c>
      <c r="C1148" t="s">
        <v>37</v>
      </c>
      <c r="D1148">
        <v>426</v>
      </c>
      <c r="E1148" t="s">
        <v>38</v>
      </c>
      <c r="F1148">
        <v>10</v>
      </c>
      <c r="G1148">
        <v>4</v>
      </c>
      <c r="H1148" t="s">
        <v>33</v>
      </c>
      <c r="I1148">
        <v>3</v>
      </c>
      <c r="J1148" t="s">
        <v>39</v>
      </c>
      <c r="K1148">
        <v>42</v>
      </c>
      <c r="L1148">
        <v>4</v>
      </c>
      <c r="M1148">
        <v>2</v>
      </c>
      <c r="N1148" t="s">
        <v>46</v>
      </c>
      <c r="O1148">
        <v>4</v>
      </c>
      <c r="P1148" t="s">
        <v>45</v>
      </c>
      <c r="Q1148">
        <v>4724</v>
      </c>
      <c r="R1148">
        <v>17000</v>
      </c>
      <c r="S1148">
        <v>1</v>
      </c>
      <c r="T1148">
        <v>0</v>
      </c>
      <c r="U1148" s="17">
        <v>0.13</v>
      </c>
      <c r="V1148">
        <v>3</v>
      </c>
      <c r="W1148">
        <v>1</v>
      </c>
      <c r="X1148">
        <v>1</v>
      </c>
      <c r="Y1148">
        <v>9</v>
      </c>
      <c r="Z1148">
        <v>3</v>
      </c>
      <c r="AA1148">
        <v>3</v>
      </c>
      <c r="AB1148">
        <v>9</v>
      </c>
      <c r="AC1148">
        <v>7</v>
      </c>
      <c r="AD1148">
        <v>7</v>
      </c>
      <c r="AE1148">
        <v>2</v>
      </c>
      <c r="AF1148">
        <v>0</v>
      </c>
      <c r="AG1148">
        <f>IF(tbl_HR_Data[[#This Row],[Gender]]="Male",1,0)</f>
        <v>1</v>
      </c>
      <c r="AH1148" cm="1">
        <f t="array" ref="AH1148">_xlfn.SWITCH(tbl_HR_Data[[#This Row],[BusinessTravel]], "Non-Travel", 0, "Travel_Rarely", 1, "Travel_Frequently", 2)</f>
        <v>2</v>
      </c>
      <c r="AI1148" cm="1">
        <f t="array" ref="AI1148">_xlfn.SWITCH(tbl_HR_Data[[#This Row],[MaritalStatus]],"Single",0,"Married",1,"Divorced",2)</f>
        <v>2</v>
      </c>
      <c r="AJ1148">
        <f>IF(tbl_HR_Data[[#This Row],[OverTime]]=1,1,0)</f>
        <v>0</v>
      </c>
      <c r="AK1148">
        <f>IF(tbl_HR_Data[[#This Row],[DistanceFromHome]]&gt;15,1,0)</f>
        <v>0</v>
      </c>
      <c r="AL1148">
        <f>IF(tbl_HR_Data[[#This Row],[JobSatisfaction]]&lt;=2,1,0)</f>
        <v>0</v>
      </c>
      <c r="AM1148">
        <f>IF(tbl_HR_Data[[#This Row],[MonthlyIncome]]&lt;$AT$2,1,0)</f>
        <v>1</v>
      </c>
      <c r="AN1148">
        <f>IF(tbl_HR_Data[[#This Row],[Travel_Code]]=2,1,0)</f>
        <v>1</v>
      </c>
      <c r="AO1148">
        <f>(tbl_HR_Data[[#This Row],[Flag_OT]] * Logic_Parameters!$B$2) +
 (tbl_HR_Data[[#This Row],[Flag_Travel]] * Logic_Parameters!$B$3) +
 (tbl_HR_Data[[#This Row],[Flag_Satisfaction]] * Logic_Parameters!$B$4) +
 (tbl_HR_Data[[#This Row],[Flag_Distance]]* Logic_Parameters!$B$5) +
 (tbl_HR_Data[[#This Row],[Flag_Income]] * Logic_Parameters!$B$6)</f>
        <v>11.654818917911005</v>
      </c>
      <c r="AP1148" s="15">
        <f>tbl_HR_Data[[#This Row],[Risk_Score_Raw]] / SUM(Logic_Parameters!$B$2:$B$6)</f>
        <v>0.40153780240992015</v>
      </c>
      <c r="AQ1148" s="16" t="str" cm="1">
        <f t="array" ref="AQ1148">_xlfn.IFS(tbl_HR_Data[[#This Row],[Attrition_Risk_Percentage]] &gt;= 0.75, "Critical",tbl_HR_Data[ [#This Row],[Attrition_Risk_Percentage] ]&gt;= 0.5, "High",tbl_HR_Data[[#This Row],[Attrition_Risk_Percentage]] &gt;= 0.25, "Medium",TRUE, "Low")</f>
        <v>Medium</v>
      </c>
      <c r="AR1148" s="16" cm="1">
        <f t="array" ref="AR1148">IFERROR(_xlfn.IFS(tbl_HR_Data[[#This Row],[Risk_Category]]="Critical",tbl_HR_Data[[#This Row],[MonthlyIncome]]*1.5,tbl_HR_Data[[#This Row],[Risk_Category]]="High",tbl_HR_Data[[#This Row],[MonthlyIncome]]*1.5),0)</f>
        <v>0</v>
      </c>
    </row>
    <row r="1149" spans="1:44" x14ac:dyDescent="0.35">
      <c r="A1149" t="s">
        <v>867</v>
      </c>
      <c r="B1149">
        <v>49</v>
      </c>
      <c r="C1149" t="s">
        <v>31</v>
      </c>
      <c r="D1149">
        <v>722</v>
      </c>
      <c r="E1149" t="s">
        <v>38</v>
      </c>
      <c r="F1149">
        <v>25</v>
      </c>
      <c r="G1149">
        <v>4</v>
      </c>
      <c r="H1149" t="s">
        <v>33</v>
      </c>
      <c r="I1149">
        <v>3</v>
      </c>
      <c r="J1149" t="s">
        <v>34</v>
      </c>
      <c r="K1149">
        <v>84</v>
      </c>
      <c r="L1149">
        <v>3</v>
      </c>
      <c r="M1149">
        <v>1</v>
      </c>
      <c r="N1149" t="s">
        <v>43</v>
      </c>
      <c r="O1149">
        <v>1</v>
      </c>
      <c r="P1149" t="s">
        <v>41</v>
      </c>
      <c r="Q1149">
        <v>3211</v>
      </c>
      <c r="R1149">
        <v>22102</v>
      </c>
      <c r="S1149">
        <v>1</v>
      </c>
      <c r="T1149">
        <v>0</v>
      </c>
      <c r="U1149" s="17">
        <v>0.14000000000000001</v>
      </c>
      <c r="V1149">
        <v>3</v>
      </c>
      <c r="W1149">
        <v>4</v>
      </c>
      <c r="X1149">
        <v>1</v>
      </c>
      <c r="Y1149">
        <v>10</v>
      </c>
      <c r="Z1149">
        <v>3</v>
      </c>
      <c r="AA1149">
        <v>2</v>
      </c>
      <c r="AB1149">
        <v>9</v>
      </c>
      <c r="AC1149">
        <v>6</v>
      </c>
      <c r="AD1149">
        <v>1</v>
      </c>
      <c r="AE1149">
        <v>4</v>
      </c>
      <c r="AF1149">
        <v>0</v>
      </c>
      <c r="AG1149">
        <f>IF(tbl_HR_Data[[#This Row],[Gender]]="Male",1,0)</f>
        <v>0</v>
      </c>
      <c r="AH1149" cm="1">
        <f t="array" ref="AH1149">_xlfn.SWITCH(tbl_HR_Data[[#This Row],[BusinessTravel]], "Non-Travel", 0, "Travel_Rarely", 1, "Travel_Frequently", 2)</f>
        <v>1</v>
      </c>
      <c r="AI1149" cm="1">
        <f t="array" ref="AI1149">_xlfn.SWITCH(tbl_HR_Data[[#This Row],[MaritalStatus]],"Single",0,"Married",1,"Divorced",2)</f>
        <v>1</v>
      </c>
      <c r="AJ1149">
        <f>IF(tbl_HR_Data[[#This Row],[OverTime]]=1,1,0)</f>
        <v>0</v>
      </c>
      <c r="AK1149">
        <f>IF(tbl_HR_Data[[#This Row],[DistanceFromHome]]&gt;15,1,0)</f>
        <v>1</v>
      </c>
      <c r="AL1149">
        <f>IF(tbl_HR_Data[[#This Row],[JobSatisfaction]]&lt;=2,1,0)</f>
        <v>1</v>
      </c>
      <c r="AM1149">
        <f>IF(tbl_HR_Data[[#This Row],[MonthlyIncome]]&lt;$AT$2,1,0)</f>
        <v>1</v>
      </c>
      <c r="AN1149">
        <f>IF(tbl_HR_Data[[#This Row],[Travel_Code]]=2,1,0)</f>
        <v>0</v>
      </c>
      <c r="AO1149">
        <f>(tbl_HR_Data[[#This Row],[Flag_OT]] * Logic_Parameters!$B$2) +
 (tbl_HR_Data[[#This Row],[Flag_Travel]] * Logic_Parameters!$B$3) +
 (tbl_HR_Data[[#This Row],[Flag_Satisfaction]] * Logic_Parameters!$B$4) +
 (tbl_HR_Data[[#This Row],[Flag_Distance]]* Logic_Parameters!$B$5) +
 (tbl_HR_Data[[#This Row],[Flag_Income]] * Logic_Parameters!$B$6)</f>
        <v>13.865068763274337</v>
      </c>
      <c r="AP1149" s="15">
        <f>tbl_HR_Data[[#This Row],[Risk_Score_Raw]] / SUM(Logic_Parameters!$B$2:$B$6)</f>
        <v>0.47768646434409739</v>
      </c>
      <c r="AQ1149" s="16" t="str" cm="1">
        <f t="array" ref="AQ1149">_xlfn.IFS(tbl_HR_Data[[#This Row],[Attrition_Risk_Percentage]] &gt;= 0.75, "Critical",tbl_HR_Data[ [#This Row],[Attrition_Risk_Percentage] ]&gt;= 0.5, "High",tbl_HR_Data[[#This Row],[Attrition_Risk_Percentage]] &gt;= 0.25, "Medium",TRUE, "Low")</f>
        <v>Medium</v>
      </c>
      <c r="AR1149" s="16" cm="1">
        <f t="array" ref="AR1149">IFERROR(_xlfn.IFS(tbl_HR_Data[[#This Row],[Risk_Category]]="Critical",tbl_HR_Data[[#This Row],[MonthlyIncome]]*1.5,tbl_HR_Data[[#This Row],[Risk_Category]]="High",tbl_HR_Data[[#This Row],[MonthlyIncome]]*1.5),0)</f>
        <v>0</v>
      </c>
    </row>
    <row r="1150" spans="1:44" x14ac:dyDescent="0.35">
      <c r="A1150" t="s">
        <v>898</v>
      </c>
      <c r="B1150">
        <v>39</v>
      </c>
      <c r="C1150" t="s">
        <v>31</v>
      </c>
      <c r="D1150">
        <v>1387</v>
      </c>
      <c r="E1150" t="s">
        <v>38</v>
      </c>
      <c r="F1150">
        <v>10</v>
      </c>
      <c r="G1150">
        <v>5</v>
      </c>
      <c r="H1150" t="s">
        <v>44</v>
      </c>
      <c r="I1150">
        <v>2</v>
      </c>
      <c r="J1150" t="s">
        <v>39</v>
      </c>
      <c r="K1150">
        <v>76</v>
      </c>
      <c r="L1150">
        <v>3</v>
      </c>
      <c r="M1150">
        <v>2</v>
      </c>
      <c r="N1150" t="s">
        <v>46</v>
      </c>
      <c r="O1150">
        <v>1</v>
      </c>
      <c r="P1150" t="s">
        <v>41</v>
      </c>
      <c r="Q1150">
        <v>5377</v>
      </c>
      <c r="R1150">
        <v>3835</v>
      </c>
      <c r="S1150">
        <v>2</v>
      </c>
      <c r="T1150">
        <v>0</v>
      </c>
      <c r="U1150" s="17">
        <v>0.13</v>
      </c>
      <c r="V1150">
        <v>3</v>
      </c>
      <c r="W1150">
        <v>4</v>
      </c>
      <c r="X1150">
        <v>3</v>
      </c>
      <c r="Y1150">
        <v>10</v>
      </c>
      <c r="Z1150">
        <v>3</v>
      </c>
      <c r="AA1150">
        <v>3</v>
      </c>
      <c r="AB1150">
        <v>7</v>
      </c>
      <c r="AC1150">
        <v>7</v>
      </c>
      <c r="AD1150">
        <v>7</v>
      </c>
      <c r="AE1150">
        <v>7</v>
      </c>
      <c r="AF1150">
        <v>0</v>
      </c>
      <c r="AG1150">
        <f>IF(tbl_HR_Data[[#This Row],[Gender]]="Male",1,0)</f>
        <v>1</v>
      </c>
      <c r="AH1150" cm="1">
        <f t="array" ref="AH1150">_xlfn.SWITCH(tbl_HR_Data[[#This Row],[BusinessTravel]], "Non-Travel", 0, "Travel_Rarely", 1, "Travel_Frequently", 2)</f>
        <v>1</v>
      </c>
      <c r="AI1150" cm="1">
        <f t="array" ref="AI1150">_xlfn.SWITCH(tbl_HR_Data[[#This Row],[MaritalStatus]],"Single",0,"Married",1,"Divorced",2)</f>
        <v>1</v>
      </c>
      <c r="AJ1150">
        <f>IF(tbl_HR_Data[[#This Row],[OverTime]]=1,1,0)</f>
        <v>0</v>
      </c>
      <c r="AK1150">
        <f>IF(tbl_HR_Data[[#This Row],[DistanceFromHome]]&gt;15,1,0)</f>
        <v>0</v>
      </c>
      <c r="AL1150">
        <f>IF(tbl_HR_Data[[#This Row],[JobSatisfaction]]&lt;=2,1,0)</f>
        <v>1</v>
      </c>
      <c r="AM1150">
        <f>IF(tbl_HR_Data[[#This Row],[MonthlyIncome]]&lt;$AT$2,1,0)</f>
        <v>0</v>
      </c>
      <c r="AN1150">
        <f>IF(tbl_HR_Data[[#This Row],[Travel_Code]]=2,1,0)</f>
        <v>0</v>
      </c>
      <c r="AO1150">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150" s="15">
        <f>tbl_HR_Data[[#This Row],[Risk_Score_Raw]] / SUM(Logic_Parameters!$B$2:$B$6)</f>
        <v>0.14485673308716898</v>
      </c>
      <c r="AQ1150" s="16" t="str" cm="1">
        <f t="array" ref="AQ1150">_xlfn.IFS(tbl_HR_Data[[#This Row],[Attrition_Risk_Percentage]] &gt;= 0.75, "Critical",tbl_HR_Data[ [#This Row],[Attrition_Risk_Percentage] ]&gt;= 0.5, "High",tbl_HR_Data[[#This Row],[Attrition_Risk_Percentage]] &gt;= 0.25, "Medium",TRUE, "Low")</f>
        <v>Low</v>
      </c>
      <c r="AR1150" s="16" cm="1">
        <f t="array" ref="AR1150">IFERROR(_xlfn.IFS(tbl_HR_Data[[#This Row],[Risk_Category]]="Critical",tbl_HR_Data[[#This Row],[MonthlyIncome]]*1.5,tbl_HR_Data[[#This Row],[Risk_Category]]="High",tbl_HR_Data[[#This Row],[MonthlyIncome]]*1.5),0)</f>
        <v>0</v>
      </c>
    </row>
    <row r="1151" spans="1:44" x14ac:dyDescent="0.35">
      <c r="A1151" t="s">
        <v>1336</v>
      </c>
      <c r="B1151">
        <v>27</v>
      </c>
      <c r="C1151" t="s">
        <v>31</v>
      </c>
      <c r="D1151">
        <v>1302</v>
      </c>
      <c r="E1151" t="s">
        <v>38</v>
      </c>
      <c r="F1151">
        <v>19</v>
      </c>
      <c r="G1151">
        <v>3</v>
      </c>
      <c r="H1151" t="s">
        <v>42</v>
      </c>
      <c r="I1151">
        <v>4</v>
      </c>
      <c r="J1151" t="s">
        <v>39</v>
      </c>
      <c r="K1151">
        <v>67</v>
      </c>
      <c r="L1151">
        <v>2</v>
      </c>
      <c r="M1151">
        <v>1</v>
      </c>
      <c r="N1151" t="s">
        <v>43</v>
      </c>
      <c r="O1151">
        <v>1</v>
      </c>
      <c r="P1151" t="s">
        <v>45</v>
      </c>
      <c r="Q1151">
        <v>4066</v>
      </c>
      <c r="R1151">
        <v>16290</v>
      </c>
      <c r="S1151">
        <v>1</v>
      </c>
      <c r="T1151">
        <v>0</v>
      </c>
      <c r="U1151" s="17">
        <v>0.11</v>
      </c>
      <c r="V1151">
        <v>3</v>
      </c>
      <c r="W1151">
        <v>1</v>
      </c>
      <c r="X1151">
        <v>2</v>
      </c>
      <c r="Y1151">
        <v>7</v>
      </c>
      <c r="Z1151">
        <v>3</v>
      </c>
      <c r="AA1151">
        <v>3</v>
      </c>
      <c r="AB1151">
        <v>7</v>
      </c>
      <c r="AC1151">
        <v>7</v>
      </c>
      <c r="AD1151">
        <v>0</v>
      </c>
      <c r="AE1151">
        <v>7</v>
      </c>
      <c r="AF1151">
        <v>0</v>
      </c>
      <c r="AG1151">
        <f>IF(tbl_HR_Data[[#This Row],[Gender]]="Male",1,0)</f>
        <v>1</v>
      </c>
      <c r="AH1151" cm="1">
        <f t="array" ref="AH1151">_xlfn.SWITCH(tbl_HR_Data[[#This Row],[BusinessTravel]], "Non-Travel", 0, "Travel_Rarely", 1, "Travel_Frequently", 2)</f>
        <v>1</v>
      </c>
      <c r="AI1151" cm="1">
        <f t="array" ref="AI1151">_xlfn.SWITCH(tbl_HR_Data[[#This Row],[MaritalStatus]],"Single",0,"Married",1,"Divorced",2)</f>
        <v>2</v>
      </c>
      <c r="AJ1151">
        <f>IF(tbl_HR_Data[[#This Row],[OverTime]]=1,1,0)</f>
        <v>0</v>
      </c>
      <c r="AK1151">
        <f>IF(tbl_HR_Data[[#This Row],[DistanceFromHome]]&gt;15,1,0)</f>
        <v>1</v>
      </c>
      <c r="AL1151">
        <f>IF(tbl_HR_Data[[#This Row],[JobSatisfaction]]&lt;=2,1,0)</f>
        <v>1</v>
      </c>
      <c r="AM1151">
        <f>IF(tbl_HR_Data[[#This Row],[MonthlyIncome]]&lt;$AT$2,1,0)</f>
        <v>1</v>
      </c>
      <c r="AN1151">
        <f>IF(tbl_HR_Data[[#This Row],[Travel_Code]]=2,1,0)</f>
        <v>0</v>
      </c>
      <c r="AO1151">
        <f>(tbl_HR_Data[[#This Row],[Flag_OT]] * Logic_Parameters!$B$2) +
 (tbl_HR_Data[[#This Row],[Flag_Travel]] * Logic_Parameters!$B$3) +
 (tbl_HR_Data[[#This Row],[Flag_Satisfaction]] * Logic_Parameters!$B$4) +
 (tbl_HR_Data[[#This Row],[Flag_Distance]]* Logic_Parameters!$B$5) +
 (tbl_HR_Data[[#This Row],[Flag_Income]] * Logic_Parameters!$B$6)</f>
        <v>13.865068763274337</v>
      </c>
      <c r="AP1151" s="15">
        <f>tbl_HR_Data[[#This Row],[Risk_Score_Raw]] / SUM(Logic_Parameters!$B$2:$B$6)</f>
        <v>0.47768646434409739</v>
      </c>
      <c r="AQ1151" s="16" t="str" cm="1">
        <f t="array" ref="AQ1151">_xlfn.IFS(tbl_HR_Data[[#This Row],[Attrition_Risk_Percentage]] &gt;= 0.75, "Critical",tbl_HR_Data[ [#This Row],[Attrition_Risk_Percentage] ]&gt;= 0.5, "High",tbl_HR_Data[[#This Row],[Attrition_Risk_Percentage]] &gt;= 0.25, "Medium",TRUE, "Low")</f>
        <v>Medium</v>
      </c>
      <c r="AR1151" s="16" cm="1">
        <f t="array" ref="AR1151">IFERROR(_xlfn.IFS(tbl_HR_Data[[#This Row],[Risk_Category]]="Critical",tbl_HR_Data[[#This Row],[MonthlyIncome]]*1.5,tbl_HR_Data[[#This Row],[Risk_Category]]="High",tbl_HR_Data[[#This Row],[MonthlyIncome]]*1.5),0)</f>
        <v>0</v>
      </c>
    </row>
    <row r="1152" spans="1:44" x14ac:dyDescent="0.35">
      <c r="A1152" t="s">
        <v>376</v>
      </c>
      <c r="B1152">
        <v>35</v>
      </c>
      <c r="C1152" t="s">
        <v>31</v>
      </c>
      <c r="D1152">
        <v>819</v>
      </c>
      <c r="E1152" t="s">
        <v>38</v>
      </c>
      <c r="F1152">
        <v>18</v>
      </c>
      <c r="G1152">
        <v>5</v>
      </c>
      <c r="H1152" t="s">
        <v>33</v>
      </c>
      <c r="I1152">
        <v>2</v>
      </c>
      <c r="J1152" t="s">
        <v>39</v>
      </c>
      <c r="K1152">
        <v>48</v>
      </c>
      <c r="L1152">
        <v>4</v>
      </c>
      <c r="M1152">
        <v>2</v>
      </c>
      <c r="N1152" t="s">
        <v>40</v>
      </c>
      <c r="O1152">
        <v>1</v>
      </c>
      <c r="P1152" t="s">
        <v>41</v>
      </c>
      <c r="Q1152">
        <v>5208</v>
      </c>
      <c r="R1152">
        <v>26312</v>
      </c>
      <c r="S1152">
        <v>1</v>
      </c>
      <c r="T1152">
        <v>0</v>
      </c>
      <c r="U1152" s="17">
        <v>0.11</v>
      </c>
      <c r="V1152">
        <v>3</v>
      </c>
      <c r="W1152">
        <v>4</v>
      </c>
      <c r="X1152">
        <v>0</v>
      </c>
      <c r="Y1152">
        <v>16</v>
      </c>
      <c r="Z1152">
        <v>2</v>
      </c>
      <c r="AA1152">
        <v>3</v>
      </c>
      <c r="AB1152">
        <v>16</v>
      </c>
      <c r="AC1152">
        <v>15</v>
      </c>
      <c r="AD1152">
        <v>1</v>
      </c>
      <c r="AE1152">
        <v>10</v>
      </c>
      <c r="AF1152">
        <v>0</v>
      </c>
      <c r="AG1152">
        <f>IF(tbl_HR_Data[[#This Row],[Gender]]="Male",1,0)</f>
        <v>1</v>
      </c>
      <c r="AH1152" cm="1">
        <f t="array" ref="AH1152">_xlfn.SWITCH(tbl_HR_Data[[#This Row],[BusinessTravel]], "Non-Travel", 0, "Travel_Rarely", 1, "Travel_Frequently", 2)</f>
        <v>1</v>
      </c>
      <c r="AI1152" cm="1">
        <f t="array" ref="AI1152">_xlfn.SWITCH(tbl_HR_Data[[#This Row],[MaritalStatus]],"Single",0,"Married",1,"Divorced",2)</f>
        <v>1</v>
      </c>
      <c r="AJ1152">
        <f>IF(tbl_HR_Data[[#This Row],[OverTime]]=1,1,0)</f>
        <v>0</v>
      </c>
      <c r="AK1152">
        <f>IF(tbl_HR_Data[[#This Row],[DistanceFromHome]]&gt;15,1,0)</f>
        <v>1</v>
      </c>
      <c r="AL1152">
        <f>IF(tbl_HR_Data[[#This Row],[JobSatisfaction]]&lt;=2,1,0)</f>
        <v>1</v>
      </c>
      <c r="AM1152">
        <f>IF(tbl_HR_Data[[#This Row],[MonthlyIncome]]&lt;$AT$2,1,0)</f>
        <v>0</v>
      </c>
      <c r="AN1152">
        <f>IF(tbl_HR_Data[[#This Row],[Travel_Code]]=2,1,0)</f>
        <v>0</v>
      </c>
      <c r="AO1152">
        <f>(tbl_HR_Data[[#This Row],[Flag_OT]] * Logic_Parameters!$B$2) +
 (tbl_HR_Data[[#This Row],[Flag_Travel]] * Logic_Parameters!$B$3) +
 (tbl_HR_Data[[#This Row],[Flag_Satisfaction]] * Logic_Parameters!$B$4) +
 (tbl_HR_Data[[#This Row],[Flag_Distance]]* Logic_Parameters!$B$5) +
 (tbl_HR_Data[[#This Row],[Flag_Income]] * Logic_Parameters!$B$6)</f>
        <v>7.3706398258535089</v>
      </c>
      <c r="AP1152" s="15">
        <f>tbl_HR_Data[[#This Row],[Risk_Score_Raw]] / SUM(Logic_Parameters!$B$2:$B$6)</f>
        <v>0.25393706576427255</v>
      </c>
      <c r="AQ1152" s="16" t="str" cm="1">
        <f t="array" ref="AQ1152">_xlfn.IFS(tbl_HR_Data[[#This Row],[Attrition_Risk_Percentage]] &gt;= 0.75, "Critical",tbl_HR_Data[ [#This Row],[Attrition_Risk_Percentage] ]&gt;= 0.5, "High",tbl_HR_Data[[#This Row],[Attrition_Risk_Percentage]] &gt;= 0.25, "Medium",TRUE, "Low")</f>
        <v>Medium</v>
      </c>
      <c r="AR1152" s="16" cm="1">
        <f t="array" ref="AR1152">IFERROR(_xlfn.IFS(tbl_HR_Data[[#This Row],[Risk_Category]]="Critical",tbl_HR_Data[[#This Row],[MonthlyIncome]]*1.5,tbl_HR_Data[[#This Row],[Risk_Category]]="High",tbl_HR_Data[[#This Row],[MonthlyIncome]]*1.5),0)</f>
        <v>0</v>
      </c>
    </row>
    <row r="1153" spans="1:44" x14ac:dyDescent="0.35">
      <c r="A1153" t="s">
        <v>1050</v>
      </c>
      <c r="B1153">
        <v>28</v>
      </c>
      <c r="C1153" t="s">
        <v>31</v>
      </c>
      <c r="D1153">
        <v>580</v>
      </c>
      <c r="E1153" t="s">
        <v>38</v>
      </c>
      <c r="F1153">
        <v>27</v>
      </c>
      <c r="G1153">
        <v>3</v>
      </c>
      <c r="H1153" t="s">
        <v>44</v>
      </c>
      <c r="I1153">
        <v>2</v>
      </c>
      <c r="J1153" t="s">
        <v>34</v>
      </c>
      <c r="K1153">
        <v>39</v>
      </c>
      <c r="L1153">
        <v>1</v>
      </c>
      <c r="M1153">
        <v>2</v>
      </c>
      <c r="N1153" t="s">
        <v>46</v>
      </c>
      <c r="O1153">
        <v>1</v>
      </c>
      <c r="P1153" t="s">
        <v>45</v>
      </c>
      <c r="Q1153">
        <v>4877</v>
      </c>
      <c r="R1153">
        <v>20460</v>
      </c>
      <c r="S1153">
        <v>0</v>
      </c>
      <c r="T1153">
        <v>0</v>
      </c>
      <c r="U1153" s="17">
        <v>0.21</v>
      </c>
      <c r="V1153">
        <v>4</v>
      </c>
      <c r="W1153">
        <v>2</v>
      </c>
      <c r="X1153">
        <v>1</v>
      </c>
      <c r="Y1153">
        <v>6</v>
      </c>
      <c r="Z1153">
        <v>5</v>
      </c>
      <c r="AA1153">
        <v>2</v>
      </c>
      <c r="AB1153">
        <v>5</v>
      </c>
      <c r="AC1153">
        <v>3</v>
      </c>
      <c r="AD1153">
        <v>0</v>
      </c>
      <c r="AE1153">
        <v>0</v>
      </c>
      <c r="AF1153">
        <v>0</v>
      </c>
      <c r="AG1153">
        <f>IF(tbl_HR_Data[[#This Row],[Gender]]="Male",1,0)</f>
        <v>0</v>
      </c>
      <c r="AH1153" cm="1">
        <f t="array" ref="AH1153">_xlfn.SWITCH(tbl_HR_Data[[#This Row],[BusinessTravel]], "Non-Travel", 0, "Travel_Rarely", 1, "Travel_Frequently", 2)</f>
        <v>1</v>
      </c>
      <c r="AI1153" cm="1">
        <f t="array" ref="AI1153">_xlfn.SWITCH(tbl_HR_Data[[#This Row],[MaritalStatus]],"Single",0,"Married",1,"Divorced",2)</f>
        <v>2</v>
      </c>
      <c r="AJ1153">
        <f>IF(tbl_HR_Data[[#This Row],[OverTime]]=1,1,0)</f>
        <v>0</v>
      </c>
      <c r="AK1153">
        <f>IF(tbl_HR_Data[[#This Row],[DistanceFromHome]]&gt;15,1,0)</f>
        <v>1</v>
      </c>
      <c r="AL1153">
        <f>IF(tbl_HR_Data[[#This Row],[JobSatisfaction]]&lt;=2,1,0)</f>
        <v>1</v>
      </c>
      <c r="AM1153">
        <f>IF(tbl_HR_Data[[#This Row],[MonthlyIncome]]&lt;$AT$2,1,0)</f>
        <v>1</v>
      </c>
      <c r="AN1153">
        <f>IF(tbl_HR_Data[[#This Row],[Travel_Code]]=2,1,0)</f>
        <v>0</v>
      </c>
      <c r="AO1153">
        <f>(tbl_HR_Data[[#This Row],[Flag_OT]] * Logic_Parameters!$B$2) +
 (tbl_HR_Data[[#This Row],[Flag_Travel]] * Logic_Parameters!$B$3) +
 (tbl_HR_Data[[#This Row],[Flag_Satisfaction]] * Logic_Parameters!$B$4) +
 (tbl_HR_Data[[#This Row],[Flag_Distance]]* Logic_Parameters!$B$5) +
 (tbl_HR_Data[[#This Row],[Flag_Income]] * Logic_Parameters!$B$6)</f>
        <v>13.865068763274337</v>
      </c>
      <c r="AP1153" s="15">
        <f>tbl_HR_Data[[#This Row],[Risk_Score_Raw]] / SUM(Logic_Parameters!$B$2:$B$6)</f>
        <v>0.47768646434409739</v>
      </c>
      <c r="AQ1153" s="16" t="str" cm="1">
        <f t="array" ref="AQ1153">_xlfn.IFS(tbl_HR_Data[[#This Row],[Attrition_Risk_Percentage]] &gt;= 0.75, "Critical",tbl_HR_Data[ [#This Row],[Attrition_Risk_Percentage] ]&gt;= 0.5, "High",tbl_HR_Data[[#This Row],[Attrition_Risk_Percentage]] &gt;= 0.25, "Medium",TRUE, "Low")</f>
        <v>Medium</v>
      </c>
      <c r="AR1153" s="16" cm="1">
        <f t="array" ref="AR1153">IFERROR(_xlfn.IFS(tbl_HR_Data[[#This Row],[Risk_Category]]="Critical",tbl_HR_Data[[#This Row],[MonthlyIncome]]*1.5,tbl_HR_Data[[#This Row],[Risk_Category]]="High",tbl_HR_Data[[#This Row],[MonthlyIncome]]*1.5),0)</f>
        <v>0</v>
      </c>
    </row>
    <row r="1154" spans="1:44" x14ac:dyDescent="0.35">
      <c r="A1154" t="s">
        <v>77</v>
      </c>
      <c r="B1154">
        <v>21</v>
      </c>
      <c r="C1154" t="s">
        <v>31</v>
      </c>
      <c r="D1154">
        <v>546</v>
      </c>
      <c r="E1154" t="s">
        <v>38</v>
      </c>
      <c r="F1154">
        <v>5</v>
      </c>
      <c r="G1154">
        <v>1</v>
      </c>
      <c r="H1154" t="s">
        <v>44</v>
      </c>
      <c r="I1154">
        <v>3</v>
      </c>
      <c r="J1154" t="s">
        <v>39</v>
      </c>
      <c r="K1154">
        <v>97</v>
      </c>
      <c r="L1154">
        <v>3</v>
      </c>
      <c r="M1154">
        <v>1</v>
      </c>
      <c r="N1154" t="s">
        <v>40</v>
      </c>
      <c r="O1154">
        <v>4</v>
      </c>
      <c r="P1154" t="s">
        <v>36</v>
      </c>
      <c r="Q1154">
        <v>3117</v>
      </c>
      <c r="R1154">
        <v>26009</v>
      </c>
      <c r="S1154">
        <v>1</v>
      </c>
      <c r="T1154">
        <v>0</v>
      </c>
      <c r="U1154" s="17">
        <v>0.18</v>
      </c>
      <c r="V1154">
        <v>3</v>
      </c>
      <c r="W1154">
        <v>3</v>
      </c>
      <c r="X1154">
        <v>0</v>
      </c>
      <c r="Y1154">
        <v>3</v>
      </c>
      <c r="Z1154">
        <v>2</v>
      </c>
      <c r="AA1154">
        <v>3</v>
      </c>
      <c r="AB1154">
        <v>2</v>
      </c>
      <c r="AC1154">
        <v>2</v>
      </c>
      <c r="AD1154">
        <v>2</v>
      </c>
      <c r="AE1154">
        <v>2</v>
      </c>
      <c r="AF1154">
        <v>0</v>
      </c>
      <c r="AG1154">
        <f>IF(tbl_HR_Data[[#This Row],[Gender]]="Male",1,0)</f>
        <v>1</v>
      </c>
      <c r="AH1154" cm="1">
        <f t="array" ref="AH1154">_xlfn.SWITCH(tbl_HR_Data[[#This Row],[BusinessTravel]], "Non-Travel", 0, "Travel_Rarely", 1, "Travel_Frequently", 2)</f>
        <v>1</v>
      </c>
      <c r="AI1154" cm="1">
        <f t="array" ref="AI1154">_xlfn.SWITCH(tbl_HR_Data[[#This Row],[MaritalStatus]],"Single",0,"Married",1,"Divorced",2)</f>
        <v>0</v>
      </c>
      <c r="AJ1154">
        <f>IF(tbl_HR_Data[[#This Row],[OverTime]]=1,1,0)</f>
        <v>0</v>
      </c>
      <c r="AK1154">
        <f>IF(tbl_HR_Data[[#This Row],[DistanceFromHome]]&gt;15,1,0)</f>
        <v>0</v>
      </c>
      <c r="AL1154">
        <f>IF(tbl_HR_Data[[#This Row],[JobSatisfaction]]&lt;=2,1,0)</f>
        <v>0</v>
      </c>
      <c r="AM1154">
        <f>IF(tbl_HR_Data[[#This Row],[MonthlyIncome]]&lt;$AT$2,1,0)</f>
        <v>1</v>
      </c>
      <c r="AN1154">
        <f>IF(tbl_HR_Data[[#This Row],[Travel_Code]]=2,1,0)</f>
        <v>0</v>
      </c>
      <c r="AO1154">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154" s="15">
        <f>tbl_HR_Data[[#This Row],[Risk_Score_Raw]] / SUM(Logic_Parameters!$B$2:$B$6)</f>
        <v>0.22374939857982484</v>
      </c>
      <c r="AQ1154" s="16" t="str" cm="1">
        <f t="array" ref="AQ1154">_xlfn.IFS(tbl_HR_Data[[#This Row],[Attrition_Risk_Percentage]] &gt;= 0.75, "Critical",tbl_HR_Data[ [#This Row],[Attrition_Risk_Percentage] ]&gt;= 0.5, "High",tbl_HR_Data[[#This Row],[Attrition_Risk_Percentage]] &gt;= 0.25, "Medium",TRUE, "Low")</f>
        <v>Low</v>
      </c>
      <c r="AR1154" s="16" cm="1">
        <f t="array" ref="AR1154">IFERROR(_xlfn.IFS(tbl_HR_Data[[#This Row],[Risk_Category]]="Critical",tbl_HR_Data[[#This Row],[MonthlyIncome]]*1.5,tbl_HR_Data[[#This Row],[Risk_Category]]="High",tbl_HR_Data[[#This Row],[MonthlyIncome]]*1.5),0)</f>
        <v>0</v>
      </c>
    </row>
    <row r="1155" spans="1:44" x14ac:dyDescent="0.35">
      <c r="A1155" t="s">
        <v>741</v>
      </c>
      <c r="B1155">
        <v>18</v>
      </c>
      <c r="C1155" t="s">
        <v>37</v>
      </c>
      <c r="D1155">
        <v>544</v>
      </c>
      <c r="E1155" t="s">
        <v>32</v>
      </c>
      <c r="F1155">
        <v>3</v>
      </c>
      <c r="G1155">
        <v>2</v>
      </c>
      <c r="H1155" t="s">
        <v>44</v>
      </c>
      <c r="I1155">
        <v>2</v>
      </c>
      <c r="J1155" t="s">
        <v>34</v>
      </c>
      <c r="K1155">
        <v>70</v>
      </c>
      <c r="L1155">
        <v>3</v>
      </c>
      <c r="M1155">
        <v>1</v>
      </c>
      <c r="N1155" t="s">
        <v>49</v>
      </c>
      <c r="O1155">
        <v>4</v>
      </c>
      <c r="P1155" t="s">
        <v>36</v>
      </c>
      <c r="Q1155">
        <v>1569</v>
      </c>
      <c r="R1155">
        <v>18420</v>
      </c>
      <c r="S1155">
        <v>1</v>
      </c>
      <c r="T1155">
        <v>1</v>
      </c>
      <c r="U1155" s="17">
        <v>0.12</v>
      </c>
      <c r="V1155">
        <v>3</v>
      </c>
      <c r="W1155">
        <v>3</v>
      </c>
      <c r="X1155">
        <v>0</v>
      </c>
      <c r="Y1155">
        <v>0</v>
      </c>
      <c r="Z1155">
        <v>2</v>
      </c>
      <c r="AA1155">
        <v>4</v>
      </c>
      <c r="AB1155">
        <v>0</v>
      </c>
      <c r="AC1155">
        <v>0</v>
      </c>
      <c r="AD1155">
        <v>0</v>
      </c>
      <c r="AE1155">
        <v>0</v>
      </c>
      <c r="AF1155">
        <v>1</v>
      </c>
      <c r="AG1155">
        <f>IF(tbl_HR_Data[[#This Row],[Gender]]="Male",1,0)</f>
        <v>0</v>
      </c>
      <c r="AH1155" cm="1">
        <f t="array" ref="AH1155">_xlfn.SWITCH(tbl_HR_Data[[#This Row],[BusinessTravel]], "Non-Travel", 0, "Travel_Rarely", 1, "Travel_Frequently", 2)</f>
        <v>2</v>
      </c>
      <c r="AI1155" cm="1">
        <f t="array" ref="AI1155">_xlfn.SWITCH(tbl_HR_Data[[#This Row],[MaritalStatus]],"Single",0,"Married",1,"Divorced",2)</f>
        <v>0</v>
      </c>
      <c r="AJ1155">
        <f>IF(tbl_HR_Data[[#This Row],[OverTime]]=1,1,0)</f>
        <v>1</v>
      </c>
      <c r="AK1155">
        <f>IF(tbl_HR_Data[[#This Row],[DistanceFromHome]]&gt;15,1,0)</f>
        <v>0</v>
      </c>
      <c r="AL1155">
        <f>IF(tbl_HR_Data[[#This Row],[JobSatisfaction]]&lt;=2,1,0)</f>
        <v>0</v>
      </c>
      <c r="AM1155">
        <f>IF(tbl_HR_Data[[#This Row],[MonthlyIncome]]&lt;$AT$2,1,0)</f>
        <v>1</v>
      </c>
      <c r="AN1155">
        <f>IF(tbl_HR_Data[[#This Row],[Travel_Code]]=2,1,0)</f>
        <v>1</v>
      </c>
      <c r="AO1155">
        <f>(tbl_HR_Data[[#This Row],[Flag_OT]] * Logic_Parameters!$B$2) +
 (tbl_HR_Data[[#This Row],[Flag_Travel]] * Logic_Parameters!$B$3) +
 (tbl_HR_Data[[#This Row],[Flag_Satisfaction]] * Logic_Parameters!$B$4) +
 (tbl_HR_Data[[#This Row],[Flag_Distance]]* Logic_Parameters!$B$5) +
 (tbl_HR_Data[[#This Row],[Flag_Income]] * Logic_Parameters!$B$6)</f>
        <v>21.654818917911005</v>
      </c>
      <c r="AP1155" s="15">
        <f>tbl_HR_Data[[#This Row],[Risk_Score_Raw]] / SUM(Logic_Parameters!$B$2:$B$6)</f>
        <v>0.74606293423572745</v>
      </c>
      <c r="AQ1155" s="16" t="str" cm="1">
        <f t="array" ref="AQ1155">_xlfn.IFS(tbl_HR_Data[[#This Row],[Attrition_Risk_Percentage]] &gt;= 0.75, "Critical",tbl_HR_Data[ [#This Row],[Attrition_Risk_Percentage] ]&gt;= 0.5, "High",tbl_HR_Data[[#This Row],[Attrition_Risk_Percentage]] &gt;= 0.25, "Medium",TRUE, "Low")</f>
        <v>High</v>
      </c>
      <c r="AR1155" s="16" cm="1">
        <f t="array" ref="AR1155">IFERROR(_xlfn.IFS(tbl_HR_Data[[#This Row],[Risk_Category]]="Critical",tbl_HR_Data[[#This Row],[MonthlyIncome]]*1.5,tbl_HR_Data[[#This Row],[Risk_Category]]="High",tbl_HR_Data[[#This Row],[MonthlyIncome]]*1.5),0)</f>
        <v>2353.5</v>
      </c>
    </row>
    <row r="1156" spans="1:44" x14ac:dyDescent="0.35">
      <c r="A1156" t="s">
        <v>955</v>
      </c>
      <c r="B1156">
        <v>47</v>
      </c>
      <c r="C1156" t="s">
        <v>31</v>
      </c>
      <c r="D1156">
        <v>1176</v>
      </c>
      <c r="E1156" t="s">
        <v>53</v>
      </c>
      <c r="F1156">
        <v>26</v>
      </c>
      <c r="G1156">
        <v>4</v>
      </c>
      <c r="H1156" t="s">
        <v>33</v>
      </c>
      <c r="I1156">
        <v>4</v>
      </c>
      <c r="J1156" t="s">
        <v>34</v>
      </c>
      <c r="K1156">
        <v>98</v>
      </c>
      <c r="L1156">
        <v>3</v>
      </c>
      <c r="M1156">
        <v>5</v>
      </c>
      <c r="N1156" t="s">
        <v>48</v>
      </c>
      <c r="O1156">
        <v>3</v>
      </c>
      <c r="P1156" t="s">
        <v>41</v>
      </c>
      <c r="Q1156">
        <v>19658</v>
      </c>
      <c r="R1156">
        <v>5220</v>
      </c>
      <c r="S1156">
        <v>3</v>
      </c>
      <c r="T1156">
        <v>0</v>
      </c>
      <c r="U1156" s="17">
        <v>0.11</v>
      </c>
      <c r="V1156">
        <v>3</v>
      </c>
      <c r="W1156">
        <v>3</v>
      </c>
      <c r="X1156">
        <v>1</v>
      </c>
      <c r="Y1156">
        <v>27</v>
      </c>
      <c r="Z1156">
        <v>2</v>
      </c>
      <c r="AA1156">
        <v>3</v>
      </c>
      <c r="AB1156">
        <v>5</v>
      </c>
      <c r="AC1156">
        <v>2</v>
      </c>
      <c r="AD1156">
        <v>1</v>
      </c>
      <c r="AE1156">
        <v>0</v>
      </c>
      <c r="AF1156">
        <v>0</v>
      </c>
      <c r="AG1156">
        <f>IF(tbl_HR_Data[[#This Row],[Gender]]="Male",1,0)</f>
        <v>0</v>
      </c>
      <c r="AH1156" cm="1">
        <f t="array" ref="AH1156">_xlfn.SWITCH(tbl_HR_Data[[#This Row],[BusinessTravel]], "Non-Travel", 0, "Travel_Rarely", 1, "Travel_Frequently", 2)</f>
        <v>1</v>
      </c>
      <c r="AI1156" cm="1">
        <f t="array" ref="AI1156">_xlfn.SWITCH(tbl_HR_Data[[#This Row],[MaritalStatus]],"Single",0,"Married",1,"Divorced",2)</f>
        <v>1</v>
      </c>
      <c r="AJ1156">
        <f>IF(tbl_HR_Data[[#This Row],[OverTime]]=1,1,0)</f>
        <v>0</v>
      </c>
      <c r="AK1156">
        <f>IF(tbl_HR_Data[[#This Row],[DistanceFromHome]]&gt;15,1,0)</f>
        <v>1</v>
      </c>
      <c r="AL1156">
        <f>IF(tbl_HR_Data[[#This Row],[JobSatisfaction]]&lt;=2,1,0)</f>
        <v>0</v>
      </c>
      <c r="AM1156">
        <f>IF(tbl_HR_Data[[#This Row],[MonthlyIncome]]&lt;$AT$2,1,0)</f>
        <v>0</v>
      </c>
      <c r="AN1156">
        <f>IF(tbl_HR_Data[[#This Row],[Travel_Code]]=2,1,0)</f>
        <v>0</v>
      </c>
      <c r="AO1156">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1156" s="15">
        <f>tbl_HR_Data[[#This Row],[Risk_Score_Raw]] / SUM(Logic_Parameters!$B$2:$B$6)</f>
        <v>0.10908033267710357</v>
      </c>
      <c r="AQ1156" s="16" t="str" cm="1">
        <f t="array" ref="AQ1156">_xlfn.IFS(tbl_HR_Data[[#This Row],[Attrition_Risk_Percentage]] &gt;= 0.75, "Critical",tbl_HR_Data[ [#This Row],[Attrition_Risk_Percentage] ]&gt;= 0.5, "High",tbl_HR_Data[[#This Row],[Attrition_Risk_Percentage]] &gt;= 0.25, "Medium",TRUE, "Low")</f>
        <v>Low</v>
      </c>
      <c r="AR1156" s="16" cm="1">
        <f t="array" ref="AR1156">IFERROR(_xlfn.IFS(tbl_HR_Data[[#This Row],[Risk_Category]]="Critical",tbl_HR_Data[[#This Row],[MonthlyIncome]]*1.5,tbl_HR_Data[[#This Row],[Risk_Category]]="High",tbl_HR_Data[[#This Row],[MonthlyIncome]]*1.5),0)</f>
        <v>0</v>
      </c>
    </row>
    <row r="1157" spans="1:44" x14ac:dyDescent="0.35">
      <c r="A1157" t="s">
        <v>765</v>
      </c>
      <c r="B1157">
        <v>39</v>
      </c>
      <c r="C1157" t="s">
        <v>31</v>
      </c>
      <c r="D1157">
        <v>170</v>
      </c>
      <c r="E1157" t="s">
        <v>38</v>
      </c>
      <c r="F1157">
        <v>3</v>
      </c>
      <c r="G1157">
        <v>2</v>
      </c>
      <c r="H1157" t="s">
        <v>44</v>
      </c>
      <c r="I1157">
        <v>3</v>
      </c>
      <c r="J1157" t="s">
        <v>39</v>
      </c>
      <c r="K1157">
        <v>76</v>
      </c>
      <c r="L1157">
        <v>2</v>
      </c>
      <c r="M1157">
        <v>2</v>
      </c>
      <c r="N1157" t="s">
        <v>43</v>
      </c>
      <c r="O1157">
        <v>3</v>
      </c>
      <c r="P1157" t="s">
        <v>45</v>
      </c>
      <c r="Q1157">
        <v>3069</v>
      </c>
      <c r="R1157">
        <v>10302</v>
      </c>
      <c r="S1157">
        <v>0</v>
      </c>
      <c r="T1157">
        <v>0</v>
      </c>
      <c r="U1157" s="17">
        <v>0.15</v>
      </c>
      <c r="V1157">
        <v>3</v>
      </c>
      <c r="W1157">
        <v>4</v>
      </c>
      <c r="X1157">
        <v>1</v>
      </c>
      <c r="Y1157">
        <v>11</v>
      </c>
      <c r="Z1157">
        <v>3</v>
      </c>
      <c r="AA1157">
        <v>3</v>
      </c>
      <c r="AB1157">
        <v>10</v>
      </c>
      <c r="AC1157">
        <v>8</v>
      </c>
      <c r="AD1157">
        <v>0</v>
      </c>
      <c r="AE1157">
        <v>7</v>
      </c>
      <c r="AF1157">
        <v>0</v>
      </c>
      <c r="AG1157">
        <f>IF(tbl_HR_Data[[#This Row],[Gender]]="Male",1,0)</f>
        <v>1</v>
      </c>
      <c r="AH1157" cm="1">
        <f t="array" ref="AH1157">_xlfn.SWITCH(tbl_HR_Data[[#This Row],[BusinessTravel]], "Non-Travel", 0, "Travel_Rarely", 1, "Travel_Frequently", 2)</f>
        <v>1</v>
      </c>
      <c r="AI1157" cm="1">
        <f t="array" ref="AI1157">_xlfn.SWITCH(tbl_HR_Data[[#This Row],[MaritalStatus]],"Single",0,"Married",1,"Divorced",2)</f>
        <v>2</v>
      </c>
      <c r="AJ1157">
        <f>IF(tbl_HR_Data[[#This Row],[OverTime]]=1,1,0)</f>
        <v>0</v>
      </c>
      <c r="AK1157">
        <f>IF(tbl_HR_Data[[#This Row],[DistanceFromHome]]&gt;15,1,0)</f>
        <v>0</v>
      </c>
      <c r="AL1157">
        <f>IF(tbl_HR_Data[[#This Row],[JobSatisfaction]]&lt;=2,1,0)</f>
        <v>0</v>
      </c>
      <c r="AM1157">
        <f>IF(tbl_HR_Data[[#This Row],[MonthlyIncome]]&lt;$AT$2,1,0)</f>
        <v>1</v>
      </c>
      <c r="AN1157">
        <f>IF(tbl_HR_Data[[#This Row],[Travel_Code]]=2,1,0)</f>
        <v>0</v>
      </c>
      <c r="AO1157">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157" s="15">
        <f>tbl_HR_Data[[#This Row],[Risk_Score_Raw]] / SUM(Logic_Parameters!$B$2:$B$6)</f>
        <v>0.22374939857982484</v>
      </c>
      <c r="AQ1157" s="16" t="str" cm="1">
        <f t="array" ref="AQ1157">_xlfn.IFS(tbl_HR_Data[[#This Row],[Attrition_Risk_Percentage]] &gt;= 0.75, "Critical",tbl_HR_Data[ [#This Row],[Attrition_Risk_Percentage] ]&gt;= 0.5, "High",tbl_HR_Data[[#This Row],[Attrition_Risk_Percentage]] &gt;= 0.25, "Medium",TRUE, "Low")</f>
        <v>Low</v>
      </c>
      <c r="AR1157" s="16" cm="1">
        <f t="array" ref="AR1157">IFERROR(_xlfn.IFS(tbl_HR_Data[[#This Row],[Risk_Category]]="Critical",tbl_HR_Data[[#This Row],[MonthlyIncome]]*1.5,tbl_HR_Data[[#This Row],[Risk_Category]]="High",tbl_HR_Data[[#This Row],[MonthlyIncome]]*1.5),0)</f>
        <v>0</v>
      </c>
    </row>
    <row r="1158" spans="1:44" x14ac:dyDescent="0.35">
      <c r="A1158" t="s">
        <v>599</v>
      </c>
      <c r="B1158">
        <v>40</v>
      </c>
      <c r="C1158" t="s">
        <v>31</v>
      </c>
      <c r="D1158">
        <v>884</v>
      </c>
      <c r="E1158" t="s">
        <v>38</v>
      </c>
      <c r="F1158">
        <v>15</v>
      </c>
      <c r="G1158">
        <v>3</v>
      </c>
      <c r="H1158" t="s">
        <v>33</v>
      </c>
      <c r="I1158">
        <v>1</v>
      </c>
      <c r="J1158" t="s">
        <v>34</v>
      </c>
      <c r="K1158">
        <v>80</v>
      </c>
      <c r="L1158">
        <v>2</v>
      </c>
      <c r="M1158">
        <v>3</v>
      </c>
      <c r="N1158" t="s">
        <v>46</v>
      </c>
      <c r="O1158">
        <v>3</v>
      </c>
      <c r="P1158" t="s">
        <v>41</v>
      </c>
      <c r="Q1158">
        <v>10435</v>
      </c>
      <c r="R1158">
        <v>25800</v>
      </c>
      <c r="S1158">
        <v>1</v>
      </c>
      <c r="T1158">
        <v>0</v>
      </c>
      <c r="U1158" s="17">
        <v>0.13</v>
      </c>
      <c r="V1158">
        <v>3</v>
      </c>
      <c r="W1158">
        <v>4</v>
      </c>
      <c r="X1158">
        <v>2</v>
      </c>
      <c r="Y1158">
        <v>18</v>
      </c>
      <c r="Z1158">
        <v>2</v>
      </c>
      <c r="AA1158">
        <v>3</v>
      </c>
      <c r="AB1158">
        <v>18</v>
      </c>
      <c r="AC1158">
        <v>15</v>
      </c>
      <c r="AD1158">
        <v>14</v>
      </c>
      <c r="AE1158">
        <v>12</v>
      </c>
      <c r="AF1158">
        <v>0</v>
      </c>
      <c r="AG1158">
        <f>IF(tbl_HR_Data[[#This Row],[Gender]]="Male",1,0)</f>
        <v>0</v>
      </c>
      <c r="AH1158" cm="1">
        <f t="array" ref="AH1158">_xlfn.SWITCH(tbl_HR_Data[[#This Row],[BusinessTravel]], "Non-Travel", 0, "Travel_Rarely", 1, "Travel_Frequently", 2)</f>
        <v>1</v>
      </c>
      <c r="AI1158" cm="1">
        <f t="array" ref="AI1158">_xlfn.SWITCH(tbl_HR_Data[[#This Row],[MaritalStatus]],"Single",0,"Married",1,"Divorced",2)</f>
        <v>1</v>
      </c>
      <c r="AJ1158">
        <f>IF(tbl_HR_Data[[#This Row],[OverTime]]=1,1,0)</f>
        <v>0</v>
      </c>
      <c r="AK1158">
        <f>IF(tbl_HR_Data[[#This Row],[DistanceFromHome]]&gt;15,1,0)</f>
        <v>0</v>
      </c>
      <c r="AL1158">
        <f>IF(tbl_HR_Data[[#This Row],[JobSatisfaction]]&lt;=2,1,0)</f>
        <v>0</v>
      </c>
      <c r="AM1158">
        <f>IF(tbl_HR_Data[[#This Row],[MonthlyIncome]]&lt;$AT$2,1,0)</f>
        <v>0</v>
      </c>
      <c r="AN1158">
        <f>IF(tbl_HR_Data[[#This Row],[Travel_Code]]=2,1,0)</f>
        <v>0</v>
      </c>
      <c r="AO1158">
        <f>(tbl_HR_Data[[#This Row],[Flag_OT]] * Logic_Parameters!$B$2) +
 (tbl_HR_Data[[#This Row],[Flag_Travel]] * Logic_Parameters!$B$3) +
 (tbl_HR_Data[[#This Row],[Flag_Satisfaction]] * Logic_Parameters!$B$4) +
 (tbl_HR_Data[[#This Row],[Flag_Distance]]* Logic_Parameters!$B$5) +
 (tbl_HR_Data[[#This Row],[Flag_Income]] * Logic_Parameters!$B$6)</f>
        <v>0</v>
      </c>
      <c r="AP1158" s="15">
        <f>tbl_HR_Data[[#This Row],[Risk_Score_Raw]] / SUM(Logic_Parameters!$B$2:$B$6)</f>
        <v>0</v>
      </c>
      <c r="AQ1158" s="16" t="str" cm="1">
        <f t="array" ref="AQ1158">_xlfn.IFS(tbl_HR_Data[[#This Row],[Attrition_Risk_Percentage]] &gt;= 0.75, "Critical",tbl_HR_Data[ [#This Row],[Attrition_Risk_Percentage] ]&gt;= 0.5, "High",tbl_HR_Data[[#This Row],[Attrition_Risk_Percentage]] &gt;= 0.25, "Medium",TRUE, "Low")</f>
        <v>Low</v>
      </c>
      <c r="AR1158" s="16" cm="1">
        <f t="array" ref="AR1158">IFERROR(_xlfn.IFS(tbl_HR_Data[[#This Row],[Risk_Category]]="Critical",tbl_HR_Data[[#This Row],[MonthlyIncome]]*1.5,tbl_HR_Data[[#This Row],[Risk_Category]]="High",tbl_HR_Data[[#This Row],[MonthlyIncome]]*1.5),0)</f>
        <v>0</v>
      </c>
    </row>
    <row r="1159" spans="1:44" x14ac:dyDescent="0.35">
      <c r="A1159" t="s">
        <v>1003</v>
      </c>
      <c r="B1159">
        <v>35</v>
      </c>
      <c r="C1159" t="s">
        <v>1525</v>
      </c>
      <c r="D1159">
        <v>208</v>
      </c>
      <c r="E1159" t="s">
        <v>38</v>
      </c>
      <c r="F1159">
        <v>8</v>
      </c>
      <c r="G1159">
        <v>4</v>
      </c>
      <c r="H1159" t="s">
        <v>33</v>
      </c>
      <c r="I1159">
        <v>3</v>
      </c>
      <c r="J1159" t="s">
        <v>34</v>
      </c>
      <c r="K1159">
        <v>52</v>
      </c>
      <c r="L1159">
        <v>3</v>
      </c>
      <c r="M1159">
        <v>2</v>
      </c>
      <c r="N1159" t="s">
        <v>47</v>
      </c>
      <c r="O1159">
        <v>3</v>
      </c>
      <c r="P1159" t="s">
        <v>41</v>
      </c>
      <c r="Q1159">
        <v>4148</v>
      </c>
      <c r="R1159">
        <v>12250</v>
      </c>
      <c r="S1159">
        <v>1</v>
      </c>
      <c r="T1159">
        <v>0</v>
      </c>
      <c r="U1159" s="17">
        <v>0.12</v>
      </c>
      <c r="V1159">
        <v>3</v>
      </c>
      <c r="W1159">
        <v>4</v>
      </c>
      <c r="X1159">
        <v>1</v>
      </c>
      <c r="Y1159">
        <v>15</v>
      </c>
      <c r="Z1159">
        <v>5</v>
      </c>
      <c r="AA1159">
        <v>3</v>
      </c>
      <c r="AB1159">
        <v>14</v>
      </c>
      <c r="AC1159">
        <v>11</v>
      </c>
      <c r="AD1159">
        <v>2</v>
      </c>
      <c r="AE1159">
        <v>9</v>
      </c>
      <c r="AF1159">
        <v>0</v>
      </c>
      <c r="AG1159">
        <f>IF(tbl_HR_Data[[#This Row],[Gender]]="Male",1,0)</f>
        <v>0</v>
      </c>
      <c r="AH1159" cm="1">
        <f t="array" ref="AH1159">_xlfn.SWITCH(tbl_HR_Data[[#This Row],[BusinessTravel]], "Non-Travel", 0, "Travel_Rarely", 1, "Travel_Frequently", 2)</f>
        <v>0</v>
      </c>
      <c r="AI1159" cm="1">
        <f t="array" ref="AI1159">_xlfn.SWITCH(tbl_HR_Data[[#This Row],[MaritalStatus]],"Single",0,"Married",1,"Divorced",2)</f>
        <v>1</v>
      </c>
      <c r="AJ1159">
        <f>IF(tbl_HR_Data[[#This Row],[OverTime]]=1,1,0)</f>
        <v>0</v>
      </c>
      <c r="AK1159">
        <f>IF(tbl_HR_Data[[#This Row],[DistanceFromHome]]&gt;15,1,0)</f>
        <v>0</v>
      </c>
      <c r="AL1159">
        <f>IF(tbl_HR_Data[[#This Row],[JobSatisfaction]]&lt;=2,1,0)</f>
        <v>0</v>
      </c>
      <c r="AM1159">
        <f>IF(tbl_HR_Data[[#This Row],[MonthlyIncome]]&lt;$AT$2,1,0)</f>
        <v>1</v>
      </c>
      <c r="AN1159">
        <f>IF(tbl_HR_Data[[#This Row],[Travel_Code]]=2,1,0)</f>
        <v>0</v>
      </c>
      <c r="AO1159">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159" s="15">
        <f>tbl_HR_Data[[#This Row],[Risk_Score_Raw]] / SUM(Logic_Parameters!$B$2:$B$6)</f>
        <v>0.22374939857982484</v>
      </c>
      <c r="AQ1159" s="16" t="str" cm="1">
        <f t="array" ref="AQ1159">_xlfn.IFS(tbl_HR_Data[[#This Row],[Attrition_Risk_Percentage]] &gt;= 0.75, "Critical",tbl_HR_Data[ [#This Row],[Attrition_Risk_Percentage] ]&gt;= 0.5, "High",tbl_HR_Data[[#This Row],[Attrition_Risk_Percentage]] &gt;= 0.25, "Medium",TRUE, "Low")</f>
        <v>Low</v>
      </c>
      <c r="AR1159" s="16" cm="1">
        <f t="array" ref="AR1159">IFERROR(_xlfn.IFS(tbl_HR_Data[[#This Row],[Risk_Category]]="Critical",tbl_HR_Data[[#This Row],[MonthlyIncome]]*1.5,tbl_HR_Data[[#This Row],[Risk_Category]]="High",tbl_HR_Data[[#This Row],[MonthlyIncome]]*1.5),0)</f>
        <v>0</v>
      </c>
    </row>
    <row r="1160" spans="1:44" x14ac:dyDescent="0.35">
      <c r="A1160" t="s">
        <v>1199</v>
      </c>
      <c r="B1160">
        <v>37</v>
      </c>
      <c r="C1160" t="s">
        <v>31</v>
      </c>
      <c r="D1160">
        <v>671</v>
      </c>
      <c r="E1160" t="s">
        <v>38</v>
      </c>
      <c r="F1160">
        <v>19</v>
      </c>
      <c r="G1160">
        <v>3</v>
      </c>
      <c r="H1160" t="s">
        <v>33</v>
      </c>
      <c r="I1160">
        <v>3</v>
      </c>
      <c r="J1160" t="s">
        <v>39</v>
      </c>
      <c r="K1160">
        <v>85</v>
      </c>
      <c r="L1160">
        <v>3</v>
      </c>
      <c r="M1160">
        <v>2</v>
      </c>
      <c r="N1160" t="s">
        <v>46</v>
      </c>
      <c r="O1160">
        <v>3</v>
      </c>
      <c r="P1160" t="s">
        <v>41</v>
      </c>
      <c r="Q1160">
        <v>5768</v>
      </c>
      <c r="R1160">
        <v>26493</v>
      </c>
      <c r="S1160">
        <v>3</v>
      </c>
      <c r="T1160">
        <v>0</v>
      </c>
      <c r="U1160" s="17">
        <v>0.17</v>
      </c>
      <c r="V1160">
        <v>3</v>
      </c>
      <c r="W1160">
        <v>1</v>
      </c>
      <c r="X1160">
        <v>3</v>
      </c>
      <c r="Y1160">
        <v>9</v>
      </c>
      <c r="Z1160">
        <v>2</v>
      </c>
      <c r="AA1160">
        <v>2</v>
      </c>
      <c r="AB1160">
        <v>4</v>
      </c>
      <c r="AC1160">
        <v>3</v>
      </c>
      <c r="AD1160">
        <v>0</v>
      </c>
      <c r="AE1160">
        <v>2</v>
      </c>
      <c r="AF1160">
        <v>0</v>
      </c>
      <c r="AG1160">
        <f>IF(tbl_HR_Data[[#This Row],[Gender]]="Male",1,0)</f>
        <v>1</v>
      </c>
      <c r="AH1160" cm="1">
        <f t="array" ref="AH1160">_xlfn.SWITCH(tbl_HR_Data[[#This Row],[BusinessTravel]], "Non-Travel", 0, "Travel_Rarely", 1, "Travel_Frequently", 2)</f>
        <v>1</v>
      </c>
      <c r="AI1160" cm="1">
        <f t="array" ref="AI1160">_xlfn.SWITCH(tbl_HR_Data[[#This Row],[MaritalStatus]],"Single",0,"Married",1,"Divorced",2)</f>
        <v>1</v>
      </c>
      <c r="AJ1160">
        <f>IF(tbl_HR_Data[[#This Row],[OverTime]]=1,1,0)</f>
        <v>0</v>
      </c>
      <c r="AK1160">
        <f>IF(tbl_HR_Data[[#This Row],[DistanceFromHome]]&gt;15,1,0)</f>
        <v>1</v>
      </c>
      <c r="AL1160">
        <f>IF(tbl_HR_Data[[#This Row],[JobSatisfaction]]&lt;=2,1,0)</f>
        <v>0</v>
      </c>
      <c r="AM1160">
        <f>IF(tbl_HR_Data[[#This Row],[MonthlyIncome]]&lt;$AT$2,1,0)</f>
        <v>0</v>
      </c>
      <c r="AN1160">
        <f>IF(tbl_HR_Data[[#This Row],[Travel_Code]]=2,1,0)</f>
        <v>0</v>
      </c>
      <c r="AO1160">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1160" s="15">
        <f>tbl_HR_Data[[#This Row],[Risk_Score_Raw]] / SUM(Logic_Parameters!$B$2:$B$6)</f>
        <v>0.10908033267710357</v>
      </c>
      <c r="AQ1160" s="16" t="str" cm="1">
        <f t="array" ref="AQ1160">_xlfn.IFS(tbl_HR_Data[[#This Row],[Attrition_Risk_Percentage]] &gt;= 0.75, "Critical",tbl_HR_Data[ [#This Row],[Attrition_Risk_Percentage] ]&gt;= 0.5, "High",tbl_HR_Data[[#This Row],[Attrition_Risk_Percentage]] &gt;= 0.25, "Medium",TRUE, "Low")</f>
        <v>Low</v>
      </c>
      <c r="AR1160" s="16" cm="1">
        <f t="array" ref="AR1160">IFERROR(_xlfn.IFS(tbl_HR_Data[[#This Row],[Risk_Category]]="Critical",tbl_HR_Data[[#This Row],[MonthlyIncome]]*1.5,tbl_HR_Data[[#This Row],[Risk_Category]]="High",tbl_HR_Data[[#This Row],[MonthlyIncome]]*1.5),0)</f>
        <v>0</v>
      </c>
    </row>
    <row r="1161" spans="1:44" x14ac:dyDescent="0.35">
      <c r="A1161" t="s">
        <v>140</v>
      </c>
      <c r="B1161">
        <v>39</v>
      </c>
      <c r="C1161" t="s">
        <v>37</v>
      </c>
      <c r="D1161">
        <v>711</v>
      </c>
      <c r="E1161" t="s">
        <v>38</v>
      </c>
      <c r="F1161">
        <v>4</v>
      </c>
      <c r="G1161">
        <v>3</v>
      </c>
      <c r="H1161" t="s">
        <v>44</v>
      </c>
      <c r="I1161">
        <v>1</v>
      </c>
      <c r="J1161" t="s">
        <v>34</v>
      </c>
      <c r="K1161">
        <v>81</v>
      </c>
      <c r="L1161">
        <v>3</v>
      </c>
      <c r="M1161">
        <v>2</v>
      </c>
      <c r="N1161" t="s">
        <v>46</v>
      </c>
      <c r="O1161">
        <v>3</v>
      </c>
      <c r="P1161" t="s">
        <v>36</v>
      </c>
      <c r="Q1161">
        <v>5042</v>
      </c>
      <c r="R1161">
        <v>3140</v>
      </c>
      <c r="S1161">
        <v>0</v>
      </c>
      <c r="T1161">
        <v>0</v>
      </c>
      <c r="U1161" s="17">
        <v>0.13</v>
      </c>
      <c r="V1161">
        <v>3</v>
      </c>
      <c r="W1161">
        <v>4</v>
      </c>
      <c r="X1161">
        <v>0</v>
      </c>
      <c r="Y1161">
        <v>10</v>
      </c>
      <c r="Z1161">
        <v>2</v>
      </c>
      <c r="AA1161">
        <v>1</v>
      </c>
      <c r="AB1161">
        <v>9</v>
      </c>
      <c r="AC1161">
        <v>2</v>
      </c>
      <c r="AD1161">
        <v>3</v>
      </c>
      <c r="AE1161">
        <v>8</v>
      </c>
      <c r="AF1161">
        <v>0</v>
      </c>
      <c r="AG1161">
        <f>IF(tbl_HR_Data[[#This Row],[Gender]]="Male",1,0)</f>
        <v>0</v>
      </c>
      <c r="AH1161" cm="1">
        <f t="array" ref="AH1161">_xlfn.SWITCH(tbl_HR_Data[[#This Row],[BusinessTravel]], "Non-Travel", 0, "Travel_Rarely", 1, "Travel_Frequently", 2)</f>
        <v>2</v>
      </c>
      <c r="AI1161" cm="1">
        <f t="array" ref="AI1161">_xlfn.SWITCH(tbl_HR_Data[[#This Row],[MaritalStatus]],"Single",0,"Married",1,"Divorced",2)</f>
        <v>0</v>
      </c>
      <c r="AJ1161">
        <f>IF(tbl_HR_Data[[#This Row],[OverTime]]=1,1,0)</f>
        <v>0</v>
      </c>
      <c r="AK1161">
        <f>IF(tbl_HR_Data[[#This Row],[DistanceFromHome]]&gt;15,1,0)</f>
        <v>0</v>
      </c>
      <c r="AL1161">
        <f>IF(tbl_HR_Data[[#This Row],[JobSatisfaction]]&lt;=2,1,0)</f>
        <v>0</v>
      </c>
      <c r="AM1161">
        <f>IF(tbl_HR_Data[[#This Row],[MonthlyIncome]]&lt;$AT$2,1,0)</f>
        <v>0</v>
      </c>
      <c r="AN1161">
        <f>IF(tbl_HR_Data[[#This Row],[Travel_Code]]=2,1,0)</f>
        <v>1</v>
      </c>
      <c r="AO1161">
        <f>(tbl_HR_Data[[#This Row],[Flag_OT]] * Logic_Parameters!$B$2) +
 (tbl_HR_Data[[#This Row],[Flag_Travel]] * Logic_Parameters!$B$3) +
 (tbl_HR_Data[[#This Row],[Flag_Satisfaction]] * Logic_Parameters!$B$4) +
 (tbl_HR_Data[[#This Row],[Flag_Distance]]* Logic_Parameters!$B$5) +
 (tbl_HR_Data[[#This Row],[Flag_Income]] * Logic_Parameters!$B$6)</f>
        <v>5.1603899804901765</v>
      </c>
      <c r="AP1161" s="15">
        <f>tbl_HR_Data[[#This Row],[Risk_Score_Raw]] / SUM(Logic_Parameters!$B$2:$B$6)</f>
        <v>0.17778840383009531</v>
      </c>
      <c r="AQ1161" s="16" t="str" cm="1">
        <f t="array" ref="AQ1161">_xlfn.IFS(tbl_HR_Data[[#This Row],[Attrition_Risk_Percentage]] &gt;= 0.75, "Critical",tbl_HR_Data[ [#This Row],[Attrition_Risk_Percentage] ]&gt;= 0.5, "High",tbl_HR_Data[[#This Row],[Attrition_Risk_Percentage]] &gt;= 0.25, "Medium",TRUE, "Low")</f>
        <v>Low</v>
      </c>
      <c r="AR1161" s="16" cm="1">
        <f t="array" ref="AR1161">IFERROR(_xlfn.IFS(tbl_HR_Data[[#This Row],[Risk_Category]]="Critical",tbl_HR_Data[[#This Row],[MonthlyIncome]]*1.5,tbl_HR_Data[[#This Row],[Risk_Category]]="High",tbl_HR_Data[[#This Row],[MonthlyIncome]]*1.5),0)</f>
        <v>0</v>
      </c>
    </row>
    <row r="1162" spans="1:44" x14ac:dyDescent="0.35">
      <c r="A1162" t="s">
        <v>952</v>
      </c>
      <c r="B1162">
        <v>45</v>
      </c>
      <c r="C1162" t="s">
        <v>31</v>
      </c>
      <c r="D1162">
        <v>1329</v>
      </c>
      <c r="E1162" t="s">
        <v>38</v>
      </c>
      <c r="F1162">
        <v>2</v>
      </c>
      <c r="G1162">
        <v>2</v>
      </c>
      <c r="H1162" t="s">
        <v>42</v>
      </c>
      <c r="I1162">
        <v>4</v>
      </c>
      <c r="J1162" t="s">
        <v>34</v>
      </c>
      <c r="K1162">
        <v>59</v>
      </c>
      <c r="L1162">
        <v>2</v>
      </c>
      <c r="M1162">
        <v>2</v>
      </c>
      <c r="N1162" t="s">
        <v>46</v>
      </c>
      <c r="O1162">
        <v>4</v>
      </c>
      <c r="P1162" t="s">
        <v>45</v>
      </c>
      <c r="Q1162">
        <v>5770</v>
      </c>
      <c r="R1162">
        <v>5388</v>
      </c>
      <c r="S1162">
        <v>1</v>
      </c>
      <c r="T1162">
        <v>0</v>
      </c>
      <c r="U1162" s="17">
        <v>0.19</v>
      </c>
      <c r="V1162">
        <v>3</v>
      </c>
      <c r="W1162">
        <v>1</v>
      </c>
      <c r="X1162">
        <v>2</v>
      </c>
      <c r="Y1162">
        <v>10</v>
      </c>
      <c r="Z1162">
        <v>3</v>
      </c>
      <c r="AA1162">
        <v>3</v>
      </c>
      <c r="AB1162">
        <v>10</v>
      </c>
      <c r="AC1162">
        <v>7</v>
      </c>
      <c r="AD1162">
        <v>3</v>
      </c>
      <c r="AE1162">
        <v>9</v>
      </c>
      <c r="AF1162">
        <v>0</v>
      </c>
      <c r="AG1162">
        <f>IF(tbl_HR_Data[[#This Row],[Gender]]="Male",1,0)</f>
        <v>0</v>
      </c>
      <c r="AH1162" cm="1">
        <f t="array" ref="AH1162">_xlfn.SWITCH(tbl_HR_Data[[#This Row],[BusinessTravel]], "Non-Travel", 0, "Travel_Rarely", 1, "Travel_Frequently", 2)</f>
        <v>1</v>
      </c>
      <c r="AI1162" cm="1">
        <f t="array" ref="AI1162">_xlfn.SWITCH(tbl_HR_Data[[#This Row],[MaritalStatus]],"Single",0,"Married",1,"Divorced",2)</f>
        <v>2</v>
      </c>
      <c r="AJ1162">
        <f>IF(tbl_HR_Data[[#This Row],[OverTime]]=1,1,0)</f>
        <v>0</v>
      </c>
      <c r="AK1162">
        <f>IF(tbl_HR_Data[[#This Row],[DistanceFromHome]]&gt;15,1,0)</f>
        <v>0</v>
      </c>
      <c r="AL1162">
        <f>IF(tbl_HR_Data[[#This Row],[JobSatisfaction]]&lt;=2,1,0)</f>
        <v>0</v>
      </c>
      <c r="AM1162">
        <f>IF(tbl_HR_Data[[#This Row],[MonthlyIncome]]&lt;$AT$2,1,0)</f>
        <v>0</v>
      </c>
      <c r="AN1162">
        <f>IF(tbl_HR_Data[[#This Row],[Travel_Code]]=2,1,0)</f>
        <v>0</v>
      </c>
      <c r="AO1162">
        <f>(tbl_HR_Data[[#This Row],[Flag_OT]] * Logic_Parameters!$B$2) +
 (tbl_HR_Data[[#This Row],[Flag_Travel]] * Logic_Parameters!$B$3) +
 (tbl_HR_Data[[#This Row],[Flag_Satisfaction]] * Logic_Parameters!$B$4) +
 (tbl_HR_Data[[#This Row],[Flag_Distance]]* Logic_Parameters!$B$5) +
 (tbl_HR_Data[[#This Row],[Flag_Income]] * Logic_Parameters!$B$6)</f>
        <v>0</v>
      </c>
      <c r="AP1162" s="15">
        <f>tbl_HR_Data[[#This Row],[Risk_Score_Raw]] / SUM(Logic_Parameters!$B$2:$B$6)</f>
        <v>0</v>
      </c>
      <c r="AQ1162" s="16" t="str" cm="1">
        <f t="array" ref="AQ1162">_xlfn.IFS(tbl_HR_Data[[#This Row],[Attrition_Risk_Percentage]] &gt;= 0.75, "Critical",tbl_HR_Data[ [#This Row],[Attrition_Risk_Percentage] ]&gt;= 0.5, "High",tbl_HR_Data[[#This Row],[Attrition_Risk_Percentage]] &gt;= 0.25, "Medium",TRUE, "Low")</f>
        <v>Low</v>
      </c>
      <c r="AR1162" s="16" cm="1">
        <f t="array" ref="AR1162">IFERROR(_xlfn.IFS(tbl_HR_Data[[#This Row],[Risk_Category]]="Critical",tbl_HR_Data[[#This Row],[MonthlyIncome]]*1.5,tbl_HR_Data[[#This Row],[Risk_Category]]="High",tbl_HR_Data[[#This Row],[MonthlyIncome]]*1.5),0)</f>
        <v>0</v>
      </c>
    </row>
    <row r="1163" spans="1:44" x14ac:dyDescent="0.35">
      <c r="A1163" t="s">
        <v>1519</v>
      </c>
      <c r="B1163">
        <v>38</v>
      </c>
      <c r="C1163" t="s">
        <v>31</v>
      </c>
      <c r="D1163">
        <v>397</v>
      </c>
      <c r="E1163" t="s">
        <v>38</v>
      </c>
      <c r="F1163">
        <v>2</v>
      </c>
      <c r="G1163">
        <v>2</v>
      </c>
      <c r="H1163" t="s">
        <v>44</v>
      </c>
      <c r="I1163">
        <v>4</v>
      </c>
      <c r="J1163" t="s">
        <v>34</v>
      </c>
      <c r="K1163">
        <v>54</v>
      </c>
      <c r="L1163">
        <v>2</v>
      </c>
      <c r="M1163">
        <v>3</v>
      </c>
      <c r="N1163" t="s">
        <v>46</v>
      </c>
      <c r="O1163">
        <v>3</v>
      </c>
      <c r="P1163" t="s">
        <v>41</v>
      </c>
      <c r="Q1163">
        <v>7756</v>
      </c>
      <c r="R1163">
        <v>14199</v>
      </c>
      <c r="S1163">
        <v>3</v>
      </c>
      <c r="T1163">
        <v>1</v>
      </c>
      <c r="U1163" s="17">
        <v>0.19</v>
      </c>
      <c r="V1163">
        <v>3</v>
      </c>
      <c r="W1163">
        <v>4</v>
      </c>
      <c r="X1163">
        <v>1</v>
      </c>
      <c r="Y1163">
        <v>10</v>
      </c>
      <c r="Z1163">
        <v>6</v>
      </c>
      <c r="AA1163">
        <v>4</v>
      </c>
      <c r="AB1163">
        <v>5</v>
      </c>
      <c r="AC1163">
        <v>4</v>
      </c>
      <c r="AD1163">
        <v>0</v>
      </c>
      <c r="AE1163">
        <v>2</v>
      </c>
      <c r="AF1163">
        <v>0</v>
      </c>
      <c r="AG1163">
        <f>IF(tbl_HR_Data[[#This Row],[Gender]]="Male",1,0)</f>
        <v>0</v>
      </c>
      <c r="AH1163" cm="1">
        <f t="array" ref="AH1163">_xlfn.SWITCH(tbl_HR_Data[[#This Row],[BusinessTravel]], "Non-Travel", 0, "Travel_Rarely", 1, "Travel_Frequently", 2)</f>
        <v>1</v>
      </c>
      <c r="AI1163" cm="1">
        <f t="array" ref="AI1163">_xlfn.SWITCH(tbl_HR_Data[[#This Row],[MaritalStatus]],"Single",0,"Married",1,"Divorced",2)</f>
        <v>1</v>
      </c>
      <c r="AJ1163">
        <f>IF(tbl_HR_Data[[#This Row],[OverTime]]=1,1,0)</f>
        <v>1</v>
      </c>
      <c r="AK1163">
        <f>IF(tbl_HR_Data[[#This Row],[DistanceFromHome]]&gt;15,1,0)</f>
        <v>0</v>
      </c>
      <c r="AL1163">
        <f>IF(tbl_HR_Data[[#This Row],[JobSatisfaction]]&lt;=2,1,0)</f>
        <v>0</v>
      </c>
      <c r="AM1163">
        <f>IF(tbl_HR_Data[[#This Row],[MonthlyIncome]]&lt;$AT$2,1,0)</f>
        <v>0</v>
      </c>
      <c r="AN1163">
        <f>IF(tbl_HR_Data[[#This Row],[Travel_Code]]=2,1,0)</f>
        <v>0</v>
      </c>
      <c r="AO1163">
        <f>(tbl_HR_Data[[#This Row],[Flag_OT]] * Logic_Parameters!$B$2) +
 (tbl_HR_Data[[#This Row],[Flag_Travel]] * Logic_Parameters!$B$3) +
 (tbl_HR_Data[[#This Row],[Flag_Satisfaction]] * Logic_Parameters!$B$4) +
 (tbl_HR_Data[[#This Row],[Flag_Distance]]* Logic_Parameters!$B$5) +
 (tbl_HR_Data[[#This Row],[Flag_Income]] * Logic_Parameters!$B$6)</f>
        <v>10</v>
      </c>
      <c r="AP1163" s="15">
        <f>tbl_HR_Data[[#This Row],[Risk_Score_Raw]] / SUM(Logic_Parameters!$B$2:$B$6)</f>
        <v>0.3445251318258073</v>
      </c>
      <c r="AQ1163" s="16" t="str" cm="1">
        <f t="array" ref="AQ1163">_xlfn.IFS(tbl_HR_Data[[#This Row],[Attrition_Risk_Percentage]] &gt;= 0.75, "Critical",tbl_HR_Data[ [#This Row],[Attrition_Risk_Percentage] ]&gt;= 0.5, "High",tbl_HR_Data[[#This Row],[Attrition_Risk_Percentage]] &gt;= 0.25, "Medium",TRUE, "Low")</f>
        <v>Medium</v>
      </c>
      <c r="AR1163" s="16" cm="1">
        <f t="array" ref="AR1163">IFERROR(_xlfn.IFS(tbl_HR_Data[[#This Row],[Risk_Category]]="Critical",tbl_HR_Data[[#This Row],[MonthlyIncome]]*1.5,tbl_HR_Data[[#This Row],[Risk_Category]]="High",tbl_HR_Data[[#This Row],[MonthlyIncome]]*1.5),0)</f>
        <v>0</v>
      </c>
    </row>
    <row r="1164" spans="1:44" x14ac:dyDescent="0.35">
      <c r="A1164" t="s">
        <v>528</v>
      </c>
      <c r="B1164">
        <v>35</v>
      </c>
      <c r="C1164" t="s">
        <v>31</v>
      </c>
      <c r="D1164">
        <v>737</v>
      </c>
      <c r="E1164" t="s">
        <v>32</v>
      </c>
      <c r="F1164">
        <v>10</v>
      </c>
      <c r="G1164">
        <v>3</v>
      </c>
      <c r="H1164" t="s">
        <v>44</v>
      </c>
      <c r="I1164">
        <v>4</v>
      </c>
      <c r="J1164" t="s">
        <v>39</v>
      </c>
      <c r="K1164">
        <v>55</v>
      </c>
      <c r="L1164">
        <v>2</v>
      </c>
      <c r="M1164">
        <v>3</v>
      </c>
      <c r="N1164" t="s">
        <v>35</v>
      </c>
      <c r="O1164">
        <v>1</v>
      </c>
      <c r="P1164" t="s">
        <v>41</v>
      </c>
      <c r="Q1164">
        <v>10306</v>
      </c>
      <c r="R1164">
        <v>21530</v>
      </c>
      <c r="S1164">
        <v>9</v>
      </c>
      <c r="T1164">
        <v>0</v>
      </c>
      <c r="U1164" s="17">
        <v>0.17</v>
      </c>
      <c r="V1164">
        <v>3</v>
      </c>
      <c r="W1164">
        <v>3</v>
      </c>
      <c r="X1164">
        <v>0</v>
      </c>
      <c r="Y1164">
        <v>15</v>
      </c>
      <c r="Z1164">
        <v>3</v>
      </c>
      <c r="AA1164">
        <v>3</v>
      </c>
      <c r="AB1164">
        <v>13</v>
      </c>
      <c r="AC1164">
        <v>12</v>
      </c>
      <c r="AD1164">
        <v>6</v>
      </c>
      <c r="AE1164">
        <v>0</v>
      </c>
      <c r="AF1164">
        <v>1</v>
      </c>
      <c r="AG1164">
        <f>IF(tbl_HR_Data[[#This Row],[Gender]]="Male",1,0)</f>
        <v>1</v>
      </c>
      <c r="AH1164" cm="1">
        <f t="array" ref="AH1164">_xlfn.SWITCH(tbl_HR_Data[[#This Row],[BusinessTravel]], "Non-Travel", 0, "Travel_Rarely", 1, "Travel_Frequently", 2)</f>
        <v>1</v>
      </c>
      <c r="AI1164" cm="1">
        <f t="array" ref="AI1164">_xlfn.SWITCH(tbl_HR_Data[[#This Row],[MaritalStatus]],"Single",0,"Married",1,"Divorced",2)</f>
        <v>1</v>
      </c>
      <c r="AJ1164">
        <f>IF(tbl_HR_Data[[#This Row],[OverTime]]=1,1,0)</f>
        <v>0</v>
      </c>
      <c r="AK1164">
        <f>IF(tbl_HR_Data[[#This Row],[DistanceFromHome]]&gt;15,1,0)</f>
        <v>0</v>
      </c>
      <c r="AL1164">
        <f>IF(tbl_HR_Data[[#This Row],[JobSatisfaction]]&lt;=2,1,0)</f>
        <v>1</v>
      </c>
      <c r="AM1164">
        <f>IF(tbl_HR_Data[[#This Row],[MonthlyIncome]]&lt;$AT$2,1,0)</f>
        <v>0</v>
      </c>
      <c r="AN1164">
        <f>IF(tbl_HR_Data[[#This Row],[Travel_Code]]=2,1,0)</f>
        <v>0</v>
      </c>
      <c r="AO1164">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164" s="15">
        <f>tbl_HR_Data[[#This Row],[Risk_Score_Raw]] / SUM(Logic_Parameters!$B$2:$B$6)</f>
        <v>0.14485673308716898</v>
      </c>
      <c r="AQ1164" s="16" t="str" cm="1">
        <f t="array" ref="AQ1164">_xlfn.IFS(tbl_HR_Data[[#This Row],[Attrition_Risk_Percentage]] &gt;= 0.75, "Critical",tbl_HR_Data[ [#This Row],[Attrition_Risk_Percentage] ]&gt;= 0.5, "High",tbl_HR_Data[[#This Row],[Attrition_Risk_Percentage]] &gt;= 0.25, "Medium",TRUE, "Low")</f>
        <v>Low</v>
      </c>
      <c r="AR1164" s="16" cm="1">
        <f t="array" ref="AR1164">IFERROR(_xlfn.IFS(tbl_HR_Data[[#This Row],[Risk_Category]]="Critical",tbl_HR_Data[[#This Row],[MonthlyIncome]]*1.5,tbl_HR_Data[[#This Row],[Risk_Category]]="High",tbl_HR_Data[[#This Row],[MonthlyIncome]]*1.5),0)</f>
        <v>0</v>
      </c>
    </row>
    <row r="1165" spans="1:44" x14ac:dyDescent="0.35">
      <c r="A1165" t="s">
        <v>1347</v>
      </c>
      <c r="B1165">
        <v>37</v>
      </c>
      <c r="C1165" t="s">
        <v>31</v>
      </c>
      <c r="D1165">
        <v>1470</v>
      </c>
      <c r="E1165" t="s">
        <v>38</v>
      </c>
      <c r="F1165">
        <v>10</v>
      </c>
      <c r="G1165">
        <v>3</v>
      </c>
      <c r="H1165" t="s">
        <v>44</v>
      </c>
      <c r="I1165">
        <v>2</v>
      </c>
      <c r="J1165" t="s">
        <v>34</v>
      </c>
      <c r="K1165">
        <v>71</v>
      </c>
      <c r="L1165">
        <v>3</v>
      </c>
      <c r="M1165">
        <v>1</v>
      </c>
      <c r="N1165" t="s">
        <v>40</v>
      </c>
      <c r="O1165">
        <v>2</v>
      </c>
      <c r="P1165" t="s">
        <v>41</v>
      </c>
      <c r="Q1165">
        <v>3936</v>
      </c>
      <c r="R1165">
        <v>9953</v>
      </c>
      <c r="S1165">
        <v>1</v>
      </c>
      <c r="T1165">
        <v>0</v>
      </c>
      <c r="U1165" s="17">
        <v>0.11</v>
      </c>
      <c r="V1165">
        <v>3</v>
      </c>
      <c r="W1165">
        <v>1</v>
      </c>
      <c r="X1165">
        <v>1</v>
      </c>
      <c r="Y1165">
        <v>8</v>
      </c>
      <c r="Z1165">
        <v>2</v>
      </c>
      <c r="AA1165">
        <v>1</v>
      </c>
      <c r="AB1165">
        <v>8</v>
      </c>
      <c r="AC1165">
        <v>4</v>
      </c>
      <c r="AD1165">
        <v>7</v>
      </c>
      <c r="AE1165">
        <v>7</v>
      </c>
      <c r="AF1165">
        <v>0</v>
      </c>
      <c r="AG1165">
        <f>IF(tbl_HR_Data[[#This Row],[Gender]]="Male",1,0)</f>
        <v>0</v>
      </c>
      <c r="AH1165" cm="1">
        <f t="array" ref="AH1165">_xlfn.SWITCH(tbl_HR_Data[[#This Row],[BusinessTravel]], "Non-Travel", 0, "Travel_Rarely", 1, "Travel_Frequently", 2)</f>
        <v>1</v>
      </c>
      <c r="AI1165" cm="1">
        <f t="array" ref="AI1165">_xlfn.SWITCH(tbl_HR_Data[[#This Row],[MaritalStatus]],"Single",0,"Married",1,"Divorced",2)</f>
        <v>1</v>
      </c>
      <c r="AJ1165">
        <f>IF(tbl_HR_Data[[#This Row],[OverTime]]=1,1,0)</f>
        <v>0</v>
      </c>
      <c r="AK1165">
        <f>IF(tbl_HR_Data[[#This Row],[DistanceFromHome]]&gt;15,1,0)</f>
        <v>0</v>
      </c>
      <c r="AL1165">
        <f>IF(tbl_HR_Data[[#This Row],[JobSatisfaction]]&lt;=2,1,0)</f>
        <v>1</v>
      </c>
      <c r="AM1165">
        <f>IF(tbl_HR_Data[[#This Row],[MonthlyIncome]]&lt;$AT$2,1,0)</f>
        <v>1</v>
      </c>
      <c r="AN1165">
        <f>IF(tbl_HR_Data[[#This Row],[Travel_Code]]=2,1,0)</f>
        <v>0</v>
      </c>
      <c r="AO1165">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165" s="15">
        <f>tbl_HR_Data[[#This Row],[Risk_Score_Raw]] / SUM(Logic_Parameters!$B$2:$B$6)</f>
        <v>0.3686061316669938</v>
      </c>
      <c r="AQ1165" s="16" t="str" cm="1">
        <f t="array" ref="AQ1165">_xlfn.IFS(tbl_HR_Data[[#This Row],[Attrition_Risk_Percentage]] &gt;= 0.75, "Critical",tbl_HR_Data[ [#This Row],[Attrition_Risk_Percentage] ]&gt;= 0.5, "High",tbl_HR_Data[[#This Row],[Attrition_Risk_Percentage]] &gt;= 0.25, "Medium",TRUE, "Low")</f>
        <v>Medium</v>
      </c>
      <c r="AR1165" s="16" cm="1">
        <f t="array" ref="AR1165">IFERROR(_xlfn.IFS(tbl_HR_Data[[#This Row],[Risk_Category]]="Critical",tbl_HR_Data[[#This Row],[MonthlyIncome]]*1.5,tbl_HR_Data[[#This Row],[Risk_Category]]="High",tbl_HR_Data[[#This Row],[MonthlyIncome]]*1.5),0)</f>
        <v>0</v>
      </c>
    </row>
    <row r="1166" spans="1:44" x14ac:dyDescent="0.35">
      <c r="A1166" t="s">
        <v>1145</v>
      </c>
      <c r="B1166">
        <v>40</v>
      </c>
      <c r="C1166" t="s">
        <v>31</v>
      </c>
      <c r="D1166">
        <v>448</v>
      </c>
      <c r="E1166" t="s">
        <v>38</v>
      </c>
      <c r="F1166">
        <v>16</v>
      </c>
      <c r="G1166">
        <v>3</v>
      </c>
      <c r="H1166" t="s">
        <v>33</v>
      </c>
      <c r="I1166">
        <v>3</v>
      </c>
      <c r="J1166" t="s">
        <v>34</v>
      </c>
      <c r="K1166">
        <v>84</v>
      </c>
      <c r="L1166">
        <v>3</v>
      </c>
      <c r="M1166">
        <v>3</v>
      </c>
      <c r="N1166" t="s">
        <v>46</v>
      </c>
      <c r="O1166">
        <v>4</v>
      </c>
      <c r="P1166" t="s">
        <v>36</v>
      </c>
      <c r="Q1166">
        <v>7945</v>
      </c>
      <c r="R1166">
        <v>19948</v>
      </c>
      <c r="S1166">
        <v>6</v>
      </c>
      <c r="T1166">
        <v>1</v>
      </c>
      <c r="U1166" s="17">
        <v>0.15</v>
      </c>
      <c r="V1166">
        <v>3</v>
      </c>
      <c r="W1166">
        <v>4</v>
      </c>
      <c r="X1166">
        <v>0</v>
      </c>
      <c r="Y1166">
        <v>18</v>
      </c>
      <c r="Z1166">
        <v>2</v>
      </c>
      <c r="AA1166">
        <v>2</v>
      </c>
      <c r="AB1166">
        <v>4</v>
      </c>
      <c r="AC1166">
        <v>2</v>
      </c>
      <c r="AD1166">
        <v>3</v>
      </c>
      <c r="AE1166">
        <v>3</v>
      </c>
      <c r="AF1166">
        <v>0</v>
      </c>
      <c r="AG1166">
        <f>IF(tbl_HR_Data[[#This Row],[Gender]]="Male",1,0)</f>
        <v>0</v>
      </c>
      <c r="AH1166" cm="1">
        <f t="array" ref="AH1166">_xlfn.SWITCH(tbl_HR_Data[[#This Row],[BusinessTravel]], "Non-Travel", 0, "Travel_Rarely", 1, "Travel_Frequently", 2)</f>
        <v>1</v>
      </c>
      <c r="AI1166" cm="1">
        <f t="array" ref="AI1166">_xlfn.SWITCH(tbl_HR_Data[[#This Row],[MaritalStatus]],"Single",0,"Married",1,"Divorced",2)</f>
        <v>0</v>
      </c>
      <c r="AJ1166">
        <f>IF(tbl_HR_Data[[#This Row],[OverTime]]=1,1,0)</f>
        <v>1</v>
      </c>
      <c r="AK1166">
        <f>IF(tbl_HR_Data[[#This Row],[DistanceFromHome]]&gt;15,1,0)</f>
        <v>1</v>
      </c>
      <c r="AL1166">
        <f>IF(tbl_HR_Data[[#This Row],[JobSatisfaction]]&lt;=2,1,0)</f>
        <v>0</v>
      </c>
      <c r="AM1166">
        <f>IF(tbl_HR_Data[[#This Row],[MonthlyIncome]]&lt;$AT$2,1,0)</f>
        <v>0</v>
      </c>
      <c r="AN1166">
        <f>IF(tbl_HR_Data[[#This Row],[Travel_Code]]=2,1,0)</f>
        <v>0</v>
      </c>
      <c r="AO1166">
        <f>(tbl_HR_Data[[#This Row],[Flag_OT]] * Logic_Parameters!$B$2) +
 (tbl_HR_Data[[#This Row],[Flag_Travel]] * Logic_Parameters!$B$3) +
 (tbl_HR_Data[[#This Row],[Flag_Satisfaction]] * Logic_Parameters!$B$4) +
 (tbl_HR_Data[[#This Row],[Flag_Distance]]* Logic_Parameters!$B$5) +
 (tbl_HR_Data[[#This Row],[Flag_Income]] * Logic_Parameters!$B$6)</f>
        <v>13.166106695875378</v>
      </c>
      <c r="AP1166" s="15">
        <f>tbl_HR_Data[[#This Row],[Risk_Score_Raw]] / SUM(Logic_Parameters!$B$2:$B$6)</f>
        <v>0.45360546450291089</v>
      </c>
      <c r="AQ1166" s="16" t="str" cm="1">
        <f t="array" ref="AQ1166">_xlfn.IFS(tbl_HR_Data[[#This Row],[Attrition_Risk_Percentage]] &gt;= 0.75, "Critical",tbl_HR_Data[ [#This Row],[Attrition_Risk_Percentage] ]&gt;= 0.5, "High",tbl_HR_Data[[#This Row],[Attrition_Risk_Percentage]] &gt;= 0.25, "Medium",TRUE, "Low")</f>
        <v>Medium</v>
      </c>
      <c r="AR1166" s="16" cm="1">
        <f t="array" ref="AR1166">IFERROR(_xlfn.IFS(tbl_HR_Data[[#This Row],[Risk_Category]]="Critical",tbl_HR_Data[[#This Row],[MonthlyIncome]]*1.5,tbl_HR_Data[[#This Row],[Risk_Category]]="High",tbl_HR_Data[[#This Row],[MonthlyIncome]]*1.5),0)</f>
        <v>0</v>
      </c>
    </row>
    <row r="1167" spans="1:44" x14ac:dyDescent="0.35">
      <c r="A1167" t="s">
        <v>976</v>
      </c>
      <c r="B1167">
        <v>44</v>
      </c>
      <c r="C1167" t="s">
        <v>37</v>
      </c>
      <c r="D1167">
        <v>602</v>
      </c>
      <c r="E1167" t="s">
        <v>53</v>
      </c>
      <c r="F1167">
        <v>1</v>
      </c>
      <c r="G1167">
        <v>5</v>
      </c>
      <c r="H1167" t="s">
        <v>53</v>
      </c>
      <c r="I1167">
        <v>1</v>
      </c>
      <c r="J1167" t="s">
        <v>39</v>
      </c>
      <c r="K1167">
        <v>37</v>
      </c>
      <c r="L1167">
        <v>3</v>
      </c>
      <c r="M1167">
        <v>2</v>
      </c>
      <c r="N1167" t="s">
        <v>53</v>
      </c>
      <c r="O1167">
        <v>4</v>
      </c>
      <c r="P1167" t="s">
        <v>41</v>
      </c>
      <c r="Q1167">
        <v>5743</v>
      </c>
      <c r="R1167">
        <v>10503</v>
      </c>
      <c r="S1167">
        <v>4</v>
      </c>
      <c r="T1167">
        <v>1</v>
      </c>
      <c r="U1167" s="17">
        <v>0.11</v>
      </c>
      <c r="V1167">
        <v>3</v>
      </c>
      <c r="W1167">
        <v>3</v>
      </c>
      <c r="X1167">
        <v>0</v>
      </c>
      <c r="Y1167">
        <v>14</v>
      </c>
      <c r="Z1167">
        <v>3</v>
      </c>
      <c r="AA1167">
        <v>3</v>
      </c>
      <c r="AB1167">
        <v>10</v>
      </c>
      <c r="AC1167">
        <v>7</v>
      </c>
      <c r="AD1167">
        <v>0</v>
      </c>
      <c r="AE1167">
        <v>2</v>
      </c>
      <c r="AF1167">
        <v>0</v>
      </c>
      <c r="AG1167">
        <f>IF(tbl_HR_Data[[#This Row],[Gender]]="Male",1,0)</f>
        <v>1</v>
      </c>
      <c r="AH1167" cm="1">
        <f t="array" ref="AH1167">_xlfn.SWITCH(tbl_HR_Data[[#This Row],[BusinessTravel]], "Non-Travel", 0, "Travel_Rarely", 1, "Travel_Frequently", 2)</f>
        <v>2</v>
      </c>
      <c r="AI1167" cm="1">
        <f t="array" ref="AI1167">_xlfn.SWITCH(tbl_HR_Data[[#This Row],[MaritalStatus]],"Single",0,"Married",1,"Divorced",2)</f>
        <v>1</v>
      </c>
      <c r="AJ1167">
        <f>IF(tbl_HR_Data[[#This Row],[OverTime]]=1,1,0)</f>
        <v>1</v>
      </c>
      <c r="AK1167">
        <f>IF(tbl_HR_Data[[#This Row],[DistanceFromHome]]&gt;15,1,0)</f>
        <v>0</v>
      </c>
      <c r="AL1167">
        <f>IF(tbl_HR_Data[[#This Row],[JobSatisfaction]]&lt;=2,1,0)</f>
        <v>0</v>
      </c>
      <c r="AM1167">
        <f>IF(tbl_HR_Data[[#This Row],[MonthlyIncome]]&lt;$AT$2,1,0)</f>
        <v>0</v>
      </c>
      <c r="AN1167">
        <f>IF(tbl_HR_Data[[#This Row],[Travel_Code]]=2,1,0)</f>
        <v>1</v>
      </c>
      <c r="AO1167">
        <f>(tbl_HR_Data[[#This Row],[Flag_OT]] * Logic_Parameters!$B$2) +
 (tbl_HR_Data[[#This Row],[Flag_Travel]] * Logic_Parameters!$B$3) +
 (tbl_HR_Data[[#This Row],[Flag_Satisfaction]] * Logic_Parameters!$B$4) +
 (tbl_HR_Data[[#This Row],[Flag_Distance]]* Logic_Parameters!$B$5) +
 (tbl_HR_Data[[#This Row],[Flag_Income]] * Logic_Parameters!$B$6)</f>
        <v>15.160389980490176</v>
      </c>
      <c r="AP1167" s="15">
        <f>tbl_HR_Data[[#This Row],[Risk_Score_Raw]] / SUM(Logic_Parameters!$B$2:$B$6)</f>
        <v>0.52231353565590266</v>
      </c>
      <c r="AQ1167" s="16" t="str" cm="1">
        <f t="array" ref="AQ1167">_xlfn.IFS(tbl_HR_Data[[#This Row],[Attrition_Risk_Percentage]] &gt;= 0.75, "Critical",tbl_HR_Data[ [#This Row],[Attrition_Risk_Percentage] ]&gt;= 0.5, "High",tbl_HR_Data[[#This Row],[Attrition_Risk_Percentage]] &gt;= 0.25, "Medium",TRUE, "Low")</f>
        <v>High</v>
      </c>
      <c r="AR1167" s="16" cm="1">
        <f t="array" ref="AR1167">IFERROR(_xlfn.IFS(tbl_HR_Data[[#This Row],[Risk_Category]]="Critical",tbl_HR_Data[[#This Row],[MonthlyIncome]]*1.5,tbl_HR_Data[[#This Row],[Risk_Category]]="High",tbl_HR_Data[[#This Row],[MonthlyIncome]]*1.5),0)</f>
        <v>8614.5</v>
      </c>
    </row>
    <row r="1168" spans="1:44" x14ac:dyDescent="0.35">
      <c r="A1168" t="s">
        <v>459</v>
      </c>
      <c r="B1168">
        <v>48</v>
      </c>
      <c r="C1168" t="s">
        <v>37</v>
      </c>
      <c r="D1168">
        <v>365</v>
      </c>
      <c r="E1168" t="s">
        <v>38</v>
      </c>
      <c r="F1168">
        <v>4</v>
      </c>
      <c r="G1168">
        <v>5</v>
      </c>
      <c r="H1168" t="s">
        <v>44</v>
      </c>
      <c r="I1168">
        <v>3</v>
      </c>
      <c r="J1168" t="s">
        <v>39</v>
      </c>
      <c r="K1168">
        <v>89</v>
      </c>
      <c r="L1168">
        <v>2</v>
      </c>
      <c r="M1168">
        <v>4</v>
      </c>
      <c r="N1168" t="s">
        <v>48</v>
      </c>
      <c r="O1168">
        <v>4</v>
      </c>
      <c r="P1168" t="s">
        <v>41</v>
      </c>
      <c r="Q1168">
        <v>15202</v>
      </c>
      <c r="R1168">
        <v>5602</v>
      </c>
      <c r="S1168">
        <v>2</v>
      </c>
      <c r="T1168">
        <v>0</v>
      </c>
      <c r="U1168" s="17">
        <v>0.25</v>
      </c>
      <c r="V1168">
        <v>4</v>
      </c>
      <c r="W1168">
        <v>2</v>
      </c>
      <c r="X1168">
        <v>1</v>
      </c>
      <c r="Y1168">
        <v>23</v>
      </c>
      <c r="Z1168">
        <v>3</v>
      </c>
      <c r="AA1168">
        <v>3</v>
      </c>
      <c r="AB1168">
        <v>2</v>
      </c>
      <c r="AC1168">
        <v>2</v>
      </c>
      <c r="AD1168">
        <v>2</v>
      </c>
      <c r="AE1168">
        <v>2</v>
      </c>
      <c r="AF1168">
        <v>0</v>
      </c>
      <c r="AG1168">
        <f>IF(tbl_HR_Data[[#This Row],[Gender]]="Male",1,0)</f>
        <v>1</v>
      </c>
      <c r="AH1168" cm="1">
        <f t="array" ref="AH1168">_xlfn.SWITCH(tbl_HR_Data[[#This Row],[BusinessTravel]], "Non-Travel", 0, "Travel_Rarely", 1, "Travel_Frequently", 2)</f>
        <v>2</v>
      </c>
      <c r="AI1168" cm="1">
        <f t="array" ref="AI1168">_xlfn.SWITCH(tbl_HR_Data[[#This Row],[MaritalStatus]],"Single",0,"Married",1,"Divorced",2)</f>
        <v>1</v>
      </c>
      <c r="AJ1168">
        <f>IF(tbl_HR_Data[[#This Row],[OverTime]]=1,1,0)</f>
        <v>0</v>
      </c>
      <c r="AK1168">
        <f>IF(tbl_HR_Data[[#This Row],[DistanceFromHome]]&gt;15,1,0)</f>
        <v>0</v>
      </c>
      <c r="AL1168">
        <f>IF(tbl_HR_Data[[#This Row],[JobSatisfaction]]&lt;=2,1,0)</f>
        <v>0</v>
      </c>
      <c r="AM1168">
        <f>IF(tbl_HR_Data[[#This Row],[MonthlyIncome]]&lt;$AT$2,1,0)</f>
        <v>0</v>
      </c>
      <c r="AN1168">
        <f>IF(tbl_HR_Data[[#This Row],[Travel_Code]]=2,1,0)</f>
        <v>1</v>
      </c>
      <c r="AO1168">
        <f>(tbl_HR_Data[[#This Row],[Flag_OT]] * Logic_Parameters!$B$2) +
 (tbl_HR_Data[[#This Row],[Flag_Travel]] * Logic_Parameters!$B$3) +
 (tbl_HR_Data[[#This Row],[Flag_Satisfaction]] * Logic_Parameters!$B$4) +
 (tbl_HR_Data[[#This Row],[Flag_Distance]]* Logic_Parameters!$B$5) +
 (tbl_HR_Data[[#This Row],[Flag_Income]] * Logic_Parameters!$B$6)</f>
        <v>5.1603899804901765</v>
      </c>
      <c r="AP1168" s="15">
        <f>tbl_HR_Data[[#This Row],[Risk_Score_Raw]] / SUM(Logic_Parameters!$B$2:$B$6)</f>
        <v>0.17778840383009531</v>
      </c>
      <c r="AQ1168" s="16" t="str" cm="1">
        <f t="array" ref="AQ1168">_xlfn.IFS(tbl_HR_Data[[#This Row],[Attrition_Risk_Percentage]] &gt;= 0.75, "Critical",tbl_HR_Data[ [#This Row],[Attrition_Risk_Percentage] ]&gt;= 0.5, "High",tbl_HR_Data[[#This Row],[Attrition_Risk_Percentage]] &gt;= 0.25, "Medium",TRUE, "Low")</f>
        <v>Low</v>
      </c>
      <c r="AR1168" s="16" cm="1">
        <f t="array" ref="AR1168">IFERROR(_xlfn.IFS(tbl_HR_Data[[#This Row],[Risk_Category]]="Critical",tbl_HR_Data[[#This Row],[MonthlyIncome]]*1.5,tbl_HR_Data[[#This Row],[Risk_Category]]="High",tbl_HR_Data[[#This Row],[MonthlyIncome]]*1.5),0)</f>
        <v>0</v>
      </c>
    </row>
    <row r="1169" spans="1:44" x14ac:dyDescent="0.35">
      <c r="A1169" t="s">
        <v>543</v>
      </c>
      <c r="B1169">
        <v>35</v>
      </c>
      <c r="C1169" t="s">
        <v>31</v>
      </c>
      <c r="D1169">
        <v>763</v>
      </c>
      <c r="E1169" t="s">
        <v>32</v>
      </c>
      <c r="F1169">
        <v>15</v>
      </c>
      <c r="G1169">
        <v>2</v>
      </c>
      <c r="H1169" t="s">
        <v>44</v>
      </c>
      <c r="I1169">
        <v>1</v>
      </c>
      <c r="J1169" t="s">
        <v>39</v>
      </c>
      <c r="K1169">
        <v>59</v>
      </c>
      <c r="L1169">
        <v>1</v>
      </c>
      <c r="M1169">
        <v>2</v>
      </c>
      <c r="N1169" t="s">
        <v>35</v>
      </c>
      <c r="O1169">
        <v>4</v>
      </c>
      <c r="P1169" t="s">
        <v>45</v>
      </c>
      <c r="Q1169">
        <v>5440</v>
      </c>
      <c r="R1169">
        <v>22098</v>
      </c>
      <c r="S1169">
        <v>6</v>
      </c>
      <c r="T1169">
        <v>1</v>
      </c>
      <c r="U1169" s="17">
        <v>0.14000000000000001</v>
      </c>
      <c r="V1169">
        <v>3</v>
      </c>
      <c r="W1169">
        <v>4</v>
      </c>
      <c r="X1169">
        <v>2</v>
      </c>
      <c r="Y1169">
        <v>7</v>
      </c>
      <c r="Z1169">
        <v>2</v>
      </c>
      <c r="AA1169">
        <v>2</v>
      </c>
      <c r="AB1169">
        <v>2</v>
      </c>
      <c r="AC1169">
        <v>2</v>
      </c>
      <c r="AD1169">
        <v>2</v>
      </c>
      <c r="AE1169">
        <v>2</v>
      </c>
      <c r="AF1169">
        <v>1</v>
      </c>
      <c r="AG1169">
        <f>IF(tbl_HR_Data[[#This Row],[Gender]]="Male",1,0)</f>
        <v>1</v>
      </c>
      <c r="AH1169" cm="1">
        <f t="array" ref="AH1169">_xlfn.SWITCH(tbl_HR_Data[[#This Row],[BusinessTravel]], "Non-Travel", 0, "Travel_Rarely", 1, "Travel_Frequently", 2)</f>
        <v>1</v>
      </c>
      <c r="AI1169" cm="1">
        <f t="array" ref="AI1169">_xlfn.SWITCH(tbl_HR_Data[[#This Row],[MaritalStatus]],"Single",0,"Married",1,"Divorced",2)</f>
        <v>2</v>
      </c>
      <c r="AJ1169">
        <f>IF(tbl_HR_Data[[#This Row],[OverTime]]=1,1,0)</f>
        <v>1</v>
      </c>
      <c r="AK1169">
        <f>IF(tbl_HR_Data[[#This Row],[DistanceFromHome]]&gt;15,1,0)</f>
        <v>0</v>
      </c>
      <c r="AL1169">
        <f>IF(tbl_HR_Data[[#This Row],[JobSatisfaction]]&lt;=2,1,0)</f>
        <v>0</v>
      </c>
      <c r="AM1169">
        <f>IF(tbl_HR_Data[[#This Row],[MonthlyIncome]]&lt;$AT$2,1,0)</f>
        <v>0</v>
      </c>
      <c r="AN1169">
        <f>IF(tbl_HR_Data[[#This Row],[Travel_Code]]=2,1,0)</f>
        <v>0</v>
      </c>
      <c r="AO1169">
        <f>(tbl_HR_Data[[#This Row],[Flag_OT]] * Logic_Parameters!$B$2) +
 (tbl_HR_Data[[#This Row],[Flag_Travel]] * Logic_Parameters!$B$3) +
 (tbl_HR_Data[[#This Row],[Flag_Satisfaction]] * Logic_Parameters!$B$4) +
 (tbl_HR_Data[[#This Row],[Flag_Distance]]* Logic_Parameters!$B$5) +
 (tbl_HR_Data[[#This Row],[Flag_Income]] * Logic_Parameters!$B$6)</f>
        <v>10</v>
      </c>
      <c r="AP1169" s="15">
        <f>tbl_HR_Data[[#This Row],[Risk_Score_Raw]] / SUM(Logic_Parameters!$B$2:$B$6)</f>
        <v>0.3445251318258073</v>
      </c>
      <c r="AQ1169" s="16" t="str" cm="1">
        <f t="array" ref="AQ1169">_xlfn.IFS(tbl_HR_Data[[#This Row],[Attrition_Risk_Percentage]] &gt;= 0.75, "Critical",tbl_HR_Data[ [#This Row],[Attrition_Risk_Percentage] ]&gt;= 0.5, "High",tbl_HR_Data[[#This Row],[Attrition_Risk_Percentage]] &gt;= 0.25, "Medium",TRUE, "Low")</f>
        <v>Medium</v>
      </c>
      <c r="AR1169" s="16" cm="1">
        <f t="array" ref="AR1169">IFERROR(_xlfn.IFS(tbl_HR_Data[[#This Row],[Risk_Category]]="Critical",tbl_HR_Data[[#This Row],[MonthlyIncome]]*1.5,tbl_HR_Data[[#This Row],[Risk_Category]]="High",tbl_HR_Data[[#This Row],[MonthlyIncome]]*1.5),0)</f>
        <v>0</v>
      </c>
    </row>
    <row r="1170" spans="1:44" x14ac:dyDescent="0.35">
      <c r="A1170" t="s">
        <v>551</v>
      </c>
      <c r="B1170">
        <v>24</v>
      </c>
      <c r="C1170" t="s">
        <v>37</v>
      </c>
      <c r="D1170">
        <v>567</v>
      </c>
      <c r="E1170" t="s">
        <v>38</v>
      </c>
      <c r="F1170">
        <v>2</v>
      </c>
      <c r="G1170">
        <v>1</v>
      </c>
      <c r="H1170" t="s">
        <v>52</v>
      </c>
      <c r="I1170">
        <v>1</v>
      </c>
      <c r="J1170" t="s">
        <v>34</v>
      </c>
      <c r="K1170">
        <v>32</v>
      </c>
      <c r="L1170">
        <v>3</v>
      </c>
      <c r="M1170">
        <v>1</v>
      </c>
      <c r="N1170" t="s">
        <v>40</v>
      </c>
      <c r="O1170">
        <v>4</v>
      </c>
      <c r="P1170" t="s">
        <v>36</v>
      </c>
      <c r="Q1170">
        <v>3760</v>
      </c>
      <c r="R1170">
        <v>17218</v>
      </c>
      <c r="S1170">
        <v>1</v>
      </c>
      <c r="T1170">
        <v>1</v>
      </c>
      <c r="U1170" s="17">
        <v>0.13</v>
      </c>
      <c r="V1170">
        <v>3</v>
      </c>
      <c r="W1170">
        <v>3</v>
      </c>
      <c r="X1170">
        <v>0</v>
      </c>
      <c r="Y1170">
        <v>6</v>
      </c>
      <c r="Z1170">
        <v>2</v>
      </c>
      <c r="AA1170">
        <v>3</v>
      </c>
      <c r="AB1170">
        <v>6</v>
      </c>
      <c r="AC1170">
        <v>3</v>
      </c>
      <c r="AD1170">
        <v>1</v>
      </c>
      <c r="AE1170">
        <v>3</v>
      </c>
      <c r="AF1170">
        <v>0</v>
      </c>
      <c r="AG1170">
        <f>IF(tbl_HR_Data[[#This Row],[Gender]]="Male",1,0)</f>
        <v>0</v>
      </c>
      <c r="AH1170" cm="1">
        <f t="array" ref="AH1170">_xlfn.SWITCH(tbl_HR_Data[[#This Row],[BusinessTravel]], "Non-Travel", 0, "Travel_Rarely", 1, "Travel_Frequently", 2)</f>
        <v>2</v>
      </c>
      <c r="AI1170" cm="1">
        <f t="array" ref="AI1170">_xlfn.SWITCH(tbl_HR_Data[[#This Row],[MaritalStatus]],"Single",0,"Married",1,"Divorced",2)</f>
        <v>0</v>
      </c>
      <c r="AJ1170">
        <f>IF(tbl_HR_Data[[#This Row],[OverTime]]=1,1,0)</f>
        <v>1</v>
      </c>
      <c r="AK1170">
        <f>IF(tbl_HR_Data[[#This Row],[DistanceFromHome]]&gt;15,1,0)</f>
        <v>0</v>
      </c>
      <c r="AL1170">
        <f>IF(tbl_HR_Data[[#This Row],[JobSatisfaction]]&lt;=2,1,0)</f>
        <v>0</v>
      </c>
      <c r="AM1170">
        <f>IF(tbl_HR_Data[[#This Row],[MonthlyIncome]]&lt;$AT$2,1,0)</f>
        <v>1</v>
      </c>
      <c r="AN1170">
        <f>IF(tbl_HR_Data[[#This Row],[Travel_Code]]=2,1,0)</f>
        <v>1</v>
      </c>
      <c r="AO1170">
        <f>(tbl_HR_Data[[#This Row],[Flag_OT]] * Logic_Parameters!$B$2) +
 (tbl_HR_Data[[#This Row],[Flag_Travel]] * Logic_Parameters!$B$3) +
 (tbl_HR_Data[[#This Row],[Flag_Satisfaction]] * Logic_Parameters!$B$4) +
 (tbl_HR_Data[[#This Row],[Flag_Distance]]* Logic_Parameters!$B$5) +
 (tbl_HR_Data[[#This Row],[Flag_Income]] * Logic_Parameters!$B$6)</f>
        <v>21.654818917911005</v>
      </c>
      <c r="AP1170" s="15">
        <f>tbl_HR_Data[[#This Row],[Risk_Score_Raw]] / SUM(Logic_Parameters!$B$2:$B$6)</f>
        <v>0.74606293423572745</v>
      </c>
      <c r="AQ1170" s="16" t="str" cm="1">
        <f t="array" ref="AQ1170">_xlfn.IFS(tbl_HR_Data[[#This Row],[Attrition_Risk_Percentage]] &gt;= 0.75, "Critical",tbl_HR_Data[ [#This Row],[Attrition_Risk_Percentage] ]&gt;= 0.5, "High",tbl_HR_Data[[#This Row],[Attrition_Risk_Percentage]] &gt;= 0.25, "Medium",TRUE, "Low")</f>
        <v>High</v>
      </c>
      <c r="AR1170" s="16" cm="1">
        <f t="array" ref="AR1170">IFERROR(_xlfn.IFS(tbl_HR_Data[[#This Row],[Risk_Category]]="Critical",tbl_HR_Data[[#This Row],[MonthlyIncome]]*1.5,tbl_HR_Data[[#This Row],[Risk_Category]]="High",tbl_HR_Data[[#This Row],[MonthlyIncome]]*1.5),0)</f>
        <v>5640</v>
      </c>
    </row>
    <row r="1171" spans="1:44" x14ac:dyDescent="0.35">
      <c r="A1171" t="s">
        <v>325</v>
      </c>
      <c r="B1171">
        <v>27</v>
      </c>
      <c r="C1171" t="s">
        <v>31</v>
      </c>
      <c r="D1171">
        <v>486</v>
      </c>
      <c r="E1171" t="s">
        <v>38</v>
      </c>
      <c r="F1171">
        <v>8</v>
      </c>
      <c r="G1171">
        <v>3</v>
      </c>
      <c r="H1171" t="s">
        <v>44</v>
      </c>
      <c r="I1171">
        <v>2</v>
      </c>
      <c r="J1171" t="s">
        <v>34</v>
      </c>
      <c r="K1171">
        <v>86</v>
      </c>
      <c r="L1171">
        <v>4</v>
      </c>
      <c r="M1171">
        <v>1</v>
      </c>
      <c r="N1171" t="s">
        <v>40</v>
      </c>
      <c r="O1171">
        <v>3</v>
      </c>
      <c r="P1171" t="s">
        <v>41</v>
      </c>
      <c r="Q1171">
        <v>3517</v>
      </c>
      <c r="R1171">
        <v>22490</v>
      </c>
      <c r="S1171">
        <v>7</v>
      </c>
      <c r="T1171">
        <v>0</v>
      </c>
      <c r="U1171" s="17">
        <v>0.17</v>
      </c>
      <c r="V1171">
        <v>3</v>
      </c>
      <c r="W1171">
        <v>1</v>
      </c>
      <c r="X1171">
        <v>0</v>
      </c>
      <c r="Y1171">
        <v>5</v>
      </c>
      <c r="Z1171">
        <v>0</v>
      </c>
      <c r="AA1171">
        <v>3</v>
      </c>
      <c r="AB1171">
        <v>3</v>
      </c>
      <c r="AC1171">
        <v>2</v>
      </c>
      <c r="AD1171">
        <v>0</v>
      </c>
      <c r="AE1171">
        <v>2</v>
      </c>
      <c r="AF1171">
        <v>0</v>
      </c>
      <c r="AG1171">
        <f>IF(tbl_HR_Data[[#This Row],[Gender]]="Male",1,0)</f>
        <v>0</v>
      </c>
      <c r="AH1171" cm="1">
        <f t="array" ref="AH1171">_xlfn.SWITCH(tbl_HR_Data[[#This Row],[BusinessTravel]], "Non-Travel", 0, "Travel_Rarely", 1, "Travel_Frequently", 2)</f>
        <v>1</v>
      </c>
      <c r="AI1171" cm="1">
        <f t="array" ref="AI1171">_xlfn.SWITCH(tbl_HR_Data[[#This Row],[MaritalStatus]],"Single",0,"Married",1,"Divorced",2)</f>
        <v>1</v>
      </c>
      <c r="AJ1171">
        <f>IF(tbl_HR_Data[[#This Row],[OverTime]]=1,1,0)</f>
        <v>0</v>
      </c>
      <c r="AK1171">
        <f>IF(tbl_HR_Data[[#This Row],[DistanceFromHome]]&gt;15,1,0)</f>
        <v>0</v>
      </c>
      <c r="AL1171">
        <f>IF(tbl_HR_Data[[#This Row],[JobSatisfaction]]&lt;=2,1,0)</f>
        <v>0</v>
      </c>
      <c r="AM1171">
        <f>IF(tbl_HR_Data[[#This Row],[MonthlyIncome]]&lt;$AT$2,1,0)</f>
        <v>1</v>
      </c>
      <c r="AN1171">
        <f>IF(tbl_HR_Data[[#This Row],[Travel_Code]]=2,1,0)</f>
        <v>0</v>
      </c>
      <c r="AO1171">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171" s="15">
        <f>tbl_HR_Data[[#This Row],[Risk_Score_Raw]] / SUM(Logic_Parameters!$B$2:$B$6)</f>
        <v>0.22374939857982484</v>
      </c>
      <c r="AQ1171" s="16" t="str" cm="1">
        <f t="array" ref="AQ1171">_xlfn.IFS(tbl_HR_Data[[#This Row],[Attrition_Risk_Percentage]] &gt;= 0.75, "Critical",tbl_HR_Data[ [#This Row],[Attrition_Risk_Percentage] ]&gt;= 0.5, "High",tbl_HR_Data[[#This Row],[Attrition_Risk_Percentage]] &gt;= 0.25, "Medium",TRUE, "Low")</f>
        <v>Low</v>
      </c>
      <c r="AR1171" s="16" cm="1">
        <f t="array" ref="AR1171">IFERROR(_xlfn.IFS(tbl_HR_Data[[#This Row],[Risk_Category]]="Critical",tbl_HR_Data[[#This Row],[MonthlyIncome]]*1.5,tbl_HR_Data[[#This Row],[Risk_Category]]="High",tbl_HR_Data[[#This Row],[MonthlyIncome]]*1.5),0)</f>
        <v>0</v>
      </c>
    </row>
    <row r="1172" spans="1:44" x14ac:dyDescent="0.35">
      <c r="A1172" t="s">
        <v>837</v>
      </c>
      <c r="B1172">
        <v>27</v>
      </c>
      <c r="C1172" t="s">
        <v>37</v>
      </c>
      <c r="D1172">
        <v>591</v>
      </c>
      <c r="E1172" t="s">
        <v>38</v>
      </c>
      <c r="F1172">
        <v>2</v>
      </c>
      <c r="G1172">
        <v>3</v>
      </c>
      <c r="H1172" t="s">
        <v>44</v>
      </c>
      <c r="I1172">
        <v>4</v>
      </c>
      <c r="J1172" t="s">
        <v>39</v>
      </c>
      <c r="K1172">
        <v>87</v>
      </c>
      <c r="L1172">
        <v>3</v>
      </c>
      <c r="M1172">
        <v>1</v>
      </c>
      <c r="N1172" t="s">
        <v>40</v>
      </c>
      <c r="O1172">
        <v>4</v>
      </c>
      <c r="P1172" t="s">
        <v>36</v>
      </c>
      <c r="Q1172">
        <v>2580</v>
      </c>
      <c r="R1172">
        <v>6297</v>
      </c>
      <c r="S1172">
        <v>2</v>
      </c>
      <c r="T1172">
        <v>0</v>
      </c>
      <c r="U1172" s="17">
        <v>0.13</v>
      </c>
      <c r="V1172">
        <v>3</v>
      </c>
      <c r="W1172">
        <v>3</v>
      </c>
      <c r="X1172">
        <v>0</v>
      </c>
      <c r="Y1172">
        <v>6</v>
      </c>
      <c r="Z1172">
        <v>0</v>
      </c>
      <c r="AA1172">
        <v>2</v>
      </c>
      <c r="AB1172">
        <v>4</v>
      </c>
      <c r="AC1172">
        <v>2</v>
      </c>
      <c r="AD1172">
        <v>1</v>
      </c>
      <c r="AE1172">
        <v>2</v>
      </c>
      <c r="AF1172">
        <v>0</v>
      </c>
      <c r="AG1172">
        <f>IF(tbl_HR_Data[[#This Row],[Gender]]="Male",1,0)</f>
        <v>1</v>
      </c>
      <c r="AH1172" cm="1">
        <f t="array" ref="AH1172">_xlfn.SWITCH(tbl_HR_Data[[#This Row],[BusinessTravel]], "Non-Travel", 0, "Travel_Rarely", 1, "Travel_Frequently", 2)</f>
        <v>2</v>
      </c>
      <c r="AI1172" cm="1">
        <f t="array" ref="AI1172">_xlfn.SWITCH(tbl_HR_Data[[#This Row],[MaritalStatus]],"Single",0,"Married",1,"Divorced",2)</f>
        <v>0</v>
      </c>
      <c r="AJ1172">
        <f>IF(tbl_HR_Data[[#This Row],[OverTime]]=1,1,0)</f>
        <v>0</v>
      </c>
      <c r="AK1172">
        <f>IF(tbl_HR_Data[[#This Row],[DistanceFromHome]]&gt;15,1,0)</f>
        <v>0</v>
      </c>
      <c r="AL1172">
        <f>IF(tbl_HR_Data[[#This Row],[JobSatisfaction]]&lt;=2,1,0)</f>
        <v>0</v>
      </c>
      <c r="AM1172">
        <f>IF(tbl_HR_Data[[#This Row],[MonthlyIncome]]&lt;$AT$2,1,0)</f>
        <v>1</v>
      </c>
      <c r="AN1172">
        <f>IF(tbl_HR_Data[[#This Row],[Travel_Code]]=2,1,0)</f>
        <v>1</v>
      </c>
      <c r="AO1172">
        <f>(tbl_HR_Data[[#This Row],[Flag_OT]] * Logic_Parameters!$B$2) +
 (tbl_HR_Data[[#This Row],[Flag_Travel]] * Logic_Parameters!$B$3) +
 (tbl_HR_Data[[#This Row],[Flag_Satisfaction]] * Logic_Parameters!$B$4) +
 (tbl_HR_Data[[#This Row],[Flag_Distance]]* Logic_Parameters!$B$5) +
 (tbl_HR_Data[[#This Row],[Flag_Income]] * Logic_Parameters!$B$6)</f>
        <v>11.654818917911005</v>
      </c>
      <c r="AP1172" s="15">
        <f>tbl_HR_Data[[#This Row],[Risk_Score_Raw]] / SUM(Logic_Parameters!$B$2:$B$6)</f>
        <v>0.40153780240992015</v>
      </c>
      <c r="AQ1172" s="16" t="str" cm="1">
        <f t="array" ref="AQ1172">_xlfn.IFS(tbl_HR_Data[[#This Row],[Attrition_Risk_Percentage]] &gt;= 0.75, "Critical",tbl_HR_Data[ [#This Row],[Attrition_Risk_Percentage] ]&gt;= 0.5, "High",tbl_HR_Data[[#This Row],[Attrition_Risk_Percentage]] &gt;= 0.25, "Medium",TRUE, "Low")</f>
        <v>Medium</v>
      </c>
      <c r="AR1172" s="16" cm="1">
        <f t="array" ref="AR1172">IFERROR(_xlfn.IFS(tbl_HR_Data[[#This Row],[Risk_Category]]="Critical",tbl_HR_Data[[#This Row],[MonthlyIncome]]*1.5,tbl_HR_Data[[#This Row],[Risk_Category]]="High",tbl_HR_Data[[#This Row],[MonthlyIncome]]*1.5),0)</f>
        <v>0</v>
      </c>
    </row>
    <row r="1173" spans="1:44" x14ac:dyDescent="0.35">
      <c r="A1173" t="s">
        <v>699</v>
      </c>
      <c r="B1173">
        <v>40</v>
      </c>
      <c r="C1173" t="s">
        <v>31</v>
      </c>
      <c r="D1173">
        <v>1329</v>
      </c>
      <c r="E1173" t="s">
        <v>38</v>
      </c>
      <c r="F1173">
        <v>7</v>
      </c>
      <c r="G1173">
        <v>3</v>
      </c>
      <c r="H1173" t="s">
        <v>33</v>
      </c>
      <c r="I1173">
        <v>1</v>
      </c>
      <c r="J1173" t="s">
        <v>39</v>
      </c>
      <c r="K1173">
        <v>73</v>
      </c>
      <c r="L1173">
        <v>3</v>
      </c>
      <c r="M1173">
        <v>1</v>
      </c>
      <c r="N1173" t="s">
        <v>43</v>
      </c>
      <c r="O1173">
        <v>1</v>
      </c>
      <c r="P1173" t="s">
        <v>36</v>
      </c>
      <c r="Q1173">
        <v>2166</v>
      </c>
      <c r="R1173">
        <v>3339</v>
      </c>
      <c r="S1173">
        <v>3</v>
      </c>
      <c r="T1173">
        <v>1</v>
      </c>
      <c r="U1173" s="17">
        <v>0.14000000000000001</v>
      </c>
      <c r="V1173">
        <v>3</v>
      </c>
      <c r="W1173">
        <v>2</v>
      </c>
      <c r="X1173">
        <v>0</v>
      </c>
      <c r="Y1173">
        <v>10</v>
      </c>
      <c r="Z1173">
        <v>3</v>
      </c>
      <c r="AA1173">
        <v>1</v>
      </c>
      <c r="AB1173">
        <v>4</v>
      </c>
      <c r="AC1173">
        <v>2</v>
      </c>
      <c r="AD1173">
        <v>0</v>
      </c>
      <c r="AE1173">
        <v>3</v>
      </c>
      <c r="AF1173">
        <v>1</v>
      </c>
      <c r="AG1173">
        <f>IF(tbl_HR_Data[[#This Row],[Gender]]="Male",1,0)</f>
        <v>1</v>
      </c>
      <c r="AH1173" cm="1">
        <f t="array" ref="AH1173">_xlfn.SWITCH(tbl_HR_Data[[#This Row],[BusinessTravel]], "Non-Travel", 0, "Travel_Rarely", 1, "Travel_Frequently", 2)</f>
        <v>1</v>
      </c>
      <c r="AI1173" cm="1">
        <f t="array" ref="AI1173">_xlfn.SWITCH(tbl_HR_Data[[#This Row],[MaritalStatus]],"Single",0,"Married",1,"Divorced",2)</f>
        <v>0</v>
      </c>
      <c r="AJ1173">
        <f>IF(tbl_HR_Data[[#This Row],[OverTime]]=1,1,0)</f>
        <v>1</v>
      </c>
      <c r="AK1173">
        <f>IF(tbl_HR_Data[[#This Row],[DistanceFromHome]]&gt;15,1,0)</f>
        <v>0</v>
      </c>
      <c r="AL1173">
        <f>IF(tbl_HR_Data[[#This Row],[JobSatisfaction]]&lt;=2,1,0)</f>
        <v>1</v>
      </c>
      <c r="AM1173">
        <f>IF(tbl_HR_Data[[#This Row],[MonthlyIncome]]&lt;$AT$2,1,0)</f>
        <v>1</v>
      </c>
      <c r="AN1173">
        <f>IF(tbl_HR_Data[[#This Row],[Travel_Code]]=2,1,0)</f>
        <v>0</v>
      </c>
      <c r="AO1173">
        <f>(tbl_HR_Data[[#This Row],[Flag_OT]] * Logic_Parameters!$B$2) +
 (tbl_HR_Data[[#This Row],[Flag_Travel]] * Logic_Parameters!$B$3) +
 (tbl_HR_Data[[#This Row],[Flag_Satisfaction]] * Logic_Parameters!$B$4) +
 (tbl_HR_Data[[#This Row],[Flag_Distance]]* Logic_Parameters!$B$5) +
 (tbl_HR_Data[[#This Row],[Flag_Income]] * Logic_Parameters!$B$6)</f>
        <v>20.698962067398959</v>
      </c>
      <c r="AP1173" s="15">
        <f>tbl_HR_Data[[#This Row],[Risk_Score_Raw]] / SUM(Logic_Parameters!$B$2:$B$6)</f>
        <v>0.71313126349280109</v>
      </c>
      <c r="AQ1173" s="16" t="str" cm="1">
        <f t="array" ref="AQ1173">_xlfn.IFS(tbl_HR_Data[[#This Row],[Attrition_Risk_Percentage]] &gt;= 0.75, "Critical",tbl_HR_Data[ [#This Row],[Attrition_Risk_Percentage] ]&gt;= 0.5, "High",tbl_HR_Data[[#This Row],[Attrition_Risk_Percentage]] &gt;= 0.25, "Medium",TRUE, "Low")</f>
        <v>High</v>
      </c>
      <c r="AR1173" s="16" cm="1">
        <f t="array" ref="AR1173">IFERROR(_xlfn.IFS(tbl_HR_Data[[#This Row],[Risk_Category]]="Critical",tbl_HR_Data[[#This Row],[MonthlyIncome]]*1.5,tbl_HR_Data[[#This Row],[Risk_Category]]="High",tbl_HR_Data[[#This Row],[MonthlyIncome]]*1.5),0)</f>
        <v>3249</v>
      </c>
    </row>
    <row r="1174" spans="1:44" x14ac:dyDescent="0.35">
      <c r="A1174" t="s">
        <v>947</v>
      </c>
      <c r="B1174">
        <v>29</v>
      </c>
      <c r="C1174" t="s">
        <v>31</v>
      </c>
      <c r="D1174">
        <v>469</v>
      </c>
      <c r="E1174" t="s">
        <v>32</v>
      </c>
      <c r="F1174">
        <v>10</v>
      </c>
      <c r="G1174">
        <v>3</v>
      </c>
      <c r="H1174" t="s">
        <v>44</v>
      </c>
      <c r="I1174">
        <v>3</v>
      </c>
      <c r="J1174" t="s">
        <v>39</v>
      </c>
      <c r="K1174">
        <v>42</v>
      </c>
      <c r="L1174">
        <v>2</v>
      </c>
      <c r="M1174">
        <v>2</v>
      </c>
      <c r="N1174" t="s">
        <v>35</v>
      </c>
      <c r="O1174">
        <v>3</v>
      </c>
      <c r="P1174" t="s">
        <v>36</v>
      </c>
      <c r="Q1174">
        <v>5869</v>
      </c>
      <c r="R1174">
        <v>23413</v>
      </c>
      <c r="S1174">
        <v>9</v>
      </c>
      <c r="T1174">
        <v>0</v>
      </c>
      <c r="U1174" s="17">
        <v>0.11</v>
      </c>
      <c r="V1174">
        <v>3</v>
      </c>
      <c r="W1174">
        <v>3</v>
      </c>
      <c r="X1174">
        <v>0</v>
      </c>
      <c r="Y1174">
        <v>8</v>
      </c>
      <c r="Z1174">
        <v>2</v>
      </c>
      <c r="AA1174">
        <v>3</v>
      </c>
      <c r="AB1174">
        <v>5</v>
      </c>
      <c r="AC1174">
        <v>2</v>
      </c>
      <c r="AD1174">
        <v>1</v>
      </c>
      <c r="AE1174">
        <v>4</v>
      </c>
      <c r="AF1174">
        <v>0</v>
      </c>
      <c r="AG1174">
        <f>IF(tbl_HR_Data[[#This Row],[Gender]]="Male",1,0)</f>
        <v>1</v>
      </c>
      <c r="AH1174" cm="1">
        <f t="array" ref="AH1174">_xlfn.SWITCH(tbl_HR_Data[[#This Row],[BusinessTravel]], "Non-Travel", 0, "Travel_Rarely", 1, "Travel_Frequently", 2)</f>
        <v>1</v>
      </c>
      <c r="AI1174" cm="1">
        <f t="array" ref="AI1174">_xlfn.SWITCH(tbl_HR_Data[[#This Row],[MaritalStatus]],"Single",0,"Married",1,"Divorced",2)</f>
        <v>0</v>
      </c>
      <c r="AJ1174">
        <f>IF(tbl_HR_Data[[#This Row],[OverTime]]=1,1,0)</f>
        <v>0</v>
      </c>
      <c r="AK1174">
        <f>IF(tbl_HR_Data[[#This Row],[DistanceFromHome]]&gt;15,1,0)</f>
        <v>0</v>
      </c>
      <c r="AL1174">
        <f>IF(tbl_HR_Data[[#This Row],[JobSatisfaction]]&lt;=2,1,0)</f>
        <v>0</v>
      </c>
      <c r="AM1174">
        <f>IF(tbl_HR_Data[[#This Row],[MonthlyIncome]]&lt;$AT$2,1,0)</f>
        <v>0</v>
      </c>
      <c r="AN1174">
        <f>IF(tbl_HR_Data[[#This Row],[Travel_Code]]=2,1,0)</f>
        <v>0</v>
      </c>
      <c r="AO1174">
        <f>(tbl_HR_Data[[#This Row],[Flag_OT]] * Logic_Parameters!$B$2) +
 (tbl_HR_Data[[#This Row],[Flag_Travel]] * Logic_Parameters!$B$3) +
 (tbl_HR_Data[[#This Row],[Flag_Satisfaction]] * Logic_Parameters!$B$4) +
 (tbl_HR_Data[[#This Row],[Flag_Distance]]* Logic_Parameters!$B$5) +
 (tbl_HR_Data[[#This Row],[Flag_Income]] * Logic_Parameters!$B$6)</f>
        <v>0</v>
      </c>
      <c r="AP1174" s="15">
        <f>tbl_HR_Data[[#This Row],[Risk_Score_Raw]] / SUM(Logic_Parameters!$B$2:$B$6)</f>
        <v>0</v>
      </c>
      <c r="AQ1174" s="16" t="str" cm="1">
        <f t="array" ref="AQ1174">_xlfn.IFS(tbl_HR_Data[[#This Row],[Attrition_Risk_Percentage]] &gt;= 0.75, "Critical",tbl_HR_Data[ [#This Row],[Attrition_Risk_Percentage] ]&gt;= 0.5, "High",tbl_HR_Data[[#This Row],[Attrition_Risk_Percentage]] &gt;= 0.25, "Medium",TRUE, "Low")</f>
        <v>Low</v>
      </c>
      <c r="AR1174" s="16" cm="1">
        <f t="array" ref="AR1174">IFERROR(_xlfn.IFS(tbl_HR_Data[[#This Row],[Risk_Category]]="Critical",tbl_HR_Data[[#This Row],[MonthlyIncome]]*1.5,tbl_HR_Data[[#This Row],[Risk_Category]]="High",tbl_HR_Data[[#This Row],[MonthlyIncome]]*1.5),0)</f>
        <v>0</v>
      </c>
    </row>
    <row r="1175" spans="1:44" x14ac:dyDescent="0.35">
      <c r="A1175" t="s">
        <v>1514</v>
      </c>
      <c r="B1175">
        <v>36</v>
      </c>
      <c r="C1175" t="s">
        <v>31</v>
      </c>
      <c r="D1175">
        <v>711</v>
      </c>
      <c r="E1175" t="s">
        <v>38</v>
      </c>
      <c r="F1175">
        <v>5</v>
      </c>
      <c r="G1175">
        <v>4</v>
      </c>
      <c r="H1175" t="s">
        <v>33</v>
      </c>
      <c r="I1175">
        <v>2</v>
      </c>
      <c r="J1175" t="s">
        <v>34</v>
      </c>
      <c r="K1175">
        <v>42</v>
      </c>
      <c r="L1175">
        <v>3</v>
      </c>
      <c r="M1175">
        <v>3</v>
      </c>
      <c r="N1175" t="s">
        <v>47</v>
      </c>
      <c r="O1175">
        <v>1</v>
      </c>
      <c r="P1175" t="s">
        <v>41</v>
      </c>
      <c r="Q1175">
        <v>8008</v>
      </c>
      <c r="R1175">
        <v>22792</v>
      </c>
      <c r="S1175">
        <v>4</v>
      </c>
      <c r="T1175">
        <v>0</v>
      </c>
      <c r="U1175" s="17">
        <v>0.12</v>
      </c>
      <c r="V1175">
        <v>3</v>
      </c>
      <c r="W1175">
        <v>3</v>
      </c>
      <c r="X1175">
        <v>2</v>
      </c>
      <c r="Y1175">
        <v>9</v>
      </c>
      <c r="Z1175">
        <v>6</v>
      </c>
      <c r="AA1175">
        <v>3</v>
      </c>
      <c r="AB1175">
        <v>3</v>
      </c>
      <c r="AC1175">
        <v>2</v>
      </c>
      <c r="AD1175">
        <v>0</v>
      </c>
      <c r="AE1175">
        <v>2</v>
      </c>
      <c r="AF1175">
        <v>0</v>
      </c>
      <c r="AG1175">
        <f>IF(tbl_HR_Data[[#This Row],[Gender]]="Male",1,0)</f>
        <v>0</v>
      </c>
      <c r="AH1175" cm="1">
        <f t="array" ref="AH1175">_xlfn.SWITCH(tbl_HR_Data[[#This Row],[BusinessTravel]], "Non-Travel", 0, "Travel_Rarely", 1, "Travel_Frequently", 2)</f>
        <v>1</v>
      </c>
      <c r="AI1175" cm="1">
        <f t="array" ref="AI1175">_xlfn.SWITCH(tbl_HR_Data[[#This Row],[MaritalStatus]],"Single",0,"Married",1,"Divorced",2)</f>
        <v>1</v>
      </c>
      <c r="AJ1175">
        <f>IF(tbl_HR_Data[[#This Row],[OverTime]]=1,1,0)</f>
        <v>0</v>
      </c>
      <c r="AK1175">
        <f>IF(tbl_HR_Data[[#This Row],[DistanceFromHome]]&gt;15,1,0)</f>
        <v>0</v>
      </c>
      <c r="AL1175">
        <f>IF(tbl_HR_Data[[#This Row],[JobSatisfaction]]&lt;=2,1,0)</f>
        <v>1</v>
      </c>
      <c r="AM1175">
        <f>IF(tbl_HR_Data[[#This Row],[MonthlyIncome]]&lt;$AT$2,1,0)</f>
        <v>0</v>
      </c>
      <c r="AN1175">
        <f>IF(tbl_HR_Data[[#This Row],[Travel_Code]]=2,1,0)</f>
        <v>0</v>
      </c>
      <c r="AO1175">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175" s="15">
        <f>tbl_HR_Data[[#This Row],[Risk_Score_Raw]] / SUM(Logic_Parameters!$B$2:$B$6)</f>
        <v>0.14485673308716898</v>
      </c>
      <c r="AQ1175" s="16" t="str" cm="1">
        <f t="array" ref="AQ1175">_xlfn.IFS(tbl_HR_Data[[#This Row],[Attrition_Risk_Percentage]] &gt;= 0.75, "Critical",tbl_HR_Data[ [#This Row],[Attrition_Risk_Percentage] ]&gt;= 0.5, "High",tbl_HR_Data[[#This Row],[Attrition_Risk_Percentage]] &gt;= 0.25, "Medium",TRUE, "Low")</f>
        <v>Low</v>
      </c>
      <c r="AR1175" s="16" cm="1">
        <f t="array" ref="AR1175">IFERROR(_xlfn.IFS(tbl_HR_Data[[#This Row],[Risk_Category]]="Critical",tbl_HR_Data[[#This Row],[MonthlyIncome]]*1.5,tbl_HR_Data[[#This Row],[Risk_Category]]="High",tbl_HR_Data[[#This Row],[MonthlyIncome]]*1.5),0)</f>
        <v>0</v>
      </c>
    </row>
    <row r="1176" spans="1:44" x14ac:dyDescent="0.35">
      <c r="A1176" t="s">
        <v>643</v>
      </c>
      <c r="B1176">
        <v>25</v>
      </c>
      <c r="C1176" t="s">
        <v>37</v>
      </c>
      <c r="D1176">
        <v>772</v>
      </c>
      <c r="E1176" t="s">
        <v>38</v>
      </c>
      <c r="F1176">
        <v>2</v>
      </c>
      <c r="G1176">
        <v>1</v>
      </c>
      <c r="H1176" t="s">
        <v>33</v>
      </c>
      <c r="I1176">
        <v>4</v>
      </c>
      <c r="J1176" t="s">
        <v>39</v>
      </c>
      <c r="K1176">
        <v>77</v>
      </c>
      <c r="L1176">
        <v>4</v>
      </c>
      <c r="M1176">
        <v>2</v>
      </c>
      <c r="N1176" t="s">
        <v>46</v>
      </c>
      <c r="O1176">
        <v>3</v>
      </c>
      <c r="P1176" t="s">
        <v>45</v>
      </c>
      <c r="Q1176">
        <v>5206</v>
      </c>
      <c r="R1176">
        <v>4973</v>
      </c>
      <c r="S1176">
        <v>1</v>
      </c>
      <c r="T1176">
        <v>0</v>
      </c>
      <c r="U1176" s="17">
        <v>0.17</v>
      </c>
      <c r="V1176">
        <v>3</v>
      </c>
      <c r="W1176">
        <v>3</v>
      </c>
      <c r="X1176">
        <v>2</v>
      </c>
      <c r="Y1176">
        <v>7</v>
      </c>
      <c r="Z1176">
        <v>6</v>
      </c>
      <c r="AA1176">
        <v>3</v>
      </c>
      <c r="AB1176">
        <v>7</v>
      </c>
      <c r="AC1176">
        <v>7</v>
      </c>
      <c r="AD1176">
        <v>0</v>
      </c>
      <c r="AE1176">
        <v>7</v>
      </c>
      <c r="AF1176">
        <v>0</v>
      </c>
      <c r="AG1176">
        <f>IF(tbl_HR_Data[[#This Row],[Gender]]="Male",1,0)</f>
        <v>1</v>
      </c>
      <c r="AH1176" cm="1">
        <f t="array" ref="AH1176">_xlfn.SWITCH(tbl_HR_Data[[#This Row],[BusinessTravel]], "Non-Travel", 0, "Travel_Rarely", 1, "Travel_Frequently", 2)</f>
        <v>2</v>
      </c>
      <c r="AI1176" cm="1">
        <f t="array" ref="AI1176">_xlfn.SWITCH(tbl_HR_Data[[#This Row],[MaritalStatus]],"Single",0,"Married",1,"Divorced",2)</f>
        <v>2</v>
      </c>
      <c r="AJ1176">
        <f>IF(tbl_HR_Data[[#This Row],[OverTime]]=1,1,0)</f>
        <v>0</v>
      </c>
      <c r="AK1176">
        <f>IF(tbl_HR_Data[[#This Row],[DistanceFromHome]]&gt;15,1,0)</f>
        <v>0</v>
      </c>
      <c r="AL1176">
        <f>IF(tbl_HR_Data[[#This Row],[JobSatisfaction]]&lt;=2,1,0)</f>
        <v>0</v>
      </c>
      <c r="AM1176">
        <f>IF(tbl_HR_Data[[#This Row],[MonthlyIncome]]&lt;$AT$2,1,0)</f>
        <v>0</v>
      </c>
      <c r="AN1176">
        <f>IF(tbl_HR_Data[[#This Row],[Travel_Code]]=2,1,0)</f>
        <v>1</v>
      </c>
      <c r="AO1176">
        <f>(tbl_HR_Data[[#This Row],[Flag_OT]] * Logic_Parameters!$B$2) +
 (tbl_HR_Data[[#This Row],[Flag_Travel]] * Logic_Parameters!$B$3) +
 (tbl_HR_Data[[#This Row],[Flag_Satisfaction]] * Logic_Parameters!$B$4) +
 (tbl_HR_Data[[#This Row],[Flag_Distance]]* Logic_Parameters!$B$5) +
 (tbl_HR_Data[[#This Row],[Flag_Income]] * Logic_Parameters!$B$6)</f>
        <v>5.1603899804901765</v>
      </c>
      <c r="AP1176" s="15">
        <f>tbl_HR_Data[[#This Row],[Risk_Score_Raw]] / SUM(Logic_Parameters!$B$2:$B$6)</f>
        <v>0.17778840383009531</v>
      </c>
      <c r="AQ1176" s="16" t="str" cm="1">
        <f t="array" ref="AQ1176">_xlfn.IFS(tbl_HR_Data[[#This Row],[Attrition_Risk_Percentage]] &gt;= 0.75, "Critical",tbl_HR_Data[ [#This Row],[Attrition_Risk_Percentage] ]&gt;= 0.5, "High",tbl_HR_Data[[#This Row],[Attrition_Risk_Percentage]] &gt;= 0.25, "Medium",TRUE, "Low")</f>
        <v>Low</v>
      </c>
      <c r="AR1176" s="16" cm="1">
        <f t="array" ref="AR1176">IFERROR(_xlfn.IFS(tbl_HR_Data[[#This Row],[Risk_Category]]="Critical",tbl_HR_Data[[#This Row],[MonthlyIncome]]*1.5,tbl_HR_Data[[#This Row],[Risk_Category]]="High",tbl_HR_Data[[#This Row],[MonthlyIncome]]*1.5),0)</f>
        <v>0</v>
      </c>
    </row>
    <row r="1177" spans="1:44" x14ac:dyDescent="0.35">
      <c r="A1177" t="s">
        <v>1053</v>
      </c>
      <c r="B1177">
        <v>39</v>
      </c>
      <c r="C1177" t="s">
        <v>31</v>
      </c>
      <c r="D1177">
        <v>492</v>
      </c>
      <c r="E1177" t="s">
        <v>38</v>
      </c>
      <c r="F1177">
        <v>12</v>
      </c>
      <c r="G1177">
        <v>3</v>
      </c>
      <c r="H1177" t="s">
        <v>44</v>
      </c>
      <c r="I1177">
        <v>4</v>
      </c>
      <c r="J1177" t="s">
        <v>39</v>
      </c>
      <c r="K1177">
        <v>66</v>
      </c>
      <c r="L1177">
        <v>3</v>
      </c>
      <c r="M1177">
        <v>2</v>
      </c>
      <c r="N1177" t="s">
        <v>46</v>
      </c>
      <c r="O1177">
        <v>2</v>
      </c>
      <c r="P1177" t="s">
        <v>41</v>
      </c>
      <c r="Q1177">
        <v>5295</v>
      </c>
      <c r="R1177">
        <v>7693</v>
      </c>
      <c r="S1177">
        <v>4</v>
      </c>
      <c r="T1177">
        <v>0</v>
      </c>
      <c r="U1177" s="17">
        <v>0.21</v>
      </c>
      <c r="V1177">
        <v>4</v>
      </c>
      <c r="W1177">
        <v>3</v>
      </c>
      <c r="X1177">
        <v>0</v>
      </c>
      <c r="Y1177">
        <v>7</v>
      </c>
      <c r="Z1177">
        <v>3</v>
      </c>
      <c r="AA1177">
        <v>3</v>
      </c>
      <c r="AB1177">
        <v>5</v>
      </c>
      <c r="AC1177">
        <v>4</v>
      </c>
      <c r="AD1177">
        <v>1</v>
      </c>
      <c r="AE1177">
        <v>0</v>
      </c>
      <c r="AF1177">
        <v>0</v>
      </c>
      <c r="AG1177">
        <f>IF(tbl_HR_Data[[#This Row],[Gender]]="Male",1,0)</f>
        <v>1</v>
      </c>
      <c r="AH1177" cm="1">
        <f t="array" ref="AH1177">_xlfn.SWITCH(tbl_HR_Data[[#This Row],[BusinessTravel]], "Non-Travel", 0, "Travel_Rarely", 1, "Travel_Frequently", 2)</f>
        <v>1</v>
      </c>
      <c r="AI1177" cm="1">
        <f t="array" ref="AI1177">_xlfn.SWITCH(tbl_HR_Data[[#This Row],[MaritalStatus]],"Single",0,"Married",1,"Divorced",2)</f>
        <v>1</v>
      </c>
      <c r="AJ1177">
        <f>IF(tbl_HR_Data[[#This Row],[OverTime]]=1,1,0)</f>
        <v>0</v>
      </c>
      <c r="AK1177">
        <f>IF(tbl_HR_Data[[#This Row],[DistanceFromHome]]&gt;15,1,0)</f>
        <v>0</v>
      </c>
      <c r="AL1177">
        <f>IF(tbl_HR_Data[[#This Row],[JobSatisfaction]]&lt;=2,1,0)</f>
        <v>1</v>
      </c>
      <c r="AM1177">
        <f>IF(tbl_HR_Data[[#This Row],[MonthlyIncome]]&lt;$AT$2,1,0)</f>
        <v>0</v>
      </c>
      <c r="AN1177">
        <f>IF(tbl_HR_Data[[#This Row],[Travel_Code]]=2,1,0)</f>
        <v>0</v>
      </c>
      <c r="AO1177">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177" s="15">
        <f>tbl_HR_Data[[#This Row],[Risk_Score_Raw]] / SUM(Logic_Parameters!$B$2:$B$6)</f>
        <v>0.14485673308716898</v>
      </c>
      <c r="AQ1177" s="16" t="str" cm="1">
        <f t="array" ref="AQ1177">_xlfn.IFS(tbl_HR_Data[[#This Row],[Attrition_Risk_Percentage]] &gt;= 0.75, "Critical",tbl_HR_Data[ [#This Row],[Attrition_Risk_Percentage] ]&gt;= 0.5, "High",tbl_HR_Data[[#This Row],[Attrition_Risk_Percentage]] &gt;= 0.25, "Medium",TRUE, "Low")</f>
        <v>Low</v>
      </c>
      <c r="AR1177" s="16" cm="1">
        <f t="array" ref="AR1177">IFERROR(_xlfn.IFS(tbl_HR_Data[[#This Row],[Risk_Category]]="Critical",tbl_HR_Data[[#This Row],[MonthlyIncome]]*1.5,tbl_HR_Data[[#This Row],[Risk_Category]]="High",tbl_HR_Data[[#This Row],[MonthlyIncome]]*1.5),0)</f>
        <v>0</v>
      </c>
    </row>
    <row r="1178" spans="1:44" x14ac:dyDescent="0.35">
      <c r="A1178" t="s">
        <v>961</v>
      </c>
      <c r="B1178">
        <v>49</v>
      </c>
      <c r="C1178" t="s">
        <v>31</v>
      </c>
      <c r="D1178">
        <v>301</v>
      </c>
      <c r="E1178" t="s">
        <v>38</v>
      </c>
      <c r="F1178">
        <v>22</v>
      </c>
      <c r="G1178">
        <v>4</v>
      </c>
      <c r="H1178" t="s">
        <v>42</v>
      </c>
      <c r="I1178">
        <v>1</v>
      </c>
      <c r="J1178" t="s">
        <v>34</v>
      </c>
      <c r="K1178">
        <v>72</v>
      </c>
      <c r="L1178">
        <v>3</v>
      </c>
      <c r="M1178">
        <v>4</v>
      </c>
      <c r="N1178" t="s">
        <v>50</v>
      </c>
      <c r="O1178">
        <v>2</v>
      </c>
      <c r="P1178" t="s">
        <v>41</v>
      </c>
      <c r="Q1178">
        <v>16413</v>
      </c>
      <c r="R1178">
        <v>3498</v>
      </c>
      <c r="S1178">
        <v>3</v>
      </c>
      <c r="T1178">
        <v>0</v>
      </c>
      <c r="U1178" s="17">
        <v>0.16</v>
      </c>
      <c r="V1178">
        <v>3</v>
      </c>
      <c r="W1178">
        <v>2</v>
      </c>
      <c r="X1178">
        <v>2</v>
      </c>
      <c r="Y1178">
        <v>27</v>
      </c>
      <c r="Z1178">
        <v>2</v>
      </c>
      <c r="AA1178">
        <v>3</v>
      </c>
      <c r="AB1178">
        <v>4</v>
      </c>
      <c r="AC1178">
        <v>2</v>
      </c>
      <c r="AD1178">
        <v>1</v>
      </c>
      <c r="AE1178">
        <v>2</v>
      </c>
      <c r="AF1178">
        <v>0</v>
      </c>
      <c r="AG1178">
        <f>IF(tbl_HR_Data[[#This Row],[Gender]]="Male",1,0)</f>
        <v>0</v>
      </c>
      <c r="AH1178" cm="1">
        <f t="array" ref="AH1178">_xlfn.SWITCH(tbl_HR_Data[[#This Row],[BusinessTravel]], "Non-Travel", 0, "Travel_Rarely", 1, "Travel_Frequently", 2)</f>
        <v>1</v>
      </c>
      <c r="AI1178" cm="1">
        <f t="array" ref="AI1178">_xlfn.SWITCH(tbl_HR_Data[[#This Row],[MaritalStatus]],"Single",0,"Married",1,"Divorced",2)</f>
        <v>1</v>
      </c>
      <c r="AJ1178">
        <f>IF(tbl_HR_Data[[#This Row],[OverTime]]=1,1,0)</f>
        <v>0</v>
      </c>
      <c r="AK1178">
        <f>IF(tbl_HR_Data[[#This Row],[DistanceFromHome]]&gt;15,1,0)</f>
        <v>1</v>
      </c>
      <c r="AL1178">
        <f>IF(tbl_HR_Data[[#This Row],[JobSatisfaction]]&lt;=2,1,0)</f>
        <v>1</v>
      </c>
      <c r="AM1178">
        <f>IF(tbl_HR_Data[[#This Row],[MonthlyIncome]]&lt;$AT$2,1,0)</f>
        <v>0</v>
      </c>
      <c r="AN1178">
        <f>IF(tbl_HR_Data[[#This Row],[Travel_Code]]=2,1,0)</f>
        <v>0</v>
      </c>
      <c r="AO1178">
        <f>(tbl_HR_Data[[#This Row],[Flag_OT]] * Logic_Parameters!$B$2) +
 (tbl_HR_Data[[#This Row],[Flag_Travel]] * Logic_Parameters!$B$3) +
 (tbl_HR_Data[[#This Row],[Flag_Satisfaction]] * Logic_Parameters!$B$4) +
 (tbl_HR_Data[[#This Row],[Flag_Distance]]* Logic_Parameters!$B$5) +
 (tbl_HR_Data[[#This Row],[Flag_Income]] * Logic_Parameters!$B$6)</f>
        <v>7.3706398258535089</v>
      </c>
      <c r="AP1178" s="15">
        <f>tbl_HR_Data[[#This Row],[Risk_Score_Raw]] / SUM(Logic_Parameters!$B$2:$B$6)</f>
        <v>0.25393706576427255</v>
      </c>
      <c r="AQ1178" s="16" t="str" cm="1">
        <f t="array" ref="AQ1178">_xlfn.IFS(tbl_HR_Data[[#This Row],[Attrition_Risk_Percentage]] &gt;= 0.75, "Critical",tbl_HR_Data[ [#This Row],[Attrition_Risk_Percentage] ]&gt;= 0.5, "High",tbl_HR_Data[[#This Row],[Attrition_Risk_Percentage]] &gt;= 0.25, "Medium",TRUE, "Low")</f>
        <v>Medium</v>
      </c>
      <c r="AR1178" s="16" cm="1">
        <f t="array" ref="AR1178">IFERROR(_xlfn.IFS(tbl_HR_Data[[#This Row],[Risk_Category]]="Critical",tbl_HR_Data[[#This Row],[MonthlyIncome]]*1.5,tbl_HR_Data[[#This Row],[Risk_Category]]="High",tbl_HR_Data[[#This Row],[MonthlyIncome]]*1.5),0)</f>
        <v>0</v>
      </c>
    </row>
    <row r="1179" spans="1:44" x14ac:dyDescent="0.35">
      <c r="A1179" t="s">
        <v>505</v>
      </c>
      <c r="B1179">
        <v>50</v>
      </c>
      <c r="C1179" t="s">
        <v>31</v>
      </c>
      <c r="D1179">
        <v>813</v>
      </c>
      <c r="E1179" t="s">
        <v>38</v>
      </c>
      <c r="F1179">
        <v>17</v>
      </c>
      <c r="G1179">
        <v>5</v>
      </c>
      <c r="H1179" t="s">
        <v>33</v>
      </c>
      <c r="I1179">
        <v>4</v>
      </c>
      <c r="J1179" t="s">
        <v>34</v>
      </c>
      <c r="K1179">
        <v>50</v>
      </c>
      <c r="L1179">
        <v>2</v>
      </c>
      <c r="M1179">
        <v>3</v>
      </c>
      <c r="N1179" t="s">
        <v>50</v>
      </c>
      <c r="O1179">
        <v>1</v>
      </c>
      <c r="P1179" t="s">
        <v>45</v>
      </c>
      <c r="Q1179">
        <v>13269</v>
      </c>
      <c r="R1179">
        <v>21981</v>
      </c>
      <c r="S1179">
        <v>5</v>
      </c>
      <c r="T1179">
        <v>0</v>
      </c>
      <c r="U1179" s="17">
        <v>0.15</v>
      </c>
      <c r="V1179">
        <v>3</v>
      </c>
      <c r="W1179">
        <v>3</v>
      </c>
      <c r="X1179">
        <v>3</v>
      </c>
      <c r="Y1179">
        <v>19</v>
      </c>
      <c r="Z1179">
        <v>3</v>
      </c>
      <c r="AA1179">
        <v>3</v>
      </c>
      <c r="AB1179">
        <v>14</v>
      </c>
      <c r="AC1179">
        <v>11</v>
      </c>
      <c r="AD1179">
        <v>1</v>
      </c>
      <c r="AE1179">
        <v>11</v>
      </c>
      <c r="AF1179">
        <v>0</v>
      </c>
      <c r="AG1179">
        <f>IF(tbl_HR_Data[[#This Row],[Gender]]="Male",1,0)</f>
        <v>0</v>
      </c>
      <c r="AH1179" cm="1">
        <f t="array" ref="AH1179">_xlfn.SWITCH(tbl_HR_Data[[#This Row],[BusinessTravel]], "Non-Travel", 0, "Travel_Rarely", 1, "Travel_Frequently", 2)</f>
        <v>1</v>
      </c>
      <c r="AI1179" cm="1">
        <f t="array" ref="AI1179">_xlfn.SWITCH(tbl_HR_Data[[#This Row],[MaritalStatus]],"Single",0,"Married",1,"Divorced",2)</f>
        <v>2</v>
      </c>
      <c r="AJ1179">
        <f>IF(tbl_HR_Data[[#This Row],[OverTime]]=1,1,0)</f>
        <v>0</v>
      </c>
      <c r="AK1179">
        <f>IF(tbl_HR_Data[[#This Row],[DistanceFromHome]]&gt;15,1,0)</f>
        <v>1</v>
      </c>
      <c r="AL1179">
        <f>IF(tbl_HR_Data[[#This Row],[JobSatisfaction]]&lt;=2,1,0)</f>
        <v>1</v>
      </c>
      <c r="AM1179">
        <f>IF(tbl_HR_Data[[#This Row],[MonthlyIncome]]&lt;$AT$2,1,0)</f>
        <v>0</v>
      </c>
      <c r="AN1179">
        <f>IF(tbl_HR_Data[[#This Row],[Travel_Code]]=2,1,0)</f>
        <v>0</v>
      </c>
      <c r="AO1179">
        <f>(tbl_HR_Data[[#This Row],[Flag_OT]] * Logic_Parameters!$B$2) +
 (tbl_HR_Data[[#This Row],[Flag_Travel]] * Logic_Parameters!$B$3) +
 (tbl_HR_Data[[#This Row],[Flag_Satisfaction]] * Logic_Parameters!$B$4) +
 (tbl_HR_Data[[#This Row],[Flag_Distance]]* Logic_Parameters!$B$5) +
 (tbl_HR_Data[[#This Row],[Flag_Income]] * Logic_Parameters!$B$6)</f>
        <v>7.3706398258535089</v>
      </c>
      <c r="AP1179" s="15">
        <f>tbl_HR_Data[[#This Row],[Risk_Score_Raw]] / SUM(Logic_Parameters!$B$2:$B$6)</f>
        <v>0.25393706576427255</v>
      </c>
      <c r="AQ1179" s="16" t="str" cm="1">
        <f t="array" ref="AQ1179">_xlfn.IFS(tbl_HR_Data[[#This Row],[Attrition_Risk_Percentage]] &gt;= 0.75, "Critical",tbl_HR_Data[ [#This Row],[Attrition_Risk_Percentage] ]&gt;= 0.5, "High",tbl_HR_Data[[#This Row],[Attrition_Risk_Percentage]] &gt;= 0.25, "Medium",TRUE, "Low")</f>
        <v>Medium</v>
      </c>
      <c r="AR1179" s="16" cm="1">
        <f t="array" ref="AR1179">IFERROR(_xlfn.IFS(tbl_HR_Data[[#This Row],[Risk_Category]]="Critical",tbl_HR_Data[[#This Row],[MonthlyIncome]]*1.5,tbl_HR_Data[[#This Row],[Risk_Category]]="High",tbl_HR_Data[[#This Row],[MonthlyIncome]]*1.5),0)</f>
        <v>0</v>
      </c>
    </row>
    <row r="1180" spans="1:44" x14ac:dyDescent="0.35">
      <c r="A1180" t="s">
        <v>840</v>
      </c>
      <c r="B1180">
        <v>20</v>
      </c>
      <c r="C1180" t="s">
        <v>31</v>
      </c>
      <c r="D1180">
        <v>1141</v>
      </c>
      <c r="E1180" t="s">
        <v>32</v>
      </c>
      <c r="F1180">
        <v>2</v>
      </c>
      <c r="G1180">
        <v>3</v>
      </c>
      <c r="H1180" t="s">
        <v>44</v>
      </c>
      <c r="I1180">
        <v>3</v>
      </c>
      <c r="J1180" t="s">
        <v>34</v>
      </c>
      <c r="K1180">
        <v>31</v>
      </c>
      <c r="L1180">
        <v>3</v>
      </c>
      <c r="M1180">
        <v>1</v>
      </c>
      <c r="N1180" t="s">
        <v>49</v>
      </c>
      <c r="O1180">
        <v>3</v>
      </c>
      <c r="P1180" t="s">
        <v>36</v>
      </c>
      <c r="Q1180">
        <v>2783</v>
      </c>
      <c r="R1180">
        <v>13251</v>
      </c>
      <c r="S1180">
        <v>1</v>
      </c>
      <c r="T1180">
        <v>0</v>
      </c>
      <c r="U1180" s="17">
        <v>0.19</v>
      </c>
      <c r="V1180">
        <v>3</v>
      </c>
      <c r="W1180">
        <v>1</v>
      </c>
      <c r="X1180">
        <v>0</v>
      </c>
      <c r="Y1180">
        <v>2</v>
      </c>
      <c r="Z1180">
        <v>3</v>
      </c>
      <c r="AA1180">
        <v>3</v>
      </c>
      <c r="AB1180">
        <v>2</v>
      </c>
      <c r="AC1180">
        <v>2</v>
      </c>
      <c r="AD1180">
        <v>2</v>
      </c>
      <c r="AE1180">
        <v>2</v>
      </c>
      <c r="AF1180">
        <v>0</v>
      </c>
      <c r="AG1180">
        <f>IF(tbl_HR_Data[[#This Row],[Gender]]="Male",1,0)</f>
        <v>0</v>
      </c>
      <c r="AH1180" cm="1">
        <f t="array" ref="AH1180">_xlfn.SWITCH(tbl_HR_Data[[#This Row],[BusinessTravel]], "Non-Travel", 0, "Travel_Rarely", 1, "Travel_Frequently", 2)</f>
        <v>1</v>
      </c>
      <c r="AI1180" cm="1">
        <f t="array" ref="AI1180">_xlfn.SWITCH(tbl_HR_Data[[#This Row],[MaritalStatus]],"Single",0,"Married",1,"Divorced",2)</f>
        <v>0</v>
      </c>
      <c r="AJ1180">
        <f>IF(tbl_HR_Data[[#This Row],[OverTime]]=1,1,0)</f>
        <v>0</v>
      </c>
      <c r="AK1180">
        <f>IF(tbl_HR_Data[[#This Row],[DistanceFromHome]]&gt;15,1,0)</f>
        <v>0</v>
      </c>
      <c r="AL1180">
        <f>IF(tbl_HR_Data[[#This Row],[JobSatisfaction]]&lt;=2,1,0)</f>
        <v>0</v>
      </c>
      <c r="AM1180">
        <f>IF(tbl_HR_Data[[#This Row],[MonthlyIncome]]&lt;$AT$2,1,0)</f>
        <v>1</v>
      </c>
      <c r="AN1180">
        <f>IF(tbl_HR_Data[[#This Row],[Travel_Code]]=2,1,0)</f>
        <v>0</v>
      </c>
      <c r="AO1180">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180" s="15">
        <f>tbl_HR_Data[[#This Row],[Risk_Score_Raw]] / SUM(Logic_Parameters!$B$2:$B$6)</f>
        <v>0.22374939857982484</v>
      </c>
      <c r="AQ1180" s="16" t="str" cm="1">
        <f t="array" ref="AQ1180">_xlfn.IFS(tbl_HR_Data[[#This Row],[Attrition_Risk_Percentage]] &gt;= 0.75, "Critical",tbl_HR_Data[ [#This Row],[Attrition_Risk_Percentage] ]&gt;= 0.5, "High",tbl_HR_Data[[#This Row],[Attrition_Risk_Percentage]] &gt;= 0.25, "Medium",TRUE, "Low")</f>
        <v>Low</v>
      </c>
      <c r="AR1180" s="16" cm="1">
        <f t="array" ref="AR1180">IFERROR(_xlfn.IFS(tbl_HR_Data[[#This Row],[Risk_Category]]="Critical",tbl_HR_Data[[#This Row],[MonthlyIncome]]*1.5,tbl_HR_Data[[#This Row],[Risk_Category]]="High",tbl_HR_Data[[#This Row],[MonthlyIncome]]*1.5),0)</f>
        <v>0</v>
      </c>
    </row>
    <row r="1181" spans="1:44" x14ac:dyDescent="0.35">
      <c r="A1181" t="s">
        <v>692</v>
      </c>
      <c r="B1181">
        <v>34</v>
      </c>
      <c r="C1181" t="s">
        <v>31</v>
      </c>
      <c r="D1181">
        <v>1130</v>
      </c>
      <c r="E1181" t="s">
        <v>38</v>
      </c>
      <c r="F1181">
        <v>3</v>
      </c>
      <c r="G1181">
        <v>3</v>
      </c>
      <c r="H1181" t="s">
        <v>33</v>
      </c>
      <c r="I1181">
        <v>4</v>
      </c>
      <c r="J1181" t="s">
        <v>34</v>
      </c>
      <c r="K1181">
        <v>66</v>
      </c>
      <c r="L1181">
        <v>3</v>
      </c>
      <c r="M1181">
        <v>2</v>
      </c>
      <c r="N1181" t="s">
        <v>40</v>
      </c>
      <c r="O1181">
        <v>2</v>
      </c>
      <c r="P1181" t="s">
        <v>45</v>
      </c>
      <c r="Q1181">
        <v>5433</v>
      </c>
      <c r="R1181">
        <v>19332</v>
      </c>
      <c r="S1181">
        <v>1</v>
      </c>
      <c r="T1181">
        <v>0</v>
      </c>
      <c r="U1181" s="17">
        <v>0.12</v>
      </c>
      <c r="V1181">
        <v>3</v>
      </c>
      <c r="W1181">
        <v>3</v>
      </c>
      <c r="X1181">
        <v>1</v>
      </c>
      <c r="Y1181">
        <v>11</v>
      </c>
      <c r="Z1181">
        <v>2</v>
      </c>
      <c r="AA1181">
        <v>3</v>
      </c>
      <c r="AB1181">
        <v>11</v>
      </c>
      <c r="AC1181">
        <v>8</v>
      </c>
      <c r="AD1181">
        <v>7</v>
      </c>
      <c r="AE1181">
        <v>9</v>
      </c>
      <c r="AF1181">
        <v>0</v>
      </c>
      <c r="AG1181">
        <f>IF(tbl_HR_Data[[#This Row],[Gender]]="Male",1,0)</f>
        <v>0</v>
      </c>
      <c r="AH1181" cm="1">
        <f t="array" ref="AH1181">_xlfn.SWITCH(tbl_HR_Data[[#This Row],[BusinessTravel]], "Non-Travel", 0, "Travel_Rarely", 1, "Travel_Frequently", 2)</f>
        <v>1</v>
      </c>
      <c r="AI1181" cm="1">
        <f t="array" ref="AI1181">_xlfn.SWITCH(tbl_HR_Data[[#This Row],[MaritalStatus]],"Single",0,"Married",1,"Divorced",2)</f>
        <v>2</v>
      </c>
      <c r="AJ1181">
        <f>IF(tbl_HR_Data[[#This Row],[OverTime]]=1,1,0)</f>
        <v>0</v>
      </c>
      <c r="AK1181">
        <f>IF(tbl_HR_Data[[#This Row],[DistanceFromHome]]&gt;15,1,0)</f>
        <v>0</v>
      </c>
      <c r="AL1181">
        <f>IF(tbl_HR_Data[[#This Row],[JobSatisfaction]]&lt;=2,1,0)</f>
        <v>1</v>
      </c>
      <c r="AM1181">
        <f>IF(tbl_HR_Data[[#This Row],[MonthlyIncome]]&lt;$AT$2,1,0)</f>
        <v>0</v>
      </c>
      <c r="AN1181">
        <f>IF(tbl_HR_Data[[#This Row],[Travel_Code]]=2,1,0)</f>
        <v>0</v>
      </c>
      <c r="AO1181">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181" s="15">
        <f>tbl_HR_Data[[#This Row],[Risk_Score_Raw]] / SUM(Logic_Parameters!$B$2:$B$6)</f>
        <v>0.14485673308716898</v>
      </c>
      <c r="AQ1181" s="16" t="str" cm="1">
        <f t="array" ref="AQ1181">_xlfn.IFS(tbl_HR_Data[[#This Row],[Attrition_Risk_Percentage]] &gt;= 0.75, "Critical",tbl_HR_Data[ [#This Row],[Attrition_Risk_Percentage] ]&gt;= 0.5, "High",tbl_HR_Data[[#This Row],[Attrition_Risk_Percentage]] &gt;= 0.25, "Medium",TRUE, "Low")</f>
        <v>Low</v>
      </c>
      <c r="AR1181" s="16" cm="1">
        <f t="array" ref="AR1181">IFERROR(_xlfn.IFS(tbl_HR_Data[[#This Row],[Risk_Category]]="Critical",tbl_HR_Data[[#This Row],[MonthlyIncome]]*1.5,tbl_HR_Data[[#This Row],[Risk_Category]]="High",tbl_HR_Data[[#This Row],[MonthlyIncome]]*1.5),0)</f>
        <v>0</v>
      </c>
    </row>
    <row r="1182" spans="1:44" x14ac:dyDescent="0.35">
      <c r="A1182" t="s">
        <v>1459</v>
      </c>
      <c r="B1182">
        <v>36</v>
      </c>
      <c r="C1182" t="s">
        <v>31</v>
      </c>
      <c r="D1182">
        <v>311</v>
      </c>
      <c r="E1182" t="s">
        <v>38</v>
      </c>
      <c r="F1182">
        <v>7</v>
      </c>
      <c r="G1182">
        <v>3</v>
      </c>
      <c r="H1182" t="s">
        <v>33</v>
      </c>
      <c r="I1182">
        <v>1</v>
      </c>
      <c r="J1182" t="s">
        <v>39</v>
      </c>
      <c r="K1182">
        <v>77</v>
      </c>
      <c r="L1182">
        <v>3</v>
      </c>
      <c r="M1182">
        <v>1</v>
      </c>
      <c r="N1182" t="s">
        <v>43</v>
      </c>
      <c r="O1182">
        <v>2</v>
      </c>
      <c r="P1182" t="s">
        <v>36</v>
      </c>
      <c r="Q1182">
        <v>2013</v>
      </c>
      <c r="R1182">
        <v>10950</v>
      </c>
      <c r="S1182">
        <v>2</v>
      </c>
      <c r="T1182">
        <v>0</v>
      </c>
      <c r="U1182" s="17">
        <v>0.11</v>
      </c>
      <c r="V1182">
        <v>3</v>
      </c>
      <c r="W1182">
        <v>3</v>
      </c>
      <c r="X1182">
        <v>0</v>
      </c>
      <c r="Y1182">
        <v>15</v>
      </c>
      <c r="Z1182">
        <v>4</v>
      </c>
      <c r="AA1182">
        <v>3</v>
      </c>
      <c r="AB1182">
        <v>4</v>
      </c>
      <c r="AC1182">
        <v>3</v>
      </c>
      <c r="AD1182">
        <v>1</v>
      </c>
      <c r="AE1182">
        <v>3</v>
      </c>
      <c r="AF1182">
        <v>0</v>
      </c>
      <c r="AG1182">
        <f>IF(tbl_HR_Data[[#This Row],[Gender]]="Male",1,0)</f>
        <v>1</v>
      </c>
      <c r="AH1182" cm="1">
        <f t="array" ref="AH1182">_xlfn.SWITCH(tbl_HR_Data[[#This Row],[BusinessTravel]], "Non-Travel", 0, "Travel_Rarely", 1, "Travel_Frequently", 2)</f>
        <v>1</v>
      </c>
      <c r="AI1182" cm="1">
        <f t="array" ref="AI1182">_xlfn.SWITCH(tbl_HR_Data[[#This Row],[MaritalStatus]],"Single",0,"Married",1,"Divorced",2)</f>
        <v>0</v>
      </c>
      <c r="AJ1182">
        <f>IF(tbl_HR_Data[[#This Row],[OverTime]]=1,1,0)</f>
        <v>0</v>
      </c>
      <c r="AK1182">
        <f>IF(tbl_HR_Data[[#This Row],[DistanceFromHome]]&gt;15,1,0)</f>
        <v>0</v>
      </c>
      <c r="AL1182">
        <f>IF(tbl_HR_Data[[#This Row],[JobSatisfaction]]&lt;=2,1,0)</f>
        <v>1</v>
      </c>
      <c r="AM1182">
        <f>IF(tbl_HR_Data[[#This Row],[MonthlyIncome]]&lt;$AT$2,1,0)</f>
        <v>1</v>
      </c>
      <c r="AN1182">
        <f>IF(tbl_HR_Data[[#This Row],[Travel_Code]]=2,1,0)</f>
        <v>0</v>
      </c>
      <c r="AO1182">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182" s="15">
        <f>tbl_HR_Data[[#This Row],[Risk_Score_Raw]] / SUM(Logic_Parameters!$B$2:$B$6)</f>
        <v>0.3686061316669938</v>
      </c>
      <c r="AQ1182" s="16" t="str" cm="1">
        <f t="array" ref="AQ1182">_xlfn.IFS(tbl_HR_Data[[#This Row],[Attrition_Risk_Percentage]] &gt;= 0.75, "Critical",tbl_HR_Data[ [#This Row],[Attrition_Risk_Percentage] ]&gt;= 0.5, "High",tbl_HR_Data[[#This Row],[Attrition_Risk_Percentage]] &gt;= 0.25, "Medium",TRUE, "Low")</f>
        <v>Medium</v>
      </c>
      <c r="AR1182" s="16" cm="1">
        <f t="array" ref="AR1182">IFERROR(_xlfn.IFS(tbl_HR_Data[[#This Row],[Risk_Category]]="Critical",tbl_HR_Data[[#This Row],[MonthlyIncome]]*1.5,tbl_HR_Data[[#This Row],[Risk_Category]]="High",tbl_HR_Data[[#This Row],[MonthlyIncome]]*1.5),0)</f>
        <v>0</v>
      </c>
    </row>
    <row r="1183" spans="1:44" x14ac:dyDescent="0.35">
      <c r="A1183" t="s">
        <v>891</v>
      </c>
      <c r="B1183">
        <v>49</v>
      </c>
      <c r="C1183" t="s">
        <v>31</v>
      </c>
      <c r="D1183">
        <v>465</v>
      </c>
      <c r="E1183" t="s">
        <v>38</v>
      </c>
      <c r="F1183">
        <v>6</v>
      </c>
      <c r="G1183">
        <v>1</v>
      </c>
      <c r="H1183" t="s">
        <v>33</v>
      </c>
      <c r="I1183">
        <v>3</v>
      </c>
      <c r="J1183" t="s">
        <v>34</v>
      </c>
      <c r="K1183">
        <v>41</v>
      </c>
      <c r="L1183">
        <v>2</v>
      </c>
      <c r="M1183">
        <v>4</v>
      </c>
      <c r="N1183" t="s">
        <v>47</v>
      </c>
      <c r="O1183">
        <v>3</v>
      </c>
      <c r="P1183" t="s">
        <v>41</v>
      </c>
      <c r="Q1183">
        <v>13966</v>
      </c>
      <c r="R1183">
        <v>11652</v>
      </c>
      <c r="S1183">
        <v>2</v>
      </c>
      <c r="T1183">
        <v>1</v>
      </c>
      <c r="U1183" s="17">
        <v>0.19</v>
      </c>
      <c r="V1183">
        <v>3</v>
      </c>
      <c r="W1183">
        <v>2</v>
      </c>
      <c r="X1183">
        <v>1</v>
      </c>
      <c r="Y1183">
        <v>30</v>
      </c>
      <c r="Z1183">
        <v>3</v>
      </c>
      <c r="AA1183">
        <v>3</v>
      </c>
      <c r="AB1183">
        <v>15</v>
      </c>
      <c r="AC1183">
        <v>11</v>
      </c>
      <c r="AD1183">
        <v>2</v>
      </c>
      <c r="AE1183">
        <v>12</v>
      </c>
      <c r="AF1183">
        <v>0</v>
      </c>
      <c r="AG1183">
        <f>IF(tbl_HR_Data[[#This Row],[Gender]]="Male",1,0)</f>
        <v>0</v>
      </c>
      <c r="AH1183" cm="1">
        <f t="array" ref="AH1183">_xlfn.SWITCH(tbl_HR_Data[[#This Row],[BusinessTravel]], "Non-Travel", 0, "Travel_Rarely", 1, "Travel_Frequently", 2)</f>
        <v>1</v>
      </c>
      <c r="AI1183" cm="1">
        <f t="array" ref="AI1183">_xlfn.SWITCH(tbl_HR_Data[[#This Row],[MaritalStatus]],"Single",0,"Married",1,"Divorced",2)</f>
        <v>1</v>
      </c>
      <c r="AJ1183">
        <f>IF(tbl_HR_Data[[#This Row],[OverTime]]=1,1,0)</f>
        <v>1</v>
      </c>
      <c r="AK1183">
        <f>IF(tbl_HR_Data[[#This Row],[DistanceFromHome]]&gt;15,1,0)</f>
        <v>0</v>
      </c>
      <c r="AL1183">
        <f>IF(tbl_HR_Data[[#This Row],[JobSatisfaction]]&lt;=2,1,0)</f>
        <v>0</v>
      </c>
      <c r="AM1183">
        <f>IF(tbl_HR_Data[[#This Row],[MonthlyIncome]]&lt;$AT$2,1,0)</f>
        <v>0</v>
      </c>
      <c r="AN1183">
        <f>IF(tbl_HR_Data[[#This Row],[Travel_Code]]=2,1,0)</f>
        <v>0</v>
      </c>
      <c r="AO1183">
        <f>(tbl_HR_Data[[#This Row],[Flag_OT]] * Logic_Parameters!$B$2) +
 (tbl_HR_Data[[#This Row],[Flag_Travel]] * Logic_Parameters!$B$3) +
 (tbl_HR_Data[[#This Row],[Flag_Satisfaction]] * Logic_Parameters!$B$4) +
 (tbl_HR_Data[[#This Row],[Flag_Distance]]* Logic_Parameters!$B$5) +
 (tbl_HR_Data[[#This Row],[Flag_Income]] * Logic_Parameters!$B$6)</f>
        <v>10</v>
      </c>
      <c r="AP1183" s="15">
        <f>tbl_HR_Data[[#This Row],[Risk_Score_Raw]] / SUM(Logic_Parameters!$B$2:$B$6)</f>
        <v>0.3445251318258073</v>
      </c>
      <c r="AQ1183" s="16" t="str" cm="1">
        <f t="array" ref="AQ1183">_xlfn.IFS(tbl_HR_Data[[#This Row],[Attrition_Risk_Percentage]] &gt;= 0.75, "Critical",tbl_HR_Data[ [#This Row],[Attrition_Risk_Percentage] ]&gt;= 0.5, "High",tbl_HR_Data[[#This Row],[Attrition_Risk_Percentage]] &gt;= 0.25, "Medium",TRUE, "Low")</f>
        <v>Medium</v>
      </c>
      <c r="AR1183" s="16" cm="1">
        <f t="array" ref="AR1183">IFERROR(_xlfn.IFS(tbl_HR_Data[[#This Row],[Risk_Category]]="Critical",tbl_HR_Data[[#This Row],[MonthlyIncome]]*1.5,tbl_HR_Data[[#This Row],[Risk_Category]]="High",tbl_HR_Data[[#This Row],[MonthlyIncome]]*1.5),0)</f>
        <v>0</v>
      </c>
    </row>
    <row r="1184" spans="1:44" x14ac:dyDescent="0.35">
      <c r="A1184" t="s">
        <v>812</v>
      </c>
      <c r="B1184">
        <v>36</v>
      </c>
      <c r="C1184" t="s">
        <v>1525</v>
      </c>
      <c r="D1184">
        <v>894</v>
      </c>
      <c r="E1184" t="s">
        <v>38</v>
      </c>
      <c r="F1184">
        <v>1</v>
      </c>
      <c r="G1184">
        <v>4</v>
      </c>
      <c r="H1184" t="s">
        <v>44</v>
      </c>
      <c r="I1184">
        <v>4</v>
      </c>
      <c r="J1184" t="s">
        <v>34</v>
      </c>
      <c r="K1184">
        <v>33</v>
      </c>
      <c r="L1184">
        <v>2</v>
      </c>
      <c r="M1184">
        <v>2</v>
      </c>
      <c r="N1184" t="s">
        <v>46</v>
      </c>
      <c r="O1184">
        <v>3</v>
      </c>
      <c r="P1184" t="s">
        <v>41</v>
      </c>
      <c r="Q1184">
        <v>4374</v>
      </c>
      <c r="R1184">
        <v>15411</v>
      </c>
      <c r="S1184">
        <v>0</v>
      </c>
      <c r="T1184">
        <v>0</v>
      </c>
      <c r="U1184" s="17">
        <v>0.15</v>
      </c>
      <c r="V1184">
        <v>3</v>
      </c>
      <c r="W1184">
        <v>3</v>
      </c>
      <c r="X1184">
        <v>0</v>
      </c>
      <c r="Y1184">
        <v>4</v>
      </c>
      <c r="Z1184">
        <v>6</v>
      </c>
      <c r="AA1184">
        <v>3</v>
      </c>
      <c r="AB1184">
        <v>3</v>
      </c>
      <c r="AC1184">
        <v>2</v>
      </c>
      <c r="AD1184">
        <v>1</v>
      </c>
      <c r="AE1184">
        <v>2</v>
      </c>
      <c r="AF1184">
        <v>0</v>
      </c>
      <c r="AG1184">
        <f>IF(tbl_HR_Data[[#This Row],[Gender]]="Male",1,0)</f>
        <v>0</v>
      </c>
      <c r="AH1184" cm="1">
        <f t="array" ref="AH1184">_xlfn.SWITCH(tbl_HR_Data[[#This Row],[BusinessTravel]], "Non-Travel", 0, "Travel_Rarely", 1, "Travel_Frequently", 2)</f>
        <v>0</v>
      </c>
      <c r="AI1184" cm="1">
        <f t="array" ref="AI1184">_xlfn.SWITCH(tbl_HR_Data[[#This Row],[MaritalStatus]],"Single",0,"Married",1,"Divorced",2)</f>
        <v>1</v>
      </c>
      <c r="AJ1184">
        <f>IF(tbl_HR_Data[[#This Row],[OverTime]]=1,1,0)</f>
        <v>0</v>
      </c>
      <c r="AK1184">
        <f>IF(tbl_HR_Data[[#This Row],[DistanceFromHome]]&gt;15,1,0)</f>
        <v>0</v>
      </c>
      <c r="AL1184">
        <f>IF(tbl_HR_Data[[#This Row],[JobSatisfaction]]&lt;=2,1,0)</f>
        <v>0</v>
      </c>
      <c r="AM1184">
        <f>IF(tbl_HR_Data[[#This Row],[MonthlyIncome]]&lt;$AT$2,1,0)</f>
        <v>1</v>
      </c>
      <c r="AN1184">
        <f>IF(tbl_HR_Data[[#This Row],[Travel_Code]]=2,1,0)</f>
        <v>0</v>
      </c>
      <c r="AO1184">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184" s="15">
        <f>tbl_HR_Data[[#This Row],[Risk_Score_Raw]] / SUM(Logic_Parameters!$B$2:$B$6)</f>
        <v>0.22374939857982484</v>
      </c>
      <c r="AQ1184" s="16" t="str" cm="1">
        <f t="array" ref="AQ1184">_xlfn.IFS(tbl_HR_Data[[#This Row],[Attrition_Risk_Percentage]] &gt;= 0.75, "Critical",tbl_HR_Data[ [#This Row],[Attrition_Risk_Percentage] ]&gt;= 0.5, "High",tbl_HR_Data[[#This Row],[Attrition_Risk_Percentage]] &gt;= 0.25, "Medium",TRUE, "Low")</f>
        <v>Low</v>
      </c>
      <c r="AR1184" s="16" cm="1">
        <f t="array" ref="AR1184">IFERROR(_xlfn.IFS(tbl_HR_Data[[#This Row],[Risk_Category]]="Critical",tbl_HR_Data[[#This Row],[MonthlyIncome]]*1.5,tbl_HR_Data[[#This Row],[Risk_Category]]="High",tbl_HR_Data[[#This Row],[MonthlyIncome]]*1.5),0)</f>
        <v>0</v>
      </c>
    </row>
    <row r="1185" spans="1:44" x14ac:dyDescent="0.35">
      <c r="A1185" t="s">
        <v>948</v>
      </c>
      <c r="B1185">
        <v>36</v>
      </c>
      <c r="C1185" t="s">
        <v>31</v>
      </c>
      <c r="D1185">
        <v>1040</v>
      </c>
      <c r="E1185" t="s">
        <v>38</v>
      </c>
      <c r="F1185">
        <v>3</v>
      </c>
      <c r="G1185">
        <v>2</v>
      </c>
      <c r="H1185" t="s">
        <v>33</v>
      </c>
      <c r="I1185">
        <v>4</v>
      </c>
      <c r="J1185" t="s">
        <v>39</v>
      </c>
      <c r="K1185">
        <v>79</v>
      </c>
      <c r="L1185">
        <v>4</v>
      </c>
      <c r="M1185">
        <v>2</v>
      </c>
      <c r="N1185" t="s">
        <v>47</v>
      </c>
      <c r="O1185">
        <v>1</v>
      </c>
      <c r="P1185" t="s">
        <v>45</v>
      </c>
      <c r="Q1185">
        <v>6842</v>
      </c>
      <c r="R1185">
        <v>26308</v>
      </c>
      <c r="S1185">
        <v>6</v>
      </c>
      <c r="T1185">
        <v>0</v>
      </c>
      <c r="U1185" s="17">
        <v>0.2</v>
      </c>
      <c r="V1185">
        <v>4</v>
      </c>
      <c r="W1185">
        <v>1</v>
      </c>
      <c r="X1185">
        <v>1</v>
      </c>
      <c r="Y1185">
        <v>13</v>
      </c>
      <c r="Z1185">
        <v>3</v>
      </c>
      <c r="AA1185">
        <v>3</v>
      </c>
      <c r="AB1185">
        <v>5</v>
      </c>
      <c r="AC1185">
        <v>4</v>
      </c>
      <c r="AD1185">
        <v>0</v>
      </c>
      <c r="AE1185">
        <v>4</v>
      </c>
      <c r="AF1185">
        <v>0</v>
      </c>
      <c r="AG1185">
        <f>IF(tbl_HR_Data[[#This Row],[Gender]]="Male",1,0)</f>
        <v>1</v>
      </c>
      <c r="AH1185" cm="1">
        <f t="array" ref="AH1185">_xlfn.SWITCH(tbl_HR_Data[[#This Row],[BusinessTravel]], "Non-Travel", 0, "Travel_Rarely", 1, "Travel_Frequently", 2)</f>
        <v>1</v>
      </c>
      <c r="AI1185" cm="1">
        <f t="array" ref="AI1185">_xlfn.SWITCH(tbl_HR_Data[[#This Row],[MaritalStatus]],"Single",0,"Married",1,"Divorced",2)</f>
        <v>2</v>
      </c>
      <c r="AJ1185">
        <f>IF(tbl_HR_Data[[#This Row],[OverTime]]=1,1,0)</f>
        <v>0</v>
      </c>
      <c r="AK1185">
        <f>IF(tbl_HR_Data[[#This Row],[DistanceFromHome]]&gt;15,1,0)</f>
        <v>0</v>
      </c>
      <c r="AL1185">
        <f>IF(tbl_HR_Data[[#This Row],[JobSatisfaction]]&lt;=2,1,0)</f>
        <v>1</v>
      </c>
      <c r="AM1185">
        <f>IF(tbl_HR_Data[[#This Row],[MonthlyIncome]]&lt;$AT$2,1,0)</f>
        <v>0</v>
      </c>
      <c r="AN1185">
        <f>IF(tbl_HR_Data[[#This Row],[Travel_Code]]=2,1,0)</f>
        <v>0</v>
      </c>
      <c r="AO1185">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185" s="15">
        <f>tbl_HR_Data[[#This Row],[Risk_Score_Raw]] / SUM(Logic_Parameters!$B$2:$B$6)</f>
        <v>0.14485673308716898</v>
      </c>
      <c r="AQ1185" s="16" t="str" cm="1">
        <f t="array" ref="AQ1185">_xlfn.IFS(tbl_HR_Data[[#This Row],[Attrition_Risk_Percentage]] &gt;= 0.75, "Critical",tbl_HR_Data[ [#This Row],[Attrition_Risk_Percentage] ]&gt;= 0.5, "High",tbl_HR_Data[[#This Row],[Attrition_Risk_Percentage]] &gt;= 0.25, "Medium",TRUE, "Low")</f>
        <v>Low</v>
      </c>
      <c r="AR1185" s="16" cm="1">
        <f t="array" ref="AR1185">IFERROR(_xlfn.IFS(tbl_HR_Data[[#This Row],[Risk_Category]]="Critical",tbl_HR_Data[[#This Row],[MonthlyIncome]]*1.5,tbl_HR_Data[[#This Row],[Risk_Category]]="High",tbl_HR_Data[[#This Row],[MonthlyIncome]]*1.5),0)</f>
        <v>0</v>
      </c>
    </row>
    <row r="1186" spans="1:44" x14ac:dyDescent="0.35">
      <c r="A1186" t="s">
        <v>198</v>
      </c>
      <c r="B1186">
        <v>54</v>
      </c>
      <c r="C1186" t="s">
        <v>31</v>
      </c>
      <c r="D1186">
        <v>584</v>
      </c>
      <c r="E1186" t="s">
        <v>38</v>
      </c>
      <c r="F1186">
        <v>22</v>
      </c>
      <c r="G1186">
        <v>5</v>
      </c>
      <c r="H1186" t="s">
        <v>44</v>
      </c>
      <c r="I1186">
        <v>2</v>
      </c>
      <c r="J1186" t="s">
        <v>34</v>
      </c>
      <c r="K1186">
        <v>91</v>
      </c>
      <c r="L1186">
        <v>3</v>
      </c>
      <c r="M1186">
        <v>4</v>
      </c>
      <c r="N1186" t="s">
        <v>48</v>
      </c>
      <c r="O1186">
        <v>3</v>
      </c>
      <c r="P1186" t="s">
        <v>41</v>
      </c>
      <c r="Q1186">
        <v>17426</v>
      </c>
      <c r="R1186">
        <v>18685</v>
      </c>
      <c r="S1186">
        <v>3</v>
      </c>
      <c r="T1186">
        <v>0</v>
      </c>
      <c r="U1186" s="17">
        <v>0.25</v>
      </c>
      <c r="V1186">
        <v>4</v>
      </c>
      <c r="W1186">
        <v>3</v>
      </c>
      <c r="X1186">
        <v>1</v>
      </c>
      <c r="Y1186">
        <v>36</v>
      </c>
      <c r="Z1186">
        <v>6</v>
      </c>
      <c r="AA1186">
        <v>3</v>
      </c>
      <c r="AB1186">
        <v>10</v>
      </c>
      <c r="AC1186">
        <v>8</v>
      </c>
      <c r="AD1186">
        <v>4</v>
      </c>
      <c r="AE1186">
        <v>7</v>
      </c>
      <c r="AF1186">
        <v>0</v>
      </c>
      <c r="AG1186">
        <f>IF(tbl_HR_Data[[#This Row],[Gender]]="Male",1,0)</f>
        <v>0</v>
      </c>
      <c r="AH1186" cm="1">
        <f t="array" ref="AH1186">_xlfn.SWITCH(tbl_HR_Data[[#This Row],[BusinessTravel]], "Non-Travel", 0, "Travel_Rarely", 1, "Travel_Frequently", 2)</f>
        <v>1</v>
      </c>
      <c r="AI1186" cm="1">
        <f t="array" ref="AI1186">_xlfn.SWITCH(tbl_HR_Data[[#This Row],[MaritalStatus]],"Single",0,"Married",1,"Divorced",2)</f>
        <v>1</v>
      </c>
      <c r="AJ1186">
        <f>IF(tbl_HR_Data[[#This Row],[OverTime]]=1,1,0)</f>
        <v>0</v>
      </c>
      <c r="AK1186">
        <f>IF(tbl_HR_Data[[#This Row],[DistanceFromHome]]&gt;15,1,0)</f>
        <v>1</v>
      </c>
      <c r="AL1186">
        <f>IF(tbl_HR_Data[[#This Row],[JobSatisfaction]]&lt;=2,1,0)</f>
        <v>0</v>
      </c>
      <c r="AM1186">
        <f>IF(tbl_HR_Data[[#This Row],[MonthlyIncome]]&lt;$AT$2,1,0)</f>
        <v>0</v>
      </c>
      <c r="AN1186">
        <f>IF(tbl_HR_Data[[#This Row],[Travel_Code]]=2,1,0)</f>
        <v>0</v>
      </c>
      <c r="AO1186">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1186" s="15">
        <f>tbl_HR_Data[[#This Row],[Risk_Score_Raw]] / SUM(Logic_Parameters!$B$2:$B$6)</f>
        <v>0.10908033267710357</v>
      </c>
      <c r="AQ1186" s="16" t="str" cm="1">
        <f t="array" ref="AQ1186">_xlfn.IFS(tbl_HR_Data[[#This Row],[Attrition_Risk_Percentage]] &gt;= 0.75, "Critical",tbl_HR_Data[ [#This Row],[Attrition_Risk_Percentage] ]&gt;= 0.5, "High",tbl_HR_Data[[#This Row],[Attrition_Risk_Percentage]] &gt;= 0.25, "Medium",TRUE, "Low")</f>
        <v>Low</v>
      </c>
      <c r="AR1186" s="16" cm="1">
        <f t="array" ref="AR1186">IFERROR(_xlfn.IFS(tbl_HR_Data[[#This Row],[Risk_Category]]="Critical",tbl_HR_Data[[#This Row],[MonthlyIncome]]*1.5,tbl_HR_Data[[#This Row],[Risk_Category]]="High",tbl_HR_Data[[#This Row],[MonthlyIncome]]*1.5),0)</f>
        <v>0</v>
      </c>
    </row>
    <row r="1187" spans="1:44" x14ac:dyDescent="0.35">
      <c r="A1187" t="s">
        <v>1323</v>
      </c>
      <c r="B1187">
        <v>43</v>
      </c>
      <c r="C1187" t="s">
        <v>31</v>
      </c>
      <c r="D1187">
        <v>1291</v>
      </c>
      <c r="E1187" t="s">
        <v>38</v>
      </c>
      <c r="F1187">
        <v>15</v>
      </c>
      <c r="G1187">
        <v>2</v>
      </c>
      <c r="H1187" t="s">
        <v>33</v>
      </c>
      <c r="I1187">
        <v>3</v>
      </c>
      <c r="J1187" t="s">
        <v>39</v>
      </c>
      <c r="K1187">
        <v>65</v>
      </c>
      <c r="L1187">
        <v>2</v>
      </c>
      <c r="M1187">
        <v>4</v>
      </c>
      <c r="N1187" t="s">
        <v>50</v>
      </c>
      <c r="O1187">
        <v>3</v>
      </c>
      <c r="P1187" t="s">
        <v>41</v>
      </c>
      <c r="Q1187">
        <v>17603</v>
      </c>
      <c r="R1187">
        <v>3525</v>
      </c>
      <c r="S1187">
        <v>1</v>
      </c>
      <c r="T1187">
        <v>0</v>
      </c>
      <c r="U1187" s="17">
        <v>0.24</v>
      </c>
      <c r="V1187">
        <v>4</v>
      </c>
      <c r="W1187">
        <v>1</v>
      </c>
      <c r="X1187">
        <v>1</v>
      </c>
      <c r="Y1187">
        <v>14</v>
      </c>
      <c r="Z1187">
        <v>3</v>
      </c>
      <c r="AA1187">
        <v>3</v>
      </c>
      <c r="AB1187">
        <v>14</v>
      </c>
      <c r="AC1187">
        <v>10</v>
      </c>
      <c r="AD1187">
        <v>6</v>
      </c>
      <c r="AE1187">
        <v>11</v>
      </c>
      <c r="AF1187">
        <v>0</v>
      </c>
      <c r="AG1187">
        <f>IF(tbl_HR_Data[[#This Row],[Gender]]="Male",1,0)</f>
        <v>1</v>
      </c>
      <c r="AH1187" cm="1">
        <f t="array" ref="AH1187">_xlfn.SWITCH(tbl_HR_Data[[#This Row],[BusinessTravel]], "Non-Travel", 0, "Travel_Rarely", 1, "Travel_Frequently", 2)</f>
        <v>1</v>
      </c>
      <c r="AI1187" cm="1">
        <f t="array" ref="AI1187">_xlfn.SWITCH(tbl_HR_Data[[#This Row],[MaritalStatus]],"Single",0,"Married",1,"Divorced",2)</f>
        <v>1</v>
      </c>
      <c r="AJ1187">
        <f>IF(tbl_HR_Data[[#This Row],[OverTime]]=1,1,0)</f>
        <v>0</v>
      </c>
      <c r="AK1187">
        <f>IF(tbl_HR_Data[[#This Row],[DistanceFromHome]]&gt;15,1,0)</f>
        <v>0</v>
      </c>
      <c r="AL1187">
        <f>IF(tbl_HR_Data[[#This Row],[JobSatisfaction]]&lt;=2,1,0)</f>
        <v>0</v>
      </c>
      <c r="AM1187">
        <f>IF(tbl_HR_Data[[#This Row],[MonthlyIncome]]&lt;$AT$2,1,0)</f>
        <v>0</v>
      </c>
      <c r="AN1187">
        <f>IF(tbl_HR_Data[[#This Row],[Travel_Code]]=2,1,0)</f>
        <v>0</v>
      </c>
      <c r="AO1187">
        <f>(tbl_HR_Data[[#This Row],[Flag_OT]] * Logic_Parameters!$B$2) +
 (tbl_HR_Data[[#This Row],[Flag_Travel]] * Logic_Parameters!$B$3) +
 (tbl_HR_Data[[#This Row],[Flag_Satisfaction]] * Logic_Parameters!$B$4) +
 (tbl_HR_Data[[#This Row],[Flag_Distance]]* Logic_Parameters!$B$5) +
 (tbl_HR_Data[[#This Row],[Flag_Income]] * Logic_Parameters!$B$6)</f>
        <v>0</v>
      </c>
      <c r="AP1187" s="15">
        <f>tbl_HR_Data[[#This Row],[Risk_Score_Raw]] / SUM(Logic_Parameters!$B$2:$B$6)</f>
        <v>0</v>
      </c>
      <c r="AQ1187" s="16" t="str" cm="1">
        <f t="array" ref="AQ1187">_xlfn.IFS(tbl_HR_Data[[#This Row],[Attrition_Risk_Percentage]] &gt;= 0.75, "Critical",tbl_HR_Data[ [#This Row],[Attrition_Risk_Percentage] ]&gt;= 0.5, "High",tbl_HR_Data[[#This Row],[Attrition_Risk_Percentage]] &gt;= 0.25, "Medium",TRUE, "Low")</f>
        <v>Low</v>
      </c>
      <c r="AR1187" s="16" cm="1">
        <f t="array" ref="AR1187">IFERROR(_xlfn.IFS(tbl_HR_Data[[#This Row],[Risk_Category]]="Critical",tbl_HR_Data[[#This Row],[MonthlyIncome]]*1.5,tbl_HR_Data[[#This Row],[Risk_Category]]="High",tbl_HR_Data[[#This Row],[MonthlyIncome]]*1.5),0)</f>
        <v>0</v>
      </c>
    </row>
    <row r="1188" spans="1:44" x14ac:dyDescent="0.35">
      <c r="A1188" t="s">
        <v>1019</v>
      </c>
      <c r="B1188">
        <v>35</v>
      </c>
      <c r="C1188" t="s">
        <v>37</v>
      </c>
      <c r="D1188">
        <v>880</v>
      </c>
      <c r="E1188" t="s">
        <v>32</v>
      </c>
      <c r="F1188">
        <v>12</v>
      </c>
      <c r="G1188">
        <v>4</v>
      </c>
      <c r="H1188" t="s">
        <v>42</v>
      </c>
      <c r="I1188">
        <v>4</v>
      </c>
      <c r="J1188" t="s">
        <v>39</v>
      </c>
      <c r="K1188">
        <v>36</v>
      </c>
      <c r="L1188">
        <v>3</v>
      </c>
      <c r="M1188">
        <v>2</v>
      </c>
      <c r="N1188" t="s">
        <v>35</v>
      </c>
      <c r="O1188">
        <v>4</v>
      </c>
      <c r="P1188" t="s">
        <v>36</v>
      </c>
      <c r="Q1188">
        <v>4581</v>
      </c>
      <c r="R1188">
        <v>10414</v>
      </c>
      <c r="S1188">
        <v>3</v>
      </c>
      <c r="T1188">
        <v>1</v>
      </c>
      <c r="U1188" s="17">
        <v>0.24</v>
      </c>
      <c r="V1188">
        <v>4</v>
      </c>
      <c r="W1188">
        <v>1</v>
      </c>
      <c r="X1188">
        <v>0</v>
      </c>
      <c r="Y1188">
        <v>13</v>
      </c>
      <c r="Z1188">
        <v>2</v>
      </c>
      <c r="AA1188">
        <v>4</v>
      </c>
      <c r="AB1188">
        <v>11</v>
      </c>
      <c r="AC1188">
        <v>9</v>
      </c>
      <c r="AD1188">
        <v>6</v>
      </c>
      <c r="AE1188">
        <v>7</v>
      </c>
      <c r="AF1188">
        <v>1</v>
      </c>
      <c r="AG1188">
        <f>IF(tbl_HR_Data[[#This Row],[Gender]]="Male",1,0)</f>
        <v>1</v>
      </c>
      <c r="AH1188" cm="1">
        <f t="array" ref="AH1188">_xlfn.SWITCH(tbl_HR_Data[[#This Row],[BusinessTravel]], "Non-Travel", 0, "Travel_Rarely", 1, "Travel_Frequently", 2)</f>
        <v>2</v>
      </c>
      <c r="AI1188" cm="1">
        <f t="array" ref="AI1188">_xlfn.SWITCH(tbl_HR_Data[[#This Row],[MaritalStatus]],"Single",0,"Married",1,"Divorced",2)</f>
        <v>0</v>
      </c>
      <c r="AJ1188">
        <f>IF(tbl_HR_Data[[#This Row],[OverTime]]=1,1,0)</f>
        <v>1</v>
      </c>
      <c r="AK1188">
        <f>IF(tbl_HR_Data[[#This Row],[DistanceFromHome]]&gt;15,1,0)</f>
        <v>0</v>
      </c>
      <c r="AL1188">
        <f>IF(tbl_HR_Data[[#This Row],[JobSatisfaction]]&lt;=2,1,0)</f>
        <v>0</v>
      </c>
      <c r="AM1188">
        <f>IF(tbl_HR_Data[[#This Row],[MonthlyIncome]]&lt;$AT$2,1,0)</f>
        <v>1</v>
      </c>
      <c r="AN1188">
        <f>IF(tbl_HR_Data[[#This Row],[Travel_Code]]=2,1,0)</f>
        <v>1</v>
      </c>
      <c r="AO1188">
        <f>(tbl_HR_Data[[#This Row],[Flag_OT]] * Logic_Parameters!$B$2) +
 (tbl_HR_Data[[#This Row],[Flag_Travel]] * Logic_Parameters!$B$3) +
 (tbl_HR_Data[[#This Row],[Flag_Satisfaction]] * Logic_Parameters!$B$4) +
 (tbl_HR_Data[[#This Row],[Flag_Distance]]* Logic_Parameters!$B$5) +
 (tbl_HR_Data[[#This Row],[Flag_Income]] * Logic_Parameters!$B$6)</f>
        <v>21.654818917911005</v>
      </c>
      <c r="AP1188" s="15">
        <f>tbl_HR_Data[[#This Row],[Risk_Score_Raw]] / SUM(Logic_Parameters!$B$2:$B$6)</f>
        <v>0.74606293423572745</v>
      </c>
      <c r="AQ1188" s="16" t="str" cm="1">
        <f t="array" ref="AQ1188">_xlfn.IFS(tbl_HR_Data[[#This Row],[Attrition_Risk_Percentage]] &gt;= 0.75, "Critical",tbl_HR_Data[ [#This Row],[Attrition_Risk_Percentage] ]&gt;= 0.5, "High",tbl_HR_Data[[#This Row],[Attrition_Risk_Percentage]] &gt;= 0.25, "Medium",TRUE, "Low")</f>
        <v>High</v>
      </c>
      <c r="AR1188" s="16" cm="1">
        <f t="array" ref="AR1188">IFERROR(_xlfn.IFS(tbl_HR_Data[[#This Row],[Risk_Category]]="Critical",tbl_HR_Data[[#This Row],[MonthlyIncome]]*1.5,tbl_HR_Data[[#This Row],[Risk_Category]]="High",tbl_HR_Data[[#This Row],[MonthlyIncome]]*1.5),0)</f>
        <v>6871.5</v>
      </c>
    </row>
    <row r="1189" spans="1:44" x14ac:dyDescent="0.35">
      <c r="A1189" t="s">
        <v>888</v>
      </c>
      <c r="B1189">
        <v>38</v>
      </c>
      <c r="C1189" t="s">
        <v>37</v>
      </c>
      <c r="D1189">
        <v>1189</v>
      </c>
      <c r="E1189" t="s">
        <v>38</v>
      </c>
      <c r="F1189">
        <v>1</v>
      </c>
      <c r="G1189">
        <v>3</v>
      </c>
      <c r="H1189" t="s">
        <v>33</v>
      </c>
      <c r="I1189">
        <v>4</v>
      </c>
      <c r="J1189" t="s">
        <v>39</v>
      </c>
      <c r="K1189">
        <v>90</v>
      </c>
      <c r="L1189">
        <v>3</v>
      </c>
      <c r="M1189">
        <v>2</v>
      </c>
      <c r="N1189" t="s">
        <v>40</v>
      </c>
      <c r="O1189">
        <v>4</v>
      </c>
      <c r="P1189" t="s">
        <v>41</v>
      </c>
      <c r="Q1189">
        <v>4735</v>
      </c>
      <c r="R1189">
        <v>9867</v>
      </c>
      <c r="S1189">
        <v>7</v>
      </c>
      <c r="T1189">
        <v>0</v>
      </c>
      <c r="U1189" s="17">
        <v>0.15</v>
      </c>
      <c r="V1189">
        <v>3</v>
      </c>
      <c r="W1189">
        <v>4</v>
      </c>
      <c r="X1189">
        <v>2</v>
      </c>
      <c r="Y1189">
        <v>19</v>
      </c>
      <c r="Z1189">
        <v>4</v>
      </c>
      <c r="AA1189">
        <v>4</v>
      </c>
      <c r="AB1189">
        <v>13</v>
      </c>
      <c r="AC1189">
        <v>11</v>
      </c>
      <c r="AD1189">
        <v>2</v>
      </c>
      <c r="AE1189">
        <v>9</v>
      </c>
      <c r="AF1189">
        <v>0</v>
      </c>
      <c r="AG1189">
        <f>IF(tbl_HR_Data[[#This Row],[Gender]]="Male",1,0)</f>
        <v>1</v>
      </c>
      <c r="AH1189" cm="1">
        <f t="array" ref="AH1189">_xlfn.SWITCH(tbl_HR_Data[[#This Row],[BusinessTravel]], "Non-Travel", 0, "Travel_Rarely", 1, "Travel_Frequently", 2)</f>
        <v>2</v>
      </c>
      <c r="AI1189" cm="1">
        <f t="array" ref="AI1189">_xlfn.SWITCH(tbl_HR_Data[[#This Row],[MaritalStatus]],"Single",0,"Married",1,"Divorced",2)</f>
        <v>1</v>
      </c>
      <c r="AJ1189">
        <f>IF(tbl_HR_Data[[#This Row],[OverTime]]=1,1,0)</f>
        <v>0</v>
      </c>
      <c r="AK1189">
        <f>IF(tbl_HR_Data[[#This Row],[DistanceFromHome]]&gt;15,1,0)</f>
        <v>0</v>
      </c>
      <c r="AL1189">
        <f>IF(tbl_HR_Data[[#This Row],[JobSatisfaction]]&lt;=2,1,0)</f>
        <v>0</v>
      </c>
      <c r="AM1189">
        <f>IF(tbl_HR_Data[[#This Row],[MonthlyIncome]]&lt;$AT$2,1,0)</f>
        <v>1</v>
      </c>
      <c r="AN1189">
        <f>IF(tbl_HR_Data[[#This Row],[Travel_Code]]=2,1,0)</f>
        <v>1</v>
      </c>
      <c r="AO1189">
        <f>(tbl_HR_Data[[#This Row],[Flag_OT]] * Logic_Parameters!$B$2) +
 (tbl_HR_Data[[#This Row],[Flag_Travel]] * Logic_Parameters!$B$3) +
 (tbl_HR_Data[[#This Row],[Flag_Satisfaction]] * Logic_Parameters!$B$4) +
 (tbl_HR_Data[[#This Row],[Flag_Distance]]* Logic_Parameters!$B$5) +
 (tbl_HR_Data[[#This Row],[Flag_Income]] * Logic_Parameters!$B$6)</f>
        <v>11.654818917911005</v>
      </c>
      <c r="AP1189" s="15">
        <f>tbl_HR_Data[[#This Row],[Risk_Score_Raw]] / SUM(Logic_Parameters!$B$2:$B$6)</f>
        <v>0.40153780240992015</v>
      </c>
      <c r="AQ1189" s="16" t="str" cm="1">
        <f t="array" ref="AQ1189">_xlfn.IFS(tbl_HR_Data[[#This Row],[Attrition_Risk_Percentage]] &gt;= 0.75, "Critical",tbl_HR_Data[ [#This Row],[Attrition_Risk_Percentage] ]&gt;= 0.5, "High",tbl_HR_Data[[#This Row],[Attrition_Risk_Percentage]] &gt;= 0.25, "Medium",TRUE, "Low")</f>
        <v>Medium</v>
      </c>
      <c r="AR1189" s="16" cm="1">
        <f t="array" ref="AR1189">IFERROR(_xlfn.IFS(tbl_HR_Data[[#This Row],[Risk_Category]]="Critical",tbl_HR_Data[[#This Row],[MonthlyIncome]]*1.5,tbl_HR_Data[[#This Row],[Risk_Category]]="High",tbl_HR_Data[[#This Row],[MonthlyIncome]]*1.5),0)</f>
        <v>0</v>
      </c>
    </row>
    <row r="1190" spans="1:44" x14ac:dyDescent="0.35">
      <c r="A1190" t="s">
        <v>1091</v>
      </c>
      <c r="B1190">
        <v>29</v>
      </c>
      <c r="C1190" t="s">
        <v>31</v>
      </c>
      <c r="D1190">
        <v>991</v>
      </c>
      <c r="E1190" t="s">
        <v>32</v>
      </c>
      <c r="F1190">
        <v>5</v>
      </c>
      <c r="G1190">
        <v>3</v>
      </c>
      <c r="H1190" t="s">
        <v>44</v>
      </c>
      <c r="I1190">
        <v>1</v>
      </c>
      <c r="J1190" t="s">
        <v>39</v>
      </c>
      <c r="K1190">
        <v>43</v>
      </c>
      <c r="L1190">
        <v>2</v>
      </c>
      <c r="M1190">
        <v>2</v>
      </c>
      <c r="N1190" t="s">
        <v>35</v>
      </c>
      <c r="O1190">
        <v>2</v>
      </c>
      <c r="P1190" t="s">
        <v>45</v>
      </c>
      <c r="Q1190">
        <v>4187</v>
      </c>
      <c r="R1190">
        <v>3356</v>
      </c>
      <c r="S1190">
        <v>1</v>
      </c>
      <c r="T1190">
        <v>1</v>
      </c>
      <c r="U1190" s="17">
        <v>0.13</v>
      </c>
      <c r="V1190">
        <v>3</v>
      </c>
      <c r="W1190">
        <v>2</v>
      </c>
      <c r="X1190">
        <v>1</v>
      </c>
      <c r="Y1190">
        <v>10</v>
      </c>
      <c r="Z1190">
        <v>3</v>
      </c>
      <c r="AA1190">
        <v>2</v>
      </c>
      <c r="AB1190">
        <v>10</v>
      </c>
      <c r="AC1190">
        <v>0</v>
      </c>
      <c r="AD1190">
        <v>0</v>
      </c>
      <c r="AE1190">
        <v>9</v>
      </c>
      <c r="AF1190">
        <v>0</v>
      </c>
      <c r="AG1190">
        <f>IF(tbl_HR_Data[[#This Row],[Gender]]="Male",1,0)</f>
        <v>1</v>
      </c>
      <c r="AH1190" cm="1">
        <f t="array" ref="AH1190">_xlfn.SWITCH(tbl_HR_Data[[#This Row],[BusinessTravel]], "Non-Travel", 0, "Travel_Rarely", 1, "Travel_Frequently", 2)</f>
        <v>1</v>
      </c>
      <c r="AI1190" cm="1">
        <f t="array" ref="AI1190">_xlfn.SWITCH(tbl_HR_Data[[#This Row],[MaritalStatus]],"Single",0,"Married",1,"Divorced",2)</f>
        <v>2</v>
      </c>
      <c r="AJ1190">
        <f>IF(tbl_HR_Data[[#This Row],[OverTime]]=1,1,0)</f>
        <v>1</v>
      </c>
      <c r="AK1190">
        <f>IF(tbl_HR_Data[[#This Row],[DistanceFromHome]]&gt;15,1,0)</f>
        <v>0</v>
      </c>
      <c r="AL1190">
        <f>IF(tbl_HR_Data[[#This Row],[JobSatisfaction]]&lt;=2,1,0)</f>
        <v>1</v>
      </c>
      <c r="AM1190">
        <f>IF(tbl_HR_Data[[#This Row],[MonthlyIncome]]&lt;$AT$2,1,0)</f>
        <v>1</v>
      </c>
      <c r="AN1190">
        <f>IF(tbl_HR_Data[[#This Row],[Travel_Code]]=2,1,0)</f>
        <v>0</v>
      </c>
      <c r="AO1190">
        <f>(tbl_HR_Data[[#This Row],[Flag_OT]] * Logic_Parameters!$B$2) +
 (tbl_HR_Data[[#This Row],[Flag_Travel]] * Logic_Parameters!$B$3) +
 (tbl_HR_Data[[#This Row],[Flag_Satisfaction]] * Logic_Parameters!$B$4) +
 (tbl_HR_Data[[#This Row],[Flag_Distance]]* Logic_Parameters!$B$5) +
 (tbl_HR_Data[[#This Row],[Flag_Income]] * Logic_Parameters!$B$6)</f>
        <v>20.698962067398959</v>
      </c>
      <c r="AP1190" s="15">
        <f>tbl_HR_Data[[#This Row],[Risk_Score_Raw]] / SUM(Logic_Parameters!$B$2:$B$6)</f>
        <v>0.71313126349280109</v>
      </c>
      <c r="AQ1190" s="16" t="str" cm="1">
        <f t="array" ref="AQ1190">_xlfn.IFS(tbl_HR_Data[[#This Row],[Attrition_Risk_Percentage]] &gt;= 0.75, "Critical",tbl_HR_Data[ [#This Row],[Attrition_Risk_Percentage] ]&gt;= 0.5, "High",tbl_HR_Data[[#This Row],[Attrition_Risk_Percentage]] &gt;= 0.25, "Medium",TRUE, "Low")</f>
        <v>High</v>
      </c>
      <c r="AR1190" s="16" cm="1">
        <f t="array" ref="AR1190">IFERROR(_xlfn.IFS(tbl_HR_Data[[#This Row],[Risk_Category]]="Critical",tbl_HR_Data[[#This Row],[MonthlyIncome]]*1.5,tbl_HR_Data[[#This Row],[Risk_Category]]="High",tbl_HR_Data[[#This Row],[MonthlyIncome]]*1.5),0)</f>
        <v>6280.5</v>
      </c>
    </row>
    <row r="1191" spans="1:44" x14ac:dyDescent="0.35">
      <c r="A1191" t="s">
        <v>1114</v>
      </c>
      <c r="B1191">
        <v>33</v>
      </c>
      <c r="C1191" t="s">
        <v>31</v>
      </c>
      <c r="D1191">
        <v>392</v>
      </c>
      <c r="E1191" t="s">
        <v>32</v>
      </c>
      <c r="F1191">
        <v>2</v>
      </c>
      <c r="G1191">
        <v>4</v>
      </c>
      <c r="H1191" t="s">
        <v>44</v>
      </c>
      <c r="I1191">
        <v>4</v>
      </c>
      <c r="J1191" t="s">
        <v>39</v>
      </c>
      <c r="K1191">
        <v>93</v>
      </c>
      <c r="L1191">
        <v>3</v>
      </c>
      <c r="M1191">
        <v>2</v>
      </c>
      <c r="N1191" t="s">
        <v>35</v>
      </c>
      <c r="O1191">
        <v>4</v>
      </c>
      <c r="P1191" t="s">
        <v>45</v>
      </c>
      <c r="Q1191">
        <v>5505</v>
      </c>
      <c r="R1191">
        <v>3921</v>
      </c>
      <c r="S1191">
        <v>1</v>
      </c>
      <c r="T1191">
        <v>0</v>
      </c>
      <c r="U1191" s="17">
        <v>0.14000000000000001</v>
      </c>
      <c r="V1191">
        <v>3</v>
      </c>
      <c r="W1191">
        <v>3</v>
      </c>
      <c r="X1191">
        <v>2</v>
      </c>
      <c r="Y1191">
        <v>6</v>
      </c>
      <c r="Z1191">
        <v>5</v>
      </c>
      <c r="AA1191">
        <v>3</v>
      </c>
      <c r="AB1191">
        <v>6</v>
      </c>
      <c r="AC1191">
        <v>2</v>
      </c>
      <c r="AD1191">
        <v>0</v>
      </c>
      <c r="AE1191">
        <v>4</v>
      </c>
      <c r="AF1191">
        <v>0</v>
      </c>
      <c r="AG1191">
        <f>IF(tbl_HR_Data[[#This Row],[Gender]]="Male",1,0)</f>
        <v>1</v>
      </c>
      <c r="AH1191" cm="1">
        <f t="array" ref="AH1191">_xlfn.SWITCH(tbl_HR_Data[[#This Row],[BusinessTravel]], "Non-Travel", 0, "Travel_Rarely", 1, "Travel_Frequently", 2)</f>
        <v>1</v>
      </c>
      <c r="AI1191" cm="1">
        <f t="array" ref="AI1191">_xlfn.SWITCH(tbl_HR_Data[[#This Row],[MaritalStatus]],"Single",0,"Married",1,"Divorced",2)</f>
        <v>2</v>
      </c>
      <c r="AJ1191">
        <f>IF(tbl_HR_Data[[#This Row],[OverTime]]=1,1,0)</f>
        <v>0</v>
      </c>
      <c r="AK1191">
        <f>IF(tbl_HR_Data[[#This Row],[DistanceFromHome]]&gt;15,1,0)</f>
        <v>0</v>
      </c>
      <c r="AL1191">
        <f>IF(tbl_HR_Data[[#This Row],[JobSatisfaction]]&lt;=2,1,0)</f>
        <v>0</v>
      </c>
      <c r="AM1191">
        <f>IF(tbl_HR_Data[[#This Row],[MonthlyIncome]]&lt;$AT$2,1,0)</f>
        <v>0</v>
      </c>
      <c r="AN1191">
        <f>IF(tbl_HR_Data[[#This Row],[Travel_Code]]=2,1,0)</f>
        <v>0</v>
      </c>
      <c r="AO1191">
        <f>(tbl_HR_Data[[#This Row],[Flag_OT]] * Logic_Parameters!$B$2) +
 (tbl_HR_Data[[#This Row],[Flag_Travel]] * Logic_Parameters!$B$3) +
 (tbl_HR_Data[[#This Row],[Flag_Satisfaction]] * Logic_Parameters!$B$4) +
 (tbl_HR_Data[[#This Row],[Flag_Distance]]* Logic_Parameters!$B$5) +
 (tbl_HR_Data[[#This Row],[Flag_Income]] * Logic_Parameters!$B$6)</f>
        <v>0</v>
      </c>
      <c r="AP1191" s="15">
        <f>tbl_HR_Data[[#This Row],[Risk_Score_Raw]] / SUM(Logic_Parameters!$B$2:$B$6)</f>
        <v>0</v>
      </c>
      <c r="AQ1191" s="16" t="str" cm="1">
        <f t="array" ref="AQ1191">_xlfn.IFS(tbl_HR_Data[[#This Row],[Attrition_Risk_Percentage]] &gt;= 0.75, "Critical",tbl_HR_Data[ [#This Row],[Attrition_Risk_Percentage] ]&gt;= 0.5, "High",tbl_HR_Data[[#This Row],[Attrition_Risk_Percentage]] &gt;= 0.25, "Medium",TRUE, "Low")</f>
        <v>Low</v>
      </c>
      <c r="AR1191" s="16" cm="1">
        <f t="array" ref="AR1191">IFERROR(_xlfn.IFS(tbl_HR_Data[[#This Row],[Risk_Category]]="Critical",tbl_HR_Data[[#This Row],[MonthlyIncome]]*1.5,tbl_HR_Data[[#This Row],[Risk_Category]]="High",tbl_HR_Data[[#This Row],[MonthlyIncome]]*1.5),0)</f>
        <v>0</v>
      </c>
    </row>
    <row r="1192" spans="1:44" x14ac:dyDescent="0.35">
      <c r="A1192" t="s">
        <v>1130</v>
      </c>
      <c r="B1192">
        <v>32</v>
      </c>
      <c r="C1192" t="s">
        <v>31</v>
      </c>
      <c r="D1192">
        <v>977</v>
      </c>
      <c r="E1192" t="s">
        <v>38</v>
      </c>
      <c r="F1192">
        <v>2</v>
      </c>
      <c r="G1192">
        <v>3</v>
      </c>
      <c r="H1192" t="s">
        <v>44</v>
      </c>
      <c r="I1192">
        <v>4</v>
      </c>
      <c r="J1192" t="s">
        <v>39</v>
      </c>
      <c r="K1192">
        <v>45</v>
      </c>
      <c r="L1192">
        <v>3</v>
      </c>
      <c r="M1192">
        <v>2</v>
      </c>
      <c r="N1192" t="s">
        <v>40</v>
      </c>
      <c r="O1192">
        <v>2</v>
      </c>
      <c r="P1192" t="s">
        <v>45</v>
      </c>
      <c r="Q1192">
        <v>5470</v>
      </c>
      <c r="R1192">
        <v>25518</v>
      </c>
      <c r="S1192">
        <v>0</v>
      </c>
      <c r="T1192">
        <v>0</v>
      </c>
      <c r="U1192" s="17">
        <v>0.13</v>
      </c>
      <c r="V1192">
        <v>3</v>
      </c>
      <c r="W1192">
        <v>3</v>
      </c>
      <c r="X1192">
        <v>2</v>
      </c>
      <c r="Y1192">
        <v>10</v>
      </c>
      <c r="Z1192">
        <v>4</v>
      </c>
      <c r="AA1192">
        <v>2</v>
      </c>
      <c r="AB1192">
        <v>9</v>
      </c>
      <c r="AC1192">
        <v>5</v>
      </c>
      <c r="AD1192">
        <v>1</v>
      </c>
      <c r="AE1192">
        <v>6</v>
      </c>
      <c r="AF1192">
        <v>0</v>
      </c>
      <c r="AG1192">
        <f>IF(tbl_HR_Data[[#This Row],[Gender]]="Male",1,0)</f>
        <v>1</v>
      </c>
      <c r="AH1192" cm="1">
        <f t="array" ref="AH1192">_xlfn.SWITCH(tbl_HR_Data[[#This Row],[BusinessTravel]], "Non-Travel", 0, "Travel_Rarely", 1, "Travel_Frequently", 2)</f>
        <v>1</v>
      </c>
      <c r="AI1192" cm="1">
        <f t="array" ref="AI1192">_xlfn.SWITCH(tbl_HR_Data[[#This Row],[MaritalStatus]],"Single",0,"Married",1,"Divorced",2)</f>
        <v>2</v>
      </c>
      <c r="AJ1192">
        <f>IF(tbl_HR_Data[[#This Row],[OverTime]]=1,1,0)</f>
        <v>0</v>
      </c>
      <c r="AK1192">
        <f>IF(tbl_HR_Data[[#This Row],[DistanceFromHome]]&gt;15,1,0)</f>
        <v>0</v>
      </c>
      <c r="AL1192">
        <f>IF(tbl_HR_Data[[#This Row],[JobSatisfaction]]&lt;=2,1,0)</f>
        <v>1</v>
      </c>
      <c r="AM1192">
        <f>IF(tbl_HR_Data[[#This Row],[MonthlyIncome]]&lt;$AT$2,1,0)</f>
        <v>0</v>
      </c>
      <c r="AN1192">
        <f>IF(tbl_HR_Data[[#This Row],[Travel_Code]]=2,1,0)</f>
        <v>0</v>
      </c>
      <c r="AO1192">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192" s="15">
        <f>tbl_HR_Data[[#This Row],[Risk_Score_Raw]] / SUM(Logic_Parameters!$B$2:$B$6)</f>
        <v>0.14485673308716898</v>
      </c>
      <c r="AQ1192" s="16" t="str" cm="1">
        <f t="array" ref="AQ1192">_xlfn.IFS(tbl_HR_Data[[#This Row],[Attrition_Risk_Percentage]] &gt;= 0.75, "Critical",tbl_HR_Data[ [#This Row],[Attrition_Risk_Percentage] ]&gt;= 0.5, "High",tbl_HR_Data[[#This Row],[Attrition_Risk_Percentage]] &gt;= 0.25, "Medium",TRUE, "Low")</f>
        <v>Low</v>
      </c>
      <c r="AR1192" s="16" cm="1">
        <f t="array" ref="AR1192">IFERROR(_xlfn.IFS(tbl_HR_Data[[#This Row],[Risk_Category]]="Critical",tbl_HR_Data[[#This Row],[MonthlyIncome]]*1.5,tbl_HR_Data[[#This Row],[Risk_Category]]="High",tbl_HR_Data[[#This Row],[MonthlyIncome]]*1.5),0)</f>
        <v>0</v>
      </c>
    </row>
    <row r="1193" spans="1:44" x14ac:dyDescent="0.35">
      <c r="A1193" t="s">
        <v>501</v>
      </c>
      <c r="B1193">
        <v>31</v>
      </c>
      <c r="C1193" t="s">
        <v>31</v>
      </c>
      <c r="D1193">
        <v>1112</v>
      </c>
      <c r="E1193" t="s">
        <v>32</v>
      </c>
      <c r="F1193">
        <v>5</v>
      </c>
      <c r="G1193">
        <v>4</v>
      </c>
      <c r="H1193" t="s">
        <v>33</v>
      </c>
      <c r="I1193">
        <v>1</v>
      </c>
      <c r="J1193" t="s">
        <v>34</v>
      </c>
      <c r="K1193">
        <v>67</v>
      </c>
      <c r="L1193">
        <v>3</v>
      </c>
      <c r="M1193">
        <v>2</v>
      </c>
      <c r="N1193" t="s">
        <v>35</v>
      </c>
      <c r="O1193">
        <v>4</v>
      </c>
      <c r="P1193" t="s">
        <v>41</v>
      </c>
      <c r="Q1193">
        <v>5476</v>
      </c>
      <c r="R1193">
        <v>22589</v>
      </c>
      <c r="S1193">
        <v>1</v>
      </c>
      <c r="T1193">
        <v>0</v>
      </c>
      <c r="U1193" s="17">
        <v>0.11</v>
      </c>
      <c r="V1193">
        <v>3</v>
      </c>
      <c r="W1193">
        <v>1</v>
      </c>
      <c r="X1193">
        <v>2</v>
      </c>
      <c r="Y1193">
        <v>10</v>
      </c>
      <c r="Z1193">
        <v>2</v>
      </c>
      <c r="AA1193">
        <v>3</v>
      </c>
      <c r="AB1193">
        <v>10</v>
      </c>
      <c r="AC1193">
        <v>0</v>
      </c>
      <c r="AD1193">
        <v>0</v>
      </c>
      <c r="AE1193">
        <v>2</v>
      </c>
      <c r="AF1193">
        <v>0</v>
      </c>
      <c r="AG1193">
        <f>IF(tbl_HR_Data[[#This Row],[Gender]]="Male",1,0)</f>
        <v>0</v>
      </c>
      <c r="AH1193" cm="1">
        <f t="array" ref="AH1193">_xlfn.SWITCH(tbl_HR_Data[[#This Row],[BusinessTravel]], "Non-Travel", 0, "Travel_Rarely", 1, "Travel_Frequently", 2)</f>
        <v>1</v>
      </c>
      <c r="AI1193" cm="1">
        <f t="array" ref="AI1193">_xlfn.SWITCH(tbl_HR_Data[[#This Row],[MaritalStatus]],"Single",0,"Married",1,"Divorced",2)</f>
        <v>1</v>
      </c>
      <c r="AJ1193">
        <f>IF(tbl_HR_Data[[#This Row],[OverTime]]=1,1,0)</f>
        <v>0</v>
      </c>
      <c r="AK1193">
        <f>IF(tbl_HR_Data[[#This Row],[DistanceFromHome]]&gt;15,1,0)</f>
        <v>0</v>
      </c>
      <c r="AL1193">
        <f>IF(tbl_HR_Data[[#This Row],[JobSatisfaction]]&lt;=2,1,0)</f>
        <v>0</v>
      </c>
      <c r="AM1193">
        <f>IF(tbl_HR_Data[[#This Row],[MonthlyIncome]]&lt;$AT$2,1,0)</f>
        <v>0</v>
      </c>
      <c r="AN1193">
        <f>IF(tbl_HR_Data[[#This Row],[Travel_Code]]=2,1,0)</f>
        <v>0</v>
      </c>
      <c r="AO1193">
        <f>(tbl_HR_Data[[#This Row],[Flag_OT]] * Logic_Parameters!$B$2) +
 (tbl_HR_Data[[#This Row],[Flag_Travel]] * Logic_Parameters!$B$3) +
 (tbl_HR_Data[[#This Row],[Flag_Satisfaction]] * Logic_Parameters!$B$4) +
 (tbl_HR_Data[[#This Row],[Flag_Distance]]* Logic_Parameters!$B$5) +
 (tbl_HR_Data[[#This Row],[Flag_Income]] * Logic_Parameters!$B$6)</f>
        <v>0</v>
      </c>
      <c r="AP1193" s="15">
        <f>tbl_HR_Data[[#This Row],[Risk_Score_Raw]] / SUM(Logic_Parameters!$B$2:$B$6)</f>
        <v>0</v>
      </c>
      <c r="AQ1193" s="16" t="str" cm="1">
        <f t="array" ref="AQ1193">_xlfn.IFS(tbl_HR_Data[[#This Row],[Attrition_Risk_Percentage]] &gt;= 0.75, "Critical",tbl_HR_Data[ [#This Row],[Attrition_Risk_Percentage] ]&gt;= 0.5, "High",tbl_HR_Data[[#This Row],[Attrition_Risk_Percentage]] &gt;= 0.25, "Medium",TRUE, "Low")</f>
        <v>Low</v>
      </c>
      <c r="AR1193" s="16" cm="1">
        <f t="array" ref="AR1193">IFERROR(_xlfn.IFS(tbl_HR_Data[[#This Row],[Risk_Category]]="Critical",tbl_HR_Data[[#This Row],[MonthlyIncome]]*1.5,tbl_HR_Data[[#This Row],[Risk_Category]]="High",tbl_HR_Data[[#This Row],[MonthlyIncome]]*1.5),0)</f>
        <v>0</v>
      </c>
    </row>
    <row r="1194" spans="1:44" x14ac:dyDescent="0.35">
      <c r="A1194" t="s">
        <v>1256</v>
      </c>
      <c r="B1194">
        <v>49</v>
      </c>
      <c r="C1194" t="s">
        <v>31</v>
      </c>
      <c r="D1194">
        <v>464</v>
      </c>
      <c r="E1194" t="s">
        <v>38</v>
      </c>
      <c r="F1194">
        <v>16</v>
      </c>
      <c r="G1194">
        <v>3</v>
      </c>
      <c r="H1194" t="s">
        <v>44</v>
      </c>
      <c r="I1194">
        <v>4</v>
      </c>
      <c r="J1194" t="s">
        <v>34</v>
      </c>
      <c r="K1194">
        <v>74</v>
      </c>
      <c r="L1194">
        <v>3</v>
      </c>
      <c r="M1194">
        <v>1</v>
      </c>
      <c r="N1194" t="s">
        <v>43</v>
      </c>
      <c r="O1194">
        <v>1</v>
      </c>
      <c r="P1194" t="s">
        <v>45</v>
      </c>
      <c r="Q1194">
        <v>2587</v>
      </c>
      <c r="R1194">
        <v>24941</v>
      </c>
      <c r="S1194">
        <v>4</v>
      </c>
      <c r="T1194">
        <v>1</v>
      </c>
      <c r="U1194" s="17">
        <v>0.16</v>
      </c>
      <c r="V1194">
        <v>3</v>
      </c>
      <c r="W1194">
        <v>2</v>
      </c>
      <c r="X1194">
        <v>1</v>
      </c>
      <c r="Y1194">
        <v>17</v>
      </c>
      <c r="Z1194">
        <v>2</v>
      </c>
      <c r="AA1194">
        <v>2</v>
      </c>
      <c r="AB1194">
        <v>2</v>
      </c>
      <c r="AC1194">
        <v>2</v>
      </c>
      <c r="AD1194">
        <v>2</v>
      </c>
      <c r="AE1194">
        <v>2</v>
      </c>
      <c r="AF1194">
        <v>0</v>
      </c>
      <c r="AG1194">
        <f>IF(tbl_HR_Data[[#This Row],[Gender]]="Male",1,0)</f>
        <v>0</v>
      </c>
      <c r="AH1194" cm="1">
        <f t="array" ref="AH1194">_xlfn.SWITCH(tbl_HR_Data[[#This Row],[BusinessTravel]], "Non-Travel", 0, "Travel_Rarely", 1, "Travel_Frequently", 2)</f>
        <v>1</v>
      </c>
      <c r="AI1194" cm="1">
        <f t="array" ref="AI1194">_xlfn.SWITCH(tbl_HR_Data[[#This Row],[MaritalStatus]],"Single",0,"Married",1,"Divorced",2)</f>
        <v>2</v>
      </c>
      <c r="AJ1194">
        <f>IF(tbl_HR_Data[[#This Row],[OverTime]]=1,1,0)</f>
        <v>1</v>
      </c>
      <c r="AK1194">
        <f>IF(tbl_HR_Data[[#This Row],[DistanceFromHome]]&gt;15,1,0)</f>
        <v>1</v>
      </c>
      <c r="AL1194">
        <f>IF(tbl_HR_Data[[#This Row],[JobSatisfaction]]&lt;=2,1,0)</f>
        <v>1</v>
      </c>
      <c r="AM1194">
        <f>IF(tbl_HR_Data[[#This Row],[MonthlyIncome]]&lt;$AT$2,1,0)</f>
        <v>1</v>
      </c>
      <c r="AN1194">
        <f>IF(tbl_HR_Data[[#This Row],[Travel_Code]]=2,1,0)</f>
        <v>0</v>
      </c>
      <c r="AO1194">
        <f>(tbl_HR_Data[[#This Row],[Flag_OT]] * Logic_Parameters!$B$2) +
 (tbl_HR_Data[[#This Row],[Flag_Travel]] * Logic_Parameters!$B$3) +
 (tbl_HR_Data[[#This Row],[Flag_Satisfaction]] * Logic_Parameters!$B$4) +
 (tbl_HR_Data[[#This Row],[Flag_Distance]]* Logic_Parameters!$B$5) +
 (tbl_HR_Data[[#This Row],[Flag_Income]] * Logic_Parameters!$B$6)</f>
        <v>23.865068763274337</v>
      </c>
      <c r="AP1194" s="15">
        <f>tbl_HR_Data[[#This Row],[Risk_Score_Raw]] / SUM(Logic_Parameters!$B$2:$B$6)</f>
        <v>0.82221159616990469</v>
      </c>
      <c r="AQ1194" s="16" t="str" cm="1">
        <f t="array" ref="AQ1194">_xlfn.IFS(tbl_HR_Data[[#This Row],[Attrition_Risk_Percentage]] &gt;= 0.75, "Critical",tbl_HR_Data[ [#This Row],[Attrition_Risk_Percentage] ]&gt;= 0.5, "High",tbl_HR_Data[[#This Row],[Attrition_Risk_Percentage]] &gt;= 0.25, "Medium",TRUE, "Low")</f>
        <v>Critical</v>
      </c>
      <c r="AR1194" s="16" cm="1">
        <f t="array" ref="AR1194">IFERROR(_xlfn.IFS(tbl_HR_Data[[#This Row],[Risk_Category]]="Critical",tbl_HR_Data[[#This Row],[MonthlyIncome]]*1.5,tbl_HR_Data[[#This Row],[Risk_Category]]="High",tbl_HR_Data[[#This Row],[MonthlyIncome]]*1.5),0)</f>
        <v>3880.5</v>
      </c>
    </row>
    <row r="1195" spans="1:44" x14ac:dyDescent="0.35">
      <c r="A1195" t="s">
        <v>197</v>
      </c>
      <c r="B1195">
        <v>38</v>
      </c>
      <c r="C1195" t="s">
        <v>37</v>
      </c>
      <c r="D1195">
        <v>148</v>
      </c>
      <c r="E1195" t="s">
        <v>38</v>
      </c>
      <c r="F1195">
        <v>2</v>
      </c>
      <c r="G1195">
        <v>3</v>
      </c>
      <c r="H1195" t="s">
        <v>44</v>
      </c>
      <c r="I1195">
        <v>4</v>
      </c>
      <c r="J1195" t="s">
        <v>34</v>
      </c>
      <c r="K1195">
        <v>42</v>
      </c>
      <c r="L1195">
        <v>2</v>
      </c>
      <c r="M1195">
        <v>1</v>
      </c>
      <c r="N1195" t="s">
        <v>43</v>
      </c>
      <c r="O1195">
        <v>2</v>
      </c>
      <c r="P1195" t="s">
        <v>36</v>
      </c>
      <c r="Q1195">
        <v>2440</v>
      </c>
      <c r="R1195">
        <v>23826</v>
      </c>
      <c r="S1195">
        <v>1</v>
      </c>
      <c r="T1195">
        <v>0</v>
      </c>
      <c r="U1195" s="17">
        <v>0.22</v>
      </c>
      <c r="V1195">
        <v>4</v>
      </c>
      <c r="W1195">
        <v>2</v>
      </c>
      <c r="X1195">
        <v>0</v>
      </c>
      <c r="Y1195">
        <v>4</v>
      </c>
      <c r="Z1195">
        <v>3</v>
      </c>
      <c r="AA1195">
        <v>3</v>
      </c>
      <c r="AB1195">
        <v>4</v>
      </c>
      <c r="AC1195">
        <v>3</v>
      </c>
      <c r="AD1195">
        <v>3</v>
      </c>
      <c r="AE1195">
        <v>3</v>
      </c>
      <c r="AF1195">
        <v>0</v>
      </c>
      <c r="AG1195">
        <f>IF(tbl_HR_Data[[#This Row],[Gender]]="Male",1,0)</f>
        <v>0</v>
      </c>
      <c r="AH1195" cm="1">
        <f t="array" ref="AH1195">_xlfn.SWITCH(tbl_HR_Data[[#This Row],[BusinessTravel]], "Non-Travel", 0, "Travel_Rarely", 1, "Travel_Frequently", 2)</f>
        <v>2</v>
      </c>
      <c r="AI1195" cm="1">
        <f t="array" ref="AI1195">_xlfn.SWITCH(tbl_HR_Data[[#This Row],[MaritalStatus]],"Single",0,"Married",1,"Divorced",2)</f>
        <v>0</v>
      </c>
      <c r="AJ1195">
        <f>IF(tbl_HR_Data[[#This Row],[OverTime]]=1,1,0)</f>
        <v>0</v>
      </c>
      <c r="AK1195">
        <f>IF(tbl_HR_Data[[#This Row],[DistanceFromHome]]&gt;15,1,0)</f>
        <v>0</v>
      </c>
      <c r="AL1195">
        <f>IF(tbl_HR_Data[[#This Row],[JobSatisfaction]]&lt;=2,1,0)</f>
        <v>1</v>
      </c>
      <c r="AM1195">
        <f>IF(tbl_HR_Data[[#This Row],[MonthlyIncome]]&lt;$AT$2,1,0)</f>
        <v>1</v>
      </c>
      <c r="AN1195">
        <f>IF(tbl_HR_Data[[#This Row],[Travel_Code]]=2,1,0)</f>
        <v>1</v>
      </c>
      <c r="AO1195">
        <f>(tbl_HR_Data[[#This Row],[Flag_OT]] * Logic_Parameters!$B$2) +
 (tbl_HR_Data[[#This Row],[Flag_Travel]] * Logic_Parameters!$B$3) +
 (tbl_HR_Data[[#This Row],[Flag_Satisfaction]] * Logic_Parameters!$B$4) +
 (tbl_HR_Data[[#This Row],[Flag_Distance]]* Logic_Parameters!$B$5) +
 (tbl_HR_Data[[#This Row],[Flag_Income]] * Logic_Parameters!$B$6)</f>
        <v>15.859352047889136</v>
      </c>
      <c r="AP1195" s="15">
        <f>tbl_HR_Data[[#This Row],[Risk_Score_Raw]] / SUM(Logic_Parameters!$B$2:$B$6)</f>
        <v>0.54639453549708916</v>
      </c>
      <c r="AQ1195" s="16" t="str" cm="1">
        <f t="array" ref="AQ1195">_xlfn.IFS(tbl_HR_Data[[#This Row],[Attrition_Risk_Percentage]] &gt;= 0.75, "Critical",tbl_HR_Data[ [#This Row],[Attrition_Risk_Percentage] ]&gt;= 0.5, "High",tbl_HR_Data[[#This Row],[Attrition_Risk_Percentage]] &gt;= 0.25, "Medium",TRUE, "Low")</f>
        <v>High</v>
      </c>
      <c r="AR1195" s="16" cm="1">
        <f t="array" ref="AR1195">IFERROR(_xlfn.IFS(tbl_HR_Data[[#This Row],[Risk_Category]]="Critical",tbl_HR_Data[[#This Row],[MonthlyIncome]]*1.5,tbl_HR_Data[[#This Row],[Risk_Category]]="High",tbl_HR_Data[[#This Row],[MonthlyIncome]]*1.5),0)</f>
        <v>3660</v>
      </c>
    </row>
    <row r="1196" spans="1:44" x14ac:dyDescent="0.35">
      <c r="A1196" t="s">
        <v>273</v>
      </c>
      <c r="B1196">
        <v>47</v>
      </c>
      <c r="C1196" t="s">
        <v>31</v>
      </c>
      <c r="D1196">
        <v>1225</v>
      </c>
      <c r="E1196" t="s">
        <v>32</v>
      </c>
      <c r="F1196">
        <v>2</v>
      </c>
      <c r="G1196">
        <v>4</v>
      </c>
      <c r="H1196" t="s">
        <v>33</v>
      </c>
      <c r="I1196">
        <v>2</v>
      </c>
      <c r="J1196" t="s">
        <v>34</v>
      </c>
      <c r="K1196">
        <v>47</v>
      </c>
      <c r="L1196">
        <v>4</v>
      </c>
      <c r="M1196">
        <v>4</v>
      </c>
      <c r="N1196" t="s">
        <v>48</v>
      </c>
      <c r="O1196">
        <v>2</v>
      </c>
      <c r="P1196" t="s">
        <v>45</v>
      </c>
      <c r="Q1196">
        <v>15972</v>
      </c>
      <c r="R1196">
        <v>21086</v>
      </c>
      <c r="S1196">
        <v>6</v>
      </c>
      <c r="T1196">
        <v>0</v>
      </c>
      <c r="U1196" s="17">
        <v>0.14000000000000001</v>
      </c>
      <c r="V1196">
        <v>3</v>
      </c>
      <c r="W1196">
        <v>3</v>
      </c>
      <c r="X1196">
        <v>3</v>
      </c>
      <c r="Y1196">
        <v>29</v>
      </c>
      <c r="Z1196">
        <v>2</v>
      </c>
      <c r="AA1196">
        <v>3</v>
      </c>
      <c r="AB1196">
        <v>3</v>
      </c>
      <c r="AC1196">
        <v>2</v>
      </c>
      <c r="AD1196">
        <v>1</v>
      </c>
      <c r="AE1196">
        <v>2</v>
      </c>
      <c r="AF1196">
        <v>0</v>
      </c>
      <c r="AG1196">
        <f>IF(tbl_HR_Data[[#This Row],[Gender]]="Male",1,0)</f>
        <v>0</v>
      </c>
      <c r="AH1196" cm="1">
        <f t="array" ref="AH1196">_xlfn.SWITCH(tbl_HR_Data[[#This Row],[BusinessTravel]], "Non-Travel", 0, "Travel_Rarely", 1, "Travel_Frequently", 2)</f>
        <v>1</v>
      </c>
      <c r="AI1196" cm="1">
        <f t="array" ref="AI1196">_xlfn.SWITCH(tbl_HR_Data[[#This Row],[MaritalStatus]],"Single",0,"Married",1,"Divorced",2)</f>
        <v>2</v>
      </c>
      <c r="AJ1196">
        <f>IF(tbl_HR_Data[[#This Row],[OverTime]]=1,1,0)</f>
        <v>0</v>
      </c>
      <c r="AK1196">
        <f>IF(tbl_HR_Data[[#This Row],[DistanceFromHome]]&gt;15,1,0)</f>
        <v>0</v>
      </c>
      <c r="AL1196">
        <f>IF(tbl_HR_Data[[#This Row],[JobSatisfaction]]&lt;=2,1,0)</f>
        <v>1</v>
      </c>
      <c r="AM1196">
        <f>IF(tbl_HR_Data[[#This Row],[MonthlyIncome]]&lt;$AT$2,1,0)</f>
        <v>0</v>
      </c>
      <c r="AN1196">
        <f>IF(tbl_HR_Data[[#This Row],[Travel_Code]]=2,1,0)</f>
        <v>0</v>
      </c>
      <c r="AO1196">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196" s="15">
        <f>tbl_HR_Data[[#This Row],[Risk_Score_Raw]] / SUM(Logic_Parameters!$B$2:$B$6)</f>
        <v>0.14485673308716898</v>
      </c>
      <c r="AQ1196" s="16" t="str" cm="1">
        <f t="array" ref="AQ1196">_xlfn.IFS(tbl_HR_Data[[#This Row],[Attrition_Risk_Percentage]] &gt;= 0.75, "Critical",tbl_HR_Data[ [#This Row],[Attrition_Risk_Percentage] ]&gt;= 0.5, "High",tbl_HR_Data[[#This Row],[Attrition_Risk_Percentage]] &gt;= 0.25, "Medium",TRUE, "Low")</f>
        <v>Low</v>
      </c>
      <c r="AR1196" s="16" cm="1">
        <f t="array" ref="AR1196">IFERROR(_xlfn.IFS(tbl_HR_Data[[#This Row],[Risk_Category]]="Critical",tbl_HR_Data[[#This Row],[MonthlyIncome]]*1.5,tbl_HR_Data[[#This Row],[Risk_Category]]="High",tbl_HR_Data[[#This Row],[MonthlyIncome]]*1.5),0)</f>
        <v>0</v>
      </c>
    </row>
    <row r="1197" spans="1:44" x14ac:dyDescent="0.35">
      <c r="A1197" t="s">
        <v>489</v>
      </c>
      <c r="B1197">
        <v>49</v>
      </c>
      <c r="C1197" t="s">
        <v>31</v>
      </c>
      <c r="D1197">
        <v>809</v>
      </c>
      <c r="E1197" t="s">
        <v>38</v>
      </c>
      <c r="F1197">
        <v>1</v>
      </c>
      <c r="G1197">
        <v>3</v>
      </c>
      <c r="H1197" t="s">
        <v>33</v>
      </c>
      <c r="I1197">
        <v>3</v>
      </c>
      <c r="J1197" t="s">
        <v>39</v>
      </c>
      <c r="K1197">
        <v>36</v>
      </c>
      <c r="L1197">
        <v>3</v>
      </c>
      <c r="M1197">
        <v>4</v>
      </c>
      <c r="N1197" t="s">
        <v>48</v>
      </c>
      <c r="O1197">
        <v>3</v>
      </c>
      <c r="P1197" t="s">
        <v>36</v>
      </c>
      <c r="Q1197">
        <v>15379</v>
      </c>
      <c r="R1197">
        <v>22384</v>
      </c>
      <c r="S1197">
        <v>4</v>
      </c>
      <c r="T1197">
        <v>0</v>
      </c>
      <c r="U1197" s="17">
        <v>0.14000000000000001</v>
      </c>
      <c r="V1197">
        <v>3</v>
      </c>
      <c r="W1197">
        <v>1</v>
      </c>
      <c r="X1197">
        <v>0</v>
      </c>
      <c r="Y1197">
        <v>23</v>
      </c>
      <c r="Z1197">
        <v>2</v>
      </c>
      <c r="AA1197">
        <v>3</v>
      </c>
      <c r="AB1197">
        <v>8</v>
      </c>
      <c r="AC1197">
        <v>7</v>
      </c>
      <c r="AD1197">
        <v>0</v>
      </c>
      <c r="AE1197">
        <v>0</v>
      </c>
      <c r="AF1197">
        <v>0</v>
      </c>
      <c r="AG1197">
        <f>IF(tbl_HR_Data[[#This Row],[Gender]]="Male",1,0)</f>
        <v>1</v>
      </c>
      <c r="AH1197" cm="1">
        <f t="array" ref="AH1197">_xlfn.SWITCH(tbl_HR_Data[[#This Row],[BusinessTravel]], "Non-Travel", 0, "Travel_Rarely", 1, "Travel_Frequently", 2)</f>
        <v>1</v>
      </c>
      <c r="AI1197" cm="1">
        <f t="array" ref="AI1197">_xlfn.SWITCH(tbl_HR_Data[[#This Row],[MaritalStatus]],"Single",0,"Married",1,"Divorced",2)</f>
        <v>0</v>
      </c>
      <c r="AJ1197">
        <f>IF(tbl_HR_Data[[#This Row],[OverTime]]=1,1,0)</f>
        <v>0</v>
      </c>
      <c r="AK1197">
        <f>IF(tbl_HR_Data[[#This Row],[DistanceFromHome]]&gt;15,1,0)</f>
        <v>0</v>
      </c>
      <c r="AL1197">
        <f>IF(tbl_HR_Data[[#This Row],[JobSatisfaction]]&lt;=2,1,0)</f>
        <v>0</v>
      </c>
      <c r="AM1197">
        <f>IF(tbl_HR_Data[[#This Row],[MonthlyIncome]]&lt;$AT$2,1,0)</f>
        <v>0</v>
      </c>
      <c r="AN1197">
        <f>IF(tbl_HR_Data[[#This Row],[Travel_Code]]=2,1,0)</f>
        <v>0</v>
      </c>
      <c r="AO1197">
        <f>(tbl_HR_Data[[#This Row],[Flag_OT]] * Logic_Parameters!$B$2) +
 (tbl_HR_Data[[#This Row],[Flag_Travel]] * Logic_Parameters!$B$3) +
 (tbl_HR_Data[[#This Row],[Flag_Satisfaction]] * Logic_Parameters!$B$4) +
 (tbl_HR_Data[[#This Row],[Flag_Distance]]* Logic_Parameters!$B$5) +
 (tbl_HR_Data[[#This Row],[Flag_Income]] * Logic_Parameters!$B$6)</f>
        <v>0</v>
      </c>
      <c r="AP1197" s="15">
        <f>tbl_HR_Data[[#This Row],[Risk_Score_Raw]] / SUM(Logic_Parameters!$B$2:$B$6)</f>
        <v>0</v>
      </c>
      <c r="AQ1197" s="16" t="str" cm="1">
        <f t="array" ref="AQ1197">_xlfn.IFS(tbl_HR_Data[[#This Row],[Attrition_Risk_Percentage]] &gt;= 0.75, "Critical",tbl_HR_Data[ [#This Row],[Attrition_Risk_Percentage] ]&gt;= 0.5, "High",tbl_HR_Data[[#This Row],[Attrition_Risk_Percentage]] &gt;= 0.25, "Medium",TRUE, "Low")</f>
        <v>Low</v>
      </c>
      <c r="AR1197" s="16" cm="1">
        <f t="array" ref="AR1197">IFERROR(_xlfn.IFS(tbl_HR_Data[[#This Row],[Risk_Category]]="Critical",tbl_HR_Data[[#This Row],[MonthlyIncome]]*1.5,tbl_HR_Data[[#This Row],[Risk_Category]]="High",tbl_HR_Data[[#This Row],[MonthlyIncome]]*1.5),0)</f>
        <v>0</v>
      </c>
    </row>
    <row r="1198" spans="1:44" x14ac:dyDescent="0.35">
      <c r="A1198" t="s">
        <v>57</v>
      </c>
      <c r="B1198">
        <v>41</v>
      </c>
      <c r="C1198" t="s">
        <v>31</v>
      </c>
      <c r="D1198">
        <v>1206</v>
      </c>
      <c r="E1198" t="s">
        <v>32</v>
      </c>
      <c r="F1198">
        <v>23</v>
      </c>
      <c r="G1198">
        <v>2</v>
      </c>
      <c r="H1198" t="s">
        <v>33</v>
      </c>
      <c r="I1198">
        <v>4</v>
      </c>
      <c r="J1198" t="s">
        <v>39</v>
      </c>
      <c r="K1198">
        <v>80</v>
      </c>
      <c r="L1198">
        <v>3</v>
      </c>
      <c r="M1198">
        <v>3</v>
      </c>
      <c r="N1198" t="s">
        <v>35</v>
      </c>
      <c r="O1198">
        <v>3</v>
      </c>
      <c r="P1198" t="s">
        <v>36</v>
      </c>
      <c r="Q1198">
        <v>7082</v>
      </c>
      <c r="R1198">
        <v>11591</v>
      </c>
      <c r="S1198">
        <v>3</v>
      </c>
      <c r="T1198">
        <v>1</v>
      </c>
      <c r="U1198" s="17">
        <v>0.16</v>
      </c>
      <c r="V1198">
        <v>3</v>
      </c>
      <c r="W1198">
        <v>4</v>
      </c>
      <c r="X1198">
        <v>0</v>
      </c>
      <c r="Y1198">
        <v>21</v>
      </c>
      <c r="Z1198">
        <v>2</v>
      </c>
      <c r="AA1198">
        <v>3</v>
      </c>
      <c r="AB1198">
        <v>2</v>
      </c>
      <c r="AC1198">
        <v>0</v>
      </c>
      <c r="AD1198">
        <v>0</v>
      </c>
      <c r="AE1198">
        <v>2</v>
      </c>
      <c r="AF1198">
        <v>0</v>
      </c>
      <c r="AG1198">
        <f>IF(tbl_HR_Data[[#This Row],[Gender]]="Male",1,0)</f>
        <v>1</v>
      </c>
      <c r="AH1198" cm="1">
        <f t="array" ref="AH1198">_xlfn.SWITCH(tbl_HR_Data[[#This Row],[BusinessTravel]], "Non-Travel", 0, "Travel_Rarely", 1, "Travel_Frequently", 2)</f>
        <v>1</v>
      </c>
      <c r="AI1198" cm="1">
        <f t="array" ref="AI1198">_xlfn.SWITCH(tbl_HR_Data[[#This Row],[MaritalStatus]],"Single",0,"Married",1,"Divorced",2)</f>
        <v>0</v>
      </c>
      <c r="AJ1198">
        <f>IF(tbl_HR_Data[[#This Row],[OverTime]]=1,1,0)</f>
        <v>1</v>
      </c>
      <c r="AK1198">
        <f>IF(tbl_HR_Data[[#This Row],[DistanceFromHome]]&gt;15,1,0)</f>
        <v>1</v>
      </c>
      <c r="AL1198">
        <f>IF(tbl_HR_Data[[#This Row],[JobSatisfaction]]&lt;=2,1,0)</f>
        <v>0</v>
      </c>
      <c r="AM1198">
        <f>IF(tbl_HR_Data[[#This Row],[MonthlyIncome]]&lt;$AT$2,1,0)</f>
        <v>0</v>
      </c>
      <c r="AN1198">
        <f>IF(tbl_HR_Data[[#This Row],[Travel_Code]]=2,1,0)</f>
        <v>0</v>
      </c>
      <c r="AO1198">
        <f>(tbl_HR_Data[[#This Row],[Flag_OT]] * Logic_Parameters!$B$2) +
 (tbl_HR_Data[[#This Row],[Flag_Travel]] * Logic_Parameters!$B$3) +
 (tbl_HR_Data[[#This Row],[Flag_Satisfaction]] * Logic_Parameters!$B$4) +
 (tbl_HR_Data[[#This Row],[Flag_Distance]]* Logic_Parameters!$B$5) +
 (tbl_HR_Data[[#This Row],[Flag_Income]] * Logic_Parameters!$B$6)</f>
        <v>13.166106695875378</v>
      </c>
      <c r="AP1198" s="15">
        <f>tbl_HR_Data[[#This Row],[Risk_Score_Raw]] / SUM(Logic_Parameters!$B$2:$B$6)</f>
        <v>0.45360546450291089</v>
      </c>
      <c r="AQ1198" s="16" t="str" cm="1">
        <f t="array" ref="AQ1198">_xlfn.IFS(tbl_HR_Data[[#This Row],[Attrition_Risk_Percentage]] &gt;= 0.75, "Critical",tbl_HR_Data[ [#This Row],[Attrition_Risk_Percentage] ]&gt;= 0.5, "High",tbl_HR_Data[[#This Row],[Attrition_Risk_Percentage]] &gt;= 0.25, "Medium",TRUE, "Low")</f>
        <v>Medium</v>
      </c>
      <c r="AR1198" s="16" cm="1">
        <f t="array" ref="AR1198">IFERROR(_xlfn.IFS(tbl_HR_Data[[#This Row],[Risk_Category]]="Critical",tbl_HR_Data[[#This Row],[MonthlyIncome]]*1.5,tbl_HR_Data[[#This Row],[Risk_Category]]="High",tbl_HR_Data[[#This Row],[MonthlyIncome]]*1.5),0)</f>
        <v>0</v>
      </c>
    </row>
    <row r="1199" spans="1:44" x14ac:dyDescent="0.35">
      <c r="A1199" t="s">
        <v>1018</v>
      </c>
      <c r="B1199">
        <v>20</v>
      </c>
      <c r="C1199" t="s">
        <v>31</v>
      </c>
      <c r="D1199">
        <v>727</v>
      </c>
      <c r="E1199" t="s">
        <v>32</v>
      </c>
      <c r="F1199">
        <v>9</v>
      </c>
      <c r="G1199">
        <v>1</v>
      </c>
      <c r="H1199" t="s">
        <v>33</v>
      </c>
      <c r="I1199">
        <v>4</v>
      </c>
      <c r="J1199" t="s">
        <v>39</v>
      </c>
      <c r="K1199">
        <v>54</v>
      </c>
      <c r="L1199">
        <v>3</v>
      </c>
      <c r="M1199">
        <v>1</v>
      </c>
      <c r="N1199" t="s">
        <v>49</v>
      </c>
      <c r="O1199">
        <v>1</v>
      </c>
      <c r="P1199" t="s">
        <v>36</v>
      </c>
      <c r="Q1199">
        <v>2728</v>
      </c>
      <c r="R1199">
        <v>21082</v>
      </c>
      <c r="S1199">
        <v>1</v>
      </c>
      <c r="T1199">
        <v>0</v>
      </c>
      <c r="U1199" s="17">
        <v>0.11</v>
      </c>
      <c r="V1199">
        <v>3</v>
      </c>
      <c r="W1199">
        <v>1</v>
      </c>
      <c r="X1199">
        <v>0</v>
      </c>
      <c r="Y1199">
        <v>2</v>
      </c>
      <c r="Z1199">
        <v>3</v>
      </c>
      <c r="AA1199">
        <v>3</v>
      </c>
      <c r="AB1199">
        <v>2</v>
      </c>
      <c r="AC1199">
        <v>2</v>
      </c>
      <c r="AD1199">
        <v>0</v>
      </c>
      <c r="AE1199">
        <v>2</v>
      </c>
      <c r="AF1199">
        <v>0</v>
      </c>
      <c r="AG1199">
        <f>IF(tbl_HR_Data[[#This Row],[Gender]]="Male",1,0)</f>
        <v>1</v>
      </c>
      <c r="AH1199" cm="1">
        <f t="array" ref="AH1199">_xlfn.SWITCH(tbl_HR_Data[[#This Row],[BusinessTravel]], "Non-Travel", 0, "Travel_Rarely", 1, "Travel_Frequently", 2)</f>
        <v>1</v>
      </c>
      <c r="AI1199" cm="1">
        <f t="array" ref="AI1199">_xlfn.SWITCH(tbl_HR_Data[[#This Row],[MaritalStatus]],"Single",0,"Married",1,"Divorced",2)</f>
        <v>0</v>
      </c>
      <c r="AJ1199">
        <f>IF(tbl_HR_Data[[#This Row],[OverTime]]=1,1,0)</f>
        <v>0</v>
      </c>
      <c r="AK1199">
        <f>IF(tbl_HR_Data[[#This Row],[DistanceFromHome]]&gt;15,1,0)</f>
        <v>0</v>
      </c>
      <c r="AL1199">
        <f>IF(tbl_HR_Data[[#This Row],[JobSatisfaction]]&lt;=2,1,0)</f>
        <v>1</v>
      </c>
      <c r="AM1199">
        <f>IF(tbl_HR_Data[[#This Row],[MonthlyIncome]]&lt;$AT$2,1,0)</f>
        <v>1</v>
      </c>
      <c r="AN1199">
        <f>IF(tbl_HR_Data[[#This Row],[Travel_Code]]=2,1,0)</f>
        <v>0</v>
      </c>
      <c r="AO1199">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199" s="15">
        <f>tbl_HR_Data[[#This Row],[Risk_Score_Raw]] / SUM(Logic_Parameters!$B$2:$B$6)</f>
        <v>0.3686061316669938</v>
      </c>
      <c r="AQ1199" s="16" t="str" cm="1">
        <f t="array" ref="AQ1199">_xlfn.IFS(tbl_HR_Data[[#This Row],[Attrition_Risk_Percentage]] &gt;= 0.75, "Critical",tbl_HR_Data[ [#This Row],[Attrition_Risk_Percentage] ]&gt;= 0.5, "High",tbl_HR_Data[[#This Row],[Attrition_Risk_Percentage]] &gt;= 0.25, "Medium",TRUE, "Low")</f>
        <v>Medium</v>
      </c>
      <c r="AR1199" s="16" cm="1">
        <f t="array" ref="AR1199">IFERROR(_xlfn.IFS(tbl_HR_Data[[#This Row],[Risk_Category]]="Critical",tbl_HR_Data[[#This Row],[MonthlyIncome]]*1.5,tbl_HR_Data[[#This Row],[Risk_Category]]="High",tbl_HR_Data[[#This Row],[MonthlyIncome]]*1.5),0)</f>
        <v>0</v>
      </c>
    </row>
    <row r="1200" spans="1:44" x14ac:dyDescent="0.35">
      <c r="A1200" t="s">
        <v>1188</v>
      </c>
      <c r="B1200">
        <v>33</v>
      </c>
      <c r="C1200" t="s">
        <v>1525</v>
      </c>
      <c r="D1200">
        <v>530</v>
      </c>
      <c r="E1200" t="s">
        <v>32</v>
      </c>
      <c r="F1200">
        <v>16</v>
      </c>
      <c r="G1200">
        <v>3</v>
      </c>
      <c r="H1200" t="s">
        <v>33</v>
      </c>
      <c r="I1200">
        <v>3</v>
      </c>
      <c r="J1200" t="s">
        <v>34</v>
      </c>
      <c r="K1200">
        <v>36</v>
      </c>
      <c r="L1200">
        <v>3</v>
      </c>
      <c r="M1200">
        <v>2</v>
      </c>
      <c r="N1200" t="s">
        <v>35</v>
      </c>
      <c r="O1200">
        <v>4</v>
      </c>
      <c r="P1200" t="s">
        <v>45</v>
      </c>
      <c r="Q1200">
        <v>5368</v>
      </c>
      <c r="R1200">
        <v>16130</v>
      </c>
      <c r="S1200">
        <v>1</v>
      </c>
      <c r="T1200">
        <v>1</v>
      </c>
      <c r="U1200" s="17">
        <v>0.25</v>
      </c>
      <c r="V1200">
        <v>4</v>
      </c>
      <c r="W1200">
        <v>3</v>
      </c>
      <c r="X1200">
        <v>1</v>
      </c>
      <c r="Y1200">
        <v>7</v>
      </c>
      <c r="Z1200">
        <v>2</v>
      </c>
      <c r="AA1200">
        <v>3</v>
      </c>
      <c r="AB1200">
        <v>6</v>
      </c>
      <c r="AC1200">
        <v>5</v>
      </c>
      <c r="AD1200">
        <v>1</v>
      </c>
      <c r="AE1200">
        <v>2</v>
      </c>
      <c r="AF1200">
        <v>0</v>
      </c>
      <c r="AG1200">
        <f>IF(tbl_HR_Data[[#This Row],[Gender]]="Male",1,0)</f>
        <v>0</v>
      </c>
      <c r="AH1200" cm="1">
        <f t="array" ref="AH1200">_xlfn.SWITCH(tbl_HR_Data[[#This Row],[BusinessTravel]], "Non-Travel", 0, "Travel_Rarely", 1, "Travel_Frequently", 2)</f>
        <v>0</v>
      </c>
      <c r="AI1200" cm="1">
        <f t="array" ref="AI1200">_xlfn.SWITCH(tbl_HR_Data[[#This Row],[MaritalStatus]],"Single",0,"Married",1,"Divorced",2)</f>
        <v>2</v>
      </c>
      <c r="AJ1200">
        <f>IF(tbl_HR_Data[[#This Row],[OverTime]]=1,1,0)</f>
        <v>1</v>
      </c>
      <c r="AK1200">
        <f>IF(tbl_HR_Data[[#This Row],[DistanceFromHome]]&gt;15,1,0)</f>
        <v>1</v>
      </c>
      <c r="AL1200">
        <f>IF(tbl_HR_Data[[#This Row],[JobSatisfaction]]&lt;=2,1,0)</f>
        <v>0</v>
      </c>
      <c r="AM1200">
        <f>IF(tbl_HR_Data[[#This Row],[MonthlyIncome]]&lt;$AT$2,1,0)</f>
        <v>0</v>
      </c>
      <c r="AN1200">
        <f>IF(tbl_HR_Data[[#This Row],[Travel_Code]]=2,1,0)</f>
        <v>0</v>
      </c>
      <c r="AO1200">
        <f>(tbl_HR_Data[[#This Row],[Flag_OT]] * Logic_Parameters!$B$2) +
 (tbl_HR_Data[[#This Row],[Flag_Travel]] * Logic_Parameters!$B$3) +
 (tbl_HR_Data[[#This Row],[Flag_Satisfaction]] * Logic_Parameters!$B$4) +
 (tbl_HR_Data[[#This Row],[Flag_Distance]]* Logic_Parameters!$B$5) +
 (tbl_HR_Data[[#This Row],[Flag_Income]] * Logic_Parameters!$B$6)</f>
        <v>13.166106695875378</v>
      </c>
      <c r="AP1200" s="15">
        <f>tbl_HR_Data[[#This Row],[Risk_Score_Raw]] / SUM(Logic_Parameters!$B$2:$B$6)</f>
        <v>0.45360546450291089</v>
      </c>
      <c r="AQ1200" s="16" t="str" cm="1">
        <f t="array" ref="AQ1200">_xlfn.IFS(tbl_HR_Data[[#This Row],[Attrition_Risk_Percentage]] &gt;= 0.75, "Critical",tbl_HR_Data[ [#This Row],[Attrition_Risk_Percentage] ]&gt;= 0.5, "High",tbl_HR_Data[[#This Row],[Attrition_Risk_Percentage]] &gt;= 0.25, "Medium",TRUE, "Low")</f>
        <v>Medium</v>
      </c>
      <c r="AR1200" s="16" cm="1">
        <f t="array" ref="AR1200">IFERROR(_xlfn.IFS(tbl_HR_Data[[#This Row],[Risk_Category]]="Critical",tbl_HR_Data[[#This Row],[MonthlyIncome]]*1.5,tbl_HR_Data[[#This Row],[Risk_Category]]="High",tbl_HR_Data[[#This Row],[MonthlyIncome]]*1.5),0)</f>
        <v>0</v>
      </c>
    </row>
    <row r="1201" spans="1:44" x14ac:dyDescent="0.35">
      <c r="A1201" t="s">
        <v>1410</v>
      </c>
      <c r="B1201">
        <v>36</v>
      </c>
      <c r="C1201" t="s">
        <v>31</v>
      </c>
      <c r="D1201">
        <v>1351</v>
      </c>
      <c r="E1201" t="s">
        <v>38</v>
      </c>
      <c r="F1201">
        <v>26</v>
      </c>
      <c r="G1201">
        <v>4</v>
      </c>
      <c r="H1201" t="s">
        <v>33</v>
      </c>
      <c r="I1201">
        <v>1</v>
      </c>
      <c r="J1201" t="s">
        <v>39</v>
      </c>
      <c r="K1201">
        <v>80</v>
      </c>
      <c r="L1201">
        <v>3</v>
      </c>
      <c r="M1201">
        <v>2</v>
      </c>
      <c r="N1201" t="s">
        <v>47</v>
      </c>
      <c r="O1201">
        <v>3</v>
      </c>
      <c r="P1201" t="s">
        <v>41</v>
      </c>
      <c r="Q1201">
        <v>5347</v>
      </c>
      <c r="R1201">
        <v>7419</v>
      </c>
      <c r="S1201">
        <v>6</v>
      </c>
      <c r="T1201">
        <v>0</v>
      </c>
      <c r="U1201" s="17">
        <v>0.14000000000000001</v>
      </c>
      <c r="V1201">
        <v>3</v>
      </c>
      <c r="W1201">
        <v>2</v>
      </c>
      <c r="X1201">
        <v>2</v>
      </c>
      <c r="Y1201">
        <v>10</v>
      </c>
      <c r="Z1201">
        <v>2</v>
      </c>
      <c r="AA1201">
        <v>2</v>
      </c>
      <c r="AB1201">
        <v>3</v>
      </c>
      <c r="AC1201">
        <v>2</v>
      </c>
      <c r="AD1201">
        <v>0</v>
      </c>
      <c r="AE1201">
        <v>2</v>
      </c>
      <c r="AF1201">
        <v>0</v>
      </c>
      <c r="AG1201">
        <f>IF(tbl_HR_Data[[#This Row],[Gender]]="Male",1,0)</f>
        <v>1</v>
      </c>
      <c r="AH1201" cm="1">
        <f t="array" ref="AH1201">_xlfn.SWITCH(tbl_HR_Data[[#This Row],[BusinessTravel]], "Non-Travel", 0, "Travel_Rarely", 1, "Travel_Frequently", 2)</f>
        <v>1</v>
      </c>
      <c r="AI1201" cm="1">
        <f t="array" ref="AI1201">_xlfn.SWITCH(tbl_HR_Data[[#This Row],[MaritalStatus]],"Single",0,"Married",1,"Divorced",2)</f>
        <v>1</v>
      </c>
      <c r="AJ1201">
        <f>IF(tbl_HR_Data[[#This Row],[OverTime]]=1,1,0)</f>
        <v>0</v>
      </c>
      <c r="AK1201">
        <f>IF(tbl_HR_Data[[#This Row],[DistanceFromHome]]&gt;15,1,0)</f>
        <v>1</v>
      </c>
      <c r="AL1201">
        <f>IF(tbl_HR_Data[[#This Row],[JobSatisfaction]]&lt;=2,1,0)</f>
        <v>0</v>
      </c>
      <c r="AM1201">
        <f>IF(tbl_HR_Data[[#This Row],[MonthlyIncome]]&lt;$AT$2,1,0)</f>
        <v>0</v>
      </c>
      <c r="AN1201">
        <f>IF(tbl_HR_Data[[#This Row],[Travel_Code]]=2,1,0)</f>
        <v>0</v>
      </c>
      <c r="AO1201">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1201" s="15">
        <f>tbl_HR_Data[[#This Row],[Risk_Score_Raw]] / SUM(Logic_Parameters!$B$2:$B$6)</f>
        <v>0.10908033267710357</v>
      </c>
      <c r="AQ1201" s="16" t="str" cm="1">
        <f t="array" ref="AQ1201">_xlfn.IFS(tbl_HR_Data[[#This Row],[Attrition_Risk_Percentage]] &gt;= 0.75, "Critical",tbl_HR_Data[ [#This Row],[Attrition_Risk_Percentage] ]&gt;= 0.5, "High",tbl_HR_Data[[#This Row],[Attrition_Risk_Percentage]] &gt;= 0.25, "Medium",TRUE, "Low")</f>
        <v>Low</v>
      </c>
      <c r="AR1201" s="16" cm="1">
        <f t="array" ref="AR1201">IFERROR(_xlfn.IFS(tbl_HR_Data[[#This Row],[Risk_Category]]="Critical",tbl_HR_Data[[#This Row],[MonthlyIncome]]*1.5,tbl_HR_Data[[#This Row],[Risk_Category]]="High",tbl_HR_Data[[#This Row],[MonthlyIncome]]*1.5),0)</f>
        <v>0</v>
      </c>
    </row>
    <row r="1202" spans="1:44" x14ac:dyDescent="0.35">
      <c r="A1202" t="s">
        <v>1097</v>
      </c>
      <c r="B1202">
        <v>44</v>
      </c>
      <c r="C1202" t="s">
        <v>31</v>
      </c>
      <c r="D1202">
        <v>528</v>
      </c>
      <c r="E1202" t="s">
        <v>53</v>
      </c>
      <c r="F1202">
        <v>1</v>
      </c>
      <c r="G1202">
        <v>3</v>
      </c>
      <c r="H1202" t="s">
        <v>33</v>
      </c>
      <c r="I1202">
        <v>3</v>
      </c>
      <c r="J1202" t="s">
        <v>34</v>
      </c>
      <c r="K1202">
        <v>44</v>
      </c>
      <c r="L1202">
        <v>3</v>
      </c>
      <c r="M1202">
        <v>1</v>
      </c>
      <c r="N1202" t="s">
        <v>53</v>
      </c>
      <c r="O1202">
        <v>4</v>
      </c>
      <c r="P1202" t="s">
        <v>45</v>
      </c>
      <c r="Q1202">
        <v>3195</v>
      </c>
      <c r="R1202">
        <v>4167</v>
      </c>
      <c r="S1202">
        <v>4</v>
      </c>
      <c r="T1202">
        <v>1</v>
      </c>
      <c r="U1202" s="17">
        <v>0.18</v>
      </c>
      <c r="V1202">
        <v>3</v>
      </c>
      <c r="W1202">
        <v>1</v>
      </c>
      <c r="X1202">
        <v>3</v>
      </c>
      <c r="Y1202">
        <v>8</v>
      </c>
      <c r="Z1202">
        <v>2</v>
      </c>
      <c r="AA1202">
        <v>3</v>
      </c>
      <c r="AB1202">
        <v>2</v>
      </c>
      <c r="AC1202">
        <v>2</v>
      </c>
      <c r="AD1202">
        <v>2</v>
      </c>
      <c r="AE1202">
        <v>2</v>
      </c>
      <c r="AF1202">
        <v>0</v>
      </c>
      <c r="AG1202">
        <f>IF(tbl_HR_Data[[#This Row],[Gender]]="Male",1,0)</f>
        <v>0</v>
      </c>
      <c r="AH1202" cm="1">
        <f t="array" ref="AH1202">_xlfn.SWITCH(tbl_HR_Data[[#This Row],[BusinessTravel]], "Non-Travel", 0, "Travel_Rarely", 1, "Travel_Frequently", 2)</f>
        <v>1</v>
      </c>
      <c r="AI1202" cm="1">
        <f t="array" ref="AI1202">_xlfn.SWITCH(tbl_HR_Data[[#This Row],[MaritalStatus]],"Single",0,"Married",1,"Divorced",2)</f>
        <v>2</v>
      </c>
      <c r="AJ1202">
        <f>IF(tbl_HR_Data[[#This Row],[OverTime]]=1,1,0)</f>
        <v>1</v>
      </c>
      <c r="AK1202">
        <f>IF(tbl_HR_Data[[#This Row],[DistanceFromHome]]&gt;15,1,0)</f>
        <v>0</v>
      </c>
      <c r="AL1202">
        <f>IF(tbl_HR_Data[[#This Row],[JobSatisfaction]]&lt;=2,1,0)</f>
        <v>0</v>
      </c>
      <c r="AM1202">
        <f>IF(tbl_HR_Data[[#This Row],[MonthlyIncome]]&lt;$AT$2,1,0)</f>
        <v>1</v>
      </c>
      <c r="AN1202">
        <f>IF(tbl_HR_Data[[#This Row],[Travel_Code]]=2,1,0)</f>
        <v>0</v>
      </c>
      <c r="AO1202">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1202" s="15">
        <f>tbl_HR_Data[[#This Row],[Risk_Score_Raw]] / SUM(Logic_Parameters!$B$2:$B$6)</f>
        <v>0.56827453040563214</v>
      </c>
      <c r="AQ1202" s="16" t="str" cm="1">
        <f t="array" ref="AQ1202">_xlfn.IFS(tbl_HR_Data[[#This Row],[Attrition_Risk_Percentage]] &gt;= 0.75, "Critical",tbl_HR_Data[ [#This Row],[Attrition_Risk_Percentage] ]&gt;= 0.5, "High",tbl_HR_Data[[#This Row],[Attrition_Risk_Percentage]] &gt;= 0.25, "Medium",TRUE, "Low")</f>
        <v>High</v>
      </c>
      <c r="AR1202" s="16" cm="1">
        <f t="array" ref="AR1202">IFERROR(_xlfn.IFS(tbl_HR_Data[[#This Row],[Risk_Category]]="Critical",tbl_HR_Data[[#This Row],[MonthlyIncome]]*1.5,tbl_HR_Data[[#This Row],[Risk_Category]]="High",tbl_HR_Data[[#This Row],[MonthlyIncome]]*1.5),0)</f>
        <v>4792.5</v>
      </c>
    </row>
    <row r="1203" spans="1:44" x14ac:dyDescent="0.35">
      <c r="A1203" t="s">
        <v>183</v>
      </c>
      <c r="B1203">
        <v>23</v>
      </c>
      <c r="C1203" t="s">
        <v>31</v>
      </c>
      <c r="D1203">
        <v>1320</v>
      </c>
      <c r="E1203" t="s">
        <v>38</v>
      </c>
      <c r="F1203">
        <v>8</v>
      </c>
      <c r="G1203">
        <v>1</v>
      </c>
      <c r="H1203" t="s">
        <v>44</v>
      </c>
      <c r="I1203">
        <v>4</v>
      </c>
      <c r="J1203" t="s">
        <v>39</v>
      </c>
      <c r="K1203">
        <v>93</v>
      </c>
      <c r="L1203">
        <v>2</v>
      </c>
      <c r="M1203">
        <v>1</v>
      </c>
      <c r="N1203" t="s">
        <v>43</v>
      </c>
      <c r="O1203">
        <v>3</v>
      </c>
      <c r="P1203" t="s">
        <v>36</v>
      </c>
      <c r="Q1203">
        <v>3989</v>
      </c>
      <c r="R1203">
        <v>20586</v>
      </c>
      <c r="S1203">
        <v>1</v>
      </c>
      <c r="T1203">
        <v>1</v>
      </c>
      <c r="U1203" s="17">
        <v>0.11</v>
      </c>
      <c r="V1203">
        <v>3</v>
      </c>
      <c r="W1203">
        <v>1</v>
      </c>
      <c r="X1203">
        <v>0</v>
      </c>
      <c r="Y1203">
        <v>5</v>
      </c>
      <c r="Z1203">
        <v>2</v>
      </c>
      <c r="AA1203">
        <v>3</v>
      </c>
      <c r="AB1203">
        <v>5</v>
      </c>
      <c r="AC1203">
        <v>4</v>
      </c>
      <c r="AD1203">
        <v>1</v>
      </c>
      <c r="AE1203">
        <v>2</v>
      </c>
      <c r="AF1203">
        <v>1</v>
      </c>
      <c r="AG1203">
        <f>IF(tbl_HR_Data[[#This Row],[Gender]]="Male",1,0)</f>
        <v>1</v>
      </c>
      <c r="AH1203" cm="1">
        <f t="array" ref="AH1203">_xlfn.SWITCH(tbl_HR_Data[[#This Row],[BusinessTravel]], "Non-Travel", 0, "Travel_Rarely", 1, "Travel_Frequently", 2)</f>
        <v>1</v>
      </c>
      <c r="AI1203" cm="1">
        <f t="array" ref="AI1203">_xlfn.SWITCH(tbl_HR_Data[[#This Row],[MaritalStatus]],"Single",0,"Married",1,"Divorced",2)</f>
        <v>0</v>
      </c>
      <c r="AJ1203">
        <f>IF(tbl_HR_Data[[#This Row],[OverTime]]=1,1,0)</f>
        <v>1</v>
      </c>
      <c r="AK1203">
        <f>IF(tbl_HR_Data[[#This Row],[DistanceFromHome]]&gt;15,1,0)</f>
        <v>0</v>
      </c>
      <c r="AL1203">
        <f>IF(tbl_HR_Data[[#This Row],[JobSatisfaction]]&lt;=2,1,0)</f>
        <v>0</v>
      </c>
      <c r="AM1203">
        <f>IF(tbl_HR_Data[[#This Row],[MonthlyIncome]]&lt;$AT$2,1,0)</f>
        <v>1</v>
      </c>
      <c r="AN1203">
        <f>IF(tbl_HR_Data[[#This Row],[Travel_Code]]=2,1,0)</f>
        <v>0</v>
      </c>
      <c r="AO1203">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1203" s="15">
        <f>tbl_HR_Data[[#This Row],[Risk_Score_Raw]] / SUM(Logic_Parameters!$B$2:$B$6)</f>
        <v>0.56827453040563214</v>
      </c>
      <c r="AQ1203" s="16" t="str" cm="1">
        <f t="array" ref="AQ1203">_xlfn.IFS(tbl_HR_Data[[#This Row],[Attrition_Risk_Percentage]] &gt;= 0.75, "Critical",tbl_HR_Data[ [#This Row],[Attrition_Risk_Percentage] ]&gt;= 0.5, "High",tbl_HR_Data[[#This Row],[Attrition_Risk_Percentage]] &gt;= 0.25, "Medium",TRUE, "Low")</f>
        <v>High</v>
      </c>
      <c r="AR1203" s="16" cm="1">
        <f t="array" ref="AR1203">IFERROR(_xlfn.IFS(tbl_HR_Data[[#This Row],[Risk_Category]]="Critical",tbl_HR_Data[[#This Row],[MonthlyIncome]]*1.5,tbl_HR_Data[[#This Row],[Risk_Category]]="High",tbl_HR_Data[[#This Row],[MonthlyIncome]]*1.5),0)</f>
        <v>5983.5</v>
      </c>
    </row>
    <row r="1204" spans="1:44" x14ac:dyDescent="0.35">
      <c r="A1204" t="s">
        <v>1432</v>
      </c>
      <c r="B1204">
        <v>38</v>
      </c>
      <c r="C1204" t="s">
        <v>31</v>
      </c>
      <c r="D1204">
        <v>1495</v>
      </c>
      <c r="E1204" t="s">
        <v>38</v>
      </c>
      <c r="F1204">
        <v>4</v>
      </c>
      <c r="G1204">
        <v>2</v>
      </c>
      <c r="H1204" t="s">
        <v>44</v>
      </c>
      <c r="I1204">
        <v>4</v>
      </c>
      <c r="J1204" t="s">
        <v>34</v>
      </c>
      <c r="K1204">
        <v>87</v>
      </c>
      <c r="L1204">
        <v>3</v>
      </c>
      <c r="M1204">
        <v>1</v>
      </c>
      <c r="N1204" t="s">
        <v>43</v>
      </c>
      <c r="O1204">
        <v>3</v>
      </c>
      <c r="P1204" t="s">
        <v>41</v>
      </c>
      <c r="Q1204">
        <v>3306</v>
      </c>
      <c r="R1204">
        <v>26176</v>
      </c>
      <c r="S1204">
        <v>7</v>
      </c>
      <c r="T1204">
        <v>0</v>
      </c>
      <c r="U1204" s="17">
        <v>0.19</v>
      </c>
      <c r="V1204">
        <v>3</v>
      </c>
      <c r="W1204">
        <v>4</v>
      </c>
      <c r="X1204">
        <v>1</v>
      </c>
      <c r="Y1204">
        <v>7</v>
      </c>
      <c r="Z1204">
        <v>5</v>
      </c>
      <c r="AA1204">
        <v>2</v>
      </c>
      <c r="AB1204">
        <v>0</v>
      </c>
      <c r="AC1204">
        <v>0</v>
      </c>
      <c r="AD1204">
        <v>0</v>
      </c>
      <c r="AE1204">
        <v>0</v>
      </c>
      <c r="AF1204">
        <v>0</v>
      </c>
      <c r="AG1204">
        <f>IF(tbl_HR_Data[[#This Row],[Gender]]="Male",1,0)</f>
        <v>0</v>
      </c>
      <c r="AH1204" cm="1">
        <f t="array" ref="AH1204">_xlfn.SWITCH(tbl_HR_Data[[#This Row],[BusinessTravel]], "Non-Travel", 0, "Travel_Rarely", 1, "Travel_Frequently", 2)</f>
        <v>1</v>
      </c>
      <c r="AI1204" cm="1">
        <f t="array" ref="AI1204">_xlfn.SWITCH(tbl_HR_Data[[#This Row],[MaritalStatus]],"Single",0,"Married",1,"Divorced",2)</f>
        <v>1</v>
      </c>
      <c r="AJ1204">
        <f>IF(tbl_HR_Data[[#This Row],[OverTime]]=1,1,0)</f>
        <v>0</v>
      </c>
      <c r="AK1204">
        <f>IF(tbl_HR_Data[[#This Row],[DistanceFromHome]]&gt;15,1,0)</f>
        <v>0</v>
      </c>
      <c r="AL1204">
        <f>IF(tbl_HR_Data[[#This Row],[JobSatisfaction]]&lt;=2,1,0)</f>
        <v>0</v>
      </c>
      <c r="AM1204">
        <f>IF(tbl_HR_Data[[#This Row],[MonthlyIncome]]&lt;$AT$2,1,0)</f>
        <v>1</v>
      </c>
      <c r="AN1204">
        <f>IF(tbl_HR_Data[[#This Row],[Travel_Code]]=2,1,0)</f>
        <v>0</v>
      </c>
      <c r="AO1204">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204" s="15">
        <f>tbl_HR_Data[[#This Row],[Risk_Score_Raw]] / SUM(Logic_Parameters!$B$2:$B$6)</f>
        <v>0.22374939857982484</v>
      </c>
      <c r="AQ1204" s="16" t="str" cm="1">
        <f t="array" ref="AQ1204">_xlfn.IFS(tbl_HR_Data[[#This Row],[Attrition_Risk_Percentage]] &gt;= 0.75, "Critical",tbl_HR_Data[ [#This Row],[Attrition_Risk_Percentage] ]&gt;= 0.5, "High",tbl_HR_Data[[#This Row],[Attrition_Risk_Percentage]] &gt;= 0.25, "Medium",TRUE, "Low")</f>
        <v>Low</v>
      </c>
      <c r="AR1204" s="16" cm="1">
        <f t="array" ref="AR1204">IFERROR(_xlfn.IFS(tbl_HR_Data[[#This Row],[Risk_Category]]="Critical",tbl_HR_Data[[#This Row],[MonthlyIncome]]*1.5,tbl_HR_Data[[#This Row],[Risk_Category]]="High",tbl_HR_Data[[#This Row],[MonthlyIncome]]*1.5),0)</f>
        <v>0</v>
      </c>
    </row>
    <row r="1205" spans="1:44" x14ac:dyDescent="0.35">
      <c r="A1205" t="s">
        <v>1186</v>
      </c>
      <c r="B1205">
        <v>53</v>
      </c>
      <c r="C1205" t="s">
        <v>31</v>
      </c>
      <c r="D1205">
        <v>1395</v>
      </c>
      <c r="E1205" t="s">
        <v>38</v>
      </c>
      <c r="F1205">
        <v>24</v>
      </c>
      <c r="G1205">
        <v>4</v>
      </c>
      <c r="H1205" t="s">
        <v>44</v>
      </c>
      <c r="I1205">
        <v>2</v>
      </c>
      <c r="J1205" t="s">
        <v>39</v>
      </c>
      <c r="K1205">
        <v>48</v>
      </c>
      <c r="L1205">
        <v>4</v>
      </c>
      <c r="M1205">
        <v>3</v>
      </c>
      <c r="N1205" t="s">
        <v>47</v>
      </c>
      <c r="O1205">
        <v>4</v>
      </c>
      <c r="P1205" t="s">
        <v>41</v>
      </c>
      <c r="Q1205">
        <v>7005</v>
      </c>
      <c r="R1205">
        <v>3458</v>
      </c>
      <c r="S1205">
        <v>3</v>
      </c>
      <c r="T1205">
        <v>0</v>
      </c>
      <c r="U1205" s="17">
        <v>0.15</v>
      </c>
      <c r="V1205">
        <v>3</v>
      </c>
      <c r="W1205">
        <v>3</v>
      </c>
      <c r="X1205">
        <v>0</v>
      </c>
      <c r="Y1205">
        <v>11</v>
      </c>
      <c r="Z1205">
        <v>2</v>
      </c>
      <c r="AA1205">
        <v>3</v>
      </c>
      <c r="AB1205">
        <v>4</v>
      </c>
      <c r="AC1205">
        <v>3</v>
      </c>
      <c r="AD1205">
        <v>1</v>
      </c>
      <c r="AE1205">
        <v>2</v>
      </c>
      <c r="AF1205">
        <v>0</v>
      </c>
      <c r="AG1205">
        <f>IF(tbl_HR_Data[[#This Row],[Gender]]="Male",1,0)</f>
        <v>1</v>
      </c>
      <c r="AH1205" cm="1">
        <f t="array" ref="AH1205">_xlfn.SWITCH(tbl_HR_Data[[#This Row],[BusinessTravel]], "Non-Travel", 0, "Travel_Rarely", 1, "Travel_Frequently", 2)</f>
        <v>1</v>
      </c>
      <c r="AI1205" cm="1">
        <f t="array" ref="AI1205">_xlfn.SWITCH(tbl_HR_Data[[#This Row],[MaritalStatus]],"Single",0,"Married",1,"Divorced",2)</f>
        <v>1</v>
      </c>
      <c r="AJ1205">
        <f>IF(tbl_HR_Data[[#This Row],[OverTime]]=1,1,0)</f>
        <v>0</v>
      </c>
      <c r="AK1205">
        <f>IF(tbl_HR_Data[[#This Row],[DistanceFromHome]]&gt;15,1,0)</f>
        <v>1</v>
      </c>
      <c r="AL1205">
        <f>IF(tbl_HR_Data[[#This Row],[JobSatisfaction]]&lt;=2,1,0)</f>
        <v>0</v>
      </c>
      <c r="AM1205">
        <f>IF(tbl_HR_Data[[#This Row],[MonthlyIncome]]&lt;$AT$2,1,0)</f>
        <v>0</v>
      </c>
      <c r="AN1205">
        <f>IF(tbl_HR_Data[[#This Row],[Travel_Code]]=2,1,0)</f>
        <v>0</v>
      </c>
      <c r="AO1205">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1205" s="15">
        <f>tbl_HR_Data[[#This Row],[Risk_Score_Raw]] / SUM(Logic_Parameters!$B$2:$B$6)</f>
        <v>0.10908033267710357</v>
      </c>
      <c r="AQ1205" s="16" t="str" cm="1">
        <f t="array" ref="AQ1205">_xlfn.IFS(tbl_HR_Data[[#This Row],[Attrition_Risk_Percentage]] &gt;= 0.75, "Critical",tbl_HR_Data[ [#This Row],[Attrition_Risk_Percentage] ]&gt;= 0.5, "High",tbl_HR_Data[[#This Row],[Attrition_Risk_Percentage]] &gt;= 0.25, "Medium",TRUE, "Low")</f>
        <v>Low</v>
      </c>
      <c r="AR1205" s="16" cm="1">
        <f t="array" ref="AR1205">IFERROR(_xlfn.IFS(tbl_HR_Data[[#This Row],[Risk_Category]]="Critical",tbl_HR_Data[[#This Row],[MonthlyIncome]]*1.5,tbl_HR_Data[[#This Row],[Risk_Category]]="High",tbl_HR_Data[[#This Row],[MonthlyIncome]]*1.5),0)</f>
        <v>0</v>
      </c>
    </row>
    <row r="1206" spans="1:44" x14ac:dyDescent="0.35">
      <c r="A1206" t="s">
        <v>767</v>
      </c>
      <c r="B1206">
        <v>48</v>
      </c>
      <c r="C1206" t="s">
        <v>37</v>
      </c>
      <c r="D1206">
        <v>708</v>
      </c>
      <c r="E1206" t="s">
        <v>32</v>
      </c>
      <c r="F1206">
        <v>7</v>
      </c>
      <c r="G1206">
        <v>2</v>
      </c>
      <c r="H1206" t="s">
        <v>44</v>
      </c>
      <c r="I1206">
        <v>4</v>
      </c>
      <c r="J1206" t="s">
        <v>34</v>
      </c>
      <c r="K1206">
        <v>95</v>
      </c>
      <c r="L1206">
        <v>3</v>
      </c>
      <c r="M1206">
        <v>1</v>
      </c>
      <c r="N1206" t="s">
        <v>49</v>
      </c>
      <c r="O1206">
        <v>3</v>
      </c>
      <c r="P1206" t="s">
        <v>41</v>
      </c>
      <c r="Q1206">
        <v>2655</v>
      </c>
      <c r="R1206">
        <v>11740</v>
      </c>
      <c r="S1206">
        <v>2</v>
      </c>
      <c r="T1206">
        <v>1</v>
      </c>
      <c r="U1206" s="17">
        <v>0.11</v>
      </c>
      <c r="V1206">
        <v>3</v>
      </c>
      <c r="W1206">
        <v>3</v>
      </c>
      <c r="X1206">
        <v>2</v>
      </c>
      <c r="Y1206">
        <v>19</v>
      </c>
      <c r="Z1206">
        <v>3</v>
      </c>
      <c r="AA1206">
        <v>3</v>
      </c>
      <c r="AB1206">
        <v>9</v>
      </c>
      <c r="AC1206">
        <v>7</v>
      </c>
      <c r="AD1206">
        <v>7</v>
      </c>
      <c r="AE1206">
        <v>7</v>
      </c>
      <c r="AF1206">
        <v>1</v>
      </c>
      <c r="AG1206">
        <f>IF(tbl_HR_Data[[#This Row],[Gender]]="Male",1,0)</f>
        <v>0</v>
      </c>
      <c r="AH1206" cm="1">
        <f t="array" ref="AH1206">_xlfn.SWITCH(tbl_HR_Data[[#This Row],[BusinessTravel]], "Non-Travel", 0, "Travel_Rarely", 1, "Travel_Frequently", 2)</f>
        <v>2</v>
      </c>
      <c r="AI1206" cm="1">
        <f t="array" ref="AI1206">_xlfn.SWITCH(tbl_HR_Data[[#This Row],[MaritalStatus]],"Single",0,"Married",1,"Divorced",2)</f>
        <v>1</v>
      </c>
      <c r="AJ1206">
        <f>IF(tbl_HR_Data[[#This Row],[OverTime]]=1,1,0)</f>
        <v>1</v>
      </c>
      <c r="AK1206">
        <f>IF(tbl_HR_Data[[#This Row],[DistanceFromHome]]&gt;15,1,0)</f>
        <v>0</v>
      </c>
      <c r="AL1206">
        <f>IF(tbl_HR_Data[[#This Row],[JobSatisfaction]]&lt;=2,1,0)</f>
        <v>0</v>
      </c>
      <c r="AM1206">
        <f>IF(tbl_HR_Data[[#This Row],[MonthlyIncome]]&lt;$AT$2,1,0)</f>
        <v>1</v>
      </c>
      <c r="AN1206">
        <f>IF(tbl_HR_Data[[#This Row],[Travel_Code]]=2,1,0)</f>
        <v>1</v>
      </c>
      <c r="AO1206">
        <f>(tbl_HR_Data[[#This Row],[Flag_OT]] * Logic_Parameters!$B$2) +
 (tbl_HR_Data[[#This Row],[Flag_Travel]] * Logic_Parameters!$B$3) +
 (tbl_HR_Data[[#This Row],[Flag_Satisfaction]] * Logic_Parameters!$B$4) +
 (tbl_HR_Data[[#This Row],[Flag_Distance]]* Logic_Parameters!$B$5) +
 (tbl_HR_Data[[#This Row],[Flag_Income]] * Logic_Parameters!$B$6)</f>
        <v>21.654818917911005</v>
      </c>
      <c r="AP1206" s="15">
        <f>tbl_HR_Data[[#This Row],[Risk_Score_Raw]] / SUM(Logic_Parameters!$B$2:$B$6)</f>
        <v>0.74606293423572745</v>
      </c>
      <c r="AQ1206" s="16" t="str" cm="1">
        <f t="array" ref="AQ1206">_xlfn.IFS(tbl_HR_Data[[#This Row],[Attrition_Risk_Percentage]] &gt;= 0.75, "Critical",tbl_HR_Data[ [#This Row],[Attrition_Risk_Percentage] ]&gt;= 0.5, "High",tbl_HR_Data[[#This Row],[Attrition_Risk_Percentage]] &gt;= 0.25, "Medium",TRUE, "Low")</f>
        <v>High</v>
      </c>
      <c r="AR1206" s="16" cm="1">
        <f t="array" ref="AR1206">IFERROR(_xlfn.IFS(tbl_HR_Data[[#This Row],[Risk_Category]]="Critical",tbl_HR_Data[[#This Row],[MonthlyIncome]]*1.5,tbl_HR_Data[[#This Row],[Risk_Category]]="High",tbl_HR_Data[[#This Row],[MonthlyIncome]]*1.5),0)</f>
        <v>3982.5</v>
      </c>
    </row>
    <row r="1207" spans="1:44" x14ac:dyDescent="0.35">
      <c r="A1207" t="s">
        <v>303</v>
      </c>
      <c r="B1207">
        <v>32</v>
      </c>
      <c r="C1207" t="s">
        <v>31</v>
      </c>
      <c r="D1207">
        <v>1259</v>
      </c>
      <c r="E1207" t="s">
        <v>38</v>
      </c>
      <c r="F1207">
        <v>2</v>
      </c>
      <c r="G1207">
        <v>4</v>
      </c>
      <c r="H1207" t="s">
        <v>33</v>
      </c>
      <c r="I1207">
        <v>4</v>
      </c>
      <c r="J1207" t="s">
        <v>39</v>
      </c>
      <c r="K1207">
        <v>95</v>
      </c>
      <c r="L1207">
        <v>3</v>
      </c>
      <c r="M1207">
        <v>1</v>
      </c>
      <c r="N1207" t="s">
        <v>43</v>
      </c>
      <c r="O1207">
        <v>2</v>
      </c>
      <c r="P1207" t="s">
        <v>36</v>
      </c>
      <c r="Q1207">
        <v>1393</v>
      </c>
      <c r="R1207">
        <v>24852</v>
      </c>
      <c r="S1207">
        <v>1</v>
      </c>
      <c r="T1207">
        <v>0</v>
      </c>
      <c r="U1207" s="17">
        <v>0.12</v>
      </c>
      <c r="V1207">
        <v>3</v>
      </c>
      <c r="W1207">
        <v>1</v>
      </c>
      <c r="X1207">
        <v>0</v>
      </c>
      <c r="Y1207">
        <v>1</v>
      </c>
      <c r="Z1207">
        <v>2</v>
      </c>
      <c r="AA1207">
        <v>3</v>
      </c>
      <c r="AB1207">
        <v>1</v>
      </c>
      <c r="AC1207">
        <v>0</v>
      </c>
      <c r="AD1207">
        <v>0</v>
      </c>
      <c r="AE1207">
        <v>0</v>
      </c>
      <c r="AF1207">
        <v>1</v>
      </c>
      <c r="AG1207">
        <f>IF(tbl_HR_Data[[#This Row],[Gender]]="Male",1,0)</f>
        <v>1</v>
      </c>
      <c r="AH1207" cm="1">
        <f t="array" ref="AH1207">_xlfn.SWITCH(tbl_HR_Data[[#This Row],[BusinessTravel]], "Non-Travel", 0, "Travel_Rarely", 1, "Travel_Frequently", 2)</f>
        <v>1</v>
      </c>
      <c r="AI1207" cm="1">
        <f t="array" ref="AI1207">_xlfn.SWITCH(tbl_HR_Data[[#This Row],[MaritalStatus]],"Single",0,"Married",1,"Divorced",2)</f>
        <v>0</v>
      </c>
      <c r="AJ1207">
        <f>IF(tbl_HR_Data[[#This Row],[OverTime]]=1,1,0)</f>
        <v>0</v>
      </c>
      <c r="AK1207">
        <f>IF(tbl_HR_Data[[#This Row],[DistanceFromHome]]&gt;15,1,0)</f>
        <v>0</v>
      </c>
      <c r="AL1207">
        <f>IF(tbl_HR_Data[[#This Row],[JobSatisfaction]]&lt;=2,1,0)</f>
        <v>1</v>
      </c>
      <c r="AM1207">
        <f>IF(tbl_HR_Data[[#This Row],[MonthlyIncome]]&lt;$AT$2,1,0)</f>
        <v>1</v>
      </c>
      <c r="AN1207">
        <f>IF(tbl_HR_Data[[#This Row],[Travel_Code]]=2,1,0)</f>
        <v>0</v>
      </c>
      <c r="AO1207">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207" s="15">
        <f>tbl_HR_Data[[#This Row],[Risk_Score_Raw]] / SUM(Logic_Parameters!$B$2:$B$6)</f>
        <v>0.3686061316669938</v>
      </c>
      <c r="AQ1207" s="16" t="str" cm="1">
        <f t="array" ref="AQ1207">_xlfn.IFS(tbl_HR_Data[[#This Row],[Attrition_Risk_Percentage]] &gt;= 0.75, "Critical",tbl_HR_Data[ [#This Row],[Attrition_Risk_Percentage] ]&gt;= 0.5, "High",tbl_HR_Data[[#This Row],[Attrition_Risk_Percentage]] &gt;= 0.25, "Medium",TRUE, "Low")</f>
        <v>Medium</v>
      </c>
      <c r="AR1207" s="16" cm="1">
        <f t="array" ref="AR1207">IFERROR(_xlfn.IFS(tbl_HR_Data[[#This Row],[Risk_Category]]="Critical",tbl_HR_Data[[#This Row],[MonthlyIncome]]*1.5,tbl_HR_Data[[#This Row],[Risk_Category]]="High",tbl_HR_Data[[#This Row],[MonthlyIncome]]*1.5),0)</f>
        <v>0</v>
      </c>
    </row>
    <row r="1208" spans="1:44" x14ac:dyDescent="0.35">
      <c r="A1208" t="s">
        <v>874</v>
      </c>
      <c r="B1208">
        <v>26</v>
      </c>
      <c r="C1208" t="s">
        <v>1525</v>
      </c>
      <c r="D1208">
        <v>786</v>
      </c>
      <c r="E1208" t="s">
        <v>38</v>
      </c>
      <c r="F1208">
        <v>7</v>
      </c>
      <c r="G1208">
        <v>3</v>
      </c>
      <c r="H1208" t="s">
        <v>44</v>
      </c>
      <c r="I1208">
        <v>4</v>
      </c>
      <c r="J1208" t="s">
        <v>39</v>
      </c>
      <c r="K1208">
        <v>76</v>
      </c>
      <c r="L1208">
        <v>3</v>
      </c>
      <c r="M1208">
        <v>1</v>
      </c>
      <c r="N1208" t="s">
        <v>43</v>
      </c>
      <c r="O1208">
        <v>4</v>
      </c>
      <c r="P1208" t="s">
        <v>36</v>
      </c>
      <c r="Q1208">
        <v>2570</v>
      </c>
      <c r="R1208">
        <v>11925</v>
      </c>
      <c r="S1208">
        <v>1</v>
      </c>
      <c r="T1208">
        <v>0</v>
      </c>
      <c r="U1208" s="17">
        <v>0.2</v>
      </c>
      <c r="V1208">
        <v>4</v>
      </c>
      <c r="W1208">
        <v>3</v>
      </c>
      <c r="X1208">
        <v>0</v>
      </c>
      <c r="Y1208">
        <v>7</v>
      </c>
      <c r="Z1208">
        <v>5</v>
      </c>
      <c r="AA1208">
        <v>3</v>
      </c>
      <c r="AB1208">
        <v>7</v>
      </c>
      <c r="AC1208">
        <v>7</v>
      </c>
      <c r="AD1208">
        <v>5</v>
      </c>
      <c r="AE1208">
        <v>7</v>
      </c>
      <c r="AF1208">
        <v>0</v>
      </c>
      <c r="AG1208">
        <f>IF(tbl_HR_Data[[#This Row],[Gender]]="Male",1,0)</f>
        <v>1</v>
      </c>
      <c r="AH1208" cm="1">
        <f t="array" ref="AH1208">_xlfn.SWITCH(tbl_HR_Data[[#This Row],[BusinessTravel]], "Non-Travel", 0, "Travel_Rarely", 1, "Travel_Frequently", 2)</f>
        <v>0</v>
      </c>
      <c r="AI1208" cm="1">
        <f t="array" ref="AI1208">_xlfn.SWITCH(tbl_HR_Data[[#This Row],[MaritalStatus]],"Single",0,"Married",1,"Divorced",2)</f>
        <v>0</v>
      </c>
      <c r="AJ1208">
        <f>IF(tbl_HR_Data[[#This Row],[OverTime]]=1,1,0)</f>
        <v>0</v>
      </c>
      <c r="AK1208">
        <f>IF(tbl_HR_Data[[#This Row],[DistanceFromHome]]&gt;15,1,0)</f>
        <v>0</v>
      </c>
      <c r="AL1208">
        <f>IF(tbl_HR_Data[[#This Row],[JobSatisfaction]]&lt;=2,1,0)</f>
        <v>0</v>
      </c>
      <c r="AM1208">
        <f>IF(tbl_HR_Data[[#This Row],[MonthlyIncome]]&lt;$AT$2,1,0)</f>
        <v>1</v>
      </c>
      <c r="AN1208">
        <f>IF(tbl_HR_Data[[#This Row],[Travel_Code]]=2,1,0)</f>
        <v>0</v>
      </c>
      <c r="AO1208">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208" s="15">
        <f>tbl_HR_Data[[#This Row],[Risk_Score_Raw]] / SUM(Logic_Parameters!$B$2:$B$6)</f>
        <v>0.22374939857982484</v>
      </c>
      <c r="AQ1208" s="16" t="str" cm="1">
        <f t="array" ref="AQ1208">_xlfn.IFS(tbl_HR_Data[[#This Row],[Attrition_Risk_Percentage]] &gt;= 0.75, "Critical",tbl_HR_Data[ [#This Row],[Attrition_Risk_Percentage] ]&gt;= 0.5, "High",tbl_HR_Data[[#This Row],[Attrition_Risk_Percentage]] &gt;= 0.25, "Medium",TRUE, "Low")</f>
        <v>Low</v>
      </c>
      <c r="AR1208" s="16" cm="1">
        <f t="array" ref="AR1208">IFERROR(_xlfn.IFS(tbl_HR_Data[[#This Row],[Risk_Category]]="Critical",tbl_HR_Data[[#This Row],[MonthlyIncome]]*1.5,tbl_HR_Data[[#This Row],[Risk_Category]]="High",tbl_HR_Data[[#This Row],[MonthlyIncome]]*1.5),0)</f>
        <v>0</v>
      </c>
    </row>
    <row r="1209" spans="1:44" x14ac:dyDescent="0.35">
      <c r="A1209" t="s">
        <v>190</v>
      </c>
      <c r="B1209">
        <v>55</v>
      </c>
      <c r="C1209" t="s">
        <v>31</v>
      </c>
      <c r="D1209">
        <v>1441</v>
      </c>
      <c r="E1209" t="s">
        <v>38</v>
      </c>
      <c r="F1209">
        <v>22</v>
      </c>
      <c r="G1209">
        <v>3</v>
      </c>
      <c r="H1209" t="s">
        <v>52</v>
      </c>
      <c r="I1209">
        <v>1</v>
      </c>
      <c r="J1209" t="s">
        <v>39</v>
      </c>
      <c r="K1209">
        <v>94</v>
      </c>
      <c r="L1209">
        <v>2</v>
      </c>
      <c r="M1209">
        <v>1</v>
      </c>
      <c r="N1209" t="s">
        <v>40</v>
      </c>
      <c r="O1209">
        <v>2</v>
      </c>
      <c r="P1209" t="s">
        <v>45</v>
      </c>
      <c r="Q1209">
        <v>3537</v>
      </c>
      <c r="R1209">
        <v>23737</v>
      </c>
      <c r="S1209">
        <v>5</v>
      </c>
      <c r="T1209">
        <v>0</v>
      </c>
      <c r="U1209" s="17">
        <v>0.12</v>
      </c>
      <c r="V1209">
        <v>3</v>
      </c>
      <c r="W1209">
        <v>4</v>
      </c>
      <c r="X1209">
        <v>1</v>
      </c>
      <c r="Y1209">
        <v>8</v>
      </c>
      <c r="Z1209">
        <v>1</v>
      </c>
      <c r="AA1209">
        <v>3</v>
      </c>
      <c r="AB1209">
        <v>4</v>
      </c>
      <c r="AC1209">
        <v>2</v>
      </c>
      <c r="AD1209">
        <v>1</v>
      </c>
      <c r="AE1209">
        <v>2</v>
      </c>
      <c r="AF1209">
        <v>0</v>
      </c>
      <c r="AG1209">
        <f>IF(tbl_HR_Data[[#This Row],[Gender]]="Male",1,0)</f>
        <v>1</v>
      </c>
      <c r="AH1209" cm="1">
        <f t="array" ref="AH1209">_xlfn.SWITCH(tbl_HR_Data[[#This Row],[BusinessTravel]], "Non-Travel", 0, "Travel_Rarely", 1, "Travel_Frequently", 2)</f>
        <v>1</v>
      </c>
      <c r="AI1209" cm="1">
        <f t="array" ref="AI1209">_xlfn.SWITCH(tbl_HR_Data[[#This Row],[MaritalStatus]],"Single",0,"Married",1,"Divorced",2)</f>
        <v>2</v>
      </c>
      <c r="AJ1209">
        <f>IF(tbl_HR_Data[[#This Row],[OverTime]]=1,1,0)</f>
        <v>0</v>
      </c>
      <c r="AK1209">
        <f>IF(tbl_HR_Data[[#This Row],[DistanceFromHome]]&gt;15,1,0)</f>
        <v>1</v>
      </c>
      <c r="AL1209">
        <f>IF(tbl_HR_Data[[#This Row],[JobSatisfaction]]&lt;=2,1,0)</f>
        <v>1</v>
      </c>
      <c r="AM1209">
        <f>IF(tbl_HR_Data[[#This Row],[MonthlyIncome]]&lt;$AT$2,1,0)</f>
        <v>1</v>
      </c>
      <c r="AN1209">
        <f>IF(tbl_HR_Data[[#This Row],[Travel_Code]]=2,1,0)</f>
        <v>0</v>
      </c>
      <c r="AO1209">
        <f>(tbl_HR_Data[[#This Row],[Flag_OT]] * Logic_Parameters!$B$2) +
 (tbl_HR_Data[[#This Row],[Flag_Travel]] * Logic_Parameters!$B$3) +
 (tbl_HR_Data[[#This Row],[Flag_Satisfaction]] * Logic_Parameters!$B$4) +
 (tbl_HR_Data[[#This Row],[Flag_Distance]]* Logic_Parameters!$B$5) +
 (tbl_HR_Data[[#This Row],[Flag_Income]] * Logic_Parameters!$B$6)</f>
        <v>13.865068763274337</v>
      </c>
      <c r="AP1209" s="15">
        <f>tbl_HR_Data[[#This Row],[Risk_Score_Raw]] / SUM(Logic_Parameters!$B$2:$B$6)</f>
        <v>0.47768646434409739</v>
      </c>
      <c r="AQ1209" s="16" t="str" cm="1">
        <f t="array" ref="AQ1209">_xlfn.IFS(tbl_HR_Data[[#This Row],[Attrition_Risk_Percentage]] &gt;= 0.75, "Critical",tbl_HR_Data[ [#This Row],[Attrition_Risk_Percentage] ]&gt;= 0.5, "High",tbl_HR_Data[[#This Row],[Attrition_Risk_Percentage]] &gt;= 0.25, "Medium",TRUE, "Low")</f>
        <v>Medium</v>
      </c>
      <c r="AR1209" s="16" cm="1">
        <f t="array" ref="AR1209">IFERROR(_xlfn.IFS(tbl_HR_Data[[#This Row],[Risk_Category]]="Critical",tbl_HR_Data[[#This Row],[MonthlyIncome]]*1.5,tbl_HR_Data[[#This Row],[Risk_Category]]="High",tbl_HR_Data[[#This Row],[MonthlyIncome]]*1.5),0)</f>
        <v>0</v>
      </c>
    </row>
    <row r="1210" spans="1:44" x14ac:dyDescent="0.35">
      <c r="A1210" t="s">
        <v>1355</v>
      </c>
      <c r="B1210">
        <v>34</v>
      </c>
      <c r="C1210" t="s">
        <v>31</v>
      </c>
      <c r="D1210">
        <v>1157</v>
      </c>
      <c r="E1210" t="s">
        <v>38</v>
      </c>
      <c r="F1210">
        <v>5</v>
      </c>
      <c r="G1210">
        <v>2</v>
      </c>
      <c r="H1210" t="s">
        <v>44</v>
      </c>
      <c r="I1210">
        <v>2</v>
      </c>
      <c r="J1210" t="s">
        <v>39</v>
      </c>
      <c r="K1210">
        <v>57</v>
      </c>
      <c r="L1210">
        <v>2</v>
      </c>
      <c r="M1210">
        <v>2</v>
      </c>
      <c r="N1210" t="s">
        <v>43</v>
      </c>
      <c r="O1210">
        <v>4</v>
      </c>
      <c r="P1210" t="s">
        <v>41</v>
      </c>
      <c r="Q1210">
        <v>3986</v>
      </c>
      <c r="R1210">
        <v>11912</v>
      </c>
      <c r="S1210">
        <v>1</v>
      </c>
      <c r="T1210">
        <v>0</v>
      </c>
      <c r="U1210" s="17">
        <v>0.14000000000000001</v>
      </c>
      <c r="V1210">
        <v>3</v>
      </c>
      <c r="W1210">
        <v>3</v>
      </c>
      <c r="X1210">
        <v>1</v>
      </c>
      <c r="Y1210">
        <v>15</v>
      </c>
      <c r="Z1210">
        <v>3</v>
      </c>
      <c r="AA1210">
        <v>4</v>
      </c>
      <c r="AB1210">
        <v>15</v>
      </c>
      <c r="AC1210">
        <v>10</v>
      </c>
      <c r="AD1210">
        <v>4</v>
      </c>
      <c r="AE1210">
        <v>13</v>
      </c>
      <c r="AF1210">
        <v>0</v>
      </c>
      <c r="AG1210">
        <f>IF(tbl_HR_Data[[#This Row],[Gender]]="Male",1,0)</f>
        <v>1</v>
      </c>
      <c r="AH1210" cm="1">
        <f t="array" ref="AH1210">_xlfn.SWITCH(tbl_HR_Data[[#This Row],[BusinessTravel]], "Non-Travel", 0, "Travel_Rarely", 1, "Travel_Frequently", 2)</f>
        <v>1</v>
      </c>
      <c r="AI1210" cm="1">
        <f t="array" ref="AI1210">_xlfn.SWITCH(tbl_HR_Data[[#This Row],[MaritalStatus]],"Single",0,"Married",1,"Divorced",2)</f>
        <v>1</v>
      </c>
      <c r="AJ1210">
        <f>IF(tbl_HR_Data[[#This Row],[OverTime]]=1,1,0)</f>
        <v>0</v>
      </c>
      <c r="AK1210">
        <f>IF(tbl_HR_Data[[#This Row],[DistanceFromHome]]&gt;15,1,0)</f>
        <v>0</v>
      </c>
      <c r="AL1210">
        <f>IF(tbl_HR_Data[[#This Row],[JobSatisfaction]]&lt;=2,1,0)</f>
        <v>0</v>
      </c>
      <c r="AM1210">
        <f>IF(tbl_HR_Data[[#This Row],[MonthlyIncome]]&lt;$AT$2,1,0)</f>
        <v>1</v>
      </c>
      <c r="AN1210">
        <f>IF(tbl_HR_Data[[#This Row],[Travel_Code]]=2,1,0)</f>
        <v>0</v>
      </c>
      <c r="AO1210">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210" s="15">
        <f>tbl_HR_Data[[#This Row],[Risk_Score_Raw]] / SUM(Logic_Parameters!$B$2:$B$6)</f>
        <v>0.22374939857982484</v>
      </c>
      <c r="AQ1210" s="16" t="str" cm="1">
        <f t="array" ref="AQ1210">_xlfn.IFS(tbl_HR_Data[[#This Row],[Attrition_Risk_Percentage]] &gt;= 0.75, "Critical",tbl_HR_Data[ [#This Row],[Attrition_Risk_Percentage] ]&gt;= 0.5, "High",tbl_HR_Data[[#This Row],[Attrition_Risk_Percentage]] &gt;= 0.25, "Medium",TRUE, "Low")</f>
        <v>Low</v>
      </c>
      <c r="AR1210" s="16" cm="1">
        <f t="array" ref="AR1210">IFERROR(_xlfn.IFS(tbl_HR_Data[[#This Row],[Risk_Category]]="Critical",tbl_HR_Data[[#This Row],[MonthlyIncome]]*1.5,tbl_HR_Data[[#This Row],[Risk_Category]]="High",tbl_HR_Data[[#This Row],[MonthlyIncome]]*1.5),0)</f>
        <v>0</v>
      </c>
    </row>
    <row r="1211" spans="1:44" x14ac:dyDescent="0.35">
      <c r="A1211" t="s">
        <v>1138</v>
      </c>
      <c r="B1211">
        <v>60</v>
      </c>
      <c r="C1211" t="s">
        <v>31</v>
      </c>
      <c r="D1211">
        <v>370</v>
      </c>
      <c r="E1211" t="s">
        <v>38</v>
      </c>
      <c r="F1211">
        <v>1</v>
      </c>
      <c r="G1211">
        <v>4</v>
      </c>
      <c r="H1211" t="s">
        <v>44</v>
      </c>
      <c r="I1211">
        <v>3</v>
      </c>
      <c r="J1211" t="s">
        <v>39</v>
      </c>
      <c r="K1211">
        <v>92</v>
      </c>
      <c r="L1211">
        <v>1</v>
      </c>
      <c r="M1211">
        <v>3</v>
      </c>
      <c r="N1211" t="s">
        <v>47</v>
      </c>
      <c r="O1211">
        <v>4</v>
      </c>
      <c r="P1211" t="s">
        <v>45</v>
      </c>
      <c r="Q1211">
        <v>10883</v>
      </c>
      <c r="R1211">
        <v>20467</v>
      </c>
      <c r="S1211">
        <v>3</v>
      </c>
      <c r="T1211">
        <v>0</v>
      </c>
      <c r="U1211" s="17">
        <v>0.2</v>
      </c>
      <c r="V1211">
        <v>4</v>
      </c>
      <c r="W1211">
        <v>3</v>
      </c>
      <c r="X1211">
        <v>1</v>
      </c>
      <c r="Y1211">
        <v>19</v>
      </c>
      <c r="Z1211">
        <v>2</v>
      </c>
      <c r="AA1211">
        <v>4</v>
      </c>
      <c r="AB1211">
        <v>1</v>
      </c>
      <c r="AC1211">
        <v>0</v>
      </c>
      <c r="AD1211">
        <v>0</v>
      </c>
      <c r="AE1211">
        <v>0</v>
      </c>
      <c r="AF1211">
        <v>0</v>
      </c>
      <c r="AG1211">
        <f>IF(tbl_HR_Data[[#This Row],[Gender]]="Male",1,0)</f>
        <v>1</v>
      </c>
      <c r="AH1211" cm="1">
        <f t="array" ref="AH1211">_xlfn.SWITCH(tbl_HR_Data[[#This Row],[BusinessTravel]], "Non-Travel", 0, "Travel_Rarely", 1, "Travel_Frequently", 2)</f>
        <v>1</v>
      </c>
      <c r="AI1211" cm="1">
        <f t="array" ref="AI1211">_xlfn.SWITCH(tbl_HR_Data[[#This Row],[MaritalStatus]],"Single",0,"Married",1,"Divorced",2)</f>
        <v>2</v>
      </c>
      <c r="AJ1211">
        <f>IF(tbl_HR_Data[[#This Row],[OverTime]]=1,1,0)</f>
        <v>0</v>
      </c>
      <c r="AK1211">
        <f>IF(tbl_HR_Data[[#This Row],[DistanceFromHome]]&gt;15,1,0)</f>
        <v>0</v>
      </c>
      <c r="AL1211">
        <f>IF(tbl_HR_Data[[#This Row],[JobSatisfaction]]&lt;=2,1,0)</f>
        <v>0</v>
      </c>
      <c r="AM1211">
        <f>IF(tbl_HR_Data[[#This Row],[MonthlyIncome]]&lt;$AT$2,1,0)</f>
        <v>0</v>
      </c>
      <c r="AN1211">
        <f>IF(tbl_HR_Data[[#This Row],[Travel_Code]]=2,1,0)</f>
        <v>0</v>
      </c>
      <c r="AO1211">
        <f>(tbl_HR_Data[[#This Row],[Flag_OT]] * Logic_Parameters!$B$2) +
 (tbl_HR_Data[[#This Row],[Flag_Travel]] * Logic_Parameters!$B$3) +
 (tbl_HR_Data[[#This Row],[Flag_Satisfaction]] * Logic_Parameters!$B$4) +
 (tbl_HR_Data[[#This Row],[Flag_Distance]]* Logic_Parameters!$B$5) +
 (tbl_HR_Data[[#This Row],[Flag_Income]] * Logic_Parameters!$B$6)</f>
        <v>0</v>
      </c>
      <c r="AP1211" s="15">
        <f>tbl_HR_Data[[#This Row],[Risk_Score_Raw]] / SUM(Logic_Parameters!$B$2:$B$6)</f>
        <v>0</v>
      </c>
      <c r="AQ1211" s="16" t="str" cm="1">
        <f t="array" ref="AQ1211">_xlfn.IFS(tbl_HR_Data[[#This Row],[Attrition_Risk_Percentage]] &gt;= 0.75, "Critical",tbl_HR_Data[ [#This Row],[Attrition_Risk_Percentage] ]&gt;= 0.5, "High",tbl_HR_Data[[#This Row],[Attrition_Risk_Percentage]] &gt;= 0.25, "Medium",TRUE, "Low")</f>
        <v>Low</v>
      </c>
      <c r="AR1211" s="16" cm="1">
        <f t="array" ref="AR1211">IFERROR(_xlfn.IFS(tbl_HR_Data[[#This Row],[Risk_Category]]="Critical",tbl_HR_Data[[#This Row],[MonthlyIncome]]*1.5,tbl_HR_Data[[#This Row],[Risk_Category]]="High",tbl_HR_Data[[#This Row],[MonthlyIncome]]*1.5),0)</f>
        <v>0</v>
      </c>
    </row>
    <row r="1212" spans="1:44" x14ac:dyDescent="0.35">
      <c r="A1212" t="s">
        <v>980</v>
      </c>
      <c r="B1212">
        <v>33</v>
      </c>
      <c r="C1212" t="s">
        <v>31</v>
      </c>
      <c r="D1212">
        <v>267</v>
      </c>
      <c r="E1212" t="s">
        <v>38</v>
      </c>
      <c r="F1212">
        <v>21</v>
      </c>
      <c r="G1212">
        <v>3</v>
      </c>
      <c r="H1212" t="s">
        <v>44</v>
      </c>
      <c r="I1212">
        <v>2</v>
      </c>
      <c r="J1212" t="s">
        <v>39</v>
      </c>
      <c r="K1212">
        <v>79</v>
      </c>
      <c r="L1212">
        <v>4</v>
      </c>
      <c r="M1212">
        <v>1</v>
      </c>
      <c r="N1212" t="s">
        <v>43</v>
      </c>
      <c r="O1212">
        <v>2</v>
      </c>
      <c r="P1212" t="s">
        <v>41</v>
      </c>
      <c r="Q1212">
        <v>2028</v>
      </c>
      <c r="R1212">
        <v>13637</v>
      </c>
      <c r="S1212">
        <v>1</v>
      </c>
      <c r="T1212">
        <v>0</v>
      </c>
      <c r="U1212" s="17">
        <v>0.18</v>
      </c>
      <c r="V1212">
        <v>3</v>
      </c>
      <c r="W1212">
        <v>4</v>
      </c>
      <c r="X1212">
        <v>3</v>
      </c>
      <c r="Y1212">
        <v>14</v>
      </c>
      <c r="Z1212">
        <v>6</v>
      </c>
      <c r="AA1212">
        <v>3</v>
      </c>
      <c r="AB1212">
        <v>14</v>
      </c>
      <c r="AC1212">
        <v>11</v>
      </c>
      <c r="AD1212">
        <v>2</v>
      </c>
      <c r="AE1212">
        <v>13</v>
      </c>
      <c r="AF1212">
        <v>0</v>
      </c>
      <c r="AG1212">
        <f>IF(tbl_HR_Data[[#This Row],[Gender]]="Male",1,0)</f>
        <v>1</v>
      </c>
      <c r="AH1212" cm="1">
        <f t="array" ref="AH1212">_xlfn.SWITCH(tbl_HR_Data[[#This Row],[BusinessTravel]], "Non-Travel", 0, "Travel_Rarely", 1, "Travel_Frequently", 2)</f>
        <v>1</v>
      </c>
      <c r="AI1212" cm="1">
        <f t="array" ref="AI1212">_xlfn.SWITCH(tbl_HR_Data[[#This Row],[MaritalStatus]],"Single",0,"Married",1,"Divorced",2)</f>
        <v>1</v>
      </c>
      <c r="AJ1212">
        <f>IF(tbl_HR_Data[[#This Row],[OverTime]]=1,1,0)</f>
        <v>0</v>
      </c>
      <c r="AK1212">
        <f>IF(tbl_HR_Data[[#This Row],[DistanceFromHome]]&gt;15,1,0)</f>
        <v>1</v>
      </c>
      <c r="AL1212">
        <f>IF(tbl_HR_Data[[#This Row],[JobSatisfaction]]&lt;=2,1,0)</f>
        <v>1</v>
      </c>
      <c r="AM1212">
        <f>IF(tbl_HR_Data[[#This Row],[MonthlyIncome]]&lt;$AT$2,1,0)</f>
        <v>1</v>
      </c>
      <c r="AN1212">
        <f>IF(tbl_HR_Data[[#This Row],[Travel_Code]]=2,1,0)</f>
        <v>0</v>
      </c>
      <c r="AO1212">
        <f>(tbl_HR_Data[[#This Row],[Flag_OT]] * Logic_Parameters!$B$2) +
 (tbl_HR_Data[[#This Row],[Flag_Travel]] * Logic_Parameters!$B$3) +
 (tbl_HR_Data[[#This Row],[Flag_Satisfaction]] * Logic_Parameters!$B$4) +
 (tbl_HR_Data[[#This Row],[Flag_Distance]]* Logic_Parameters!$B$5) +
 (tbl_HR_Data[[#This Row],[Flag_Income]] * Logic_Parameters!$B$6)</f>
        <v>13.865068763274337</v>
      </c>
      <c r="AP1212" s="15">
        <f>tbl_HR_Data[[#This Row],[Risk_Score_Raw]] / SUM(Logic_Parameters!$B$2:$B$6)</f>
        <v>0.47768646434409739</v>
      </c>
      <c r="AQ1212" s="16" t="str" cm="1">
        <f t="array" ref="AQ1212">_xlfn.IFS(tbl_HR_Data[[#This Row],[Attrition_Risk_Percentage]] &gt;= 0.75, "Critical",tbl_HR_Data[ [#This Row],[Attrition_Risk_Percentage] ]&gt;= 0.5, "High",tbl_HR_Data[[#This Row],[Attrition_Risk_Percentage]] &gt;= 0.25, "Medium",TRUE, "Low")</f>
        <v>Medium</v>
      </c>
      <c r="AR1212" s="16" cm="1">
        <f t="array" ref="AR1212">IFERROR(_xlfn.IFS(tbl_HR_Data[[#This Row],[Risk_Category]]="Critical",tbl_HR_Data[[#This Row],[MonthlyIncome]]*1.5,tbl_HR_Data[[#This Row],[Risk_Category]]="High",tbl_HR_Data[[#This Row],[MonthlyIncome]]*1.5),0)</f>
        <v>0</v>
      </c>
    </row>
    <row r="1213" spans="1:44" x14ac:dyDescent="0.35">
      <c r="A1213" t="s">
        <v>104</v>
      </c>
      <c r="B1213">
        <v>37</v>
      </c>
      <c r="C1213" t="s">
        <v>37</v>
      </c>
      <c r="D1213">
        <v>1278</v>
      </c>
      <c r="E1213" t="s">
        <v>32</v>
      </c>
      <c r="F1213">
        <v>1</v>
      </c>
      <c r="G1213">
        <v>4</v>
      </c>
      <c r="H1213" t="s">
        <v>44</v>
      </c>
      <c r="I1213">
        <v>3</v>
      </c>
      <c r="J1213" t="s">
        <v>39</v>
      </c>
      <c r="K1213">
        <v>31</v>
      </c>
      <c r="L1213">
        <v>1</v>
      </c>
      <c r="M1213">
        <v>2</v>
      </c>
      <c r="N1213" t="s">
        <v>35</v>
      </c>
      <c r="O1213">
        <v>4</v>
      </c>
      <c r="P1213" t="s">
        <v>45</v>
      </c>
      <c r="Q1213">
        <v>9525</v>
      </c>
      <c r="R1213">
        <v>7677</v>
      </c>
      <c r="S1213">
        <v>1</v>
      </c>
      <c r="T1213">
        <v>0</v>
      </c>
      <c r="U1213" s="17">
        <v>0.14000000000000001</v>
      </c>
      <c r="V1213">
        <v>3</v>
      </c>
      <c r="W1213">
        <v>3</v>
      </c>
      <c r="X1213">
        <v>2</v>
      </c>
      <c r="Y1213">
        <v>6</v>
      </c>
      <c r="Z1213">
        <v>2</v>
      </c>
      <c r="AA1213">
        <v>2</v>
      </c>
      <c r="AB1213">
        <v>6</v>
      </c>
      <c r="AC1213">
        <v>3</v>
      </c>
      <c r="AD1213">
        <v>1</v>
      </c>
      <c r="AE1213">
        <v>3</v>
      </c>
      <c r="AF1213">
        <v>0</v>
      </c>
      <c r="AG1213">
        <f>IF(tbl_HR_Data[[#This Row],[Gender]]="Male",1,0)</f>
        <v>1</v>
      </c>
      <c r="AH1213" cm="1">
        <f t="array" ref="AH1213">_xlfn.SWITCH(tbl_HR_Data[[#This Row],[BusinessTravel]], "Non-Travel", 0, "Travel_Rarely", 1, "Travel_Frequently", 2)</f>
        <v>2</v>
      </c>
      <c r="AI1213" cm="1">
        <f t="array" ref="AI1213">_xlfn.SWITCH(tbl_HR_Data[[#This Row],[MaritalStatus]],"Single",0,"Married",1,"Divorced",2)</f>
        <v>2</v>
      </c>
      <c r="AJ1213">
        <f>IF(tbl_HR_Data[[#This Row],[OverTime]]=1,1,0)</f>
        <v>0</v>
      </c>
      <c r="AK1213">
        <f>IF(tbl_HR_Data[[#This Row],[DistanceFromHome]]&gt;15,1,0)</f>
        <v>0</v>
      </c>
      <c r="AL1213">
        <f>IF(tbl_HR_Data[[#This Row],[JobSatisfaction]]&lt;=2,1,0)</f>
        <v>0</v>
      </c>
      <c r="AM1213">
        <f>IF(tbl_HR_Data[[#This Row],[MonthlyIncome]]&lt;$AT$2,1,0)</f>
        <v>0</v>
      </c>
      <c r="AN1213">
        <f>IF(tbl_HR_Data[[#This Row],[Travel_Code]]=2,1,0)</f>
        <v>1</v>
      </c>
      <c r="AO1213">
        <f>(tbl_HR_Data[[#This Row],[Flag_OT]] * Logic_Parameters!$B$2) +
 (tbl_HR_Data[[#This Row],[Flag_Travel]] * Logic_Parameters!$B$3) +
 (tbl_HR_Data[[#This Row],[Flag_Satisfaction]] * Logic_Parameters!$B$4) +
 (tbl_HR_Data[[#This Row],[Flag_Distance]]* Logic_Parameters!$B$5) +
 (tbl_HR_Data[[#This Row],[Flag_Income]] * Logic_Parameters!$B$6)</f>
        <v>5.1603899804901765</v>
      </c>
      <c r="AP1213" s="15">
        <f>tbl_HR_Data[[#This Row],[Risk_Score_Raw]] / SUM(Logic_Parameters!$B$2:$B$6)</f>
        <v>0.17778840383009531</v>
      </c>
      <c r="AQ1213" s="16" t="str" cm="1">
        <f t="array" ref="AQ1213">_xlfn.IFS(tbl_HR_Data[[#This Row],[Attrition_Risk_Percentage]] &gt;= 0.75, "Critical",tbl_HR_Data[ [#This Row],[Attrition_Risk_Percentage] ]&gt;= 0.5, "High",tbl_HR_Data[[#This Row],[Attrition_Risk_Percentage]] &gt;= 0.25, "Medium",TRUE, "Low")</f>
        <v>Low</v>
      </c>
      <c r="AR1213" s="16" cm="1">
        <f t="array" ref="AR1213">IFERROR(_xlfn.IFS(tbl_HR_Data[[#This Row],[Risk_Category]]="Critical",tbl_HR_Data[[#This Row],[MonthlyIncome]]*1.5,tbl_HR_Data[[#This Row],[Risk_Category]]="High",tbl_HR_Data[[#This Row],[MonthlyIncome]]*1.5),0)</f>
        <v>0</v>
      </c>
    </row>
    <row r="1214" spans="1:44" x14ac:dyDescent="0.35">
      <c r="A1214" t="s">
        <v>1207</v>
      </c>
      <c r="B1214">
        <v>34</v>
      </c>
      <c r="C1214" t="s">
        <v>31</v>
      </c>
      <c r="D1214">
        <v>678</v>
      </c>
      <c r="E1214" t="s">
        <v>38</v>
      </c>
      <c r="F1214">
        <v>19</v>
      </c>
      <c r="G1214">
        <v>3</v>
      </c>
      <c r="H1214" t="s">
        <v>33</v>
      </c>
      <c r="I1214">
        <v>2</v>
      </c>
      <c r="J1214" t="s">
        <v>34</v>
      </c>
      <c r="K1214">
        <v>35</v>
      </c>
      <c r="L1214">
        <v>2</v>
      </c>
      <c r="M1214">
        <v>1</v>
      </c>
      <c r="N1214" t="s">
        <v>40</v>
      </c>
      <c r="O1214">
        <v>4</v>
      </c>
      <c r="P1214" t="s">
        <v>41</v>
      </c>
      <c r="Q1214">
        <v>2929</v>
      </c>
      <c r="R1214">
        <v>20338</v>
      </c>
      <c r="S1214">
        <v>1</v>
      </c>
      <c r="T1214">
        <v>0</v>
      </c>
      <c r="U1214" s="17">
        <v>0.12</v>
      </c>
      <c r="V1214">
        <v>3</v>
      </c>
      <c r="W1214">
        <v>2</v>
      </c>
      <c r="X1214">
        <v>0</v>
      </c>
      <c r="Y1214">
        <v>10</v>
      </c>
      <c r="Z1214">
        <v>3</v>
      </c>
      <c r="AA1214">
        <v>3</v>
      </c>
      <c r="AB1214">
        <v>10</v>
      </c>
      <c r="AC1214">
        <v>9</v>
      </c>
      <c r="AD1214">
        <v>8</v>
      </c>
      <c r="AE1214">
        <v>7</v>
      </c>
      <c r="AF1214">
        <v>0</v>
      </c>
      <c r="AG1214">
        <f>IF(tbl_HR_Data[[#This Row],[Gender]]="Male",1,0)</f>
        <v>0</v>
      </c>
      <c r="AH1214" cm="1">
        <f t="array" ref="AH1214">_xlfn.SWITCH(tbl_HR_Data[[#This Row],[BusinessTravel]], "Non-Travel", 0, "Travel_Rarely", 1, "Travel_Frequently", 2)</f>
        <v>1</v>
      </c>
      <c r="AI1214" cm="1">
        <f t="array" ref="AI1214">_xlfn.SWITCH(tbl_HR_Data[[#This Row],[MaritalStatus]],"Single",0,"Married",1,"Divorced",2)</f>
        <v>1</v>
      </c>
      <c r="AJ1214">
        <f>IF(tbl_HR_Data[[#This Row],[OverTime]]=1,1,0)</f>
        <v>0</v>
      </c>
      <c r="AK1214">
        <f>IF(tbl_HR_Data[[#This Row],[DistanceFromHome]]&gt;15,1,0)</f>
        <v>1</v>
      </c>
      <c r="AL1214">
        <f>IF(tbl_HR_Data[[#This Row],[JobSatisfaction]]&lt;=2,1,0)</f>
        <v>0</v>
      </c>
      <c r="AM1214">
        <f>IF(tbl_HR_Data[[#This Row],[MonthlyIncome]]&lt;$AT$2,1,0)</f>
        <v>1</v>
      </c>
      <c r="AN1214">
        <f>IF(tbl_HR_Data[[#This Row],[Travel_Code]]=2,1,0)</f>
        <v>0</v>
      </c>
      <c r="AO1214">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1214" s="15">
        <f>tbl_HR_Data[[#This Row],[Risk_Score_Raw]] / SUM(Logic_Parameters!$B$2:$B$6)</f>
        <v>0.33282973125692844</v>
      </c>
      <c r="AQ1214" s="16" t="str" cm="1">
        <f t="array" ref="AQ1214">_xlfn.IFS(tbl_HR_Data[[#This Row],[Attrition_Risk_Percentage]] &gt;= 0.75, "Critical",tbl_HR_Data[ [#This Row],[Attrition_Risk_Percentage] ]&gt;= 0.5, "High",tbl_HR_Data[[#This Row],[Attrition_Risk_Percentage]] &gt;= 0.25, "Medium",TRUE, "Low")</f>
        <v>Medium</v>
      </c>
      <c r="AR1214" s="16" cm="1">
        <f t="array" ref="AR1214">IFERROR(_xlfn.IFS(tbl_HR_Data[[#This Row],[Risk_Category]]="Critical",tbl_HR_Data[[#This Row],[MonthlyIncome]]*1.5,tbl_HR_Data[[#This Row],[Risk_Category]]="High",tbl_HR_Data[[#This Row],[MonthlyIncome]]*1.5),0)</f>
        <v>0</v>
      </c>
    </row>
    <row r="1215" spans="1:44" x14ac:dyDescent="0.35">
      <c r="A1215" t="s">
        <v>608</v>
      </c>
      <c r="B1215">
        <v>23</v>
      </c>
      <c r="C1215" t="s">
        <v>31</v>
      </c>
      <c r="D1215">
        <v>427</v>
      </c>
      <c r="E1215" t="s">
        <v>32</v>
      </c>
      <c r="F1215">
        <v>7</v>
      </c>
      <c r="G1215">
        <v>3</v>
      </c>
      <c r="H1215" t="s">
        <v>33</v>
      </c>
      <c r="I1215">
        <v>3</v>
      </c>
      <c r="J1215" t="s">
        <v>39</v>
      </c>
      <c r="K1215">
        <v>99</v>
      </c>
      <c r="L1215">
        <v>3</v>
      </c>
      <c r="M1215">
        <v>1</v>
      </c>
      <c r="N1215" t="s">
        <v>49</v>
      </c>
      <c r="O1215">
        <v>4</v>
      </c>
      <c r="P1215" t="s">
        <v>45</v>
      </c>
      <c r="Q1215">
        <v>2275</v>
      </c>
      <c r="R1215">
        <v>25103</v>
      </c>
      <c r="S1215">
        <v>1</v>
      </c>
      <c r="T1215">
        <v>1</v>
      </c>
      <c r="U1215" s="17">
        <v>0.21</v>
      </c>
      <c r="V1215">
        <v>4</v>
      </c>
      <c r="W1215">
        <v>2</v>
      </c>
      <c r="X1215">
        <v>1</v>
      </c>
      <c r="Y1215">
        <v>3</v>
      </c>
      <c r="Z1215">
        <v>2</v>
      </c>
      <c r="AA1215">
        <v>3</v>
      </c>
      <c r="AB1215">
        <v>3</v>
      </c>
      <c r="AC1215">
        <v>2</v>
      </c>
      <c r="AD1215">
        <v>0</v>
      </c>
      <c r="AE1215">
        <v>2</v>
      </c>
      <c r="AF1215">
        <v>1</v>
      </c>
      <c r="AG1215">
        <f>IF(tbl_HR_Data[[#This Row],[Gender]]="Male",1,0)</f>
        <v>1</v>
      </c>
      <c r="AH1215" cm="1">
        <f t="array" ref="AH1215">_xlfn.SWITCH(tbl_HR_Data[[#This Row],[BusinessTravel]], "Non-Travel", 0, "Travel_Rarely", 1, "Travel_Frequently", 2)</f>
        <v>1</v>
      </c>
      <c r="AI1215" cm="1">
        <f t="array" ref="AI1215">_xlfn.SWITCH(tbl_HR_Data[[#This Row],[MaritalStatus]],"Single",0,"Married",1,"Divorced",2)</f>
        <v>2</v>
      </c>
      <c r="AJ1215">
        <f>IF(tbl_HR_Data[[#This Row],[OverTime]]=1,1,0)</f>
        <v>1</v>
      </c>
      <c r="AK1215">
        <f>IF(tbl_HR_Data[[#This Row],[DistanceFromHome]]&gt;15,1,0)</f>
        <v>0</v>
      </c>
      <c r="AL1215">
        <f>IF(tbl_HR_Data[[#This Row],[JobSatisfaction]]&lt;=2,1,0)</f>
        <v>0</v>
      </c>
      <c r="AM1215">
        <f>IF(tbl_HR_Data[[#This Row],[MonthlyIncome]]&lt;$AT$2,1,0)</f>
        <v>1</v>
      </c>
      <c r="AN1215">
        <f>IF(tbl_HR_Data[[#This Row],[Travel_Code]]=2,1,0)</f>
        <v>0</v>
      </c>
      <c r="AO1215">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1215" s="15">
        <f>tbl_HR_Data[[#This Row],[Risk_Score_Raw]] / SUM(Logic_Parameters!$B$2:$B$6)</f>
        <v>0.56827453040563214</v>
      </c>
      <c r="AQ1215" s="16" t="str" cm="1">
        <f t="array" ref="AQ1215">_xlfn.IFS(tbl_HR_Data[[#This Row],[Attrition_Risk_Percentage]] &gt;= 0.75, "Critical",tbl_HR_Data[ [#This Row],[Attrition_Risk_Percentage] ]&gt;= 0.5, "High",tbl_HR_Data[[#This Row],[Attrition_Risk_Percentage]] &gt;= 0.25, "Medium",TRUE, "Low")</f>
        <v>High</v>
      </c>
      <c r="AR1215" s="16" cm="1">
        <f t="array" ref="AR1215">IFERROR(_xlfn.IFS(tbl_HR_Data[[#This Row],[Risk_Category]]="Critical",tbl_HR_Data[[#This Row],[MonthlyIncome]]*1.5,tbl_HR_Data[[#This Row],[Risk_Category]]="High",tbl_HR_Data[[#This Row],[MonthlyIncome]]*1.5),0)</f>
        <v>3412.5</v>
      </c>
    </row>
    <row r="1216" spans="1:44" x14ac:dyDescent="0.35">
      <c r="A1216" t="s">
        <v>1485</v>
      </c>
      <c r="B1216">
        <v>44</v>
      </c>
      <c r="C1216" t="s">
        <v>31</v>
      </c>
      <c r="D1216">
        <v>921</v>
      </c>
      <c r="E1216" t="s">
        <v>38</v>
      </c>
      <c r="F1216">
        <v>2</v>
      </c>
      <c r="G1216">
        <v>3</v>
      </c>
      <c r="H1216" t="s">
        <v>33</v>
      </c>
      <c r="I1216">
        <v>3</v>
      </c>
      <c r="J1216" t="s">
        <v>34</v>
      </c>
      <c r="K1216">
        <v>96</v>
      </c>
      <c r="L1216">
        <v>4</v>
      </c>
      <c r="M1216">
        <v>3</v>
      </c>
      <c r="N1216" t="s">
        <v>47</v>
      </c>
      <c r="O1216">
        <v>4</v>
      </c>
      <c r="P1216" t="s">
        <v>41</v>
      </c>
      <c r="Q1216">
        <v>7879</v>
      </c>
      <c r="R1216">
        <v>14810</v>
      </c>
      <c r="S1216">
        <v>1</v>
      </c>
      <c r="T1216">
        <v>1</v>
      </c>
      <c r="U1216" s="17">
        <v>0.19</v>
      </c>
      <c r="V1216">
        <v>3</v>
      </c>
      <c r="W1216">
        <v>2</v>
      </c>
      <c r="X1216">
        <v>1</v>
      </c>
      <c r="Y1216">
        <v>9</v>
      </c>
      <c r="Z1216">
        <v>2</v>
      </c>
      <c r="AA1216">
        <v>3</v>
      </c>
      <c r="AB1216">
        <v>8</v>
      </c>
      <c r="AC1216">
        <v>7</v>
      </c>
      <c r="AD1216">
        <v>6</v>
      </c>
      <c r="AE1216">
        <v>7</v>
      </c>
      <c r="AF1216">
        <v>0</v>
      </c>
      <c r="AG1216">
        <f>IF(tbl_HR_Data[[#This Row],[Gender]]="Male",1,0)</f>
        <v>0</v>
      </c>
      <c r="AH1216" cm="1">
        <f t="array" ref="AH1216">_xlfn.SWITCH(tbl_HR_Data[[#This Row],[BusinessTravel]], "Non-Travel", 0, "Travel_Rarely", 1, "Travel_Frequently", 2)</f>
        <v>1</v>
      </c>
      <c r="AI1216" cm="1">
        <f t="array" ref="AI1216">_xlfn.SWITCH(tbl_HR_Data[[#This Row],[MaritalStatus]],"Single",0,"Married",1,"Divorced",2)</f>
        <v>1</v>
      </c>
      <c r="AJ1216">
        <f>IF(tbl_HR_Data[[#This Row],[OverTime]]=1,1,0)</f>
        <v>1</v>
      </c>
      <c r="AK1216">
        <f>IF(tbl_HR_Data[[#This Row],[DistanceFromHome]]&gt;15,1,0)</f>
        <v>0</v>
      </c>
      <c r="AL1216">
        <f>IF(tbl_HR_Data[[#This Row],[JobSatisfaction]]&lt;=2,1,0)</f>
        <v>0</v>
      </c>
      <c r="AM1216">
        <f>IF(tbl_HR_Data[[#This Row],[MonthlyIncome]]&lt;$AT$2,1,0)</f>
        <v>0</v>
      </c>
      <c r="AN1216">
        <f>IF(tbl_HR_Data[[#This Row],[Travel_Code]]=2,1,0)</f>
        <v>0</v>
      </c>
      <c r="AO1216">
        <f>(tbl_HR_Data[[#This Row],[Flag_OT]] * Logic_Parameters!$B$2) +
 (tbl_HR_Data[[#This Row],[Flag_Travel]] * Logic_Parameters!$B$3) +
 (tbl_HR_Data[[#This Row],[Flag_Satisfaction]] * Logic_Parameters!$B$4) +
 (tbl_HR_Data[[#This Row],[Flag_Distance]]* Logic_Parameters!$B$5) +
 (tbl_HR_Data[[#This Row],[Flag_Income]] * Logic_Parameters!$B$6)</f>
        <v>10</v>
      </c>
      <c r="AP1216" s="15">
        <f>tbl_HR_Data[[#This Row],[Risk_Score_Raw]] / SUM(Logic_Parameters!$B$2:$B$6)</f>
        <v>0.3445251318258073</v>
      </c>
      <c r="AQ1216" s="16" t="str" cm="1">
        <f t="array" ref="AQ1216">_xlfn.IFS(tbl_HR_Data[[#This Row],[Attrition_Risk_Percentage]] &gt;= 0.75, "Critical",tbl_HR_Data[ [#This Row],[Attrition_Risk_Percentage] ]&gt;= 0.5, "High",tbl_HR_Data[[#This Row],[Attrition_Risk_Percentage]] &gt;= 0.25, "Medium",TRUE, "Low")</f>
        <v>Medium</v>
      </c>
      <c r="AR1216" s="16" cm="1">
        <f t="array" ref="AR1216">IFERROR(_xlfn.IFS(tbl_HR_Data[[#This Row],[Risk_Category]]="Critical",tbl_HR_Data[[#This Row],[MonthlyIncome]]*1.5,tbl_HR_Data[[#This Row],[Risk_Category]]="High",tbl_HR_Data[[#This Row],[MonthlyIncome]]*1.5),0)</f>
        <v>0</v>
      </c>
    </row>
    <row r="1217" spans="1:44" x14ac:dyDescent="0.35">
      <c r="A1217" t="s">
        <v>341</v>
      </c>
      <c r="B1217">
        <v>35</v>
      </c>
      <c r="C1217" t="s">
        <v>37</v>
      </c>
      <c r="D1217">
        <v>146</v>
      </c>
      <c r="E1217" t="s">
        <v>38</v>
      </c>
      <c r="F1217">
        <v>2</v>
      </c>
      <c r="G1217">
        <v>4</v>
      </c>
      <c r="H1217" t="s">
        <v>44</v>
      </c>
      <c r="I1217">
        <v>1</v>
      </c>
      <c r="J1217" t="s">
        <v>39</v>
      </c>
      <c r="K1217">
        <v>79</v>
      </c>
      <c r="L1217">
        <v>2</v>
      </c>
      <c r="M1217">
        <v>1</v>
      </c>
      <c r="N1217" t="s">
        <v>40</v>
      </c>
      <c r="O1217">
        <v>4</v>
      </c>
      <c r="P1217" t="s">
        <v>36</v>
      </c>
      <c r="Q1217">
        <v>4930</v>
      </c>
      <c r="R1217">
        <v>13970</v>
      </c>
      <c r="S1217">
        <v>0</v>
      </c>
      <c r="T1217">
        <v>1</v>
      </c>
      <c r="U1217" s="17">
        <v>0.14000000000000001</v>
      </c>
      <c r="V1217">
        <v>3</v>
      </c>
      <c r="W1217">
        <v>3</v>
      </c>
      <c r="X1217">
        <v>0</v>
      </c>
      <c r="Y1217">
        <v>6</v>
      </c>
      <c r="Z1217">
        <v>2</v>
      </c>
      <c r="AA1217">
        <v>4</v>
      </c>
      <c r="AB1217">
        <v>5</v>
      </c>
      <c r="AC1217">
        <v>4</v>
      </c>
      <c r="AD1217">
        <v>1</v>
      </c>
      <c r="AE1217">
        <v>4</v>
      </c>
      <c r="AF1217">
        <v>0</v>
      </c>
      <c r="AG1217">
        <f>IF(tbl_HR_Data[[#This Row],[Gender]]="Male",1,0)</f>
        <v>1</v>
      </c>
      <c r="AH1217" cm="1">
        <f t="array" ref="AH1217">_xlfn.SWITCH(tbl_HR_Data[[#This Row],[BusinessTravel]], "Non-Travel", 0, "Travel_Rarely", 1, "Travel_Frequently", 2)</f>
        <v>2</v>
      </c>
      <c r="AI1217" cm="1">
        <f t="array" ref="AI1217">_xlfn.SWITCH(tbl_HR_Data[[#This Row],[MaritalStatus]],"Single",0,"Married",1,"Divorced",2)</f>
        <v>0</v>
      </c>
      <c r="AJ1217">
        <f>IF(tbl_HR_Data[[#This Row],[OverTime]]=1,1,0)</f>
        <v>1</v>
      </c>
      <c r="AK1217">
        <f>IF(tbl_HR_Data[[#This Row],[DistanceFromHome]]&gt;15,1,0)</f>
        <v>0</v>
      </c>
      <c r="AL1217">
        <f>IF(tbl_HR_Data[[#This Row],[JobSatisfaction]]&lt;=2,1,0)</f>
        <v>0</v>
      </c>
      <c r="AM1217">
        <f>IF(tbl_HR_Data[[#This Row],[MonthlyIncome]]&lt;$AT$2,1,0)</f>
        <v>0</v>
      </c>
      <c r="AN1217">
        <f>IF(tbl_HR_Data[[#This Row],[Travel_Code]]=2,1,0)</f>
        <v>1</v>
      </c>
      <c r="AO1217">
        <f>(tbl_HR_Data[[#This Row],[Flag_OT]] * Logic_Parameters!$B$2) +
 (tbl_HR_Data[[#This Row],[Flag_Travel]] * Logic_Parameters!$B$3) +
 (tbl_HR_Data[[#This Row],[Flag_Satisfaction]] * Logic_Parameters!$B$4) +
 (tbl_HR_Data[[#This Row],[Flag_Distance]]* Logic_Parameters!$B$5) +
 (tbl_HR_Data[[#This Row],[Flag_Income]] * Logic_Parameters!$B$6)</f>
        <v>15.160389980490176</v>
      </c>
      <c r="AP1217" s="15">
        <f>tbl_HR_Data[[#This Row],[Risk_Score_Raw]] / SUM(Logic_Parameters!$B$2:$B$6)</f>
        <v>0.52231353565590266</v>
      </c>
      <c r="AQ1217" s="16" t="str" cm="1">
        <f t="array" ref="AQ1217">_xlfn.IFS(tbl_HR_Data[[#This Row],[Attrition_Risk_Percentage]] &gt;= 0.75, "Critical",tbl_HR_Data[ [#This Row],[Attrition_Risk_Percentage] ]&gt;= 0.5, "High",tbl_HR_Data[[#This Row],[Attrition_Risk_Percentage]] &gt;= 0.25, "Medium",TRUE, "Low")</f>
        <v>High</v>
      </c>
      <c r="AR1217" s="16" cm="1">
        <f t="array" ref="AR1217">IFERROR(_xlfn.IFS(tbl_HR_Data[[#This Row],[Risk_Category]]="Critical",tbl_HR_Data[[#This Row],[MonthlyIncome]]*1.5,tbl_HR_Data[[#This Row],[Risk_Category]]="High",tbl_HR_Data[[#This Row],[MonthlyIncome]]*1.5),0)</f>
        <v>7395</v>
      </c>
    </row>
    <row r="1218" spans="1:44" x14ac:dyDescent="0.35">
      <c r="A1218" t="s">
        <v>58</v>
      </c>
      <c r="B1218">
        <v>43</v>
      </c>
      <c r="C1218" t="s">
        <v>31</v>
      </c>
      <c r="D1218">
        <v>1179</v>
      </c>
      <c r="E1218" t="s">
        <v>32</v>
      </c>
      <c r="F1218">
        <v>2</v>
      </c>
      <c r="G1218">
        <v>3</v>
      </c>
      <c r="H1218" t="s">
        <v>44</v>
      </c>
      <c r="I1218">
        <v>4</v>
      </c>
      <c r="J1218" t="s">
        <v>39</v>
      </c>
      <c r="K1218">
        <v>73</v>
      </c>
      <c r="L1218">
        <v>3</v>
      </c>
      <c r="M1218">
        <v>2</v>
      </c>
      <c r="N1218" t="s">
        <v>35</v>
      </c>
      <c r="O1218">
        <v>4</v>
      </c>
      <c r="P1218" t="s">
        <v>41</v>
      </c>
      <c r="Q1218">
        <v>7847</v>
      </c>
      <c r="R1218">
        <v>6069</v>
      </c>
      <c r="S1218">
        <v>1</v>
      </c>
      <c r="T1218">
        <v>1</v>
      </c>
      <c r="U1218" s="17">
        <v>0.17</v>
      </c>
      <c r="V1218">
        <v>3</v>
      </c>
      <c r="W1218">
        <v>1</v>
      </c>
      <c r="X1218">
        <v>1</v>
      </c>
      <c r="Y1218">
        <v>10</v>
      </c>
      <c r="Z1218">
        <v>3</v>
      </c>
      <c r="AA1218">
        <v>3</v>
      </c>
      <c r="AB1218">
        <v>10</v>
      </c>
      <c r="AC1218">
        <v>9</v>
      </c>
      <c r="AD1218">
        <v>8</v>
      </c>
      <c r="AE1218">
        <v>8</v>
      </c>
      <c r="AF1218">
        <v>0</v>
      </c>
      <c r="AG1218">
        <f>IF(tbl_HR_Data[[#This Row],[Gender]]="Male",1,0)</f>
        <v>1</v>
      </c>
      <c r="AH1218" cm="1">
        <f t="array" ref="AH1218">_xlfn.SWITCH(tbl_HR_Data[[#This Row],[BusinessTravel]], "Non-Travel", 0, "Travel_Rarely", 1, "Travel_Frequently", 2)</f>
        <v>1</v>
      </c>
      <c r="AI1218" cm="1">
        <f t="array" ref="AI1218">_xlfn.SWITCH(tbl_HR_Data[[#This Row],[MaritalStatus]],"Single",0,"Married",1,"Divorced",2)</f>
        <v>1</v>
      </c>
      <c r="AJ1218">
        <f>IF(tbl_HR_Data[[#This Row],[OverTime]]=1,1,0)</f>
        <v>1</v>
      </c>
      <c r="AK1218">
        <f>IF(tbl_HR_Data[[#This Row],[DistanceFromHome]]&gt;15,1,0)</f>
        <v>0</v>
      </c>
      <c r="AL1218">
        <f>IF(tbl_HR_Data[[#This Row],[JobSatisfaction]]&lt;=2,1,0)</f>
        <v>0</v>
      </c>
      <c r="AM1218">
        <f>IF(tbl_HR_Data[[#This Row],[MonthlyIncome]]&lt;$AT$2,1,0)</f>
        <v>0</v>
      </c>
      <c r="AN1218">
        <f>IF(tbl_HR_Data[[#This Row],[Travel_Code]]=2,1,0)</f>
        <v>0</v>
      </c>
      <c r="AO1218">
        <f>(tbl_HR_Data[[#This Row],[Flag_OT]] * Logic_Parameters!$B$2) +
 (tbl_HR_Data[[#This Row],[Flag_Travel]] * Logic_Parameters!$B$3) +
 (tbl_HR_Data[[#This Row],[Flag_Satisfaction]] * Logic_Parameters!$B$4) +
 (tbl_HR_Data[[#This Row],[Flag_Distance]]* Logic_Parameters!$B$5) +
 (tbl_HR_Data[[#This Row],[Flag_Income]] * Logic_Parameters!$B$6)</f>
        <v>10</v>
      </c>
      <c r="AP1218" s="15">
        <f>tbl_HR_Data[[#This Row],[Risk_Score_Raw]] / SUM(Logic_Parameters!$B$2:$B$6)</f>
        <v>0.3445251318258073</v>
      </c>
      <c r="AQ1218" s="16" t="str" cm="1">
        <f t="array" ref="AQ1218">_xlfn.IFS(tbl_HR_Data[[#This Row],[Attrition_Risk_Percentage]] &gt;= 0.75, "Critical",tbl_HR_Data[ [#This Row],[Attrition_Risk_Percentage] ]&gt;= 0.5, "High",tbl_HR_Data[[#This Row],[Attrition_Risk_Percentage]] &gt;= 0.25, "Medium",TRUE, "Low")</f>
        <v>Medium</v>
      </c>
      <c r="AR1218" s="16" cm="1">
        <f t="array" ref="AR1218">IFERROR(_xlfn.IFS(tbl_HR_Data[[#This Row],[Risk_Category]]="Critical",tbl_HR_Data[[#This Row],[MonthlyIncome]]*1.5,tbl_HR_Data[[#This Row],[Risk_Category]]="High",tbl_HR_Data[[#This Row],[MonthlyIncome]]*1.5),0)</f>
        <v>0</v>
      </c>
    </row>
    <row r="1219" spans="1:44" x14ac:dyDescent="0.35">
      <c r="A1219" t="s">
        <v>873</v>
      </c>
      <c r="B1219">
        <v>24</v>
      </c>
      <c r="C1219" t="s">
        <v>31</v>
      </c>
      <c r="D1219">
        <v>581</v>
      </c>
      <c r="E1219" t="s">
        <v>38</v>
      </c>
      <c r="F1219">
        <v>9</v>
      </c>
      <c r="G1219">
        <v>3</v>
      </c>
      <c r="H1219" t="s">
        <v>44</v>
      </c>
      <c r="I1219">
        <v>3</v>
      </c>
      <c r="J1219" t="s">
        <v>39</v>
      </c>
      <c r="K1219">
        <v>62</v>
      </c>
      <c r="L1219">
        <v>4</v>
      </c>
      <c r="M1219">
        <v>1</v>
      </c>
      <c r="N1219" t="s">
        <v>40</v>
      </c>
      <c r="O1219">
        <v>3</v>
      </c>
      <c r="P1219" t="s">
        <v>41</v>
      </c>
      <c r="Q1219">
        <v>4401</v>
      </c>
      <c r="R1219">
        <v>17616</v>
      </c>
      <c r="S1219">
        <v>1</v>
      </c>
      <c r="T1219">
        <v>0</v>
      </c>
      <c r="U1219" s="17">
        <v>0.16</v>
      </c>
      <c r="V1219">
        <v>3</v>
      </c>
      <c r="W1219">
        <v>4</v>
      </c>
      <c r="X1219">
        <v>1</v>
      </c>
      <c r="Y1219">
        <v>5</v>
      </c>
      <c r="Z1219">
        <v>1</v>
      </c>
      <c r="AA1219">
        <v>3</v>
      </c>
      <c r="AB1219">
        <v>5</v>
      </c>
      <c r="AC1219">
        <v>3</v>
      </c>
      <c r="AD1219">
        <v>0</v>
      </c>
      <c r="AE1219">
        <v>4</v>
      </c>
      <c r="AF1219">
        <v>0</v>
      </c>
      <c r="AG1219">
        <f>IF(tbl_HR_Data[[#This Row],[Gender]]="Male",1,0)</f>
        <v>1</v>
      </c>
      <c r="AH1219" cm="1">
        <f t="array" ref="AH1219">_xlfn.SWITCH(tbl_HR_Data[[#This Row],[BusinessTravel]], "Non-Travel", 0, "Travel_Rarely", 1, "Travel_Frequently", 2)</f>
        <v>1</v>
      </c>
      <c r="AI1219" cm="1">
        <f t="array" ref="AI1219">_xlfn.SWITCH(tbl_HR_Data[[#This Row],[MaritalStatus]],"Single",0,"Married",1,"Divorced",2)</f>
        <v>1</v>
      </c>
      <c r="AJ1219">
        <f>IF(tbl_HR_Data[[#This Row],[OverTime]]=1,1,0)</f>
        <v>0</v>
      </c>
      <c r="AK1219">
        <f>IF(tbl_HR_Data[[#This Row],[DistanceFromHome]]&gt;15,1,0)</f>
        <v>0</v>
      </c>
      <c r="AL1219">
        <f>IF(tbl_HR_Data[[#This Row],[JobSatisfaction]]&lt;=2,1,0)</f>
        <v>0</v>
      </c>
      <c r="AM1219">
        <f>IF(tbl_HR_Data[[#This Row],[MonthlyIncome]]&lt;$AT$2,1,0)</f>
        <v>1</v>
      </c>
      <c r="AN1219">
        <f>IF(tbl_HR_Data[[#This Row],[Travel_Code]]=2,1,0)</f>
        <v>0</v>
      </c>
      <c r="AO1219">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219" s="15">
        <f>tbl_HR_Data[[#This Row],[Risk_Score_Raw]] / SUM(Logic_Parameters!$B$2:$B$6)</f>
        <v>0.22374939857982484</v>
      </c>
      <c r="AQ1219" s="16" t="str" cm="1">
        <f t="array" ref="AQ1219">_xlfn.IFS(tbl_HR_Data[[#This Row],[Attrition_Risk_Percentage]] &gt;= 0.75, "Critical",tbl_HR_Data[ [#This Row],[Attrition_Risk_Percentage] ]&gt;= 0.5, "High",tbl_HR_Data[[#This Row],[Attrition_Risk_Percentage]] &gt;= 0.25, "Medium",TRUE, "Low")</f>
        <v>Low</v>
      </c>
      <c r="AR1219" s="16" cm="1">
        <f t="array" ref="AR1219">IFERROR(_xlfn.IFS(tbl_HR_Data[[#This Row],[Risk_Category]]="Critical",tbl_HR_Data[[#This Row],[MonthlyIncome]]*1.5,tbl_HR_Data[[#This Row],[Risk_Category]]="High",tbl_HR_Data[[#This Row],[MonthlyIncome]]*1.5),0)</f>
        <v>0</v>
      </c>
    </row>
    <row r="1220" spans="1:44" x14ac:dyDescent="0.35">
      <c r="A1220" t="s">
        <v>1405</v>
      </c>
      <c r="B1220">
        <v>41</v>
      </c>
      <c r="C1220" t="s">
        <v>31</v>
      </c>
      <c r="D1220">
        <v>918</v>
      </c>
      <c r="E1220" t="s">
        <v>32</v>
      </c>
      <c r="F1220">
        <v>6</v>
      </c>
      <c r="G1220">
        <v>3</v>
      </c>
      <c r="H1220" t="s">
        <v>51</v>
      </c>
      <c r="I1220">
        <v>4</v>
      </c>
      <c r="J1220" t="s">
        <v>39</v>
      </c>
      <c r="K1220">
        <v>35</v>
      </c>
      <c r="L1220">
        <v>3</v>
      </c>
      <c r="M1220">
        <v>3</v>
      </c>
      <c r="N1220" t="s">
        <v>35</v>
      </c>
      <c r="O1220">
        <v>3</v>
      </c>
      <c r="P1220" t="s">
        <v>36</v>
      </c>
      <c r="Q1220">
        <v>9241</v>
      </c>
      <c r="R1220">
        <v>15869</v>
      </c>
      <c r="S1220">
        <v>1</v>
      </c>
      <c r="T1220">
        <v>0</v>
      </c>
      <c r="U1220" s="17">
        <v>0.12</v>
      </c>
      <c r="V1220">
        <v>3</v>
      </c>
      <c r="W1220">
        <v>2</v>
      </c>
      <c r="X1220">
        <v>0</v>
      </c>
      <c r="Y1220">
        <v>10</v>
      </c>
      <c r="Z1220">
        <v>3</v>
      </c>
      <c r="AA1220">
        <v>3</v>
      </c>
      <c r="AB1220">
        <v>10</v>
      </c>
      <c r="AC1220">
        <v>8</v>
      </c>
      <c r="AD1220">
        <v>8</v>
      </c>
      <c r="AE1220">
        <v>7</v>
      </c>
      <c r="AF1220">
        <v>0</v>
      </c>
      <c r="AG1220">
        <f>IF(tbl_HR_Data[[#This Row],[Gender]]="Male",1,0)</f>
        <v>1</v>
      </c>
      <c r="AH1220" cm="1">
        <f t="array" ref="AH1220">_xlfn.SWITCH(tbl_HR_Data[[#This Row],[BusinessTravel]], "Non-Travel", 0, "Travel_Rarely", 1, "Travel_Frequently", 2)</f>
        <v>1</v>
      </c>
      <c r="AI1220" cm="1">
        <f t="array" ref="AI1220">_xlfn.SWITCH(tbl_HR_Data[[#This Row],[MaritalStatus]],"Single",0,"Married",1,"Divorced",2)</f>
        <v>0</v>
      </c>
      <c r="AJ1220">
        <f>IF(tbl_HR_Data[[#This Row],[OverTime]]=1,1,0)</f>
        <v>0</v>
      </c>
      <c r="AK1220">
        <f>IF(tbl_HR_Data[[#This Row],[DistanceFromHome]]&gt;15,1,0)</f>
        <v>0</v>
      </c>
      <c r="AL1220">
        <f>IF(tbl_HR_Data[[#This Row],[JobSatisfaction]]&lt;=2,1,0)</f>
        <v>0</v>
      </c>
      <c r="AM1220">
        <f>IF(tbl_HR_Data[[#This Row],[MonthlyIncome]]&lt;$AT$2,1,0)</f>
        <v>0</v>
      </c>
      <c r="AN1220">
        <f>IF(tbl_HR_Data[[#This Row],[Travel_Code]]=2,1,0)</f>
        <v>0</v>
      </c>
      <c r="AO1220">
        <f>(tbl_HR_Data[[#This Row],[Flag_OT]] * Logic_Parameters!$B$2) +
 (tbl_HR_Data[[#This Row],[Flag_Travel]] * Logic_Parameters!$B$3) +
 (tbl_HR_Data[[#This Row],[Flag_Satisfaction]] * Logic_Parameters!$B$4) +
 (tbl_HR_Data[[#This Row],[Flag_Distance]]* Logic_Parameters!$B$5) +
 (tbl_HR_Data[[#This Row],[Flag_Income]] * Logic_Parameters!$B$6)</f>
        <v>0</v>
      </c>
      <c r="AP1220" s="15">
        <f>tbl_HR_Data[[#This Row],[Risk_Score_Raw]] / SUM(Logic_Parameters!$B$2:$B$6)</f>
        <v>0</v>
      </c>
      <c r="AQ1220" s="16" t="str" cm="1">
        <f t="array" ref="AQ1220">_xlfn.IFS(tbl_HR_Data[[#This Row],[Attrition_Risk_Percentage]] &gt;= 0.75, "Critical",tbl_HR_Data[ [#This Row],[Attrition_Risk_Percentage] ]&gt;= 0.5, "High",tbl_HR_Data[[#This Row],[Attrition_Risk_Percentage]] &gt;= 0.25, "Medium",TRUE, "Low")</f>
        <v>Low</v>
      </c>
      <c r="AR1220" s="16" cm="1">
        <f t="array" ref="AR1220">IFERROR(_xlfn.IFS(tbl_HR_Data[[#This Row],[Risk_Category]]="Critical",tbl_HR_Data[[#This Row],[MonthlyIncome]]*1.5,tbl_HR_Data[[#This Row],[Risk_Category]]="High",tbl_HR_Data[[#This Row],[MonthlyIncome]]*1.5),0)</f>
        <v>0</v>
      </c>
    </row>
    <row r="1221" spans="1:44" x14ac:dyDescent="0.35">
      <c r="A1221" t="s">
        <v>702</v>
      </c>
      <c r="B1221">
        <v>29</v>
      </c>
      <c r="C1221" t="s">
        <v>31</v>
      </c>
      <c r="D1221">
        <v>1082</v>
      </c>
      <c r="E1221" t="s">
        <v>38</v>
      </c>
      <c r="F1221">
        <v>9</v>
      </c>
      <c r="G1221">
        <v>4</v>
      </c>
      <c r="H1221" t="s">
        <v>44</v>
      </c>
      <c r="I1221">
        <v>4</v>
      </c>
      <c r="J1221" t="s">
        <v>34</v>
      </c>
      <c r="K1221">
        <v>43</v>
      </c>
      <c r="L1221">
        <v>3</v>
      </c>
      <c r="M1221">
        <v>1</v>
      </c>
      <c r="N1221" t="s">
        <v>43</v>
      </c>
      <c r="O1221">
        <v>3</v>
      </c>
      <c r="P1221" t="s">
        <v>41</v>
      </c>
      <c r="Q1221">
        <v>2974</v>
      </c>
      <c r="R1221">
        <v>25412</v>
      </c>
      <c r="S1221">
        <v>9</v>
      </c>
      <c r="T1221">
        <v>0</v>
      </c>
      <c r="U1221" s="17">
        <v>0.17</v>
      </c>
      <c r="V1221">
        <v>3</v>
      </c>
      <c r="W1221">
        <v>3</v>
      </c>
      <c r="X1221">
        <v>1</v>
      </c>
      <c r="Y1221">
        <v>9</v>
      </c>
      <c r="Z1221">
        <v>2</v>
      </c>
      <c r="AA1221">
        <v>3</v>
      </c>
      <c r="AB1221">
        <v>5</v>
      </c>
      <c r="AC1221">
        <v>3</v>
      </c>
      <c r="AD1221">
        <v>1</v>
      </c>
      <c r="AE1221">
        <v>2</v>
      </c>
      <c r="AF1221">
        <v>0</v>
      </c>
      <c r="AG1221">
        <f>IF(tbl_HR_Data[[#This Row],[Gender]]="Male",1,0)</f>
        <v>0</v>
      </c>
      <c r="AH1221" cm="1">
        <f t="array" ref="AH1221">_xlfn.SWITCH(tbl_HR_Data[[#This Row],[BusinessTravel]], "Non-Travel", 0, "Travel_Rarely", 1, "Travel_Frequently", 2)</f>
        <v>1</v>
      </c>
      <c r="AI1221" cm="1">
        <f t="array" ref="AI1221">_xlfn.SWITCH(tbl_HR_Data[[#This Row],[MaritalStatus]],"Single",0,"Married",1,"Divorced",2)</f>
        <v>1</v>
      </c>
      <c r="AJ1221">
        <f>IF(tbl_HR_Data[[#This Row],[OverTime]]=1,1,0)</f>
        <v>0</v>
      </c>
      <c r="AK1221">
        <f>IF(tbl_HR_Data[[#This Row],[DistanceFromHome]]&gt;15,1,0)</f>
        <v>0</v>
      </c>
      <c r="AL1221">
        <f>IF(tbl_HR_Data[[#This Row],[JobSatisfaction]]&lt;=2,1,0)</f>
        <v>0</v>
      </c>
      <c r="AM1221">
        <f>IF(tbl_HR_Data[[#This Row],[MonthlyIncome]]&lt;$AT$2,1,0)</f>
        <v>1</v>
      </c>
      <c r="AN1221">
        <f>IF(tbl_HR_Data[[#This Row],[Travel_Code]]=2,1,0)</f>
        <v>0</v>
      </c>
      <c r="AO1221">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221" s="15">
        <f>tbl_HR_Data[[#This Row],[Risk_Score_Raw]] / SUM(Logic_Parameters!$B$2:$B$6)</f>
        <v>0.22374939857982484</v>
      </c>
      <c r="AQ1221" s="16" t="str" cm="1">
        <f t="array" ref="AQ1221">_xlfn.IFS(tbl_HR_Data[[#This Row],[Attrition_Risk_Percentage]] &gt;= 0.75, "Critical",tbl_HR_Data[ [#This Row],[Attrition_Risk_Percentage] ]&gt;= 0.5, "High",tbl_HR_Data[[#This Row],[Attrition_Risk_Percentage]] &gt;= 0.25, "Medium",TRUE, "Low")</f>
        <v>Low</v>
      </c>
      <c r="AR1221" s="16" cm="1">
        <f t="array" ref="AR1221">IFERROR(_xlfn.IFS(tbl_HR_Data[[#This Row],[Risk_Category]]="Critical",tbl_HR_Data[[#This Row],[MonthlyIncome]]*1.5,tbl_HR_Data[[#This Row],[Risk_Category]]="High",tbl_HR_Data[[#This Row],[MonthlyIncome]]*1.5),0)</f>
        <v>0</v>
      </c>
    </row>
    <row r="1222" spans="1:44" x14ac:dyDescent="0.35">
      <c r="A1222" t="s">
        <v>295</v>
      </c>
      <c r="B1222">
        <v>36</v>
      </c>
      <c r="C1222" t="s">
        <v>31</v>
      </c>
      <c r="D1222">
        <v>530</v>
      </c>
      <c r="E1222" t="s">
        <v>32</v>
      </c>
      <c r="F1222">
        <v>2</v>
      </c>
      <c r="G1222">
        <v>4</v>
      </c>
      <c r="H1222" t="s">
        <v>33</v>
      </c>
      <c r="I1222">
        <v>3</v>
      </c>
      <c r="J1222" t="s">
        <v>34</v>
      </c>
      <c r="K1222">
        <v>51</v>
      </c>
      <c r="L1222">
        <v>3</v>
      </c>
      <c r="M1222">
        <v>2</v>
      </c>
      <c r="N1222" t="s">
        <v>49</v>
      </c>
      <c r="O1222">
        <v>4</v>
      </c>
      <c r="P1222" t="s">
        <v>36</v>
      </c>
      <c r="Q1222">
        <v>4502</v>
      </c>
      <c r="R1222">
        <v>7439</v>
      </c>
      <c r="S1222">
        <v>3</v>
      </c>
      <c r="T1222">
        <v>0</v>
      </c>
      <c r="U1222" s="17">
        <v>0.15</v>
      </c>
      <c r="V1222">
        <v>3</v>
      </c>
      <c r="W1222">
        <v>3</v>
      </c>
      <c r="X1222">
        <v>0</v>
      </c>
      <c r="Y1222">
        <v>17</v>
      </c>
      <c r="Z1222">
        <v>2</v>
      </c>
      <c r="AA1222">
        <v>2</v>
      </c>
      <c r="AB1222">
        <v>13</v>
      </c>
      <c r="AC1222">
        <v>7</v>
      </c>
      <c r="AD1222">
        <v>6</v>
      </c>
      <c r="AE1222">
        <v>7</v>
      </c>
      <c r="AF1222">
        <v>0</v>
      </c>
      <c r="AG1222">
        <f>IF(tbl_HR_Data[[#This Row],[Gender]]="Male",1,0)</f>
        <v>0</v>
      </c>
      <c r="AH1222" cm="1">
        <f t="array" ref="AH1222">_xlfn.SWITCH(tbl_HR_Data[[#This Row],[BusinessTravel]], "Non-Travel", 0, "Travel_Rarely", 1, "Travel_Frequently", 2)</f>
        <v>1</v>
      </c>
      <c r="AI1222" cm="1">
        <f t="array" ref="AI1222">_xlfn.SWITCH(tbl_HR_Data[[#This Row],[MaritalStatus]],"Single",0,"Married",1,"Divorced",2)</f>
        <v>0</v>
      </c>
      <c r="AJ1222">
        <f>IF(tbl_HR_Data[[#This Row],[OverTime]]=1,1,0)</f>
        <v>0</v>
      </c>
      <c r="AK1222">
        <f>IF(tbl_HR_Data[[#This Row],[DistanceFromHome]]&gt;15,1,0)</f>
        <v>0</v>
      </c>
      <c r="AL1222">
        <f>IF(tbl_HR_Data[[#This Row],[JobSatisfaction]]&lt;=2,1,0)</f>
        <v>0</v>
      </c>
      <c r="AM1222">
        <f>IF(tbl_HR_Data[[#This Row],[MonthlyIncome]]&lt;$AT$2,1,0)</f>
        <v>1</v>
      </c>
      <c r="AN1222">
        <f>IF(tbl_HR_Data[[#This Row],[Travel_Code]]=2,1,0)</f>
        <v>0</v>
      </c>
      <c r="AO1222">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222" s="15">
        <f>tbl_HR_Data[[#This Row],[Risk_Score_Raw]] / SUM(Logic_Parameters!$B$2:$B$6)</f>
        <v>0.22374939857982484</v>
      </c>
      <c r="AQ1222" s="16" t="str" cm="1">
        <f t="array" ref="AQ1222">_xlfn.IFS(tbl_HR_Data[[#This Row],[Attrition_Risk_Percentage]] &gt;= 0.75, "Critical",tbl_HR_Data[ [#This Row],[Attrition_Risk_Percentage] ]&gt;= 0.5, "High",tbl_HR_Data[[#This Row],[Attrition_Risk_Percentage]] &gt;= 0.25, "Medium",TRUE, "Low")</f>
        <v>Low</v>
      </c>
      <c r="AR1222" s="16" cm="1">
        <f t="array" ref="AR1222">IFERROR(_xlfn.IFS(tbl_HR_Data[[#This Row],[Risk_Category]]="Critical",tbl_HR_Data[[#This Row],[MonthlyIncome]]*1.5,tbl_HR_Data[[#This Row],[Risk_Category]]="High",tbl_HR_Data[[#This Row],[MonthlyIncome]]*1.5),0)</f>
        <v>0</v>
      </c>
    </row>
    <row r="1223" spans="1:44" x14ac:dyDescent="0.35">
      <c r="A1223" t="s">
        <v>1074</v>
      </c>
      <c r="B1223">
        <v>45</v>
      </c>
      <c r="C1223" t="s">
        <v>1525</v>
      </c>
      <c r="D1223">
        <v>1238</v>
      </c>
      <c r="E1223" t="s">
        <v>38</v>
      </c>
      <c r="F1223">
        <v>1</v>
      </c>
      <c r="G1223">
        <v>1</v>
      </c>
      <c r="H1223" t="s">
        <v>33</v>
      </c>
      <c r="I1223">
        <v>3</v>
      </c>
      <c r="J1223" t="s">
        <v>39</v>
      </c>
      <c r="K1223">
        <v>74</v>
      </c>
      <c r="L1223">
        <v>2</v>
      </c>
      <c r="M1223">
        <v>3</v>
      </c>
      <c r="N1223" t="s">
        <v>47</v>
      </c>
      <c r="O1223">
        <v>3</v>
      </c>
      <c r="P1223" t="s">
        <v>41</v>
      </c>
      <c r="Q1223">
        <v>10748</v>
      </c>
      <c r="R1223">
        <v>3395</v>
      </c>
      <c r="S1223">
        <v>3</v>
      </c>
      <c r="T1223">
        <v>0</v>
      </c>
      <c r="U1223" s="17">
        <v>0.23</v>
      </c>
      <c r="V1223">
        <v>4</v>
      </c>
      <c r="W1223">
        <v>4</v>
      </c>
      <c r="X1223">
        <v>1</v>
      </c>
      <c r="Y1223">
        <v>25</v>
      </c>
      <c r="Z1223">
        <v>3</v>
      </c>
      <c r="AA1223">
        <v>2</v>
      </c>
      <c r="AB1223">
        <v>23</v>
      </c>
      <c r="AC1223">
        <v>15</v>
      </c>
      <c r="AD1223">
        <v>14</v>
      </c>
      <c r="AE1223">
        <v>4</v>
      </c>
      <c r="AF1223">
        <v>0</v>
      </c>
      <c r="AG1223">
        <f>IF(tbl_HR_Data[[#This Row],[Gender]]="Male",1,0)</f>
        <v>1</v>
      </c>
      <c r="AH1223" cm="1">
        <f t="array" ref="AH1223">_xlfn.SWITCH(tbl_HR_Data[[#This Row],[BusinessTravel]], "Non-Travel", 0, "Travel_Rarely", 1, "Travel_Frequently", 2)</f>
        <v>0</v>
      </c>
      <c r="AI1223" cm="1">
        <f t="array" ref="AI1223">_xlfn.SWITCH(tbl_HR_Data[[#This Row],[MaritalStatus]],"Single",0,"Married",1,"Divorced",2)</f>
        <v>1</v>
      </c>
      <c r="AJ1223">
        <f>IF(tbl_HR_Data[[#This Row],[OverTime]]=1,1,0)</f>
        <v>0</v>
      </c>
      <c r="AK1223">
        <f>IF(tbl_HR_Data[[#This Row],[DistanceFromHome]]&gt;15,1,0)</f>
        <v>0</v>
      </c>
      <c r="AL1223">
        <f>IF(tbl_HR_Data[[#This Row],[JobSatisfaction]]&lt;=2,1,0)</f>
        <v>0</v>
      </c>
      <c r="AM1223">
        <f>IF(tbl_HR_Data[[#This Row],[MonthlyIncome]]&lt;$AT$2,1,0)</f>
        <v>0</v>
      </c>
      <c r="AN1223">
        <f>IF(tbl_HR_Data[[#This Row],[Travel_Code]]=2,1,0)</f>
        <v>0</v>
      </c>
      <c r="AO1223">
        <f>(tbl_HR_Data[[#This Row],[Flag_OT]] * Logic_Parameters!$B$2) +
 (tbl_HR_Data[[#This Row],[Flag_Travel]] * Logic_Parameters!$B$3) +
 (tbl_HR_Data[[#This Row],[Flag_Satisfaction]] * Logic_Parameters!$B$4) +
 (tbl_HR_Data[[#This Row],[Flag_Distance]]* Logic_Parameters!$B$5) +
 (tbl_HR_Data[[#This Row],[Flag_Income]] * Logic_Parameters!$B$6)</f>
        <v>0</v>
      </c>
      <c r="AP1223" s="15">
        <f>tbl_HR_Data[[#This Row],[Risk_Score_Raw]] / SUM(Logic_Parameters!$B$2:$B$6)</f>
        <v>0</v>
      </c>
      <c r="AQ1223" s="16" t="str" cm="1">
        <f t="array" ref="AQ1223">_xlfn.IFS(tbl_HR_Data[[#This Row],[Attrition_Risk_Percentage]] &gt;= 0.75, "Critical",tbl_HR_Data[ [#This Row],[Attrition_Risk_Percentage] ]&gt;= 0.5, "High",tbl_HR_Data[[#This Row],[Attrition_Risk_Percentage]] &gt;= 0.25, "Medium",TRUE, "Low")</f>
        <v>Low</v>
      </c>
      <c r="AR1223" s="16" cm="1">
        <f t="array" ref="AR1223">IFERROR(_xlfn.IFS(tbl_HR_Data[[#This Row],[Risk_Category]]="Critical",tbl_HR_Data[[#This Row],[MonthlyIncome]]*1.5,tbl_HR_Data[[#This Row],[Risk_Category]]="High",tbl_HR_Data[[#This Row],[MonthlyIncome]]*1.5),0)</f>
        <v>0</v>
      </c>
    </row>
    <row r="1224" spans="1:44" x14ac:dyDescent="0.35">
      <c r="A1224" t="s">
        <v>1034</v>
      </c>
      <c r="B1224">
        <v>24</v>
      </c>
      <c r="C1224" t="s">
        <v>31</v>
      </c>
      <c r="D1224">
        <v>240</v>
      </c>
      <c r="E1224" t="s">
        <v>53</v>
      </c>
      <c r="F1224">
        <v>22</v>
      </c>
      <c r="G1224">
        <v>1</v>
      </c>
      <c r="H1224" t="s">
        <v>53</v>
      </c>
      <c r="I1224">
        <v>4</v>
      </c>
      <c r="J1224" t="s">
        <v>39</v>
      </c>
      <c r="K1224">
        <v>58</v>
      </c>
      <c r="L1224">
        <v>1</v>
      </c>
      <c r="M1224">
        <v>1</v>
      </c>
      <c r="N1224" t="s">
        <v>53</v>
      </c>
      <c r="O1224">
        <v>3</v>
      </c>
      <c r="P1224" t="s">
        <v>41</v>
      </c>
      <c r="Q1224">
        <v>1555</v>
      </c>
      <c r="R1224">
        <v>11585</v>
      </c>
      <c r="S1224">
        <v>1</v>
      </c>
      <c r="T1224">
        <v>0</v>
      </c>
      <c r="U1224" s="17">
        <v>0.11</v>
      </c>
      <c r="V1224">
        <v>3</v>
      </c>
      <c r="W1224">
        <v>3</v>
      </c>
      <c r="X1224">
        <v>1</v>
      </c>
      <c r="Y1224">
        <v>1</v>
      </c>
      <c r="Z1224">
        <v>2</v>
      </c>
      <c r="AA1224">
        <v>3</v>
      </c>
      <c r="AB1224">
        <v>1</v>
      </c>
      <c r="AC1224">
        <v>0</v>
      </c>
      <c r="AD1224">
        <v>0</v>
      </c>
      <c r="AE1224">
        <v>0</v>
      </c>
      <c r="AF1224">
        <v>1</v>
      </c>
      <c r="AG1224">
        <f>IF(tbl_HR_Data[[#This Row],[Gender]]="Male",1,0)</f>
        <v>1</v>
      </c>
      <c r="AH1224" cm="1">
        <f t="array" ref="AH1224">_xlfn.SWITCH(tbl_HR_Data[[#This Row],[BusinessTravel]], "Non-Travel", 0, "Travel_Rarely", 1, "Travel_Frequently", 2)</f>
        <v>1</v>
      </c>
      <c r="AI1224" cm="1">
        <f t="array" ref="AI1224">_xlfn.SWITCH(tbl_HR_Data[[#This Row],[MaritalStatus]],"Single",0,"Married",1,"Divorced",2)</f>
        <v>1</v>
      </c>
      <c r="AJ1224">
        <f>IF(tbl_HR_Data[[#This Row],[OverTime]]=1,1,0)</f>
        <v>0</v>
      </c>
      <c r="AK1224">
        <f>IF(tbl_HR_Data[[#This Row],[DistanceFromHome]]&gt;15,1,0)</f>
        <v>1</v>
      </c>
      <c r="AL1224">
        <f>IF(tbl_HR_Data[[#This Row],[JobSatisfaction]]&lt;=2,1,0)</f>
        <v>0</v>
      </c>
      <c r="AM1224">
        <f>IF(tbl_HR_Data[[#This Row],[MonthlyIncome]]&lt;$AT$2,1,0)</f>
        <v>1</v>
      </c>
      <c r="AN1224">
        <f>IF(tbl_HR_Data[[#This Row],[Travel_Code]]=2,1,0)</f>
        <v>0</v>
      </c>
      <c r="AO1224">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1224" s="15">
        <f>tbl_HR_Data[[#This Row],[Risk_Score_Raw]] / SUM(Logic_Parameters!$B$2:$B$6)</f>
        <v>0.33282973125692844</v>
      </c>
      <c r="AQ1224" s="16" t="str" cm="1">
        <f t="array" ref="AQ1224">_xlfn.IFS(tbl_HR_Data[[#This Row],[Attrition_Risk_Percentage]] &gt;= 0.75, "Critical",tbl_HR_Data[ [#This Row],[Attrition_Risk_Percentage] ]&gt;= 0.5, "High",tbl_HR_Data[[#This Row],[Attrition_Risk_Percentage]] &gt;= 0.25, "Medium",TRUE, "Low")</f>
        <v>Medium</v>
      </c>
      <c r="AR1224" s="16" cm="1">
        <f t="array" ref="AR1224">IFERROR(_xlfn.IFS(tbl_HR_Data[[#This Row],[Risk_Category]]="Critical",tbl_HR_Data[[#This Row],[MonthlyIncome]]*1.5,tbl_HR_Data[[#This Row],[Risk_Category]]="High",tbl_HR_Data[[#This Row],[MonthlyIncome]]*1.5),0)</f>
        <v>0</v>
      </c>
    </row>
    <row r="1225" spans="1:44" x14ac:dyDescent="0.35">
      <c r="A1225" t="s">
        <v>826</v>
      </c>
      <c r="B1225">
        <v>47</v>
      </c>
      <c r="C1225" t="s">
        <v>37</v>
      </c>
      <c r="D1225">
        <v>1093</v>
      </c>
      <c r="E1225" t="s">
        <v>32</v>
      </c>
      <c r="F1225">
        <v>9</v>
      </c>
      <c r="G1225">
        <v>3</v>
      </c>
      <c r="H1225" t="s">
        <v>33</v>
      </c>
      <c r="I1225">
        <v>3</v>
      </c>
      <c r="J1225" t="s">
        <v>39</v>
      </c>
      <c r="K1225">
        <v>82</v>
      </c>
      <c r="L1225">
        <v>1</v>
      </c>
      <c r="M1225">
        <v>4</v>
      </c>
      <c r="N1225" t="s">
        <v>35</v>
      </c>
      <c r="O1225">
        <v>3</v>
      </c>
      <c r="P1225" t="s">
        <v>41</v>
      </c>
      <c r="Q1225">
        <v>12936</v>
      </c>
      <c r="R1225">
        <v>24164</v>
      </c>
      <c r="S1225">
        <v>7</v>
      </c>
      <c r="T1225">
        <v>0</v>
      </c>
      <c r="U1225" s="17">
        <v>0.11</v>
      </c>
      <c r="V1225">
        <v>3</v>
      </c>
      <c r="W1225">
        <v>3</v>
      </c>
      <c r="X1225">
        <v>0</v>
      </c>
      <c r="Y1225">
        <v>25</v>
      </c>
      <c r="Z1225">
        <v>3</v>
      </c>
      <c r="AA1225">
        <v>1</v>
      </c>
      <c r="AB1225">
        <v>23</v>
      </c>
      <c r="AC1225">
        <v>5</v>
      </c>
      <c r="AD1225">
        <v>14</v>
      </c>
      <c r="AE1225">
        <v>10</v>
      </c>
      <c r="AF1225">
        <v>1</v>
      </c>
      <c r="AG1225">
        <f>IF(tbl_HR_Data[[#This Row],[Gender]]="Male",1,0)</f>
        <v>1</v>
      </c>
      <c r="AH1225" cm="1">
        <f t="array" ref="AH1225">_xlfn.SWITCH(tbl_HR_Data[[#This Row],[BusinessTravel]], "Non-Travel", 0, "Travel_Rarely", 1, "Travel_Frequently", 2)</f>
        <v>2</v>
      </c>
      <c r="AI1225" cm="1">
        <f t="array" ref="AI1225">_xlfn.SWITCH(tbl_HR_Data[[#This Row],[MaritalStatus]],"Single",0,"Married",1,"Divorced",2)</f>
        <v>1</v>
      </c>
      <c r="AJ1225">
        <f>IF(tbl_HR_Data[[#This Row],[OverTime]]=1,1,0)</f>
        <v>0</v>
      </c>
      <c r="AK1225">
        <f>IF(tbl_HR_Data[[#This Row],[DistanceFromHome]]&gt;15,1,0)</f>
        <v>0</v>
      </c>
      <c r="AL1225">
        <f>IF(tbl_HR_Data[[#This Row],[JobSatisfaction]]&lt;=2,1,0)</f>
        <v>0</v>
      </c>
      <c r="AM1225">
        <f>IF(tbl_HR_Data[[#This Row],[MonthlyIncome]]&lt;$AT$2,1,0)</f>
        <v>0</v>
      </c>
      <c r="AN1225">
        <f>IF(tbl_HR_Data[[#This Row],[Travel_Code]]=2,1,0)</f>
        <v>1</v>
      </c>
      <c r="AO1225">
        <f>(tbl_HR_Data[[#This Row],[Flag_OT]] * Logic_Parameters!$B$2) +
 (tbl_HR_Data[[#This Row],[Flag_Travel]] * Logic_Parameters!$B$3) +
 (tbl_HR_Data[[#This Row],[Flag_Satisfaction]] * Logic_Parameters!$B$4) +
 (tbl_HR_Data[[#This Row],[Flag_Distance]]* Logic_Parameters!$B$5) +
 (tbl_HR_Data[[#This Row],[Flag_Income]] * Logic_Parameters!$B$6)</f>
        <v>5.1603899804901765</v>
      </c>
      <c r="AP1225" s="15">
        <f>tbl_HR_Data[[#This Row],[Risk_Score_Raw]] / SUM(Logic_Parameters!$B$2:$B$6)</f>
        <v>0.17778840383009531</v>
      </c>
      <c r="AQ1225" s="16" t="str" cm="1">
        <f t="array" ref="AQ1225">_xlfn.IFS(tbl_HR_Data[[#This Row],[Attrition_Risk_Percentage]] &gt;= 0.75, "Critical",tbl_HR_Data[ [#This Row],[Attrition_Risk_Percentage] ]&gt;= 0.5, "High",tbl_HR_Data[[#This Row],[Attrition_Risk_Percentage]] &gt;= 0.25, "Medium",TRUE, "Low")</f>
        <v>Low</v>
      </c>
      <c r="AR1225" s="16" cm="1">
        <f t="array" ref="AR1225">IFERROR(_xlfn.IFS(tbl_HR_Data[[#This Row],[Risk_Category]]="Critical",tbl_HR_Data[[#This Row],[MonthlyIncome]]*1.5,tbl_HR_Data[[#This Row],[Risk_Category]]="High",tbl_HR_Data[[#This Row],[MonthlyIncome]]*1.5),0)</f>
        <v>0</v>
      </c>
    </row>
    <row r="1226" spans="1:44" x14ac:dyDescent="0.35">
      <c r="A1226" t="s">
        <v>81</v>
      </c>
      <c r="B1226">
        <v>26</v>
      </c>
      <c r="C1226" t="s">
        <v>31</v>
      </c>
      <c r="D1226">
        <v>390</v>
      </c>
      <c r="E1226" t="s">
        <v>38</v>
      </c>
      <c r="F1226">
        <v>17</v>
      </c>
      <c r="G1226">
        <v>4</v>
      </c>
      <c r="H1226" t="s">
        <v>44</v>
      </c>
      <c r="I1226">
        <v>4</v>
      </c>
      <c r="J1226" t="s">
        <v>39</v>
      </c>
      <c r="K1226">
        <v>62</v>
      </c>
      <c r="L1226">
        <v>1</v>
      </c>
      <c r="M1226">
        <v>1</v>
      </c>
      <c r="N1226" t="s">
        <v>43</v>
      </c>
      <c r="O1226">
        <v>3</v>
      </c>
      <c r="P1226" t="s">
        <v>41</v>
      </c>
      <c r="Q1226">
        <v>2305</v>
      </c>
      <c r="R1226">
        <v>6217</v>
      </c>
      <c r="S1226">
        <v>1</v>
      </c>
      <c r="T1226">
        <v>0</v>
      </c>
      <c r="U1226" s="17">
        <v>0.15</v>
      </c>
      <c r="V1226">
        <v>3</v>
      </c>
      <c r="W1226">
        <v>3</v>
      </c>
      <c r="X1226">
        <v>3</v>
      </c>
      <c r="Y1226">
        <v>3</v>
      </c>
      <c r="Z1226">
        <v>3</v>
      </c>
      <c r="AA1226">
        <v>4</v>
      </c>
      <c r="AB1226">
        <v>3</v>
      </c>
      <c r="AC1226">
        <v>2</v>
      </c>
      <c r="AD1226">
        <v>0</v>
      </c>
      <c r="AE1226">
        <v>2</v>
      </c>
      <c r="AF1226">
        <v>0</v>
      </c>
      <c r="AG1226">
        <f>IF(tbl_HR_Data[[#This Row],[Gender]]="Male",1,0)</f>
        <v>1</v>
      </c>
      <c r="AH1226" cm="1">
        <f t="array" ref="AH1226">_xlfn.SWITCH(tbl_HR_Data[[#This Row],[BusinessTravel]], "Non-Travel", 0, "Travel_Rarely", 1, "Travel_Frequently", 2)</f>
        <v>1</v>
      </c>
      <c r="AI1226" cm="1">
        <f t="array" ref="AI1226">_xlfn.SWITCH(tbl_HR_Data[[#This Row],[MaritalStatus]],"Single",0,"Married",1,"Divorced",2)</f>
        <v>1</v>
      </c>
      <c r="AJ1226">
        <f>IF(tbl_HR_Data[[#This Row],[OverTime]]=1,1,0)</f>
        <v>0</v>
      </c>
      <c r="AK1226">
        <f>IF(tbl_HR_Data[[#This Row],[DistanceFromHome]]&gt;15,1,0)</f>
        <v>1</v>
      </c>
      <c r="AL1226">
        <f>IF(tbl_HR_Data[[#This Row],[JobSatisfaction]]&lt;=2,1,0)</f>
        <v>0</v>
      </c>
      <c r="AM1226">
        <f>IF(tbl_HR_Data[[#This Row],[MonthlyIncome]]&lt;$AT$2,1,0)</f>
        <v>1</v>
      </c>
      <c r="AN1226">
        <f>IF(tbl_HR_Data[[#This Row],[Travel_Code]]=2,1,0)</f>
        <v>0</v>
      </c>
      <c r="AO1226">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1226" s="15">
        <f>tbl_HR_Data[[#This Row],[Risk_Score_Raw]] / SUM(Logic_Parameters!$B$2:$B$6)</f>
        <v>0.33282973125692844</v>
      </c>
      <c r="AQ1226" s="16" t="str" cm="1">
        <f t="array" ref="AQ1226">_xlfn.IFS(tbl_HR_Data[[#This Row],[Attrition_Risk_Percentage]] &gt;= 0.75, "Critical",tbl_HR_Data[ [#This Row],[Attrition_Risk_Percentage] ]&gt;= 0.5, "High",tbl_HR_Data[[#This Row],[Attrition_Risk_Percentage]] &gt;= 0.25, "Medium",TRUE, "Low")</f>
        <v>Medium</v>
      </c>
      <c r="AR1226" s="16" cm="1">
        <f t="array" ref="AR1226">IFERROR(_xlfn.IFS(tbl_HR_Data[[#This Row],[Risk_Category]]="Critical",tbl_HR_Data[[#This Row],[MonthlyIncome]]*1.5,tbl_HR_Data[[#This Row],[Risk_Category]]="High",tbl_HR_Data[[#This Row],[MonthlyIncome]]*1.5),0)</f>
        <v>0</v>
      </c>
    </row>
    <row r="1227" spans="1:44" x14ac:dyDescent="0.35">
      <c r="A1227" t="s">
        <v>67</v>
      </c>
      <c r="B1227">
        <v>45</v>
      </c>
      <c r="C1227" t="s">
        <v>31</v>
      </c>
      <c r="D1227">
        <v>1005</v>
      </c>
      <c r="E1227" t="s">
        <v>38</v>
      </c>
      <c r="F1227">
        <v>28</v>
      </c>
      <c r="G1227">
        <v>2</v>
      </c>
      <c r="H1227" t="s">
        <v>52</v>
      </c>
      <c r="I1227">
        <v>4</v>
      </c>
      <c r="J1227" t="s">
        <v>34</v>
      </c>
      <c r="K1227">
        <v>48</v>
      </c>
      <c r="L1227">
        <v>2</v>
      </c>
      <c r="M1227">
        <v>4</v>
      </c>
      <c r="N1227" t="s">
        <v>50</v>
      </c>
      <c r="O1227">
        <v>2</v>
      </c>
      <c r="P1227" t="s">
        <v>36</v>
      </c>
      <c r="Q1227">
        <v>16704</v>
      </c>
      <c r="R1227">
        <v>17119</v>
      </c>
      <c r="S1227">
        <v>1</v>
      </c>
      <c r="T1227">
        <v>0</v>
      </c>
      <c r="U1227" s="17">
        <v>0.11</v>
      </c>
      <c r="V1227">
        <v>3</v>
      </c>
      <c r="W1227">
        <v>3</v>
      </c>
      <c r="X1227">
        <v>0</v>
      </c>
      <c r="Y1227">
        <v>21</v>
      </c>
      <c r="Z1227">
        <v>2</v>
      </c>
      <c r="AA1227">
        <v>3</v>
      </c>
      <c r="AB1227">
        <v>21</v>
      </c>
      <c r="AC1227">
        <v>6</v>
      </c>
      <c r="AD1227">
        <v>8</v>
      </c>
      <c r="AE1227">
        <v>6</v>
      </c>
      <c r="AF1227">
        <v>0</v>
      </c>
      <c r="AG1227">
        <f>IF(tbl_HR_Data[[#This Row],[Gender]]="Male",1,0)</f>
        <v>0</v>
      </c>
      <c r="AH1227" cm="1">
        <f t="array" ref="AH1227">_xlfn.SWITCH(tbl_HR_Data[[#This Row],[BusinessTravel]], "Non-Travel", 0, "Travel_Rarely", 1, "Travel_Frequently", 2)</f>
        <v>1</v>
      </c>
      <c r="AI1227" cm="1">
        <f t="array" ref="AI1227">_xlfn.SWITCH(tbl_HR_Data[[#This Row],[MaritalStatus]],"Single",0,"Married",1,"Divorced",2)</f>
        <v>0</v>
      </c>
      <c r="AJ1227">
        <f>IF(tbl_HR_Data[[#This Row],[OverTime]]=1,1,0)</f>
        <v>0</v>
      </c>
      <c r="AK1227">
        <f>IF(tbl_HR_Data[[#This Row],[DistanceFromHome]]&gt;15,1,0)</f>
        <v>1</v>
      </c>
      <c r="AL1227">
        <f>IF(tbl_HR_Data[[#This Row],[JobSatisfaction]]&lt;=2,1,0)</f>
        <v>1</v>
      </c>
      <c r="AM1227">
        <f>IF(tbl_HR_Data[[#This Row],[MonthlyIncome]]&lt;$AT$2,1,0)</f>
        <v>0</v>
      </c>
      <c r="AN1227">
        <f>IF(tbl_HR_Data[[#This Row],[Travel_Code]]=2,1,0)</f>
        <v>0</v>
      </c>
      <c r="AO1227">
        <f>(tbl_HR_Data[[#This Row],[Flag_OT]] * Logic_Parameters!$B$2) +
 (tbl_HR_Data[[#This Row],[Flag_Travel]] * Logic_Parameters!$B$3) +
 (tbl_HR_Data[[#This Row],[Flag_Satisfaction]] * Logic_Parameters!$B$4) +
 (tbl_HR_Data[[#This Row],[Flag_Distance]]* Logic_Parameters!$B$5) +
 (tbl_HR_Data[[#This Row],[Flag_Income]] * Logic_Parameters!$B$6)</f>
        <v>7.3706398258535089</v>
      </c>
      <c r="AP1227" s="15">
        <f>tbl_HR_Data[[#This Row],[Risk_Score_Raw]] / SUM(Logic_Parameters!$B$2:$B$6)</f>
        <v>0.25393706576427255</v>
      </c>
      <c r="AQ1227" s="16" t="str" cm="1">
        <f t="array" ref="AQ1227">_xlfn.IFS(tbl_HR_Data[[#This Row],[Attrition_Risk_Percentage]] &gt;= 0.75, "Critical",tbl_HR_Data[ [#This Row],[Attrition_Risk_Percentage] ]&gt;= 0.5, "High",tbl_HR_Data[[#This Row],[Attrition_Risk_Percentage]] &gt;= 0.25, "Medium",TRUE, "Low")</f>
        <v>Medium</v>
      </c>
      <c r="AR1227" s="16" cm="1">
        <f t="array" ref="AR1227">IFERROR(_xlfn.IFS(tbl_HR_Data[[#This Row],[Risk_Category]]="Critical",tbl_HR_Data[[#This Row],[MonthlyIncome]]*1.5,tbl_HR_Data[[#This Row],[Risk_Category]]="High",tbl_HR_Data[[#This Row],[MonthlyIncome]]*1.5),0)</f>
        <v>0</v>
      </c>
    </row>
    <row r="1228" spans="1:44" x14ac:dyDescent="0.35">
      <c r="A1228" t="s">
        <v>1431</v>
      </c>
      <c r="B1228">
        <v>32</v>
      </c>
      <c r="C1228" t="s">
        <v>37</v>
      </c>
      <c r="D1228">
        <v>585</v>
      </c>
      <c r="E1228" t="s">
        <v>38</v>
      </c>
      <c r="F1228">
        <v>10</v>
      </c>
      <c r="G1228">
        <v>3</v>
      </c>
      <c r="H1228" t="s">
        <v>33</v>
      </c>
      <c r="I1228">
        <v>1</v>
      </c>
      <c r="J1228" t="s">
        <v>39</v>
      </c>
      <c r="K1228">
        <v>56</v>
      </c>
      <c r="L1228">
        <v>3</v>
      </c>
      <c r="M1228">
        <v>1</v>
      </c>
      <c r="N1228" t="s">
        <v>40</v>
      </c>
      <c r="O1228">
        <v>3</v>
      </c>
      <c r="P1228" t="s">
        <v>41</v>
      </c>
      <c r="Q1228">
        <v>3433</v>
      </c>
      <c r="R1228">
        <v>17360</v>
      </c>
      <c r="S1228">
        <v>6</v>
      </c>
      <c r="T1228">
        <v>0</v>
      </c>
      <c r="U1228" s="17">
        <v>0.13</v>
      </c>
      <c r="V1228">
        <v>3</v>
      </c>
      <c r="W1228">
        <v>1</v>
      </c>
      <c r="X1228">
        <v>1</v>
      </c>
      <c r="Y1228">
        <v>10</v>
      </c>
      <c r="Z1228">
        <v>3</v>
      </c>
      <c r="AA1228">
        <v>2</v>
      </c>
      <c r="AB1228">
        <v>5</v>
      </c>
      <c r="AC1228">
        <v>2</v>
      </c>
      <c r="AD1228">
        <v>1</v>
      </c>
      <c r="AE1228">
        <v>3</v>
      </c>
      <c r="AF1228">
        <v>0</v>
      </c>
      <c r="AG1228">
        <f>IF(tbl_HR_Data[[#This Row],[Gender]]="Male",1,0)</f>
        <v>1</v>
      </c>
      <c r="AH1228" cm="1">
        <f t="array" ref="AH1228">_xlfn.SWITCH(tbl_HR_Data[[#This Row],[BusinessTravel]], "Non-Travel", 0, "Travel_Rarely", 1, "Travel_Frequently", 2)</f>
        <v>2</v>
      </c>
      <c r="AI1228" cm="1">
        <f t="array" ref="AI1228">_xlfn.SWITCH(tbl_HR_Data[[#This Row],[MaritalStatus]],"Single",0,"Married",1,"Divorced",2)</f>
        <v>1</v>
      </c>
      <c r="AJ1228">
        <f>IF(tbl_HR_Data[[#This Row],[OverTime]]=1,1,0)</f>
        <v>0</v>
      </c>
      <c r="AK1228">
        <f>IF(tbl_HR_Data[[#This Row],[DistanceFromHome]]&gt;15,1,0)</f>
        <v>0</v>
      </c>
      <c r="AL1228">
        <f>IF(tbl_HR_Data[[#This Row],[JobSatisfaction]]&lt;=2,1,0)</f>
        <v>0</v>
      </c>
      <c r="AM1228">
        <f>IF(tbl_HR_Data[[#This Row],[MonthlyIncome]]&lt;$AT$2,1,0)</f>
        <v>1</v>
      </c>
      <c r="AN1228">
        <f>IF(tbl_HR_Data[[#This Row],[Travel_Code]]=2,1,0)</f>
        <v>1</v>
      </c>
      <c r="AO1228">
        <f>(tbl_HR_Data[[#This Row],[Flag_OT]] * Logic_Parameters!$B$2) +
 (tbl_HR_Data[[#This Row],[Flag_Travel]] * Logic_Parameters!$B$3) +
 (tbl_HR_Data[[#This Row],[Flag_Satisfaction]] * Logic_Parameters!$B$4) +
 (tbl_HR_Data[[#This Row],[Flag_Distance]]* Logic_Parameters!$B$5) +
 (tbl_HR_Data[[#This Row],[Flag_Income]] * Logic_Parameters!$B$6)</f>
        <v>11.654818917911005</v>
      </c>
      <c r="AP1228" s="15">
        <f>tbl_HR_Data[[#This Row],[Risk_Score_Raw]] / SUM(Logic_Parameters!$B$2:$B$6)</f>
        <v>0.40153780240992015</v>
      </c>
      <c r="AQ1228" s="16" t="str" cm="1">
        <f t="array" ref="AQ1228">_xlfn.IFS(tbl_HR_Data[[#This Row],[Attrition_Risk_Percentage]] &gt;= 0.75, "Critical",tbl_HR_Data[ [#This Row],[Attrition_Risk_Percentage] ]&gt;= 0.5, "High",tbl_HR_Data[[#This Row],[Attrition_Risk_Percentage]] &gt;= 0.25, "Medium",TRUE, "Low")</f>
        <v>Medium</v>
      </c>
      <c r="AR1228" s="16" cm="1">
        <f t="array" ref="AR1228">IFERROR(_xlfn.IFS(tbl_HR_Data[[#This Row],[Risk_Category]]="Critical",tbl_HR_Data[[#This Row],[MonthlyIncome]]*1.5,tbl_HR_Data[[#This Row],[Risk_Category]]="High",tbl_HR_Data[[#This Row],[MonthlyIncome]]*1.5),0)</f>
        <v>0</v>
      </c>
    </row>
    <row r="1229" spans="1:44" x14ac:dyDescent="0.35">
      <c r="A1229" t="s">
        <v>998</v>
      </c>
      <c r="B1229">
        <v>31</v>
      </c>
      <c r="C1229" t="s">
        <v>31</v>
      </c>
      <c r="D1229">
        <v>741</v>
      </c>
      <c r="E1229" t="s">
        <v>38</v>
      </c>
      <c r="F1229">
        <v>2</v>
      </c>
      <c r="G1229">
        <v>4</v>
      </c>
      <c r="H1229" t="s">
        <v>33</v>
      </c>
      <c r="I1229">
        <v>2</v>
      </c>
      <c r="J1229" t="s">
        <v>39</v>
      </c>
      <c r="K1229">
        <v>69</v>
      </c>
      <c r="L1229">
        <v>3</v>
      </c>
      <c r="M1229">
        <v>1</v>
      </c>
      <c r="N1229" t="s">
        <v>43</v>
      </c>
      <c r="O1229">
        <v>3</v>
      </c>
      <c r="P1229" t="s">
        <v>41</v>
      </c>
      <c r="Q1229">
        <v>3477</v>
      </c>
      <c r="R1229">
        <v>18103</v>
      </c>
      <c r="S1229">
        <v>1</v>
      </c>
      <c r="T1229">
        <v>0</v>
      </c>
      <c r="U1229" s="17">
        <v>0.14000000000000001</v>
      </c>
      <c r="V1229">
        <v>3</v>
      </c>
      <c r="W1229">
        <v>4</v>
      </c>
      <c r="X1229">
        <v>1</v>
      </c>
      <c r="Y1229">
        <v>6</v>
      </c>
      <c r="Z1229">
        <v>2</v>
      </c>
      <c r="AA1229">
        <v>4</v>
      </c>
      <c r="AB1229">
        <v>5</v>
      </c>
      <c r="AC1229">
        <v>2</v>
      </c>
      <c r="AD1229">
        <v>0</v>
      </c>
      <c r="AE1229">
        <v>3</v>
      </c>
      <c r="AF1229">
        <v>0</v>
      </c>
      <c r="AG1229">
        <f>IF(tbl_HR_Data[[#This Row],[Gender]]="Male",1,0)</f>
        <v>1</v>
      </c>
      <c r="AH1229" cm="1">
        <f t="array" ref="AH1229">_xlfn.SWITCH(tbl_HR_Data[[#This Row],[BusinessTravel]], "Non-Travel", 0, "Travel_Rarely", 1, "Travel_Frequently", 2)</f>
        <v>1</v>
      </c>
      <c r="AI1229" cm="1">
        <f t="array" ref="AI1229">_xlfn.SWITCH(tbl_HR_Data[[#This Row],[MaritalStatus]],"Single",0,"Married",1,"Divorced",2)</f>
        <v>1</v>
      </c>
      <c r="AJ1229">
        <f>IF(tbl_HR_Data[[#This Row],[OverTime]]=1,1,0)</f>
        <v>0</v>
      </c>
      <c r="AK1229">
        <f>IF(tbl_HR_Data[[#This Row],[DistanceFromHome]]&gt;15,1,0)</f>
        <v>0</v>
      </c>
      <c r="AL1229">
        <f>IF(tbl_HR_Data[[#This Row],[JobSatisfaction]]&lt;=2,1,0)</f>
        <v>0</v>
      </c>
      <c r="AM1229">
        <f>IF(tbl_HR_Data[[#This Row],[MonthlyIncome]]&lt;$AT$2,1,0)</f>
        <v>1</v>
      </c>
      <c r="AN1229">
        <f>IF(tbl_HR_Data[[#This Row],[Travel_Code]]=2,1,0)</f>
        <v>0</v>
      </c>
      <c r="AO1229">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229" s="15">
        <f>tbl_HR_Data[[#This Row],[Risk_Score_Raw]] / SUM(Logic_Parameters!$B$2:$B$6)</f>
        <v>0.22374939857982484</v>
      </c>
      <c r="AQ1229" s="16" t="str" cm="1">
        <f t="array" ref="AQ1229">_xlfn.IFS(tbl_HR_Data[[#This Row],[Attrition_Risk_Percentage]] &gt;= 0.75, "Critical",tbl_HR_Data[ [#This Row],[Attrition_Risk_Percentage] ]&gt;= 0.5, "High",tbl_HR_Data[[#This Row],[Attrition_Risk_Percentage]] &gt;= 0.25, "Medium",TRUE, "Low")</f>
        <v>Low</v>
      </c>
      <c r="AR1229" s="16" cm="1">
        <f t="array" ref="AR1229">IFERROR(_xlfn.IFS(tbl_HR_Data[[#This Row],[Risk_Category]]="Critical",tbl_HR_Data[[#This Row],[MonthlyIncome]]*1.5,tbl_HR_Data[[#This Row],[Risk_Category]]="High",tbl_HR_Data[[#This Row],[MonthlyIncome]]*1.5),0)</f>
        <v>0</v>
      </c>
    </row>
    <row r="1230" spans="1:44" x14ac:dyDescent="0.35">
      <c r="A1230" t="s">
        <v>469</v>
      </c>
      <c r="B1230">
        <v>41</v>
      </c>
      <c r="C1230" t="s">
        <v>1525</v>
      </c>
      <c r="D1230">
        <v>552</v>
      </c>
      <c r="E1230" t="s">
        <v>53</v>
      </c>
      <c r="F1230">
        <v>4</v>
      </c>
      <c r="G1230">
        <v>3</v>
      </c>
      <c r="H1230" t="s">
        <v>53</v>
      </c>
      <c r="I1230">
        <v>3</v>
      </c>
      <c r="J1230" t="s">
        <v>39</v>
      </c>
      <c r="K1230">
        <v>60</v>
      </c>
      <c r="L1230">
        <v>1</v>
      </c>
      <c r="M1230">
        <v>2</v>
      </c>
      <c r="N1230" t="s">
        <v>53</v>
      </c>
      <c r="O1230">
        <v>2</v>
      </c>
      <c r="P1230" t="s">
        <v>41</v>
      </c>
      <c r="Q1230">
        <v>6430</v>
      </c>
      <c r="R1230">
        <v>20794</v>
      </c>
      <c r="S1230">
        <v>6</v>
      </c>
      <c r="T1230">
        <v>0</v>
      </c>
      <c r="U1230" s="17">
        <v>0.19</v>
      </c>
      <c r="V1230">
        <v>3</v>
      </c>
      <c r="W1230">
        <v>2</v>
      </c>
      <c r="X1230">
        <v>1</v>
      </c>
      <c r="Y1230">
        <v>10</v>
      </c>
      <c r="Z1230">
        <v>4</v>
      </c>
      <c r="AA1230">
        <v>3</v>
      </c>
      <c r="AB1230">
        <v>3</v>
      </c>
      <c r="AC1230">
        <v>2</v>
      </c>
      <c r="AD1230">
        <v>1</v>
      </c>
      <c r="AE1230">
        <v>2</v>
      </c>
      <c r="AF1230">
        <v>0</v>
      </c>
      <c r="AG1230">
        <f>IF(tbl_HR_Data[[#This Row],[Gender]]="Male",1,0)</f>
        <v>1</v>
      </c>
      <c r="AH1230" cm="1">
        <f t="array" ref="AH1230">_xlfn.SWITCH(tbl_HR_Data[[#This Row],[BusinessTravel]], "Non-Travel", 0, "Travel_Rarely", 1, "Travel_Frequently", 2)</f>
        <v>0</v>
      </c>
      <c r="AI1230" cm="1">
        <f t="array" ref="AI1230">_xlfn.SWITCH(tbl_HR_Data[[#This Row],[MaritalStatus]],"Single",0,"Married",1,"Divorced",2)</f>
        <v>1</v>
      </c>
      <c r="AJ1230">
        <f>IF(tbl_HR_Data[[#This Row],[OverTime]]=1,1,0)</f>
        <v>0</v>
      </c>
      <c r="AK1230">
        <f>IF(tbl_HR_Data[[#This Row],[DistanceFromHome]]&gt;15,1,0)</f>
        <v>0</v>
      </c>
      <c r="AL1230">
        <f>IF(tbl_HR_Data[[#This Row],[JobSatisfaction]]&lt;=2,1,0)</f>
        <v>1</v>
      </c>
      <c r="AM1230">
        <f>IF(tbl_HR_Data[[#This Row],[MonthlyIncome]]&lt;$AT$2,1,0)</f>
        <v>0</v>
      </c>
      <c r="AN1230">
        <f>IF(tbl_HR_Data[[#This Row],[Travel_Code]]=2,1,0)</f>
        <v>0</v>
      </c>
      <c r="AO1230">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230" s="15">
        <f>tbl_HR_Data[[#This Row],[Risk_Score_Raw]] / SUM(Logic_Parameters!$B$2:$B$6)</f>
        <v>0.14485673308716898</v>
      </c>
      <c r="AQ1230" s="16" t="str" cm="1">
        <f t="array" ref="AQ1230">_xlfn.IFS(tbl_HR_Data[[#This Row],[Attrition_Risk_Percentage]] &gt;= 0.75, "Critical",tbl_HR_Data[ [#This Row],[Attrition_Risk_Percentage] ]&gt;= 0.5, "High",tbl_HR_Data[[#This Row],[Attrition_Risk_Percentage]] &gt;= 0.25, "Medium",TRUE, "Low")</f>
        <v>Low</v>
      </c>
      <c r="AR1230" s="16" cm="1">
        <f t="array" ref="AR1230">IFERROR(_xlfn.IFS(tbl_HR_Data[[#This Row],[Risk_Category]]="Critical",tbl_HR_Data[[#This Row],[MonthlyIncome]]*1.5,tbl_HR_Data[[#This Row],[Risk_Category]]="High",tbl_HR_Data[[#This Row],[MonthlyIncome]]*1.5),0)</f>
        <v>0</v>
      </c>
    </row>
    <row r="1231" spans="1:44" x14ac:dyDescent="0.35">
      <c r="A1231" t="s">
        <v>172</v>
      </c>
      <c r="B1231">
        <v>40</v>
      </c>
      <c r="C1231" t="s">
        <v>31</v>
      </c>
      <c r="D1231">
        <v>369</v>
      </c>
      <c r="E1231" t="s">
        <v>38</v>
      </c>
      <c r="F1231">
        <v>8</v>
      </c>
      <c r="G1231">
        <v>2</v>
      </c>
      <c r="H1231" t="s">
        <v>33</v>
      </c>
      <c r="I1231">
        <v>2</v>
      </c>
      <c r="J1231" t="s">
        <v>34</v>
      </c>
      <c r="K1231">
        <v>92</v>
      </c>
      <c r="L1231">
        <v>3</v>
      </c>
      <c r="M1231">
        <v>2</v>
      </c>
      <c r="N1231" t="s">
        <v>46</v>
      </c>
      <c r="O1231">
        <v>1</v>
      </c>
      <c r="P1231" t="s">
        <v>41</v>
      </c>
      <c r="Q1231">
        <v>6516</v>
      </c>
      <c r="R1231">
        <v>5041</v>
      </c>
      <c r="S1231">
        <v>2</v>
      </c>
      <c r="T1231">
        <v>1</v>
      </c>
      <c r="U1231" s="17">
        <v>0.16</v>
      </c>
      <c r="V1231">
        <v>3</v>
      </c>
      <c r="W1231">
        <v>2</v>
      </c>
      <c r="X1231">
        <v>1</v>
      </c>
      <c r="Y1231">
        <v>18</v>
      </c>
      <c r="Z1231">
        <v>3</v>
      </c>
      <c r="AA1231">
        <v>3</v>
      </c>
      <c r="AB1231">
        <v>1</v>
      </c>
      <c r="AC1231">
        <v>0</v>
      </c>
      <c r="AD1231">
        <v>0</v>
      </c>
      <c r="AE1231">
        <v>0</v>
      </c>
      <c r="AF1231">
        <v>0</v>
      </c>
      <c r="AG1231">
        <f>IF(tbl_HR_Data[[#This Row],[Gender]]="Male",1,0)</f>
        <v>0</v>
      </c>
      <c r="AH1231" cm="1">
        <f t="array" ref="AH1231">_xlfn.SWITCH(tbl_HR_Data[[#This Row],[BusinessTravel]], "Non-Travel", 0, "Travel_Rarely", 1, "Travel_Frequently", 2)</f>
        <v>1</v>
      </c>
      <c r="AI1231" cm="1">
        <f t="array" ref="AI1231">_xlfn.SWITCH(tbl_HR_Data[[#This Row],[MaritalStatus]],"Single",0,"Married",1,"Divorced",2)</f>
        <v>1</v>
      </c>
      <c r="AJ1231">
        <f>IF(tbl_HR_Data[[#This Row],[OverTime]]=1,1,0)</f>
        <v>1</v>
      </c>
      <c r="AK1231">
        <f>IF(tbl_HR_Data[[#This Row],[DistanceFromHome]]&gt;15,1,0)</f>
        <v>0</v>
      </c>
      <c r="AL1231">
        <f>IF(tbl_HR_Data[[#This Row],[JobSatisfaction]]&lt;=2,1,0)</f>
        <v>1</v>
      </c>
      <c r="AM1231">
        <f>IF(tbl_HR_Data[[#This Row],[MonthlyIncome]]&lt;$AT$2,1,0)</f>
        <v>0</v>
      </c>
      <c r="AN1231">
        <f>IF(tbl_HR_Data[[#This Row],[Travel_Code]]=2,1,0)</f>
        <v>0</v>
      </c>
      <c r="AO1231">
        <f>(tbl_HR_Data[[#This Row],[Flag_OT]] * Logic_Parameters!$B$2) +
 (tbl_HR_Data[[#This Row],[Flag_Travel]] * Logic_Parameters!$B$3) +
 (tbl_HR_Data[[#This Row],[Flag_Satisfaction]] * Logic_Parameters!$B$4) +
 (tbl_HR_Data[[#This Row],[Flag_Distance]]* Logic_Parameters!$B$5) +
 (tbl_HR_Data[[#This Row],[Flag_Income]] * Logic_Parameters!$B$6)</f>
        <v>14.204533129978131</v>
      </c>
      <c r="AP1231" s="15">
        <f>tbl_HR_Data[[#This Row],[Risk_Score_Raw]] / SUM(Logic_Parameters!$B$2:$B$6)</f>
        <v>0.48938186491297625</v>
      </c>
      <c r="AQ1231" s="16" t="str" cm="1">
        <f t="array" ref="AQ1231">_xlfn.IFS(tbl_HR_Data[[#This Row],[Attrition_Risk_Percentage]] &gt;= 0.75, "Critical",tbl_HR_Data[ [#This Row],[Attrition_Risk_Percentage] ]&gt;= 0.5, "High",tbl_HR_Data[[#This Row],[Attrition_Risk_Percentage]] &gt;= 0.25, "Medium",TRUE, "Low")</f>
        <v>Medium</v>
      </c>
      <c r="AR1231" s="16" cm="1">
        <f t="array" ref="AR1231">IFERROR(_xlfn.IFS(tbl_HR_Data[[#This Row],[Risk_Category]]="Critical",tbl_HR_Data[[#This Row],[MonthlyIncome]]*1.5,tbl_HR_Data[[#This Row],[Risk_Category]]="High",tbl_HR_Data[[#This Row],[MonthlyIncome]]*1.5),0)</f>
        <v>0</v>
      </c>
    </row>
    <row r="1232" spans="1:44" x14ac:dyDescent="0.35">
      <c r="A1232" t="s">
        <v>799</v>
      </c>
      <c r="B1232">
        <v>24</v>
      </c>
      <c r="C1232" t="s">
        <v>31</v>
      </c>
      <c r="D1232">
        <v>506</v>
      </c>
      <c r="E1232" t="s">
        <v>38</v>
      </c>
      <c r="F1232">
        <v>29</v>
      </c>
      <c r="G1232">
        <v>1</v>
      </c>
      <c r="H1232" t="s">
        <v>44</v>
      </c>
      <c r="I1232">
        <v>2</v>
      </c>
      <c r="J1232" t="s">
        <v>39</v>
      </c>
      <c r="K1232">
        <v>91</v>
      </c>
      <c r="L1232">
        <v>3</v>
      </c>
      <c r="M1232">
        <v>1</v>
      </c>
      <c r="N1232" t="s">
        <v>43</v>
      </c>
      <c r="O1232">
        <v>1</v>
      </c>
      <c r="P1232" t="s">
        <v>45</v>
      </c>
      <c r="Q1232">
        <v>3907</v>
      </c>
      <c r="R1232">
        <v>3622</v>
      </c>
      <c r="S1232">
        <v>1</v>
      </c>
      <c r="T1232">
        <v>0</v>
      </c>
      <c r="U1232" s="17">
        <v>0.13</v>
      </c>
      <c r="V1232">
        <v>3</v>
      </c>
      <c r="W1232">
        <v>2</v>
      </c>
      <c r="X1232">
        <v>3</v>
      </c>
      <c r="Y1232">
        <v>6</v>
      </c>
      <c r="Z1232">
        <v>2</v>
      </c>
      <c r="AA1232">
        <v>4</v>
      </c>
      <c r="AB1232">
        <v>6</v>
      </c>
      <c r="AC1232">
        <v>2</v>
      </c>
      <c r="AD1232">
        <v>1</v>
      </c>
      <c r="AE1232">
        <v>2</v>
      </c>
      <c r="AF1232">
        <v>0</v>
      </c>
      <c r="AG1232">
        <f>IF(tbl_HR_Data[[#This Row],[Gender]]="Male",1,0)</f>
        <v>1</v>
      </c>
      <c r="AH1232" cm="1">
        <f t="array" ref="AH1232">_xlfn.SWITCH(tbl_HR_Data[[#This Row],[BusinessTravel]], "Non-Travel", 0, "Travel_Rarely", 1, "Travel_Frequently", 2)</f>
        <v>1</v>
      </c>
      <c r="AI1232" cm="1">
        <f t="array" ref="AI1232">_xlfn.SWITCH(tbl_HR_Data[[#This Row],[MaritalStatus]],"Single",0,"Married",1,"Divorced",2)</f>
        <v>2</v>
      </c>
      <c r="AJ1232">
        <f>IF(tbl_HR_Data[[#This Row],[OverTime]]=1,1,0)</f>
        <v>0</v>
      </c>
      <c r="AK1232">
        <f>IF(tbl_HR_Data[[#This Row],[DistanceFromHome]]&gt;15,1,0)</f>
        <v>1</v>
      </c>
      <c r="AL1232">
        <f>IF(tbl_HR_Data[[#This Row],[JobSatisfaction]]&lt;=2,1,0)</f>
        <v>1</v>
      </c>
      <c r="AM1232">
        <f>IF(tbl_HR_Data[[#This Row],[MonthlyIncome]]&lt;$AT$2,1,0)</f>
        <v>1</v>
      </c>
      <c r="AN1232">
        <f>IF(tbl_HR_Data[[#This Row],[Travel_Code]]=2,1,0)</f>
        <v>0</v>
      </c>
      <c r="AO1232">
        <f>(tbl_HR_Data[[#This Row],[Flag_OT]] * Logic_Parameters!$B$2) +
 (tbl_HR_Data[[#This Row],[Flag_Travel]] * Logic_Parameters!$B$3) +
 (tbl_HR_Data[[#This Row],[Flag_Satisfaction]] * Logic_Parameters!$B$4) +
 (tbl_HR_Data[[#This Row],[Flag_Distance]]* Logic_Parameters!$B$5) +
 (tbl_HR_Data[[#This Row],[Flag_Income]] * Logic_Parameters!$B$6)</f>
        <v>13.865068763274337</v>
      </c>
      <c r="AP1232" s="15">
        <f>tbl_HR_Data[[#This Row],[Risk_Score_Raw]] / SUM(Logic_Parameters!$B$2:$B$6)</f>
        <v>0.47768646434409739</v>
      </c>
      <c r="AQ1232" s="16" t="str" cm="1">
        <f t="array" ref="AQ1232">_xlfn.IFS(tbl_HR_Data[[#This Row],[Attrition_Risk_Percentage]] &gt;= 0.75, "Critical",tbl_HR_Data[ [#This Row],[Attrition_Risk_Percentage] ]&gt;= 0.5, "High",tbl_HR_Data[[#This Row],[Attrition_Risk_Percentage]] &gt;= 0.25, "Medium",TRUE, "Low")</f>
        <v>Medium</v>
      </c>
      <c r="AR1232" s="16" cm="1">
        <f t="array" ref="AR1232">IFERROR(_xlfn.IFS(tbl_HR_Data[[#This Row],[Risk_Category]]="Critical",tbl_HR_Data[[#This Row],[MonthlyIncome]]*1.5,tbl_HR_Data[[#This Row],[Risk_Category]]="High",tbl_HR_Data[[#This Row],[MonthlyIncome]]*1.5),0)</f>
        <v>0</v>
      </c>
    </row>
    <row r="1233" spans="1:44" x14ac:dyDescent="0.35">
      <c r="A1233" t="s">
        <v>1046</v>
      </c>
      <c r="B1233">
        <v>46</v>
      </c>
      <c r="C1233" t="s">
        <v>31</v>
      </c>
      <c r="D1233">
        <v>717</v>
      </c>
      <c r="E1233" t="s">
        <v>38</v>
      </c>
      <c r="F1233">
        <v>13</v>
      </c>
      <c r="G1233">
        <v>4</v>
      </c>
      <c r="H1233" t="s">
        <v>33</v>
      </c>
      <c r="I1233">
        <v>3</v>
      </c>
      <c r="J1233" t="s">
        <v>39</v>
      </c>
      <c r="K1233">
        <v>34</v>
      </c>
      <c r="L1233">
        <v>3</v>
      </c>
      <c r="M1233">
        <v>2</v>
      </c>
      <c r="N1233" t="s">
        <v>47</v>
      </c>
      <c r="O1233">
        <v>2</v>
      </c>
      <c r="P1233" t="s">
        <v>36</v>
      </c>
      <c r="Q1233">
        <v>5562</v>
      </c>
      <c r="R1233">
        <v>9697</v>
      </c>
      <c r="S1233">
        <v>6</v>
      </c>
      <c r="T1233">
        <v>0</v>
      </c>
      <c r="U1233" s="17">
        <v>0.14000000000000001</v>
      </c>
      <c r="V1233">
        <v>3</v>
      </c>
      <c r="W1233">
        <v>4</v>
      </c>
      <c r="X1233">
        <v>0</v>
      </c>
      <c r="Y1233">
        <v>19</v>
      </c>
      <c r="Z1233">
        <v>3</v>
      </c>
      <c r="AA1233">
        <v>3</v>
      </c>
      <c r="AB1233">
        <v>10</v>
      </c>
      <c r="AC1233">
        <v>7</v>
      </c>
      <c r="AD1233">
        <v>0</v>
      </c>
      <c r="AE1233">
        <v>9</v>
      </c>
      <c r="AF1233">
        <v>0</v>
      </c>
      <c r="AG1233">
        <f>IF(tbl_HR_Data[[#This Row],[Gender]]="Male",1,0)</f>
        <v>1</v>
      </c>
      <c r="AH1233" cm="1">
        <f t="array" ref="AH1233">_xlfn.SWITCH(tbl_HR_Data[[#This Row],[BusinessTravel]], "Non-Travel", 0, "Travel_Rarely", 1, "Travel_Frequently", 2)</f>
        <v>1</v>
      </c>
      <c r="AI1233" cm="1">
        <f t="array" ref="AI1233">_xlfn.SWITCH(tbl_HR_Data[[#This Row],[MaritalStatus]],"Single",0,"Married",1,"Divorced",2)</f>
        <v>0</v>
      </c>
      <c r="AJ1233">
        <f>IF(tbl_HR_Data[[#This Row],[OverTime]]=1,1,0)</f>
        <v>0</v>
      </c>
      <c r="AK1233">
        <f>IF(tbl_HR_Data[[#This Row],[DistanceFromHome]]&gt;15,1,0)</f>
        <v>0</v>
      </c>
      <c r="AL1233">
        <f>IF(tbl_HR_Data[[#This Row],[JobSatisfaction]]&lt;=2,1,0)</f>
        <v>1</v>
      </c>
      <c r="AM1233">
        <f>IF(tbl_HR_Data[[#This Row],[MonthlyIncome]]&lt;$AT$2,1,0)</f>
        <v>0</v>
      </c>
      <c r="AN1233">
        <f>IF(tbl_HR_Data[[#This Row],[Travel_Code]]=2,1,0)</f>
        <v>0</v>
      </c>
      <c r="AO1233">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233" s="15">
        <f>tbl_HR_Data[[#This Row],[Risk_Score_Raw]] / SUM(Logic_Parameters!$B$2:$B$6)</f>
        <v>0.14485673308716898</v>
      </c>
      <c r="AQ1233" s="16" t="str" cm="1">
        <f t="array" ref="AQ1233">_xlfn.IFS(tbl_HR_Data[[#This Row],[Attrition_Risk_Percentage]] &gt;= 0.75, "Critical",tbl_HR_Data[ [#This Row],[Attrition_Risk_Percentage] ]&gt;= 0.5, "High",tbl_HR_Data[[#This Row],[Attrition_Risk_Percentage]] &gt;= 0.25, "Medium",TRUE, "Low")</f>
        <v>Low</v>
      </c>
      <c r="AR1233" s="16" cm="1">
        <f t="array" ref="AR1233">IFERROR(_xlfn.IFS(tbl_HR_Data[[#This Row],[Risk_Category]]="Critical",tbl_HR_Data[[#This Row],[MonthlyIncome]]*1.5,tbl_HR_Data[[#This Row],[Risk_Category]]="High",tbl_HR_Data[[#This Row],[MonthlyIncome]]*1.5),0)</f>
        <v>0</v>
      </c>
    </row>
    <row r="1234" spans="1:44" x14ac:dyDescent="0.35">
      <c r="A1234" t="s">
        <v>1209</v>
      </c>
      <c r="B1234">
        <v>35</v>
      </c>
      <c r="C1234" t="s">
        <v>31</v>
      </c>
      <c r="D1234">
        <v>1370</v>
      </c>
      <c r="E1234" t="s">
        <v>38</v>
      </c>
      <c r="F1234">
        <v>27</v>
      </c>
      <c r="G1234">
        <v>4</v>
      </c>
      <c r="H1234" t="s">
        <v>33</v>
      </c>
      <c r="I1234">
        <v>4</v>
      </c>
      <c r="J1234" t="s">
        <v>39</v>
      </c>
      <c r="K1234">
        <v>49</v>
      </c>
      <c r="L1234">
        <v>3</v>
      </c>
      <c r="M1234">
        <v>2</v>
      </c>
      <c r="N1234" t="s">
        <v>46</v>
      </c>
      <c r="O1234">
        <v>3</v>
      </c>
      <c r="P1234" t="s">
        <v>41</v>
      </c>
      <c r="Q1234">
        <v>6883</v>
      </c>
      <c r="R1234">
        <v>5151</v>
      </c>
      <c r="S1234">
        <v>2</v>
      </c>
      <c r="T1234">
        <v>0</v>
      </c>
      <c r="U1234" s="17">
        <v>0.16</v>
      </c>
      <c r="V1234">
        <v>3</v>
      </c>
      <c r="W1234">
        <v>2</v>
      </c>
      <c r="X1234">
        <v>1</v>
      </c>
      <c r="Y1234">
        <v>17</v>
      </c>
      <c r="Z1234">
        <v>3</v>
      </c>
      <c r="AA1234">
        <v>3</v>
      </c>
      <c r="AB1234">
        <v>7</v>
      </c>
      <c r="AC1234">
        <v>7</v>
      </c>
      <c r="AD1234">
        <v>0</v>
      </c>
      <c r="AE1234">
        <v>7</v>
      </c>
      <c r="AF1234">
        <v>0</v>
      </c>
      <c r="AG1234">
        <f>IF(tbl_HR_Data[[#This Row],[Gender]]="Male",1,0)</f>
        <v>1</v>
      </c>
      <c r="AH1234" cm="1">
        <f t="array" ref="AH1234">_xlfn.SWITCH(tbl_HR_Data[[#This Row],[BusinessTravel]], "Non-Travel", 0, "Travel_Rarely", 1, "Travel_Frequently", 2)</f>
        <v>1</v>
      </c>
      <c r="AI1234" cm="1">
        <f t="array" ref="AI1234">_xlfn.SWITCH(tbl_HR_Data[[#This Row],[MaritalStatus]],"Single",0,"Married",1,"Divorced",2)</f>
        <v>1</v>
      </c>
      <c r="AJ1234">
        <f>IF(tbl_HR_Data[[#This Row],[OverTime]]=1,1,0)</f>
        <v>0</v>
      </c>
      <c r="AK1234">
        <f>IF(tbl_HR_Data[[#This Row],[DistanceFromHome]]&gt;15,1,0)</f>
        <v>1</v>
      </c>
      <c r="AL1234">
        <f>IF(tbl_HR_Data[[#This Row],[JobSatisfaction]]&lt;=2,1,0)</f>
        <v>0</v>
      </c>
      <c r="AM1234">
        <f>IF(tbl_HR_Data[[#This Row],[MonthlyIncome]]&lt;$AT$2,1,0)</f>
        <v>0</v>
      </c>
      <c r="AN1234">
        <f>IF(tbl_HR_Data[[#This Row],[Travel_Code]]=2,1,0)</f>
        <v>0</v>
      </c>
      <c r="AO1234">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1234" s="15">
        <f>tbl_HR_Data[[#This Row],[Risk_Score_Raw]] / SUM(Logic_Parameters!$B$2:$B$6)</f>
        <v>0.10908033267710357</v>
      </c>
      <c r="AQ1234" s="16" t="str" cm="1">
        <f t="array" ref="AQ1234">_xlfn.IFS(tbl_HR_Data[[#This Row],[Attrition_Risk_Percentage]] &gt;= 0.75, "Critical",tbl_HR_Data[ [#This Row],[Attrition_Risk_Percentage] ]&gt;= 0.5, "High",tbl_HR_Data[[#This Row],[Attrition_Risk_Percentage]] &gt;= 0.25, "Medium",TRUE, "Low")</f>
        <v>Low</v>
      </c>
      <c r="AR1234" s="16" cm="1">
        <f t="array" ref="AR1234">IFERROR(_xlfn.IFS(tbl_HR_Data[[#This Row],[Risk_Category]]="Critical",tbl_HR_Data[[#This Row],[MonthlyIncome]]*1.5,tbl_HR_Data[[#This Row],[Risk_Category]]="High",tbl_HR_Data[[#This Row],[MonthlyIncome]]*1.5),0)</f>
        <v>0</v>
      </c>
    </row>
    <row r="1235" spans="1:44" x14ac:dyDescent="0.35">
      <c r="A1235" t="s">
        <v>94</v>
      </c>
      <c r="B1235">
        <v>30</v>
      </c>
      <c r="C1235" t="s">
        <v>31</v>
      </c>
      <c r="D1235">
        <v>793</v>
      </c>
      <c r="E1235" t="s">
        <v>38</v>
      </c>
      <c r="F1235">
        <v>16</v>
      </c>
      <c r="G1235">
        <v>1</v>
      </c>
      <c r="H1235" t="s">
        <v>33</v>
      </c>
      <c r="I1235">
        <v>2</v>
      </c>
      <c r="J1235" t="s">
        <v>39</v>
      </c>
      <c r="K1235">
        <v>33</v>
      </c>
      <c r="L1235">
        <v>3</v>
      </c>
      <c r="M1235">
        <v>1</v>
      </c>
      <c r="N1235" t="s">
        <v>40</v>
      </c>
      <c r="O1235">
        <v>4</v>
      </c>
      <c r="P1235" t="s">
        <v>41</v>
      </c>
      <c r="Q1235">
        <v>2862</v>
      </c>
      <c r="R1235">
        <v>3811</v>
      </c>
      <c r="S1235">
        <v>1</v>
      </c>
      <c r="T1235">
        <v>0</v>
      </c>
      <c r="U1235" s="17">
        <v>0.12</v>
      </c>
      <c r="V1235">
        <v>3</v>
      </c>
      <c r="W1235">
        <v>2</v>
      </c>
      <c r="X1235">
        <v>1</v>
      </c>
      <c r="Y1235">
        <v>10</v>
      </c>
      <c r="Z1235">
        <v>2</v>
      </c>
      <c r="AA1235">
        <v>2</v>
      </c>
      <c r="AB1235">
        <v>10</v>
      </c>
      <c r="AC1235">
        <v>0</v>
      </c>
      <c r="AD1235">
        <v>0</v>
      </c>
      <c r="AE1235">
        <v>8</v>
      </c>
      <c r="AF1235">
        <v>0</v>
      </c>
      <c r="AG1235">
        <f>IF(tbl_HR_Data[[#This Row],[Gender]]="Male",1,0)</f>
        <v>1</v>
      </c>
      <c r="AH1235" cm="1">
        <f t="array" ref="AH1235">_xlfn.SWITCH(tbl_HR_Data[[#This Row],[BusinessTravel]], "Non-Travel", 0, "Travel_Rarely", 1, "Travel_Frequently", 2)</f>
        <v>1</v>
      </c>
      <c r="AI1235" cm="1">
        <f t="array" ref="AI1235">_xlfn.SWITCH(tbl_HR_Data[[#This Row],[MaritalStatus]],"Single",0,"Married",1,"Divorced",2)</f>
        <v>1</v>
      </c>
      <c r="AJ1235">
        <f>IF(tbl_HR_Data[[#This Row],[OverTime]]=1,1,0)</f>
        <v>0</v>
      </c>
      <c r="AK1235">
        <f>IF(tbl_HR_Data[[#This Row],[DistanceFromHome]]&gt;15,1,0)</f>
        <v>1</v>
      </c>
      <c r="AL1235">
        <f>IF(tbl_HR_Data[[#This Row],[JobSatisfaction]]&lt;=2,1,0)</f>
        <v>0</v>
      </c>
      <c r="AM1235">
        <f>IF(tbl_HR_Data[[#This Row],[MonthlyIncome]]&lt;$AT$2,1,0)</f>
        <v>1</v>
      </c>
      <c r="AN1235">
        <f>IF(tbl_HR_Data[[#This Row],[Travel_Code]]=2,1,0)</f>
        <v>0</v>
      </c>
      <c r="AO1235">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1235" s="15">
        <f>tbl_HR_Data[[#This Row],[Risk_Score_Raw]] / SUM(Logic_Parameters!$B$2:$B$6)</f>
        <v>0.33282973125692844</v>
      </c>
      <c r="AQ1235" s="16" t="str" cm="1">
        <f t="array" ref="AQ1235">_xlfn.IFS(tbl_HR_Data[[#This Row],[Attrition_Risk_Percentage]] &gt;= 0.75, "Critical",tbl_HR_Data[ [#This Row],[Attrition_Risk_Percentage] ]&gt;= 0.5, "High",tbl_HR_Data[[#This Row],[Attrition_Risk_Percentage]] &gt;= 0.25, "Medium",TRUE, "Low")</f>
        <v>Medium</v>
      </c>
      <c r="AR1235" s="16" cm="1">
        <f t="array" ref="AR1235">IFERROR(_xlfn.IFS(tbl_HR_Data[[#This Row],[Risk_Category]]="Critical",tbl_HR_Data[[#This Row],[MonthlyIncome]]*1.5,tbl_HR_Data[[#This Row],[Risk_Category]]="High",tbl_HR_Data[[#This Row],[MonthlyIncome]]*1.5),0)</f>
        <v>0</v>
      </c>
    </row>
    <row r="1236" spans="1:44" x14ac:dyDescent="0.35">
      <c r="A1236" t="s">
        <v>396</v>
      </c>
      <c r="B1236">
        <v>47</v>
      </c>
      <c r="C1236" t="s">
        <v>1525</v>
      </c>
      <c r="D1236">
        <v>543</v>
      </c>
      <c r="E1236" t="s">
        <v>32</v>
      </c>
      <c r="F1236">
        <v>2</v>
      </c>
      <c r="G1236">
        <v>4</v>
      </c>
      <c r="H1236" t="s">
        <v>51</v>
      </c>
      <c r="I1236">
        <v>3</v>
      </c>
      <c r="J1236" t="s">
        <v>39</v>
      </c>
      <c r="K1236">
        <v>87</v>
      </c>
      <c r="L1236">
        <v>3</v>
      </c>
      <c r="M1236">
        <v>2</v>
      </c>
      <c r="N1236" t="s">
        <v>35</v>
      </c>
      <c r="O1236">
        <v>2</v>
      </c>
      <c r="P1236" t="s">
        <v>41</v>
      </c>
      <c r="Q1236">
        <v>4978</v>
      </c>
      <c r="R1236">
        <v>3536</v>
      </c>
      <c r="S1236">
        <v>7</v>
      </c>
      <c r="T1236">
        <v>0</v>
      </c>
      <c r="U1236" s="17">
        <v>0.11</v>
      </c>
      <c r="V1236">
        <v>3</v>
      </c>
      <c r="W1236">
        <v>4</v>
      </c>
      <c r="X1236">
        <v>1</v>
      </c>
      <c r="Y1236">
        <v>4</v>
      </c>
      <c r="Z1236">
        <v>3</v>
      </c>
      <c r="AA1236">
        <v>1</v>
      </c>
      <c r="AB1236">
        <v>1</v>
      </c>
      <c r="AC1236">
        <v>0</v>
      </c>
      <c r="AD1236">
        <v>0</v>
      </c>
      <c r="AE1236">
        <v>0</v>
      </c>
      <c r="AF1236">
        <v>0</v>
      </c>
      <c r="AG1236">
        <f>IF(tbl_HR_Data[[#This Row],[Gender]]="Male",1,0)</f>
        <v>1</v>
      </c>
      <c r="AH1236" cm="1">
        <f t="array" ref="AH1236">_xlfn.SWITCH(tbl_HR_Data[[#This Row],[BusinessTravel]], "Non-Travel", 0, "Travel_Rarely", 1, "Travel_Frequently", 2)</f>
        <v>0</v>
      </c>
      <c r="AI1236" cm="1">
        <f t="array" ref="AI1236">_xlfn.SWITCH(tbl_HR_Data[[#This Row],[MaritalStatus]],"Single",0,"Married",1,"Divorced",2)</f>
        <v>1</v>
      </c>
      <c r="AJ1236">
        <f>IF(tbl_HR_Data[[#This Row],[OverTime]]=1,1,0)</f>
        <v>0</v>
      </c>
      <c r="AK1236">
        <f>IF(tbl_HR_Data[[#This Row],[DistanceFromHome]]&gt;15,1,0)</f>
        <v>0</v>
      </c>
      <c r="AL1236">
        <f>IF(tbl_HR_Data[[#This Row],[JobSatisfaction]]&lt;=2,1,0)</f>
        <v>1</v>
      </c>
      <c r="AM1236">
        <f>IF(tbl_HR_Data[[#This Row],[MonthlyIncome]]&lt;$AT$2,1,0)</f>
        <v>0</v>
      </c>
      <c r="AN1236">
        <f>IF(tbl_HR_Data[[#This Row],[Travel_Code]]=2,1,0)</f>
        <v>0</v>
      </c>
      <c r="AO1236">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236" s="15">
        <f>tbl_HR_Data[[#This Row],[Risk_Score_Raw]] / SUM(Logic_Parameters!$B$2:$B$6)</f>
        <v>0.14485673308716898</v>
      </c>
      <c r="AQ1236" s="16" t="str" cm="1">
        <f t="array" ref="AQ1236">_xlfn.IFS(tbl_HR_Data[[#This Row],[Attrition_Risk_Percentage]] &gt;= 0.75, "Critical",tbl_HR_Data[ [#This Row],[Attrition_Risk_Percentage] ]&gt;= 0.5, "High",tbl_HR_Data[[#This Row],[Attrition_Risk_Percentage]] &gt;= 0.25, "Medium",TRUE, "Low")</f>
        <v>Low</v>
      </c>
      <c r="AR1236" s="16" cm="1">
        <f t="array" ref="AR1236">IFERROR(_xlfn.IFS(tbl_HR_Data[[#This Row],[Risk_Category]]="Critical",tbl_HR_Data[[#This Row],[MonthlyIncome]]*1.5,tbl_HR_Data[[#This Row],[Risk_Category]]="High",tbl_HR_Data[[#This Row],[MonthlyIncome]]*1.5),0)</f>
        <v>0</v>
      </c>
    </row>
    <row r="1237" spans="1:44" x14ac:dyDescent="0.35">
      <c r="A1237" t="s">
        <v>531</v>
      </c>
      <c r="B1237">
        <v>46</v>
      </c>
      <c r="C1237" t="s">
        <v>31</v>
      </c>
      <c r="D1237">
        <v>1277</v>
      </c>
      <c r="E1237" t="s">
        <v>32</v>
      </c>
      <c r="F1237">
        <v>2</v>
      </c>
      <c r="G1237">
        <v>3</v>
      </c>
      <c r="H1237" t="s">
        <v>33</v>
      </c>
      <c r="I1237">
        <v>3</v>
      </c>
      <c r="J1237" t="s">
        <v>39</v>
      </c>
      <c r="K1237">
        <v>74</v>
      </c>
      <c r="L1237">
        <v>3</v>
      </c>
      <c r="M1237">
        <v>3</v>
      </c>
      <c r="N1237" t="s">
        <v>35</v>
      </c>
      <c r="O1237">
        <v>4</v>
      </c>
      <c r="P1237" t="s">
        <v>45</v>
      </c>
      <c r="Q1237">
        <v>10368</v>
      </c>
      <c r="R1237">
        <v>5596</v>
      </c>
      <c r="S1237">
        <v>4</v>
      </c>
      <c r="T1237">
        <v>1</v>
      </c>
      <c r="U1237" s="17">
        <v>0.12</v>
      </c>
      <c r="V1237">
        <v>3</v>
      </c>
      <c r="W1237">
        <v>2</v>
      </c>
      <c r="X1237">
        <v>1</v>
      </c>
      <c r="Y1237">
        <v>13</v>
      </c>
      <c r="Z1237">
        <v>5</v>
      </c>
      <c r="AA1237">
        <v>2</v>
      </c>
      <c r="AB1237">
        <v>10</v>
      </c>
      <c r="AC1237">
        <v>6</v>
      </c>
      <c r="AD1237">
        <v>0</v>
      </c>
      <c r="AE1237">
        <v>3</v>
      </c>
      <c r="AF1237">
        <v>0</v>
      </c>
      <c r="AG1237">
        <f>IF(tbl_HR_Data[[#This Row],[Gender]]="Male",1,0)</f>
        <v>1</v>
      </c>
      <c r="AH1237" cm="1">
        <f t="array" ref="AH1237">_xlfn.SWITCH(tbl_HR_Data[[#This Row],[BusinessTravel]], "Non-Travel", 0, "Travel_Rarely", 1, "Travel_Frequently", 2)</f>
        <v>1</v>
      </c>
      <c r="AI1237" cm="1">
        <f t="array" ref="AI1237">_xlfn.SWITCH(tbl_HR_Data[[#This Row],[MaritalStatus]],"Single",0,"Married",1,"Divorced",2)</f>
        <v>2</v>
      </c>
      <c r="AJ1237">
        <f>IF(tbl_HR_Data[[#This Row],[OverTime]]=1,1,0)</f>
        <v>1</v>
      </c>
      <c r="AK1237">
        <f>IF(tbl_HR_Data[[#This Row],[DistanceFromHome]]&gt;15,1,0)</f>
        <v>0</v>
      </c>
      <c r="AL1237">
        <f>IF(tbl_HR_Data[[#This Row],[JobSatisfaction]]&lt;=2,1,0)</f>
        <v>0</v>
      </c>
      <c r="AM1237">
        <f>IF(tbl_HR_Data[[#This Row],[MonthlyIncome]]&lt;$AT$2,1,0)</f>
        <v>0</v>
      </c>
      <c r="AN1237">
        <f>IF(tbl_HR_Data[[#This Row],[Travel_Code]]=2,1,0)</f>
        <v>0</v>
      </c>
      <c r="AO1237">
        <f>(tbl_HR_Data[[#This Row],[Flag_OT]] * Logic_Parameters!$B$2) +
 (tbl_HR_Data[[#This Row],[Flag_Travel]] * Logic_Parameters!$B$3) +
 (tbl_HR_Data[[#This Row],[Flag_Satisfaction]] * Logic_Parameters!$B$4) +
 (tbl_HR_Data[[#This Row],[Flag_Distance]]* Logic_Parameters!$B$5) +
 (tbl_HR_Data[[#This Row],[Flag_Income]] * Logic_Parameters!$B$6)</f>
        <v>10</v>
      </c>
      <c r="AP1237" s="15">
        <f>tbl_HR_Data[[#This Row],[Risk_Score_Raw]] / SUM(Logic_Parameters!$B$2:$B$6)</f>
        <v>0.3445251318258073</v>
      </c>
      <c r="AQ1237" s="16" t="str" cm="1">
        <f t="array" ref="AQ1237">_xlfn.IFS(tbl_HR_Data[[#This Row],[Attrition_Risk_Percentage]] &gt;= 0.75, "Critical",tbl_HR_Data[ [#This Row],[Attrition_Risk_Percentage] ]&gt;= 0.5, "High",tbl_HR_Data[[#This Row],[Attrition_Risk_Percentage]] &gt;= 0.25, "Medium",TRUE, "Low")</f>
        <v>Medium</v>
      </c>
      <c r="AR1237" s="16" cm="1">
        <f t="array" ref="AR1237">IFERROR(_xlfn.IFS(tbl_HR_Data[[#This Row],[Risk_Category]]="Critical",tbl_HR_Data[[#This Row],[MonthlyIncome]]*1.5,tbl_HR_Data[[#This Row],[Risk_Category]]="High",tbl_HR_Data[[#This Row],[MonthlyIncome]]*1.5),0)</f>
        <v>0</v>
      </c>
    </row>
    <row r="1238" spans="1:44" x14ac:dyDescent="0.35">
      <c r="A1238" t="s">
        <v>1411</v>
      </c>
      <c r="B1238">
        <v>36</v>
      </c>
      <c r="C1238" t="s">
        <v>31</v>
      </c>
      <c r="D1238">
        <v>1456</v>
      </c>
      <c r="E1238" t="s">
        <v>32</v>
      </c>
      <c r="F1238">
        <v>13</v>
      </c>
      <c r="G1238">
        <v>5</v>
      </c>
      <c r="H1238" t="s">
        <v>51</v>
      </c>
      <c r="I1238">
        <v>2</v>
      </c>
      <c r="J1238" t="s">
        <v>39</v>
      </c>
      <c r="K1238">
        <v>96</v>
      </c>
      <c r="L1238">
        <v>2</v>
      </c>
      <c r="M1238">
        <v>2</v>
      </c>
      <c r="N1238" t="s">
        <v>35</v>
      </c>
      <c r="O1238">
        <v>1</v>
      </c>
      <c r="P1238" t="s">
        <v>45</v>
      </c>
      <c r="Q1238">
        <v>6134</v>
      </c>
      <c r="R1238">
        <v>8658</v>
      </c>
      <c r="S1238">
        <v>5</v>
      </c>
      <c r="T1238">
        <v>1</v>
      </c>
      <c r="U1238" s="17">
        <v>0.13</v>
      </c>
      <c r="V1238">
        <v>3</v>
      </c>
      <c r="W1238">
        <v>2</v>
      </c>
      <c r="X1238">
        <v>3</v>
      </c>
      <c r="Y1238">
        <v>16</v>
      </c>
      <c r="Z1238">
        <v>3</v>
      </c>
      <c r="AA1238">
        <v>3</v>
      </c>
      <c r="AB1238">
        <v>2</v>
      </c>
      <c r="AC1238">
        <v>2</v>
      </c>
      <c r="AD1238">
        <v>2</v>
      </c>
      <c r="AE1238">
        <v>2</v>
      </c>
      <c r="AF1238">
        <v>1</v>
      </c>
      <c r="AG1238">
        <f>IF(tbl_HR_Data[[#This Row],[Gender]]="Male",1,0)</f>
        <v>1</v>
      </c>
      <c r="AH1238" cm="1">
        <f t="array" ref="AH1238">_xlfn.SWITCH(tbl_HR_Data[[#This Row],[BusinessTravel]], "Non-Travel", 0, "Travel_Rarely", 1, "Travel_Frequently", 2)</f>
        <v>1</v>
      </c>
      <c r="AI1238" cm="1">
        <f t="array" ref="AI1238">_xlfn.SWITCH(tbl_HR_Data[[#This Row],[MaritalStatus]],"Single",0,"Married",1,"Divorced",2)</f>
        <v>2</v>
      </c>
      <c r="AJ1238">
        <f>IF(tbl_HR_Data[[#This Row],[OverTime]]=1,1,0)</f>
        <v>1</v>
      </c>
      <c r="AK1238">
        <f>IF(tbl_HR_Data[[#This Row],[DistanceFromHome]]&gt;15,1,0)</f>
        <v>0</v>
      </c>
      <c r="AL1238">
        <f>IF(tbl_HR_Data[[#This Row],[JobSatisfaction]]&lt;=2,1,0)</f>
        <v>1</v>
      </c>
      <c r="AM1238">
        <f>IF(tbl_HR_Data[[#This Row],[MonthlyIncome]]&lt;$AT$2,1,0)</f>
        <v>0</v>
      </c>
      <c r="AN1238">
        <f>IF(tbl_HR_Data[[#This Row],[Travel_Code]]=2,1,0)</f>
        <v>0</v>
      </c>
      <c r="AO1238">
        <f>(tbl_HR_Data[[#This Row],[Flag_OT]] * Logic_Parameters!$B$2) +
 (tbl_HR_Data[[#This Row],[Flag_Travel]] * Logic_Parameters!$B$3) +
 (tbl_HR_Data[[#This Row],[Flag_Satisfaction]] * Logic_Parameters!$B$4) +
 (tbl_HR_Data[[#This Row],[Flag_Distance]]* Logic_Parameters!$B$5) +
 (tbl_HR_Data[[#This Row],[Flag_Income]] * Logic_Parameters!$B$6)</f>
        <v>14.204533129978131</v>
      </c>
      <c r="AP1238" s="15">
        <f>tbl_HR_Data[[#This Row],[Risk_Score_Raw]] / SUM(Logic_Parameters!$B$2:$B$6)</f>
        <v>0.48938186491297625</v>
      </c>
      <c r="AQ1238" s="16" t="str" cm="1">
        <f t="array" ref="AQ1238">_xlfn.IFS(tbl_HR_Data[[#This Row],[Attrition_Risk_Percentage]] &gt;= 0.75, "Critical",tbl_HR_Data[ [#This Row],[Attrition_Risk_Percentage] ]&gt;= 0.5, "High",tbl_HR_Data[[#This Row],[Attrition_Risk_Percentage]] &gt;= 0.25, "Medium",TRUE, "Low")</f>
        <v>Medium</v>
      </c>
      <c r="AR1238" s="16" cm="1">
        <f t="array" ref="AR1238">IFERROR(_xlfn.IFS(tbl_HR_Data[[#This Row],[Risk_Category]]="Critical",tbl_HR_Data[[#This Row],[MonthlyIncome]]*1.5,tbl_HR_Data[[#This Row],[Risk_Category]]="High",tbl_HR_Data[[#This Row],[MonthlyIncome]]*1.5),0)</f>
        <v>0</v>
      </c>
    </row>
    <row r="1239" spans="1:44" x14ac:dyDescent="0.35">
      <c r="A1239" t="s">
        <v>436</v>
      </c>
      <c r="B1239">
        <v>32</v>
      </c>
      <c r="C1239" t="s">
        <v>31</v>
      </c>
      <c r="D1239">
        <v>964</v>
      </c>
      <c r="E1239" t="s">
        <v>32</v>
      </c>
      <c r="F1239">
        <v>1</v>
      </c>
      <c r="G1239">
        <v>2</v>
      </c>
      <c r="H1239" t="s">
        <v>33</v>
      </c>
      <c r="I1239">
        <v>1</v>
      </c>
      <c r="J1239" t="s">
        <v>39</v>
      </c>
      <c r="K1239">
        <v>34</v>
      </c>
      <c r="L1239">
        <v>1</v>
      </c>
      <c r="M1239">
        <v>2</v>
      </c>
      <c r="N1239" t="s">
        <v>35</v>
      </c>
      <c r="O1239">
        <v>2</v>
      </c>
      <c r="P1239" t="s">
        <v>36</v>
      </c>
      <c r="Q1239">
        <v>6735</v>
      </c>
      <c r="R1239">
        <v>12147</v>
      </c>
      <c r="S1239">
        <v>6</v>
      </c>
      <c r="T1239">
        <v>0</v>
      </c>
      <c r="U1239" s="17">
        <v>0.15</v>
      </c>
      <c r="V1239">
        <v>3</v>
      </c>
      <c r="W1239">
        <v>2</v>
      </c>
      <c r="X1239">
        <v>0</v>
      </c>
      <c r="Y1239">
        <v>10</v>
      </c>
      <c r="Z1239">
        <v>2</v>
      </c>
      <c r="AA1239">
        <v>3</v>
      </c>
      <c r="AB1239">
        <v>0</v>
      </c>
      <c r="AC1239">
        <v>0</v>
      </c>
      <c r="AD1239">
        <v>0</v>
      </c>
      <c r="AE1239">
        <v>0</v>
      </c>
      <c r="AF1239">
        <v>1</v>
      </c>
      <c r="AG1239">
        <f>IF(tbl_HR_Data[[#This Row],[Gender]]="Male",1,0)</f>
        <v>1</v>
      </c>
      <c r="AH1239" cm="1">
        <f t="array" ref="AH1239">_xlfn.SWITCH(tbl_HR_Data[[#This Row],[BusinessTravel]], "Non-Travel", 0, "Travel_Rarely", 1, "Travel_Frequently", 2)</f>
        <v>1</v>
      </c>
      <c r="AI1239" cm="1">
        <f t="array" ref="AI1239">_xlfn.SWITCH(tbl_HR_Data[[#This Row],[MaritalStatus]],"Single",0,"Married",1,"Divorced",2)</f>
        <v>0</v>
      </c>
      <c r="AJ1239">
        <f>IF(tbl_HR_Data[[#This Row],[OverTime]]=1,1,0)</f>
        <v>0</v>
      </c>
      <c r="AK1239">
        <f>IF(tbl_HR_Data[[#This Row],[DistanceFromHome]]&gt;15,1,0)</f>
        <v>0</v>
      </c>
      <c r="AL1239">
        <f>IF(tbl_HR_Data[[#This Row],[JobSatisfaction]]&lt;=2,1,0)</f>
        <v>1</v>
      </c>
      <c r="AM1239">
        <f>IF(tbl_HR_Data[[#This Row],[MonthlyIncome]]&lt;$AT$2,1,0)</f>
        <v>0</v>
      </c>
      <c r="AN1239">
        <f>IF(tbl_HR_Data[[#This Row],[Travel_Code]]=2,1,0)</f>
        <v>0</v>
      </c>
      <c r="AO1239">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239" s="15">
        <f>tbl_HR_Data[[#This Row],[Risk_Score_Raw]] / SUM(Logic_Parameters!$B$2:$B$6)</f>
        <v>0.14485673308716898</v>
      </c>
      <c r="AQ1239" s="16" t="str" cm="1">
        <f t="array" ref="AQ1239">_xlfn.IFS(tbl_HR_Data[[#This Row],[Attrition_Risk_Percentage]] &gt;= 0.75, "Critical",tbl_HR_Data[ [#This Row],[Attrition_Risk_Percentage] ]&gt;= 0.5, "High",tbl_HR_Data[[#This Row],[Attrition_Risk_Percentage]] &gt;= 0.25, "Medium",TRUE, "Low")</f>
        <v>Low</v>
      </c>
      <c r="AR1239" s="16" cm="1">
        <f t="array" ref="AR1239">IFERROR(_xlfn.IFS(tbl_HR_Data[[#This Row],[Risk_Category]]="Critical",tbl_HR_Data[[#This Row],[MonthlyIncome]]*1.5,tbl_HR_Data[[#This Row],[Risk_Category]]="High",tbl_HR_Data[[#This Row],[MonthlyIncome]]*1.5),0)</f>
        <v>0</v>
      </c>
    </row>
    <row r="1240" spans="1:44" x14ac:dyDescent="0.35">
      <c r="A1240" t="s">
        <v>1103</v>
      </c>
      <c r="B1240">
        <v>23</v>
      </c>
      <c r="C1240" t="s">
        <v>31</v>
      </c>
      <c r="D1240">
        <v>160</v>
      </c>
      <c r="E1240" t="s">
        <v>38</v>
      </c>
      <c r="F1240">
        <v>4</v>
      </c>
      <c r="G1240">
        <v>1</v>
      </c>
      <c r="H1240" t="s">
        <v>44</v>
      </c>
      <c r="I1240">
        <v>3</v>
      </c>
      <c r="J1240" t="s">
        <v>34</v>
      </c>
      <c r="K1240">
        <v>51</v>
      </c>
      <c r="L1240">
        <v>3</v>
      </c>
      <c r="M1240">
        <v>1</v>
      </c>
      <c r="N1240" t="s">
        <v>43</v>
      </c>
      <c r="O1240">
        <v>2</v>
      </c>
      <c r="P1240" t="s">
        <v>36</v>
      </c>
      <c r="Q1240">
        <v>3295</v>
      </c>
      <c r="R1240">
        <v>12862</v>
      </c>
      <c r="S1240">
        <v>1</v>
      </c>
      <c r="T1240">
        <v>0</v>
      </c>
      <c r="U1240" s="17">
        <v>0.13</v>
      </c>
      <c r="V1240">
        <v>3</v>
      </c>
      <c r="W1240">
        <v>3</v>
      </c>
      <c r="X1240">
        <v>0</v>
      </c>
      <c r="Y1240">
        <v>3</v>
      </c>
      <c r="Z1240">
        <v>3</v>
      </c>
      <c r="AA1240">
        <v>1</v>
      </c>
      <c r="AB1240">
        <v>3</v>
      </c>
      <c r="AC1240">
        <v>2</v>
      </c>
      <c r="AD1240">
        <v>1</v>
      </c>
      <c r="AE1240">
        <v>2</v>
      </c>
      <c r="AF1240">
        <v>0</v>
      </c>
      <c r="AG1240">
        <f>IF(tbl_HR_Data[[#This Row],[Gender]]="Male",1,0)</f>
        <v>0</v>
      </c>
      <c r="AH1240" cm="1">
        <f t="array" ref="AH1240">_xlfn.SWITCH(tbl_HR_Data[[#This Row],[BusinessTravel]], "Non-Travel", 0, "Travel_Rarely", 1, "Travel_Frequently", 2)</f>
        <v>1</v>
      </c>
      <c r="AI1240" cm="1">
        <f t="array" ref="AI1240">_xlfn.SWITCH(tbl_HR_Data[[#This Row],[MaritalStatus]],"Single",0,"Married",1,"Divorced",2)</f>
        <v>0</v>
      </c>
      <c r="AJ1240">
        <f>IF(tbl_HR_Data[[#This Row],[OverTime]]=1,1,0)</f>
        <v>0</v>
      </c>
      <c r="AK1240">
        <f>IF(tbl_HR_Data[[#This Row],[DistanceFromHome]]&gt;15,1,0)</f>
        <v>0</v>
      </c>
      <c r="AL1240">
        <f>IF(tbl_HR_Data[[#This Row],[JobSatisfaction]]&lt;=2,1,0)</f>
        <v>1</v>
      </c>
      <c r="AM1240">
        <f>IF(tbl_HR_Data[[#This Row],[MonthlyIncome]]&lt;$AT$2,1,0)</f>
        <v>1</v>
      </c>
      <c r="AN1240">
        <f>IF(tbl_HR_Data[[#This Row],[Travel_Code]]=2,1,0)</f>
        <v>0</v>
      </c>
      <c r="AO1240">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240" s="15">
        <f>tbl_HR_Data[[#This Row],[Risk_Score_Raw]] / SUM(Logic_Parameters!$B$2:$B$6)</f>
        <v>0.3686061316669938</v>
      </c>
      <c r="AQ1240" s="16" t="str" cm="1">
        <f t="array" ref="AQ1240">_xlfn.IFS(tbl_HR_Data[[#This Row],[Attrition_Risk_Percentage]] &gt;= 0.75, "Critical",tbl_HR_Data[ [#This Row],[Attrition_Risk_Percentage] ]&gt;= 0.5, "High",tbl_HR_Data[[#This Row],[Attrition_Risk_Percentage]] &gt;= 0.25, "Medium",TRUE, "Low")</f>
        <v>Medium</v>
      </c>
      <c r="AR1240" s="16" cm="1">
        <f t="array" ref="AR1240">IFERROR(_xlfn.IFS(tbl_HR_Data[[#This Row],[Risk_Category]]="Critical",tbl_HR_Data[[#This Row],[MonthlyIncome]]*1.5,tbl_HR_Data[[#This Row],[Risk_Category]]="High",tbl_HR_Data[[#This Row],[MonthlyIncome]]*1.5),0)</f>
        <v>0</v>
      </c>
    </row>
    <row r="1241" spans="1:44" x14ac:dyDescent="0.35">
      <c r="A1241" t="s">
        <v>1139</v>
      </c>
      <c r="B1241">
        <v>31</v>
      </c>
      <c r="C1241" t="s">
        <v>37</v>
      </c>
      <c r="D1241">
        <v>163</v>
      </c>
      <c r="E1241" t="s">
        <v>38</v>
      </c>
      <c r="F1241">
        <v>24</v>
      </c>
      <c r="G1241">
        <v>1</v>
      </c>
      <c r="H1241" t="s">
        <v>52</v>
      </c>
      <c r="I1241">
        <v>4</v>
      </c>
      <c r="J1241" t="s">
        <v>34</v>
      </c>
      <c r="K1241">
        <v>30</v>
      </c>
      <c r="L1241">
        <v>3</v>
      </c>
      <c r="M1241">
        <v>2</v>
      </c>
      <c r="N1241" t="s">
        <v>46</v>
      </c>
      <c r="O1241">
        <v>4</v>
      </c>
      <c r="P1241" t="s">
        <v>36</v>
      </c>
      <c r="Q1241">
        <v>5238</v>
      </c>
      <c r="R1241">
        <v>6670</v>
      </c>
      <c r="S1241">
        <v>2</v>
      </c>
      <c r="T1241">
        <v>0</v>
      </c>
      <c r="U1241" s="17">
        <v>0.2</v>
      </c>
      <c r="V1241">
        <v>4</v>
      </c>
      <c r="W1241">
        <v>4</v>
      </c>
      <c r="X1241">
        <v>0</v>
      </c>
      <c r="Y1241">
        <v>9</v>
      </c>
      <c r="Z1241">
        <v>3</v>
      </c>
      <c r="AA1241">
        <v>2</v>
      </c>
      <c r="AB1241">
        <v>5</v>
      </c>
      <c r="AC1241">
        <v>4</v>
      </c>
      <c r="AD1241">
        <v>1</v>
      </c>
      <c r="AE1241">
        <v>4</v>
      </c>
      <c r="AF1241">
        <v>0</v>
      </c>
      <c r="AG1241">
        <f>IF(tbl_HR_Data[[#This Row],[Gender]]="Male",1,0)</f>
        <v>0</v>
      </c>
      <c r="AH1241" cm="1">
        <f t="array" ref="AH1241">_xlfn.SWITCH(tbl_HR_Data[[#This Row],[BusinessTravel]], "Non-Travel", 0, "Travel_Rarely", 1, "Travel_Frequently", 2)</f>
        <v>2</v>
      </c>
      <c r="AI1241" cm="1">
        <f t="array" ref="AI1241">_xlfn.SWITCH(tbl_HR_Data[[#This Row],[MaritalStatus]],"Single",0,"Married",1,"Divorced",2)</f>
        <v>0</v>
      </c>
      <c r="AJ1241">
        <f>IF(tbl_HR_Data[[#This Row],[OverTime]]=1,1,0)</f>
        <v>0</v>
      </c>
      <c r="AK1241">
        <f>IF(tbl_HR_Data[[#This Row],[DistanceFromHome]]&gt;15,1,0)</f>
        <v>1</v>
      </c>
      <c r="AL1241">
        <f>IF(tbl_HR_Data[[#This Row],[JobSatisfaction]]&lt;=2,1,0)</f>
        <v>0</v>
      </c>
      <c r="AM1241">
        <f>IF(tbl_HR_Data[[#This Row],[MonthlyIncome]]&lt;$AT$2,1,0)</f>
        <v>0</v>
      </c>
      <c r="AN1241">
        <f>IF(tbl_HR_Data[[#This Row],[Travel_Code]]=2,1,0)</f>
        <v>1</v>
      </c>
      <c r="AO1241">
        <f>(tbl_HR_Data[[#This Row],[Flag_OT]] * Logic_Parameters!$B$2) +
 (tbl_HR_Data[[#This Row],[Flag_Travel]] * Logic_Parameters!$B$3) +
 (tbl_HR_Data[[#This Row],[Flag_Satisfaction]] * Logic_Parameters!$B$4) +
 (tbl_HR_Data[[#This Row],[Flag_Distance]]* Logic_Parameters!$B$5) +
 (tbl_HR_Data[[#This Row],[Flag_Income]] * Logic_Parameters!$B$6)</f>
        <v>8.3264966763655544</v>
      </c>
      <c r="AP1241" s="15">
        <f>tbl_HR_Data[[#This Row],[Risk_Score_Raw]] / SUM(Logic_Parameters!$B$2:$B$6)</f>
        <v>0.28686873650719891</v>
      </c>
      <c r="AQ1241" s="16" t="str" cm="1">
        <f t="array" ref="AQ1241">_xlfn.IFS(tbl_HR_Data[[#This Row],[Attrition_Risk_Percentage]] &gt;= 0.75, "Critical",tbl_HR_Data[ [#This Row],[Attrition_Risk_Percentage] ]&gt;= 0.5, "High",tbl_HR_Data[[#This Row],[Attrition_Risk_Percentage]] &gt;= 0.25, "Medium",TRUE, "Low")</f>
        <v>Medium</v>
      </c>
      <c r="AR1241" s="16" cm="1">
        <f t="array" ref="AR1241">IFERROR(_xlfn.IFS(tbl_HR_Data[[#This Row],[Risk_Category]]="Critical",tbl_HR_Data[[#This Row],[MonthlyIncome]]*1.5,tbl_HR_Data[[#This Row],[Risk_Category]]="High",tbl_HR_Data[[#This Row],[MonthlyIncome]]*1.5),0)</f>
        <v>0</v>
      </c>
    </row>
    <row r="1242" spans="1:44" x14ac:dyDescent="0.35">
      <c r="A1242" t="s">
        <v>240</v>
      </c>
      <c r="B1242">
        <v>39</v>
      </c>
      <c r="C1242" t="s">
        <v>1525</v>
      </c>
      <c r="D1242">
        <v>792</v>
      </c>
      <c r="E1242" t="s">
        <v>38</v>
      </c>
      <c r="F1242">
        <v>1</v>
      </c>
      <c r="G1242">
        <v>3</v>
      </c>
      <c r="H1242" t="s">
        <v>33</v>
      </c>
      <c r="I1242">
        <v>4</v>
      </c>
      <c r="J1242" t="s">
        <v>39</v>
      </c>
      <c r="K1242">
        <v>77</v>
      </c>
      <c r="L1242">
        <v>3</v>
      </c>
      <c r="M1242">
        <v>2</v>
      </c>
      <c r="N1242" t="s">
        <v>43</v>
      </c>
      <c r="O1242">
        <v>4</v>
      </c>
      <c r="P1242" t="s">
        <v>41</v>
      </c>
      <c r="Q1242">
        <v>6472</v>
      </c>
      <c r="R1242">
        <v>8989</v>
      </c>
      <c r="S1242">
        <v>1</v>
      </c>
      <c r="T1242">
        <v>1</v>
      </c>
      <c r="U1242" s="17">
        <v>0.15</v>
      </c>
      <c r="V1242">
        <v>3</v>
      </c>
      <c r="W1242">
        <v>4</v>
      </c>
      <c r="X1242">
        <v>1</v>
      </c>
      <c r="Y1242">
        <v>9</v>
      </c>
      <c r="Z1242">
        <v>2</v>
      </c>
      <c r="AA1242">
        <v>3</v>
      </c>
      <c r="AB1242">
        <v>9</v>
      </c>
      <c r="AC1242">
        <v>8</v>
      </c>
      <c r="AD1242">
        <v>5</v>
      </c>
      <c r="AE1242">
        <v>8</v>
      </c>
      <c r="AF1242">
        <v>0</v>
      </c>
      <c r="AG1242">
        <f>IF(tbl_HR_Data[[#This Row],[Gender]]="Male",1,0)</f>
        <v>1</v>
      </c>
      <c r="AH1242" cm="1">
        <f t="array" ref="AH1242">_xlfn.SWITCH(tbl_HR_Data[[#This Row],[BusinessTravel]], "Non-Travel", 0, "Travel_Rarely", 1, "Travel_Frequently", 2)</f>
        <v>0</v>
      </c>
      <c r="AI1242" cm="1">
        <f t="array" ref="AI1242">_xlfn.SWITCH(tbl_HR_Data[[#This Row],[MaritalStatus]],"Single",0,"Married",1,"Divorced",2)</f>
        <v>1</v>
      </c>
      <c r="AJ1242">
        <f>IF(tbl_HR_Data[[#This Row],[OverTime]]=1,1,0)</f>
        <v>1</v>
      </c>
      <c r="AK1242">
        <f>IF(tbl_HR_Data[[#This Row],[DistanceFromHome]]&gt;15,1,0)</f>
        <v>0</v>
      </c>
      <c r="AL1242">
        <f>IF(tbl_HR_Data[[#This Row],[JobSatisfaction]]&lt;=2,1,0)</f>
        <v>0</v>
      </c>
      <c r="AM1242">
        <f>IF(tbl_HR_Data[[#This Row],[MonthlyIncome]]&lt;$AT$2,1,0)</f>
        <v>0</v>
      </c>
      <c r="AN1242">
        <f>IF(tbl_HR_Data[[#This Row],[Travel_Code]]=2,1,0)</f>
        <v>0</v>
      </c>
      <c r="AO1242">
        <f>(tbl_HR_Data[[#This Row],[Flag_OT]] * Logic_Parameters!$B$2) +
 (tbl_HR_Data[[#This Row],[Flag_Travel]] * Logic_Parameters!$B$3) +
 (tbl_HR_Data[[#This Row],[Flag_Satisfaction]] * Logic_Parameters!$B$4) +
 (tbl_HR_Data[[#This Row],[Flag_Distance]]* Logic_Parameters!$B$5) +
 (tbl_HR_Data[[#This Row],[Flag_Income]] * Logic_Parameters!$B$6)</f>
        <v>10</v>
      </c>
      <c r="AP1242" s="15">
        <f>tbl_HR_Data[[#This Row],[Risk_Score_Raw]] / SUM(Logic_Parameters!$B$2:$B$6)</f>
        <v>0.3445251318258073</v>
      </c>
      <c r="AQ1242" s="16" t="str" cm="1">
        <f t="array" ref="AQ1242">_xlfn.IFS(tbl_HR_Data[[#This Row],[Attrition_Risk_Percentage]] &gt;= 0.75, "Critical",tbl_HR_Data[ [#This Row],[Attrition_Risk_Percentage] ]&gt;= 0.5, "High",tbl_HR_Data[[#This Row],[Attrition_Risk_Percentage]] &gt;= 0.25, "Medium",TRUE, "Low")</f>
        <v>Medium</v>
      </c>
      <c r="AR1242" s="16" cm="1">
        <f t="array" ref="AR1242">IFERROR(_xlfn.IFS(tbl_HR_Data[[#This Row],[Risk_Category]]="Critical",tbl_HR_Data[[#This Row],[MonthlyIncome]]*1.5,tbl_HR_Data[[#This Row],[Risk_Category]]="High",tbl_HR_Data[[#This Row],[MonthlyIncome]]*1.5),0)</f>
        <v>0</v>
      </c>
    </row>
    <row r="1243" spans="1:44" x14ac:dyDescent="0.35">
      <c r="A1243" t="s">
        <v>236</v>
      </c>
      <c r="B1243">
        <v>32</v>
      </c>
      <c r="C1243" t="s">
        <v>31</v>
      </c>
      <c r="D1243">
        <v>371</v>
      </c>
      <c r="E1243" t="s">
        <v>32</v>
      </c>
      <c r="F1243">
        <v>19</v>
      </c>
      <c r="G1243">
        <v>3</v>
      </c>
      <c r="H1243" t="s">
        <v>33</v>
      </c>
      <c r="I1243">
        <v>4</v>
      </c>
      <c r="J1243" t="s">
        <v>39</v>
      </c>
      <c r="K1243">
        <v>80</v>
      </c>
      <c r="L1243">
        <v>1</v>
      </c>
      <c r="M1243">
        <v>3</v>
      </c>
      <c r="N1243" t="s">
        <v>35</v>
      </c>
      <c r="O1243">
        <v>3</v>
      </c>
      <c r="P1243" t="s">
        <v>41</v>
      </c>
      <c r="Q1243">
        <v>9610</v>
      </c>
      <c r="R1243">
        <v>3840</v>
      </c>
      <c r="S1243">
        <v>3</v>
      </c>
      <c r="T1243">
        <v>0</v>
      </c>
      <c r="U1243" s="17">
        <v>0.13</v>
      </c>
      <c r="V1243">
        <v>3</v>
      </c>
      <c r="W1243">
        <v>3</v>
      </c>
      <c r="X1243">
        <v>1</v>
      </c>
      <c r="Y1243">
        <v>10</v>
      </c>
      <c r="Z1243">
        <v>2</v>
      </c>
      <c r="AA1243">
        <v>1</v>
      </c>
      <c r="AB1243">
        <v>4</v>
      </c>
      <c r="AC1243">
        <v>3</v>
      </c>
      <c r="AD1243">
        <v>0</v>
      </c>
      <c r="AE1243">
        <v>2</v>
      </c>
      <c r="AF1243">
        <v>0</v>
      </c>
      <c r="AG1243">
        <f>IF(tbl_HR_Data[[#This Row],[Gender]]="Male",1,0)</f>
        <v>1</v>
      </c>
      <c r="AH1243" cm="1">
        <f t="array" ref="AH1243">_xlfn.SWITCH(tbl_HR_Data[[#This Row],[BusinessTravel]], "Non-Travel", 0, "Travel_Rarely", 1, "Travel_Frequently", 2)</f>
        <v>1</v>
      </c>
      <c r="AI1243" cm="1">
        <f t="array" ref="AI1243">_xlfn.SWITCH(tbl_HR_Data[[#This Row],[MaritalStatus]],"Single",0,"Married",1,"Divorced",2)</f>
        <v>1</v>
      </c>
      <c r="AJ1243">
        <f>IF(tbl_HR_Data[[#This Row],[OverTime]]=1,1,0)</f>
        <v>0</v>
      </c>
      <c r="AK1243">
        <f>IF(tbl_HR_Data[[#This Row],[DistanceFromHome]]&gt;15,1,0)</f>
        <v>1</v>
      </c>
      <c r="AL1243">
        <f>IF(tbl_HR_Data[[#This Row],[JobSatisfaction]]&lt;=2,1,0)</f>
        <v>0</v>
      </c>
      <c r="AM1243">
        <f>IF(tbl_HR_Data[[#This Row],[MonthlyIncome]]&lt;$AT$2,1,0)</f>
        <v>0</v>
      </c>
      <c r="AN1243">
        <f>IF(tbl_HR_Data[[#This Row],[Travel_Code]]=2,1,0)</f>
        <v>0</v>
      </c>
      <c r="AO1243">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1243" s="15">
        <f>tbl_HR_Data[[#This Row],[Risk_Score_Raw]] / SUM(Logic_Parameters!$B$2:$B$6)</f>
        <v>0.10908033267710357</v>
      </c>
      <c r="AQ1243" s="16" t="str" cm="1">
        <f t="array" ref="AQ1243">_xlfn.IFS(tbl_HR_Data[[#This Row],[Attrition_Risk_Percentage]] &gt;= 0.75, "Critical",tbl_HR_Data[ [#This Row],[Attrition_Risk_Percentage] ]&gt;= 0.5, "High",tbl_HR_Data[[#This Row],[Attrition_Risk_Percentage]] &gt;= 0.25, "Medium",TRUE, "Low")</f>
        <v>Low</v>
      </c>
      <c r="AR1243" s="16" cm="1">
        <f t="array" ref="AR1243">IFERROR(_xlfn.IFS(tbl_HR_Data[[#This Row],[Risk_Category]]="Critical",tbl_HR_Data[[#This Row],[MonthlyIncome]]*1.5,tbl_HR_Data[[#This Row],[Risk_Category]]="High",tbl_HR_Data[[#This Row],[MonthlyIncome]]*1.5),0)</f>
        <v>0</v>
      </c>
    </row>
    <row r="1244" spans="1:44" x14ac:dyDescent="0.35">
      <c r="A1244" t="s">
        <v>260</v>
      </c>
      <c r="B1244">
        <v>40</v>
      </c>
      <c r="C1244" t="s">
        <v>31</v>
      </c>
      <c r="D1244">
        <v>611</v>
      </c>
      <c r="E1244" t="s">
        <v>32</v>
      </c>
      <c r="F1244">
        <v>7</v>
      </c>
      <c r="G1244">
        <v>4</v>
      </c>
      <c r="H1244" t="s">
        <v>44</v>
      </c>
      <c r="I1244">
        <v>2</v>
      </c>
      <c r="J1244" t="s">
        <v>39</v>
      </c>
      <c r="K1244">
        <v>88</v>
      </c>
      <c r="L1244">
        <v>3</v>
      </c>
      <c r="M1244">
        <v>5</v>
      </c>
      <c r="N1244" t="s">
        <v>48</v>
      </c>
      <c r="O1244">
        <v>2</v>
      </c>
      <c r="P1244" t="s">
        <v>36</v>
      </c>
      <c r="Q1244">
        <v>19833</v>
      </c>
      <c r="R1244">
        <v>4349</v>
      </c>
      <c r="S1244">
        <v>1</v>
      </c>
      <c r="T1244">
        <v>0</v>
      </c>
      <c r="U1244" s="17">
        <v>0.14000000000000001</v>
      </c>
      <c r="V1244">
        <v>3</v>
      </c>
      <c r="W1244">
        <v>2</v>
      </c>
      <c r="X1244">
        <v>0</v>
      </c>
      <c r="Y1244">
        <v>21</v>
      </c>
      <c r="Z1244">
        <v>3</v>
      </c>
      <c r="AA1244">
        <v>2</v>
      </c>
      <c r="AB1244">
        <v>21</v>
      </c>
      <c r="AC1244">
        <v>8</v>
      </c>
      <c r="AD1244">
        <v>12</v>
      </c>
      <c r="AE1244">
        <v>8</v>
      </c>
      <c r="AF1244">
        <v>0</v>
      </c>
      <c r="AG1244">
        <f>IF(tbl_HR_Data[[#This Row],[Gender]]="Male",1,0)</f>
        <v>1</v>
      </c>
      <c r="AH1244" cm="1">
        <f t="array" ref="AH1244">_xlfn.SWITCH(tbl_HR_Data[[#This Row],[BusinessTravel]], "Non-Travel", 0, "Travel_Rarely", 1, "Travel_Frequently", 2)</f>
        <v>1</v>
      </c>
      <c r="AI1244" cm="1">
        <f t="array" ref="AI1244">_xlfn.SWITCH(tbl_HR_Data[[#This Row],[MaritalStatus]],"Single",0,"Married",1,"Divorced",2)</f>
        <v>0</v>
      </c>
      <c r="AJ1244">
        <f>IF(tbl_HR_Data[[#This Row],[OverTime]]=1,1,0)</f>
        <v>0</v>
      </c>
      <c r="AK1244">
        <f>IF(tbl_HR_Data[[#This Row],[DistanceFromHome]]&gt;15,1,0)</f>
        <v>0</v>
      </c>
      <c r="AL1244">
        <f>IF(tbl_HR_Data[[#This Row],[JobSatisfaction]]&lt;=2,1,0)</f>
        <v>1</v>
      </c>
      <c r="AM1244">
        <f>IF(tbl_HR_Data[[#This Row],[MonthlyIncome]]&lt;$AT$2,1,0)</f>
        <v>0</v>
      </c>
      <c r="AN1244">
        <f>IF(tbl_HR_Data[[#This Row],[Travel_Code]]=2,1,0)</f>
        <v>0</v>
      </c>
      <c r="AO1244">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244" s="15">
        <f>tbl_HR_Data[[#This Row],[Risk_Score_Raw]] / SUM(Logic_Parameters!$B$2:$B$6)</f>
        <v>0.14485673308716898</v>
      </c>
      <c r="AQ1244" s="16" t="str" cm="1">
        <f t="array" ref="AQ1244">_xlfn.IFS(tbl_HR_Data[[#This Row],[Attrition_Risk_Percentage]] &gt;= 0.75, "Critical",tbl_HR_Data[ [#This Row],[Attrition_Risk_Percentage] ]&gt;= 0.5, "High",tbl_HR_Data[[#This Row],[Attrition_Risk_Percentage]] &gt;= 0.25, "Medium",TRUE, "Low")</f>
        <v>Low</v>
      </c>
      <c r="AR1244" s="16" cm="1">
        <f t="array" ref="AR1244">IFERROR(_xlfn.IFS(tbl_HR_Data[[#This Row],[Risk_Category]]="Critical",tbl_HR_Data[[#This Row],[MonthlyIncome]]*1.5,tbl_HR_Data[[#This Row],[Risk_Category]]="High",tbl_HR_Data[[#This Row],[MonthlyIncome]]*1.5),0)</f>
        <v>0</v>
      </c>
    </row>
    <row r="1245" spans="1:44" x14ac:dyDescent="0.35">
      <c r="A1245" t="s">
        <v>1084</v>
      </c>
      <c r="B1245">
        <v>45</v>
      </c>
      <c r="C1245" t="s">
        <v>31</v>
      </c>
      <c r="D1245">
        <v>176</v>
      </c>
      <c r="E1245" t="s">
        <v>53</v>
      </c>
      <c r="F1245">
        <v>4</v>
      </c>
      <c r="G1245">
        <v>3</v>
      </c>
      <c r="H1245" t="s">
        <v>33</v>
      </c>
      <c r="I1245">
        <v>3</v>
      </c>
      <c r="J1245" t="s">
        <v>34</v>
      </c>
      <c r="K1245">
        <v>56</v>
      </c>
      <c r="L1245">
        <v>1</v>
      </c>
      <c r="M1245">
        <v>3</v>
      </c>
      <c r="N1245" t="s">
        <v>53</v>
      </c>
      <c r="O1245">
        <v>3</v>
      </c>
      <c r="P1245" t="s">
        <v>41</v>
      </c>
      <c r="Q1245">
        <v>9756</v>
      </c>
      <c r="R1245">
        <v>6595</v>
      </c>
      <c r="S1245">
        <v>4</v>
      </c>
      <c r="T1245">
        <v>0</v>
      </c>
      <c r="U1245" s="17">
        <v>0.21</v>
      </c>
      <c r="V1245">
        <v>4</v>
      </c>
      <c r="W1245">
        <v>3</v>
      </c>
      <c r="X1245">
        <v>2</v>
      </c>
      <c r="Y1245">
        <v>9</v>
      </c>
      <c r="Z1245">
        <v>2</v>
      </c>
      <c r="AA1245">
        <v>4</v>
      </c>
      <c r="AB1245">
        <v>5</v>
      </c>
      <c r="AC1245">
        <v>0</v>
      </c>
      <c r="AD1245">
        <v>0</v>
      </c>
      <c r="AE1245">
        <v>3</v>
      </c>
      <c r="AF1245">
        <v>0</v>
      </c>
      <c r="AG1245">
        <f>IF(tbl_HR_Data[[#This Row],[Gender]]="Male",1,0)</f>
        <v>0</v>
      </c>
      <c r="AH1245" cm="1">
        <f t="array" ref="AH1245">_xlfn.SWITCH(tbl_HR_Data[[#This Row],[BusinessTravel]], "Non-Travel", 0, "Travel_Rarely", 1, "Travel_Frequently", 2)</f>
        <v>1</v>
      </c>
      <c r="AI1245" cm="1">
        <f t="array" ref="AI1245">_xlfn.SWITCH(tbl_HR_Data[[#This Row],[MaritalStatus]],"Single",0,"Married",1,"Divorced",2)</f>
        <v>1</v>
      </c>
      <c r="AJ1245">
        <f>IF(tbl_HR_Data[[#This Row],[OverTime]]=1,1,0)</f>
        <v>0</v>
      </c>
      <c r="AK1245">
        <f>IF(tbl_HR_Data[[#This Row],[DistanceFromHome]]&gt;15,1,0)</f>
        <v>0</v>
      </c>
      <c r="AL1245">
        <f>IF(tbl_HR_Data[[#This Row],[JobSatisfaction]]&lt;=2,1,0)</f>
        <v>0</v>
      </c>
      <c r="AM1245">
        <f>IF(tbl_HR_Data[[#This Row],[MonthlyIncome]]&lt;$AT$2,1,0)</f>
        <v>0</v>
      </c>
      <c r="AN1245">
        <f>IF(tbl_HR_Data[[#This Row],[Travel_Code]]=2,1,0)</f>
        <v>0</v>
      </c>
      <c r="AO1245">
        <f>(tbl_HR_Data[[#This Row],[Flag_OT]] * Logic_Parameters!$B$2) +
 (tbl_HR_Data[[#This Row],[Flag_Travel]] * Logic_Parameters!$B$3) +
 (tbl_HR_Data[[#This Row],[Flag_Satisfaction]] * Logic_Parameters!$B$4) +
 (tbl_HR_Data[[#This Row],[Flag_Distance]]* Logic_Parameters!$B$5) +
 (tbl_HR_Data[[#This Row],[Flag_Income]] * Logic_Parameters!$B$6)</f>
        <v>0</v>
      </c>
      <c r="AP1245" s="15">
        <f>tbl_HR_Data[[#This Row],[Risk_Score_Raw]] / SUM(Logic_Parameters!$B$2:$B$6)</f>
        <v>0</v>
      </c>
      <c r="AQ1245" s="16" t="str" cm="1">
        <f t="array" ref="AQ1245">_xlfn.IFS(tbl_HR_Data[[#This Row],[Attrition_Risk_Percentage]] &gt;= 0.75, "Critical",tbl_HR_Data[ [#This Row],[Attrition_Risk_Percentage] ]&gt;= 0.5, "High",tbl_HR_Data[[#This Row],[Attrition_Risk_Percentage]] &gt;= 0.25, "Medium",TRUE, "Low")</f>
        <v>Low</v>
      </c>
      <c r="AR1245" s="16" cm="1">
        <f t="array" ref="AR1245">IFERROR(_xlfn.IFS(tbl_HR_Data[[#This Row],[Risk_Category]]="Critical",tbl_HR_Data[[#This Row],[MonthlyIncome]]*1.5,tbl_HR_Data[[#This Row],[Risk_Category]]="High",tbl_HR_Data[[#This Row],[MonthlyIncome]]*1.5),0)</f>
        <v>0</v>
      </c>
    </row>
    <row r="1246" spans="1:44" x14ac:dyDescent="0.35">
      <c r="A1246" t="s">
        <v>1500</v>
      </c>
      <c r="B1246">
        <v>30</v>
      </c>
      <c r="C1246" t="s">
        <v>37</v>
      </c>
      <c r="D1246">
        <v>1312</v>
      </c>
      <c r="E1246" t="s">
        <v>38</v>
      </c>
      <c r="F1246">
        <v>2</v>
      </c>
      <c r="G1246">
        <v>4</v>
      </c>
      <c r="H1246" t="s">
        <v>52</v>
      </c>
      <c r="I1246">
        <v>4</v>
      </c>
      <c r="J1246" t="s">
        <v>34</v>
      </c>
      <c r="K1246">
        <v>78</v>
      </c>
      <c r="L1246">
        <v>2</v>
      </c>
      <c r="M1246">
        <v>1</v>
      </c>
      <c r="N1246" t="s">
        <v>40</v>
      </c>
      <c r="O1246">
        <v>1</v>
      </c>
      <c r="P1246" t="s">
        <v>36</v>
      </c>
      <c r="Q1246">
        <v>4968</v>
      </c>
      <c r="R1246">
        <v>26427</v>
      </c>
      <c r="S1246">
        <v>0</v>
      </c>
      <c r="T1246">
        <v>0</v>
      </c>
      <c r="U1246" s="17">
        <v>0.16</v>
      </c>
      <c r="V1246">
        <v>3</v>
      </c>
      <c r="W1246">
        <v>4</v>
      </c>
      <c r="X1246">
        <v>0</v>
      </c>
      <c r="Y1246">
        <v>10</v>
      </c>
      <c r="Z1246">
        <v>2</v>
      </c>
      <c r="AA1246">
        <v>3</v>
      </c>
      <c r="AB1246">
        <v>9</v>
      </c>
      <c r="AC1246">
        <v>7</v>
      </c>
      <c r="AD1246">
        <v>0</v>
      </c>
      <c r="AE1246">
        <v>7</v>
      </c>
      <c r="AF1246">
        <v>0</v>
      </c>
      <c r="AG1246">
        <f>IF(tbl_HR_Data[[#This Row],[Gender]]="Male",1,0)</f>
        <v>0</v>
      </c>
      <c r="AH1246" cm="1">
        <f t="array" ref="AH1246">_xlfn.SWITCH(tbl_HR_Data[[#This Row],[BusinessTravel]], "Non-Travel", 0, "Travel_Rarely", 1, "Travel_Frequently", 2)</f>
        <v>2</v>
      </c>
      <c r="AI1246" cm="1">
        <f t="array" ref="AI1246">_xlfn.SWITCH(tbl_HR_Data[[#This Row],[MaritalStatus]],"Single",0,"Married",1,"Divorced",2)</f>
        <v>0</v>
      </c>
      <c r="AJ1246">
        <f>IF(tbl_HR_Data[[#This Row],[OverTime]]=1,1,0)</f>
        <v>0</v>
      </c>
      <c r="AK1246">
        <f>IF(tbl_HR_Data[[#This Row],[DistanceFromHome]]&gt;15,1,0)</f>
        <v>0</v>
      </c>
      <c r="AL1246">
        <f>IF(tbl_HR_Data[[#This Row],[JobSatisfaction]]&lt;=2,1,0)</f>
        <v>1</v>
      </c>
      <c r="AM1246">
        <f>IF(tbl_HR_Data[[#This Row],[MonthlyIncome]]&lt;$AT$2,1,0)</f>
        <v>0</v>
      </c>
      <c r="AN1246">
        <f>IF(tbl_HR_Data[[#This Row],[Travel_Code]]=2,1,0)</f>
        <v>1</v>
      </c>
      <c r="AO1246">
        <f>(tbl_HR_Data[[#This Row],[Flag_OT]] * Logic_Parameters!$B$2) +
 (tbl_HR_Data[[#This Row],[Flag_Travel]] * Logic_Parameters!$B$3) +
 (tbl_HR_Data[[#This Row],[Flag_Satisfaction]] * Logic_Parameters!$B$4) +
 (tbl_HR_Data[[#This Row],[Flag_Distance]]* Logic_Parameters!$B$5) +
 (tbl_HR_Data[[#This Row],[Flag_Income]] * Logic_Parameters!$B$6)</f>
        <v>9.3649231104683075</v>
      </c>
      <c r="AP1246" s="15">
        <f>tbl_HR_Data[[#This Row],[Risk_Score_Raw]] / SUM(Logic_Parameters!$B$2:$B$6)</f>
        <v>0.32264513691726432</v>
      </c>
      <c r="AQ1246" s="16" t="str" cm="1">
        <f t="array" ref="AQ1246">_xlfn.IFS(tbl_HR_Data[[#This Row],[Attrition_Risk_Percentage]] &gt;= 0.75, "Critical",tbl_HR_Data[ [#This Row],[Attrition_Risk_Percentage] ]&gt;= 0.5, "High",tbl_HR_Data[[#This Row],[Attrition_Risk_Percentage]] &gt;= 0.25, "Medium",TRUE, "Low")</f>
        <v>Medium</v>
      </c>
      <c r="AR1246" s="16" cm="1">
        <f t="array" ref="AR1246">IFERROR(_xlfn.IFS(tbl_HR_Data[[#This Row],[Risk_Category]]="Critical",tbl_HR_Data[[#This Row],[MonthlyIncome]]*1.5,tbl_HR_Data[[#This Row],[Risk_Category]]="High",tbl_HR_Data[[#This Row],[MonthlyIncome]]*1.5),0)</f>
        <v>0</v>
      </c>
    </row>
    <row r="1247" spans="1:44" x14ac:dyDescent="0.35">
      <c r="A1247" t="s">
        <v>596</v>
      </c>
      <c r="B1247">
        <v>24</v>
      </c>
      <c r="C1247" t="s">
        <v>37</v>
      </c>
      <c r="D1247">
        <v>897</v>
      </c>
      <c r="E1247" t="s">
        <v>53</v>
      </c>
      <c r="F1247">
        <v>10</v>
      </c>
      <c r="G1247">
        <v>3</v>
      </c>
      <c r="H1247" t="s">
        <v>44</v>
      </c>
      <c r="I1247">
        <v>1</v>
      </c>
      <c r="J1247" t="s">
        <v>39</v>
      </c>
      <c r="K1247">
        <v>59</v>
      </c>
      <c r="L1247">
        <v>3</v>
      </c>
      <c r="M1247">
        <v>1</v>
      </c>
      <c r="N1247" t="s">
        <v>53</v>
      </c>
      <c r="O1247">
        <v>4</v>
      </c>
      <c r="P1247" t="s">
        <v>41</v>
      </c>
      <c r="Q1247">
        <v>2145</v>
      </c>
      <c r="R1247">
        <v>2097</v>
      </c>
      <c r="S1247">
        <v>0</v>
      </c>
      <c r="T1247">
        <v>0</v>
      </c>
      <c r="U1247" s="17">
        <v>0.14000000000000001</v>
      </c>
      <c r="V1247">
        <v>3</v>
      </c>
      <c r="W1247">
        <v>4</v>
      </c>
      <c r="X1247">
        <v>1</v>
      </c>
      <c r="Y1247">
        <v>3</v>
      </c>
      <c r="Z1247">
        <v>2</v>
      </c>
      <c r="AA1247">
        <v>3</v>
      </c>
      <c r="AB1247">
        <v>2</v>
      </c>
      <c r="AC1247">
        <v>2</v>
      </c>
      <c r="AD1247">
        <v>2</v>
      </c>
      <c r="AE1247">
        <v>1</v>
      </c>
      <c r="AF1247">
        <v>0</v>
      </c>
      <c r="AG1247">
        <f>IF(tbl_HR_Data[[#This Row],[Gender]]="Male",1,0)</f>
        <v>1</v>
      </c>
      <c r="AH1247" cm="1">
        <f t="array" ref="AH1247">_xlfn.SWITCH(tbl_HR_Data[[#This Row],[BusinessTravel]], "Non-Travel", 0, "Travel_Rarely", 1, "Travel_Frequently", 2)</f>
        <v>2</v>
      </c>
      <c r="AI1247" cm="1">
        <f t="array" ref="AI1247">_xlfn.SWITCH(tbl_HR_Data[[#This Row],[MaritalStatus]],"Single",0,"Married",1,"Divorced",2)</f>
        <v>1</v>
      </c>
      <c r="AJ1247">
        <f>IF(tbl_HR_Data[[#This Row],[OverTime]]=1,1,0)</f>
        <v>0</v>
      </c>
      <c r="AK1247">
        <f>IF(tbl_HR_Data[[#This Row],[DistanceFromHome]]&gt;15,1,0)</f>
        <v>0</v>
      </c>
      <c r="AL1247">
        <f>IF(tbl_HR_Data[[#This Row],[JobSatisfaction]]&lt;=2,1,0)</f>
        <v>0</v>
      </c>
      <c r="AM1247">
        <f>IF(tbl_HR_Data[[#This Row],[MonthlyIncome]]&lt;$AT$2,1,0)</f>
        <v>1</v>
      </c>
      <c r="AN1247">
        <f>IF(tbl_HR_Data[[#This Row],[Travel_Code]]=2,1,0)</f>
        <v>1</v>
      </c>
      <c r="AO1247">
        <f>(tbl_HR_Data[[#This Row],[Flag_OT]] * Logic_Parameters!$B$2) +
 (tbl_HR_Data[[#This Row],[Flag_Travel]] * Logic_Parameters!$B$3) +
 (tbl_HR_Data[[#This Row],[Flag_Satisfaction]] * Logic_Parameters!$B$4) +
 (tbl_HR_Data[[#This Row],[Flag_Distance]]* Logic_Parameters!$B$5) +
 (tbl_HR_Data[[#This Row],[Flag_Income]] * Logic_Parameters!$B$6)</f>
        <v>11.654818917911005</v>
      </c>
      <c r="AP1247" s="15">
        <f>tbl_HR_Data[[#This Row],[Risk_Score_Raw]] / SUM(Logic_Parameters!$B$2:$B$6)</f>
        <v>0.40153780240992015</v>
      </c>
      <c r="AQ1247" s="16" t="str" cm="1">
        <f t="array" ref="AQ1247">_xlfn.IFS(tbl_HR_Data[[#This Row],[Attrition_Risk_Percentage]] &gt;= 0.75, "Critical",tbl_HR_Data[ [#This Row],[Attrition_Risk_Percentage] ]&gt;= 0.5, "High",tbl_HR_Data[[#This Row],[Attrition_Risk_Percentage]] &gt;= 0.25, "Medium",TRUE, "Low")</f>
        <v>Medium</v>
      </c>
      <c r="AR1247" s="16" cm="1">
        <f t="array" ref="AR1247">IFERROR(_xlfn.IFS(tbl_HR_Data[[#This Row],[Risk_Category]]="Critical",tbl_HR_Data[[#This Row],[MonthlyIncome]]*1.5,tbl_HR_Data[[#This Row],[Risk_Category]]="High",tbl_HR_Data[[#This Row],[MonthlyIncome]]*1.5),0)</f>
        <v>0</v>
      </c>
    </row>
    <row r="1248" spans="1:44" x14ac:dyDescent="0.35">
      <c r="A1248" t="s">
        <v>1146</v>
      </c>
      <c r="B1248">
        <v>30</v>
      </c>
      <c r="C1248" t="s">
        <v>37</v>
      </c>
      <c r="D1248">
        <v>600</v>
      </c>
      <c r="E1248" t="s">
        <v>53</v>
      </c>
      <c r="F1248">
        <v>8</v>
      </c>
      <c r="G1248">
        <v>3</v>
      </c>
      <c r="H1248" t="s">
        <v>53</v>
      </c>
      <c r="I1248">
        <v>3</v>
      </c>
      <c r="J1248" t="s">
        <v>34</v>
      </c>
      <c r="K1248">
        <v>66</v>
      </c>
      <c r="L1248">
        <v>2</v>
      </c>
      <c r="M1248">
        <v>1</v>
      </c>
      <c r="N1248" t="s">
        <v>53</v>
      </c>
      <c r="O1248">
        <v>4</v>
      </c>
      <c r="P1248" t="s">
        <v>45</v>
      </c>
      <c r="Q1248">
        <v>2180</v>
      </c>
      <c r="R1248">
        <v>9732</v>
      </c>
      <c r="S1248">
        <v>6</v>
      </c>
      <c r="T1248">
        <v>0</v>
      </c>
      <c r="U1248" s="17">
        <v>0.11</v>
      </c>
      <c r="V1248">
        <v>3</v>
      </c>
      <c r="W1248">
        <v>3</v>
      </c>
      <c r="X1248">
        <v>1</v>
      </c>
      <c r="Y1248">
        <v>6</v>
      </c>
      <c r="Z1248">
        <v>0</v>
      </c>
      <c r="AA1248">
        <v>2</v>
      </c>
      <c r="AB1248">
        <v>4</v>
      </c>
      <c r="AC1248">
        <v>2</v>
      </c>
      <c r="AD1248">
        <v>1</v>
      </c>
      <c r="AE1248">
        <v>2</v>
      </c>
      <c r="AF1248">
        <v>1</v>
      </c>
      <c r="AG1248">
        <f>IF(tbl_HR_Data[[#This Row],[Gender]]="Male",1,0)</f>
        <v>0</v>
      </c>
      <c r="AH1248" cm="1">
        <f t="array" ref="AH1248">_xlfn.SWITCH(tbl_HR_Data[[#This Row],[BusinessTravel]], "Non-Travel", 0, "Travel_Rarely", 1, "Travel_Frequently", 2)</f>
        <v>2</v>
      </c>
      <c r="AI1248" cm="1">
        <f t="array" ref="AI1248">_xlfn.SWITCH(tbl_HR_Data[[#This Row],[MaritalStatus]],"Single",0,"Married",1,"Divorced",2)</f>
        <v>2</v>
      </c>
      <c r="AJ1248">
        <f>IF(tbl_HR_Data[[#This Row],[OverTime]]=1,1,0)</f>
        <v>0</v>
      </c>
      <c r="AK1248">
        <f>IF(tbl_HR_Data[[#This Row],[DistanceFromHome]]&gt;15,1,0)</f>
        <v>0</v>
      </c>
      <c r="AL1248">
        <f>IF(tbl_HR_Data[[#This Row],[JobSatisfaction]]&lt;=2,1,0)</f>
        <v>0</v>
      </c>
      <c r="AM1248">
        <f>IF(tbl_HR_Data[[#This Row],[MonthlyIncome]]&lt;$AT$2,1,0)</f>
        <v>1</v>
      </c>
      <c r="AN1248">
        <f>IF(tbl_HR_Data[[#This Row],[Travel_Code]]=2,1,0)</f>
        <v>1</v>
      </c>
      <c r="AO1248">
        <f>(tbl_HR_Data[[#This Row],[Flag_OT]] * Logic_Parameters!$B$2) +
 (tbl_HR_Data[[#This Row],[Flag_Travel]] * Logic_Parameters!$B$3) +
 (tbl_HR_Data[[#This Row],[Flag_Satisfaction]] * Logic_Parameters!$B$4) +
 (tbl_HR_Data[[#This Row],[Flag_Distance]]* Logic_Parameters!$B$5) +
 (tbl_HR_Data[[#This Row],[Flag_Income]] * Logic_Parameters!$B$6)</f>
        <v>11.654818917911005</v>
      </c>
      <c r="AP1248" s="15">
        <f>tbl_HR_Data[[#This Row],[Risk_Score_Raw]] / SUM(Logic_Parameters!$B$2:$B$6)</f>
        <v>0.40153780240992015</v>
      </c>
      <c r="AQ1248" s="16" t="str" cm="1">
        <f t="array" ref="AQ1248">_xlfn.IFS(tbl_HR_Data[[#This Row],[Attrition_Risk_Percentage]] &gt;= 0.75, "Critical",tbl_HR_Data[ [#This Row],[Attrition_Risk_Percentage] ]&gt;= 0.5, "High",tbl_HR_Data[[#This Row],[Attrition_Risk_Percentage]] &gt;= 0.25, "Medium",TRUE, "Low")</f>
        <v>Medium</v>
      </c>
      <c r="AR1248" s="16" cm="1">
        <f t="array" ref="AR1248">IFERROR(_xlfn.IFS(tbl_HR_Data[[#This Row],[Risk_Category]]="Critical",tbl_HR_Data[[#This Row],[MonthlyIncome]]*1.5,tbl_HR_Data[[#This Row],[Risk_Category]]="High",tbl_HR_Data[[#This Row],[MonthlyIncome]]*1.5),0)</f>
        <v>0</v>
      </c>
    </row>
    <row r="1249" spans="1:44" x14ac:dyDescent="0.35">
      <c r="A1249" t="s">
        <v>1067</v>
      </c>
      <c r="B1249">
        <v>31</v>
      </c>
      <c r="C1249" t="s">
        <v>31</v>
      </c>
      <c r="D1249">
        <v>1003</v>
      </c>
      <c r="E1249" t="s">
        <v>32</v>
      </c>
      <c r="F1249">
        <v>5</v>
      </c>
      <c r="G1249">
        <v>3</v>
      </c>
      <c r="H1249" t="s">
        <v>52</v>
      </c>
      <c r="I1249">
        <v>1</v>
      </c>
      <c r="J1249" t="s">
        <v>39</v>
      </c>
      <c r="K1249">
        <v>51</v>
      </c>
      <c r="L1249">
        <v>3</v>
      </c>
      <c r="M1249">
        <v>2</v>
      </c>
      <c r="N1249" t="s">
        <v>35</v>
      </c>
      <c r="O1249">
        <v>3</v>
      </c>
      <c r="P1249" t="s">
        <v>41</v>
      </c>
      <c r="Q1249">
        <v>8346</v>
      </c>
      <c r="R1249">
        <v>20943</v>
      </c>
      <c r="S1249">
        <v>1</v>
      </c>
      <c r="T1249">
        <v>0</v>
      </c>
      <c r="U1249" s="17">
        <v>0.19</v>
      </c>
      <c r="V1249">
        <v>3</v>
      </c>
      <c r="W1249">
        <v>3</v>
      </c>
      <c r="X1249">
        <v>1</v>
      </c>
      <c r="Y1249">
        <v>6</v>
      </c>
      <c r="Z1249">
        <v>3</v>
      </c>
      <c r="AA1249">
        <v>3</v>
      </c>
      <c r="AB1249">
        <v>5</v>
      </c>
      <c r="AC1249">
        <v>2</v>
      </c>
      <c r="AD1249">
        <v>0</v>
      </c>
      <c r="AE1249">
        <v>2</v>
      </c>
      <c r="AF1249">
        <v>0</v>
      </c>
      <c r="AG1249">
        <f>IF(tbl_HR_Data[[#This Row],[Gender]]="Male",1,0)</f>
        <v>1</v>
      </c>
      <c r="AH1249" cm="1">
        <f t="array" ref="AH1249">_xlfn.SWITCH(tbl_HR_Data[[#This Row],[BusinessTravel]], "Non-Travel", 0, "Travel_Rarely", 1, "Travel_Frequently", 2)</f>
        <v>1</v>
      </c>
      <c r="AI1249" cm="1">
        <f t="array" ref="AI1249">_xlfn.SWITCH(tbl_HR_Data[[#This Row],[MaritalStatus]],"Single",0,"Married",1,"Divorced",2)</f>
        <v>1</v>
      </c>
      <c r="AJ1249">
        <f>IF(tbl_HR_Data[[#This Row],[OverTime]]=1,1,0)</f>
        <v>0</v>
      </c>
      <c r="AK1249">
        <f>IF(tbl_HR_Data[[#This Row],[DistanceFromHome]]&gt;15,1,0)</f>
        <v>0</v>
      </c>
      <c r="AL1249">
        <f>IF(tbl_HR_Data[[#This Row],[JobSatisfaction]]&lt;=2,1,0)</f>
        <v>0</v>
      </c>
      <c r="AM1249">
        <f>IF(tbl_HR_Data[[#This Row],[MonthlyIncome]]&lt;$AT$2,1,0)</f>
        <v>0</v>
      </c>
      <c r="AN1249">
        <f>IF(tbl_HR_Data[[#This Row],[Travel_Code]]=2,1,0)</f>
        <v>0</v>
      </c>
      <c r="AO1249">
        <f>(tbl_HR_Data[[#This Row],[Flag_OT]] * Logic_Parameters!$B$2) +
 (tbl_HR_Data[[#This Row],[Flag_Travel]] * Logic_Parameters!$B$3) +
 (tbl_HR_Data[[#This Row],[Flag_Satisfaction]] * Logic_Parameters!$B$4) +
 (tbl_HR_Data[[#This Row],[Flag_Distance]]* Logic_Parameters!$B$5) +
 (tbl_HR_Data[[#This Row],[Flag_Income]] * Logic_Parameters!$B$6)</f>
        <v>0</v>
      </c>
      <c r="AP1249" s="15">
        <f>tbl_HR_Data[[#This Row],[Risk_Score_Raw]] / SUM(Logic_Parameters!$B$2:$B$6)</f>
        <v>0</v>
      </c>
      <c r="AQ1249" s="16" t="str" cm="1">
        <f t="array" ref="AQ1249">_xlfn.IFS(tbl_HR_Data[[#This Row],[Attrition_Risk_Percentage]] &gt;= 0.75, "Critical",tbl_HR_Data[ [#This Row],[Attrition_Risk_Percentage] ]&gt;= 0.5, "High",tbl_HR_Data[[#This Row],[Attrition_Risk_Percentage]] &gt;= 0.25, "Medium",TRUE, "Low")</f>
        <v>Low</v>
      </c>
      <c r="AR1249" s="16" cm="1">
        <f t="array" ref="AR1249">IFERROR(_xlfn.IFS(tbl_HR_Data[[#This Row],[Risk_Category]]="Critical",tbl_HR_Data[[#This Row],[MonthlyIncome]]*1.5,tbl_HR_Data[[#This Row],[Risk_Category]]="High",tbl_HR_Data[[#This Row],[MonthlyIncome]]*1.5),0)</f>
        <v>0</v>
      </c>
    </row>
    <row r="1250" spans="1:44" x14ac:dyDescent="0.35">
      <c r="A1250" t="s">
        <v>1152</v>
      </c>
      <c r="B1250">
        <v>27</v>
      </c>
      <c r="C1250" t="s">
        <v>31</v>
      </c>
      <c r="D1250">
        <v>1054</v>
      </c>
      <c r="E1250" t="s">
        <v>38</v>
      </c>
      <c r="F1250">
        <v>8</v>
      </c>
      <c r="G1250">
        <v>3</v>
      </c>
      <c r="H1250" t="s">
        <v>44</v>
      </c>
      <c r="I1250">
        <v>3</v>
      </c>
      <c r="J1250" t="s">
        <v>34</v>
      </c>
      <c r="K1250">
        <v>67</v>
      </c>
      <c r="L1250">
        <v>3</v>
      </c>
      <c r="M1250">
        <v>1</v>
      </c>
      <c r="N1250" t="s">
        <v>40</v>
      </c>
      <c r="O1250">
        <v>4</v>
      </c>
      <c r="P1250" t="s">
        <v>36</v>
      </c>
      <c r="Q1250">
        <v>3445</v>
      </c>
      <c r="R1250">
        <v>6152</v>
      </c>
      <c r="S1250">
        <v>1</v>
      </c>
      <c r="T1250">
        <v>0</v>
      </c>
      <c r="U1250" s="17">
        <v>0.11</v>
      </c>
      <c r="V1250">
        <v>3</v>
      </c>
      <c r="W1250">
        <v>3</v>
      </c>
      <c r="X1250">
        <v>0</v>
      </c>
      <c r="Y1250">
        <v>6</v>
      </c>
      <c r="Z1250">
        <v>5</v>
      </c>
      <c r="AA1250">
        <v>2</v>
      </c>
      <c r="AB1250">
        <v>6</v>
      </c>
      <c r="AC1250">
        <v>2</v>
      </c>
      <c r="AD1250">
        <v>1</v>
      </c>
      <c r="AE1250">
        <v>4</v>
      </c>
      <c r="AF1250">
        <v>0</v>
      </c>
      <c r="AG1250">
        <f>IF(tbl_HR_Data[[#This Row],[Gender]]="Male",1,0)</f>
        <v>0</v>
      </c>
      <c r="AH1250" cm="1">
        <f t="array" ref="AH1250">_xlfn.SWITCH(tbl_HR_Data[[#This Row],[BusinessTravel]], "Non-Travel", 0, "Travel_Rarely", 1, "Travel_Frequently", 2)</f>
        <v>1</v>
      </c>
      <c r="AI1250" cm="1">
        <f t="array" ref="AI1250">_xlfn.SWITCH(tbl_HR_Data[[#This Row],[MaritalStatus]],"Single",0,"Married",1,"Divorced",2)</f>
        <v>0</v>
      </c>
      <c r="AJ1250">
        <f>IF(tbl_HR_Data[[#This Row],[OverTime]]=1,1,0)</f>
        <v>0</v>
      </c>
      <c r="AK1250">
        <f>IF(tbl_HR_Data[[#This Row],[DistanceFromHome]]&gt;15,1,0)</f>
        <v>0</v>
      </c>
      <c r="AL1250">
        <f>IF(tbl_HR_Data[[#This Row],[JobSatisfaction]]&lt;=2,1,0)</f>
        <v>0</v>
      </c>
      <c r="AM1250">
        <f>IF(tbl_HR_Data[[#This Row],[MonthlyIncome]]&lt;$AT$2,1,0)</f>
        <v>1</v>
      </c>
      <c r="AN1250">
        <f>IF(tbl_HR_Data[[#This Row],[Travel_Code]]=2,1,0)</f>
        <v>0</v>
      </c>
      <c r="AO1250">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250" s="15">
        <f>tbl_HR_Data[[#This Row],[Risk_Score_Raw]] / SUM(Logic_Parameters!$B$2:$B$6)</f>
        <v>0.22374939857982484</v>
      </c>
      <c r="AQ1250" s="16" t="str" cm="1">
        <f t="array" ref="AQ1250">_xlfn.IFS(tbl_HR_Data[[#This Row],[Attrition_Risk_Percentage]] &gt;= 0.75, "Critical",tbl_HR_Data[ [#This Row],[Attrition_Risk_Percentage] ]&gt;= 0.5, "High",tbl_HR_Data[[#This Row],[Attrition_Risk_Percentage]] &gt;= 0.25, "Medium",TRUE, "Low")</f>
        <v>Low</v>
      </c>
      <c r="AR1250" s="16" cm="1">
        <f t="array" ref="AR1250">IFERROR(_xlfn.IFS(tbl_HR_Data[[#This Row],[Risk_Category]]="Critical",tbl_HR_Data[[#This Row],[MonthlyIncome]]*1.5,tbl_HR_Data[[#This Row],[Risk_Category]]="High",tbl_HR_Data[[#This Row],[MonthlyIncome]]*1.5),0)</f>
        <v>0</v>
      </c>
    </row>
    <row r="1251" spans="1:44" x14ac:dyDescent="0.35">
      <c r="A1251" t="s">
        <v>554</v>
      </c>
      <c r="B1251">
        <v>29</v>
      </c>
      <c r="C1251" t="s">
        <v>31</v>
      </c>
      <c r="D1251">
        <v>428</v>
      </c>
      <c r="E1251" t="s">
        <v>32</v>
      </c>
      <c r="F1251">
        <v>9</v>
      </c>
      <c r="G1251">
        <v>3</v>
      </c>
      <c r="H1251" t="s">
        <v>51</v>
      </c>
      <c r="I1251">
        <v>2</v>
      </c>
      <c r="J1251" t="s">
        <v>34</v>
      </c>
      <c r="K1251">
        <v>52</v>
      </c>
      <c r="L1251">
        <v>1</v>
      </c>
      <c r="M1251">
        <v>1</v>
      </c>
      <c r="N1251" t="s">
        <v>49</v>
      </c>
      <c r="O1251">
        <v>2</v>
      </c>
      <c r="P1251" t="s">
        <v>36</v>
      </c>
      <c r="Q1251">
        <v>2760</v>
      </c>
      <c r="R1251">
        <v>14630</v>
      </c>
      <c r="S1251">
        <v>1</v>
      </c>
      <c r="T1251">
        <v>0</v>
      </c>
      <c r="U1251" s="17">
        <v>0.13</v>
      </c>
      <c r="V1251">
        <v>3</v>
      </c>
      <c r="W1251">
        <v>3</v>
      </c>
      <c r="X1251">
        <v>0</v>
      </c>
      <c r="Y1251">
        <v>2</v>
      </c>
      <c r="Z1251">
        <v>3</v>
      </c>
      <c r="AA1251">
        <v>3</v>
      </c>
      <c r="AB1251">
        <v>2</v>
      </c>
      <c r="AC1251">
        <v>2</v>
      </c>
      <c r="AD1251">
        <v>2</v>
      </c>
      <c r="AE1251">
        <v>2</v>
      </c>
      <c r="AF1251">
        <v>1</v>
      </c>
      <c r="AG1251">
        <f>IF(tbl_HR_Data[[#This Row],[Gender]]="Male",1,0)</f>
        <v>0</v>
      </c>
      <c r="AH1251" cm="1">
        <f t="array" ref="AH1251">_xlfn.SWITCH(tbl_HR_Data[[#This Row],[BusinessTravel]], "Non-Travel", 0, "Travel_Rarely", 1, "Travel_Frequently", 2)</f>
        <v>1</v>
      </c>
      <c r="AI1251" cm="1">
        <f t="array" ref="AI1251">_xlfn.SWITCH(tbl_HR_Data[[#This Row],[MaritalStatus]],"Single",0,"Married",1,"Divorced",2)</f>
        <v>0</v>
      </c>
      <c r="AJ1251">
        <f>IF(tbl_HR_Data[[#This Row],[OverTime]]=1,1,0)</f>
        <v>0</v>
      </c>
      <c r="AK1251">
        <f>IF(tbl_HR_Data[[#This Row],[DistanceFromHome]]&gt;15,1,0)</f>
        <v>0</v>
      </c>
      <c r="AL1251">
        <f>IF(tbl_HR_Data[[#This Row],[JobSatisfaction]]&lt;=2,1,0)</f>
        <v>1</v>
      </c>
      <c r="AM1251">
        <f>IF(tbl_HR_Data[[#This Row],[MonthlyIncome]]&lt;$AT$2,1,0)</f>
        <v>1</v>
      </c>
      <c r="AN1251">
        <f>IF(tbl_HR_Data[[#This Row],[Travel_Code]]=2,1,0)</f>
        <v>0</v>
      </c>
      <c r="AO1251">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251" s="15">
        <f>tbl_HR_Data[[#This Row],[Risk_Score_Raw]] / SUM(Logic_Parameters!$B$2:$B$6)</f>
        <v>0.3686061316669938</v>
      </c>
      <c r="AQ1251" s="16" t="str" cm="1">
        <f t="array" ref="AQ1251">_xlfn.IFS(tbl_HR_Data[[#This Row],[Attrition_Risk_Percentage]] &gt;= 0.75, "Critical",tbl_HR_Data[ [#This Row],[Attrition_Risk_Percentage] ]&gt;= 0.5, "High",tbl_HR_Data[[#This Row],[Attrition_Risk_Percentage]] &gt;= 0.25, "Medium",TRUE, "Low")</f>
        <v>Medium</v>
      </c>
      <c r="AR1251" s="16" cm="1">
        <f t="array" ref="AR1251">IFERROR(_xlfn.IFS(tbl_HR_Data[[#This Row],[Risk_Category]]="Critical",tbl_HR_Data[[#This Row],[MonthlyIncome]]*1.5,tbl_HR_Data[[#This Row],[Risk_Category]]="High",tbl_HR_Data[[#This Row],[MonthlyIncome]]*1.5),0)</f>
        <v>0</v>
      </c>
    </row>
    <row r="1252" spans="1:44" x14ac:dyDescent="0.35">
      <c r="A1252" t="s">
        <v>1098</v>
      </c>
      <c r="B1252">
        <v>29</v>
      </c>
      <c r="C1252" t="s">
        <v>37</v>
      </c>
      <c r="D1252">
        <v>461</v>
      </c>
      <c r="E1252" t="s">
        <v>38</v>
      </c>
      <c r="F1252">
        <v>1</v>
      </c>
      <c r="G1252">
        <v>3</v>
      </c>
      <c r="H1252" t="s">
        <v>33</v>
      </c>
      <c r="I1252">
        <v>4</v>
      </c>
      <c r="J1252" t="s">
        <v>39</v>
      </c>
      <c r="K1252">
        <v>70</v>
      </c>
      <c r="L1252">
        <v>4</v>
      </c>
      <c r="M1252">
        <v>2</v>
      </c>
      <c r="N1252" t="s">
        <v>47</v>
      </c>
      <c r="O1252">
        <v>3</v>
      </c>
      <c r="P1252" t="s">
        <v>36</v>
      </c>
      <c r="Q1252">
        <v>6294</v>
      </c>
      <c r="R1252">
        <v>23060</v>
      </c>
      <c r="S1252">
        <v>8</v>
      </c>
      <c r="T1252">
        <v>1</v>
      </c>
      <c r="U1252" s="17">
        <v>0.12</v>
      </c>
      <c r="V1252">
        <v>3</v>
      </c>
      <c r="W1252">
        <v>4</v>
      </c>
      <c r="X1252">
        <v>0</v>
      </c>
      <c r="Y1252">
        <v>10</v>
      </c>
      <c r="Z1252">
        <v>5</v>
      </c>
      <c r="AA1252">
        <v>4</v>
      </c>
      <c r="AB1252">
        <v>3</v>
      </c>
      <c r="AC1252">
        <v>2</v>
      </c>
      <c r="AD1252">
        <v>0</v>
      </c>
      <c r="AE1252">
        <v>2</v>
      </c>
      <c r="AF1252">
        <v>0</v>
      </c>
      <c r="AG1252">
        <f>IF(tbl_HR_Data[[#This Row],[Gender]]="Male",1,0)</f>
        <v>1</v>
      </c>
      <c r="AH1252" cm="1">
        <f t="array" ref="AH1252">_xlfn.SWITCH(tbl_HR_Data[[#This Row],[BusinessTravel]], "Non-Travel", 0, "Travel_Rarely", 1, "Travel_Frequently", 2)</f>
        <v>2</v>
      </c>
      <c r="AI1252" cm="1">
        <f t="array" ref="AI1252">_xlfn.SWITCH(tbl_HR_Data[[#This Row],[MaritalStatus]],"Single",0,"Married",1,"Divorced",2)</f>
        <v>0</v>
      </c>
      <c r="AJ1252">
        <f>IF(tbl_HR_Data[[#This Row],[OverTime]]=1,1,0)</f>
        <v>1</v>
      </c>
      <c r="AK1252">
        <f>IF(tbl_HR_Data[[#This Row],[DistanceFromHome]]&gt;15,1,0)</f>
        <v>0</v>
      </c>
      <c r="AL1252">
        <f>IF(tbl_HR_Data[[#This Row],[JobSatisfaction]]&lt;=2,1,0)</f>
        <v>0</v>
      </c>
      <c r="AM1252">
        <f>IF(tbl_HR_Data[[#This Row],[MonthlyIncome]]&lt;$AT$2,1,0)</f>
        <v>0</v>
      </c>
      <c r="AN1252">
        <f>IF(tbl_HR_Data[[#This Row],[Travel_Code]]=2,1,0)</f>
        <v>1</v>
      </c>
      <c r="AO1252">
        <f>(tbl_HR_Data[[#This Row],[Flag_OT]] * Logic_Parameters!$B$2) +
 (tbl_HR_Data[[#This Row],[Flag_Travel]] * Logic_Parameters!$B$3) +
 (tbl_HR_Data[[#This Row],[Flag_Satisfaction]] * Logic_Parameters!$B$4) +
 (tbl_HR_Data[[#This Row],[Flag_Distance]]* Logic_Parameters!$B$5) +
 (tbl_HR_Data[[#This Row],[Flag_Income]] * Logic_Parameters!$B$6)</f>
        <v>15.160389980490176</v>
      </c>
      <c r="AP1252" s="15">
        <f>tbl_HR_Data[[#This Row],[Risk_Score_Raw]] / SUM(Logic_Parameters!$B$2:$B$6)</f>
        <v>0.52231353565590266</v>
      </c>
      <c r="AQ1252" s="16" t="str" cm="1">
        <f t="array" ref="AQ1252">_xlfn.IFS(tbl_HR_Data[[#This Row],[Attrition_Risk_Percentage]] &gt;= 0.75, "Critical",tbl_HR_Data[ [#This Row],[Attrition_Risk_Percentage] ]&gt;= 0.5, "High",tbl_HR_Data[[#This Row],[Attrition_Risk_Percentage]] &gt;= 0.25, "Medium",TRUE, "Low")</f>
        <v>High</v>
      </c>
      <c r="AR1252" s="16" cm="1">
        <f t="array" ref="AR1252">IFERROR(_xlfn.IFS(tbl_HR_Data[[#This Row],[Risk_Category]]="Critical",tbl_HR_Data[[#This Row],[MonthlyIncome]]*1.5,tbl_HR_Data[[#This Row],[Risk_Category]]="High",tbl_HR_Data[[#This Row],[MonthlyIncome]]*1.5),0)</f>
        <v>9441</v>
      </c>
    </row>
    <row r="1253" spans="1:44" x14ac:dyDescent="0.35">
      <c r="A1253" t="s">
        <v>80</v>
      </c>
      <c r="B1253">
        <v>30</v>
      </c>
      <c r="C1253" t="s">
        <v>31</v>
      </c>
      <c r="D1253">
        <v>979</v>
      </c>
      <c r="E1253" t="s">
        <v>32</v>
      </c>
      <c r="F1253">
        <v>15</v>
      </c>
      <c r="G1253">
        <v>2</v>
      </c>
      <c r="H1253" t="s">
        <v>51</v>
      </c>
      <c r="I1253">
        <v>3</v>
      </c>
      <c r="J1253" t="s">
        <v>39</v>
      </c>
      <c r="K1253">
        <v>94</v>
      </c>
      <c r="L1253">
        <v>2</v>
      </c>
      <c r="M1253">
        <v>3</v>
      </c>
      <c r="N1253" t="s">
        <v>35</v>
      </c>
      <c r="O1253">
        <v>1</v>
      </c>
      <c r="P1253" t="s">
        <v>45</v>
      </c>
      <c r="Q1253">
        <v>7140</v>
      </c>
      <c r="R1253">
        <v>3088</v>
      </c>
      <c r="S1253">
        <v>2</v>
      </c>
      <c r="T1253">
        <v>0</v>
      </c>
      <c r="U1253" s="17">
        <v>0.11</v>
      </c>
      <c r="V1253">
        <v>3</v>
      </c>
      <c r="W1253">
        <v>1</v>
      </c>
      <c r="X1253">
        <v>1</v>
      </c>
      <c r="Y1253">
        <v>12</v>
      </c>
      <c r="Z1253">
        <v>2</v>
      </c>
      <c r="AA1253">
        <v>3</v>
      </c>
      <c r="AB1253">
        <v>7</v>
      </c>
      <c r="AC1253">
        <v>7</v>
      </c>
      <c r="AD1253">
        <v>1</v>
      </c>
      <c r="AE1253">
        <v>7</v>
      </c>
      <c r="AF1253">
        <v>0</v>
      </c>
      <c r="AG1253">
        <f>IF(tbl_HR_Data[[#This Row],[Gender]]="Male",1,0)</f>
        <v>1</v>
      </c>
      <c r="AH1253" cm="1">
        <f t="array" ref="AH1253">_xlfn.SWITCH(tbl_HR_Data[[#This Row],[BusinessTravel]], "Non-Travel", 0, "Travel_Rarely", 1, "Travel_Frequently", 2)</f>
        <v>1</v>
      </c>
      <c r="AI1253" cm="1">
        <f t="array" ref="AI1253">_xlfn.SWITCH(tbl_HR_Data[[#This Row],[MaritalStatus]],"Single",0,"Married",1,"Divorced",2)</f>
        <v>2</v>
      </c>
      <c r="AJ1253">
        <f>IF(tbl_HR_Data[[#This Row],[OverTime]]=1,1,0)</f>
        <v>0</v>
      </c>
      <c r="AK1253">
        <f>IF(tbl_HR_Data[[#This Row],[DistanceFromHome]]&gt;15,1,0)</f>
        <v>0</v>
      </c>
      <c r="AL1253">
        <f>IF(tbl_HR_Data[[#This Row],[JobSatisfaction]]&lt;=2,1,0)</f>
        <v>1</v>
      </c>
      <c r="AM1253">
        <f>IF(tbl_HR_Data[[#This Row],[MonthlyIncome]]&lt;$AT$2,1,0)</f>
        <v>0</v>
      </c>
      <c r="AN1253">
        <f>IF(tbl_HR_Data[[#This Row],[Travel_Code]]=2,1,0)</f>
        <v>0</v>
      </c>
      <c r="AO1253">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253" s="15">
        <f>tbl_HR_Data[[#This Row],[Risk_Score_Raw]] / SUM(Logic_Parameters!$B$2:$B$6)</f>
        <v>0.14485673308716898</v>
      </c>
      <c r="AQ1253" s="16" t="str" cm="1">
        <f t="array" ref="AQ1253">_xlfn.IFS(tbl_HR_Data[[#This Row],[Attrition_Risk_Percentage]] &gt;= 0.75, "Critical",tbl_HR_Data[ [#This Row],[Attrition_Risk_Percentage] ]&gt;= 0.5, "High",tbl_HR_Data[[#This Row],[Attrition_Risk_Percentage]] &gt;= 0.25, "Medium",TRUE, "Low")</f>
        <v>Low</v>
      </c>
      <c r="AR1253" s="16" cm="1">
        <f t="array" ref="AR1253">IFERROR(_xlfn.IFS(tbl_HR_Data[[#This Row],[Risk_Category]]="Critical",tbl_HR_Data[[#This Row],[MonthlyIncome]]*1.5,tbl_HR_Data[[#This Row],[Risk_Category]]="High",tbl_HR_Data[[#This Row],[MonthlyIncome]]*1.5),0)</f>
        <v>0</v>
      </c>
    </row>
    <row r="1254" spans="1:44" x14ac:dyDescent="0.35">
      <c r="A1254" t="s">
        <v>123</v>
      </c>
      <c r="B1254">
        <v>34</v>
      </c>
      <c r="C1254" t="s">
        <v>31</v>
      </c>
      <c r="D1254">
        <v>181</v>
      </c>
      <c r="E1254" t="s">
        <v>38</v>
      </c>
      <c r="F1254">
        <v>2</v>
      </c>
      <c r="G1254">
        <v>4</v>
      </c>
      <c r="H1254" t="s">
        <v>44</v>
      </c>
      <c r="I1254">
        <v>4</v>
      </c>
      <c r="J1254" t="s">
        <v>39</v>
      </c>
      <c r="K1254">
        <v>97</v>
      </c>
      <c r="L1254">
        <v>4</v>
      </c>
      <c r="M1254">
        <v>1</v>
      </c>
      <c r="N1254" t="s">
        <v>40</v>
      </c>
      <c r="O1254">
        <v>4</v>
      </c>
      <c r="P1254" t="s">
        <v>41</v>
      </c>
      <c r="Q1254">
        <v>2932</v>
      </c>
      <c r="R1254">
        <v>5586</v>
      </c>
      <c r="S1254">
        <v>0</v>
      </c>
      <c r="T1254">
        <v>1</v>
      </c>
      <c r="U1254" s="17">
        <v>0.14000000000000001</v>
      </c>
      <c r="V1254">
        <v>3</v>
      </c>
      <c r="W1254">
        <v>1</v>
      </c>
      <c r="X1254">
        <v>3</v>
      </c>
      <c r="Y1254">
        <v>6</v>
      </c>
      <c r="Z1254">
        <v>3</v>
      </c>
      <c r="AA1254">
        <v>3</v>
      </c>
      <c r="AB1254">
        <v>5</v>
      </c>
      <c r="AC1254">
        <v>0</v>
      </c>
      <c r="AD1254">
        <v>1</v>
      </c>
      <c r="AE1254">
        <v>2</v>
      </c>
      <c r="AF1254">
        <v>0</v>
      </c>
      <c r="AG1254">
        <f>IF(tbl_HR_Data[[#This Row],[Gender]]="Male",1,0)</f>
        <v>1</v>
      </c>
      <c r="AH1254" cm="1">
        <f t="array" ref="AH1254">_xlfn.SWITCH(tbl_HR_Data[[#This Row],[BusinessTravel]], "Non-Travel", 0, "Travel_Rarely", 1, "Travel_Frequently", 2)</f>
        <v>1</v>
      </c>
      <c r="AI1254" cm="1">
        <f t="array" ref="AI1254">_xlfn.SWITCH(tbl_HR_Data[[#This Row],[MaritalStatus]],"Single",0,"Married",1,"Divorced",2)</f>
        <v>1</v>
      </c>
      <c r="AJ1254">
        <f>IF(tbl_HR_Data[[#This Row],[OverTime]]=1,1,0)</f>
        <v>1</v>
      </c>
      <c r="AK1254">
        <f>IF(tbl_HR_Data[[#This Row],[DistanceFromHome]]&gt;15,1,0)</f>
        <v>0</v>
      </c>
      <c r="AL1254">
        <f>IF(tbl_HR_Data[[#This Row],[JobSatisfaction]]&lt;=2,1,0)</f>
        <v>0</v>
      </c>
      <c r="AM1254">
        <f>IF(tbl_HR_Data[[#This Row],[MonthlyIncome]]&lt;$AT$2,1,0)</f>
        <v>1</v>
      </c>
      <c r="AN1254">
        <f>IF(tbl_HR_Data[[#This Row],[Travel_Code]]=2,1,0)</f>
        <v>0</v>
      </c>
      <c r="AO1254">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1254" s="15">
        <f>tbl_HR_Data[[#This Row],[Risk_Score_Raw]] / SUM(Logic_Parameters!$B$2:$B$6)</f>
        <v>0.56827453040563214</v>
      </c>
      <c r="AQ1254" s="16" t="str" cm="1">
        <f t="array" ref="AQ1254">_xlfn.IFS(tbl_HR_Data[[#This Row],[Attrition_Risk_Percentage]] &gt;= 0.75, "Critical",tbl_HR_Data[ [#This Row],[Attrition_Risk_Percentage] ]&gt;= 0.5, "High",tbl_HR_Data[[#This Row],[Attrition_Risk_Percentage]] &gt;= 0.25, "Medium",TRUE, "Low")</f>
        <v>High</v>
      </c>
      <c r="AR1254" s="16" cm="1">
        <f t="array" ref="AR1254">IFERROR(_xlfn.IFS(tbl_HR_Data[[#This Row],[Risk_Category]]="Critical",tbl_HR_Data[[#This Row],[MonthlyIncome]]*1.5,tbl_HR_Data[[#This Row],[Risk_Category]]="High",tbl_HR_Data[[#This Row],[MonthlyIncome]]*1.5),0)</f>
        <v>4398</v>
      </c>
    </row>
    <row r="1255" spans="1:44" x14ac:dyDescent="0.35">
      <c r="A1255" t="s">
        <v>285</v>
      </c>
      <c r="B1255">
        <v>33</v>
      </c>
      <c r="C1255" t="s">
        <v>1525</v>
      </c>
      <c r="D1255">
        <v>1283</v>
      </c>
      <c r="E1255" t="s">
        <v>32</v>
      </c>
      <c r="F1255">
        <v>2</v>
      </c>
      <c r="G1255">
        <v>3</v>
      </c>
      <c r="H1255" t="s">
        <v>51</v>
      </c>
      <c r="I1255">
        <v>4</v>
      </c>
      <c r="J1255" t="s">
        <v>34</v>
      </c>
      <c r="K1255">
        <v>62</v>
      </c>
      <c r="L1255">
        <v>3</v>
      </c>
      <c r="M1255">
        <v>2</v>
      </c>
      <c r="N1255" t="s">
        <v>35</v>
      </c>
      <c r="O1255">
        <v>2</v>
      </c>
      <c r="P1255" t="s">
        <v>36</v>
      </c>
      <c r="Q1255">
        <v>5147</v>
      </c>
      <c r="R1255">
        <v>10697</v>
      </c>
      <c r="S1255">
        <v>8</v>
      </c>
      <c r="T1255">
        <v>0</v>
      </c>
      <c r="U1255" s="17">
        <v>0.15</v>
      </c>
      <c r="V1255">
        <v>3</v>
      </c>
      <c r="W1255">
        <v>4</v>
      </c>
      <c r="X1255">
        <v>0</v>
      </c>
      <c r="Y1255">
        <v>13</v>
      </c>
      <c r="Z1255">
        <v>2</v>
      </c>
      <c r="AA1255">
        <v>2</v>
      </c>
      <c r="AB1255">
        <v>11</v>
      </c>
      <c r="AC1255">
        <v>7</v>
      </c>
      <c r="AD1255">
        <v>1</v>
      </c>
      <c r="AE1255">
        <v>7</v>
      </c>
      <c r="AF1255">
        <v>0</v>
      </c>
      <c r="AG1255">
        <f>IF(tbl_HR_Data[[#This Row],[Gender]]="Male",1,0)</f>
        <v>0</v>
      </c>
      <c r="AH1255" cm="1">
        <f t="array" ref="AH1255">_xlfn.SWITCH(tbl_HR_Data[[#This Row],[BusinessTravel]], "Non-Travel", 0, "Travel_Rarely", 1, "Travel_Frequently", 2)</f>
        <v>0</v>
      </c>
      <c r="AI1255" cm="1">
        <f t="array" ref="AI1255">_xlfn.SWITCH(tbl_HR_Data[[#This Row],[MaritalStatus]],"Single",0,"Married",1,"Divorced",2)</f>
        <v>0</v>
      </c>
      <c r="AJ1255">
        <f>IF(tbl_HR_Data[[#This Row],[OverTime]]=1,1,0)</f>
        <v>0</v>
      </c>
      <c r="AK1255">
        <f>IF(tbl_HR_Data[[#This Row],[DistanceFromHome]]&gt;15,1,0)</f>
        <v>0</v>
      </c>
      <c r="AL1255">
        <f>IF(tbl_HR_Data[[#This Row],[JobSatisfaction]]&lt;=2,1,0)</f>
        <v>1</v>
      </c>
      <c r="AM1255">
        <f>IF(tbl_HR_Data[[#This Row],[MonthlyIncome]]&lt;$AT$2,1,0)</f>
        <v>0</v>
      </c>
      <c r="AN1255">
        <f>IF(tbl_HR_Data[[#This Row],[Travel_Code]]=2,1,0)</f>
        <v>0</v>
      </c>
      <c r="AO1255">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255" s="15">
        <f>tbl_HR_Data[[#This Row],[Risk_Score_Raw]] / SUM(Logic_Parameters!$B$2:$B$6)</f>
        <v>0.14485673308716898</v>
      </c>
      <c r="AQ1255" s="16" t="str" cm="1">
        <f t="array" ref="AQ1255">_xlfn.IFS(tbl_HR_Data[[#This Row],[Attrition_Risk_Percentage]] &gt;= 0.75, "Critical",tbl_HR_Data[ [#This Row],[Attrition_Risk_Percentage] ]&gt;= 0.5, "High",tbl_HR_Data[[#This Row],[Attrition_Risk_Percentage]] &gt;= 0.25, "Medium",TRUE, "Low")</f>
        <v>Low</v>
      </c>
      <c r="AR1255" s="16" cm="1">
        <f t="array" ref="AR1255">IFERROR(_xlfn.IFS(tbl_HR_Data[[#This Row],[Risk_Category]]="Critical",tbl_HR_Data[[#This Row],[MonthlyIncome]]*1.5,tbl_HR_Data[[#This Row],[Risk_Category]]="High",tbl_HR_Data[[#This Row],[MonthlyIncome]]*1.5),0)</f>
        <v>0</v>
      </c>
    </row>
    <row r="1256" spans="1:44" x14ac:dyDescent="0.35">
      <c r="A1256" t="s">
        <v>306</v>
      </c>
      <c r="B1256">
        <v>49</v>
      </c>
      <c r="C1256" t="s">
        <v>31</v>
      </c>
      <c r="D1256">
        <v>1313</v>
      </c>
      <c r="E1256" t="s">
        <v>32</v>
      </c>
      <c r="F1256">
        <v>11</v>
      </c>
      <c r="G1256">
        <v>4</v>
      </c>
      <c r="H1256" t="s">
        <v>51</v>
      </c>
      <c r="I1256">
        <v>4</v>
      </c>
      <c r="J1256" t="s">
        <v>34</v>
      </c>
      <c r="K1256">
        <v>80</v>
      </c>
      <c r="L1256">
        <v>3</v>
      </c>
      <c r="M1256">
        <v>2</v>
      </c>
      <c r="N1256" t="s">
        <v>35</v>
      </c>
      <c r="O1256">
        <v>4</v>
      </c>
      <c r="P1256" t="s">
        <v>36</v>
      </c>
      <c r="Q1256">
        <v>4507</v>
      </c>
      <c r="R1256">
        <v>8191</v>
      </c>
      <c r="S1256">
        <v>3</v>
      </c>
      <c r="T1256">
        <v>0</v>
      </c>
      <c r="U1256" s="17">
        <v>0.12</v>
      </c>
      <c r="V1256">
        <v>3</v>
      </c>
      <c r="W1256">
        <v>3</v>
      </c>
      <c r="X1256">
        <v>0</v>
      </c>
      <c r="Y1256">
        <v>8</v>
      </c>
      <c r="Z1256">
        <v>1</v>
      </c>
      <c r="AA1256">
        <v>4</v>
      </c>
      <c r="AB1256">
        <v>5</v>
      </c>
      <c r="AC1256">
        <v>1</v>
      </c>
      <c r="AD1256">
        <v>0</v>
      </c>
      <c r="AE1256">
        <v>4</v>
      </c>
      <c r="AF1256">
        <v>0</v>
      </c>
      <c r="AG1256">
        <f>IF(tbl_HR_Data[[#This Row],[Gender]]="Male",1,0)</f>
        <v>0</v>
      </c>
      <c r="AH1256" cm="1">
        <f t="array" ref="AH1256">_xlfn.SWITCH(tbl_HR_Data[[#This Row],[BusinessTravel]], "Non-Travel", 0, "Travel_Rarely", 1, "Travel_Frequently", 2)</f>
        <v>1</v>
      </c>
      <c r="AI1256" cm="1">
        <f t="array" ref="AI1256">_xlfn.SWITCH(tbl_HR_Data[[#This Row],[MaritalStatus]],"Single",0,"Married",1,"Divorced",2)</f>
        <v>0</v>
      </c>
      <c r="AJ1256">
        <f>IF(tbl_HR_Data[[#This Row],[OverTime]]=1,1,0)</f>
        <v>0</v>
      </c>
      <c r="AK1256">
        <f>IF(tbl_HR_Data[[#This Row],[DistanceFromHome]]&gt;15,1,0)</f>
        <v>0</v>
      </c>
      <c r="AL1256">
        <f>IF(tbl_HR_Data[[#This Row],[JobSatisfaction]]&lt;=2,1,0)</f>
        <v>0</v>
      </c>
      <c r="AM1256">
        <f>IF(tbl_HR_Data[[#This Row],[MonthlyIncome]]&lt;$AT$2,1,0)</f>
        <v>1</v>
      </c>
      <c r="AN1256">
        <f>IF(tbl_HR_Data[[#This Row],[Travel_Code]]=2,1,0)</f>
        <v>0</v>
      </c>
      <c r="AO1256">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256" s="15">
        <f>tbl_HR_Data[[#This Row],[Risk_Score_Raw]] / SUM(Logic_Parameters!$B$2:$B$6)</f>
        <v>0.22374939857982484</v>
      </c>
      <c r="AQ1256" s="16" t="str" cm="1">
        <f t="array" ref="AQ1256">_xlfn.IFS(tbl_HR_Data[[#This Row],[Attrition_Risk_Percentage]] &gt;= 0.75, "Critical",tbl_HR_Data[ [#This Row],[Attrition_Risk_Percentage] ]&gt;= 0.5, "High",tbl_HR_Data[[#This Row],[Attrition_Risk_Percentage]] &gt;= 0.25, "Medium",TRUE, "Low")</f>
        <v>Low</v>
      </c>
      <c r="AR1256" s="16" cm="1">
        <f t="array" ref="AR1256">IFERROR(_xlfn.IFS(tbl_HR_Data[[#This Row],[Risk_Category]]="Critical",tbl_HR_Data[[#This Row],[MonthlyIncome]]*1.5,tbl_HR_Data[[#This Row],[Risk_Category]]="High",tbl_HR_Data[[#This Row],[MonthlyIncome]]*1.5),0)</f>
        <v>0</v>
      </c>
    </row>
    <row r="1257" spans="1:44" x14ac:dyDescent="0.35">
      <c r="A1257" t="s">
        <v>1027</v>
      </c>
      <c r="B1257">
        <v>33</v>
      </c>
      <c r="C1257" t="s">
        <v>31</v>
      </c>
      <c r="D1257">
        <v>211</v>
      </c>
      <c r="E1257" t="s">
        <v>32</v>
      </c>
      <c r="F1257">
        <v>16</v>
      </c>
      <c r="G1257">
        <v>3</v>
      </c>
      <c r="H1257" t="s">
        <v>33</v>
      </c>
      <c r="I1257">
        <v>1</v>
      </c>
      <c r="J1257" t="s">
        <v>34</v>
      </c>
      <c r="K1257">
        <v>74</v>
      </c>
      <c r="L1257">
        <v>3</v>
      </c>
      <c r="M1257">
        <v>3</v>
      </c>
      <c r="N1257" t="s">
        <v>35</v>
      </c>
      <c r="O1257">
        <v>1</v>
      </c>
      <c r="P1257" t="s">
        <v>36</v>
      </c>
      <c r="Q1257">
        <v>8564</v>
      </c>
      <c r="R1257">
        <v>10092</v>
      </c>
      <c r="S1257">
        <v>2</v>
      </c>
      <c r="T1257">
        <v>1</v>
      </c>
      <c r="U1257" s="17">
        <v>0.2</v>
      </c>
      <c r="V1257">
        <v>4</v>
      </c>
      <c r="W1257">
        <v>3</v>
      </c>
      <c r="X1257">
        <v>0</v>
      </c>
      <c r="Y1257">
        <v>11</v>
      </c>
      <c r="Z1257">
        <v>2</v>
      </c>
      <c r="AA1257">
        <v>2</v>
      </c>
      <c r="AB1257">
        <v>0</v>
      </c>
      <c r="AC1257">
        <v>0</v>
      </c>
      <c r="AD1257">
        <v>0</v>
      </c>
      <c r="AE1257">
        <v>0</v>
      </c>
      <c r="AF1257">
        <v>1</v>
      </c>
      <c r="AG1257">
        <f>IF(tbl_HR_Data[[#This Row],[Gender]]="Male",1,0)</f>
        <v>0</v>
      </c>
      <c r="AH1257" cm="1">
        <f t="array" ref="AH1257">_xlfn.SWITCH(tbl_HR_Data[[#This Row],[BusinessTravel]], "Non-Travel", 0, "Travel_Rarely", 1, "Travel_Frequently", 2)</f>
        <v>1</v>
      </c>
      <c r="AI1257" cm="1">
        <f t="array" ref="AI1257">_xlfn.SWITCH(tbl_HR_Data[[#This Row],[MaritalStatus]],"Single",0,"Married",1,"Divorced",2)</f>
        <v>0</v>
      </c>
      <c r="AJ1257">
        <f>IF(tbl_HR_Data[[#This Row],[OverTime]]=1,1,0)</f>
        <v>1</v>
      </c>
      <c r="AK1257">
        <f>IF(tbl_HR_Data[[#This Row],[DistanceFromHome]]&gt;15,1,0)</f>
        <v>1</v>
      </c>
      <c r="AL1257">
        <f>IF(tbl_HR_Data[[#This Row],[JobSatisfaction]]&lt;=2,1,0)</f>
        <v>1</v>
      </c>
      <c r="AM1257">
        <f>IF(tbl_HR_Data[[#This Row],[MonthlyIncome]]&lt;$AT$2,1,0)</f>
        <v>0</v>
      </c>
      <c r="AN1257">
        <f>IF(tbl_HR_Data[[#This Row],[Travel_Code]]=2,1,0)</f>
        <v>0</v>
      </c>
      <c r="AO1257">
        <f>(tbl_HR_Data[[#This Row],[Flag_OT]] * Logic_Parameters!$B$2) +
 (tbl_HR_Data[[#This Row],[Flag_Travel]] * Logic_Parameters!$B$3) +
 (tbl_HR_Data[[#This Row],[Flag_Satisfaction]] * Logic_Parameters!$B$4) +
 (tbl_HR_Data[[#This Row],[Flag_Distance]]* Logic_Parameters!$B$5) +
 (tbl_HR_Data[[#This Row],[Flag_Income]] * Logic_Parameters!$B$6)</f>
        <v>17.370639825853509</v>
      </c>
      <c r="AP1257" s="15">
        <f>tbl_HR_Data[[#This Row],[Risk_Score_Raw]] / SUM(Logic_Parameters!$B$2:$B$6)</f>
        <v>0.59846219759007979</v>
      </c>
      <c r="AQ1257" s="16" t="str" cm="1">
        <f t="array" ref="AQ1257">_xlfn.IFS(tbl_HR_Data[[#This Row],[Attrition_Risk_Percentage]] &gt;= 0.75, "Critical",tbl_HR_Data[ [#This Row],[Attrition_Risk_Percentage] ]&gt;= 0.5, "High",tbl_HR_Data[[#This Row],[Attrition_Risk_Percentage]] &gt;= 0.25, "Medium",TRUE, "Low")</f>
        <v>High</v>
      </c>
      <c r="AR1257" s="16" cm="1">
        <f t="array" ref="AR1257">IFERROR(_xlfn.IFS(tbl_HR_Data[[#This Row],[Risk_Category]]="Critical",tbl_HR_Data[[#This Row],[MonthlyIncome]]*1.5,tbl_HR_Data[[#This Row],[Risk_Category]]="High",tbl_HR_Data[[#This Row],[MonthlyIncome]]*1.5),0)</f>
        <v>12846</v>
      </c>
    </row>
    <row r="1258" spans="1:44" x14ac:dyDescent="0.35">
      <c r="A1258" t="s">
        <v>964</v>
      </c>
      <c r="B1258">
        <v>38</v>
      </c>
      <c r="C1258" t="s">
        <v>37</v>
      </c>
      <c r="D1258">
        <v>594</v>
      </c>
      <c r="E1258" t="s">
        <v>38</v>
      </c>
      <c r="F1258">
        <v>2</v>
      </c>
      <c r="G1258">
        <v>2</v>
      </c>
      <c r="H1258" t="s">
        <v>44</v>
      </c>
      <c r="I1258">
        <v>3</v>
      </c>
      <c r="J1258" t="s">
        <v>34</v>
      </c>
      <c r="K1258">
        <v>75</v>
      </c>
      <c r="L1258">
        <v>2</v>
      </c>
      <c r="M1258">
        <v>1</v>
      </c>
      <c r="N1258" t="s">
        <v>43</v>
      </c>
      <c r="O1258">
        <v>2</v>
      </c>
      <c r="P1258" t="s">
        <v>41</v>
      </c>
      <c r="Q1258">
        <v>2468</v>
      </c>
      <c r="R1258">
        <v>15963</v>
      </c>
      <c r="S1258">
        <v>4</v>
      </c>
      <c r="T1258">
        <v>0</v>
      </c>
      <c r="U1258" s="17">
        <v>0.14000000000000001</v>
      </c>
      <c r="V1258">
        <v>3</v>
      </c>
      <c r="W1258">
        <v>2</v>
      </c>
      <c r="X1258">
        <v>1</v>
      </c>
      <c r="Y1258">
        <v>9</v>
      </c>
      <c r="Z1258">
        <v>4</v>
      </c>
      <c r="AA1258">
        <v>2</v>
      </c>
      <c r="AB1258">
        <v>6</v>
      </c>
      <c r="AC1258">
        <v>1</v>
      </c>
      <c r="AD1258">
        <v>0</v>
      </c>
      <c r="AE1258">
        <v>5</v>
      </c>
      <c r="AF1258">
        <v>0</v>
      </c>
      <c r="AG1258">
        <f>IF(tbl_HR_Data[[#This Row],[Gender]]="Male",1,0)</f>
        <v>0</v>
      </c>
      <c r="AH1258" cm="1">
        <f t="array" ref="AH1258">_xlfn.SWITCH(tbl_HR_Data[[#This Row],[BusinessTravel]], "Non-Travel", 0, "Travel_Rarely", 1, "Travel_Frequently", 2)</f>
        <v>2</v>
      </c>
      <c r="AI1258" cm="1">
        <f t="array" ref="AI1258">_xlfn.SWITCH(tbl_HR_Data[[#This Row],[MaritalStatus]],"Single",0,"Married",1,"Divorced",2)</f>
        <v>1</v>
      </c>
      <c r="AJ1258">
        <f>IF(tbl_HR_Data[[#This Row],[OverTime]]=1,1,0)</f>
        <v>0</v>
      </c>
      <c r="AK1258">
        <f>IF(tbl_HR_Data[[#This Row],[DistanceFromHome]]&gt;15,1,0)</f>
        <v>0</v>
      </c>
      <c r="AL1258">
        <f>IF(tbl_HR_Data[[#This Row],[JobSatisfaction]]&lt;=2,1,0)</f>
        <v>1</v>
      </c>
      <c r="AM1258">
        <f>IF(tbl_HR_Data[[#This Row],[MonthlyIncome]]&lt;$AT$2,1,0)</f>
        <v>1</v>
      </c>
      <c r="AN1258">
        <f>IF(tbl_HR_Data[[#This Row],[Travel_Code]]=2,1,0)</f>
        <v>1</v>
      </c>
      <c r="AO1258">
        <f>(tbl_HR_Data[[#This Row],[Flag_OT]] * Logic_Parameters!$B$2) +
 (tbl_HR_Data[[#This Row],[Flag_Travel]] * Logic_Parameters!$B$3) +
 (tbl_HR_Data[[#This Row],[Flag_Satisfaction]] * Logic_Parameters!$B$4) +
 (tbl_HR_Data[[#This Row],[Flag_Distance]]* Logic_Parameters!$B$5) +
 (tbl_HR_Data[[#This Row],[Flag_Income]] * Logic_Parameters!$B$6)</f>
        <v>15.859352047889136</v>
      </c>
      <c r="AP1258" s="15">
        <f>tbl_HR_Data[[#This Row],[Risk_Score_Raw]] / SUM(Logic_Parameters!$B$2:$B$6)</f>
        <v>0.54639453549708916</v>
      </c>
      <c r="AQ1258" s="16" t="str" cm="1">
        <f t="array" ref="AQ1258">_xlfn.IFS(tbl_HR_Data[[#This Row],[Attrition_Risk_Percentage]] &gt;= 0.75, "Critical",tbl_HR_Data[ [#This Row],[Attrition_Risk_Percentage] ]&gt;= 0.5, "High",tbl_HR_Data[[#This Row],[Attrition_Risk_Percentage]] &gt;= 0.25, "Medium",TRUE, "Low")</f>
        <v>High</v>
      </c>
      <c r="AR1258" s="16" cm="1">
        <f t="array" ref="AR1258">IFERROR(_xlfn.IFS(tbl_HR_Data[[#This Row],[Risk_Category]]="Critical",tbl_HR_Data[[#This Row],[MonthlyIncome]]*1.5,tbl_HR_Data[[#This Row],[Risk_Category]]="High",tbl_HR_Data[[#This Row],[MonthlyIncome]]*1.5),0)</f>
        <v>3702</v>
      </c>
    </row>
    <row r="1259" spans="1:44" x14ac:dyDescent="0.35">
      <c r="A1259" t="s">
        <v>422</v>
      </c>
      <c r="B1259">
        <v>31</v>
      </c>
      <c r="C1259" t="s">
        <v>31</v>
      </c>
      <c r="D1259">
        <v>1079</v>
      </c>
      <c r="E1259" t="s">
        <v>32</v>
      </c>
      <c r="F1259">
        <v>16</v>
      </c>
      <c r="G1259">
        <v>4</v>
      </c>
      <c r="H1259" t="s">
        <v>51</v>
      </c>
      <c r="I1259">
        <v>1</v>
      </c>
      <c r="J1259" t="s">
        <v>39</v>
      </c>
      <c r="K1259">
        <v>70</v>
      </c>
      <c r="L1259">
        <v>3</v>
      </c>
      <c r="M1259">
        <v>3</v>
      </c>
      <c r="N1259" t="s">
        <v>35</v>
      </c>
      <c r="O1259">
        <v>3</v>
      </c>
      <c r="P1259" t="s">
        <v>41</v>
      </c>
      <c r="Q1259">
        <v>8161</v>
      </c>
      <c r="R1259">
        <v>19002</v>
      </c>
      <c r="S1259">
        <v>2</v>
      </c>
      <c r="T1259">
        <v>0</v>
      </c>
      <c r="U1259" s="17">
        <v>0.13</v>
      </c>
      <c r="V1259">
        <v>3</v>
      </c>
      <c r="W1259">
        <v>1</v>
      </c>
      <c r="X1259">
        <v>3</v>
      </c>
      <c r="Y1259">
        <v>10</v>
      </c>
      <c r="Z1259">
        <v>2</v>
      </c>
      <c r="AA1259">
        <v>3</v>
      </c>
      <c r="AB1259">
        <v>1</v>
      </c>
      <c r="AC1259">
        <v>0</v>
      </c>
      <c r="AD1259">
        <v>0</v>
      </c>
      <c r="AE1259">
        <v>0</v>
      </c>
      <c r="AF1259">
        <v>1</v>
      </c>
      <c r="AG1259">
        <f>IF(tbl_HR_Data[[#This Row],[Gender]]="Male",1,0)</f>
        <v>1</v>
      </c>
      <c r="AH1259" cm="1">
        <f t="array" ref="AH1259">_xlfn.SWITCH(tbl_HR_Data[[#This Row],[BusinessTravel]], "Non-Travel", 0, "Travel_Rarely", 1, "Travel_Frequently", 2)</f>
        <v>1</v>
      </c>
      <c r="AI1259" cm="1">
        <f t="array" ref="AI1259">_xlfn.SWITCH(tbl_HR_Data[[#This Row],[MaritalStatus]],"Single",0,"Married",1,"Divorced",2)</f>
        <v>1</v>
      </c>
      <c r="AJ1259">
        <f>IF(tbl_HR_Data[[#This Row],[OverTime]]=1,1,0)</f>
        <v>0</v>
      </c>
      <c r="AK1259">
        <f>IF(tbl_HR_Data[[#This Row],[DistanceFromHome]]&gt;15,1,0)</f>
        <v>1</v>
      </c>
      <c r="AL1259">
        <f>IF(tbl_HR_Data[[#This Row],[JobSatisfaction]]&lt;=2,1,0)</f>
        <v>0</v>
      </c>
      <c r="AM1259">
        <f>IF(tbl_HR_Data[[#This Row],[MonthlyIncome]]&lt;$AT$2,1,0)</f>
        <v>0</v>
      </c>
      <c r="AN1259">
        <f>IF(tbl_HR_Data[[#This Row],[Travel_Code]]=2,1,0)</f>
        <v>0</v>
      </c>
      <c r="AO1259">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1259" s="15">
        <f>tbl_HR_Data[[#This Row],[Risk_Score_Raw]] / SUM(Logic_Parameters!$B$2:$B$6)</f>
        <v>0.10908033267710357</v>
      </c>
      <c r="AQ1259" s="16" t="str" cm="1">
        <f t="array" ref="AQ1259">_xlfn.IFS(tbl_HR_Data[[#This Row],[Attrition_Risk_Percentage]] &gt;= 0.75, "Critical",tbl_HR_Data[ [#This Row],[Attrition_Risk_Percentage] ]&gt;= 0.5, "High",tbl_HR_Data[[#This Row],[Attrition_Risk_Percentage]] &gt;= 0.25, "Medium",TRUE, "Low")</f>
        <v>Low</v>
      </c>
      <c r="AR1259" s="16" cm="1">
        <f t="array" ref="AR1259">IFERROR(_xlfn.IFS(tbl_HR_Data[[#This Row],[Risk_Category]]="Critical",tbl_HR_Data[[#This Row],[MonthlyIncome]]*1.5,tbl_HR_Data[[#This Row],[Risk_Category]]="High",tbl_HR_Data[[#This Row],[MonthlyIncome]]*1.5),0)</f>
        <v>0</v>
      </c>
    </row>
    <row r="1260" spans="1:44" x14ac:dyDescent="0.35">
      <c r="A1260" t="s">
        <v>1412</v>
      </c>
      <c r="B1260">
        <v>29</v>
      </c>
      <c r="C1260" t="s">
        <v>31</v>
      </c>
      <c r="D1260">
        <v>590</v>
      </c>
      <c r="E1260" t="s">
        <v>38</v>
      </c>
      <c r="F1260">
        <v>4</v>
      </c>
      <c r="G1260">
        <v>3</v>
      </c>
      <c r="H1260" t="s">
        <v>52</v>
      </c>
      <c r="I1260">
        <v>4</v>
      </c>
      <c r="J1260" t="s">
        <v>34</v>
      </c>
      <c r="K1260">
        <v>91</v>
      </c>
      <c r="L1260">
        <v>2</v>
      </c>
      <c r="M1260">
        <v>1</v>
      </c>
      <c r="N1260" t="s">
        <v>40</v>
      </c>
      <c r="O1260">
        <v>1</v>
      </c>
      <c r="P1260" t="s">
        <v>45</v>
      </c>
      <c r="Q1260">
        <v>2109</v>
      </c>
      <c r="R1260">
        <v>10007</v>
      </c>
      <c r="S1260">
        <v>1</v>
      </c>
      <c r="T1260">
        <v>0</v>
      </c>
      <c r="U1260" s="17">
        <v>0.13</v>
      </c>
      <c r="V1260">
        <v>3</v>
      </c>
      <c r="W1260">
        <v>3</v>
      </c>
      <c r="X1260">
        <v>1</v>
      </c>
      <c r="Y1260">
        <v>1</v>
      </c>
      <c r="Z1260">
        <v>2</v>
      </c>
      <c r="AA1260">
        <v>3</v>
      </c>
      <c r="AB1260">
        <v>1</v>
      </c>
      <c r="AC1260">
        <v>0</v>
      </c>
      <c r="AD1260">
        <v>0</v>
      </c>
      <c r="AE1260">
        <v>0</v>
      </c>
      <c r="AF1260">
        <v>0</v>
      </c>
      <c r="AG1260">
        <f>IF(tbl_HR_Data[[#This Row],[Gender]]="Male",1,0)</f>
        <v>0</v>
      </c>
      <c r="AH1260" cm="1">
        <f t="array" ref="AH1260">_xlfn.SWITCH(tbl_HR_Data[[#This Row],[BusinessTravel]], "Non-Travel", 0, "Travel_Rarely", 1, "Travel_Frequently", 2)</f>
        <v>1</v>
      </c>
      <c r="AI1260" cm="1">
        <f t="array" ref="AI1260">_xlfn.SWITCH(tbl_HR_Data[[#This Row],[MaritalStatus]],"Single",0,"Married",1,"Divorced",2)</f>
        <v>2</v>
      </c>
      <c r="AJ1260">
        <f>IF(tbl_HR_Data[[#This Row],[OverTime]]=1,1,0)</f>
        <v>0</v>
      </c>
      <c r="AK1260">
        <f>IF(tbl_HR_Data[[#This Row],[DistanceFromHome]]&gt;15,1,0)</f>
        <v>0</v>
      </c>
      <c r="AL1260">
        <f>IF(tbl_HR_Data[[#This Row],[JobSatisfaction]]&lt;=2,1,0)</f>
        <v>1</v>
      </c>
      <c r="AM1260">
        <f>IF(tbl_HR_Data[[#This Row],[MonthlyIncome]]&lt;$AT$2,1,0)</f>
        <v>1</v>
      </c>
      <c r="AN1260">
        <f>IF(tbl_HR_Data[[#This Row],[Travel_Code]]=2,1,0)</f>
        <v>0</v>
      </c>
      <c r="AO1260">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260" s="15">
        <f>tbl_HR_Data[[#This Row],[Risk_Score_Raw]] / SUM(Logic_Parameters!$B$2:$B$6)</f>
        <v>0.3686061316669938</v>
      </c>
      <c r="AQ1260" s="16" t="str" cm="1">
        <f t="array" ref="AQ1260">_xlfn.IFS(tbl_HR_Data[[#This Row],[Attrition_Risk_Percentage]] &gt;= 0.75, "Critical",tbl_HR_Data[ [#This Row],[Attrition_Risk_Percentage] ]&gt;= 0.5, "High",tbl_HR_Data[[#This Row],[Attrition_Risk_Percentage]] &gt;= 0.25, "Medium",TRUE, "Low")</f>
        <v>Medium</v>
      </c>
      <c r="AR1260" s="16" cm="1">
        <f t="array" ref="AR1260">IFERROR(_xlfn.IFS(tbl_HR_Data[[#This Row],[Risk_Category]]="Critical",tbl_HR_Data[[#This Row],[MonthlyIncome]]*1.5,tbl_HR_Data[[#This Row],[Risk_Category]]="High",tbl_HR_Data[[#This Row],[MonthlyIncome]]*1.5),0)</f>
        <v>0</v>
      </c>
    </row>
    <row r="1261" spans="1:44" x14ac:dyDescent="0.35">
      <c r="A1261" t="s">
        <v>574</v>
      </c>
      <c r="B1261">
        <v>30</v>
      </c>
      <c r="C1261" t="s">
        <v>31</v>
      </c>
      <c r="D1261">
        <v>305</v>
      </c>
      <c r="E1261" t="s">
        <v>38</v>
      </c>
      <c r="F1261">
        <v>16</v>
      </c>
      <c r="G1261">
        <v>3</v>
      </c>
      <c r="H1261" t="s">
        <v>33</v>
      </c>
      <c r="I1261">
        <v>3</v>
      </c>
      <c r="J1261" t="s">
        <v>39</v>
      </c>
      <c r="K1261">
        <v>58</v>
      </c>
      <c r="L1261">
        <v>4</v>
      </c>
      <c r="M1261">
        <v>2</v>
      </c>
      <c r="N1261" t="s">
        <v>47</v>
      </c>
      <c r="O1261">
        <v>3</v>
      </c>
      <c r="P1261" t="s">
        <v>41</v>
      </c>
      <c r="Q1261">
        <v>5294</v>
      </c>
      <c r="R1261">
        <v>9128</v>
      </c>
      <c r="S1261">
        <v>3</v>
      </c>
      <c r="T1261">
        <v>0</v>
      </c>
      <c r="U1261" s="17">
        <v>0.16</v>
      </c>
      <c r="V1261">
        <v>3</v>
      </c>
      <c r="W1261">
        <v>3</v>
      </c>
      <c r="X1261">
        <v>1</v>
      </c>
      <c r="Y1261">
        <v>10</v>
      </c>
      <c r="Z1261">
        <v>3</v>
      </c>
      <c r="AA1261">
        <v>3</v>
      </c>
      <c r="AB1261">
        <v>7</v>
      </c>
      <c r="AC1261">
        <v>0</v>
      </c>
      <c r="AD1261">
        <v>1</v>
      </c>
      <c r="AE1261">
        <v>7</v>
      </c>
      <c r="AF1261">
        <v>0</v>
      </c>
      <c r="AG1261">
        <f>IF(tbl_HR_Data[[#This Row],[Gender]]="Male",1,0)</f>
        <v>1</v>
      </c>
      <c r="AH1261" cm="1">
        <f t="array" ref="AH1261">_xlfn.SWITCH(tbl_HR_Data[[#This Row],[BusinessTravel]], "Non-Travel", 0, "Travel_Rarely", 1, "Travel_Frequently", 2)</f>
        <v>1</v>
      </c>
      <c r="AI1261" cm="1">
        <f t="array" ref="AI1261">_xlfn.SWITCH(tbl_HR_Data[[#This Row],[MaritalStatus]],"Single",0,"Married",1,"Divorced",2)</f>
        <v>1</v>
      </c>
      <c r="AJ1261">
        <f>IF(tbl_HR_Data[[#This Row],[OverTime]]=1,1,0)</f>
        <v>0</v>
      </c>
      <c r="AK1261">
        <f>IF(tbl_HR_Data[[#This Row],[DistanceFromHome]]&gt;15,1,0)</f>
        <v>1</v>
      </c>
      <c r="AL1261">
        <f>IF(tbl_HR_Data[[#This Row],[JobSatisfaction]]&lt;=2,1,0)</f>
        <v>0</v>
      </c>
      <c r="AM1261">
        <f>IF(tbl_HR_Data[[#This Row],[MonthlyIncome]]&lt;$AT$2,1,0)</f>
        <v>0</v>
      </c>
      <c r="AN1261">
        <f>IF(tbl_HR_Data[[#This Row],[Travel_Code]]=2,1,0)</f>
        <v>0</v>
      </c>
      <c r="AO1261">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1261" s="15">
        <f>tbl_HR_Data[[#This Row],[Risk_Score_Raw]] / SUM(Logic_Parameters!$B$2:$B$6)</f>
        <v>0.10908033267710357</v>
      </c>
      <c r="AQ1261" s="16" t="str" cm="1">
        <f t="array" ref="AQ1261">_xlfn.IFS(tbl_HR_Data[[#This Row],[Attrition_Risk_Percentage]] &gt;= 0.75, "Critical",tbl_HR_Data[ [#This Row],[Attrition_Risk_Percentage] ]&gt;= 0.5, "High",tbl_HR_Data[[#This Row],[Attrition_Risk_Percentage]] &gt;= 0.25, "Medium",TRUE, "Low")</f>
        <v>Low</v>
      </c>
      <c r="AR1261" s="16" cm="1">
        <f t="array" ref="AR1261">IFERROR(_xlfn.IFS(tbl_HR_Data[[#This Row],[Risk_Category]]="Critical",tbl_HR_Data[[#This Row],[MonthlyIncome]]*1.5,tbl_HR_Data[[#This Row],[Risk_Category]]="High",tbl_HR_Data[[#This Row],[MonthlyIncome]]*1.5),0)</f>
        <v>0</v>
      </c>
    </row>
    <row r="1262" spans="1:44" x14ac:dyDescent="0.35">
      <c r="A1262" t="s">
        <v>868</v>
      </c>
      <c r="B1262">
        <v>32</v>
      </c>
      <c r="C1262" t="s">
        <v>1525</v>
      </c>
      <c r="D1262">
        <v>953</v>
      </c>
      <c r="E1262" t="s">
        <v>38</v>
      </c>
      <c r="F1262">
        <v>5</v>
      </c>
      <c r="G1262">
        <v>4</v>
      </c>
      <c r="H1262" t="s">
        <v>52</v>
      </c>
      <c r="I1262">
        <v>2</v>
      </c>
      <c r="J1262" t="s">
        <v>39</v>
      </c>
      <c r="K1262">
        <v>65</v>
      </c>
      <c r="L1262">
        <v>3</v>
      </c>
      <c r="M1262">
        <v>1</v>
      </c>
      <c r="N1262" t="s">
        <v>40</v>
      </c>
      <c r="O1262">
        <v>2</v>
      </c>
      <c r="P1262" t="s">
        <v>36</v>
      </c>
      <c r="Q1262">
        <v>2718</v>
      </c>
      <c r="R1262">
        <v>17674</v>
      </c>
      <c r="S1262">
        <v>2</v>
      </c>
      <c r="T1262">
        <v>0</v>
      </c>
      <c r="U1262" s="17">
        <v>0.14000000000000001</v>
      </c>
      <c r="V1262">
        <v>3</v>
      </c>
      <c r="W1262">
        <v>2</v>
      </c>
      <c r="X1262">
        <v>0</v>
      </c>
      <c r="Y1262">
        <v>12</v>
      </c>
      <c r="Z1262">
        <v>3</v>
      </c>
      <c r="AA1262">
        <v>3</v>
      </c>
      <c r="AB1262">
        <v>7</v>
      </c>
      <c r="AC1262">
        <v>7</v>
      </c>
      <c r="AD1262">
        <v>0</v>
      </c>
      <c r="AE1262">
        <v>7</v>
      </c>
      <c r="AF1262">
        <v>0</v>
      </c>
      <c r="AG1262">
        <f>IF(tbl_HR_Data[[#This Row],[Gender]]="Male",1,0)</f>
        <v>1</v>
      </c>
      <c r="AH1262" cm="1">
        <f t="array" ref="AH1262">_xlfn.SWITCH(tbl_HR_Data[[#This Row],[BusinessTravel]], "Non-Travel", 0, "Travel_Rarely", 1, "Travel_Frequently", 2)</f>
        <v>0</v>
      </c>
      <c r="AI1262" cm="1">
        <f t="array" ref="AI1262">_xlfn.SWITCH(tbl_HR_Data[[#This Row],[MaritalStatus]],"Single",0,"Married",1,"Divorced",2)</f>
        <v>0</v>
      </c>
      <c r="AJ1262">
        <f>IF(tbl_HR_Data[[#This Row],[OverTime]]=1,1,0)</f>
        <v>0</v>
      </c>
      <c r="AK1262">
        <f>IF(tbl_HR_Data[[#This Row],[DistanceFromHome]]&gt;15,1,0)</f>
        <v>0</v>
      </c>
      <c r="AL1262">
        <f>IF(tbl_HR_Data[[#This Row],[JobSatisfaction]]&lt;=2,1,0)</f>
        <v>1</v>
      </c>
      <c r="AM1262">
        <f>IF(tbl_HR_Data[[#This Row],[MonthlyIncome]]&lt;$AT$2,1,0)</f>
        <v>1</v>
      </c>
      <c r="AN1262">
        <f>IF(tbl_HR_Data[[#This Row],[Travel_Code]]=2,1,0)</f>
        <v>0</v>
      </c>
      <c r="AO1262">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262" s="15">
        <f>tbl_HR_Data[[#This Row],[Risk_Score_Raw]] / SUM(Logic_Parameters!$B$2:$B$6)</f>
        <v>0.3686061316669938</v>
      </c>
      <c r="AQ1262" s="16" t="str" cm="1">
        <f t="array" ref="AQ1262">_xlfn.IFS(tbl_HR_Data[[#This Row],[Attrition_Risk_Percentage]] &gt;= 0.75, "Critical",tbl_HR_Data[ [#This Row],[Attrition_Risk_Percentage] ]&gt;= 0.5, "High",tbl_HR_Data[[#This Row],[Attrition_Risk_Percentage]] &gt;= 0.25, "Medium",TRUE, "Low")</f>
        <v>Medium</v>
      </c>
      <c r="AR1262" s="16" cm="1">
        <f t="array" ref="AR1262">IFERROR(_xlfn.IFS(tbl_HR_Data[[#This Row],[Risk_Category]]="Critical",tbl_HR_Data[[#This Row],[MonthlyIncome]]*1.5,tbl_HR_Data[[#This Row],[Risk_Category]]="High",tbl_HR_Data[[#This Row],[MonthlyIncome]]*1.5),0)</f>
        <v>0</v>
      </c>
    </row>
    <row r="1263" spans="1:44" x14ac:dyDescent="0.35">
      <c r="A1263" t="s">
        <v>1195</v>
      </c>
      <c r="B1263">
        <v>38</v>
      </c>
      <c r="C1263" t="s">
        <v>31</v>
      </c>
      <c r="D1263">
        <v>833</v>
      </c>
      <c r="E1263" t="s">
        <v>38</v>
      </c>
      <c r="F1263">
        <v>18</v>
      </c>
      <c r="G1263">
        <v>3</v>
      </c>
      <c r="H1263" t="s">
        <v>44</v>
      </c>
      <c r="I1263">
        <v>2</v>
      </c>
      <c r="J1263" t="s">
        <v>39</v>
      </c>
      <c r="K1263">
        <v>60</v>
      </c>
      <c r="L1263">
        <v>1</v>
      </c>
      <c r="M1263">
        <v>2</v>
      </c>
      <c r="N1263" t="s">
        <v>47</v>
      </c>
      <c r="O1263">
        <v>4</v>
      </c>
      <c r="P1263" t="s">
        <v>41</v>
      </c>
      <c r="Q1263">
        <v>5811</v>
      </c>
      <c r="R1263">
        <v>24539</v>
      </c>
      <c r="S1263">
        <v>3</v>
      </c>
      <c r="T1263">
        <v>1</v>
      </c>
      <c r="U1263" s="17">
        <v>0.16</v>
      </c>
      <c r="V1263">
        <v>3</v>
      </c>
      <c r="W1263">
        <v>3</v>
      </c>
      <c r="X1263">
        <v>1</v>
      </c>
      <c r="Y1263">
        <v>15</v>
      </c>
      <c r="Z1263">
        <v>2</v>
      </c>
      <c r="AA1263">
        <v>3</v>
      </c>
      <c r="AB1263">
        <v>1</v>
      </c>
      <c r="AC1263">
        <v>0</v>
      </c>
      <c r="AD1263">
        <v>1</v>
      </c>
      <c r="AE1263">
        <v>0</v>
      </c>
      <c r="AF1263">
        <v>0</v>
      </c>
      <c r="AG1263">
        <f>IF(tbl_HR_Data[[#This Row],[Gender]]="Male",1,0)</f>
        <v>1</v>
      </c>
      <c r="AH1263" cm="1">
        <f t="array" ref="AH1263">_xlfn.SWITCH(tbl_HR_Data[[#This Row],[BusinessTravel]], "Non-Travel", 0, "Travel_Rarely", 1, "Travel_Frequently", 2)</f>
        <v>1</v>
      </c>
      <c r="AI1263" cm="1">
        <f t="array" ref="AI1263">_xlfn.SWITCH(tbl_HR_Data[[#This Row],[MaritalStatus]],"Single",0,"Married",1,"Divorced",2)</f>
        <v>1</v>
      </c>
      <c r="AJ1263">
        <f>IF(tbl_HR_Data[[#This Row],[OverTime]]=1,1,0)</f>
        <v>1</v>
      </c>
      <c r="AK1263">
        <f>IF(tbl_HR_Data[[#This Row],[DistanceFromHome]]&gt;15,1,0)</f>
        <v>1</v>
      </c>
      <c r="AL1263">
        <f>IF(tbl_HR_Data[[#This Row],[JobSatisfaction]]&lt;=2,1,0)</f>
        <v>0</v>
      </c>
      <c r="AM1263">
        <f>IF(tbl_HR_Data[[#This Row],[MonthlyIncome]]&lt;$AT$2,1,0)</f>
        <v>0</v>
      </c>
      <c r="AN1263">
        <f>IF(tbl_HR_Data[[#This Row],[Travel_Code]]=2,1,0)</f>
        <v>0</v>
      </c>
      <c r="AO1263">
        <f>(tbl_HR_Data[[#This Row],[Flag_OT]] * Logic_Parameters!$B$2) +
 (tbl_HR_Data[[#This Row],[Flag_Travel]] * Logic_Parameters!$B$3) +
 (tbl_HR_Data[[#This Row],[Flag_Satisfaction]] * Logic_Parameters!$B$4) +
 (tbl_HR_Data[[#This Row],[Flag_Distance]]* Logic_Parameters!$B$5) +
 (tbl_HR_Data[[#This Row],[Flag_Income]] * Logic_Parameters!$B$6)</f>
        <v>13.166106695875378</v>
      </c>
      <c r="AP1263" s="15">
        <f>tbl_HR_Data[[#This Row],[Risk_Score_Raw]] / SUM(Logic_Parameters!$B$2:$B$6)</f>
        <v>0.45360546450291089</v>
      </c>
      <c r="AQ1263" s="16" t="str" cm="1">
        <f t="array" ref="AQ1263">_xlfn.IFS(tbl_HR_Data[[#This Row],[Attrition_Risk_Percentage]] &gt;= 0.75, "Critical",tbl_HR_Data[ [#This Row],[Attrition_Risk_Percentage] ]&gt;= 0.5, "High",tbl_HR_Data[[#This Row],[Attrition_Risk_Percentage]] &gt;= 0.25, "Medium",TRUE, "Low")</f>
        <v>Medium</v>
      </c>
      <c r="AR1263" s="16" cm="1">
        <f t="array" ref="AR1263">IFERROR(_xlfn.IFS(tbl_HR_Data[[#This Row],[Risk_Category]]="Critical",tbl_HR_Data[[#This Row],[MonthlyIncome]]*1.5,tbl_HR_Data[[#This Row],[Risk_Category]]="High",tbl_HR_Data[[#This Row],[MonthlyIncome]]*1.5),0)</f>
        <v>0</v>
      </c>
    </row>
    <row r="1264" spans="1:44" x14ac:dyDescent="0.35">
      <c r="A1264" t="s">
        <v>251</v>
      </c>
      <c r="B1264">
        <v>43</v>
      </c>
      <c r="C1264" t="s">
        <v>37</v>
      </c>
      <c r="D1264">
        <v>807</v>
      </c>
      <c r="E1264" t="s">
        <v>38</v>
      </c>
      <c r="F1264">
        <v>17</v>
      </c>
      <c r="G1264">
        <v>3</v>
      </c>
      <c r="H1264" t="s">
        <v>52</v>
      </c>
      <c r="I1264">
        <v>3</v>
      </c>
      <c r="J1264" t="s">
        <v>39</v>
      </c>
      <c r="K1264">
        <v>38</v>
      </c>
      <c r="L1264">
        <v>2</v>
      </c>
      <c r="M1264">
        <v>1</v>
      </c>
      <c r="N1264" t="s">
        <v>40</v>
      </c>
      <c r="O1264">
        <v>3</v>
      </c>
      <c r="P1264" t="s">
        <v>41</v>
      </c>
      <c r="Q1264">
        <v>2437</v>
      </c>
      <c r="R1264">
        <v>15587</v>
      </c>
      <c r="S1264">
        <v>9</v>
      </c>
      <c r="T1264">
        <v>1</v>
      </c>
      <c r="U1264" s="17">
        <v>0.16</v>
      </c>
      <c r="V1264">
        <v>3</v>
      </c>
      <c r="W1264">
        <v>4</v>
      </c>
      <c r="X1264">
        <v>1</v>
      </c>
      <c r="Y1264">
        <v>6</v>
      </c>
      <c r="Z1264">
        <v>4</v>
      </c>
      <c r="AA1264">
        <v>3</v>
      </c>
      <c r="AB1264">
        <v>1</v>
      </c>
      <c r="AC1264">
        <v>0</v>
      </c>
      <c r="AD1264">
        <v>0</v>
      </c>
      <c r="AE1264">
        <v>0</v>
      </c>
      <c r="AF1264">
        <v>1</v>
      </c>
      <c r="AG1264">
        <f>IF(tbl_HR_Data[[#This Row],[Gender]]="Male",1,0)</f>
        <v>1</v>
      </c>
      <c r="AH1264" cm="1">
        <f t="array" ref="AH1264">_xlfn.SWITCH(tbl_HR_Data[[#This Row],[BusinessTravel]], "Non-Travel", 0, "Travel_Rarely", 1, "Travel_Frequently", 2)</f>
        <v>2</v>
      </c>
      <c r="AI1264" cm="1">
        <f t="array" ref="AI1264">_xlfn.SWITCH(tbl_HR_Data[[#This Row],[MaritalStatus]],"Single",0,"Married",1,"Divorced",2)</f>
        <v>1</v>
      </c>
      <c r="AJ1264">
        <f>IF(tbl_HR_Data[[#This Row],[OverTime]]=1,1,0)</f>
        <v>1</v>
      </c>
      <c r="AK1264">
        <f>IF(tbl_HR_Data[[#This Row],[DistanceFromHome]]&gt;15,1,0)</f>
        <v>1</v>
      </c>
      <c r="AL1264">
        <f>IF(tbl_HR_Data[[#This Row],[JobSatisfaction]]&lt;=2,1,0)</f>
        <v>0</v>
      </c>
      <c r="AM1264">
        <f>IF(tbl_HR_Data[[#This Row],[MonthlyIncome]]&lt;$AT$2,1,0)</f>
        <v>1</v>
      </c>
      <c r="AN1264">
        <f>IF(tbl_HR_Data[[#This Row],[Travel_Code]]=2,1,0)</f>
        <v>1</v>
      </c>
      <c r="AO1264">
        <f>(tbl_HR_Data[[#This Row],[Flag_OT]] * Logic_Parameters!$B$2) +
 (tbl_HR_Data[[#This Row],[Flag_Travel]] * Logic_Parameters!$B$3) +
 (tbl_HR_Data[[#This Row],[Flag_Satisfaction]] * Logic_Parameters!$B$4) +
 (tbl_HR_Data[[#This Row],[Flag_Distance]]* Logic_Parameters!$B$5) +
 (tbl_HR_Data[[#This Row],[Flag_Income]] * Logic_Parameters!$B$6)</f>
        <v>24.820925613786383</v>
      </c>
      <c r="AP1264" s="15">
        <f>tbl_HR_Data[[#This Row],[Risk_Score_Raw]] / SUM(Logic_Parameters!$B$2:$B$6)</f>
        <v>0.85514326691283105</v>
      </c>
      <c r="AQ1264" s="16" t="str" cm="1">
        <f t="array" ref="AQ1264">_xlfn.IFS(tbl_HR_Data[[#This Row],[Attrition_Risk_Percentage]] &gt;= 0.75, "Critical",tbl_HR_Data[ [#This Row],[Attrition_Risk_Percentage] ]&gt;= 0.5, "High",tbl_HR_Data[[#This Row],[Attrition_Risk_Percentage]] &gt;= 0.25, "Medium",TRUE, "Low")</f>
        <v>Critical</v>
      </c>
      <c r="AR1264" s="16" cm="1">
        <f t="array" ref="AR1264">IFERROR(_xlfn.IFS(tbl_HR_Data[[#This Row],[Risk_Category]]="Critical",tbl_HR_Data[[#This Row],[MonthlyIncome]]*1.5,tbl_HR_Data[[#This Row],[Risk_Category]]="High",tbl_HR_Data[[#This Row],[MonthlyIncome]]*1.5),0)</f>
        <v>3655.5</v>
      </c>
    </row>
    <row r="1265" spans="1:44" x14ac:dyDescent="0.35">
      <c r="A1265" t="s">
        <v>959</v>
      </c>
      <c r="B1265">
        <v>42</v>
      </c>
      <c r="C1265" t="s">
        <v>31</v>
      </c>
      <c r="D1265">
        <v>855</v>
      </c>
      <c r="E1265" t="s">
        <v>38</v>
      </c>
      <c r="F1265">
        <v>12</v>
      </c>
      <c r="G1265">
        <v>3</v>
      </c>
      <c r="H1265" t="s">
        <v>44</v>
      </c>
      <c r="I1265">
        <v>2</v>
      </c>
      <c r="J1265" t="s">
        <v>39</v>
      </c>
      <c r="K1265">
        <v>57</v>
      </c>
      <c r="L1265">
        <v>3</v>
      </c>
      <c r="M1265">
        <v>1</v>
      </c>
      <c r="N1265" t="s">
        <v>43</v>
      </c>
      <c r="O1265">
        <v>2</v>
      </c>
      <c r="P1265" t="s">
        <v>45</v>
      </c>
      <c r="Q1265">
        <v>2766</v>
      </c>
      <c r="R1265">
        <v>8952</v>
      </c>
      <c r="S1265">
        <v>8</v>
      </c>
      <c r="T1265">
        <v>0</v>
      </c>
      <c r="U1265" s="17">
        <v>0.22</v>
      </c>
      <c r="V1265">
        <v>4</v>
      </c>
      <c r="W1265">
        <v>2</v>
      </c>
      <c r="X1265">
        <v>3</v>
      </c>
      <c r="Y1265">
        <v>7</v>
      </c>
      <c r="Z1265">
        <v>6</v>
      </c>
      <c r="AA1265">
        <v>2</v>
      </c>
      <c r="AB1265">
        <v>5</v>
      </c>
      <c r="AC1265">
        <v>3</v>
      </c>
      <c r="AD1265">
        <v>0</v>
      </c>
      <c r="AE1265">
        <v>4</v>
      </c>
      <c r="AF1265">
        <v>0</v>
      </c>
      <c r="AG1265">
        <f>IF(tbl_HR_Data[[#This Row],[Gender]]="Male",1,0)</f>
        <v>1</v>
      </c>
      <c r="AH1265" cm="1">
        <f t="array" ref="AH1265">_xlfn.SWITCH(tbl_HR_Data[[#This Row],[BusinessTravel]], "Non-Travel", 0, "Travel_Rarely", 1, "Travel_Frequently", 2)</f>
        <v>1</v>
      </c>
      <c r="AI1265" cm="1">
        <f t="array" ref="AI1265">_xlfn.SWITCH(tbl_HR_Data[[#This Row],[MaritalStatus]],"Single",0,"Married",1,"Divorced",2)</f>
        <v>2</v>
      </c>
      <c r="AJ1265">
        <f>IF(tbl_HR_Data[[#This Row],[OverTime]]=1,1,0)</f>
        <v>0</v>
      </c>
      <c r="AK1265">
        <f>IF(tbl_HR_Data[[#This Row],[DistanceFromHome]]&gt;15,1,0)</f>
        <v>0</v>
      </c>
      <c r="AL1265">
        <f>IF(tbl_HR_Data[[#This Row],[JobSatisfaction]]&lt;=2,1,0)</f>
        <v>1</v>
      </c>
      <c r="AM1265">
        <f>IF(tbl_HR_Data[[#This Row],[MonthlyIncome]]&lt;$AT$2,1,0)</f>
        <v>1</v>
      </c>
      <c r="AN1265">
        <f>IF(tbl_HR_Data[[#This Row],[Travel_Code]]=2,1,0)</f>
        <v>0</v>
      </c>
      <c r="AO1265">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265" s="15">
        <f>tbl_HR_Data[[#This Row],[Risk_Score_Raw]] / SUM(Logic_Parameters!$B$2:$B$6)</f>
        <v>0.3686061316669938</v>
      </c>
      <c r="AQ1265" s="16" t="str" cm="1">
        <f t="array" ref="AQ1265">_xlfn.IFS(tbl_HR_Data[[#This Row],[Attrition_Risk_Percentage]] &gt;= 0.75, "Critical",tbl_HR_Data[ [#This Row],[Attrition_Risk_Percentage] ]&gt;= 0.5, "High",tbl_HR_Data[[#This Row],[Attrition_Risk_Percentage]] &gt;= 0.25, "Medium",TRUE, "Low")</f>
        <v>Medium</v>
      </c>
      <c r="AR1265" s="16" cm="1">
        <f t="array" ref="AR1265">IFERROR(_xlfn.IFS(tbl_HR_Data[[#This Row],[Risk_Category]]="Critical",tbl_HR_Data[[#This Row],[MonthlyIncome]]*1.5,tbl_HR_Data[[#This Row],[Risk_Category]]="High",tbl_HR_Data[[#This Row],[MonthlyIncome]]*1.5),0)</f>
        <v>0</v>
      </c>
    </row>
    <row r="1266" spans="1:44" x14ac:dyDescent="0.35">
      <c r="A1266" t="s">
        <v>1387</v>
      </c>
      <c r="B1266">
        <v>55</v>
      </c>
      <c r="C1266" t="s">
        <v>31</v>
      </c>
      <c r="D1266">
        <v>478</v>
      </c>
      <c r="E1266" t="s">
        <v>38</v>
      </c>
      <c r="F1266">
        <v>2</v>
      </c>
      <c r="G1266">
        <v>3</v>
      </c>
      <c r="H1266" t="s">
        <v>44</v>
      </c>
      <c r="I1266">
        <v>3</v>
      </c>
      <c r="J1266" t="s">
        <v>39</v>
      </c>
      <c r="K1266">
        <v>60</v>
      </c>
      <c r="L1266">
        <v>2</v>
      </c>
      <c r="M1266">
        <v>5</v>
      </c>
      <c r="N1266" t="s">
        <v>50</v>
      </c>
      <c r="O1266">
        <v>1</v>
      </c>
      <c r="P1266" t="s">
        <v>41</v>
      </c>
      <c r="Q1266">
        <v>19038</v>
      </c>
      <c r="R1266">
        <v>19805</v>
      </c>
      <c r="S1266">
        <v>8</v>
      </c>
      <c r="T1266">
        <v>0</v>
      </c>
      <c r="U1266" s="17">
        <v>0.12</v>
      </c>
      <c r="V1266">
        <v>3</v>
      </c>
      <c r="W1266">
        <v>2</v>
      </c>
      <c r="X1266">
        <v>3</v>
      </c>
      <c r="Y1266">
        <v>34</v>
      </c>
      <c r="Z1266">
        <v>2</v>
      </c>
      <c r="AA1266">
        <v>3</v>
      </c>
      <c r="AB1266">
        <v>1</v>
      </c>
      <c r="AC1266">
        <v>0</v>
      </c>
      <c r="AD1266">
        <v>0</v>
      </c>
      <c r="AE1266">
        <v>0</v>
      </c>
      <c r="AF1266">
        <v>0</v>
      </c>
      <c r="AG1266">
        <f>IF(tbl_HR_Data[[#This Row],[Gender]]="Male",1,0)</f>
        <v>1</v>
      </c>
      <c r="AH1266" cm="1">
        <f t="array" ref="AH1266">_xlfn.SWITCH(tbl_HR_Data[[#This Row],[BusinessTravel]], "Non-Travel", 0, "Travel_Rarely", 1, "Travel_Frequently", 2)</f>
        <v>1</v>
      </c>
      <c r="AI1266" cm="1">
        <f t="array" ref="AI1266">_xlfn.SWITCH(tbl_HR_Data[[#This Row],[MaritalStatus]],"Single",0,"Married",1,"Divorced",2)</f>
        <v>1</v>
      </c>
      <c r="AJ1266">
        <f>IF(tbl_HR_Data[[#This Row],[OverTime]]=1,1,0)</f>
        <v>0</v>
      </c>
      <c r="AK1266">
        <f>IF(tbl_HR_Data[[#This Row],[DistanceFromHome]]&gt;15,1,0)</f>
        <v>0</v>
      </c>
      <c r="AL1266">
        <f>IF(tbl_HR_Data[[#This Row],[JobSatisfaction]]&lt;=2,1,0)</f>
        <v>1</v>
      </c>
      <c r="AM1266">
        <f>IF(tbl_HR_Data[[#This Row],[MonthlyIncome]]&lt;$AT$2,1,0)</f>
        <v>0</v>
      </c>
      <c r="AN1266">
        <f>IF(tbl_HR_Data[[#This Row],[Travel_Code]]=2,1,0)</f>
        <v>0</v>
      </c>
      <c r="AO1266">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266" s="15">
        <f>tbl_HR_Data[[#This Row],[Risk_Score_Raw]] / SUM(Logic_Parameters!$B$2:$B$6)</f>
        <v>0.14485673308716898</v>
      </c>
      <c r="AQ1266" s="16" t="str" cm="1">
        <f t="array" ref="AQ1266">_xlfn.IFS(tbl_HR_Data[[#This Row],[Attrition_Risk_Percentage]] &gt;= 0.75, "Critical",tbl_HR_Data[ [#This Row],[Attrition_Risk_Percentage] ]&gt;= 0.5, "High",tbl_HR_Data[[#This Row],[Attrition_Risk_Percentage]] &gt;= 0.25, "Medium",TRUE, "Low")</f>
        <v>Low</v>
      </c>
      <c r="AR1266" s="16" cm="1">
        <f t="array" ref="AR1266">IFERROR(_xlfn.IFS(tbl_HR_Data[[#This Row],[Risk_Category]]="Critical",tbl_HR_Data[[#This Row],[MonthlyIncome]]*1.5,tbl_HR_Data[[#This Row],[Risk_Category]]="High",tbl_HR_Data[[#This Row],[MonthlyIncome]]*1.5),0)</f>
        <v>0</v>
      </c>
    </row>
    <row r="1267" spans="1:44" x14ac:dyDescent="0.35">
      <c r="A1267" t="s">
        <v>1356</v>
      </c>
      <c r="B1267">
        <v>33</v>
      </c>
      <c r="C1267" t="s">
        <v>1525</v>
      </c>
      <c r="D1267">
        <v>775</v>
      </c>
      <c r="E1267" t="s">
        <v>38</v>
      </c>
      <c r="F1267">
        <v>4</v>
      </c>
      <c r="G1267">
        <v>3</v>
      </c>
      <c r="H1267" t="s">
        <v>52</v>
      </c>
      <c r="I1267">
        <v>4</v>
      </c>
      <c r="J1267" t="s">
        <v>39</v>
      </c>
      <c r="K1267">
        <v>90</v>
      </c>
      <c r="L1267">
        <v>3</v>
      </c>
      <c r="M1267">
        <v>2</v>
      </c>
      <c r="N1267" t="s">
        <v>40</v>
      </c>
      <c r="O1267">
        <v>2</v>
      </c>
      <c r="P1267" t="s">
        <v>45</v>
      </c>
      <c r="Q1267">
        <v>3055</v>
      </c>
      <c r="R1267">
        <v>6194</v>
      </c>
      <c r="S1267">
        <v>5</v>
      </c>
      <c r="T1267">
        <v>0</v>
      </c>
      <c r="U1267" s="17">
        <v>0.15</v>
      </c>
      <c r="V1267">
        <v>3</v>
      </c>
      <c r="W1267">
        <v>4</v>
      </c>
      <c r="X1267">
        <v>2</v>
      </c>
      <c r="Y1267">
        <v>11</v>
      </c>
      <c r="Z1267">
        <v>2</v>
      </c>
      <c r="AA1267">
        <v>2</v>
      </c>
      <c r="AB1267">
        <v>9</v>
      </c>
      <c r="AC1267">
        <v>8</v>
      </c>
      <c r="AD1267">
        <v>1</v>
      </c>
      <c r="AE1267">
        <v>7</v>
      </c>
      <c r="AF1267">
        <v>0</v>
      </c>
      <c r="AG1267">
        <f>IF(tbl_HR_Data[[#This Row],[Gender]]="Male",1,0)</f>
        <v>1</v>
      </c>
      <c r="AH1267" cm="1">
        <f t="array" ref="AH1267">_xlfn.SWITCH(tbl_HR_Data[[#This Row],[BusinessTravel]], "Non-Travel", 0, "Travel_Rarely", 1, "Travel_Frequently", 2)</f>
        <v>0</v>
      </c>
      <c r="AI1267" cm="1">
        <f t="array" ref="AI1267">_xlfn.SWITCH(tbl_HR_Data[[#This Row],[MaritalStatus]],"Single",0,"Married",1,"Divorced",2)</f>
        <v>2</v>
      </c>
      <c r="AJ1267">
        <f>IF(tbl_HR_Data[[#This Row],[OverTime]]=1,1,0)</f>
        <v>0</v>
      </c>
      <c r="AK1267">
        <f>IF(tbl_HR_Data[[#This Row],[DistanceFromHome]]&gt;15,1,0)</f>
        <v>0</v>
      </c>
      <c r="AL1267">
        <f>IF(tbl_HR_Data[[#This Row],[JobSatisfaction]]&lt;=2,1,0)</f>
        <v>1</v>
      </c>
      <c r="AM1267">
        <f>IF(tbl_HR_Data[[#This Row],[MonthlyIncome]]&lt;$AT$2,1,0)</f>
        <v>1</v>
      </c>
      <c r="AN1267">
        <f>IF(tbl_HR_Data[[#This Row],[Travel_Code]]=2,1,0)</f>
        <v>0</v>
      </c>
      <c r="AO1267">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267" s="15">
        <f>tbl_HR_Data[[#This Row],[Risk_Score_Raw]] / SUM(Logic_Parameters!$B$2:$B$6)</f>
        <v>0.3686061316669938</v>
      </c>
      <c r="AQ1267" s="16" t="str" cm="1">
        <f t="array" ref="AQ1267">_xlfn.IFS(tbl_HR_Data[[#This Row],[Attrition_Risk_Percentage]] &gt;= 0.75, "Critical",tbl_HR_Data[ [#This Row],[Attrition_Risk_Percentage] ]&gt;= 0.5, "High",tbl_HR_Data[[#This Row],[Attrition_Risk_Percentage]] &gt;= 0.25, "Medium",TRUE, "Low")</f>
        <v>Medium</v>
      </c>
      <c r="AR1267" s="16" cm="1">
        <f t="array" ref="AR1267">IFERROR(_xlfn.IFS(tbl_HR_Data[[#This Row],[Risk_Category]]="Critical",tbl_HR_Data[[#This Row],[MonthlyIncome]]*1.5,tbl_HR_Data[[#This Row],[Risk_Category]]="High",tbl_HR_Data[[#This Row],[MonthlyIncome]]*1.5),0)</f>
        <v>0</v>
      </c>
    </row>
    <row r="1268" spans="1:44" x14ac:dyDescent="0.35">
      <c r="A1268" t="s">
        <v>1277</v>
      </c>
      <c r="B1268">
        <v>41</v>
      </c>
      <c r="C1268" t="s">
        <v>31</v>
      </c>
      <c r="D1268">
        <v>548</v>
      </c>
      <c r="E1268" t="s">
        <v>38</v>
      </c>
      <c r="F1268">
        <v>9</v>
      </c>
      <c r="G1268">
        <v>4</v>
      </c>
      <c r="H1268" t="s">
        <v>33</v>
      </c>
      <c r="I1268">
        <v>3</v>
      </c>
      <c r="J1268" t="s">
        <v>39</v>
      </c>
      <c r="K1268">
        <v>94</v>
      </c>
      <c r="L1268">
        <v>3</v>
      </c>
      <c r="M1268">
        <v>1</v>
      </c>
      <c r="N1268" t="s">
        <v>43</v>
      </c>
      <c r="O1268">
        <v>1</v>
      </c>
      <c r="P1268" t="s">
        <v>45</v>
      </c>
      <c r="Q1268">
        <v>2289</v>
      </c>
      <c r="R1268">
        <v>20520</v>
      </c>
      <c r="S1268">
        <v>1</v>
      </c>
      <c r="T1268">
        <v>0</v>
      </c>
      <c r="U1268" s="17">
        <v>0.2</v>
      </c>
      <c r="V1268">
        <v>4</v>
      </c>
      <c r="W1268">
        <v>2</v>
      </c>
      <c r="X1268">
        <v>2</v>
      </c>
      <c r="Y1268">
        <v>5</v>
      </c>
      <c r="Z1268">
        <v>2</v>
      </c>
      <c r="AA1268">
        <v>3</v>
      </c>
      <c r="AB1268">
        <v>5</v>
      </c>
      <c r="AC1268">
        <v>3</v>
      </c>
      <c r="AD1268">
        <v>0</v>
      </c>
      <c r="AE1268">
        <v>4</v>
      </c>
      <c r="AF1268">
        <v>0</v>
      </c>
      <c r="AG1268">
        <f>IF(tbl_HR_Data[[#This Row],[Gender]]="Male",1,0)</f>
        <v>1</v>
      </c>
      <c r="AH1268" cm="1">
        <f t="array" ref="AH1268">_xlfn.SWITCH(tbl_HR_Data[[#This Row],[BusinessTravel]], "Non-Travel", 0, "Travel_Rarely", 1, "Travel_Frequently", 2)</f>
        <v>1</v>
      </c>
      <c r="AI1268" cm="1">
        <f t="array" ref="AI1268">_xlfn.SWITCH(tbl_HR_Data[[#This Row],[MaritalStatus]],"Single",0,"Married",1,"Divorced",2)</f>
        <v>2</v>
      </c>
      <c r="AJ1268">
        <f>IF(tbl_HR_Data[[#This Row],[OverTime]]=1,1,0)</f>
        <v>0</v>
      </c>
      <c r="AK1268">
        <f>IF(tbl_HR_Data[[#This Row],[DistanceFromHome]]&gt;15,1,0)</f>
        <v>0</v>
      </c>
      <c r="AL1268">
        <f>IF(tbl_HR_Data[[#This Row],[JobSatisfaction]]&lt;=2,1,0)</f>
        <v>1</v>
      </c>
      <c r="AM1268">
        <f>IF(tbl_HR_Data[[#This Row],[MonthlyIncome]]&lt;$AT$2,1,0)</f>
        <v>1</v>
      </c>
      <c r="AN1268">
        <f>IF(tbl_HR_Data[[#This Row],[Travel_Code]]=2,1,0)</f>
        <v>0</v>
      </c>
      <c r="AO1268">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268" s="15">
        <f>tbl_HR_Data[[#This Row],[Risk_Score_Raw]] / SUM(Logic_Parameters!$B$2:$B$6)</f>
        <v>0.3686061316669938</v>
      </c>
      <c r="AQ1268" s="16" t="str" cm="1">
        <f t="array" ref="AQ1268">_xlfn.IFS(tbl_HR_Data[[#This Row],[Attrition_Risk_Percentage]] &gt;= 0.75, "Critical",tbl_HR_Data[ [#This Row],[Attrition_Risk_Percentage] ]&gt;= 0.5, "High",tbl_HR_Data[[#This Row],[Attrition_Risk_Percentage]] &gt;= 0.25, "Medium",TRUE, "Low")</f>
        <v>Medium</v>
      </c>
      <c r="AR1268" s="16" cm="1">
        <f t="array" ref="AR1268">IFERROR(_xlfn.IFS(tbl_HR_Data[[#This Row],[Risk_Category]]="Critical",tbl_HR_Data[[#This Row],[MonthlyIncome]]*1.5,tbl_HR_Data[[#This Row],[Risk_Category]]="High",tbl_HR_Data[[#This Row],[MonthlyIncome]]*1.5),0)</f>
        <v>0</v>
      </c>
    </row>
    <row r="1269" spans="1:44" x14ac:dyDescent="0.35">
      <c r="A1269" t="s">
        <v>188</v>
      </c>
      <c r="B1269">
        <v>34</v>
      </c>
      <c r="C1269" t="s">
        <v>1525</v>
      </c>
      <c r="D1269">
        <v>1375</v>
      </c>
      <c r="E1269" t="s">
        <v>32</v>
      </c>
      <c r="F1269">
        <v>10</v>
      </c>
      <c r="G1269">
        <v>3</v>
      </c>
      <c r="H1269" t="s">
        <v>33</v>
      </c>
      <c r="I1269">
        <v>4</v>
      </c>
      <c r="J1269" t="s">
        <v>39</v>
      </c>
      <c r="K1269">
        <v>87</v>
      </c>
      <c r="L1269">
        <v>3</v>
      </c>
      <c r="M1269">
        <v>2</v>
      </c>
      <c r="N1269" t="s">
        <v>35</v>
      </c>
      <c r="O1269">
        <v>3</v>
      </c>
      <c r="P1269" t="s">
        <v>45</v>
      </c>
      <c r="Q1269">
        <v>4001</v>
      </c>
      <c r="R1269">
        <v>12313</v>
      </c>
      <c r="S1269">
        <v>1</v>
      </c>
      <c r="T1269">
        <v>1</v>
      </c>
      <c r="U1269" s="17">
        <v>0.14000000000000001</v>
      </c>
      <c r="V1269">
        <v>3</v>
      </c>
      <c r="W1269">
        <v>3</v>
      </c>
      <c r="X1269">
        <v>1</v>
      </c>
      <c r="Y1269">
        <v>15</v>
      </c>
      <c r="Z1269">
        <v>3</v>
      </c>
      <c r="AA1269">
        <v>3</v>
      </c>
      <c r="AB1269">
        <v>15</v>
      </c>
      <c r="AC1269">
        <v>14</v>
      </c>
      <c r="AD1269">
        <v>0</v>
      </c>
      <c r="AE1269">
        <v>7</v>
      </c>
      <c r="AF1269">
        <v>0</v>
      </c>
      <c r="AG1269">
        <f>IF(tbl_HR_Data[[#This Row],[Gender]]="Male",1,0)</f>
        <v>1</v>
      </c>
      <c r="AH1269" cm="1">
        <f t="array" ref="AH1269">_xlfn.SWITCH(tbl_HR_Data[[#This Row],[BusinessTravel]], "Non-Travel", 0, "Travel_Rarely", 1, "Travel_Frequently", 2)</f>
        <v>0</v>
      </c>
      <c r="AI1269" cm="1">
        <f t="array" ref="AI1269">_xlfn.SWITCH(tbl_HR_Data[[#This Row],[MaritalStatus]],"Single",0,"Married",1,"Divorced",2)</f>
        <v>2</v>
      </c>
      <c r="AJ1269">
        <f>IF(tbl_HR_Data[[#This Row],[OverTime]]=1,1,0)</f>
        <v>1</v>
      </c>
      <c r="AK1269">
        <f>IF(tbl_HR_Data[[#This Row],[DistanceFromHome]]&gt;15,1,0)</f>
        <v>0</v>
      </c>
      <c r="AL1269">
        <f>IF(tbl_HR_Data[[#This Row],[JobSatisfaction]]&lt;=2,1,0)</f>
        <v>0</v>
      </c>
      <c r="AM1269">
        <f>IF(tbl_HR_Data[[#This Row],[MonthlyIncome]]&lt;$AT$2,1,0)</f>
        <v>1</v>
      </c>
      <c r="AN1269">
        <f>IF(tbl_HR_Data[[#This Row],[Travel_Code]]=2,1,0)</f>
        <v>0</v>
      </c>
      <c r="AO1269">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1269" s="15">
        <f>tbl_HR_Data[[#This Row],[Risk_Score_Raw]] / SUM(Logic_Parameters!$B$2:$B$6)</f>
        <v>0.56827453040563214</v>
      </c>
      <c r="AQ1269" s="16" t="str" cm="1">
        <f t="array" ref="AQ1269">_xlfn.IFS(tbl_HR_Data[[#This Row],[Attrition_Risk_Percentage]] &gt;= 0.75, "Critical",tbl_HR_Data[ [#This Row],[Attrition_Risk_Percentage] ]&gt;= 0.5, "High",tbl_HR_Data[[#This Row],[Attrition_Risk_Percentage]] &gt;= 0.25, "Medium",TRUE, "Low")</f>
        <v>High</v>
      </c>
      <c r="AR1269" s="16" cm="1">
        <f t="array" ref="AR1269">IFERROR(_xlfn.IFS(tbl_HR_Data[[#This Row],[Risk_Category]]="Critical",tbl_HR_Data[[#This Row],[MonthlyIncome]]*1.5,tbl_HR_Data[[#This Row],[Risk_Category]]="High",tbl_HR_Data[[#This Row],[MonthlyIncome]]*1.5),0)</f>
        <v>6001.5</v>
      </c>
    </row>
    <row r="1270" spans="1:44" x14ac:dyDescent="0.35">
      <c r="A1270" t="s">
        <v>209</v>
      </c>
      <c r="B1270">
        <v>53</v>
      </c>
      <c r="C1270" t="s">
        <v>1525</v>
      </c>
      <c r="D1270">
        <v>661</v>
      </c>
      <c r="E1270" t="s">
        <v>38</v>
      </c>
      <c r="F1270">
        <v>1</v>
      </c>
      <c r="G1270">
        <v>4</v>
      </c>
      <c r="H1270" t="s">
        <v>44</v>
      </c>
      <c r="I1270">
        <v>1</v>
      </c>
      <c r="J1270" t="s">
        <v>34</v>
      </c>
      <c r="K1270">
        <v>60</v>
      </c>
      <c r="L1270">
        <v>2</v>
      </c>
      <c r="M1270">
        <v>4</v>
      </c>
      <c r="N1270" t="s">
        <v>46</v>
      </c>
      <c r="O1270">
        <v>3</v>
      </c>
      <c r="P1270" t="s">
        <v>41</v>
      </c>
      <c r="Q1270">
        <v>12965</v>
      </c>
      <c r="R1270">
        <v>22308</v>
      </c>
      <c r="S1270">
        <v>4</v>
      </c>
      <c r="T1270">
        <v>1</v>
      </c>
      <c r="U1270" s="17">
        <v>0.2</v>
      </c>
      <c r="V1270">
        <v>4</v>
      </c>
      <c r="W1270">
        <v>4</v>
      </c>
      <c r="X1270">
        <v>3</v>
      </c>
      <c r="Y1270">
        <v>27</v>
      </c>
      <c r="Z1270">
        <v>2</v>
      </c>
      <c r="AA1270">
        <v>2</v>
      </c>
      <c r="AB1270">
        <v>3</v>
      </c>
      <c r="AC1270">
        <v>2</v>
      </c>
      <c r="AD1270">
        <v>0</v>
      </c>
      <c r="AE1270">
        <v>2</v>
      </c>
      <c r="AF1270">
        <v>0</v>
      </c>
      <c r="AG1270">
        <f>IF(tbl_HR_Data[[#This Row],[Gender]]="Male",1,0)</f>
        <v>0</v>
      </c>
      <c r="AH1270" cm="1">
        <f t="array" ref="AH1270">_xlfn.SWITCH(tbl_HR_Data[[#This Row],[BusinessTravel]], "Non-Travel", 0, "Travel_Rarely", 1, "Travel_Frequently", 2)</f>
        <v>0</v>
      </c>
      <c r="AI1270" cm="1">
        <f t="array" ref="AI1270">_xlfn.SWITCH(tbl_HR_Data[[#This Row],[MaritalStatus]],"Single",0,"Married",1,"Divorced",2)</f>
        <v>1</v>
      </c>
      <c r="AJ1270">
        <f>IF(tbl_HR_Data[[#This Row],[OverTime]]=1,1,0)</f>
        <v>1</v>
      </c>
      <c r="AK1270">
        <f>IF(tbl_HR_Data[[#This Row],[DistanceFromHome]]&gt;15,1,0)</f>
        <v>0</v>
      </c>
      <c r="AL1270">
        <f>IF(tbl_HR_Data[[#This Row],[JobSatisfaction]]&lt;=2,1,0)</f>
        <v>0</v>
      </c>
      <c r="AM1270">
        <f>IF(tbl_HR_Data[[#This Row],[MonthlyIncome]]&lt;$AT$2,1,0)</f>
        <v>0</v>
      </c>
      <c r="AN1270">
        <f>IF(tbl_HR_Data[[#This Row],[Travel_Code]]=2,1,0)</f>
        <v>0</v>
      </c>
      <c r="AO1270">
        <f>(tbl_HR_Data[[#This Row],[Flag_OT]] * Logic_Parameters!$B$2) +
 (tbl_HR_Data[[#This Row],[Flag_Travel]] * Logic_Parameters!$B$3) +
 (tbl_HR_Data[[#This Row],[Flag_Satisfaction]] * Logic_Parameters!$B$4) +
 (tbl_HR_Data[[#This Row],[Flag_Distance]]* Logic_Parameters!$B$5) +
 (tbl_HR_Data[[#This Row],[Flag_Income]] * Logic_Parameters!$B$6)</f>
        <v>10</v>
      </c>
      <c r="AP1270" s="15">
        <f>tbl_HR_Data[[#This Row],[Risk_Score_Raw]] / SUM(Logic_Parameters!$B$2:$B$6)</f>
        <v>0.3445251318258073</v>
      </c>
      <c r="AQ1270" s="16" t="str" cm="1">
        <f t="array" ref="AQ1270">_xlfn.IFS(tbl_HR_Data[[#This Row],[Attrition_Risk_Percentage]] &gt;= 0.75, "Critical",tbl_HR_Data[ [#This Row],[Attrition_Risk_Percentage] ]&gt;= 0.5, "High",tbl_HR_Data[[#This Row],[Attrition_Risk_Percentage]] &gt;= 0.25, "Medium",TRUE, "Low")</f>
        <v>Medium</v>
      </c>
      <c r="AR1270" s="16" cm="1">
        <f t="array" ref="AR1270">IFERROR(_xlfn.IFS(tbl_HR_Data[[#This Row],[Risk_Category]]="Critical",tbl_HR_Data[[#This Row],[MonthlyIncome]]*1.5,tbl_HR_Data[[#This Row],[Risk_Category]]="High",tbl_HR_Data[[#This Row],[MonthlyIncome]]*1.5),0)</f>
        <v>0</v>
      </c>
    </row>
    <row r="1271" spans="1:44" x14ac:dyDescent="0.35">
      <c r="A1271" t="s">
        <v>244</v>
      </c>
      <c r="B1271">
        <v>43</v>
      </c>
      <c r="C1271" t="s">
        <v>31</v>
      </c>
      <c r="D1271">
        <v>244</v>
      </c>
      <c r="E1271" t="s">
        <v>53</v>
      </c>
      <c r="F1271">
        <v>2</v>
      </c>
      <c r="G1271">
        <v>3</v>
      </c>
      <c r="H1271" t="s">
        <v>33</v>
      </c>
      <c r="I1271">
        <v>2</v>
      </c>
      <c r="J1271" t="s">
        <v>39</v>
      </c>
      <c r="K1271">
        <v>97</v>
      </c>
      <c r="L1271">
        <v>3</v>
      </c>
      <c r="M1271">
        <v>1</v>
      </c>
      <c r="N1271" t="s">
        <v>53</v>
      </c>
      <c r="O1271">
        <v>4</v>
      </c>
      <c r="P1271" t="s">
        <v>36</v>
      </c>
      <c r="Q1271">
        <v>3539</v>
      </c>
      <c r="R1271">
        <v>5033</v>
      </c>
      <c r="S1271">
        <v>0</v>
      </c>
      <c r="T1271">
        <v>0</v>
      </c>
      <c r="U1271" s="17">
        <v>0.13</v>
      </c>
      <c r="V1271">
        <v>3</v>
      </c>
      <c r="W1271">
        <v>2</v>
      </c>
      <c r="X1271">
        <v>0</v>
      </c>
      <c r="Y1271">
        <v>10</v>
      </c>
      <c r="Z1271">
        <v>5</v>
      </c>
      <c r="AA1271">
        <v>3</v>
      </c>
      <c r="AB1271">
        <v>9</v>
      </c>
      <c r="AC1271">
        <v>7</v>
      </c>
      <c r="AD1271">
        <v>1</v>
      </c>
      <c r="AE1271">
        <v>8</v>
      </c>
      <c r="AF1271">
        <v>0</v>
      </c>
      <c r="AG1271">
        <f>IF(tbl_HR_Data[[#This Row],[Gender]]="Male",1,0)</f>
        <v>1</v>
      </c>
      <c r="AH1271" cm="1">
        <f t="array" ref="AH1271">_xlfn.SWITCH(tbl_HR_Data[[#This Row],[BusinessTravel]], "Non-Travel", 0, "Travel_Rarely", 1, "Travel_Frequently", 2)</f>
        <v>1</v>
      </c>
      <c r="AI1271" cm="1">
        <f t="array" ref="AI1271">_xlfn.SWITCH(tbl_HR_Data[[#This Row],[MaritalStatus]],"Single",0,"Married",1,"Divorced",2)</f>
        <v>0</v>
      </c>
      <c r="AJ1271">
        <f>IF(tbl_HR_Data[[#This Row],[OverTime]]=1,1,0)</f>
        <v>0</v>
      </c>
      <c r="AK1271">
        <f>IF(tbl_HR_Data[[#This Row],[DistanceFromHome]]&gt;15,1,0)</f>
        <v>0</v>
      </c>
      <c r="AL1271">
        <f>IF(tbl_HR_Data[[#This Row],[JobSatisfaction]]&lt;=2,1,0)</f>
        <v>0</v>
      </c>
      <c r="AM1271">
        <f>IF(tbl_HR_Data[[#This Row],[MonthlyIncome]]&lt;$AT$2,1,0)</f>
        <v>1</v>
      </c>
      <c r="AN1271">
        <f>IF(tbl_HR_Data[[#This Row],[Travel_Code]]=2,1,0)</f>
        <v>0</v>
      </c>
      <c r="AO1271">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271" s="15">
        <f>tbl_HR_Data[[#This Row],[Risk_Score_Raw]] / SUM(Logic_Parameters!$B$2:$B$6)</f>
        <v>0.22374939857982484</v>
      </c>
      <c r="AQ1271" s="16" t="str" cm="1">
        <f t="array" ref="AQ1271">_xlfn.IFS(tbl_HR_Data[[#This Row],[Attrition_Risk_Percentage]] &gt;= 0.75, "Critical",tbl_HR_Data[ [#This Row],[Attrition_Risk_Percentage] ]&gt;= 0.5, "High",tbl_HR_Data[[#This Row],[Attrition_Risk_Percentage]] &gt;= 0.25, "Medium",TRUE, "Low")</f>
        <v>Low</v>
      </c>
      <c r="AR1271" s="16" cm="1">
        <f t="array" ref="AR1271">IFERROR(_xlfn.IFS(tbl_HR_Data[[#This Row],[Risk_Category]]="Critical",tbl_HR_Data[[#This Row],[MonthlyIncome]]*1.5,tbl_HR_Data[[#This Row],[Risk_Category]]="High",tbl_HR_Data[[#This Row],[MonthlyIncome]]*1.5),0)</f>
        <v>0</v>
      </c>
    </row>
    <row r="1272" spans="1:44" x14ac:dyDescent="0.35">
      <c r="A1272" t="s">
        <v>912</v>
      </c>
      <c r="B1272">
        <v>34</v>
      </c>
      <c r="C1272" t="s">
        <v>31</v>
      </c>
      <c r="D1272">
        <v>511</v>
      </c>
      <c r="E1272" t="s">
        <v>32</v>
      </c>
      <c r="F1272">
        <v>3</v>
      </c>
      <c r="G1272">
        <v>2</v>
      </c>
      <c r="H1272" t="s">
        <v>33</v>
      </c>
      <c r="I1272">
        <v>4</v>
      </c>
      <c r="J1272" t="s">
        <v>34</v>
      </c>
      <c r="K1272">
        <v>32</v>
      </c>
      <c r="L1272">
        <v>1</v>
      </c>
      <c r="M1272">
        <v>2</v>
      </c>
      <c r="N1272" t="s">
        <v>35</v>
      </c>
      <c r="O1272">
        <v>4</v>
      </c>
      <c r="P1272" t="s">
        <v>36</v>
      </c>
      <c r="Q1272">
        <v>6029</v>
      </c>
      <c r="R1272">
        <v>25353</v>
      </c>
      <c r="S1272">
        <v>5</v>
      </c>
      <c r="T1272">
        <v>0</v>
      </c>
      <c r="U1272" s="17">
        <v>0.12</v>
      </c>
      <c r="V1272">
        <v>3</v>
      </c>
      <c r="W1272">
        <v>1</v>
      </c>
      <c r="X1272">
        <v>0</v>
      </c>
      <c r="Y1272">
        <v>6</v>
      </c>
      <c r="Z1272">
        <v>3</v>
      </c>
      <c r="AA1272">
        <v>3</v>
      </c>
      <c r="AB1272">
        <v>2</v>
      </c>
      <c r="AC1272">
        <v>2</v>
      </c>
      <c r="AD1272">
        <v>2</v>
      </c>
      <c r="AE1272">
        <v>2</v>
      </c>
      <c r="AF1272">
        <v>0</v>
      </c>
      <c r="AG1272">
        <f>IF(tbl_HR_Data[[#This Row],[Gender]]="Male",1,0)</f>
        <v>0</v>
      </c>
      <c r="AH1272" cm="1">
        <f t="array" ref="AH1272">_xlfn.SWITCH(tbl_HR_Data[[#This Row],[BusinessTravel]], "Non-Travel", 0, "Travel_Rarely", 1, "Travel_Frequently", 2)</f>
        <v>1</v>
      </c>
      <c r="AI1272" cm="1">
        <f t="array" ref="AI1272">_xlfn.SWITCH(tbl_HR_Data[[#This Row],[MaritalStatus]],"Single",0,"Married",1,"Divorced",2)</f>
        <v>0</v>
      </c>
      <c r="AJ1272">
        <f>IF(tbl_HR_Data[[#This Row],[OverTime]]=1,1,0)</f>
        <v>0</v>
      </c>
      <c r="AK1272">
        <f>IF(tbl_HR_Data[[#This Row],[DistanceFromHome]]&gt;15,1,0)</f>
        <v>0</v>
      </c>
      <c r="AL1272">
        <f>IF(tbl_HR_Data[[#This Row],[JobSatisfaction]]&lt;=2,1,0)</f>
        <v>0</v>
      </c>
      <c r="AM1272">
        <f>IF(tbl_HR_Data[[#This Row],[MonthlyIncome]]&lt;$AT$2,1,0)</f>
        <v>0</v>
      </c>
      <c r="AN1272">
        <f>IF(tbl_HR_Data[[#This Row],[Travel_Code]]=2,1,0)</f>
        <v>0</v>
      </c>
      <c r="AO1272">
        <f>(tbl_HR_Data[[#This Row],[Flag_OT]] * Logic_Parameters!$B$2) +
 (tbl_HR_Data[[#This Row],[Flag_Travel]] * Logic_Parameters!$B$3) +
 (tbl_HR_Data[[#This Row],[Flag_Satisfaction]] * Logic_Parameters!$B$4) +
 (tbl_HR_Data[[#This Row],[Flag_Distance]]* Logic_Parameters!$B$5) +
 (tbl_HR_Data[[#This Row],[Flag_Income]] * Logic_Parameters!$B$6)</f>
        <v>0</v>
      </c>
      <c r="AP1272" s="15">
        <f>tbl_HR_Data[[#This Row],[Risk_Score_Raw]] / SUM(Logic_Parameters!$B$2:$B$6)</f>
        <v>0</v>
      </c>
      <c r="AQ1272" s="16" t="str" cm="1">
        <f t="array" ref="AQ1272">_xlfn.IFS(tbl_HR_Data[[#This Row],[Attrition_Risk_Percentage]] &gt;= 0.75, "Critical",tbl_HR_Data[ [#This Row],[Attrition_Risk_Percentage] ]&gt;= 0.5, "High",tbl_HR_Data[[#This Row],[Attrition_Risk_Percentage]] &gt;= 0.25, "Medium",TRUE, "Low")</f>
        <v>Low</v>
      </c>
      <c r="AR1272" s="16" cm="1">
        <f t="array" ref="AR1272">IFERROR(_xlfn.IFS(tbl_HR_Data[[#This Row],[Risk_Category]]="Critical",tbl_HR_Data[[#This Row],[MonthlyIncome]]*1.5,tbl_HR_Data[[#This Row],[Risk_Category]]="High",tbl_HR_Data[[#This Row],[MonthlyIncome]]*1.5),0)</f>
        <v>0</v>
      </c>
    </row>
    <row r="1273" spans="1:44" x14ac:dyDescent="0.35">
      <c r="A1273" t="s">
        <v>228</v>
      </c>
      <c r="B1273">
        <v>21</v>
      </c>
      <c r="C1273" t="s">
        <v>31</v>
      </c>
      <c r="D1273">
        <v>337</v>
      </c>
      <c r="E1273" t="s">
        <v>32</v>
      </c>
      <c r="F1273">
        <v>7</v>
      </c>
      <c r="G1273">
        <v>1</v>
      </c>
      <c r="H1273" t="s">
        <v>51</v>
      </c>
      <c r="I1273">
        <v>2</v>
      </c>
      <c r="J1273" t="s">
        <v>39</v>
      </c>
      <c r="K1273">
        <v>31</v>
      </c>
      <c r="L1273">
        <v>3</v>
      </c>
      <c r="M1273">
        <v>1</v>
      </c>
      <c r="N1273" t="s">
        <v>49</v>
      </c>
      <c r="O1273">
        <v>2</v>
      </c>
      <c r="P1273" t="s">
        <v>36</v>
      </c>
      <c r="Q1273">
        <v>2679</v>
      </c>
      <c r="R1273">
        <v>4567</v>
      </c>
      <c r="S1273">
        <v>1</v>
      </c>
      <c r="T1273">
        <v>0</v>
      </c>
      <c r="U1273" s="17">
        <v>0.13</v>
      </c>
      <c r="V1273">
        <v>3</v>
      </c>
      <c r="W1273">
        <v>2</v>
      </c>
      <c r="X1273">
        <v>0</v>
      </c>
      <c r="Y1273">
        <v>1</v>
      </c>
      <c r="Z1273">
        <v>3</v>
      </c>
      <c r="AA1273">
        <v>3</v>
      </c>
      <c r="AB1273">
        <v>1</v>
      </c>
      <c r="AC1273">
        <v>0</v>
      </c>
      <c r="AD1273">
        <v>1</v>
      </c>
      <c r="AE1273">
        <v>0</v>
      </c>
      <c r="AF1273">
        <v>1</v>
      </c>
      <c r="AG1273">
        <f>IF(tbl_HR_Data[[#This Row],[Gender]]="Male",1,0)</f>
        <v>1</v>
      </c>
      <c r="AH1273" cm="1">
        <f t="array" ref="AH1273">_xlfn.SWITCH(tbl_HR_Data[[#This Row],[BusinessTravel]], "Non-Travel", 0, "Travel_Rarely", 1, "Travel_Frequently", 2)</f>
        <v>1</v>
      </c>
      <c r="AI1273" cm="1">
        <f t="array" ref="AI1273">_xlfn.SWITCH(tbl_HR_Data[[#This Row],[MaritalStatus]],"Single",0,"Married",1,"Divorced",2)</f>
        <v>0</v>
      </c>
      <c r="AJ1273">
        <f>IF(tbl_HR_Data[[#This Row],[OverTime]]=1,1,0)</f>
        <v>0</v>
      </c>
      <c r="AK1273">
        <f>IF(tbl_HR_Data[[#This Row],[DistanceFromHome]]&gt;15,1,0)</f>
        <v>0</v>
      </c>
      <c r="AL1273">
        <f>IF(tbl_HR_Data[[#This Row],[JobSatisfaction]]&lt;=2,1,0)</f>
        <v>1</v>
      </c>
      <c r="AM1273">
        <f>IF(tbl_HR_Data[[#This Row],[MonthlyIncome]]&lt;$AT$2,1,0)</f>
        <v>1</v>
      </c>
      <c r="AN1273">
        <f>IF(tbl_HR_Data[[#This Row],[Travel_Code]]=2,1,0)</f>
        <v>0</v>
      </c>
      <c r="AO1273">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273" s="15">
        <f>tbl_HR_Data[[#This Row],[Risk_Score_Raw]] / SUM(Logic_Parameters!$B$2:$B$6)</f>
        <v>0.3686061316669938</v>
      </c>
      <c r="AQ1273" s="16" t="str" cm="1">
        <f t="array" ref="AQ1273">_xlfn.IFS(tbl_HR_Data[[#This Row],[Attrition_Risk_Percentage]] &gt;= 0.75, "Critical",tbl_HR_Data[ [#This Row],[Attrition_Risk_Percentage] ]&gt;= 0.5, "High",tbl_HR_Data[[#This Row],[Attrition_Risk_Percentage]] &gt;= 0.25, "Medium",TRUE, "Low")</f>
        <v>Medium</v>
      </c>
      <c r="AR1273" s="16" cm="1">
        <f t="array" ref="AR1273">IFERROR(_xlfn.IFS(tbl_HR_Data[[#This Row],[Risk_Category]]="Critical",tbl_HR_Data[[#This Row],[MonthlyIncome]]*1.5,tbl_HR_Data[[#This Row],[Risk_Category]]="High",tbl_HR_Data[[#This Row],[MonthlyIncome]]*1.5),0)</f>
        <v>0</v>
      </c>
    </row>
    <row r="1274" spans="1:44" x14ac:dyDescent="0.35">
      <c r="A1274" t="s">
        <v>951</v>
      </c>
      <c r="B1274">
        <v>38</v>
      </c>
      <c r="C1274" t="s">
        <v>31</v>
      </c>
      <c r="D1274">
        <v>1153</v>
      </c>
      <c r="E1274" t="s">
        <v>38</v>
      </c>
      <c r="F1274">
        <v>6</v>
      </c>
      <c r="G1274">
        <v>2</v>
      </c>
      <c r="H1274" t="s">
        <v>42</v>
      </c>
      <c r="I1274">
        <v>4</v>
      </c>
      <c r="J1274" t="s">
        <v>34</v>
      </c>
      <c r="K1274">
        <v>40</v>
      </c>
      <c r="L1274">
        <v>2</v>
      </c>
      <c r="M1274">
        <v>1</v>
      </c>
      <c r="N1274" t="s">
        <v>43</v>
      </c>
      <c r="O1274">
        <v>3</v>
      </c>
      <c r="P1274" t="s">
        <v>41</v>
      </c>
      <c r="Q1274">
        <v>3702</v>
      </c>
      <c r="R1274">
        <v>16376</v>
      </c>
      <c r="S1274">
        <v>1</v>
      </c>
      <c r="T1274">
        <v>0</v>
      </c>
      <c r="U1274" s="17">
        <v>0.11</v>
      </c>
      <c r="V1274">
        <v>3</v>
      </c>
      <c r="W1274">
        <v>2</v>
      </c>
      <c r="X1274">
        <v>1</v>
      </c>
      <c r="Y1274">
        <v>5</v>
      </c>
      <c r="Z1274">
        <v>3</v>
      </c>
      <c r="AA1274">
        <v>3</v>
      </c>
      <c r="AB1274">
        <v>5</v>
      </c>
      <c r="AC1274">
        <v>4</v>
      </c>
      <c r="AD1274">
        <v>0</v>
      </c>
      <c r="AE1274">
        <v>4</v>
      </c>
      <c r="AF1274">
        <v>0</v>
      </c>
      <c r="AG1274">
        <f>IF(tbl_HR_Data[[#This Row],[Gender]]="Male",1,0)</f>
        <v>0</v>
      </c>
      <c r="AH1274" cm="1">
        <f t="array" ref="AH1274">_xlfn.SWITCH(tbl_HR_Data[[#This Row],[BusinessTravel]], "Non-Travel", 0, "Travel_Rarely", 1, "Travel_Frequently", 2)</f>
        <v>1</v>
      </c>
      <c r="AI1274" cm="1">
        <f t="array" ref="AI1274">_xlfn.SWITCH(tbl_HR_Data[[#This Row],[MaritalStatus]],"Single",0,"Married",1,"Divorced",2)</f>
        <v>1</v>
      </c>
      <c r="AJ1274">
        <f>IF(tbl_HR_Data[[#This Row],[OverTime]]=1,1,0)</f>
        <v>0</v>
      </c>
      <c r="AK1274">
        <f>IF(tbl_HR_Data[[#This Row],[DistanceFromHome]]&gt;15,1,0)</f>
        <v>0</v>
      </c>
      <c r="AL1274">
        <f>IF(tbl_HR_Data[[#This Row],[JobSatisfaction]]&lt;=2,1,0)</f>
        <v>0</v>
      </c>
      <c r="AM1274">
        <f>IF(tbl_HR_Data[[#This Row],[MonthlyIncome]]&lt;$AT$2,1,0)</f>
        <v>1</v>
      </c>
      <c r="AN1274">
        <f>IF(tbl_HR_Data[[#This Row],[Travel_Code]]=2,1,0)</f>
        <v>0</v>
      </c>
      <c r="AO1274">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274" s="15">
        <f>tbl_HR_Data[[#This Row],[Risk_Score_Raw]] / SUM(Logic_Parameters!$B$2:$B$6)</f>
        <v>0.22374939857982484</v>
      </c>
      <c r="AQ1274" s="16" t="str" cm="1">
        <f t="array" ref="AQ1274">_xlfn.IFS(tbl_HR_Data[[#This Row],[Attrition_Risk_Percentage]] &gt;= 0.75, "Critical",tbl_HR_Data[ [#This Row],[Attrition_Risk_Percentage] ]&gt;= 0.5, "High",tbl_HR_Data[[#This Row],[Attrition_Risk_Percentage]] &gt;= 0.25, "Medium",TRUE, "Low")</f>
        <v>Low</v>
      </c>
      <c r="AR1274" s="16" cm="1">
        <f t="array" ref="AR1274">IFERROR(_xlfn.IFS(tbl_HR_Data[[#This Row],[Risk_Category]]="Critical",tbl_HR_Data[[#This Row],[MonthlyIncome]]*1.5,tbl_HR_Data[[#This Row],[Risk_Category]]="High",tbl_HR_Data[[#This Row],[MonthlyIncome]]*1.5),0)</f>
        <v>0</v>
      </c>
    </row>
    <row r="1275" spans="1:44" x14ac:dyDescent="0.35">
      <c r="A1275" t="s">
        <v>994</v>
      </c>
      <c r="B1275">
        <v>22</v>
      </c>
      <c r="C1275" t="s">
        <v>31</v>
      </c>
      <c r="D1275">
        <v>1294</v>
      </c>
      <c r="E1275" t="s">
        <v>38</v>
      </c>
      <c r="F1275">
        <v>8</v>
      </c>
      <c r="G1275">
        <v>1</v>
      </c>
      <c r="H1275" t="s">
        <v>44</v>
      </c>
      <c r="I1275">
        <v>3</v>
      </c>
      <c r="J1275" t="s">
        <v>34</v>
      </c>
      <c r="K1275">
        <v>79</v>
      </c>
      <c r="L1275">
        <v>3</v>
      </c>
      <c r="M1275">
        <v>1</v>
      </c>
      <c r="N1275" t="s">
        <v>43</v>
      </c>
      <c r="O1275">
        <v>1</v>
      </c>
      <c r="P1275" t="s">
        <v>41</v>
      </c>
      <c r="Q1275">
        <v>2398</v>
      </c>
      <c r="R1275">
        <v>15999</v>
      </c>
      <c r="S1275">
        <v>1</v>
      </c>
      <c r="T1275">
        <v>1</v>
      </c>
      <c r="U1275" s="17">
        <v>0.17</v>
      </c>
      <c r="V1275">
        <v>3</v>
      </c>
      <c r="W1275">
        <v>3</v>
      </c>
      <c r="X1275">
        <v>0</v>
      </c>
      <c r="Y1275">
        <v>1</v>
      </c>
      <c r="Z1275">
        <v>6</v>
      </c>
      <c r="AA1275">
        <v>3</v>
      </c>
      <c r="AB1275">
        <v>1</v>
      </c>
      <c r="AC1275">
        <v>0</v>
      </c>
      <c r="AD1275">
        <v>0</v>
      </c>
      <c r="AE1275">
        <v>0</v>
      </c>
      <c r="AF1275">
        <v>1</v>
      </c>
      <c r="AG1275">
        <f>IF(tbl_HR_Data[[#This Row],[Gender]]="Male",1,0)</f>
        <v>0</v>
      </c>
      <c r="AH1275" cm="1">
        <f t="array" ref="AH1275">_xlfn.SWITCH(tbl_HR_Data[[#This Row],[BusinessTravel]], "Non-Travel", 0, "Travel_Rarely", 1, "Travel_Frequently", 2)</f>
        <v>1</v>
      </c>
      <c r="AI1275" cm="1">
        <f t="array" ref="AI1275">_xlfn.SWITCH(tbl_HR_Data[[#This Row],[MaritalStatus]],"Single",0,"Married",1,"Divorced",2)</f>
        <v>1</v>
      </c>
      <c r="AJ1275">
        <f>IF(tbl_HR_Data[[#This Row],[OverTime]]=1,1,0)</f>
        <v>1</v>
      </c>
      <c r="AK1275">
        <f>IF(tbl_HR_Data[[#This Row],[DistanceFromHome]]&gt;15,1,0)</f>
        <v>0</v>
      </c>
      <c r="AL1275">
        <f>IF(tbl_HR_Data[[#This Row],[JobSatisfaction]]&lt;=2,1,0)</f>
        <v>1</v>
      </c>
      <c r="AM1275">
        <f>IF(tbl_HR_Data[[#This Row],[MonthlyIncome]]&lt;$AT$2,1,0)</f>
        <v>1</v>
      </c>
      <c r="AN1275">
        <f>IF(tbl_HR_Data[[#This Row],[Travel_Code]]=2,1,0)</f>
        <v>0</v>
      </c>
      <c r="AO1275">
        <f>(tbl_HR_Data[[#This Row],[Flag_OT]] * Logic_Parameters!$B$2) +
 (tbl_HR_Data[[#This Row],[Flag_Travel]] * Logic_Parameters!$B$3) +
 (tbl_HR_Data[[#This Row],[Flag_Satisfaction]] * Logic_Parameters!$B$4) +
 (tbl_HR_Data[[#This Row],[Flag_Distance]]* Logic_Parameters!$B$5) +
 (tbl_HR_Data[[#This Row],[Flag_Income]] * Logic_Parameters!$B$6)</f>
        <v>20.698962067398959</v>
      </c>
      <c r="AP1275" s="15">
        <f>tbl_HR_Data[[#This Row],[Risk_Score_Raw]] / SUM(Logic_Parameters!$B$2:$B$6)</f>
        <v>0.71313126349280109</v>
      </c>
      <c r="AQ1275" s="16" t="str" cm="1">
        <f t="array" ref="AQ1275">_xlfn.IFS(tbl_HR_Data[[#This Row],[Attrition_Risk_Percentage]] &gt;= 0.75, "Critical",tbl_HR_Data[ [#This Row],[Attrition_Risk_Percentage] ]&gt;= 0.5, "High",tbl_HR_Data[[#This Row],[Attrition_Risk_Percentage]] &gt;= 0.25, "Medium",TRUE, "Low")</f>
        <v>High</v>
      </c>
      <c r="AR1275" s="16" cm="1">
        <f t="array" ref="AR1275">IFERROR(_xlfn.IFS(tbl_HR_Data[[#This Row],[Risk_Category]]="Critical",tbl_HR_Data[[#This Row],[MonthlyIncome]]*1.5,tbl_HR_Data[[#This Row],[Risk_Category]]="High",tbl_HR_Data[[#This Row],[MonthlyIncome]]*1.5),0)</f>
        <v>3597</v>
      </c>
    </row>
    <row r="1276" spans="1:44" x14ac:dyDescent="0.35">
      <c r="A1276" t="s">
        <v>1423</v>
      </c>
      <c r="B1276">
        <v>31</v>
      </c>
      <c r="C1276" t="s">
        <v>31</v>
      </c>
      <c r="D1276">
        <v>196</v>
      </c>
      <c r="E1276" t="s">
        <v>32</v>
      </c>
      <c r="F1276">
        <v>29</v>
      </c>
      <c r="G1276">
        <v>4</v>
      </c>
      <c r="H1276" t="s">
        <v>51</v>
      </c>
      <c r="I1276">
        <v>1</v>
      </c>
      <c r="J1276" t="s">
        <v>34</v>
      </c>
      <c r="K1276">
        <v>91</v>
      </c>
      <c r="L1276">
        <v>2</v>
      </c>
      <c r="M1276">
        <v>2</v>
      </c>
      <c r="N1276" t="s">
        <v>35</v>
      </c>
      <c r="O1276">
        <v>4</v>
      </c>
      <c r="P1276" t="s">
        <v>41</v>
      </c>
      <c r="Q1276">
        <v>5468</v>
      </c>
      <c r="R1276">
        <v>13402</v>
      </c>
      <c r="S1276">
        <v>1</v>
      </c>
      <c r="T1276">
        <v>0</v>
      </c>
      <c r="U1276" s="17">
        <v>0.14000000000000001</v>
      </c>
      <c r="V1276">
        <v>3</v>
      </c>
      <c r="W1276">
        <v>1</v>
      </c>
      <c r="X1276">
        <v>2</v>
      </c>
      <c r="Y1276">
        <v>13</v>
      </c>
      <c r="Z1276">
        <v>3</v>
      </c>
      <c r="AA1276">
        <v>3</v>
      </c>
      <c r="AB1276">
        <v>12</v>
      </c>
      <c r="AC1276">
        <v>7</v>
      </c>
      <c r="AD1276">
        <v>5</v>
      </c>
      <c r="AE1276">
        <v>7</v>
      </c>
      <c r="AF1276">
        <v>0</v>
      </c>
      <c r="AG1276">
        <f>IF(tbl_HR_Data[[#This Row],[Gender]]="Male",1,0)</f>
        <v>0</v>
      </c>
      <c r="AH1276" cm="1">
        <f t="array" ref="AH1276">_xlfn.SWITCH(tbl_HR_Data[[#This Row],[BusinessTravel]], "Non-Travel", 0, "Travel_Rarely", 1, "Travel_Frequently", 2)</f>
        <v>1</v>
      </c>
      <c r="AI1276" cm="1">
        <f t="array" ref="AI1276">_xlfn.SWITCH(tbl_HR_Data[[#This Row],[MaritalStatus]],"Single",0,"Married",1,"Divorced",2)</f>
        <v>1</v>
      </c>
      <c r="AJ1276">
        <f>IF(tbl_HR_Data[[#This Row],[OverTime]]=1,1,0)</f>
        <v>0</v>
      </c>
      <c r="AK1276">
        <f>IF(tbl_HR_Data[[#This Row],[DistanceFromHome]]&gt;15,1,0)</f>
        <v>1</v>
      </c>
      <c r="AL1276">
        <f>IF(tbl_HR_Data[[#This Row],[JobSatisfaction]]&lt;=2,1,0)</f>
        <v>0</v>
      </c>
      <c r="AM1276">
        <f>IF(tbl_HR_Data[[#This Row],[MonthlyIncome]]&lt;$AT$2,1,0)</f>
        <v>0</v>
      </c>
      <c r="AN1276">
        <f>IF(tbl_HR_Data[[#This Row],[Travel_Code]]=2,1,0)</f>
        <v>0</v>
      </c>
      <c r="AO1276">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1276" s="15">
        <f>tbl_HR_Data[[#This Row],[Risk_Score_Raw]] / SUM(Logic_Parameters!$B$2:$B$6)</f>
        <v>0.10908033267710357</v>
      </c>
      <c r="AQ1276" s="16" t="str" cm="1">
        <f t="array" ref="AQ1276">_xlfn.IFS(tbl_HR_Data[[#This Row],[Attrition_Risk_Percentage]] &gt;= 0.75, "Critical",tbl_HR_Data[ [#This Row],[Attrition_Risk_Percentage] ]&gt;= 0.5, "High",tbl_HR_Data[[#This Row],[Attrition_Risk_Percentage]] &gt;= 0.25, "Medium",TRUE, "Low")</f>
        <v>Low</v>
      </c>
      <c r="AR1276" s="16" cm="1">
        <f t="array" ref="AR1276">IFERROR(_xlfn.IFS(tbl_HR_Data[[#This Row],[Risk_Category]]="Critical",tbl_HR_Data[[#This Row],[MonthlyIncome]]*1.5,tbl_HR_Data[[#This Row],[Risk_Category]]="High",tbl_HR_Data[[#This Row],[MonthlyIncome]]*1.5),0)</f>
        <v>0</v>
      </c>
    </row>
    <row r="1277" spans="1:44" x14ac:dyDescent="0.35">
      <c r="A1277" t="s">
        <v>619</v>
      </c>
      <c r="B1277">
        <v>51</v>
      </c>
      <c r="C1277" t="s">
        <v>31</v>
      </c>
      <c r="D1277">
        <v>942</v>
      </c>
      <c r="E1277" t="s">
        <v>38</v>
      </c>
      <c r="F1277">
        <v>3</v>
      </c>
      <c r="G1277">
        <v>3</v>
      </c>
      <c r="H1277" t="s">
        <v>52</v>
      </c>
      <c r="I1277">
        <v>1</v>
      </c>
      <c r="J1277" t="s">
        <v>34</v>
      </c>
      <c r="K1277">
        <v>53</v>
      </c>
      <c r="L1277">
        <v>3</v>
      </c>
      <c r="M1277">
        <v>3</v>
      </c>
      <c r="N1277" t="s">
        <v>48</v>
      </c>
      <c r="O1277">
        <v>3</v>
      </c>
      <c r="P1277" t="s">
        <v>41</v>
      </c>
      <c r="Q1277">
        <v>13116</v>
      </c>
      <c r="R1277">
        <v>22984</v>
      </c>
      <c r="S1277">
        <v>2</v>
      </c>
      <c r="T1277">
        <v>0</v>
      </c>
      <c r="U1277" s="17">
        <v>0.11</v>
      </c>
      <c r="V1277">
        <v>3</v>
      </c>
      <c r="W1277">
        <v>4</v>
      </c>
      <c r="X1277">
        <v>0</v>
      </c>
      <c r="Y1277">
        <v>15</v>
      </c>
      <c r="Z1277">
        <v>2</v>
      </c>
      <c r="AA1277">
        <v>3</v>
      </c>
      <c r="AB1277">
        <v>2</v>
      </c>
      <c r="AC1277">
        <v>2</v>
      </c>
      <c r="AD1277">
        <v>2</v>
      </c>
      <c r="AE1277">
        <v>2</v>
      </c>
      <c r="AF1277">
        <v>0</v>
      </c>
      <c r="AG1277">
        <f>IF(tbl_HR_Data[[#This Row],[Gender]]="Male",1,0)</f>
        <v>0</v>
      </c>
      <c r="AH1277" cm="1">
        <f t="array" ref="AH1277">_xlfn.SWITCH(tbl_HR_Data[[#This Row],[BusinessTravel]], "Non-Travel", 0, "Travel_Rarely", 1, "Travel_Frequently", 2)</f>
        <v>1</v>
      </c>
      <c r="AI1277" cm="1">
        <f t="array" ref="AI1277">_xlfn.SWITCH(tbl_HR_Data[[#This Row],[MaritalStatus]],"Single",0,"Married",1,"Divorced",2)</f>
        <v>1</v>
      </c>
      <c r="AJ1277">
        <f>IF(tbl_HR_Data[[#This Row],[OverTime]]=1,1,0)</f>
        <v>0</v>
      </c>
      <c r="AK1277">
        <f>IF(tbl_HR_Data[[#This Row],[DistanceFromHome]]&gt;15,1,0)</f>
        <v>0</v>
      </c>
      <c r="AL1277">
        <f>IF(tbl_HR_Data[[#This Row],[JobSatisfaction]]&lt;=2,1,0)</f>
        <v>0</v>
      </c>
      <c r="AM1277">
        <f>IF(tbl_HR_Data[[#This Row],[MonthlyIncome]]&lt;$AT$2,1,0)</f>
        <v>0</v>
      </c>
      <c r="AN1277">
        <f>IF(tbl_HR_Data[[#This Row],[Travel_Code]]=2,1,0)</f>
        <v>0</v>
      </c>
      <c r="AO1277">
        <f>(tbl_HR_Data[[#This Row],[Flag_OT]] * Logic_Parameters!$B$2) +
 (tbl_HR_Data[[#This Row],[Flag_Travel]] * Logic_Parameters!$B$3) +
 (tbl_HR_Data[[#This Row],[Flag_Satisfaction]] * Logic_Parameters!$B$4) +
 (tbl_HR_Data[[#This Row],[Flag_Distance]]* Logic_Parameters!$B$5) +
 (tbl_HR_Data[[#This Row],[Flag_Income]] * Logic_Parameters!$B$6)</f>
        <v>0</v>
      </c>
      <c r="AP1277" s="15">
        <f>tbl_HR_Data[[#This Row],[Risk_Score_Raw]] / SUM(Logic_Parameters!$B$2:$B$6)</f>
        <v>0</v>
      </c>
      <c r="AQ1277" s="16" t="str" cm="1">
        <f t="array" ref="AQ1277">_xlfn.IFS(tbl_HR_Data[[#This Row],[Attrition_Risk_Percentage]] &gt;= 0.75, "Critical",tbl_HR_Data[ [#This Row],[Attrition_Risk_Percentage] ]&gt;= 0.5, "High",tbl_HR_Data[[#This Row],[Attrition_Risk_Percentage]] &gt;= 0.25, "Medium",TRUE, "Low")</f>
        <v>Low</v>
      </c>
      <c r="AR1277" s="16" cm="1">
        <f t="array" ref="AR1277">IFERROR(_xlfn.IFS(tbl_HR_Data[[#This Row],[Risk_Category]]="Critical",tbl_HR_Data[[#This Row],[MonthlyIncome]]*1.5,tbl_HR_Data[[#This Row],[Risk_Category]]="High",tbl_HR_Data[[#This Row],[MonthlyIncome]]*1.5),0)</f>
        <v>0</v>
      </c>
    </row>
    <row r="1278" spans="1:44" x14ac:dyDescent="0.35">
      <c r="A1278" t="s">
        <v>1172</v>
      </c>
      <c r="B1278">
        <v>37</v>
      </c>
      <c r="C1278" t="s">
        <v>31</v>
      </c>
      <c r="D1278">
        <v>589</v>
      </c>
      <c r="E1278" t="s">
        <v>32</v>
      </c>
      <c r="F1278">
        <v>9</v>
      </c>
      <c r="G1278">
        <v>2</v>
      </c>
      <c r="H1278" t="s">
        <v>51</v>
      </c>
      <c r="I1278">
        <v>2</v>
      </c>
      <c r="J1278" t="s">
        <v>39</v>
      </c>
      <c r="K1278">
        <v>46</v>
      </c>
      <c r="L1278">
        <v>2</v>
      </c>
      <c r="M1278">
        <v>2</v>
      </c>
      <c r="N1278" t="s">
        <v>35</v>
      </c>
      <c r="O1278">
        <v>2</v>
      </c>
      <c r="P1278" t="s">
        <v>41</v>
      </c>
      <c r="Q1278">
        <v>4189</v>
      </c>
      <c r="R1278">
        <v>8800</v>
      </c>
      <c r="S1278">
        <v>1</v>
      </c>
      <c r="T1278">
        <v>0</v>
      </c>
      <c r="U1278" s="17">
        <v>0.14000000000000001</v>
      </c>
      <c r="V1278">
        <v>3</v>
      </c>
      <c r="W1278">
        <v>1</v>
      </c>
      <c r="X1278">
        <v>2</v>
      </c>
      <c r="Y1278">
        <v>5</v>
      </c>
      <c r="Z1278">
        <v>2</v>
      </c>
      <c r="AA1278">
        <v>3</v>
      </c>
      <c r="AB1278">
        <v>5</v>
      </c>
      <c r="AC1278">
        <v>2</v>
      </c>
      <c r="AD1278">
        <v>0</v>
      </c>
      <c r="AE1278">
        <v>3</v>
      </c>
      <c r="AF1278">
        <v>0</v>
      </c>
      <c r="AG1278">
        <f>IF(tbl_HR_Data[[#This Row],[Gender]]="Male",1,0)</f>
        <v>1</v>
      </c>
      <c r="AH1278" cm="1">
        <f t="array" ref="AH1278">_xlfn.SWITCH(tbl_HR_Data[[#This Row],[BusinessTravel]], "Non-Travel", 0, "Travel_Rarely", 1, "Travel_Frequently", 2)</f>
        <v>1</v>
      </c>
      <c r="AI1278" cm="1">
        <f t="array" ref="AI1278">_xlfn.SWITCH(tbl_HR_Data[[#This Row],[MaritalStatus]],"Single",0,"Married",1,"Divorced",2)</f>
        <v>1</v>
      </c>
      <c r="AJ1278">
        <f>IF(tbl_HR_Data[[#This Row],[OverTime]]=1,1,0)</f>
        <v>0</v>
      </c>
      <c r="AK1278">
        <f>IF(tbl_HR_Data[[#This Row],[DistanceFromHome]]&gt;15,1,0)</f>
        <v>0</v>
      </c>
      <c r="AL1278">
        <f>IF(tbl_HR_Data[[#This Row],[JobSatisfaction]]&lt;=2,1,0)</f>
        <v>1</v>
      </c>
      <c r="AM1278">
        <f>IF(tbl_HR_Data[[#This Row],[MonthlyIncome]]&lt;$AT$2,1,0)</f>
        <v>1</v>
      </c>
      <c r="AN1278">
        <f>IF(tbl_HR_Data[[#This Row],[Travel_Code]]=2,1,0)</f>
        <v>0</v>
      </c>
      <c r="AO1278">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278" s="15">
        <f>tbl_HR_Data[[#This Row],[Risk_Score_Raw]] / SUM(Logic_Parameters!$B$2:$B$6)</f>
        <v>0.3686061316669938</v>
      </c>
      <c r="AQ1278" s="16" t="str" cm="1">
        <f t="array" ref="AQ1278">_xlfn.IFS(tbl_HR_Data[[#This Row],[Attrition_Risk_Percentage]] &gt;= 0.75, "Critical",tbl_HR_Data[ [#This Row],[Attrition_Risk_Percentage] ]&gt;= 0.5, "High",tbl_HR_Data[[#This Row],[Attrition_Risk_Percentage]] &gt;= 0.25, "Medium",TRUE, "Low")</f>
        <v>Medium</v>
      </c>
      <c r="AR1278" s="16" cm="1">
        <f t="array" ref="AR1278">IFERROR(_xlfn.IFS(tbl_HR_Data[[#This Row],[Risk_Category]]="Critical",tbl_HR_Data[[#This Row],[MonthlyIncome]]*1.5,tbl_HR_Data[[#This Row],[Risk_Category]]="High",tbl_HR_Data[[#This Row],[MonthlyIncome]]*1.5),0)</f>
        <v>0</v>
      </c>
    </row>
    <row r="1279" spans="1:44" x14ac:dyDescent="0.35">
      <c r="A1279" t="s">
        <v>847</v>
      </c>
      <c r="B1279">
        <v>46</v>
      </c>
      <c r="C1279" t="s">
        <v>31</v>
      </c>
      <c r="D1279">
        <v>734</v>
      </c>
      <c r="E1279" t="s">
        <v>38</v>
      </c>
      <c r="F1279">
        <v>2</v>
      </c>
      <c r="G1279">
        <v>4</v>
      </c>
      <c r="H1279" t="s">
        <v>44</v>
      </c>
      <c r="I1279">
        <v>3</v>
      </c>
      <c r="J1279" t="s">
        <v>39</v>
      </c>
      <c r="K1279">
        <v>46</v>
      </c>
      <c r="L1279">
        <v>3</v>
      </c>
      <c r="M1279">
        <v>5</v>
      </c>
      <c r="N1279" t="s">
        <v>50</v>
      </c>
      <c r="O1279">
        <v>4</v>
      </c>
      <c r="P1279" t="s">
        <v>45</v>
      </c>
      <c r="Q1279">
        <v>19328</v>
      </c>
      <c r="R1279">
        <v>14218</v>
      </c>
      <c r="S1279">
        <v>7</v>
      </c>
      <c r="T1279">
        <v>1</v>
      </c>
      <c r="U1279" s="17">
        <v>0.17</v>
      </c>
      <c r="V1279">
        <v>3</v>
      </c>
      <c r="W1279">
        <v>3</v>
      </c>
      <c r="X1279">
        <v>1</v>
      </c>
      <c r="Y1279">
        <v>24</v>
      </c>
      <c r="Z1279">
        <v>3</v>
      </c>
      <c r="AA1279">
        <v>3</v>
      </c>
      <c r="AB1279">
        <v>2</v>
      </c>
      <c r="AC1279">
        <v>1</v>
      </c>
      <c r="AD1279">
        <v>2</v>
      </c>
      <c r="AE1279">
        <v>2</v>
      </c>
      <c r="AF1279">
        <v>0</v>
      </c>
      <c r="AG1279">
        <f>IF(tbl_HR_Data[[#This Row],[Gender]]="Male",1,0)</f>
        <v>1</v>
      </c>
      <c r="AH1279" cm="1">
        <f t="array" ref="AH1279">_xlfn.SWITCH(tbl_HR_Data[[#This Row],[BusinessTravel]], "Non-Travel", 0, "Travel_Rarely", 1, "Travel_Frequently", 2)</f>
        <v>1</v>
      </c>
      <c r="AI1279" cm="1">
        <f t="array" ref="AI1279">_xlfn.SWITCH(tbl_HR_Data[[#This Row],[MaritalStatus]],"Single",0,"Married",1,"Divorced",2)</f>
        <v>2</v>
      </c>
      <c r="AJ1279">
        <f>IF(tbl_HR_Data[[#This Row],[OverTime]]=1,1,0)</f>
        <v>1</v>
      </c>
      <c r="AK1279">
        <f>IF(tbl_HR_Data[[#This Row],[DistanceFromHome]]&gt;15,1,0)</f>
        <v>0</v>
      </c>
      <c r="AL1279">
        <f>IF(tbl_HR_Data[[#This Row],[JobSatisfaction]]&lt;=2,1,0)</f>
        <v>0</v>
      </c>
      <c r="AM1279">
        <f>IF(tbl_HR_Data[[#This Row],[MonthlyIncome]]&lt;$AT$2,1,0)</f>
        <v>0</v>
      </c>
      <c r="AN1279">
        <f>IF(tbl_HR_Data[[#This Row],[Travel_Code]]=2,1,0)</f>
        <v>0</v>
      </c>
      <c r="AO1279">
        <f>(tbl_HR_Data[[#This Row],[Flag_OT]] * Logic_Parameters!$B$2) +
 (tbl_HR_Data[[#This Row],[Flag_Travel]] * Logic_Parameters!$B$3) +
 (tbl_HR_Data[[#This Row],[Flag_Satisfaction]] * Logic_Parameters!$B$4) +
 (tbl_HR_Data[[#This Row],[Flag_Distance]]* Logic_Parameters!$B$5) +
 (tbl_HR_Data[[#This Row],[Flag_Income]] * Logic_Parameters!$B$6)</f>
        <v>10</v>
      </c>
      <c r="AP1279" s="15">
        <f>tbl_HR_Data[[#This Row],[Risk_Score_Raw]] / SUM(Logic_Parameters!$B$2:$B$6)</f>
        <v>0.3445251318258073</v>
      </c>
      <c r="AQ1279" s="16" t="str" cm="1">
        <f t="array" ref="AQ1279">_xlfn.IFS(tbl_HR_Data[[#This Row],[Attrition_Risk_Percentage]] &gt;= 0.75, "Critical",tbl_HR_Data[ [#This Row],[Attrition_Risk_Percentage] ]&gt;= 0.5, "High",tbl_HR_Data[[#This Row],[Attrition_Risk_Percentage]] &gt;= 0.25, "Medium",TRUE, "Low")</f>
        <v>Medium</v>
      </c>
      <c r="AR1279" s="16" cm="1">
        <f t="array" ref="AR1279">IFERROR(_xlfn.IFS(tbl_HR_Data[[#This Row],[Risk_Category]]="Critical",tbl_HR_Data[[#This Row],[MonthlyIncome]]*1.5,tbl_HR_Data[[#This Row],[Risk_Category]]="High",tbl_HR_Data[[#This Row],[MonthlyIncome]]*1.5),0)</f>
        <v>0</v>
      </c>
    </row>
    <row r="1280" spans="1:44" x14ac:dyDescent="0.35">
      <c r="A1280" t="s">
        <v>996</v>
      </c>
      <c r="B1280">
        <v>36</v>
      </c>
      <c r="C1280" t="s">
        <v>31</v>
      </c>
      <c r="D1280">
        <v>1383</v>
      </c>
      <c r="E1280" t="s">
        <v>38</v>
      </c>
      <c r="F1280">
        <v>10</v>
      </c>
      <c r="G1280">
        <v>3</v>
      </c>
      <c r="H1280" t="s">
        <v>33</v>
      </c>
      <c r="I1280">
        <v>4</v>
      </c>
      <c r="J1280" t="s">
        <v>39</v>
      </c>
      <c r="K1280">
        <v>90</v>
      </c>
      <c r="L1280">
        <v>3</v>
      </c>
      <c r="M1280">
        <v>3</v>
      </c>
      <c r="N1280" t="s">
        <v>47</v>
      </c>
      <c r="O1280">
        <v>1</v>
      </c>
      <c r="P1280" t="s">
        <v>41</v>
      </c>
      <c r="Q1280">
        <v>8321</v>
      </c>
      <c r="R1280">
        <v>25949</v>
      </c>
      <c r="S1280">
        <v>7</v>
      </c>
      <c r="T1280">
        <v>1</v>
      </c>
      <c r="U1280" s="17">
        <v>0.13</v>
      </c>
      <c r="V1280">
        <v>3</v>
      </c>
      <c r="W1280">
        <v>4</v>
      </c>
      <c r="X1280">
        <v>1</v>
      </c>
      <c r="Y1280">
        <v>15</v>
      </c>
      <c r="Z1280">
        <v>1</v>
      </c>
      <c r="AA1280">
        <v>3</v>
      </c>
      <c r="AB1280">
        <v>12</v>
      </c>
      <c r="AC1280">
        <v>8</v>
      </c>
      <c r="AD1280">
        <v>5</v>
      </c>
      <c r="AE1280">
        <v>7</v>
      </c>
      <c r="AF1280">
        <v>0</v>
      </c>
      <c r="AG1280">
        <f>IF(tbl_HR_Data[[#This Row],[Gender]]="Male",1,0)</f>
        <v>1</v>
      </c>
      <c r="AH1280" cm="1">
        <f t="array" ref="AH1280">_xlfn.SWITCH(tbl_HR_Data[[#This Row],[BusinessTravel]], "Non-Travel", 0, "Travel_Rarely", 1, "Travel_Frequently", 2)</f>
        <v>1</v>
      </c>
      <c r="AI1280" cm="1">
        <f t="array" ref="AI1280">_xlfn.SWITCH(tbl_HR_Data[[#This Row],[MaritalStatus]],"Single",0,"Married",1,"Divorced",2)</f>
        <v>1</v>
      </c>
      <c r="AJ1280">
        <f>IF(tbl_HR_Data[[#This Row],[OverTime]]=1,1,0)</f>
        <v>1</v>
      </c>
      <c r="AK1280">
        <f>IF(tbl_HR_Data[[#This Row],[DistanceFromHome]]&gt;15,1,0)</f>
        <v>0</v>
      </c>
      <c r="AL1280">
        <f>IF(tbl_HR_Data[[#This Row],[JobSatisfaction]]&lt;=2,1,0)</f>
        <v>1</v>
      </c>
      <c r="AM1280">
        <f>IF(tbl_HR_Data[[#This Row],[MonthlyIncome]]&lt;$AT$2,1,0)</f>
        <v>0</v>
      </c>
      <c r="AN1280">
        <f>IF(tbl_HR_Data[[#This Row],[Travel_Code]]=2,1,0)</f>
        <v>0</v>
      </c>
      <c r="AO1280">
        <f>(tbl_HR_Data[[#This Row],[Flag_OT]] * Logic_Parameters!$B$2) +
 (tbl_HR_Data[[#This Row],[Flag_Travel]] * Logic_Parameters!$B$3) +
 (tbl_HR_Data[[#This Row],[Flag_Satisfaction]] * Logic_Parameters!$B$4) +
 (tbl_HR_Data[[#This Row],[Flag_Distance]]* Logic_Parameters!$B$5) +
 (tbl_HR_Data[[#This Row],[Flag_Income]] * Logic_Parameters!$B$6)</f>
        <v>14.204533129978131</v>
      </c>
      <c r="AP1280" s="15">
        <f>tbl_HR_Data[[#This Row],[Risk_Score_Raw]] / SUM(Logic_Parameters!$B$2:$B$6)</f>
        <v>0.48938186491297625</v>
      </c>
      <c r="AQ1280" s="16" t="str" cm="1">
        <f t="array" ref="AQ1280">_xlfn.IFS(tbl_HR_Data[[#This Row],[Attrition_Risk_Percentage]] &gt;= 0.75, "Critical",tbl_HR_Data[ [#This Row],[Attrition_Risk_Percentage] ]&gt;= 0.5, "High",tbl_HR_Data[[#This Row],[Attrition_Risk_Percentage]] &gt;= 0.25, "Medium",TRUE, "Low")</f>
        <v>Medium</v>
      </c>
      <c r="AR1280" s="16" cm="1">
        <f t="array" ref="AR1280">IFERROR(_xlfn.IFS(tbl_HR_Data[[#This Row],[Risk_Category]]="Critical",tbl_HR_Data[[#This Row],[MonthlyIncome]]*1.5,tbl_HR_Data[[#This Row],[Risk_Category]]="High",tbl_HR_Data[[#This Row],[MonthlyIncome]]*1.5),0)</f>
        <v>0</v>
      </c>
    </row>
    <row r="1281" spans="1:44" x14ac:dyDescent="0.35">
      <c r="A1281" t="s">
        <v>590</v>
      </c>
      <c r="B1281">
        <v>44</v>
      </c>
      <c r="C1281" t="s">
        <v>37</v>
      </c>
      <c r="D1281">
        <v>429</v>
      </c>
      <c r="E1281" t="s">
        <v>38</v>
      </c>
      <c r="F1281">
        <v>1</v>
      </c>
      <c r="G1281">
        <v>2</v>
      </c>
      <c r="H1281" t="s">
        <v>44</v>
      </c>
      <c r="I1281">
        <v>3</v>
      </c>
      <c r="J1281" t="s">
        <v>39</v>
      </c>
      <c r="K1281">
        <v>99</v>
      </c>
      <c r="L1281">
        <v>3</v>
      </c>
      <c r="M1281">
        <v>1</v>
      </c>
      <c r="N1281" t="s">
        <v>40</v>
      </c>
      <c r="O1281">
        <v>2</v>
      </c>
      <c r="P1281" t="s">
        <v>45</v>
      </c>
      <c r="Q1281">
        <v>2342</v>
      </c>
      <c r="R1281">
        <v>11092</v>
      </c>
      <c r="S1281">
        <v>1</v>
      </c>
      <c r="T1281">
        <v>1</v>
      </c>
      <c r="U1281" s="17">
        <v>0.12</v>
      </c>
      <c r="V1281">
        <v>3</v>
      </c>
      <c r="W1281">
        <v>3</v>
      </c>
      <c r="X1281">
        <v>3</v>
      </c>
      <c r="Y1281">
        <v>6</v>
      </c>
      <c r="Z1281">
        <v>2</v>
      </c>
      <c r="AA1281">
        <v>2</v>
      </c>
      <c r="AB1281">
        <v>5</v>
      </c>
      <c r="AC1281">
        <v>3</v>
      </c>
      <c r="AD1281">
        <v>2</v>
      </c>
      <c r="AE1281">
        <v>3</v>
      </c>
      <c r="AF1281">
        <v>1</v>
      </c>
      <c r="AG1281">
        <f>IF(tbl_HR_Data[[#This Row],[Gender]]="Male",1,0)</f>
        <v>1</v>
      </c>
      <c r="AH1281" cm="1">
        <f t="array" ref="AH1281">_xlfn.SWITCH(tbl_HR_Data[[#This Row],[BusinessTravel]], "Non-Travel", 0, "Travel_Rarely", 1, "Travel_Frequently", 2)</f>
        <v>2</v>
      </c>
      <c r="AI1281" cm="1">
        <f t="array" ref="AI1281">_xlfn.SWITCH(tbl_HR_Data[[#This Row],[MaritalStatus]],"Single",0,"Married",1,"Divorced",2)</f>
        <v>2</v>
      </c>
      <c r="AJ1281">
        <f>IF(tbl_HR_Data[[#This Row],[OverTime]]=1,1,0)</f>
        <v>1</v>
      </c>
      <c r="AK1281">
        <f>IF(tbl_HR_Data[[#This Row],[DistanceFromHome]]&gt;15,1,0)</f>
        <v>0</v>
      </c>
      <c r="AL1281">
        <f>IF(tbl_HR_Data[[#This Row],[JobSatisfaction]]&lt;=2,1,0)</f>
        <v>1</v>
      </c>
      <c r="AM1281">
        <f>IF(tbl_HR_Data[[#This Row],[MonthlyIncome]]&lt;$AT$2,1,0)</f>
        <v>1</v>
      </c>
      <c r="AN1281">
        <f>IF(tbl_HR_Data[[#This Row],[Travel_Code]]=2,1,0)</f>
        <v>1</v>
      </c>
      <c r="AO1281">
        <f>(tbl_HR_Data[[#This Row],[Flag_OT]] * Logic_Parameters!$B$2) +
 (tbl_HR_Data[[#This Row],[Flag_Travel]] * Logic_Parameters!$B$3) +
 (tbl_HR_Data[[#This Row],[Flag_Satisfaction]] * Logic_Parameters!$B$4) +
 (tbl_HR_Data[[#This Row],[Flag_Distance]]* Logic_Parameters!$B$5) +
 (tbl_HR_Data[[#This Row],[Flag_Income]] * Logic_Parameters!$B$6)</f>
        <v>25.859352047889136</v>
      </c>
      <c r="AP1281" s="15">
        <f>tbl_HR_Data[[#This Row],[Risk_Score_Raw]] / SUM(Logic_Parameters!$B$2:$B$6)</f>
        <v>0.8909196673228964</v>
      </c>
      <c r="AQ1281" s="16" t="str" cm="1">
        <f t="array" ref="AQ1281">_xlfn.IFS(tbl_HR_Data[[#This Row],[Attrition_Risk_Percentage]] &gt;= 0.75, "Critical",tbl_HR_Data[ [#This Row],[Attrition_Risk_Percentage] ]&gt;= 0.5, "High",tbl_HR_Data[[#This Row],[Attrition_Risk_Percentage]] &gt;= 0.25, "Medium",TRUE, "Low")</f>
        <v>Critical</v>
      </c>
      <c r="AR1281" s="16" cm="1">
        <f t="array" ref="AR1281">IFERROR(_xlfn.IFS(tbl_HR_Data[[#This Row],[Risk_Category]]="Critical",tbl_HR_Data[[#This Row],[MonthlyIncome]]*1.5,tbl_HR_Data[[#This Row],[Risk_Category]]="High",tbl_HR_Data[[#This Row],[MonthlyIncome]]*1.5),0)</f>
        <v>3513</v>
      </c>
    </row>
    <row r="1282" spans="1:44" x14ac:dyDescent="0.35">
      <c r="A1282" t="s">
        <v>1181</v>
      </c>
      <c r="B1282">
        <v>37</v>
      </c>
      <c r="C1282" t="s">
        <v>31</v>
      </c>
      <c r="D1282">
        <v>1239</v>
      </c>
      <c r="E1282" t="s">
        <v>53</v>
      </c>
      <c r="F1282">
        <v>8</v>
      </c>
      <c r="G1282">
        <v>2</v>
      </c>
      <c r="H1282" t="s">
        <v>42</v>
      </c>
      <c r="I1282">
        <v>3</v>
      </c>
      <c r="J1282" t="s">
        <v>39</v>
      </c>
      <c r="K1282">
        <v>89</v>
      </c>
      <c r="L1282">
        <v>3</v>
      </c>
      <c r="M1282">
        <v>2</v>
      </c>
      <c r="N1282" t="s">
        <v>53</v>
      </c>
      <c r="O1282">
        <v>2</v>
      </c>
      <c r="P1282" t="s">
        <v>45</v>
      </c>
      <c r="Q1282">
        <v>4071</v>
      </c>
      <c r="R1282">
        <v>12832</v>
      </c>
      <c r="S1282">
        <v>2</v>
      </c>
      <c r="T1282">
        <v>0</v>
      </c>
      <c r="U1282" s="17">
        <v>0.13</v>
      </c>
      <c r="V1282">
        <v>3</v>
      </c>
      <c r="W1282">
        <v>3</v>
      </c>
      <c r="X1282">
        <v>0</v>
      </c>
      <c r="Y1282">
        <v>19</v>
      </c>
      <c r="Z1282">
        <v>4</v>
      </c>
      <c r="AA1282">
        <v>2</v>
      </c>
      <c r="AB1282">
        <v>10</v>
      </c>
      <c r="AC1282">
        <v>0</v>
      </c>
      <c r="AD1282">
        <v>4</v>
      </c>
      <c r="AE1282">
        <v>7</v>
      </c>
      <c r="AF1282">
        <v>0</v>
      </c>
      <c r="AG1282">
        <f>IF(tbl_HR_Data[[#This Row],[Gender]]="Male",1,0)</f>
        <v>1</v>
      </c>
      <c r="AH1282" cm="1">
        <f t="array" ref="AH1282">_xlfn.SWITCH(tbl_HR_Data[[#This Row],[BusinessTravel]], "Non-Travel", 0, "Travel_Rarely", 1, "Travel_Frequently", 2)</f>
        <v>1</v>
      </c>
      <c r="AI1282" cm="1">
        <f t="array" ref="AI1282">_xlfn.SWITCH(tbl_HR_Data[[#This Row],[MaritalStatus]],"Single",0,"Married",1,"Divorced",2)</f>
        <v>2</v>
      </c>
      <c r="AJ1282">
        <f>IF(tbl_HR_Data[[#This Row],[OverTime]]=1,1,0)</f>
        <v>0</v>
      </c>
      <c r="AK1282">
        <f>IF(tbl_HR_Data[[#This Row],[DistanceFromHome]]&gt;15,1,0)</f>
        <v>0</v>
      </c>
      <c r="AL1282">
        <f>IF(tbl_HR_Data[[#This Row],[JobSatisfaction]]&lt;=2,1,0)</f>
        <v>1</v>
      </c>
      <c r="AM1282">
        <f>IF(tbl_HR_Data[[#This Row],[MonthlyIncome]]&lt;$AT$2,1,0)</f>
        <v>1</v>
      </c>
      <c r="AN1282">
        <f>IF(tbl_HR_Data[[#This Row],[Travel_Code]]=2,1,0)</f>
        <v>0</v>
      </c>
      <c r="AO1282">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282" s="15">
        <f>tbl_HR_Data[[#This Row],[Risk_Score_Raw]] / SUM(Logic_Parameters!$B$2:$B$6)</f>
        <v>0.3686061316669938</v>
      </c>
      <c r="AQ1282" s="16" t="str" cm="1">
        <f t="array" ref="AQ1282">_xlfn.IFS(tbl_HR_Data[[#This Row],[Attrition_Risk_Percentage]] &gt;= 0.75, "Critical",tbl_HR_Data[ [#This Row],[Attrition_Risk_Percentage] ]&gt;= 0.5, "High",tbl_HR_Data[[#This Row],[Attrition_Risk_Percentage]] &gt;= 0.25, "Medium",TRUE, "Low")</f>
        <v>Medium</v>
      </c>
      <c r="AR1282" s="16" cm="1">
        <f t="array" ref="AR1282">IFERROR(_xlfn.IFS(tbl_HR_Data[[#This Row],[Risk_Category]]="Critical",tbl_HR_Data[[#This Row],[MonthlyIncome]]*1.5,tbl_HR_Data[[#This Row],[Risk_Category]]="High",tbl_HR_Data[[#This Row],[MonthlyIncome]]*1.5),0)</f>
        <v>0</v>
      </c>
    </row>
    <row r="1283" spans="1:44" x14ac:dyDescent="0.35">
      <c r="A1283" t="s">
        <v>266</v>
      </c>
      <c r="B1283">
        <v>35</v>
      </c>
      <c r="C1283" t="s">
        <v>31</v>
      </c>
      <c r="D1283">
        <v>303</v>
      </c>
      <c r="E1283" t="s">
        <v>32</v>
      </c>
      <c r="F1283">
        <v>27</v>
      </c>
      <c r="G1283">
        <v>3</v>
      </c>
      <c r="H1283" t="s">
        <v>33</v>
      </c>
      <c r="I1283">
        <v>3</v>
      </c>
      <c r="J1283" t="s">
        <v>39</v>
      </c>
      <c r="K1283">
        <v>84</v>
      </c>
      <c r="L1283">
        <v>3</v>
      </c>
      <c r="M1283">
        <v>2</v>
      </c>
      <c r="N1283" t="s">
        <v>35</v>
      </c>
      <c r="O1283">
        <v>4</v>
      </c>
      <c r="P1283" t="s">
        <v>36</v>
      </c>
      <c r="Q1283">
        <v>5813</v>
      </c>
      <c r="R1283">
        <v>13492</v>
      </c>
      <c r="S1283">
        <v>1</v>
      </c>
      <c r="T1283">
        <v>1</v>
      </c>
      <c r="U1283" s="17">
        <v>0.18</v>
      </c>
      <c r="V1283">
        <v>3</v>
      </c>
      <c r="W1283">
        <v>4</v>
      </c>
      <c r="X1283">
        <v>0</v>
      </c>
      <c r="Y1283">
        <v>10</v>
      </c>
      <c r="Z1283">
        <v>2</v>
      </c>
      <c r="AA1283">
        <v>3</v>
      </c>
      <c r="AB1283">
        <v>10</v>
      </c>
      <c r="AC1283">
        <v>7</v>
      </c>
      <c r="AD1283">
        <v>7</v>
      </c>
      <c r="AE1283">
        <v>7</v>
      </c>
      <c r="AF1283">
        <v>1</v>
      </c>
      <c r="AG1283">
        <f>IF(tbl_HR_Data[[#This Row],[Gender]]="Male",1,0)</f>
        <v>1</v>
      </c>
      <c r="AH1283" cm="1">
        <f t="array" ref="AH1283">_xlfn.SWITCH(tbl_HR_Data[[#This Row],[BusinessTravel]], "Non-Travel", 0, "Travel_Rarely", 1, "Travel_Frequently", 2)</f>
        <v>1</v>
      </c>
      <c r="AI1283" cm="1">
        <f t="array" ref="AI1283">_xlfn.SWITCH(tbl_HR_Data[[#This Row],[MaritalStatus]],"Single",0,"Married",1,"Divorced",2)</f>
        <v>0</v>
      </c>
      <c r="AJ1283">
        <f>IF(tbl_HR_Data[[#This Row],[OverTime]]=1,1,0)</f>
        <v>1</v>
      </c>
      <c r="AK1283">
        <f>IF(tbl_HR_Data[[#This Row],[DistanceFromHome]]&gt;15,1,0)</f>
        <v>1</v>
      </c>
      <c r="AL1283">
        <f>IF(tbl_HR_Data[[#This Row],[JobSatisfaction]]&lt;=2,1,0)</f>
        <v>0</v>
      </c>
      <c r="AM1283">
        <f>IF(tbl_HR_Data[[#This Row],[MonthlyIncome]]&lt;$AT$2,1,0)</f>
        <v>0</v>
      </c>
      <c r="AN1283">
        <f>IF(tbl_HR_Data[[#This Row],[Travel_Code]]=2,1,0)</f>
        <v>0</v>
      </c>
      <c r="AO1283">
        <f>(tbl_HR_Data[[#This Row],[Flag_OT]] * Logic_Parameters!$B$2) +
 (tbl_HR_Data[[#This Row],[Flag_Travel]] * Logic_Parameters!$B$3) +
 (tbl_HR_Data[[#This Row],[Flag_Satisfaction]] * Logic_Parameters!$B$4) +
 (tbl_HR_Data[[#This Row],[Flag_Distance]]* Logic_Parameters!$B$5) +
 (tbl_HR_Data[[#This Row],[Flag_Income]] * Logic_Parameters!$B$6)</f>
        <v>13.166106695875378</v>
      </c>
      <c r="AP1283" s="15">
        <f>tbl_HR_Data[[#This Row],[Risk_Score_Raw]] / SUM(Logic_Parameters!$B$2:$B$6)</f>
        <v>0.45360546450291089</v>
      </c>
      <c r="AQ1283" s="16" t="str" cm="1">
        <f t="array" ref="AQ1283">_xlfn.IFS(tbl_HR_Data[[#This Row],[Attrition_Risk_Percentage]] &gt;= 0.75, "Critical",tbl_HR_Data[ [#This Row],[Attrition_Risk_Percentage] ]&gt;= 0.5, "High",tbl_HR_Data[[#This Row],[Attrition_Risk_Percentage]] &gt;= 0.25, "Medium",TRUE, "Low")</f>
        <v>Medium</v>
      </c>
      <c r="AR1283" s="16" cm="1">
        <f t="array" ref="AR1283">IFERROR(_xlfn.IFS(tbl_HR_Data[[#This Row],[Risk_Category]]="Critical",tbl_HR_Data[[#This Row],[MonthlyIncome]]*1.5,tbl_HR_Data[[#This Row],[Risk_Category]]="High",tbl_HR_Data[[#This Row],[MonthlyIncome]]*1.5),0)</f>
        <v>0</v>
      </c>
    </row>
    <row r="1284" spans="1:44" x14ac:dyDescent="0.35">
      <c r="A1284" t="s">
        <v>149</v>
      </c>
      <c r="B1284">
        <v>33</v>
      </c>
      <c r="C1284" t="s">
        <v>31</v>
      </c>
      <c r="D1284">
        <v>867</v>
      </c>
      <c r="E1284" t="s">
        <v>38</v>
      </c>
      <c r="F1284">
        <v>8</v>
      </c>
      <c r="G1284">
        <v>4</v>
      </c>
      <c r="H1284" t="s">
        <v>33</v>
      </c>
      <c r="I1284">
        <v>4</v>
      </c>
      <c r="J1284" t="s">
        <v>39</v>
      </c>
      <c r="K1284">
        <v>90</v>
      </c>
      <c r="L1284">
        <v>4</v>
      </c>
      <c r="M1284">
        <v>1</v>
      </c>
      <c r="N1284" t="s">
        <v>40</v>
      </c>
      <c r="O1284">
        <v>1</v>
      </c>
      <c r="P1284" t="s">
        <v>41</v>
      </c>
      <c r="Q1284">
        <v>3143</v>
      </c>
      <c r="R1284">
        <v>6076</v>
      </c>
      <c r="S1284">
        <v>6</v>
      </c>
      <c r="T1284">
        <v>0</v>
      </c>
      <c r="U1284" s="17">
        <v>0.19</v>
      </c>
      <c r="V1284">
        <v>3</v>
      </c>
      <c r="W1284">
        <v>2</v>
      </c>
      <c r="X1284">
        <v>1</v>
      </c>
      <c r="Y1284">
        <v>14</v>
      </c>
      <c r="Z1284">
        <v>1</v>
      </c>
      <c r="AA1284">
        <v>3</v>
      </c>
      <c r="AB1284">
        <v>10</v>
      </c>
      <c r="AC1284">
        <v>8</v>
      </c>
      <c r="AD1284">
        <v>7</v>
      </c>
      <c r="AE1284">
        <v>6</v>
      </c>
      <c r="AF1284">
        <v>0</v>
      </c>
      <c r="AG1284">
        <f>IF(tbl_HR_Data[[#This Row],[Gender]]="Male",1,0)</f>
        <v>1</v>
      </c>
      <c r="AH1284" cm="1">
        <f t="array" ref="AH1284">_xlfn.SWITCH(tbl_HR_Data[[#This Row],[BusinessTravel]], "Non-Travel", 0, "Travel_Rarely", 1, "Travel_Frequently", 2)</f>
        <v>1</v>
      </c>
      <c r="AI1284" cm="1">
        <f t="array" ref="AI1284">_xlfn.SWITCH(tbl_HR_Data[[#This Row],[MaritalStatus]],"Single",0,"Married",1,"Divorced",2)</f>
        <v>1</v>
      </c>
      <c r="AJ1284">
        <f>IF(tbl_HR_Data[[#This Row],[OverTime]]=1,1,0)</f>
        <v>0</v>
      </c>
      <c r="AK1284">
        <f>IF(tbl_HR_Data[[#This Row],[DistanceFromHome]]&gt;15,1,0)</f>
        <v>0</v>
      </c>
      <c r="AL1284">
        <f>IF(tbl_HR_Data[[#This Row],[JobSatisfaction]]&lt;=2,1,0)</f>
        <v>1</v>
      </c>
      <c r="AM1284">
        <f>IF(tbl_HR_Data[[#This Row],[MonthlyIncome]]&lt;$AT$2,1,0)</f>
        <v>1</v>
      </c>
      <c r="AN1284">
        <f>IF(tbl_HR_Data[[#This Row],[Travel_Code]]=2,1,0)</f>
        <v>0</v>
      </c>
      <c r="AO1284">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284" s="15">
        <f>tbl_HR_Data[[#This Row],[Risk_Score_Raw]] / SUM(Logic_Parameters!$B$2:$B$6)</f>
        <v>0.3686061316669938</v>
      </c>
      <c r="AQ1284" s="16" t="str" cm="1">
        <f t="array" ref="AQ1284">_xlfn.IFS(tbl_HR_Data[[#This Row],[Attrition_Risk_Percentage]] &gt;= 0.75, "Critical",tbl_HR_Data[ [#This Row],[Attrition_Risk_Percentage] ]&gt;= 0.5, "High",tbl_HR_Data[[#This Row],[Attrition_Risk_Percentage]] &gt;= 0.25, "Medium",TRUE, "Low")</f>
        <v>Medium</v>
      </c>
      <c r="AR1284" s="16" cm="1">
        <f t="array" ref="AR1284">IFERROR(_xlfn.IFS(tbl_HR_Data[[#This Row],[Risk_Category]]="Critical",tbl_HR_Data[[#This Row],[MonthlyIncome]]*1.5,tbl_HR_Data[[#This Row],[Risk_Category]]="High",tbl_HR_Data[[#This Row],[MonthlyIncome]]*1.5),0)</f>
        <v>0</v>
      </c>
    </row>
    <row r="1285" spans="1:44" x14ac:dyDescent="0.35">
      <c r="A1285" t="s">
        <v>193</v>
      </c>
      <c r="B1285">
        <v>28</v>
      </c>
      <c r="C1285" t="s">
        <v>31</v>
      </c>
      <c r="D1285">
        <v>1181</v>
      </c>
      <c r="E1285" t="s">
        <v>38</v>
      </c>
      <c r="F1285">
        <v>1</v>
      </c>
      <c r="G1285">
        <v>3</v>
      </c>
      <c r="H1285" t="s">
        <v>33</v>
      </c>
      <c r="I1285">
        <v>3</v>
      </c>
      <c r="J1285" t="s">
        <v>39</v>
      </c>
      <c r="K1285">
        <v>82</v>
      </c>
      <c r="L1285">
        <v>3</v>
      </c>
      <c r="M1285">
        <v>1</v>
      </c>
      <c r="N1285" t="s">
        <v>40</v>
      </c>
      <c r="O1285">
        <v>4</v>
      </c>
      <c r="P1285" t="s">
        <v>41</v>
      </c>
      <c r="Q1285">
        <v>2044</v>
      </c>
      <c r="R1285">
        <v>5531</v>
      </c>
      <c r="S1285">
        <v>1</v>
      </c>
      <c r="T1285">
        <v>0</v>
      </c>
      <c r="U1285" s="17">
        <v>0.11</v>
      </c>
      <c r="V1285">
        <v>3</v>
      </c>
      <c r="W1285">
        <v>3</v>
      </c>
      <c r="X1285">
        <v>1</v>
      </c>
      <c r="Y1285">
        <v>5</v>
      </c>
      <c r="Z1285">
        <v>6</v>
      </c>
      <c r="AA1285">
        <v>4</v>
      </c>
      <c r="AB1285">
        <v>5</v>
      </c>
      <c r="AC1285">
        <v>3</v>
      </c>
      <c r="AD1285">
        <v>0</v>
      </c>
      <c r="AE1285">
        <v>3</v>
      </c>
      <c r="AF1285">
        <v>0</v>
      </c>
      <c r="AG1285">
        <f>IF(tbl_HR_Data[[#This Row],[Gender]]="Male",1,0)</f>
        <v>1</v>
      </c>
      <c r="AH1285" cm="1">
        <f t="array" ref="AH1285">_xlfn.SWITCH(tbl_HR_Data[[#This Row],[BusinessTravel]], "Non-Travel", 0, "Travel_Rarely", 1, "Travel_Frequently", 2)</f>
        <v>1</v>
      </c>
      <c r="AI1285" cm="1">
        <f t="array" ref="AI1285">_xlfn.SWITCH(tbl_HR_Data[[#This Row],[MaritalStatus]],"Single",0,"Married",1,"Divorced",2)</f>
        <v>1</v>
      </c>
      <c r="AJ1285">
        <f>IF(tbl_HR_Data[[#This Row],[OverTime]]=1,1,0)</f>
        <v>0</v>
      </c>
      <c r="AK1285">
        <f>IF(tbl_HR_Data[[#This Row],[DistanceFromHome]]&gt;15,1,0)</f>
        <v>0</v>
      </c>
      <c r="AL1285">
        <f>IF(tbl_HR_Data[[#This Row],[JobSatisfaction]]&lt;=2,1,0)</f>
        <v>0</v>
      </c>
      <c r="AM1285">
        <f>IF(tbl_HR_Data[[#This Row],[MonthlyIncome]]&lt;$AT$2,1,0)</f>
        <v>1</v>
      </c>
      <c r="AN1285">
        <f>IF(tbl_HR_Data[[#This Row],[Travel_Code]]=2,1,0)</f>
        <v>0</v>
      </c>
      <c r="AO1285">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285" s="15">
        <f>tbl_HR_Data[[#This Row],[Risk_Score_Raw]] / SUM(Logic_Parameters!$B$2:$B$6)</f>
        <v>0.22374939857982484</v>
      </c>
      <c r="AQ1285" s="16" t="str" cm="1">
        <f t="array" ref="AQ1285">_xlfn.IFS(tbl_HR_Data[[#This Row],[Attrition_Risk_Percentage]] &gt;= 0.75, "Critical",tbl_HR_Data[ [#This Row],[Attrition_Risk_Percentage] ]&gt;= 0.5, "High",tbl_HR_Data[[#This Row],[Attrition_Risk_Percentage]] &gt;= 0.25, "Medium",TRUE, "Low")</f>
        <v>Low</v>
      </c>
      <c r="AR1285" s="16" cm="1">
        <f t="array" ref="AR1285">IFERROR(_xlfn.IFS(tbl_HR_Data[[#This Row],[Risk_Category]]="Critical",tbl_HR_Data[[#This Row],[MonthlyIncome]]*1.5,tbl_HR_Data[[#This Row],[Risk_Category]]="High",tbl_HR_Data[[#This Row],[MonthlyIncome]]*1.5),0)</f>
        <v>0</v>
      </c>
    </row>
    <row r="1286" spans="1:44" x14ac:dyDescent="0.35">
      <c r="A1286" t="s">
        <v>652</v>
      </c>
      <c r="B1286">
        <v>39</v>
      </c>
      <c r="C1286" t="s">
        <v>31</v>
      </c>
      <c r="D1286">
        <v>1253</v>
      </c>
      <c r="E1286" t="s">
        <v>38</v>
      </c>
      <c r="F1286">
        <v>10</v>
      </c>
      <c r="G1286">
        <v>1</v>
      </c>
      <c r="H1286" t="s">
        <v>44</v>
      </c>
      <c r="I1286">
        <v>3</v>
      </c>
      <c r="J1286" t="s">
        <v>39</v>
      </c>
      <c r="K1286">
        <v>65</v>
      </c>
      <c r="L1286">
        <v>3</v>
      </c>
      <c r="M1286">
        <v>3</v>
      </c>
      <c r="N1286" t="s">
        <v>50</v>
      </c>
      <c r="O1286">
        <v>3</v>
      </c>
      <c r="P1286" t="s">
        <v>36</v>
      </c>
      <c r="Q1286">
        <v>13464</v>
      </c>
      <c r="R1286">
        <v>7914</v>
      </c>
      <c r="S1286">
        <v>7</v>
      </c>
      <c r="T1286">
        <v>0</v>
      </c>
      <c r="U1286" s="17">
        <v>0.21</v>
      </c>
      <c r="V1286">
        <v>4</v>
      </c>
      <c r="W1286">
        <v>3</v>
      </c>
      <c r="X1286">
        <v>0</v>
      </c>
      <c r="Y1286">
        <v>9</v>
      </c>
      <c r="Z1286">
        <v>3</v>
      </c>
      <c r="AA1286">
        <v>3</v>
      </c>
      <c r="AB1286">
        <v>4</v>
      </c>
      <c r="AC1286">
        <v>3</v>
      </c>
      <c r="AD1286">
        <v>2</v>
      </c>
      <c r="AE1286">
        <v>2</v>
      </c>
      <c r="AF1286">
        <v>0</v>
      </c>
      <c r="AG1286">
        <f>IF(tbl_HR_Data[[#This Row],[Gender]]="Male",1,0)</f>
        <v>1</v>
      </c>
      <c r="AH1286" cm="1">
        <f t="array" ref="AH1286">_xlfn.SWITCH(tbl_HR_Data[[#This Row],[BusinessTravel]], "Non-Travel", 0, "Travel_Rarely", 1, "Travel_Frequently", 2)</f>
        <v>1</v>
      </c>
      <c r="AI1286" cm="1">
        <f t="array" ref="AI1286">_xlfn.SWITCH(tbl_HR_Data[[#This Row],[MaritalStatus]],"Single",0,"Married",1,"Divorced",2)</f>
        <v>0</v>
      </c>
      <c r="AJ1286">
        <f>IF(tbl_HR_Data[[#This Row],[OverTime]]=1,1,0)</f>
        <v>0</v>
      </c>
      <c r="AK1286">
        <f>IF(tbl_HR_Data[[#This Row],[DistanceFromHome]]&gt;15,1,0)</f>
        <v>0</v>
      </c>
      <c r="AL1286">
        <f>IF(tbl_HR_Data[[#This Row],[JobSatisfaction]]&lt;=2,1,0)</f>
        <v>0</v>
      </c>
      <c r="AM1286">
        <f>IF(tbl_HR_Data[[#This Row],[MonthlyIncome]]&lt;$AT$2,1,0)</f>
        <v>0</v>
      </c>
      <c r="AN1286">
        <f>IF(tbl_HR_Data[[#This Row],[Travel_Code]]=2,1,0)</f>
        <v>0</v>
      </c>
      <c r="AO1286">
        <f>(tbl_HR_Data[[#This Row],[Flag_OT]] * Logic_Parameters!$B$2) +
 (tbl_HR_Data[[#This Row],[Flag_Travel]] * Logic_Parameters!$B$3) +
 (tbl_HR_Data[[#This Row],[Flag_Satisfaction]] * Logic_Parameters!$B$4) +
 (tbl_HR_Data[[#This Row],[Flag_Distance]]* Logic_Parameters!$B$5) +
 (tbl_HR_Data[[#This Row],[Flag_Income]] * Logic_Parameters!$B$6)</f>
        <v>0</v>
      </c>
      <c r="AP1286" s="15">
        <f>tbl_HR_Data[[#This Row],[Risk_Score_Raw]] / SUM(Logic_Parameters!$B$2:$B$6)</f>
        <v>0</v>
      </c>
      <c r="AQ1286" s="16" t="str" cm="1">
        <f t="array" ref="AQ1286">_xlfn.IFS(tbl_HR_Data[[#This Row],[Attrition_Risk_Percentage]] &gt;= 0.75, "Critical",tbl_HR_Data[ [#This Row],[Attrition_Risk_Percentage] ]&gt;= 0.5, "High",tbl_HR_Data[[#This Row],[Attrition_Risk_Percentage]] &gt;= 0.25, "Medium",TRUE, "Low")</f>
        <v>Low</v>
      </c>
      <c r="AR1286" s="16" cm="1">
        <f t="array" ref="AR1286">IFERROR(_xlfn.IFS(tbl_HR_Data[[#This Row],[Risk_Category]]="Critical",tbl_HR_Data[[#This Row],[MonthlyIncome]]*1.5,tbl_HR_Data[[#This Row],[Risk_Category]]="High",tbl_HR_Data[[#This Row],[MonthlyIncome]]*1.5),0)</f>
        <v>0</v>
      </c>
    </row>
    <row r="1287" spans="1:44" x14ac:dyDescent="0.35">
      <c r="A1287" t="s">
        <v>1218</v>
      </c>
      <c r="B1287">
        <v>46</v>
      </c>
      <c r="C1287" t="s">
        <v>1525</v>
      </c>
      <c r="D1287">
        <v>849</v>
      </c>
      <c r="E1287" t="s">
        <v>32</v>
      </c>
      <c r="F1287">
        <v>26</v>
      </c>
      <c r="G1287">
        <v>2</v>
      </c>
      <c r="H1287" t="s">
        <v>33</v>
      </c>
      <c r="I1287">
        <v>2</v>
      </c>
      <c r="J1287" t="s">
        <v>39</v>
      </c>
      <c r="K1287">
        <v>98</v>
      </c>
      <c r="L1287">
        <v>2</v>
      </c>
      <c r="M1287">
        <v>2</v>
      </c>
      <c r="N1287" t="s">
        <v>35</v>
      </c>
      <c r="O1287">
        <v>2</v>
      </c>
      <c r="P1287" t="s">
        <v>36</v>
      </c>
      <c r="Q1287">
        <v>7991</v>
      </c>
      <c r="R1287">
        <v>25166</v>
      </c>
      <c r="S1287">
        <v>8</v>
      </c>
      <c r="T1287">
        <v>0</v>
      </c>
      <c r="U1287" s="17">
        <v>0.15</v>
      </c>
      <c r="V1287">
        <v>3</v>
      </c>
      <c r="W1287">
        <v>3</v>
      </c>
      <c r="X1287">
        <v>0</v>
      </c>
      <c r="Y1287">
        <v>6</v>
      </c>
      <c r="Z1287">
        <v>3</v>
      </c>
      <c r="AA1287">
        <v>3</v>
      </c>
      <c r="AB1287">
        <v>2</v>
      </c>
      <c r="AC1287">
        <v>2</v>
      </c>
      <c r="AD1287">
        <v>2</v>
      </c>
      <c r="AE1287">
        <v>2</v>
      </c>
      <c r="AF1287">
        <v>0</v>
      </c>
      <c r="AG1287">
        <f>IF(tbl_HR_Data[[#This Row],[Gender]]="Male",1,0)</f>
        <v>1</v>
      </c>
      <c r="AH1287" cm="1">
        <f t="array" ref="AH1287">_xlfn.SWITCH(tbl_HR_Data[[#This Row],[BusinessTravel]], "Non-Travel", 0, "Travel_Rarely", 1, "Travel_Frequently", 2)</f>
        <v>0</v>
      </c>
      <c r="AI1287" cm="1">
        <f t="array" ref="AI1287">_xlfn.SWITCH(tbl_HR_Data[[#This Row],[MaritalStatus]],"Single",0,"Married",1,"Divorced",2)</f>
        <v>0</v>
      </c>
      <c r="AJ1287">
        <f>IF(tbl_HR_Data[[#This Row],[OverTime]]=1,1,0)</f>
        <v>0</v>
      </c>
      <c r="AK1287">
        <f>IF(tbl_HR_Data[[#This Row],[DistanceFromHome]]&gt;15,1,0)</f>
        <v>1</v>
      </c>
      <c r="AL1287">
        <f>IF(tbl_HR_Data[[#This Row],[JobSatisfaction]]&lt;=2,1,0)</f>
        <v>1</v>
      </c>
      <c r="AM1287">
        <f>IF(tbl_HR_Data[[#This Row],[MonthlyIncome]]&lt;$AT$2,1,0)</f>
        <v>0</v>
      </c>
      <c r="AN1287">
        <f>IF(tbl_HR_Data[[#This Row],[Travel_Code]]=2,1,0)</f>
        <v>0</v>
      </c>
      <c r="AO1287">
        <f>(tbl_HR_Data[[#This Row],[Flag_OT]] * Logic_Parameters!$B$2) +
 (tbl_HR_Data[[#This Row],[Flag_Travel]] * Logic_Parameters!$B$3) +
 (tbl_HR_Data[[#This Row],[Flag_Satisfaction]] * Logic_Parameters!$B$4) +
 (tbl_HR_Data[[#This Row],[Flag_Distance]]* Logic_Parameters!$B$5) +
 (tbl_HR_Data[[#This Row],[Flag_Income]] * Logic_Parameters!$B$6)</f>
        <v>7.3706398258535089</v>
      </c>
      <c r="AP1287" s="15">
        <f>tbl_HR_Data[[#This Row],[Risk_Score_Raw]] / SUM(Logic_Parameters!$B$2:$B$6)</f>
        <v>0.25393706576427255</v>
      </c>
      <c r="AQ1287" s="16" t="str" cm="1">
        <f t="array" ref="AQ1287">_xlfn.IFS(tbl_HR_Data[[#This Row],[Attrition_Risk_Percentage]] &gt;= 0.75, "Critical",tbl_HR_Data[ [#This Row],[Attrition_Risk_Percentage] ]&gt;= 0.5, "High",tbl_HR_Data[[#This Row],[Attrition_Risk_Percentage]] &gt;= 0.25, "Medium",TRUE, "Low")</f>
        <v>Medium</v>
      </c>
      <c r="AR1287" s="16" cm="1">
        <f t="array" ref="AR1287">IFERROR(_xlfn.IFS(tbl_HR_Data[[#This Row],[Risk_Category]]="Critical",tbl_HR_Data[[#This Row],[MonthlyIncome]]*1.5,tbl_HR_Data[[#This Row],[Risk_Category]]="High",tbl_HR_Data[[#This Row],[MonthlyIncome]]*1.5),0)</f>
        <v>0</v>
      </c>
    </row>
    <row r="1288" spans="1:44" x14ac:dyDescent="0.35">
      <c r="A1288" t="s">
        <v>1441</v>
      </c>
      <c r="B1288">
        <v>40</v>
      </c>
      <c r="C1288" t="s">
        <v>31</v>
      </c>
      <c r="D1288">
        <v>616</v>
      </c>
      <c r="E1288" t="s">
        <v>38</v>
      </c>
      <c r="F1288">
        <v>2</v>
      </c>
      <c r="G1288">
        <v>2</v>
      </c>
      <c r="H1288" t="s">
        <v>33</v>
      </c>
      <c r="I1288">
        <v>3</v>
      </c>
      <c r="J1288" t="s">
        <v>34</v>
      </c>
      <c r="K1288">
        <v>99</v>
      </c>
      <c r="L1288">
        <v>3</v>
      </c>
      <c r="M1288">
        <v>1</v>
      </c>
      <c r="N1288" t="s">
        <v>43</v>
      </c>
      <c r="O1288">
        <v>1</v>
      </c>
      <c r="P1288" t="s">
        <v>41</v>
      </c>
      <c r="Q1288">
        <v>3377</v>
      </c>
      <c r="R1288">
        <v>25605</v>
      </c>
      <c r="S1288">
        <v>4</v>
      </c>
      <c r="T1288">
        <v>0</v>
      </c>
      <c r="U1288" s="17">
        <v>0.17</v>
      </c>
      <c r="V1288">
        <v>3</v>
      </c>
      <c r="W1288">
        <v>4</v>
      </c>
      <c r="X1288">
        <v>1</v>
      </c>
      <c r="Y1288">
        <v>7</v>
      </c>
      <c r="Z1288">
        <v>5</v>
      </c>
      <c r="AA1288">
        <v>2</v>
      </c>
      <c r="AB1288">
        <v>4</v>
      </c>
      <c r="AC1288">
        <v>3</v>
      </c>
      <c r="AD1288">
        <v>0</v>
      </c>
      <c r="AE1288">
        <v>2</v>
      </c>
      <c r="AF1288">
        <v>0</v>
      </c>
      <c r="AG1288">
        <f>IF(tbl_HR_Data[[#This Row],[Gender]]="Male",1,0)</f>
        <v>0</v>
      </c>
      <c r="AH1288" cm="1">
        <f t="array" ref="AH1288">_xlfn.SWITCH(tbl_HR_Data[[#This Row],[BusinessTravel]], "Non-Travel", 0, "Travel_Rarely", 1, "Travel_Frequently", 2)</f>
        <v>1</v>
      </c>
      <c r="AI1288" cm="1">
        <f t="array" ref="AI1288">_xlfn.SWITCH(tbl_HR_Data[[#This Row],[MaritalStatus]],"Single",0,"Married",1,"Divorced",2)</f>
        <v>1</v>
      </c>
      <c r="AJ1288">
        <f>IF(tbl_HR_Data[[#This Row],[OverTime]]=1,1,0)</f>
        <v>0</v>
      </c>
      <c r="AK1288">
        <f>IF(tbl_HR_Data[[#This Row],[DistanceFromHome]]&gt;15,1,0)</f>
        <v>0</v>
      </c>
      <c r="AL1288">
        <f>IF(tbl_HR_Data[[#This Row],[JobSatisfaction]]&lt;=2,1,0)</f>
        <v>1</v>
      </c>
      <c r="AM1288">
        <f>IF(tbl_HR_Data[[#This Row],[MonthlyIncome]]&lt;$AT$2,1,0)</f>
        <v>1</v>
      </c>
      <c r="AN1288">
        <f>IF(tbl_HR_Data[[#This Row],[Travel_Code]]=2,1,0)</f>
        <v>0</v>
      </c>
      <c r="AO1288">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288" s="15">
        <f>tbl_HR_Data[[#This Row],[Risk_Score_Raw]] / SUM(Logic_Parameters!$B$2:$B$6)</f>
        <v>0.3686061316669938</v>
      </c>
      <c r="AQ1288" s="16" t="str" cm="1">
        <f t="array" ref="AQ1288">_xlfn.IFS(tbl_HR_Data[[#This Row],[Attrition_Risk_Percentage]] &gt;= 0.75, "Critical",tbl_HR_Data[ [#This Row],[Attrition_Risk_Percentage] ]&gt;= 0.5, "High",tbl_HR_Data[[#This Row],[Attrition_Risk_Percentage]] &gt;= 0.25, "Medium",TRUE, "Low")</f>
        <v>Medium</v>
      </c>
      <c r="AR1288" s="16" cm="1">
        <f t="array" ref="AR1288">IFERROR(_xlfn.IFS(tbl_HR_Data[[#This Row],[Risk_Category]]="Critical",tbl_HR_Data[[#This Row],[MonthlyIncome]]*1.5,tbl_HR_Data[[#This Row],[Risk_Category]]="High",tbl_HR_Data[[#This Row],[MonthlyIncome]]*1.5),0)</f>
        <v>0</v>
      </c>
    </row>
    <row r="1289" spans="1:44" x14ac:dyDescent="0.35">
      <c r="A1289" t="s">
        <v>737</v>
      </c>
      <c r="B1289">
        <v>42</v>
      </c>
      <c r="C1289" t="s">
        <v>31</v>
      </c>
      <c r="D1289">
        <v>1128</v>
      </c>
      <c r="E1289" t="s">
        <v>38</v>
      </c>
      <c r="F1289">
        <v>13</v>
      </c>
      <c r="G1289">
        <v>3</v>
      </c>
      <c r="H1289" t="s">
        <v>44</v>
      </c>
      <c r="I1289">
        <v>2</v>
      </c>
      <c r="J1289" t="s">
        <v>39</v>
      </c>
      <c r="K1289">
        <v>95</v>
      </c>
      <c r="L1289">
        <v>4</v>
      </c>
      <c r="M1289">
        <v>2</v>
      </c>
      <c r="N1289" t="s">
        <v>47</v>
      </c>
      <c r="O1289">
        <v>1</v>
      </c>
      <c r="P1289" t="s">
        <v>41</v>
      </c>
      <c r="Q1289">
        <v>5538</v>
      </c>
      <c r="R1289">
        <v>5696</v>
      </c>
      <c r="S1289">
        <v>5</v>
      </c>
      <c r="T1289">
        <v>0</v>
      </c>
      <c r="U1289" s="17">
        <v>0.18</v>
      </c>
      <c r="V1289">
        <v>3</v>
      </c>
      <c r="W1289">
        <v>3</v>
      </c>
      <c r="X1289">
        <v>2</v>
      </c>
      <c r="Y1289">
        <v>10</v>
      </c>
      <c r="Z1289">
        <v>2</v>
      </c>
      <c r="AA1289">
        <v>2</v>
      </c>
      <c r="AB1289">
        <v>0</v>
      </c>
      <c r="AC1289">
        <v>0</v>
      </c>
      <c r="AD1289">
        <v>0</v>
      </c>
      <c r="AE1289">
        <v>0</v>
      </c>
      <c r="AF1289">
        <v>0</v>
      </c>
      <c r="AG1289">
        <f>IF(tbl_HR_Data[[#This Row],[Gender]]="Male",1,0)</f>
        <v>1</v>
      </c>
      <c r="AH1289" cm="1">
        <f t="array" ref="AH1289">_xlfn.SWITCH(tbl_HR_Data[[#This Row],[BusinessTravel]], "Non-Travel", 0, "Travel_Rarely", 1, "Travel_Frequently", 2)</f>
        <v>1</v>
      </c>
      <c r="AI1289" cm="1">
        <f t="array" ref="AI1289">_xlfn.SWITCH(tbl_HR_Data[[#This Row],[MaritalStatus]],"Single",0,"Married",1,"Divorced",2)</f>
        <v>1</v>
      </c>
      <c r="AJ1289">
        <f>IF(tbl_HR_Data[[#This Row],[OverTime]]=1,1,0)</f>
        <v>0</v>
      </c>
      <c r="AK1289">
        <f>IF(tbl_HR_Data[[#This Row],[DistanceFromHome]]&gt;15,1,0)</f>
        <v>0</v>
      </c>
      <c r="AL1289">
        <f>IF(tbl_HR_Data[[#This Row],[JobSatisfaction]]&lt;=2,1,0)</f>
        <v>1</v>
      </c>
      <c r="AM1289">
        <f>IF(tbl_HR_Data[[#This Row],[MonthlyIncome]]&lt;$AT$2,1,0)</f>
        <v>0</v>
      </c>
      <c r="AN1289">
        <f>IF(tbl_HR_Data[[#This Row],[Travel_Code]]=2,1,0)</f>
        <v>0</v>
      </c>
      <c r="AO1289">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289" s="15">
        <f>tbl_HR_Data[[#This Row],[Risk_Score_Raw]] / SUM(Logic_Parameters!$B$2:$B$6)</f>
        <v>0.14485673308716898</v>
      </c>
      <c r="AQ1289" s="16" t="str" cm="1">
        <f t="array" ref="AQ1289">_xlfn.IFS(tbl_HR_Data[[#This Row],[Attrition_Risk_Percentage]] &gt;= 0.75, "Critical",tbl_HR_Data[ [#This Row],[Attrition_Risk_Percentage] ]&gt;= 0.5, "High",tbl_HR_Data[[#This Row],[Attrition_Risk_Percentage]] &gt;= 0.25, "Medium",TRUE, "Low")</f>
        <v>Low</v>
      </c>
      <c r="AR1289" s="16" cm="1">
        <f t="array" ref="AR1289">IFERROR(_xlfn.IFS(tbl_HR_Data[[#This Row],[Risk_Category]]="Critical",tbl_HR_Data[[#This Row],[MonthlyIncome]]*1.5,tbl_HR_Data[[#This Row],[Risk_Category]]="High",tbl_HR_Data[[#This Row],[MonthlyIncome]]*1.5),0)</f>
        <v>0</v>
      </c>
    </row>
    <row r="1290" spans="1:44" x14ac:dyDescent="0.35">
      <c r="A1290" t="s">
        <v>1265</v>
      </c>
      <c r="B1290">
        <v>35</v>
      </c>
      <c r="C1290" t="s">
        <v>1525</v>
      </c>
      <c r="D1290">
        <v>1180</v>
      </c>
      <c r="E1290" t="s">
        <v>38</v>
      </c>
      <c r="F1290">
        <v>2</v>
      </c>
      <c r="G1290">
        <v>2</v>
      </c>
      <c r="H1290" t="s">
        <v>44</v>
      </c>
      <c r="I1290">
        <v>2</v>
      </c>
      <c r="J1290" t="s">
        <v>39</v>
      </c>
      <c r="K1290">
        <v>90</v>
      </c>
      <c r="L1290">
        <v>3</v>
      </c>
      <c r="M1290">
        <v>2</v>
      </c>
      <c r="N1290" t="s">
        <v>46</v>
      </c>
      <c r="O1290">
        <v>4</v>
      </c>
      <c r="P1290" t="s">
        <v>45</v>
      </c>
      <c r="Q1290">
        <v>5762</v>
      </c>
      <c r="R1290">
        <v>24442</v>
      </c>
      <c r="S1290">
        <v>2</v>
      </c>
      <c r="T1290">
        <v>0</v>
      </c>
      <c r="U1290" s="17">
        <v>0.14000000000000001</v>
      </c>
      <c r="V1290">
        <v>3</v>
      </c>
      <c r="W1290">
        <v>3</v>
      </c>
      <c r="X1290">
        <v>1</v>
      </c>
      <c r="Y1290">
        <v>15</v>
      </c>
      <c r="Z1290">
        <v>6</v>
      </c>
      <c r="AA1290">
        <v>3</v>
      </c>
      <c r="AB1290">
        <v>7</v>
      </c>
      <c r="AC1290">
        <v>7</v>
      </c>
      <c r="AD1290">
        <v>1</v>
      </c>
      <c r="AE1290">
        <v>7</v>
      </c>
      <c r="AF1290">
        <v>0</v>
      </c>
      <c r="AG1290">
        <f>IF(tbl_HR_Data[[#This Row],[Gender]]="Male",1,0)</f>
        <v>1</v>
      </c>
      <c r="AH1290" cm="1">
        <f t="array" ref="AH1290">_xlfn.SWITCH(tbl_HR_Data[[#This Row],[BusinessTravel]], "Non-Travel", 0, "Travel_Rarely", 1, "Travel_Frequently", 2)</f>
        <v>0</v>
      </c>
      <c r="AI1290" cm="1">
        <f t="array" ref="AI1290">_xlfn.SWITCH(tbl_HR_Data[[#This Row],[MaritalStatus]],"Single",0,"Married",1,"Divorced",2)</f>
        <v>2</v>
      </c>
      <c r="AJ1290">
        <f>IF(tbl_HR_Data[[#This Row],[OverTime]]=1,1,0)</f>
        <v>0</v>
      </c>
      <c r="AK1290">
        <f>IF(tbl_HR_Data[[#This Row],[DistanceFromHome]]&gt;15,1,0)</f>
        <v>0</v>
      </c>
      <c r="AL1290">
        <f>IF(tbl_HR_Data[[#This Row],[JobSatisfaction]]&lt;=2,1,0)</f>
        <v>0</v>
      </c>
      <c r="AM1290">
        <f>IF(tbl_HR_Data[[#This Row],[MonthlyIncome]]&lt;$AT$2,1,0)</f>
        <v>0</v>
      </c>
      <c r="AN1290">
        <f>IF(tbl_HR_Data[[#This Row],[Travel_Code]]=2,1,0)</f>
        <v>0</v>
      </c>
      <c r="AO1290">
        <f>(tbl_HR_Data[[#This Row],[Flag_OT]] * Logic_Parameters!$B$2) +
 (tbl_HR_Data[[#This Row],[Flag_Travel]] * Logic_Parameters!$B$3) +
 (tbl_HR_Data[[#This Row],[Flag_Satisfaction]] * Logic_Parameters!$B$4) +
 (tbl_HR_Data[[#This Row],[Flag_Distance]]* Logic_Parameters!$B$5) +
 (tbl_HR_Data[[#This Row],[Flag_Income]] * Logic_Parameters!$B$6)</f>
        <v>0</v>
      </c>
      <c r="AP1290" s="15">
        <f>tbl_HR_Data[[#This Row],[Risk_Score_Raw]] / SUM(Logic_Parameters!$B$2:$B$6)</f>
        <v>0</v>
      </c>
      <c r="AQ1290" s="16" t="str" cm="1">
        <f t="array" ref="AQ1290">_xlfn.IFS(tbl_HR_Data[[#This Row],[Attrition_Risk_Percentage]] &gt;= 0.75, "Critical",tbl_HR_Data[ [#This Row],[Attrition_Risk_Percentage] ]&gt;= 0.5, "High",tbl_HR_Data[[#This Row],[Attrition_Risk_Percentage]] &gt;= 0.25, "Medium",TRUE, "Low")</f>
        <v>Low</v>
      </c>
      <c r="AR1290" s="16" cm="1">
        <f t="array" ref="AR1290">IFERROR(_xlfn.IFS(tbl_HR_Data[[#This Row],[Risk_Category]]="Critical",tbl_HR_Data[[#This Row],[MonthlyIncome]]*1.5,tbl_HR_Data[[#This Row],[Risk_Category]]="High",tbl_HR_Data[[#This Row],[MonthlyIncome]]*1.5),0)</f>
        <v>0</v>
      </c>
    </row>
    <row r="1291" spans="1:44" x14ac:dyDescent="0.35">
      <c r="A1291" t="s">
        <v>1474</v>
      </c>
      <c r="B1291">
        <v>38</v>
      </c>
      <c r="C1291" t="s">
        <v>1525</v>
      </c>
      <c r="D1291">
        <v>1336</v>
      </c>
      <c r="E1291" t="s">
        <v>53</v>
      </c>
      <c r="F1291">
        <v>2</v>
      </c>
      <c r="G1291">
        <v>3</v>
      </c>
      <c r="H1291" t="s">
        <v>53</v>
      </c>
      <c r="I1291">
        <v>1</v>
      </c>
      <c r="J1291" t="s">
        <v>39</v>
      </c>
      <c r="K1291">
        <v>100</v>
      </c>
      <c r="L1291">
        <v>3</v>
      </c>
      <c r="M1291">
        <v>1</v>
      </c>
      <c r="N1291" t="s">
        <v>53</v>
      </c>
      <c r="O1291">
        <v>2</v>
      </c>
      <c r="P1291" t="s">
        <v>45</v>
      </c>
      <c r="Q1291">
        <v>2592</v>
      </c>
      <c r="R1291">
        <v>7129</v>
      </c>
      <c r="S1291">
        <v>5</v>
      </c>
      <c r="T1291">
        <v>0</v>
      </c>
      <c r="U1291" s="17">
        <v>0.13</v>
      </c>
      <c r="V1291">
        <v>3</v>
      </c>
      <c r="W1291">
        <v>4</v>
      </c>
      <c r="X1291">
        <v>3</v>
      </c>
      <c r="Y1291">
        <v>13</v>
      </c>
      <c r="Z1291">
        <v>3</v>
      </c>
      <c r="AA1291">
        <v>3</v>
      </c>
      <c r="AB1291">
        <v>11</v>
      </c>
      <c r="AC1291">
        <v>10</v>
      </c>
      <c r="AD1291">
        <v>3</v>
      </c>
      <c r="AE1291">
        <v>8</v>
      </c>
      <c r="AF1291">
        <v>0</v>
      </c>
      <c r="AG1291">
        <f>IF(tbl_HR_Data[[#This Row],[Gender]]="Male",1,0)</f>
        <v>1</v>
      </c>
      <c r="AH1291" cm="1">
        <f t="array" ref="AH1291">_xlfn.SWITCH(tbl_HR_Data[[#This Row],[BusinessTravel]], "Non-Travel", 0, "Travel_Rarely", 1, "Travel_Frequently", 2)</f>
        <v>0</v>
      </c>
      <c r="AI1291" cm="1">
        <f t="array" ref="AI1291">_xlfn.SWITCH(tbl_HR_Data[[#This Row],[MaritalStatus]],"Single",0,"Married",1,"Divorced",2)</f>
        <v>2</v>
      </c>
      <c r="AJ1291">
        <f>IF(tbl_HR_Data[[#This Row],[OverTime]]=1,1,0)</f>
        <v>0</v>
      </c>
      <c r="AK1291">
        <f>IF(tbl_HR_Data[[#This Row],[DistanceFromHome]]&gt;15,1,0)</f>
        <v>0</v>
      </c>
      <c r="AL1291">
        <f>IF(tbl_HR_Data[[#This Row],[JobSatisfaction]]&lt;=2,1,0)</f>
        <v>1</v>
      </c>
      <c r="AM1291">
        <f>IF(tbl_HR_Data[[#This Row],[MonthlyIncome]]&lt;$AT$2,1,0)</f>
        <v>1</v>
      </c>
      <c r="AN1291">
        <f>IF(tbl_HR_Data[[#This Row],[Travel_Code]]=2,1,0)</f>
        <v>0</v>
      </c>
      <c r="AO1291">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291" s="15">
        <f>tbl_HR_Data[[#This Row],[Risk_Score_Raw]] / SUM(Logic_Parameters!$B$2:$B$6)</f>
        <v>0.3686061316669938</v>
      </c>
      <c r="AQ1291" s="16" t="str" cm="1">
        <f t="array" ref="AQ1291">_xlfn.IFS(tbl_HR_Data[[#This Row],[Attrition_Risk_Percentage]] &gt;= 0.75, "Critical",tbl_HR_Data[ [#This Row],[Attrition_Risk_Percentage] ]&gt;= 0.5, "High",tbl_HR_Data[[#This Row],[Attrition_Risk_Percentage]] &gt;= 0.25, "Medium",TRUE, "Low")</f>
        <v>Medium</v>
      </c>
      <c r="AR1291" s="16" cm="1">
        <f t="array" ref="AR1291">IFERROR(_xlfn.IFS(tbl_HR_Data[[#This Row],[Risk_Category]]="Critical",tbl_HR_Data[[#This Row],[MonthlyIncome]]*1.5,tbl_HR_Data[[#This Row],[Risk_Category]]="High",tbl_HR_Data[[#This Row],[MonthlyIncome]]*1.5),0)</f>
        <v>0</v>
      </c>
    </row>
    <row r="1292" spans="1:44" x14ac:dyDescent="0.35">
      <c r="A1292" t="s">
        <v>169</v>
      </c>
      <c r="B1292">
        <v>34</v>
      </c>
      <c r="C1292" t="s">
        <v>37</v>
      </c>
      <c r="D1292">
        <v>234</v>
      </c>
      <c r="E1292" t="s">
        <v>38</v>
      </c>
      <c r="F1292">
        <v>9</v>
      </c>
      <c r="G1292">
        <v>4</v>
      </c>
      <c r="H1292" t="s">
        <v>33</v>
      </c>
      <c r="I1292">
        <v>4</v>
      </c>
      <c r="J1292" t="s">
        <v>39</v>
      </c>
      <c r="K1292">
        <v>93</v>
      </c>
      <c r="L1292">
        <v>3</v>
      </c>
      <c r="M1292">
        <v>2</v>
      </c>
      <c r="N1292" t="s">
        <v>43</v>
      </c>
      <c r="O1292">
        <v>1</v>
      </c>
      <c r="P1292" t="s">
        <v>41</v>
      </c>
      <c r="Q1292">
        <v>5346</v>
      </c>
      <c r="R1292">
        <v>6208</v>
      </c>
      <c r="S1292">
        <v>4</v>
      </c>
      <c r="T1292">
        <v>0</v>
      </c>
      <c r="U1292" s="17">
        <v>0.17</v>
      </c>
      <c r="V1292">
        <v>3</v>
      </c>
      <c r="W1292">
        <v>3</v>
      </c>
      <c r="X1292">
        <v>1</v>
      </c>
      <c r="Y1292">
        <v>11</v>
      </c>
      <c r="Z1292">
        <v>3</v>
      </c>
      <c r="AA1292">
        <v>2</v>
      </c>
      <c r="AB1292">
        <v>7</v>
      </c>
      <c r="AC1292">
        <v>1</v>
      </c>
      <c r="AD1292">
        <v>0</v>
      </c>
      <c r="AE1292">
        <v>7</v>
      </c>
      <c r="AF1292">
        <v>1</v>
      </c>
      <c r="AG1292">
        <f>IF(tbl_HR_Data[[#This Row],[Gender]]="Male",1,0)</f>
        <v>1</v>
      </c>
      <c r="AH1292" cm="1">
        <f t="array" ref="AH1292">_xlfn.SWITCH(tbl_HR_Data[[#This Row],[BusinessTravel]], "Non-Travel", 0, "Travel_Rarely", 1, "Travel_Frequently", 2)</f>
        <v>2</v>
      </c>
      <c r="AI1292" cm="1">
        <f t="array" ref="AI1292">_xlfn.SWITCH(tbl_HR_Data[[#This Row],[MaritalStatus]],"Single",0,"Married",1,"Divorced",2)</f>
        <v>1</v>
      </c>
      <c r="AJ1292">
        <f>IF(tbl_HR_Data[[#This Row],[OverTime]]=1,1,0)</f>
        <v>0</v>
      </c>
      <c r="AK1292">
        <f>IF(tbl_HR_Data[[#This Row],[DistanceFromHome]]&gt;15,1,0)</f>
        <v>0</v>
      </c>
      <c r="AL1292">
        <f>IF(tbl_HR_Data[[#This Row],[JobSatisfaction]]&lt;=2,1,0)</f>
        <v>1</v>
      </c>
      <c r="AM1292">
        <f>IF(tbl_HR_Data[[#This Row],[MonthlyIncome]]&lt;$AT$2,1,0)</f>
        <v>0</v>
      </c>
      <c r="AN1292">
        <f>IF(tbl_HR_Data[[#This Row],[Travel_Code]]=2,1,0)</f>
        <v>1</v>
      </c>
      <c r="AO1292">
        <f>(tbl_HR_Data[[#This Row],[Flag_OT]] * Logic_Parameters!$B$2) +
 (tbl_HR_Data[[#This Row],[Flag_Travel]] * Logic_Parameters!$B$3) +
 (tbl_HR_Data[[#This Row],[Flag_Satisfaction]] * Logic_Parameters!$B$4) +
 (tbl_HR_Data[[#This Row],[Flag_Distance]]* Logic_Parameters!$B$5) +
 (tbl_HR_Data[[#This Row],[Flag_Income]] * Logic_Parameters!$B$6)</f>
        <v>9.3649231104683075</v>
      </c>
      <c r="AP1292" s="15">
        <f>tbl_HR_Data[[#This Row],[Risk_Score_Raw]] / SUM(Logic_Parameters!$B$2:$B$6)</f>
        <v>0.32264513691726432</v>
      </c>
      <c r="AQ1292" s="16" t="str" cm="1">
        <f t="array" ref="AQ1292">_xlfn.IFS(tbl_HR_Data[[#This Row],[Attrition_Risk_Percentage]] &gt;= 0.75, "Critical",tbl_HR_Data[ [#This Row],[Attrition_Risk_Percentage] ]&gt;= 0.5, "High",tbl_HR_Data[[#This Row],[Attrition_Risk_Percentage]] &gt;= 0.25, "Medium",TRUE, "Low")</f>
        <v>Medium</v>
      </c>
      <c r="AR1292" s="16" cm="1">
        <f t="array" ref="AR1292">IFERROR(_xlfn.IFS(tbl_HR_Data[[#This Row],[Risk_Category]]="Critical",tbl_HR_Data[[#This Row],[MonthlyIncome]]*1.5,tbl_HR_Data[[#This Row],[Risk_Category]]="High",tbl_HR_Data[[#This Row],[MonthlyIncome]]*1.5),0)</f>
        <v>0</v>
      </c>
    </row>
    <row r="1293" spans="1:44" x14ac:dyDescent="0.35">
      <c r="A1293" t="s">
        <v>1043</v>
      </c>
      <c r="B1293">
        <v>37</v>
      </c>
      <c r="C1293" t="s">
        <v>31</v>
      </c>
      <c r="D1293">
        <v>370</v>
      </c>
      <c r="E1293" t="s">
        <v>38</v>
      </c>
      <c r="F1293">
        <v>10</v>
      </c>
      <c r="G1293">
        <v>4</v>
      </c>
      <c r="H1293" t="s">
        <v>44</v>
      </c>
      <c r="I1293">
        <v>4</v>
      </c>
      <c r="J1293" t="s">
        <v>39</v>
      </c>
      <c r="K1293">
        <v>58</v>
      </c>
      <c r="L1293">
        <v>3</v>
      </c>
      <c r="M1293">
        <v>2</v>
      </c>
      <c r="N1293" t="s">
        <v>46</v>
      </c>
      <c r="O1293">
        <v>1</v>
      </c>
      <c r="P1293" t="s">
        <v>36</v>
      </c>
      <c r="Q1293">
        <v>4213</v>
      </c>
      <c r="R1293">
        <v>4992</v>
      </c>
      <c r="S1293">
        <v>1</v>
      </c>
      <c r="T1293">
        <v>0</v>
      </c>
      <c r="U1293" s="17">
        <v>0.15</v>
      </c>
      <c r="V1293">
        <v>3</v>
      </c>
      <c r="W1293">
        <v>2</v>
      </c>
      <c r="X1293">
        <v>0</v>
      </c>
      <c r="Y1293">
        <v>10</v>
      </c>
      <c r="Z1293">
        <v>4</v>
      </c>
      <c r="AA1293">
        <v>1</v>
      </c>
      <c r="AB1293">
        <v>10</v>
      </c>
      <c r="AC1293">
        <v>3</v>
      </c>
      <c r="AD1293">
        <v>0</v>
      </c>
      <c r="AE1293">
        <v>8</v>
      </c>
      <c r="AF1293">
        <v>1</v>
      </c>
      <c r="AG1293">
        <f>IF(tbl_HR_Data[[#This Row],[Gender]]="Male",1,0)</f>
        <v>1</v>
      </c>
      <c r="AH1293" cm="1">
        <f t="array" ref="AH1293">_xlfn.SWITCH(tbl_HR_Data[[#This Row],[BusinessTravel]], "Non-Travel", 0, "Travel_Rarely", 1, "Travel_Frequently", 2)</f>
        <v>1</v>
      </c>
      <c r="AI1293" cm="1">
        <f t="array" ref="AI1293">_xlfn.SWITCH(tbl_HR_Data[[#This Row],[MaritalStatus]],"Single",0,"Married",1,"Divorced",2)</f>
        <v>0</v>
      </c>
      <c r="AJ1293">
        <f>IF(tbl_HR_Data[[#This Row],[OverTime]]=1,1,0)</f>
        <v>0</v>
      </c>
      <c r="AK1293">
        <f>IF(tbl_HR_Data[[#This Row],[DistanceFromHome]]&gt;15,1,0)</f>
        <v>0</v>
      </c>
      <c r="AL1293">
        <f>IF(tbl_HR_Data[[#This Row],[JobSatisfaction]]&lt;=2,1,0)</f>
        <v>1</v>
      </c>
      <c r="AM1293">
        <f>IF(tbl_HR_Data[[#This Row],[MonthlyIncome]]&lt;$AT$2,1,0)</f>
        <v>1</v>
      </c>
      <c r="AN1293">
        <f>IF(tbl_HR_Data[[#This Row],[Travel_Code]]=2,1,0)</f>
        <v>0</v>
      </c>
      <c r="AO1293">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293" s="15">
        <f>tbl_HR_Data[[#This Row],[Risk_Score_Raw]] / SUM(Logic_Parameters!$B$2:$B$6)</f>
        <v>0.3686061316669938</v>
      </c>
      <c r="AQ1293" s="16" t="str" cm="1">
        <f t="array" ref="AQ1293">_xlfn.IFS(tbl_HR_Data[[#This Row],[Attrition_Risk_Percentage]] &gt;= 0.75, "Critical",tbl_HR_Data[ [#This Row],[Attrition_Risk_Percentage] ]&gt;= 0.5, "High",tbl_HR_Data[[#This Row],[Attrition_Risk_Percentage]] &gt;= 0.25, "Medium",TRUE, "Low")</f>
        <v>Medium</v>
      </c>
      <c r="AR1293" s="16" cm="1">
        <f t="array" ref="AR1293">IFERROR(_xlfn.IFS(tbl_HR_Data[[#This Row],[Risk_Category]]="Critical",tbl_HR_Data[[#This Row],[MonthlyIncome]]*1.5,tbl_HR_Data[[#This Row],[Risk_Category]]="High",tbl_HR_Data[[#This Row],[MonthlyIncome]]*1.5),0)</f>
        <v>0</v>
      </c>
    </row>
    <row r="1294" spans="1:44" x14ac:dyDescent="0.35">
      <c r="A1294" t="s">
        <v>1183</v>
      </c>
      <c r="B1294">
        <v>39</v>
      </c>
      <c r="C1294" t="s">
        <v>37</v>
      </c>
      <c r="D1294">
        <v>766</v>
      </c>
      <c r="E1294" t="s">
        <v>32</v>
      </c>
      <c r="F1294">
        <v>20</v>
      </c>
      <c r="G1294">
        <v>3</v>
      </c>
      <c r="H1294" t="s">
        <v>33</v>
      </c>
      <c r="I1294">
        <v>3</v>
      </c>
      <c r="J1294" t="s">
        <v>39</v>
      </c>
      <c r="K1294">
        <v>83</v>
      </c>
      <c r="L1294">
        <v>3</v>
      </c>
      <c r="M1294">
        <v>2</v>
      </c>
      <c r="N1294" t="s">
        <v>35</v>
      </c>
      <c r="O1294">
        <v>4</v>
      </c>
      <c r="P1294" t="s">
        <v>45</v>
      </c>
      <c r="Q1294">
        <v>4127</v>
      </c>
      <c r="R1294">
        <v>19188</v>
      </c>
      <c r="S1294">
        <v>2</v>
      </c>
      <c r="T1294">
        <v>0</v>
      </c>
      <c r="U1294" s="17">
        <v>0.18</v>
      </c>
      <c r="V1294">
        <v>3</v>
      </c>
      <c r="W1294">
        <v>4</v>
      </c>
      <c r="X1294">
        <v>1</v>
      </c>
      <c r="Y1294">
        <v>7</v>
      </c>
      <c r="Z1294">
        <v>6</v>
      </c>
      <c r="AA1294">
        <v>3</v>
      </c>
      <c r="AB1294">
        <v>2</v>
      </c>
      <c r="AC1294">
        <v>1</v>
      </c>
      <c r="AD1294">
        <v>2</v>
      </c>
      <c r="AE1294">
        <v>2</v>
      </c>
      <c r="AF1294">
        <v>0</v>
      </c>
      <c r="AG1294">
        <f>IF(tbl_HR_Data[[#This Row],[Gender]]="Male",1,0)</f>
        <v>1</v>
      </c>
      <c r="AH1294" cm="1">
        <f t="array" ref="AH1294">_xlfn.SWITCH(tbl_HR_Data[[#This Row],[BusinessTravel]], "Non-Travel", 0, "Travel_Rarely", 1, "Travel_Frequently", 2)</f>
        <v>2</v>
      </c>
      <c r="AI1294" cm="1">
        <f t="array" ref="AI1294">_xlfn.SWITCH(tbl_HR_Data[[#This Row],[MaritalStatus]],"Single",0,"Married",1,"Divorced",2)</f>
        <v>2</v>
      </c>
      <c r="AJ1294">
        <f>IF(tbl_HR_Data[[#This Row],[OverTime]]=1,1,0)</f>
        <v>0</v>
      </c>
      <c r="AK1294">
        <f>IF(tbl_HR_Data[[#This Row],[DistanceFromHome]]&gt;15,1,0)</f>
        <v>1</v>
      </c>
      <c r="AL1294">
        <f>IF(tbl_HR_Data[[#This Row],[JobSatisfaction]]&lt;=2,1,0)</f>
        <v>0</v>
      </c>
      <c r="AM1294">
        <f>IF(tbl_HR_Data[[#This Row],[MonthlyIncome]]&lt;$AT$2,1,0)</f>
        <v>1</v>
      </c>
      <c r="AN1294">
        <f>IF(tbl_HR_Data[[#This Row],[Travel_Code]]=2,1,0)</f>
        <v>1</v>
      </c>
      <c r="AO1294">
        <f>(tbl_HR_Data[[#This Row],[Flag_OT]] * Logic_Parameters!$B$2) +
 (tbl_HR_Data[[#This Row],[Flag_Travel]] * Logic_Parameters!$B$3) +
 (tbl_HR_Data[[#This Row],[Flag_Satisfaction]] * Logic_Parameters!$B$4) +
 (tbl_HR_Data[[#This Row],[Flag_Distance]]* Logic_Parameters!$B$5) +
 (tbl_HR_Data[[#This Row],[Flag_Income]] * Logic_Parameters!$B$6)</f>
        <v>14.820925613786383</v>
      </c>
      <c r="AP1294" s="15">
        <f>tbl_HR_Data[[#This Row],[Risk_Score_Raw]] / SUM(Logic_Parameters!$B$2:$B$6)</f>
        <v>0.51061813508702369</v>
      </c>
      <c r="AQ1294" s="16" t="str" cm="1">
        <f t="array" ref="AQ1294">_xlfn.IFS(tbl_HR_Data[[#This Row],[Attrition_Risk_Percentage]] &gt;= 0.75, "Critical",tbl_HR_Data[ [#This Row],[Attrition_Risk_Percentage] ]&gt;= 0.5, "High",tbl_HR_Data[[#This Row],[Attrition_Risk_Percentage]] &gt;= 0.25, "Medium",TRUE, "Low")</f>
        <v>High</v>
      </c>
      <c r="AR1294" s="16" cm="1">
        <f t="array" ref="AR1294">IFERROR(_xlfn.IFS(tbl_HR_Data[[#This Row],[Risk_Category]]="Critical",tbl_HR_Data[[#This Row],[MonthlyIncome]]*1.5,tbl_HR_Data[[#This Row],[Risk_Category]]="High",tbl_HR_Data[[#This Row],[MonthlyIncome]]*1.5),0)</f>
        <v>6190.5</v>
      </c>
    </row>
    <row r="1295" spans="1:44" x14ac:dyDescent="0.35">
      <c r="A1295" t="s">
        <v>1082</v>
      </c>
      <c r="B1295">
        <v>43</v>
      </c>
      <c r="C1295" t="s">
        <v>1525</v>
      </c>
      <c r="D1295">
        <v>343</v>
      </c>
      <c r="E1295" t="s">
        <v>38</v>
      </c>
      <c r="F1295">
        <v>9</v>
      </c>
      <c r="G1295">
        <v>3</v>
      </c>
      <c r="H1295" t="s">
        <v>33</v>
      </c>
      <c r="I1295">
        <v>1</v>
      </c>
      <c r="J1295" t="s">
        <v>39</v>
      </c>
      <c r="K1295">
        <v>52</v>
      </c>
      <c r="L1295">
        <v>3</v>
      </c>
      <c r="M1295">
        <v>1</v>
      </c>
      <c r="N1295" t="s">
        <v>40</v>
      </c>
      <c r="O1295">
        <v>3</v>
      </c>
      <c r="P1295" t="s">
        <v>36</v>
      </c>
      <c r="Q1295">
        <v>2438</v>
      </c>
      <c r="R1295">
        <v>24978</v>
      </c>
      <c r="S1295">
        <v>4</v>
      </c>
      <c r="T1295">
        <v>0</v>
      </c>
      <c r="U1295" s="17">
        <v>0.13</v>
      </c>
      <c r="V1295">
        <v>3</v>
      </c>
      <c r="W1295">
        <v>3</v>
      </c>
      <c r="X1295">
        <v>0</v>
      </c>
      <c r="Y1295">
        <v>7</v>
      </c>
      <c r="Z1295">
        <v>2</v>
      </c>
      <c r="AA1295">
        <v>2</v>
      </c>
      <c r="AB1295">
        <v>3</v>
      </c>
      <c r="AC1295">
        <v>2</v>
      </c>
      <c r="AD1295">
        <v>1</v>
      </c>
      <c r="AE1295">
        <v>2</v>
      </c>
      <c r="AF1295">
        <v>0</v>
      </c>
      <c r="AG1295">
        <f>IF(tbl_HR_Data[[#This Row],[Gender]]="Male",1,0)</f>
        <v>1</v>
      </c>
      <c r="AH1295" cm="1">
        <f t="array" ref="AH1295">_xlfn.SWITCH(tbl_HR_Data[[#This Row],[BusinessTravel]], "Non-Travel", 0, "Travel_Rarely", 1, "Travel_Frequently", 2)</f>
        <v>0</v>
      </c>
      <c r="AI1295" cm="1">
        <f t="array" ref="AI1295">_xlfn.SWITCH(tbl_HR_Data[[#This Row],[MaritalStatus]],"Single",0,"Married",1,"Divorced",2)</f>
        <v>0</v>
      </c>
      <c r="AJ1295">
        <f>IF(tbl_HR_Data[[#This Row],[OverTime]]=1,1,0)</f>
        <v>0</v>
      </c>
      <c r="AK1295">
        <f>IF(tbl_HR_Data[[#This Row],[DistanceFromHome]]&gt;15,1,0)</f>
        <v>0</v>
      </c>
      <c r="AL1295">
        <f>IF(tbl_HR_Data[[#This Row],[JobSatisfaction]]&lt;=2,1,0)</f>
        <v>0</v>
      </c>
      <c r="AM1295">
        <f>IF(tbl_HR_Data[[#This Row],[MonthlyIncome]]&lt;$AT$2,1,0)</f>
        <v>1</v>
      </c>
      <c r="AN1295">
        <f>IF(tbl_HR_Data[[#This Row],[Travel_Code]]=2,1,0)</f>
        <v>0</v>
      </c>
      <c r="AO1295">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295" s="15">
        <f>tbl_HR_Data[[#This Row],[Risk_Score_Raw]] / SUM(Logic_Parameters!$B$2:$B$6)</f>
        <v>0.22374939857982484</v>
      </c>
      <c r="AQ1295" s="16" t="str" cm="1">
        <f t="array" ref="AQ1295">_xlfn.IFS(tbl_HR_Data[[#This Row],[Attrition_Risk_Percentage]] &gt;= 0.75, "Critical",tbl_HR_Data[ [#This Row],[Attrition_Risk_Percentage] ]&gt;= 0.5, "High",tbl_HR_Data[[#This Row],[Attrition_Risk_Percentage]] &gt;= 0.25, "Medium",TRUE, "Low")</f>
        <v>Low</v>
      </c>
      <c r="AR1295" s="16" cm="1">
        <f t="array" ref="AR1295">IFERROR(_xlfn.IFS(tbl_HR_Data[[#This Row],[Risk_Category]]="Critical",tbl_HR_Data[[#This Row],[MonthlyIncome]]*1.5,tbl_HR_Data[[#This Row],[Risk_Category]]="High",tbl_HR_Data[[#This Row],[MonthlyIncome]]*1.5),0)</f>
        <v>0</v>
      </c>
    </row>
    <row r="1296" spans="1:44" x14ac:dyDescent="0.35">
      <c r="A1296" t="s">
        <v>1013</v>
      </c>
      <c r="B1296">
        <v>41</v>
      </c>
      <c r="C1296" t="s">
        <v>31</v>
      </c>
      <c r="D1296">
        <v>447</v>
      </c>
      <c r="E1296" t="s">
        <v>38</v>
      </c>
      <c r="F1296">
        <v>5</v>
      </c>
      <c r="G1296">
        <v>3</v>
      </c>
      <c r="H1296" t="s">
        <v>33</v>
      </c>
      <c r="I1296">
        <v>2</v>
      </c>
      <c r="J1296" t="s">
        <v>39</v>
      </c>
      <c r="K1296">
        <v>85</v>
      </c>
      <c r="L1296">
        <v>4</v>
      </c>
      <c r="M1296">
        <v>2</v>
      </c>
      <c r="N1296" t="s">
        <v>47</v>
      </c>
      <c r="O1296">
        <v>2</v>
      </c>
      <c r="P1296" t="s">
        <v>36</v>
      </c>
      <c r="Q1296">
        <v>6870</v>
      </c>
      <c r="R1296">
        <v>15530</v>
      </c>
      <c r="S1296">
        <v>3</v>
      </c>
      <c r="T1296">
        <v>0</v>
      </c>
      <c r="U1296" s="17">
        <v>0.12</v>
      </c>
      <c r="V1296">
        <v>3</v>
      </c>
      <c r="W1296">
        <v>1</v>
      </c>
      <c r="X1296">
        <v>0</v>
      </c>
      <c r="Y1296">
        <v>11</v>
      </c>
      <c r="Z1296">
        <v>3</v>
      </c>
      <c r="AA1296">
        <v>1</v>
      </c>
      <c r="AB1296">
        <v>3</v>
      </c>
      <c r="AC1296">
        <v>2</v>
      </c>
      <c r="AD1296">
        <v>1</v>
      </c>
      <c r="AE1296">
        <v>2</v>
      </c>
      <c r="AF1296">
        <v>0</v>
      </c>
      <c r="AG1296">
        <f>IF(tbl_HR_Data[[#This Row],[Gender]]="Male",1,0)</f>
        <v>1</v>
      </c>
      <c r="AH1296" cm="1">
        <f t="array" ref="AH1296">_xlfn.SWITCH(tbl_HR_Data[[#This Row],[BusinessTravel]], "Non-Travel", 0, "Travel_Rarely", 1, "Travel_Frequently", 2)</f>
        <v>1</v>
      </c>
      <c r="AI1296" cm="1">
        <f t="array" ref="AI1296">_xlfn.SWITCH(tbl_HR_Data[[#This Row],[MaritalStatus]],"Single",0,"Married",1,"Divorced",2)</f>
        <v>0</v>
      </c>
      <c r="AJ1296">
        <f>IF(tbl_HR_Data[[#This Row],[OverTime]]=1,1,0)</f>
        <v>0</v>
      </c>
      <c r="AK1296">
        <f>IF(tbl_HR_Data[[#This Row],[DistanceFromHome]]&gt;15,1,0)</f>
        <v>0</v>
      </c>
      <c r="AL1296">
        <f>IF(tbl_HR_Data[[#This Row],[JobSatisfaction]]&lt;=2,1,0)</f>
        <v>1</v>
      </c>
      <c r="AM1296">
        <f>IF(tbl_HR_Data[[#This Row],[MonthlyIncome]]&lt;$AT$2,1,0)</f>
        <v>0</v>
      </c>
      <c r="AN1296">
        <f>IF(tbl_HR_Data[[#This Row],[Travel_Code]]=2,1,0)</f>
        <v>0</v>
      </c>
      <c r="AO1296">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296" s="15">
        <f>tbl_HR_Data[[#This Row],[Risk_Score_Raw]] / SUM(Logic_Parameters!$B$2:$B$6)</f>
        <v>0.14485673308716898</v>
      </c>
      <c r="AQ1296" s="16" t="str" cm="1">
        <f t="array" ref="AQ1296">_xlfn.IFS(tbl_HR_Data[[#This Row],[Attrition_Risk_Percentage]] &gt;= 0.75, "Critical",tbl_HR_Data[ [#This Row],[Attrition_Risk_Percentage] ]&gt;= 0.5, "High",tbl_HR_Data[[#This Row],[Attrition_Risk_Percentage]] &gt;= 0.25, "Medium",TRUE, "Low")</f>
        <v>Low</v>
      </c>
      <c r="AR1296" s="16" cm="1">
        <f t="array" ref="AR1296">IFERROR(_xlfn.IFS(tbl_HR_Data[[#This Row],[Risk_Category]]="Critical",tbl_HR_Data[[#This Row],[MonthlyIncome]]*1.5,tbl_HR_Data[[#This Row],[Risk_Category]]="High",tbl_HR_Data[[#This Row],[MonthlyIncome]]*1.5),0)</f>
        <v>0</v>
      </c>
    </row>
    <row r="1297" spans="1:44" x14ac:dyDescent="0.35">
      <c r="A1297" t="s">
        <v>1422</v>
      </c>
      <c r="B1297">
        <v>41</v>
      </c>
      <c r="C1297" t="s">
        <v>31</v>
      </c>
      <c r="D1297">
        <v>796</v>
      </c>
      <c r="E1297" t="s">
        <v>32</v>
      </c>
      <c r="F1297">
        <v>4</v>
      </c>
      <c r="G1297">
        <v>1</v>
      </c>
      <c r="H1297" t="s">
        <v>51</v>
      </c>
      <c r="I1297">
        <v>3</v>
      </c>
      <c r="J1297" t="s">
        <v>34</v>
      </c>
      <c r="K1297">
        <v>81</v>
      </c>
      <c r="L1297">
        <v>3</v>
      </c>
      <c r="M1297">
        <v>3</v>
      </c>
      <c r="N1297" t="s">
        <v>35</v>
      </c>
      <c r="O1297">
        <v>3</v>
      </c>
      <c r="P1297" t="s">
        <v>45</v>
      </c>
      <c r="Q1297">
        <v>10447</v>
      </c>
      <c r="R1297">
        <v>26458</v>
      </c>
      <c r="S1297">
        <v>0</v>
      </c>
      <c r="T1297">
        <v>1</v>
      </c>
      <c r="U1297" s="17">
        <v>0.13</v>
      </c>
      <c r="V1297">
        <v>3</v>
      </c>
      <c r="W1297">
        <v>4</v>
      </c>
      <c r="X1297">
        <v>1</v>
      </c>
      <c r="Y1297">
        <v>23</v>
      </c>
      <c r="Z1297">
        <v>3</v>
      </c>
      <c r="AA1297">
        <v>4</v>
      </c>
      <c r="AB1297">
        <v>22</v>
      </c>
      <c r="AC1297">
        <v>14</v>
      </c>
      <c r="AD1297">
        <v>13</v>
      </c>
      <c r="AE1297">
        <v>5</v>
      </c>
      <c r="AF1297">
        <v>0</v>
      </c>
      <c r="AG1297">
        <f>IF(tbl_HR_Data[[#This Row],[Gender]]="Male",1,0)</f>
        <v>0</v>
      </c>
      <c r="AH1297" cm="1">
        <f t="array" ref="AH1297">_xlfn.SWITCH(tbl_HR_Data[[#This Row],[BusinessTravel]], "Non-Travel", 0, "Travel_Rarely", 1, "Travel_Frequently", 2)</f>
        <v>1</v>
      </c>
      <c r="AI1297" cm="1">
        <f t="array" ref="AI1297">_xlfn.SWITCH(tbl_HR_Data[[#This Row],[MaritalStatus]],"Single",0,"Married",1,"Divorced",2)</f>
        <v>2</v>
      </c>
      <c r="AJ1297">
        <f>IF(tbl_HR_Data[[#This Row],[OverTime]]=1,1,0)</f>
        <v>1</v>
      </c>
      <c r="AK1297">
        <f>IF(tbl_HR_Data[[#This Row],[DistanceFromHome]]&gt;15,1,0)</f>
        <v>0</v>
      </c>
      <c r="AL1297">
        <f>IF(tbl_HR_Data[[#This Row],[JobSatisfaction]]&lt;=2,1,0)</f>
        <v>0</v>
      </c>
      <c r="AM1297">
        <f>IF(tbl_HR_Data[[#This Row],[MonthlyIncome]]&lt;$AT$2,1,0)</f>
        <v>0</v>
      </c>
      <c r="AN1297">
        <f>IF(tbl_HR_Data[[#This Row],[Travel_Code]]=2,1,0)</f>
        <v>0</v>
      </c>
      <c r="AO1297">
        <f>(tbl_HR_Data[[#This Row],[Flag_OT]] * Logic_Parameters!$B$2) +
 (tbl_HR_Data[[#This Row],[Flag_Travel]] * Logic_Parameters!$B$3) +
 (tbl_HR_Data[[#This Row],[Flag_Satisfaction]] * Logic_Parameters!$B$4) +
 (tbl_HR_Data[[#This Row],[Flag_Distance]]* Logic_Parameters!$B$5) +
 (tbl_HR_Data[[#This Row],[Flag_Income]] * Logic_Parameters!$B$6)</f>
        <v>10</v>
      </c>
      <c r="AP1297" s="15">
        <f>tbl_HR_Data[[#This Row],[Risk_Score_Raw]] / SUM(Logic_Parameters!$B$2:$B$6)</f>
        <v>0.3445251318258073</v>
      </c>
      <c r="AQ1297" s="16" t="str" cm="1">
        <f t="array" ref="AQ1297">_xlfn.IFS(tbl_HR_Data[[#This Row],[Attrition_Risk_Percentage]] &gt;= 0.75, "Critical",tbl_HR_Data[ [#This Row],[Attrition_Risk_Percentage] ]&gt;= 0.5, "High",tbl_HR_Data[[#This Row],[Attrition_Risk_Percentage]] &gt;= 0.25, "Medium",TRUE, "Low")</f>
        <v>Medium</v>
      </c>
      <c r="AR1297" s="16" cm="1">
        <f t="array" ref="AR1297">IFERROR(_xlfn.IFS(tbl_HR_Data[[#This Row],[Risk_Category]]="Critical",tbl_HR_Data[[#This Row],[MonthlyIncome]]*1.5,tbl_HR_Data[[#This Row],[Risk_Category]]="High",tbl_HR_Data[[#This Row],[MonthlyIncome]]*1.5),0)</f>
        <v>0</v>
      </c>
    </row>
    <row r="1298" spans="1:44" x14ac:dyDescent="0.35">
      <c r="A1298" t="s">
        <v>500</v>
      </c>
      <c r="B1298">
        <v>30</v>
      </c>
      <c r="C1298" t="s">
        <v>31</v>
      </c>
      <c r="D1298">
        <v>1092</v>
      </c>
      <c r="E1298" t="s">
        <v>38</v>
      </c>
      <c r="F1298">
        <v>10</v>
      </c>
      <c r="G1298">
        <v>3</v>
      </c>
      <c r="H1298" t="s">
        <v>44</v>
      </c>
      <c r="I1298">
        <v>1</v>
      </c>
      <c r="J1298" t="s">
        <v>34</v>
      </c>
      <c r="K1298">
        <v>64</v>
      </c>
      <c r="L1298">
        <v>3</v>
      </c>
      <c r="M1298">
        <v>3</v>
      </c>
      <c r="N1298" t="s">
        <v>46</v>
      </c>
      <c r="O1298">
        <v>3</v>
      </c>
      <c r="P1298" t="s">
        <v>36</v>
      </c>
      <c r="Q1298">
        <v>9667</v>
      </c>
      <c r="R1298">
        <v>2739</v>
      </c>
      <c r="S1298">
        <v>9</v>
      </c>
      <c r="T1298">
        <v>0</v>
      </c>
      <c r="U1298" s="17">
        <v>0.14000000000000001</v>
      </c>
      <c r="V1298">
        <v>3</v>
      </c>
      <c r="W1298">
        <v>2</v>
      </c>
      <c r="X1298">
        <v>0</v>
      </c>
      <c r="Y1298">
        <v>9</v>
      </c>
      <c r="Z1298">
        <v>3</v>
      </c>
      <c r="AA1298">
        <v>3</v>
      </c>
      <c r="AB1298">
        <v>7</v>
      </c>
      <c r="AC1298">
        <v>7</v>
      </c>
      <c r="AD1298">
        <v>0</v>
      </c>
      <c r="AE1298">
        <v>2</v>
      </c>
      <c r="AF1298">
        <v>0</v>
      </c>
      <c r="AG1298">
        <f>IF(tbl_HR_Data[[#This Row],[Gender]]="Male",1,0)</f>
        <v>0</v>
      </c>
      <c r="AH1298" cm="1">
        <f t="array" ref="AH1298">_xlfn.SWITCH(tbl_HR_Data[[#This Row],[BusinessTravel]], "Non-Travel", 0, "Travel_Rarely", 1, "Travel_Frequently", 2)</f>
        <v>1</v>
      </c>
      <c r="AI1298" cm="1">
        <f t="array" ref="AI1298">_xlfn.SWITCH(tbl_HR_Data[[#This Row],[MaritalStatus]],"Single",0,"Married",1,"Divorced",2)</f>
        <v>0</v>
      </c>
      <c r="AJ1298">
        <f>IF(tbl_HR_Data[[#This Row],[OverTime]]=1,1,0)</f>
        <v>0</v>
      </c>
      <c r="AK1298">
        <f>IF(tbl_HR_Data[[#This Row],[DistanceFromHome]]&gt;15,1,0)</f>
        <v>0</v>
      </c>
      <c r="AL1298">
        <f>IF(tbl_HR_Data[[#This Row],[JobSatisfaction]]&lt;=2,1,0)</f>
        <v>0</v>
      </c>
      <c r="AM1298">
        <f>IF(tbl_HR_Data[[#This Row],[MonthlyIncome]]&lt;$AT$2,1,0)</f>
        <v>0</v>
      </c>
      <c r="AN1298">
        <f>IF(tbl_HR_Data[[#This Row],[Travel_Code]]=2,1,0)</f>
        <v>0</v>
      </c>
      <c r="AO1298">
        <f>(tbl_HR_Data[[#This Row],[Flag_OT]] * Logic_Parameters!$B$2) +
 (tbl_HR_Data[[#This Row],[Flag_Travel]] * Logic_Parameters!$B$3) +
 (tbl_HR_Data[[#This Row],[Flag_Satisfaction]] * Logic_Parameters!$B$4) +
 (tbl_HR_Data[[#This Row],[Flag_Distance]]* Logic_Parameters!$B$5) +
 (tbl_HR_Data[[#This Row],[Flag_Income]] * Logic_Parameters!$B$6)</f>
        <v>0</v>
      </c>
      <c r="AP1298" s="15">
        <f>tbl_HR_Data[[#This Row],[Risk_Score_Raw]] / SUM(Logic_Parameters!$B$2:$B$6)</f>
        <v>0</v>
      </c>
      <c r="AQ1298" s="16" t="str" cm="1">
        <f t="array" ref="AQ1298">_xlfn.IFS(tbl_HR_Data[[#This Row],[Attrition_Risk_Percentage]] &gt;= 0.75, "Critical",tbl_HR_Data[ [#This Row],[Attrition_Risk_Percentage] ]&gt;= 0.5, "High",tbl_HR_Data[[#This Row],[Attrition_Risk_Percentage]] &gt;= 0.25, "Medium",TRUE, "Low")</f>
        <v>Low</v>
      </c>
      <c r="AR1298" s="16" cm="1">
        <f t="array" ref="AR1298">IFERROR(_xlfn.IFS(tbl_HR_Data[[#This Row],[Risk_Category]]="Critical",tbl_HR_Data[[#This Row],[MonthlyIncome]]*1.5,tbl_HR_Data[[#This Row],[Risk_Category]]="High",tbl_HR_Data[[#This Row],[MonthlyIncome]]*1.5),0)</f>
        <v>0</v>
      </c>
    </row>
    <row r="1299" spans="1:44" x14ac:dyDescent="0.35">
      <c r="A1299" t="s">
        <v>1517</v>
      </c>
      <c r="B1299">
        <v>26</v>
      </c>
      <c r="C1299" t="s">
        <v>31</v>
      </c>
      <c r="D1299">
        <v>920</v>
      </c>
      <c r="E1299" t="s">
        <v>53</v>
      </c>
      <c r="F1299">
        <v>20</v>
      </c>
      <c r="G1299">
        <v>2</v>
      </c>
      <c r="H1299" t="s">
        <v>44</v>
      </c>
      <c r="I1299">
        <v>4</v>
      </c>
      <c r="J1299" t="s">
        <v>34</v>
      </c>
      <c r="K1299">
        <v>69</v>
      </c>
      <c r="L1299">
        <v>3</v>
      </c>
      <c r="M1299">
        <v>1</v>
      </c>
      <c r="N1299" t="s">
        <v>53</v>
      </c>
      <c r="O1299">
        <v>2</v>
      </c>
      <c r="P1299" t="s">
        <v>41</v>
      </c>
      <c r="Q1299">
        <v>2148</v>
      </c>
      <c r="R1299">
        <v>6889</v>
      </c>
      <c r="S1299">
        <v>0</v>
      </c>
      <c r="T1299">
        <v>1</v>
      </c>
      <c r="U1299" s="17">
        <v>0.11</v>
      </c>
      <c r="V1299">
        <v>3</v>
      </c>
      <c r="W1299">
        <v>3</v>
      </c>
      <c r="X1299">
        <v>0</v>
      </c>
      <c r="Y1299">
        <v>6</v>
      </c>
      <c r="Z1299">
        <v>3</v>
      </c>
      <c r="AA1299">
        <v>3</v>
      </c>
      <c r="AB1299">
        <v>5</v>
      </c>
      <c r="AC1299">
        <v>1</v>
      </c>
      <c r="AD1299">
        <v>1</v>
      </c>
      <c r="AE1299">
        <v>4</v>
      </c>
      <c r="AF1299">
        <v>1</v>
      </c>
      <c r="AG1299">
        <f>IF(tbl_HR_Data[[#This Row],[Gender]]="Male",1,0)</f>
        <v>0</v>
      </c>
      <c r="AH1299" cm="1">
        <f t="array" ref="AH1299">_xlfn.SWITCH(tbl_HR_Data[[#This Row],[BusinessTravel]], "Non-Travel", 0, "Travel_Rarely", 1, "Travel_Frequently", 2)</f>
        <v>1</v>
      </c>
      <c r="AI1299" cm="1">
        <f t="array" ref="AI1299">_xlfn.SWITCH(tbl_HR_Data[[#This Row],[MaritalStatus]],"Single",0,"Married",1,"Divorced",2)</f>
        <v>1</v>
      </c>
      <c r="AJ1299">
        <f>IF(tbl_HR_Data[[#This Row],[OverTime]]=1,1,0)</f>
        <v>1</v>
      </c>
      <c r="AK1299">
        <f>IF(tbl_HR_Data[[#This Row],[DistanceFromHome]]&gt;15,1,0)</f>
        <v>1</v>
      </c>
      <c r="AL1299">
        <f>IF(tbl_HR_Data[[#This Row],[JobSatisfaction]]&lt;=2,1,0)</f>
        <v>1</v>
      </c>
      <c r="AM1299">
        <f>IF(tbl_HR_Data[[#This Row],[MonthlyIncome]]&lt;$AT$2,1,0)</f>
        <v>1</v>
      </c>
      <c r="AN1299">
        <f>IF(tbl_HR_Data[[#This Row],[Travel_Code]]=2,1,0)</f>
        <v>0</v>
      </c>
      <c r="AO1299">
        <f>(tbl_HR_Data[[#This Row],[Flag_OT]] * Logic_Parameters!$B$2) +
 (tbl_HR_Data[[#This Row],[Flag_Travel]] * Logic_Parameters!$B$3) +
 (tbl_HR_Data[[#This Row],[Flag_Satisfaction]] * Logic_Parameters!$B$4) +
 (tbl_HR_Data[[#This Row],[Flag_Distance]]* Logic_Parameters!$B$5) +
 (tbl_HR_Data[[#This Row],[Flag_Income]] * Logic_Parameters!$B$6)</f>
        <v>23.865068763274337</v>
      </c>
      <c r="AP1299" s="15">
        <f>tbl_HR_Data[[#This Row],[Risk_Score_Raw]] / SUM(Logic_Parameters!$B$2:$B$6)</f>
        <v>0.82221159616990469</v>
      </c>
      <c r="AQ1299" s="16" t="str" cm="1">
        <f t="array" ref="AQ1299">_xlfn.IFS(tbl_HR_Data[[#This Row],[Attrition_Risk_Percentage]] &gt;= 0.75, "Critical",tbl_HR_Data[ [#This Row],[Attrition_Risk_Percentage] ]&gt;= 0.5, "High",tbl_HR_Data[[#This Row],[Attrition_Risk_Percentage]] &gt;= 0.25, "Medium",TRUE, "Low")</f>
        <v>Critical</v>
      </c>
      <c r="AR1299" s="16" cm="1">
        <f t="array" ref="AR1299">IFERROR(_xlfn.IFS(tbl_HR_Data[[#This Row],[Risk_Category]]="Critical",tbl_HR_Data[[#This Row],[MonthlyIncome]]*1.5,tbl_HR_Data[[#This Row],[Risk_Category]]="High",tbl_HR_Data[[#This Row],[MonthlyIncome]]*1.5),0)</f>
        <v>3222</v>
      </c>
    </row>
    <row r="1300" spans="1:44" x14ac:dyDescent="0.35">
      <c r="A1300" t="s">
        <v>712</v>
      </c>
      <c r="B1300">
        <v>46</v>
      </c>
      <c r="C1300" t="s">
        <v>31</v>
      </c>
      <c r="D1300">
        <v>261</v>
      </c>
      <c r="E1300" t="s">
        <v>38</v>
      </c>
      <c r="F1300">
        <v>21</v>
      </c>
      <c r="G1300">
        <v>2</v>
      </c>
      <c r="H1300" t="s">
        <v>44</v>
      </c>
      <c r="I1300">
        <v>4</v>
      </c>
      <c r="J1300" t="s">
        <v>34</v>
      </c>
      <c r="K1300">
        <v>66</v>
      </c>
      <c r="L1300">
        <v>3</v>
      </c>
      <c r="M1300">
        <v>2</v>
      </c>
      <c r="N1300" t="s">
        <v>47</v>
      </c>
      <c r="O1300">
        <v>2</v>
      </c>
      <c r="P1300" t="s">
        <v>41</v>
      </c>
      <c r="Q1300">
        <v>8926</v>
      </c>
      <c r="R1300">
        <v>10842</v>
      </c>
      <c r="S1300">
        <v>4</v>
      </c>
      <c r="T1300">
        <v>0</v>
      </c>
      <c r="U1300" s="17">
        <v>0.22</v>
      </c>
      <c r="V1300">
        <v>4</v>
      </c>
      <c r="W1300">
        <v>4</v>
      </c>
      <c r="X1300">
        <v>1</v>
      </c>
      <c r="Y1300">
        <v>13</v>
      </c>
      <c r="Z1300">
        <v>2</v>
      </c>
      <c r="AA1300">
        <v>4</v>
      </c>
      <c r="AB1300">
        <v>9</v>
      </c>
      <c r="AC1300">
        <v>7</v>
      </c>
      <c r="AD1300">
        <v>3</v>
      </c>
      <c r="AE1300">
        <v>7</v>
      </c>
      <c r="AF1300">
        <v>1</v>
      </c>
      <c r="AG1300">
        <f>IF(tbl_HR_Data[[#This Row],[Gender]]="Male",1,0)</f>
        <v>0</v>
      </c>
      <c r="AH1300" cm="1">
        <f t="array" ref="AH1300">_xlfn.SWITCH(tbl_HR_Data[[#This Row],[BusinessTravel]], "Non-Travel", 0, "Travel_Rarely", 1, "Travel_Frequently", 2)</f>
        <v>1</v>
      </c>
      <c r="AI1300" cm="1">
        <f t="array" ref="AI1300">_xlfn.SWITCH(tbl_HR_Data[[#This Row],[MaritalStatus]],"Single",0,"Married",1,"Divorced",2)</f>
        <v>1</v>
      </c>
      <c r="AJ1300">
        <f>IF(tbl_HR_Data[[#This Row],[OverTime]]=1,1,0)</f>
        <v>0</v>
      </c>
      <c r="AK1300">
        <f>IF(tbl_HR_Data[[#This Row],[DistanceFromHome]]&gt;15,1,0)</f>
        <v>1</v>
      </c>
      <c r="AL1300">
        <f>IF(tbl_HR_Data[[#This Row],[JobSatisfaction]]&lt;=2,1,0)</f>
        <v>1</v>
      </c>
      <c r="AM1300">
        <f>IF(tbl_HR_Data[[#This Row],[MonthlyIncome]]&lt;$AT$2,1,0)</f>
        <v>0</v>
      </c>
      <c r="AN1300">
        <f>IF(tbl_HR_Data[[#This Row],[Travel_Code]]=2,1,0)</f>
        <v>0</v>
      </c>
      <c r="AO1300">
        <f>(tbl_HR_Data[[#This Row],[Flag_OT]] * Logic_Parameters!$B$2) +
 (tbl_HR_Data[[#This Row],[Flag_Travel]] * Logic_Parameters!$B$3) +
 (tbl_HR_Data[[#This Row],[Flag_Satisfaction]] * Logic_Parameters!$B$4) +
 (tbl_HR_Data[[#This Row],[Flag_Distance]]* Logic_Parameters!$B$5) +
 (tbl_HR_Data[[#This Row],[Flag_Income]] * Logic_Parameters!$B$6)</f>
        <v>7.3706398258535089</v>
      </c>
      <c r="AP1300" s="15">
        <f>tbl_HR_Data[[#This Row],[Risk_Score_Raw]] / SUM(Logic_Parameters!$B$2:$B$6)</f>
        <v>0.25393706576427255</v>
      </c>
      <c r="AQ1300" s="16" t="str" cm="1">
        <f t="array" ref="AQ1300">_xlfn.IFS(tbl_HR_Data[[#This Row],[Attrition_Risk_Percentage]] &gt;= 0.75, "Critical",tbl_HR_Data[ [#This Row],[Attrition_Risk_Percentage] ]&gt;= 0.5, "High",tbl_HR_Data[[#This Row],[Attrition_Risk_Percentage]] &gt;= 0.25, "Medium",TRUE, "Low")</f>
        <v>Medium</v>
      </c>
      <c r="AR1300" s="16" cm="1">
        <f t="array" ref="AR1300">IFERROR(_xlfn.IFS(tbl_HR_Data[[#This Row],[Risk_Category]]="Critical",tbl_HR_Data[[#This Row],[MonthlyIncome]]*1.5,tbl_HR_Data[[#This Row],[Risk_Category]]="High",tbl_HR_Data[[#This Row],[MonthlyIncome]]*1.5),0)</f>
        <v>0</v>
      </c>
    </row>
    <row r="1301" spans="1:44" x14ac:dyDescent="0.35">
      <c r="A1301" t="s">
        <v>239</v>
      </c>
      <c r="B1301">
        <v>40</v>
      </c>
      <c r="C1301" t="s">
        <v>31</v>
      </c>
      <c r="D1301">
        <v>1194</v>
      </c>
      <c r="E1301" t="s">
        <v>38</v>
      </c>
      <c r="F1301">
        <v>1</v>
      </c>
      <c r="G1301">
        <v>3</v>
      </c>
      <c r="H1301" t="s">
        <v>33</v>
      </c>
      <c r="I1301">
        <v>3</v>
      </c>
      <c r="J1301" t="s">
        <v>34</v>
      </c>
      <c r="K1301">
        <v>52</v>
      </c>
      <c r="L1301">
        <v>3</v>
      </c>
      <c r="M1301">
        <v>2</v>
      </c>
      <c r="N1301" t="s">
        <v>47</v>
      </c>
      <c r="O1301">
        <v>4</v>
      </c>
      <c r="P1301" t="s">
        <v>45</v>
      </c>
      <c r="Q1301">
        <v>6513</v>
      </c>
      <c r="R1301">
        <v>9060</v>
      </c>
      <c r="S1301">
        <v>4</v>
      </c>
      <c r="T1301">
        <v>0</v>
      </c>
      <c r="U1301" s="17">
        <v>0.17</v>
      </c>
      <c r="V1301">
        <v>3</v>
      </c>
      <c r="W1301">
        <v>4</v>
      </c>
      <c r="X1301">
        <v>1</v>
      </c>
      <c r="Y1301">
        <v>12</v>
      </c>
      <c r="Z1301">
        <v>3</v>
      </c>
      <c r="AA1301">
        <v>3</v>
      </c>
      <c r="AB1301">
        <v>5</v>
      </c>
      <c r="AC1301">
        <v>3</v>
      </c>
      <c r="AD1301">
        <v>0</v>
      </c>
      <c r="AE1301">
        <v>3</v>
      </c>
      <c r="AF1301">
        <v>0</v>
      </c>
      <c r="AG1301">
        <f>IF(tbl_HR_Data[[#This Row],[Gender]]="Male",1,0)</f>
        <v>0</v>
      </c>
      <c r="AH1301" cm="1">
        <f t="array" ref="AH1301">_xlfn.SWITCH(tbl_HR_Data[[#This Row],[BusinessTravel]], "Non-Travel", 0, "Travel_Rarely", 1, "Travel_Frequently", 2)</f>
        <v>1</v>
      </c>
      <c r="AI1301" cm="1">
        <f t="array" ref="AI1301">_xlfn.SWITCH(tbl_HR_Data[[#This Row],[MaritalStatus]],"Single",0,"Married",1,"Divorced",2)</f>
        <v>2</v>
      </c>
      <c r="AJ1301">
        <f>IF(tbl_HR_Data[[#This Row],[OverTime]]=1,1,0)</f>
        <v>0</v>
      </c>
      <c r="AK1301">
        <f>IF(tbl_HR_Data[[#This Row],[DistanceFromHome]]&gt;15,1,0)</f>
        <v>0</v>
      </c>
      <c r="AL1301">
        <f>IF(tbl_HR_Data[[#This Row],[JobSatisfaction]]&lt;=2,1,0)</f>
        <v>0</v>
      </c>
      <c r="AM1301">
        <f>IF(tbl_HR_Data[[#This Row],[MonthlyIncome]]&lt;$AT$2,1,0)</f>
        <v>0</v>
      </c>
      <c r="AN1301">
        <f>IF(tbl_HR_Data[[#This Row],[Travel_Code]]=2,1,0)</f>
        <v>0</v>
      </c>
      <c r="AO1301">
        <f>(tbl_HR_Data[[#This Row],[Flag_OT]] * Logic_Parameters!$B$2) +
 (tbl_HR_Data[[#This Row],[Flag_Travel]] * Logic_Parameters!$B$3) +
 (tbl_HR_Data[[#This Row],[Flag_Satisfaction]] * Logic_Parameters!$B$4) +
 (tbl_HR_Data[[#This Row],[Flag_Distance]]* Logic_Parameters!$B$5) +
 (tbl_HR_Data[[#This Row],[Flag_Income]] * Logic_Parameters!$B$6)</f>
        <v>0</v>
      </c>
      <c r="AP1301" s="15">
        <f>tbl_HR_Data[[#This Row],[Risk_Score_Raw]] / SUM(Logic_Parameters!$B$2:$B$6)</f>
        <v>0</v>
      </c>
      <c r="AQ1301" s="16" t="str" cm="1">
        <f t="array" ref="AQ1301">_xlfn.IFS(tbl_HR_Data[[#This Row],[Attrition_Risk_Percentage]] &gt;= 0.75, "Critical",tbl_HR_Data[ [#This Row],[Attrition_Risk_Percentage] ]&gt;= 0.5, "High",tbl_HR_Data[[#This Row],[Attrition_Risk_Percentage]] &gt;= 0.25, "Medium",TRUE, "Low")</f>
        <v>Low</v>
      </c>
      <c r="AR1301" s="16" cm="1">
        <f t="array" ref="AR1301">IFERROR(_xlfn.IFS(tbl_HR_Data[[#This Row],[Risk_Category]]="Critical",tbl_HR_Data[[#This Row],[MonthlyIncome]]*1.5,tbl_HR_Data[[#This Row],[Risk_Category]]="High",tbl_HR_Data[[#This Row],[MonthlyIncome]]*1.5),0)</f>
        <v>0</v>
      </c>
    </row>
    <row r="1302" spans="1:44" x14ac:dyDescent="0.35">
      <c r="A1302" t="s">
        <v>1212</v>
      </c>
      <c r="B1302">
        <v>34</v>
      </c>
      <c r="C1302" t="s">
        <v>31</v>
      </c>
      <c r="D1302">
        <v>810</v>
      </c>
      <c r="E1302" t="s">
        <v>32</v>
      </c>
      <c r="F1302">
        <v>8</v>
      </c>
      <c r="G1302">
        <v>2</v>
      </c>
      <c r="H1302" t="s">
        <v>52</v>
      </c>
      <c r="I1302">
        <v>2</v>
      </c>
      <c r="J1302" t="s">
        <v>39</v>
      </c>
      <c r="K1302">
        <v>92</v>
      </c>
      <c r="L1302">
        <v>4</v>
      </c>
      <c r="M1302">
        <v>2</v>
      </c>
      <c r="N1302" t="s">
        <v>35</v>
      </c>
      <c r="O1302">
        <v>3</v>
      </c>
      <c r="P1302" t="s">
        <v>41</v>
      </c>
      <c r="Q1302">
        <v>6799</v>
      </c>
      <c r="R1302">
        <v>22128</v>
      </c>
      <c r="S1302">
        <v>1</v>
      </c>
      <c r="T1302">
        <v>0</v>
      </c>
      <c r="U1302" s="17">
        <v>0.21</v>
      </c>
      <c r="V1302">
        <v>4</v>
      </c>
      <c r="W1302">
        <v>3</v>
      </c>
      <c r="X1302">
        <v>2</v>
      </c>
      <c r="Y1302">
        <v>10</v>
      </c>
      <c r="Z1302">
        <v>5</v>
      </c>
      <c r="AA1302">
        <v>3</v>
      </c>
      <c r="AB1302">
        <v>10</v>
      </c>
      <c r="AC1302">
        <v>8</v>
      </c>
      <c r="AD1302">
        <v>4</v>
      </c>
      <c r="AE1302">
        <v>8</v>
      </c>
      <c r="AF1302">
        <v>0</v>
      </c>
      <c r="AG1302">
        <f>IF(tbl_HR_Data[[#This Row],[Gender]]="Male",1,0)</f>
        <v>1</v>
      </c>
      <c r="AH1302" cm="1">
        <f t="array" ref="AH1302">_xlfn.SWITCH(tbl_HR_Data[[#This Row],[BusinessTravel]], "Non-Travel", 0, "Travel_Rarely", 1, "Travel_Frequently", 2)</f>
        <v>1</v>
      </c>
      <c r="AI1302" cm="1">
        <f t="array" ref="AI1302">_xlfn.SWITCH(tbl_HR_Data[[#This Row],[MaritalStatus]],"Single",0,"Married",1,"Divorced",2)</f>
        <v>1</v>
      </c>
      <c r="AJ1302">
        <f>IF(tbl_HR_Data[[#This Row],[OverTime]]=1,1,0)</f>
        <v>0</v>
      </c>
      <c r="AK1302">
        <f>IF(tbl_HR_Data[[#This Row],[DistanceFromHome]]&gt;15,1,0)</f>
        <v>0</v>
      </c>
      <c r="AL1302">
        <f>IF(tbl_HR_Data[[#This Row],[JobSatisfaction]]&lt;=2,1,0)</f>
        <v>0</v>
      </c>
      <c r="AM1302">
        <f>IF(tbl_HR_Data[[#This Row],[MonthlyIncome]]&lt;$AT$2,1,0)</f>
        <v>0</v>
      </c>
      <c r="AN1302">
        <f>IF(tbl_HR_Data[[#This Row],[Travel_Code]]=2,1,0)</f>
        <v>0</v>
      </c>
      <c r="AO1302">
        <f>(tbl_HR_Data[[#This Row],[Flag_OT]] * Logic_Parameters!$B$2) +
 (tbl_HR_Data[[#This Row],[Flag_Travel]] * Logic_Parameters!$B$3) +
 (tbl_HR_Data[[#This Row],[Flag_Satisfaction]] * Logic_Parameters!$B$4) +
 (tbl_HR_Data[[#This Row],[Flag_Distance]]* Logic_Parameters!$B$5) +
 (tbl_HR_Data[[#This Row],[Flag_Income]] * Logic_Parameters!$B$6)</f>
        <v>0</v>
      </c>
      <c r="AP1302" s="15">
        <f>tbl_HR_Data[[#This Row],[Risk_Score_Raw]] / SUM(Logic_Parameters!$B$2:$B$6)</f>
        <v>0</v>
      </c>
      <c r="AQ1302" s="16" t="str" cm="1">
        <f t="array" ref="AQ1302">_xlfn.IFS(tbl_HR_Data[[#This Row],[Attrition_Risk_Percentage]] &gt;= 0.75, "Critical",tbl_HR_Data[ [#This Row],[Attrition_Risk_Percentage] ]&gt;= 0.5, "High",tbl_HR_Data[[#This Row],[Attrition_Risk_Percentage]] &gt;= 0.25, "Medium",TRUE, "Low")</f>
        <v>Low</v>
      </c>
      <c r="AR1302" s="16" cm="1">
        <f t="array" ref="AR1302">IFERROR(_xlfn.IFS(tbl_HR_Data[[#This Row],[Risk_Category]]="Critical",tbl_HR_Data[[#This Row],[MonthlyIncome]]*1.5,tbl_HR_Data[[#This Row],[Risk_Category]]="High",tbl_HR_Data[[#This Row],[MonthlyIncome]]*1.5),0)</f>
        <v>0</v>
      </c>
    </row>
    <row r="1303" spans="1:44" x14ac:dyDescent="0.35">
      <c r="A1303" t="s">
        <v>1414</v>
      </c>
      <c r="B1303">
        <v>58</v>
      </c>
      <c r="C1303" t="s">
        <v>1525</v>
      </c>
      <c r="D1303">
        <v>350</v>
      </c>
      <c r="E1303" t="s">
        <v>32</v>
      </c>
      <c r="F1303">
        <v>2</v>
      </c>
      <c r="G1303">
        <v>3</v>
      </c>
      <c r="H1303" t="s">
        <v>44</v>
      </c>
      <c r="I1303">
        <v>2</v>
      </c>
      <c r="J1303" t="s">
        <v>39</v>
      </c>
      <c r="K1303">
        <v>52</v>
      </c>
      <c r="L1303">
        <v>3</v>
      </c>
      <c r="M1303">
        <v>4</v>
      </c>
      <c r="N1303" t="s">
        <v>48</v>
      </c>
      <c r="O1303">
        <v>2</v>
      </c>
      <c r="P1303" t="s">
        <v>45</v>
      </c>
      <c r="Q1303">
        <v>16291</v>
      </c>
      <c r="R1303">
        <v>22577</v>
      </c>
      <c r="S1303">
        <v>4</v>
      </c>
      <c r="T1303">
        <v>0</v>
      </c>
      <c r="U1303" s="17">
        <v>0.22</v>
      </c>
      <c r="V1303">
        <v>4</v>
      </c>
      <c r="W1303">
        <v>4</v>
      </c>
      <c r="X1303">
        <v>1</v>
      </c>
      <c r="Y1303">
        <v>37</v>
      </c>
      <c r="Z1303">
        <v>0</v>
      </c>
      <c r="AA1303">
        <v>2</v>
      </c>
      <c r="AB1303">
        <v>16</v>
      </c>
      <c r="AC1303">
        <v>9</v>
      </c>
      <c r="AD1303">
        <v>14</v>
      </c>
      <c r="AE1303">
        <v>14</v>
      </c>
      <c r="AF1303">
        <v>0</v>
      </c>
      <c r="AG1303">
        <f>IF(tbl_HR_Data[[#This Row],[Gender]]="Male",1,0)</f>
        <v>1</v>
      </c>
      <c r="AH1303" cm="1">
        <f t="array" ref="AH1303">_xlfn.SWITCH(tbl_HR_Data[[#This Row],[BusinessTravel]], "Non-Travel", 0, "Travel_Rarely", 1, "Travel_Frequently", 2)</f>
        <v>0</v>
      </c>
      <c r="AI1303" cm="1">
        <f t="array" ref="AI1303">_xlfn.SWITCH(tbl_HR_Data[[#This Row],[MaritalStatus]],"Single",0,"Married",1,"Divorced",2)</f>
        <v>2</v>
      </c>
      <c r="AJ1303">
        <f>IF(tbl_HR_Data[[#This Row],[OverTime]]=1,1,0)</f>
        <v>0</v>
      </c>
      <c r="AK1303">
        <f>IF(tbl_HR_Data[[#This Row],[DistanceFromHome]]&gt;15,1,0)</f>
        <v>0</v>
      </c>
      <c r="AL1303">
        <f>IF(tbl_HR_Data[[#This Row],[JobSatisfaction]]&lt;=2,1,0)</f>
        <v>1</v>
      </c>
      <c r="AM1303">
        <f>IF(tbl_HR_Data[[#This Row],[MonthlyIncome]]&lt;$AT$2,1,0)</f>
        <v>0</v>
      </c>
      <c r="AN1303">
        <f>IF(tbl_HR_Data[[#This Row],[Travel_Code]]=2,1,0)</f>
        <v>0</v>
      </c>
      <c r="AO1303">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303" s="15">
        <f>tbl_HR_Data[[#This Row],[Risk_Score_Raw]] / SUM(Logic_Parameters!$B$2:$B$6)</f>
        <v>0.14485673308716898</v>
      </c>
      <c r="AQ1303" s="16" t="str" cm="1">
        <f t="array" ref="AQ1303">_xlfn.IFS(tbl_HR_Data[[#This Row],[Attrition_Risk_Percentage]] &gt;= 0.75, "Critical",tbl_HR_Data[ [#This Row],[Attrition_Risk_Percentage] ]&gt;= 0.5, "High",tbl_HR_Data[[#This Row],[Attrition_Risk_Percentage]] &gt;= 0.25, "Medium",TRUE, "Low")</f>
        <v>Low</v>
      </c>
      <c r="AR1303" s="16" cm="1">
        <f t="array" ref="AR1303">IFERROR(_xlfn.IFS(tbl_HR_Data[[#This Row],[Risk_Category]]="Critical",tbl_HR_Data[[#This Row],[MonthlyIncome]]*1.5,tbl_HR_Data[[#This Row],[Risk_Category]]="High",tbl_HR_Data[[#This Row],[MonthlyIncome]]*1.5),0)</f>
        <v>0</v>
      </c>
    </row>
    <row r="1304" spans="1:44" x14ac:dyDescent="0.35">
      <c r="A1304" t="s">
        <v>671</v>
      </c>
      <c r="B1304">
        <v>35</v>
      </c>
      <c r="C1304" t="s">
        <v>31</v>
      </c>
      <c r="D1304">
        <v>185</v>
      </c>
      <c r="E1304" t="s">
        <v>38</v>
      </c>
      <c r="F1304">
        <v>23</v>
      </c>
      <c r="G1304">
        <v>4</v>
      </c>
      <c r="H1304" t="s">
        <v>44</v>
      </c>
      <c r="I1304">
        <v>2</v>
      </c>
      <c r="J1304" t="s">
        <v>39</v>
      </c>
      <c r="K1304">
        <v>91</v>
      </c>
      <c r="L1304">
        <v>1</v>
      </c>
      <c r="M1304">
        <v>1</v>
      </c>
      <c r="N1304" t="s">
        <v>43</v>
      </c>
      <c r="O1304">
        <v>3</v>
      </c>
      <c r="P1304" t="s">
        <v>41</v>
      </c>
      <c r="Q1304">
        <v>2705</v>
      </c>
      <c r="R1304">
        <v>9696</v>
      </c>
      <c r="S1304">
        <v>0</v>
      </c>
      <c r="T1304">
        <v>0</v>
      </c>
      <c r="U1304" s="17">
        <v>0.16</v>
      </c>
      <c r="V1304">
        <v>3</v>
      </c>
      <c r="W1304">
        <v>2</v>
      </c>
      <c r="X1304">
        <v>1</v>
      </c>
      <c r="Y1304">
        <v>6</v>
      </c>
      <c r="Z1304">
        <v>2</v>
      </c>
      <c r="AA1304">
        <v>4</v>
      </c>
      <c r="AB1304">
        <v>5</v>
      </c>
      <c r="AC1304">
        <v>4</v>
      </c>
      <c r="AD1304">
        <v>0</v>
      </c>
      <c r="AE1304">
        <v>3</v>
      </c>
      <c r="AF1304">
        <v>0</v>
      </c>
      <c r="AG1304">
        <f>IF(tbl_HR_Data[[#This Row],[Gender]]="Male",1,0)</f>
        <v>1</v>
      </c>
      <c r="AH1304" cm="1">
        <f t="array" ref="AH1304">_xlfn.SWITCH(tbl_HR_Data[[#This Row],[BusinessTravel]], "Non-Travel", 0, "Travel_Rarely", 1, "Travel_Frequently", 2)</f>
        <v>1</v>
      </c>
      <c r="AI1304" cm="1">
        <f t="array" ref="AI1304">_xlfn.SWITCH(tbl_HR_Data[[#This Row],[MaritalStatus]],"Single",0,"Married",1,"Divorced",2)</f>
        <v>1</v>
      </c>
      <c r="AJ1304">
        <f>IF(tbl_HR_Data[[#This Row],[OverTime]]=1,1,0)</f>
        <v>0</v>
      </c>
      <c r="AK1304">
        <f>IF(tbl_HR_Data[[#This Row],[DistanceFromHome]]&gt;15,1,0)</f>
        <v>1</v>
      </c>
      <c r="AL1304">
        <f>IF(tbl_HR_Data[[#This Row],[JobSatisfaction]]&lt;=2,1,0)</f>
        <v>0</v>
      </c>
      <c r="AM1304">
        <f>IF(tbl_HR_Data[[#This Row],[MonthlyIncome]]&lt;$AT$2,1,0)</f>
        <v>1</v>
      </c>
      <c r="AN1304">
        <f>IF(tbl_HR_Data[[#This Row],[Travel_Code]]=2,1,0)</f>
        <v>0</v>
      </c>
      <c r="AO1304">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1304" s="15">
        <f>tbl_HR_Data[[#This Row],[Risk_Score_Raw]] / SUM(Logic_Parameters!$B$2:$B$6)</f>
        <v>0.33282973125692844</v>
      </c>
      <c r="AQ1304" s="16" t="str" cm="1">
        <f t="array" ref="AQ1304">_xlfn.IFS(tbl_HR_Data[[#This Row],[Attrition_Risk_Percentage]] &gt;= 0.75, "Critical",tbl_HR_Data[ [#This Row],[Attrition_Risk_Percentage] ]&gt;= 0.5, "High",tbl_HR_Data[[#This Row],[Attrition_Risk_Percentage]] &gt;= 0.25, "Medium",TRUE, "Low")</f>
        <v>Medium</v>
      </c>
      <c r="AR1304" s="16" cm="1">
        <f t="array" ref="AR1304">IFERROR(_xlfn.IFS(tbl_HR_Data[[#This Row],[Risk_Category]]="Critical",tbl_HR_Data[[#This Row],[MonthlyIncome]]*1.5,tbl_HR_Data[[#This Row],[Risk_Category]]="High",tbl_HR_Data[[#This Row],[MonthlyIncome]]*1.5),0)</f>
        <v>0</v>
      </c>
    </row>
    <row r="1305" spans="1:44" x14ac:dyDescent="0.35">
      <c r="A1305" t="s">
        <v>1225</v>
      </c>
      <c r="B1305">
        <v>47</v>
      </c>
      <c r="C1305" t="s">
        <v>31</v>
      </c>
      <c r="D1305">
        <v>1001</v>
      </c>
      <c r="E1305" t="s">
        <v>38</v>
      </c>
      <c r="F1305">
        <v>4</v>
      </c>
      <c r="G1305">
        <v>3</v>
      </c>
      <c r="H1305" t="s">
        <v>33</v>
      </c>
      <c r="I1305">
        <v>3</v>
      </c>
      <c r="J1305" t="s">
        <v>34</v>
      </c>
      <c r="K1305">
        <v>92</v>
      </c>
      <c r="L1305">
        <v>2</v>
      </c>
      <c r="M1305">
        <v>3</v>
      </c>
      <c r="N1305" t="s">
        <v>46</v>
      </c>
      <c r="O1305">
        <v>2</v>
      </c>
      <c r="P1305" t="s">
        <v>45</v>
      </c>
      <c r="Q1305">
        <v>10333</v>
      </c>
      <c r="R1305">
        <v>19271</v>
      </c>
      <c r="S1305">
        <v>8</v>
      </c>
      <c r="T1305">
        <v>1</v>
      </c>
      <c r="U1305" s="17">
        <v>0.12</v>
      </c>
      <c r="V1305">
        <v>3</v>
      </c>
      <c r="W1305">
        <v>3</v>
      </c>
      <c r="X1305">
        <v>1</v>
      </c>
      <c r="Y1305">
        <v>28</v>
      </c>
      <c r="Z1305">
        <v>4</v>
      </c>
      <c r="AA1305">
        <v>3</v>
      </c>
      <c r="AB1305">
        <v>22</v>
      </c>
      <c r="AC1305">
        <v>11</v>
      </c>
      <c r="AD1305">
        <v>14</v>
      </c>
      <c r="AE1305">
        <v>10</v>
      </c>
      <c r="AF1305">
        <v>0</v>
      </c>
      <c r="AG1305">
        <f>IF(tbl_HR_Data[[#This Row],[Gender]]="Male",1,0)</f>
        <v>0</v>
      </c>
      <c r="AH1305" cm="1">
        <f t="array" ref="AH1305">_xlfn.SWITCH(tbl_HR_Data[[#This Row],[BusinessTravel]], "Non-Travel", 0, "Travel_Rarely", 1, "Travel_Frequently", 2)</f>
        <v>1</v>
      </c>
      <c r="AI1305" cm="1">
        <f t="array" ref="AI1305">_xlfn.SWITCH(tbl_HR_Data[[#This Row],[MaritalStatus]],"Single",0,"Married",1,"Divorced",2)</f>
        <v>2</v>
      </c>
      <c r="AJ1305">
        <f>IF(tbl_HR_Data[[#This Row],[OverTime]]=1,1,0)</f>
        <v>1</v>
      </c>
      <c r="AK1305">
        <f>IF(tbl_HR_Data[[#This Row],[DistanceFromHome]]&gt;15,1,0)</f>
        <v>0</v>
      </c>
      <c r="AL1305">
        <f>IF(tbl_HR_Data[[#This Row],[JobSatisfaction]]&lt;=2,1,0)</f>
        <v>1</v>
      </c>
      <c r="AM1305">
        <f>IF(tbl_HR_Data[[#This Row],[MonthlyIncome]]&lt;$AT$2,1,0)</f>
        <v>0</v>
      </c>
      <c r="AN1305">
        <f>IF(tbl_HR_Data[[#This Row],[Travel_Code]]=2,1,0)</f>
        <v>0</v>
      </c>
      <c r="AO1305">
        <f>(tbl_HR_Data[[#This Row],[Flag_OT]] * Logic_Parameters!$B$2) +
 (tbl_HR_Data[[#This Row],[Flag_Travel]] * Logic_Parameters!$B$3) +
 (tbl_HR_Data[[#This Row],[Flag_Satisfaction]] * Logic_Parameters!$B$4) +
 (tbl_HR_Data[[#This Row],[Flag_Distance]]* Logic_Parameters!$B$5) +
 (tbl_HR_Data[[#This Row],[Flag_Income]] * Logic_Parameters!$B$6)</f>
        <v>14.204533129978131</v>
      </c>
      <c r="AP1305" s="15">
        <f>tbl_HR_Data[[#This Row],[Risk_Score_Raw]] / SUM(Logic_Parameters!$B$2:$B$6)</f>
        <v>0.48938186491297625</v>
      </c>
      <c r="AQ1305" s="16" t="str" cm="1">
        <f t="array" ref="AQ1305">_xlfn.IFS(tbl_HR_Data[[#This Row],[Attrition_Risk_Percentage]] &gt;= 0.75, "Critical",tbl_HR_Data[ [#This Row],[Attrition_Risk_Percentage] ]&gt;= 0.5, "High",tbl_HR_Data[[#This Row],[Attrition_Risk_Percentage]] &gt;= 0.25, "Medium",TRUE, "Low")</f>
        <v>Medium</v>
      </c>
      <c r="AR1305" s="16" cm="1">
        <f t="array" ref="AR1305">IFERROR(_xlfn.IFS(tbl_HR_Data[[#This Row],[Risk_Category]]="Critical",tbl_HR_Data[[#This Row],[MonthlyIncome]]*1.5,tbl_HR_Data[[#This Row],[Risk_Category]]="High",tbl_HR_Data[[#This Row],[MonthlyIncome]]*1.5),0)</f>
        <v>0</v>
      </c>
    </row>
    <row r="1306" spans="1:44" x14ac:dyDescent="0.35">
      <c r="A1306" t="s">
        <v>395</v>
      </c>
      <c r="B1306">
        <v>40</v>
      </c>
      <c r="C1306" t="s">
        <v>31</v>
      </c>
      <c r="D1306">
        <v>750</v>
      </c>
      <c r="E1306" t="s">
        <v>38</v>
      </c>
      <c r="F1306">
        <v>12</v>
      </c>
      <c r="G1306">
        <v>3</v>
      </c>
      <c r="H1306" t="s">
        <v>33</v>
      </c>
      <c r="I1306">
        <v>2</v>
      </c>
      <c r="J1306" t="s">
        <v>34</v>
      </c>
      <c r="K1306">
        <v>47</v>
      </c>
      <c r="L1306">
        <v>3</v>
      </c>
      <c r="M1306">
        <v>2</v>
      </c>
      <c r="N1306" t="s">
        <v>47</v>
      </c>
      <c r="O1306">
        <v>1</v>
      </c>
      <c r="P1306" t="s">
        <v>45</v>
      </c>
      <c r="Q1306">
        <v>4448</v>
      </c>
      <c r="R1306">
        <v>10748</v>
      </c>
      <c r="S1306">
        <v>2</v>
      </c>
      <c r="T1306">
        <v>0</v>
      </c>
      <c r="U1306" s="17">
        <v>0.12</v>
      </c>
      <c r="V1306">
        <v>3</v>
      </c>
      <c r="W1306">
        <v>2</v>
      </c>
      <c r="X1306">
        <v>1</v>
      </c>
      <c r="Y1306">
        <v>15</v>
      </c>
      <c r="Z1306">
        <v>3</v>
      </c>
      <c r="AA1306">
        <v>3</v>
      </c>
      <c r="AB1306">
        <v>7</v>
      </c>
      <c r="AC1306">
        <v>4</v>
      </c>
      <c r="AD1306">
        <v>7</v>
      </c>
      <c r="AE1306">
        <v>7</v>
      </c>
      <c r="AF1306">
        <v>0</v>
      </c>
      <c r="AG1306">
        <f>IF(tbl_HR_Data[[#This Row],[Gender]]="Male",1,0)</f>
        <v>0</v>
      </c>
      <c r="AH1306" cm="1">
        <f t="array" ref="AH1306">_xlfn.SWITCH(tbl_HR_Data[[#This Row],[BusinessTravel]], "Non-Travel", 0, "Travel_Rarely", 1, "Travel_Frequently", 2)</f>
        <v>1</v>
      </c>
      <c r="AI1306" cm="1">
        <f t="array" ref="AI1306">_xlfn.SWITCH(tbl_HR_Data[[#This Row],[MaritalStatus]],"Single",0,"Married",1,"Divorced",2)</f>
        <v>2</v>
      </c>
      <c r="AJ1306">
        <f>IF(tbl_HR_Data[[#This Row],[OverTime]]=1,1,0)</f>
        <v>0</v>
      </c>
      <c r="AK1306">
        <f>IF(tbl_HR_Data[[#This Row],[DistanceFromHome]]&gt;15,1,0)</f>
        <v>0</v>
      </c>
      <c r="AL1306">
        <f>IF(tbl_HR_Data[[#This Row],[JobSatisfaction]]&lt;=2,1,0)</f>
        <v>1</v>
      </c>
      <c r="AM1306">
        <f>IF(tbl_HR_Data[[#This Row],[MonthlyIncome]]&lt;$AT$2,1,0)</f>
        <v>1</v>
      </c>
      <c r="AN1306">
        <f>IF(tbl_HR_Data[[#This Row],[Travel_Code]]=2,1,0)</f>
        <v>0</v>
      </c>
      <c r="AO1306">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306" s="15">
        <f>tbl_HR_Data[[#This Row],[Risk_Score_Raw]] / SUM(Logic_Parameters!$B$2:$B$6)</f>
        <v>0.3686061316669938</v>
      </c>
      <c r="AQ1306" s="16" t="str" cm="1">
        <f t="array" ref="AQ1306">_xlfn.IFS(tbl_HR_Data[[#This Row],[Attrition_Risk_Percentage]] &gt;= 0.75, "Critical",tbl_HR_Data[ [#This Row],[Attrition_Risk_Percentage] ]&gt;= 0.5, "High",tbl_HR_Data[[#This Row],[Attrition_Risk_Percentage]] &gt;= 0.25, "Medium",TRUE, "Low")</f>
        <v>Medium</v>
      </c>
      <c r="AR1306" s="16" cm="1">
        <f t="array" ref="AR1306">IFERROR(_xlfn.IFS(tbl_HR_Data[[#This Row],[Risk_Category]]="Critical",tbl_HR_Data[[#This Row],[MonthlyIncome]]*1.5,tbl_HR_Data[[#This Row],[Risk_Category]]="High",tbl_HR_Data[[#This Row],[MonthlyIncome]]*1.5),0)</f>
        <v>0</v>
      </c>
    </row>
    <row r="1307" spans="1:44" x14ac:dyDescent="0.35">
      <c r="A1307" t="s">
        <v>839</v>
      </c>
      <c r="B1307">
        <v>54</v>
      </c>
      <c r="C1307" t="s">
        <v>31</v>
      </c>
      <c r="D1307">
        <v>431</v>
      </c>
      <c r="E1307" t="s">
        <v>38</v>
      </c>
      <c r="F1307">
        <v>7</v>
      </c>
      <c r="G1307">
        <v>4</v>
      </c>
      <c r="H1307" t="s">
        <v>44</v>
      </c>
      <c r="I1307">
        <v>4</v>
      </c>
      <c r="J1307" t="s">
        <v>34</v>
      </c>
      <c r="K1307">
        <v>68</v>
      </c>
      <c r="L1307">
        <v>3</v>
      </c>
      <c r="M1307">
        <v>2</v>
      </c>
      <c r="N1307" t="s">
        <v>40</v>
      </c>
      <c r="O1307">
        <v>4</v>
      </c>
      <c r="P1307" t="s">
        <v>41</v>
      </c>
      <c r="Q1307">
        <v>6854</v>
      </c>
      <c r="R1307">
        <v>15696</v>
      </c>
      <c r="S1307">
        <v>4</v>
      </c>
      <c r="T1307">
        <v>0</v>
      </c>
      <c r="U1307" s="17">
        <v>0.15</v>
      </c>
      <c r="V1307">
        <v>3</v>
      </c>
      <c r="W1307">
        <v>2</v>
      </c>
      <c r="X1307">
        <v>1</v>
      </c>
      <c r="Y1307">
        <v>14</v>
      </c>
      <c r="Z1307">
        <v>2</v>
      </c>
      <c r="AA1307">
        <v>2</v>
      </c>
      <c r="AB1307">
        <v>7</v>
      </c>
      <c r="AC1307">
        <v>1</v>
      </c>
      <c r="AD1307">
        <v>1</v>
      </c>
      <c r="AE1307">
        <v>7</v>
      </c>
      <c r="AF1307">
        <v>0</v>
      </c>
      <c r="AG1307">
        <f>IF(tbl_HR_Data[[#This Row],[Gender]]="Male",1,0)</f>
        <v>0</v>
      </c>
      <c r="AH1307" cm="1">
        <f t="array" ref="AH1307">_xlfn.SWITCH(tbl_HR_Data[[#This Row],[BusinessTravel]], "Non-Travel", 0, "Travel_Rarely", 1, "Travel_Frequently", 2)</f>
        <v>1</v>
      </c>
      <c r="AI1307" cm="1">
        <f t="array" ref="AI1307">_xlfn.SWITCH(tbl_HR_Data[[#This Row],[MaritalStatus]],"Single",0,"Married",1,"Divorced",2)</f>
        <v>1</v>
      </c>
      <c r="AJ1307">
        <f>IF(tbl_HR_Data[[#This Row],[OverTime]]=1,1,0)</f>
        <v>0</v>
      </c>
      <c r="AK1307">
        <f>IF(tbl_HR_Data[[#This Row],[DistanceFromHome]]&gt;15,1,0)</f>
        <v>0</v>
      </c>
      <c r="AL1307">
        <f>IF(tbl_HR_Data[[#This Row],[JobSatisfaction]]&lt;=2,1,0)</f>
        <v>0</v>
      </c>
      <c r="AM1307">
        <f>IF(tbl_HR_Data[[#This Row],[MonthlyIncome]]&lt;$AT$2,1,0)</f>
        <v>0</v>
      </c>
      <c r="AN1307">
        <f>IF(tbl_HR_Data[[#This Row],[Travel_Code]]=2,1,0)</f>
        <v>0</v>
      </c>
      <c r="AO1307">
        <f>(tbl_HR_Data[[#This Row],[Flag_OT]] * Logic_Parameters!$B$2) +
 (tbl_HR_Data[[#This Row],[Flag_Travel]] * Logic_Parameters!$B$3) +
 (tbl_HR_Data[[#This Row],[Flag_Satisfaction]] * Logic_Parameters!$B$4) +
 (tbl_HR_Data[[#This Row],[Flag_Distance]]* Logic_Parameters!$B$5) +
 (tbl_HR_Data[[#This Row],[Flag_Income]] * Logic_Parameters!$B$6)</f>
        <v>0</v>
      </c>
      <c r="AP1307" s="15">
        <f>tbl_HR_Data[[#This Row],[Risk_Score_Raw]] / SUM(Logic_Parameters!$B$2:$B$6)</f>
        <v>0</v>
      </c>
      <c r="AQ1307" s="16" t="str" cm="1">
        <f t="array" ref="AQ1307">_xlfn.IFS(tbl_HR_Data[[#This Row],[Attrition_Risk_Percentage]] &gt;= 0.75, "Critical",tbl_HR_Data[ [#This Row],[Attrition_Risk_Percentage] ]&gt;= 0.5, "High",tbl_HR_Data[[#This Row],[Attrition_Risk_Percentage]] &gt;= 0.25, "Medium",TRUE, "Low")</f>
        <v>Low</v>
      </c>
      <c r="AR1307" s="16" cm="1">
        <f t="array" ref="AR1307">IFERROR(_xlfn.IFS(tbl_HR_Data[[#This Row],[Risk_Category]]="Critical",tbl_HR_Data[[#This Row],[MonthlyIncome]]*1.5,tbl_HR_Data[[#This Row],[Risk_Category]]="High",tbl_HR_Data[[#This Row],[MonthlyIncome]]*1.5),0)</f>
        <v>0</v>
      </c>
    </row>
    <row r="1308" spans="1:44" x14ac:dyDescent="0.35">
      <c r="A1308" t="s">
        <v>298</v>
      </c>
      <c r="B1308">
        <v>31</v>
      </c>
      <c r="C1308" t="s">
        <v>37</v>
      </c>
      <c r="D1308">
        <v>1125</v>
      </c>
      <c r="E1308" t="s">
        <v>32</v>
      </c>
      <c r="F1308">
        <v>7</v>
      </c>
      <c r="G1308">
        <v>4</v>
      </c>
      <c r="H1308" t="s">
        <v>51</v>
      </c>
      <c r="I1308">
        <v>1</v>
      </c>
      <c r="J1308" t="s">
        <v>34</v>
      </c>
      <c r="K1308">
        <v>68</v>
      </c>
      <c r="L1308">
        <v>3</v>
      </c>
      <c r="M1308">
        <v>3</v>
      </c>
      <c r="N1308" t="s">
        <v>35</v>
      </c>
      <c r="O1308">
        <v>1</v>
      </c>
      <c r="P1308" t="s">
        <v>41</v>
      </c>
      <c r="Q1308">
        <v>9637</v>
      </c>
      <c r="R1308">
        <v>8277</v>
      </c>
      <c r="S1308">
        <v>2</v>
      </c>
      <c r="T1308">
        <v>0</v>
      </c>
      <c r="U1308" s="17">
        <v>0.14000000000000001</v>
      </c>
      <c r="V1308">
        <v>3</v>
      </c>
      <c r="W1308">
        <v>4</v>
      </c>
      <c r="X1308">
        <v>2</v>
      </c>
      <c r="Y1308">
        <v>9</v>
      </c>
      <c r="Z1308">
        <v>3</v>
      </c>
      <c r="AA1308">
        <v>3</v>
      </c>
      <c r="AB1308">
        <v>3</v>
      </c>
      <c r="AC1308">
        <v>2</v>
      </c>
      <c r="AD1308">
        <v>2</v>
      </c>
      <c r="AE1308">
        <v>2</v>
      </c>
      <c r="AF1308">
        <v>0</v>
      </c>
      <c r="AG1308">
        <f>IF(tbl_HR_Data[[#This Row],[Gender]]="Male",1,0)</f>
        <v>0</v>
      </c>
      <c r="AH1308" cm="1">
        <f t="array" ref="AH1308">_xlfn.SWITCH(tbl_HR_Data[[#This Row],[BusinessTravel]], "Non-Travel", 0, "Travel_Rarely", 1, "Travel_Frequently", 2)</f>
        <v>2</v>
      </c>
      <c r="AI1308" cm="1">
        <f t="array" ref="AI1308">_xlfn.SWITCH(tbl_HR_Data[[#This Row],[MaritalStatus]],"Single",0,"Married",1,"Divorced",2)</f>
        <v>1</v>
      </c>
      <c r="AJ1308">
        <f>IF(tbl_HR_Data[[#This Row],[OverTime]]=1,1,0)</f>
        <v>0</v>
      </c>
      <c r="AK1308">
        <f>IF(tbl_HR_Data[[#This Row],[DistanceFromHome]]&gt;15,1,0)</f>
        <v>0</v>
      </c>
      <c r="AL1308">
        <f>IF(tbl_HR_Data[[#This Row],[JobSatisfaction]]&lt;=2,1,0)</f>
        <v>1</v>
      </c>
      <c r="AM1308">
        <f>IF(tbl_HR_Data[[#This Row],[MonthlyIncome]]&lt;$AT$2,1,0)</f>
        <v>0</v>
      </c>
      <c r="AN1308">
        <f>IF(tbl_HR_Data[[#This Row],[Travel_Code]]=2,1,0)</f>
        <v>1</v>
      </c>
      <c r="AO1308">
        <f>(tbl_HR_Data[[#This Row],[Flag_OT]] * Logic_Parameters!$B$2) +
 (tbl_HR_Data[[#This Row],[Flag_Travel]] * Logic_Parameters!$B$3) +
 (tbl_HR_Data[[#This Row],[Flag_Satisfaction]] * Logic_Parameters!$B$4) +
 (tbl_HR_Data[[#This Row],[Flag_Distance]]* Logic_Parameters!$B$5) +
 (tbl_HR_Data[[#This Row],[Flag_Income]] * Logic_Parameters!$B$6)</f>
        <v>9.3649231104683075</v>
      </c>
      <c r="AP1308" s="15">
        <f>tbl_HR_Data[[#This Row],[Risk_Score_Raw]] / SUM(Logic_Parameters!$B$2:$B$6)</f>
        <v>0.32264513691726432</v>
      </c>
      <c r="AQ1308" s="16" t="str" cm="1">
        <f t="array" ref="AQ1308">_xlfn.IFS(tbl_HR_Data[[#This Row],[Attrition_Risk_Percentage]] &gt;= 0.75, "Critical",tbl_HR_Data[ [#This Row],[Attrition_Risk_Percentage] ]&gt;= 0.5, "High",tbl_HR_Data[[#This Row],[Attrition_Risk_Percentage]] &gt;= 0.25, "Medium",TRUE, "Low")</f>
        <v>Medium</v>
      </c>
      <c r="AR1308" s="16" cm="1">
        <f t="array" ref="AR1308">IFERROR(_xlfn.IFS(tbl_HR_Data[[#This Row],[Risk_Category]]="Critical",tbl_HR_Data[[#This Row],[MonthlyIncome]]*1.5,tbl_HR_Data[[#This Row],[Risk_Category]]="High",tbl_HR_Data[[#This Row],[MonthlyIncome]]*1.5),0)</f>
        <v>0</v>
      </c>
    </row>
    <row r="1309" spans="1:44" x14ac:dyDescent="0.35">
      <c r="A1309" t="s">
        <v>900</v>
      </c>
      <c r="B1309">
        <v>28</v>
      </c>
      <c r="C1309" t="s">
        <v>31</v>
      </c>
      <c r="D1309">
        <v>1217</v>
      </c>
      <c r="E1309" t="s">
        <v>38</v>
      </c>
      <c r="F1309">
        <v>1</v>
      </c>
      <c r="G1309">
        <v>3</v>
      </c>
      <c r="H1309" t="s">
        <v>44</v>
      </c>
      <c r="I1309">
        <v>3</v>
      </c>
      <c r="J1309" t="s">
        <v>34</v>
      </c>
      <c r="K1309">
        <v>67</v>
      </c>
      <c r="L1309">
        <v>3</v>
      </c>
      <c r="M1309">
        <v>1</v>
      </c>
      <c r="N1309" t="s">
        <v>40</v>
      </c>
      <c r="O1309">
        <v>1</v>
      </c>
      <c r="P1309" t="s">
        <v>41</v>
      </c>
      <c r="Q1309">
        <v>3591</v>
      </c>
      <c r="R1309">
        <v>12719</v>
      </c>
      <c r="S1309">
        <v>1</v>
      </c>
      <c r="T1309">
        <v>0</v>
      </c>
      <c r="U1309" s="17">
        <v>0.25</v>
      </c>
      <c r="V1309">
        <v>4</v>
      </c>
      <c r="W1309">
        <v>3</v>
      </c>
      <c r="X1309">
        <v>1</v>
      </c>
      <c r="Y1309">
        <v>3</v>
      </c>
      <c r="Z1309">
        <v>3</v>
      </c>
      <c r="AA1309">
        <v>3</v>
      </c>
      <c r="AB1309">
        <v>3</v>
      </c>
      <c r="AC1309">
        <v>2</v>
      </c>
      <c r="AD1309">
        <v>1</v>
      </c>
      <c r="AE1309">
        <v>2</v>
      </c>
      <c r="AF1309">
        <v>0</v>
      </c>
      <c r="AG1309">
        <f>IF(tbl_HR_Data[[#This Row],[Gender]]="Male",1,0)</f>
        <v>0</v>
      </c>
      <c r="AH1309" cm="1">
        <f t="array" ref="AH1309">_xlfn.SWITCH(tbl_HR_Data[[#This Row],[BusinessTravel]], "Non-Travel", 0, "Travel_Rarely", 1, "Travel_Frequently", 2)</f>
        <v>1</v>
      </c>
      <c r="AI1309" cm="1">
        <f t="array" ref="AI1309">_xlfn.SWITCH(tbl_HR_Data[[#This Row],[MaritalStatus]],"Single",0,"Married",1,"Divorced",2)</f>
        <v>1</v>
      </c>
      <c r="AJ1309">
        <f>IF(tbl_HR_Data[[#This Row],[OverTime]]=1,1,0)</f>
        <v>0</v>
      </c>
      <c r="AK1309">
        <f>IF(tbl_HR_Data[[#This Row],[DistanceFromHome]]&gt;15,1,0)</f>
        <v>0</v>
      </c>
      <c r="AL1309">
        <f>IF(tbl_HR_Data[[#This Row],[JobSatisfaction]]&lt;=2,1,0)</f>
        <v>1</v>
      </c>
      <c r="AM1309">
        <f>IF(tbl_HR_Data[[#This Row],[MonthlyIncome]]&lt;$AT$2,1,0)</f>
        <v>1</v>
      </c>
      <c r="AN1309">
        <f>IF(tbl_HR_Data[[#This Row],[Travel_Code]]=2,1,0)</f>
        <v>0</v>
      </c>
      <c r="AO1309">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309" s="15">
        <f>tbl_HR_Data[[#This Row],[Risk_Score_Raw]] / SUM(Logic_Parameters!$B$2:$B$6)</f>
        <v>0.3686061316669938</v>
      </c>
      <c r="AQ1309" s="16" t="str" cm="1">
        <f t="array" ref="AQ1309">_xlfn.IFS(tbl_HR_Data[[#This Row],[Attrition_Risk_Percentage]] &gt;= 0.75, "Critical",tbl_HR_Data[ [#This Row],[Attrition_Risk_Percentage] ]&gt;= 0.5, "High",tbl_HR_Data[[#This Row],[Attrition_Risk_Percentage]] &gt;= 0.25, "Medium",TRUE, "Low")</f>
        <v>Medium</v>
      </c>
      <c r="AR1309" s="16" cm="1">
        <f t="array" ref="AR1309">IFERROR(_xlfn.IFS(tbl_HR_Data[[#This Row],[Risk_Category]]="Critical",tbl_HR_Data[[#This Row],[MonthlyIncome]]*1.5,tbl_HR_Data[[#This Row],[Risk_Category]]="High",tbl_HR_Data[[#This Row],[MonthlyIncome]]*1.5),0)</f>
        <v>0</v>
      </c>
    </row>
    <row r="1310" spans="1:44" x14ac:dyDescent="0.35">
      <c r="A1310" t="s">
        <v>1254</v>
      </c>
      <c r="B1310">
        <v>38</v>
      </c>
      <c r="C1310" t="s">
        <v>31</v>
      </c>
      <c r="D1310">
        <v>723</v>
      </c>
      <c r="E1310" t="s">
        <v>32</v>
      </c>
      <c r="F1310">
        <v>2</v>
      </c>
      <c r="G1310">
        <v>4</v>
      </c>
      <c r="H1310" t="s">
        <v>51</v>
      </c>
      <c r="I1310">
        <v>2</v>
      </c>
      <c r="J1310" t="s">
        <v>34</v>
      </c>
      <c r="K1310">
        <v>77</v>
      </c>
      <c r="L1310">
        <v>1</v>
      </c>
      <c r="M1310">
        <v>2</v>
      </c>
      <c r="N1310" t="s">
        <v>49</v>
      </c>
      <c r="O1310">
        <v>4</v>
      </c>
      <c r="P1310" t="s">
        <v>41</v>
      </c>
      <c r="Q1310">
        <v>5405</v>
      </c>
      <c r="R1310">
        <v>4244</v>
      </c>
      <c r="S1310">
        <v>2</v>
      </c>
      <c r="T1310">
        <v>1</v>
      </c>
      <c r="U1310" s="17">
        <v>0.2</v>
      </c>
      <c r="V1310">
        <v>4</v>
      </c>
      <c r="W1310">
        <v>1</v>
      </c>
      <c r="X1310">
        <v>2</v>
      </c>
      <c r="Y1310">
        <v>20</v>
      </c>
      <c r="Z1310">
        <v>4</v>
      </c>
      <c r="AA1310">
        <v>2</v>
      </c>
      <c r="AB1310">
        <v>4</v>
      </c>
      <c r="AC1310">
        <v>2</v>
      </c>
      <c r="AD1310">
        <v>0</v>
      </c>
      <c r="AE1310">
        <v>3</v>
      </c>
      <c r="AF1310">
        <v>0</v>
      </c>
      <c r="AG1310">
        <f>IF(tbl_HR_Data[[#This Row],[Gender]]="Male",1,0)</f>
        <v>0</v>
      </c>
      <c r="AH1310" cm="1">
        <f t="array" ref="AH1310">_xlfn.SWITCH(tbl_HR_Data[[#This Row],[BusinessTravel]], "Non-Travel", 0, "Travel_Rarely", 1, "Travel_Frequently", 2)</f>
        <v>1</v>
      </c>
      <c r="AI1310" cm="1">
        <f t="array" ref="AI1310">_xlfn.SWITCH(tbl_HR_Data[[#This Row],[MaritalStatus]],"Single",0,"Married",1,"Divorced",2)</f>
        <v>1</v>
      </c>
      <c r="AJ1310">
        <f>IF(tbl_HR_Data[[#This Row],[OverTime]]=1,1,0)</f>
        <v>1</v>
      </c>
      <c r="AK1310">
        <f>IF(tbl_HR_Data[[#This Row],[DistanceFromHome]]&gt;15,1,0)</f>
        <v>0</v>
      </c>
      <c r="AL1310">
        <f>IF(tbl_HR_Data[[#This Row],[JobSatisfaction]]&lt;=2,1,0)</f>
        <v>0</v>
      </c>
      <c r="AM1310">
        <f>IF(tbl_HR_Data[[#This Row],[MonthlyIncome]]&lt;$AT$2,1,0)</f>
        <v>0</v>
      </c>
      <c r="AN1310">
        <f>IF(tbl_HR_Data[[#This Row],[Travel_Code]]=2,1,0)</f>
        <v>0</v>
      </c>
      <c r="AO1310">
        <f>(tbl_HR_Data[[#This Row],[Flag_OT]] * Logic_Parameters!$B$2) +
 (tbl_HR_Data[[#This Row],[Flag_Travel]] * Logic_Parameters!$B$3) +
 (tbl_HR_Data[[#This Row],[Flag_Satisfaction]] * Logic_Parameters!$B$4) +
 (tbl_HR_Data[[#This Row],[Flag_Distance]]* Logic_Parameters!$B$5) +
 (tbl_HR_Data[[#This Row],[Flag_Income]] * Logic_Parameters!$B$6)</f>
        <v>10</v>
      </c>
      <c r="AP1310" s="15">
        <f>tbl_HR_Data[[#This Row],[Risk_Score_Raw]] / SUM(Logic_Parameters!$B$2:$B$6)</f>
        <v>0.3445251318258073</v>
      </c>
      <c r="AQ1310" s="16" t="str" cm="1">
        <f t="array" ref="AQ1310">_xlfn.IFS(tbl_HR_Data[[#This Row],[Attrition_Risk_Percentage]] &gt;= 0.75, "Critical",tbl_HR_Data[ [#This Row],[Attrition_Risk_Percentage] ]&gt;= 0.5, "High",tbl_HR_Data[[#This Row],[Attrition_Risk_Percentage]] &gt;= 0.25, "Medium",TRUE, "Low")</f>
        <v>Medium</v>
      </c>
      <c r="AR1310" s="16" cm="1">
        <f t="array" ref="AR1310">IFERROR(_xlfn.IFS(tbl_HR_Data[[#This Row],[Risk_Category]]="Critical",tbl_HR_Data[[#This Row],[MonthlyIncome]]*1.5,tbl_HR_Data[[#This Row],[Risk_Category]]="High",tbl_HR_Data[[#This Row],[MonthlyIncome]]*1.5),0)</f>
        <v>0</v>
      </c>
    </row>
    <row r="1311" spans="1:44" x14ac:dyDescent="0.35">
      <c r="A1311" t="s">
        <v>815</v>
      </c>
      <c r="B1311">
        <v>26</v>
      </c>
      <c r="C1311" t="s">
        <v>31</v>
      </c>
      <c r="D1311">
        <v>572</v>
      </c>
      <c r="E1311" t="s">
        <v>32</v>
      </c>
      <c r="F1311">
        <v>10</v>
      </c>
      <c r="G1311">
        <v>3</v>
      </c>
      <c r="H1311" t="s">
        <v>44</v>
      </c>
      <c r="I1311">
        <v>3</v>
      </c>
      <c r="J1311" t="s">
        <v>39</v>
      </c>
      <c r="K1311">
        <v>46</v>
      </c>
      <c r="L1311">
        <v>3</v>
      </c>
      <c r="M1311">
        <v>2</v>
      </c>
      <c r="N1311" t="s">
        <v>35</v>
      </c>
      <c r="O1311">
        <v>4</v>
      </c>
      <c r="P1311" t="s">
        <v>36</v>
      </c>
      <c r="Q1311">
        <v>4684</v>
      </c>
      <c r="R1311">
        <v>9125</v>
      </c>
      <c r="S1311">
        <v>1</v>
      </c>
      <c r="T1311">
        <v>0</v>
      </c>
      <c r="U1311" s="17">
        <v>0.13</v>
      </c>
      <c r="V1311">
        <v>3</v>
      </c>
      <c r="W1311">
        <v>1</v>
      </c>
      <c r="X1311">
        <v>0</v>
      </c>
      <c r="Y1311">
        <v>5</v>
      </c>
      <c r="Z1311">
        <v>4</v>
      </c>
      <c r="AA1311">
        <v>3</v>
      </c>
      <c r="AB1311">
        <v>5</v>
      </c>
      <c r="AC1311">
        <v>3</v>
      </c>
      <c r="AD1311">
        <v>1</v>
      </c>
      <c r="AE1311">
        <v>2</v>
      </c>
      <c r="AF1311">
        <v>0</v>
      </c>
      <c r="AG1311">
        <f>IF(tbl_HR_Data[[#This Row],[Gender]]="Male",1,0)</f>
        <v>1</v>
      </c>
      <c r="AH1311" cm="1">
        <f t="array" ref="AH1311">_xlfn.SWITCH(tbl_HR_Data[[#This Row],[BusinessTravel]], "Non-Travel", 0, "Travel_Rarely", 1, "Travel_Frequently", 2)</f>
        <v>1</v>
      </c>
      <c r="AI1311" cm="1">
        <f t="array" ref="AI1311">_xlfn.SWITCH(tbl_HR_Data[[#This Row],[MaritalStatus]],"Single",0,"Married",1,"Divorced",2)</f>
        <v>0</v>
      </c>
      <c r="AJ1311">
        <f>IF(tbl_HR_Data[[#This Row],[OverTime]]=1,1,0)</f>
        <v>0</v>
      </c>
      <c r="AK1311">
        <f>IF(tbl_HR_Data[[#This Row],[DistanceFromHome]]&gt;15,1,0)</f>
        <v>0</v>
      </c>
      <c r="AL1311">
        <f>IF(tbl_HR_Data[[#This Row],[JobSatisfaction]]&lt;=2,1,0)</f>
        <v>0</v>
      </c>
      <c r="AM1311">
        <f>IF(tbl_HR_Data[[#This Row],[MonthlyIncome]]&lt;$AT$2,1,0)</f>
        <v>1</v>
      </c>
      <c r="AN1311">
        <f>IF(tbl_HR_Data[[#This Row],[Travel_Code]]=2,1,0)</f>
        <v>0</v>
      </c>
      <c r="AO1311">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311" s="15">
        <f>tbl_HR_Data[[#This Row],[Risk_Score_Raw]] / SUM(Logic_Parameters!$B$2:$B$6)</f>
        <v>0.22374939857982484</v>
      </c>
      <c r="AQ1311" s="16" t="str" cm="1">
        <f t="array" ref="AQ1311">_xlfn.IFS(tbl_HR_Data[[#This Row],[Attrition_Risk_Percentage]] &gt;= 0.75, "Critical",tbl_HR_Data[ [#This Row],[Attrition_Risk_Percentage] ]&gt;= 0.5, "High",tbl_HR_Data[[#This Row],[Attrition_Risk_Percentage]] &gt;= 0.25, "Medium",TRUE, "Low")</f>
        <v>Low</v>
      </c>
      <c r="AR1311" s="16" cm="1">
        <f t="array" ref="AR1311">IFERROR(_xlfn.IFS(tbl_HR_Data[[#This Row],[Risk_Category]]="Critical",tbl_HR_Data[[#This Row],[MonthlyIncome]]*1.5,tbl_HR_Data[[#This Row],[Risk_Category]]="High",tbl_HR_Data[[#This Row],[MonthlyIncome]]*1.5),0)</f>
        <v>0</v>
      </c>
    </row>
    <row r="1312" spans="1:44" x14ac:dyDescent="0.35">
      <c r="A1312" t="s">
        <v>913</v>
      </c>
      <c r="B1312">
        <v>58</v>
      </c>
      <c r="C1312" t="s">
        <v>37</v>
      </c>
      <c r="D1312">
        <v>1216</v>
      </c>
      <c r="E1312" t="s">
        <v>38</v>
      </c>
      <c r="F1312">
        <v>15</v>
      </c>
      <c r="G1312">
        <v>4</v>
      </c>
      <c r="H1312" t="s">
        <v>33</v>
      </c>
      <c r="I1312">
        <v>1</v>
      </c>
      <c r="J1312" t="s">
        <v>39</v>
      </c>
      <c r="K1312">
        <v>87</v>
      </c>
      <c r="L1312">
        <v>3</v>
      </c>
      <c r="M1312">
        <v>4</v>
      </c>
      <c r="N1312" t="s">
        <v>50</v>
      </c>
      <c r="O1312">
        <v>3</v>
      </c>
      <c r="P1312" t="s">
        <v>41</v>
      </c>
      <c r="Q1312">
        <v>15787</v>
      </c>
      <c r="R1312">
        <v>21624</v>
      </c>
      <c r="S1312">
        <v>2</v>
      </c>
      <c r="T1312">
        <v>1</v>
      </c>
      <c r="U1312" s="17">
        <v>0.14000000000000001</v>
      </c>
      <c r="V1312">
        <v>3</v>
      </c>
      <c r="W1312">
        <v>2</v>
      </c>
      <c r="X1312">
        <v>0</v>
      </c>
      <c r="Y1312">
        <v>23</v>
      </c>
      <c r="Z1312">
        <v>3</v>
      </c>
      <c r="AA1312">
        <v>3</v>
      </c>
      <c r="AB1312">
        <v>2</v>
      </c>
      <c r="AC1312">
        <v>2</v>
      </c>
      <c r="AD1312">
        <v>2</v>
      </c>
      <c r="AE1312">
        <v>2</v>
      </c>
      <c r="AF1312">
        <v>0</v>
      </c>
      <c r="AG1312">
        <f>IF(tbl_HR_Data[[#This Row],[Gender]]="Male",1,0)</f>
        <v>1</v>
      </c>
      <c r="AH1312" cm="1">
        <f t="array" ref="AH1312">_xlfn.SWITCH(tbl_HR_Data[[#This Row],[BusinessTravel]], "Non-Travel", 0, "Travel_Rarely", 1, "Travel_Frequently", 2)</f>
        <v>2</v>
      </c>
      <c r="AI1312" cm="1">
        <f t="array" ref="AI1312">_xlfn.SWITCH(tbl_HR_Data[[#This Row],[MaritalStatus]],"Single",0,"Married",1,"Divorced",2)</f>
        <v>1</v>
      </c>
      <c r="AJ1312">
        <f>IF(tbl_HR_Data[[#This Row],[OverTime]]=1,1,0)</f>
        <v>1</v>
      </c>
      <c r="AK1312">
        <f>IF(tbl_HR_Data[[#This Row],[DistanceFromHome]]&gt;15,1,0)</f>
        <v>0</v>
      </c>
      <c r="AL1312">
        <f>IF(tbl_HR_Data[[#This Row],[JobSatisfaction]]&lt;=2,1,0)</f>
        <v>0</v>
      </c>
      <c r="AM1312">
        <f>IF(tbl_HR_Data[[#This Row],[MonthlyIncome]]&lt;$AT$2,1,0)</f>
        <v>0</v>
      </c>
      <c r="AN1312">
        <f>IF(tbl_HR_Data[[#This Row],[Travel_Code]]=2,1,0)</f>
        <v>1</v>
      </c>
      <c r="AO1312">
        <f>(tbl_HR_Data[[#This Row],[Flag_OT]] * Logic_Parameters!$B$2) +
 (tbl_HR_Data[[#This Row],[Flag_Travel]] * Logic_Parameters!$B$3) +
 (tbl_HR_Data[[#This Row],[Flag_Satisfaction]] * Logic_Parameters!$B$4) +
 (tbl_HR_Data[[#This Row],[Flag_Distance]]* Logic_Parameters!$B$5) +
 (tbl_HR_Data[[#This Row],[Flag_Income]] * Logic_Parameters!$B$6)</f>
        <v>15.160389980490176</v>
      </c>
      <c r="AP1312" s="15">
        <f>tbl_HR_Data[[#This Row],[Risk_Score_Raw]] / SUM(Logic_Parameters!$B$2:$B$6)</f>
        <v>0.52231353565590266</v>
      </c>
      <c r="AQ1312" s="16" t="str" cm="1">
        <f t="array" ref="AQ1312">_xlfn.IFS(tbl_HR_Data[[#This Row],[Attrition_Risk_Percentage]] &gt;= 0.75, "Critical",tbl_HR_Data[ [#This Row],[Attrition_Risk_Percentage] ]&gt;= 0.5, "High",tbl_HR_Data[[#This Row],[Attrition_Risk_Percentage]] &gt;= 0.25, "Medium",TRUE, "Low")</f>
        <v>High</v>
      </c>
      <c r="AR1312" s="16" cm="1">
        <f t="array" ref="AR1312">IFERROR(_xlfn.IFS(tbl_HR_Data[[#This Row],[Risk_Category]]="Critical",tbl_HR_Data[[#This Row],[MonthlyIncome]]*1.5,tbl_HR_Data[[#This Row],[Risk_Category]]="High",tbl_HR_Data[[#This Row],[MonthlyIncome]]*1.5),0)</f>
        <v>23680.5</v>
      </c>
    </row>
    <row r="1313" spans="1:44" x14ac:dyDescent="0.35">
      <c r="A1313" t="s">
        <v>895</v>
      </c>
      <c r="B1313">
        <v>18</v>
      </c>
      <c r="C1313" t="s">
        <v>1525</v>
      </c>
      <c r="D1313">
        <v>1431</v>
      </c>
      <c r="E1313" t="s">
        <v>38</v>
      </c>
      <c r="F1313">
        <v>14</v>
      </c>
      <c r="G1313">
        <v>3</v>
      </c>
      <c r="H1313" t="s">
        <v>44</v>
      </c>
      <c r="I1313">
        <v>2</v>
      </c>
      <c r="J1313" t="s">
        <v>34</v>
      </c>
      <c r="K1313">
        <v>33</v>
      </c>
      <c r="L1313">
        <v>3</v>
      </c>
      <c r="M1313">
        <v>1</v>
      </c>
      <c r="N1313" t="s">
        <v>40</v>
      </c>
      <c r="O1313">
        <v>3</v>
      </c>
      <c r="P1313" t="s">
        <v>36</v>
      </c>
      <c r="Q1313">
        <v>1514</v>
      </c>
      <c r="R1313">
        <v>8018</v>
      </c>
      <c r="S1313">
        <v>1</v>
      </c>
      <c r="T1313">
        <v>0</v>
      </c>
      <c r="U1313" s="17">
        <v>0.16</v>
      </c>
      <c r="V1313">
        <v>3</v>
      </c>
      <c r="W1313">
        <v>3</v>
      </c>
      <c r="X1313">
        <v>0</v>
      </c>
      <c r="Y1313">
        <v>0</v>
      </c>
      <c r="Z1313">
        <v>4</v>
      </c>
      <c r="AA1313">
        <v>1</v>
      </c>
      <c r="AB1313">
        <v>0</v>
      </c>
      <c r="AC1313">
        <v>0</v>
      </c>
      <c r="AD1313">
        <v>0</v>
      </c>
      <c r="AE1313">
        <v>0</v>
      </c>
      <c r="AF1313">
        <v>0</v>
      </c>
      <c r="AG1313">
        <f>IF(tbl_HR_Data[[#This Row],[Gender]]="Male",1,0)</f>
        <v>0</v>
      </c>
      <c r="AH1313" cm="1">
        <f t="array" ref="AH1313">_xlfn.SWITCH(tbl_HR_Data[[#This Row],[BusinessTravel]], "Non-Travel", 0, "Travel_Rarely", 1, "Travel_Frequently", 2)</f>
        <v>0</v>
      </c>
      <c r="AI1313" cm="1">
        <f t="array" ref="AI1313">_xlfn.SWITCH(tbl_HR_Data[[#This Row],[MaritalStatus]],"Single",0,"Married",1,"Divorced",2)</f>
        <v>0</v>
      </c>
      <c r="AJ1313">
        <f>IF(tbl_HR_Data[[#This Row],[OverTime]]=1,1,0)</f>
        <v>0</v>
      </c>
      <c r="AK1313">
        <f>IF(tbl_HR_Data[[#This Row],[DistanceFromHome]]&gt;15,1,0)</f>
        <v>0</v>
      </c>
      <c r="AL1313">
        <f>IF(tbl_HR_Data[[#This Row],[JobSatisfaction]]&lt;=2,1,0)</f>
        <v>0</v>
      </c>
      <c r="AM1313">
        <f>IF(tbl_HR_Data[[#This Row],[MonthlyIncome]]&lt;$AT$2,1,0)</f>
        <v>1</v>
      </c>
      <c r="AN1313">
        <f>IF(tbl_HR_Data[[#This Row],[Travel_Code]]=2,1,0)</f>
        <v>0</v>
      </c>
      <c r="AO1313">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313" s="15">
        <f>tbl_HR_Data[[#This Row],[Risk_Score_Raw]] / SUM(Logic_Parameters!$B$2:$B$6)</f>
        <v>0.22374939857982484</v>
      </c>
      <c r="AQ1313" s="16" t="str" cm="1">
        <f t="array" ref="AQ1313">_xlfn.IFS(tbl_HR_Data[[#This Row],[Attrition_Risk_Percentage]] &gt;= 0.75, "Critical",tbl_HR_Data[ [#This Row],[Attrition_Risk_Percentage] ]&gt;= 0.5, "High",tbl_HR_Data[[#This Row],[Attrition_Risk_Percentage]] &gt;= 0.25, "Medium",TRUE, "Low")</f>
        <v>Low</v>
      </c>
      <c r="AR1313" s="16" cm="1">
        <f t="array" ref="AR1313">IFERROR(_xlfn.IFS(tbl_HR_Data[[#This Row],[Risk_Category]]="Critical",tbl_HR_Data[[#This Row],[MonthlyIncome]]*1.5,tbl_HR_Data[[#This Row],[Risk_Category]]="High",tbl_HR_Data[[#This Row],[MonthlyIncome]]*1.5),0)</f>
        <v>0</v>
      </c>
    </row>
    <row r="1314" spans="1:44" x14ac:dyDescent="0.35">
      <c r="A1314" t="s">
        <v>1324</v>
      </c>
      <c r="B1314">
        <v>31</v>
      </c>
      <c r="C1314" t="s">
        <v>31</v>
      </c>
      <c r="D1314">
        <v>359</v>
      </c>
      <c r="E1314" t="s">
        <v>53</v>
      </c>
      <c r="F1314">
        <v>18</v>
      </c>
      <c r="G1314">
        <v>5</v>
      </c>
      <c r="H1314" t="s">
        <v>53</v>
      </c>
      <c r="I1314">
        <v>4</v>
      </c>
      <c r="J1314" t="s">
        <v>39</v>
      </c>
      <c r="K1314">
        <v>89</v>
      </c>
      <c r="L1314">
        <v>4</v>
      </c>
      <c r="M1314">
        <v>1</v>
      </c>
      <c r="N1314" t="s">
        <v>53</v>
      </c>
      <c r="O1314">
        <v>1</v>
      </c>
      <c r="P1314" t="s">
        <v>41</v>
      </c>
      <c r="Q1314">
        <v>2956</v>
      </c>
      <c r="R1314">
        <v>21495</v>
      </c>
      <c r="S1314">
        <v>0</v>
      </c>
      <c r="T1314">
        <v>0</v>
      </c>
      <c r="U1314" s="17">
        <v>0.17</v>
      </c>
      <c r="V1314">
        <v>3</v>
      </c>
      <c r="W1314">
        <v>3</v>
      </c>
      <c r="X1314">
        <v>0</v>
      </c>
      <c r="Y1314">
        <v>2</v>
      </c>
      <c r="Z1314">
        <v>4</v>
      </c>
      <c r="AA1314">
        <v>3</v>
      </c>
      <c r="AB1314">
        <v>1</v>
      </c>
      <c r="AC1314">
        <v>0</v>
      </c>
      <c r="AD1314">
        <v>0</v>
      </c>
      <c r="AE1314">
        <v>0</v>
      </c>
      <c r="AF1314">
        <v>1</v>
      </c>
      <c r="AG1314">
        <f>IF(tbl_HR_Data[[#This Row],[Gender]]="Male",1,0)</f>
        <v>1</v>
      </c>
      <c r="AH1314" cm="1">
        <f t="array" ref="AH1314">_xlfn.SWITCH(tbl_HR_Data[[#This Row],[BusinessTravel]], "Non-Travel", 0, "Travel_Rarely", 1, "Travel_Frequently", 2)</f>
        <v>1</v>
      </c>
      <c r="AI1314" cm="1">
        <f t="array" ref="AI1314">_xlfn.SWITCH(tbl_HR_Data[[#This Row],[MaritalStatus]],"Single",0,"Married",1,"Divorced",2)</f>
        <v>1</v>
      </c>
      <c r="AJ1314">
        <f>IF(tbl_HR_Data[[#This Row],[OverTime]]=1,1,0)</f>
        <v>0</v>
      </c>
      <c r="AK1314">
        <f>IF(tbl_HR_Data[[#This Row],[DistanceFromHome]]&gt;15,1,0)</f>
        <v>1</v>
      </c>
      <c r="AL1314">
        <f>IF(tbl_HR_Data[[#This Row],[JobSatisfaction]]&lt;=2,1,0)</f>
        <v>1</v>
      </c>
      <c r="AM1314">
        <f>IF(tbl_HR_Data[[#This Row],[MonthlyIncome]]&lt;$AT$2,1,0)</f>
        <v>1</v>
      </c>
      <c r="AN1314">
        <f>IF(tbl_HR_Data[[#This Row],[Travel_Code]]=2,1,0)</f>
        <v>0</v>
      </c>
      <c r="AO1314">
        <f>(tbl_HR_Data[[#This Row],[Flag_OT]] * Logic_Parameters!$B$2) +
 (tbl_HR_Data[[#This Row],[Flag_Travel]] * Logic_Parameters!$B$3) +
 (tbl_HR_Data[[#This Row],[Flag_Satisfaction]] * Logic_Parameters!$B$4) +
 (tbl_HR_Data[[#This Row],[Flag_Distance]]* Logic_Parameters!$B$5) +
 (tbl_HR_Data[[#This Row],[Flag_Income]] * Logic_Parameters!$B$6)</f>
        <v>13.865068763274337</v>
      </c>
      <c r="AP1314" s="15">
        <f>tbl_HR_Data[[#This Row],[Risk_Score_Raw]] / SUM(Logic_Parameters!$B$2:$B$6)</f>
        <v>0.47768646434409739</v>
      </c>
      <c r="AQ1314" s="16" t="str" cm="1">
        <f t="array" ref="AQ1314">_xlfn.IFS(tbl_HR_Data[[#This Row],[Attrition_Risk_Percentage]] &gt;= 0.75, "Critical",tbl_HR_Data[ [#This Row],[Attrition_Risk_Percentage] ]&gt;= 0.5, "High",tbl_HR_Data[[#This Row],[Attrition_Risk_Percentage]] &gt;= 0.25, "Medium",TRUE, "Low")</f>
        <v>Medium</v>
      </c>
      <c r="AR1314" s="16" cm="1">
        <f t="array" ref="AR1314">IFERROR(_xlfn.IFS(tbl_HR_Data[[#This Row],[Risk_Category]]="Critical",tbl_HR_Data[[#This Row],[MonthlyIncome]]*1.5,tbl_HR_Data[[#This Row],[Risk_Category]]="High",tbl_HR_Data[[#This Row],[MonthlyIncome]]*1.5),0)</f>
        <v>0</v>
      </c>
    </row>
    <row r="1315" spans="1:44" x14ac:dyDescent="0.35">
      <c r="A1315" t="s">
        <v>389</v>
      </c>
      <c r="B1315">
        <v>29</v>
      </c>
      <c r="C1315" t="s">
        <v>31</v>
      </c>
      <c r="D1315">
        <v>350</v>
      </c>
      <c r="E1315" t="s">
        <v>53</v>
      </c>
      <c r="F1315">
        <v>13</v>
      </c>
      <c r="G1315">
        <v>3</v>
      </c>
      <c r="H1315" t="s">
        <v>53</v>
      </c>
      <c r="I1315">
        <v>1</v>
      </c>
      <c r="J1315" t="s">
        <v>39</v>
      </c>
      <c r="K1315">
        <v>56</v>
      </c>
      <c r="L1315">
        <v>2</v>
      </c>
      <c r="M1315">
        <v>1</v>
      </c>
      <c r="N1315" t="s">
        <v>53</v>
      </c>
      <c r="O1315">
        <v>1</v>
      </c>
      <c r="P1315" t="s">
        <v>45</v>
      </c>
      <c r="Q1315">
        <v>2335</v>
      </c>
      <c r="R1315">
        <v>3157</v>
      </c>
      <c r="S1315">
        <v>4</v>
      </c>
      <c r="T1315">
        <v>1</v>
      </c>
      <c r="U1315" s="17">
        <v>0.15</v>
      </c>
      <c r="V1315">
        <v>3</v>
      </c>
      <c r="W1315">
        <v>4</v>
      </c>
      <c r="X1315">
        <v>3</v>
      </c>
      <c r="Y1315">
        <v>4</v>
      </c>
      <c r="Z1315">
        <v>3</v>
      </c>
      <c r="AA1315">
        <v>3</v>
      </c>
      <c r="AB1315">
        <v>2</v>
      </c>
      <c r="AC1315">
        <v>2</v>
      </c>
      <c r="AD1315">
        <v>2</v>
      </c>
      <c r="AE1315">
        <v>0</v>
      </c>
      <c r="AF1315">
        <v>1</v>
      </c>
      <c r="AG1315">
        <f>IF(tbl_HR_Data[[#This Row],[Gender]]="Male",1,0)</f>
        <v>1</v>
      </c>
      <c r="AH1315" cm="1">
        <f t="array" ref="AH1315">_xlfn.SWITCH(tbl_HR_Data[[#This Row],[BusinessTravel]], "Non-Travel", 0, "Travel_Rarely", 1, "Travel_Frequently", 2)</f>
        <v>1</v>
      </c>
      <c r="AI1315" cm="1">
        <f t="array" ref="AI1315">_xlfn.SWITCH(tbl_HR_Data[[#This Row],[MaritalStatus]],"Single",0,"Married",1,"Divorced",2)</f>
        <v>2</v>
      </c>
      <c r="AJ1315">
        <f>IF(tbl_HR_Data[[#This Row],[OverTime]]=1,1,0)</f>
        <v>1</v>
      </c>
      <c r="AK1315">
        <f>IF(tbl_HR_Data[[#This Row],[DistanceFromHome]]&gt;15,1,0)</f>
        <v>0</v>
      </c>
      <c r="AL1315">
        <f>IF(tbl_HR_Data[[#This Row],[JobSatisfaction]]&lt;=2,1,0)</f>
        <v>1</v>
      </c>
      <c r="AM1315">
        <f>IF(tbl_HR_Data[[#This Row],[MonthlyIncome]]&lt;$AT$2,1,0)</f>
        <v>1</v>
      </c>
      <c r="AN1315">
        <f>IF(tbl_HR_Data[[#This Row],[Travel_Code]]=2,1,0)</f>
        <v>0</v>
      </c>
      <c r="AO1315">
        <f>(tbl_HR_Data[[#This Row],[Flag_OT]] * Logic_Parameters!$B$2) +
 (tbl_HR_Data[[#This Row],[Flag_Travel]] * Logic_Parameters!$B$3) +
 (tbl_HR_Data[[#This Row],[Flag_Satisfaction]] * Logic_Parameters!$B$4) +
 (tbl_HR_Data[[#This Row],[Flag_Distance]]* Logic_Parameters!$B$5) +
 (tbl_HR_Data[[#This Row],[Flag_Income]] * Logic_Parameters!$B$6)</f>
        <v>20.698962067398959</v>
      </c>
      <c r="AP1315" s="15">
        <f>tbl_HR_Data[[#This Row],[Risk_Score_Raw]] / SUM(Logic_Parameters!$B$2:$B$6)</f>
        <v>0.71313126349280109</v>
      </c>
      <c r="AQ1315" s="16" t="str" cm="1">
        <f t="array" ref="AQ1315">_xlfn.IFS(tbl_HR_Data[[#This Row],[Attrition_Risk_Percentage]] &gt;= 0.75, "Critical",tbl_HR_Data[ [#This Row],[Attrition_Risk_Percentage] ]&gt;= 0.5, "High",tbl_HR_Data[[#This Row],[Attrition_Risk_Percentage]] &gt;= 0.25, "Medium",TRUE, "Low")</f>
        <v>High</v>
      </c>
      <c r="AR1315" s="16" cm="1">
        <f t="array" ref="AR1315">IFERROR(_xlfn.IFS(tbl_HR_Data[[#This Row],[Risk_Category]]="Critical",tbl_HR_Data[[#This Row],[MonthlyIncome]]*1.5,tbl_HR_Data[[#This Row],[Risk_Category]]="High",tbl_HR_Data[[#This Row],[MonthlyIncome]]*1.5),0)</f>
        <v>3502.5</v>
      </c>
    </row>
    <row r="1316" spans="1:44" x14ac:dyDescent="0.35">
      <c r="A1316" t="s">
        <v>629</v>
      </c>
      <c r="B1316">
        <v>45</v>
      </c>
      <c r="C1316" t="s">
        <v>1525</v>
      </c>
      <c r="D1316">
        <v>589</v>
      </c>
      <c r="E1316" t="s">
        <v>32</v>
      </c>
      <c r="F1316">
        <v>2</v>
      </c>
      <c r="G1316">
        <v>4</v>
      </c>
      <c r="H1316" t="s">
        <v>33</v>
      </c>
      <c r="I1316">
        <v>3</v>
      </c>
      <c r="J1316" t="s">
        <v>34</v>
      </c>
      <c r="K1316">
        <v>67</v>
      </c>
      <c r="L1316">
        <v>3</v>
      </c>
      <c r="M1316">
        <v>2</v>
      </c>
      <c r="N1316" t="s">
        <v>35</v>
      </c>
      <c r="O1316">
        <v>3</v>
      </c>
      <c r="P1316" t="s">
        <v>41</v>
      </c>
      <c r="Q1316">
        <v>5154</v>
      </c>
      <c r="R1316">
        <v>19665</v>
      </c>
      <c r="S1316">
        <v>4</v>
      </c>
      <c r="T1316">
        <v>0</v>
      </c>
      <c r="U1316" s="17">
        <v>0.22</v>
      </c>
      <c r="V1316">
        <v>4</v>
      </c>
      <c r="W1316">
        <v>2</v>
      </c>
      <c r="X1316">
        <v>2</v>
      </c>
      <c r="Y1316">
        <v>10</v>
      </c>
      <c r="Z1316">
        <v>3</v>
      </c>
      <c r="AA1316">
        <v>4</v>
      </c>
      <c r="AB1316">
        <v>8</v>
      </c>
      <c r="AC1316">
        <v>7</v>
      </c>
      <c r="AD1316">
        <v>5</v>
      </c>
      <c r="AE1316">
        <v>7</v>
      </c>
      <c r="AF1316">
        <v>0</v>
      </c>
      <c r="AG1316">
        <f>IF(tbl_HR_Data[[#This Row],[Gender]]="Male",1,0)</f>
        <v>0</v>
      </c>
      <c r="AH1316" cm="1">
        <f t="array" ref="AH1316">_xlfn.SWITCH(tbl_HR_Data[[#This Row],[BusinessTravel]], "Non-Travel", 0, "Travel_Rarely", 1, "Travel_Frequently", 2)</f>
        <v>0</v>
      </c>
      <c r="AI1316" cm="1">
        <f t="array" ref="AI1316">_xlfn.SWITCH(tbl_HR_Data[[#This Row],[MaritalStatus]],"Single",0,"Married",1,"Divorced",2)</f>
        <v>1</v>
      </c>
      <c r="AJ1316">
        <f>IF(tbl_HR_Data[[#This Row],[OverTime]]=1,1,0)</f>
        <v>0</v>
      </c>
      <c r="AK1316">
        <f>IF(tbl_HR_Data[[#This Row],[DistanceFromHome]]&gt;15,1,0)</f>
        <v>0</v>
      </c>
      <c r="AL1316">
        <f>IF(tbl_HR_Data[[#This Row],[JobSatisfaction]]&lt;=2,1,0)</f>
        <v>0</v>
      </c>
      <c r="AM1316">
        <f>IF(tbl_HR_Data[[#This Row],[MonthlyIncome]]&lt;$AT$2,1,0)</f>
        <v>0</v>
      </c>
      <c r="AN1316">
        <f>IF(tbl_HR_Data[[#This Row],[Travel_Code]]=2,1,0)</f>
        <v>0</v>
      </c>
      <c r="AO1316">
        <f>(tbl_HR_Data[[#This Row],[Flag_OT]] * Logic_Parameters!$B$2) +
 (tbl_HR_Data[[#This Row],[Flag_Travel]] * Logic_Parameters!$B$3) +
 (tbl_HR_Data[[#This Row],[Flag_Satisfaction]] * Logic_Parameters!$B$4) +
 (tbl_HR_Data[[#This Row],[Flag_Distance]]* Logic_Parameters!$B$5) +
 (tbl_HR_Data[[#This Row],[Flag_Income]] * Logic_Parameters!$B$6)</f>
        <v>0</v>
      </c>
      <c r="AP1316" s="15">
        <f>tbl_HR_Data[[#This Row],[Risk_Score_Raw]] / SUM(Logic_Parameters!$B$2:$B$6)</f>
        <v>0</v>
      </c>
      <c r="AQ1316" s="16" t="str" cm="1">
        <f t="array" ref="AQ1316">_xlfn.IFS(tbl_HR_Data[[#This Row],[Attrition_Risk_Percentage]] &gt;= 0.75, "Critical",tbl_HR_Data[ [#This Row],[Attrition_Risk_Percentage] ]&gt;= 0.5, "High",tbl_HR_Data[[#This Row],[Attrition_Risk_Percentage]] &gt;= 0.25, "Medium",TRUE, "Low")</f>
        <v>Low</v>
      </c>
      <c r="AR1316" s="16" cm="1">
        <f t="array" ref="AR1316">IFERROR(_xlfn.IFS(tbl_HR_Data[[#This Row],[Risk_Category]]="Critical",tbl_HR_Data[[#This Row],[MonthlyIncome]]*1.5,tbl_HR_Data[[#This Row],[Risk_Category]]="High",tbl_HR_Data[[#This Row],[MonthlyIncome]]*1.5),0)</f>
        <v>0</v>
      </c>
    </row>
    <row r="1317" spans="1:44" x14ac:dyDescent="0.35">
      <c r="A1317" t="s">
        <v>1469</v>
      </c>
      <c r="B1317">
        <v>36</v>
      </c>
      <c r="C1317" t="s">
        <v>31</v>
      </c>
      <c r="D1317">
        <v>430</v>
      </c>
      <c r="E1317" t="s">
        <v>38</v>
      </c>
      <c r="F1317">
        <v>2</v>
      </c>
      <c r="G1317">
        <v>4</v>
      </c>
      <c r="H1317" t="s">
        <v>42</v>
      </c>
      <c r="I1317">
        <v>4</v>
      </c>
      <c r="J1317" t="s">
        <v>34</v>
      </c>
      <c r="K1317">
        <v>73</v>
      </c>
      <c r="L1317">
        <v>3</v>
      </c>
      <c r="M1317">
        <v>2</v>
      </c>
      <c r="N1317" t="s">
        <v>40</v>
      </c>
      <c r="O1317">
        <v>2</v>
      </c>
      <c r="P1317" t="s">
        <v>41</v>
      </c>
      <c r="Q1317">
        <v>6962</v>
      </c>
      <c r="R1317">
        <v>19573</v>
      </c>
      <c r="S1317">
        <v>4</v>
      </c>
      <c r="T1317">
        <v>1</v>
      </c>
      <c r="U1317" s="17">
        <v>0.22</v>
      </c>
      <c r="V1317">
        <v>4</v>
      </c>
      <c r="W1317">
        <v>4</v>
      </c>
      <c r="X1317">
        <v>1</v>
      </c>
      <c r="Y1317">
        <v>15</v>
      </c>
      <c r="Z1317">
        <v>2</v>
      </c>
      <c r="AA1317">
        <v>3</v>
      </c>
      <c r="AB1317">
        <v>1</v>
      </c>
      <c r="AC1317">
        <v>0</v>
      </c>
      <c r="AD1317">
        <v>0</v>
      </c>
      <c r="AE1317">
        <v>0</v>
      </c>
      <c r="AF1317">
        <v>0</v>
      </c>
      <c r="AG1317">
        <f>IF(tbl_HR_Data[[#This Row],[Gender]]="Male",1,0)</f>
        <v>0</v>
      </c>
      <c r="AH1317" cm="1">
        <f t="array" ref="AH1317">_xlfn.SWITCH(tbl_HR_Data[[#This Row],[BusinessTravel]], "Non-Travel", 0, "Travel_Rarely", 1, "Travel_Frequently", 2)</f>
        <v>1</v>
      </c>
      <c r="AI1317" cm="1">
        <f t="array" ref="AI1317">_xlfn.SWITCH(tbl_HR_Data[[#This Row],[MaritalStatus]],"Single",0,"Married",1,"Divorced",2)</f>
        <v>1</v>
      </c>
      <c r="AJ1317">
        <f>IF(tbl_HR_Data[[#This Row],[OverTime]]=1,1,0)</f>
        <v>1</v>
      </c>
      <c r="AK1317">
        <f>IF(tbl_HR_Data[[#This Row],[DistanceFromHome]]&gt;15,1,0)</f>
        <v>0</v>
      </c>
      <c r="AL1317">
        <f>IF(tbl_HR_Data[[#This Row],[JobSatisfaction]]&lt;=2,1,0)</f>
        <v>1</v>
      </c>
      <c r="AM1317">
        <f>IF(tbl_HR_Data[[#This Row],[MonthlyIncome]]&lt;$AT$2,1,0)</f>
        <v>0</v>
      </c>
      <c r="AN1317">
        <f>IF(tbl_HR_Data[[#This Row],[Travel_Code]]=2,1,0)</f>
        <v>0</v>
      </c>
      <c r="AO1317">
        <f>(tbl_HR_Data[[#This Row],[Flag_OT]] * Logic_Parameters!$B$2) +
 (tbl_HR_Data[[#This Row],[Flag_Travel]] * Logic_Parameters!$B$3) +
 (tbl_HR_Data[[#This Row],[Flag_Satisfaction]] * Logic_Parameters!$B$4) +
 (tbl_HR_Data[[#This Row],[Flag_Distance]]* Logic_Parameters!$B$5) +
 (tbl_HR_Data[[#This Row],[Flag_Income]] * Logic_Parameters!$B$6)</f>
        <v>14.204533129978131</v>
      </c>
      <c r="AP1317" s="15">
        <f>tbl_HR_Data[[#This Row],[Risk_Score_Raw]] / SUM(Logic_Parameters!$B$2:$B$6)</f>
        <v>0.48938186491297625</v>
      </c>
      <c r="AQ1317" s="16" t="str" cm="1">
        <f t="array" ref="AQ1317">_xlfn.IFS(tbl_HR_Data[[#This Row],[Attrition_Risk_Percentage]] &gt;= 0.75, "Critical",tbl_HR_Data[ [#This Row],[Attrition_Risk_Percentage] ]&gt;= 0.5, "High",tbl_HR_Data[[#This Row],[Attrition_Risk_Percentage]] &gt;= 0.25, "Medium",TRUE, "Low")</f>
        <v>Medium</v>
      </c>
      <c r="AR1317" s="16" cm="1">
        <f t="array" ref="AR1317">IFERROR(_xlfn.IFS(tbl_HR_Data[[#This Row],[Risk_Category]]="Critical",tbl_HR_Data[[#This Row],[MonthlyIncome]]*1.5,tbl_HR_Data[[#This Row],[Risk_Category]]="High",tbl_HR_Data[[#This Row],[MonthlyIncome]]*1.5),0)</f>
        <v>0</v>
      </c>
    </row>
    <row r="1318" spans="1:44" x14ac:dyDescent="0.35">
      <c r="A1318" t="s">
        <v>881</v>
      </c>
      <c r="B1318">
        <v>43</v>
      </c>
      <c r="C1318" t="s">
        <v>37</v>
      </c>
      <c r="D1318">
        <v>1422</v>
      </c>
      <c r="E1318" t="s">
        <v>32</v>
      </c>
      <c r="F1318">
        <v>2</v>
      </c>
      <c r="G1318">
        <v>4</v>
      </c>
      <c r="H1318" t="s">
        <v>33</v>
      </c>
      <c r="I1318">
        <v>1</v>
      </c>
      <c r="J1318" t="s">
        <v>39</v>
      </c>
      <c r="K1318">
        <v>92</v>
      </c>
      <c r="L1318">
        <v>3</v>
      </c>
      <c r="M1318">
        <v>2</v>
      </c>
      <c r="N1318" t="s">
        <v>35</v>
      </c>
      <c r="O1318">
        <v>4</v>
      </c>
      <c r="P1318" t="s">
        <v>41</v>
      </c>
      <c r="Q1318">
        <v>5675</v>
      </c>
      <c r="R1318">
        <v>19246</v>
      </c>
      <c r="S1318">
        <v>1</v>
      </c>
      <c r="T1318">
        <v>0</v>
      </c>
      <c r="U1318" s="17">
        <v>0.2</v>
      </c>
      <c r="V1318">
        <v>4</v>
      </c>
      <c r="W1318">
        <v>3</v>
      </c>
      <c r="X1318">
        <v>1</v>
      </c>
      <c r="Y1318">
        <v>7</v>
      </c>
      <c r="Z1318">
        <v>5</v>
      </c>
      <c r="AA1318">
        <v>3</v>
      </c>
      <c r="AB1318">
        <v>7</v>
      </c>
      <c r="AC1318">
        <v>7</v>
      </c>
      <c r="AD1318">
        <v>7</v>
      </c>
      <c r="AE1318">
        <v>7</v>
      </c>
      <c r="AF1318">
        <v>0</v>
      </c>
      <c r="AG1318">
        <f>IF(tbl_HR_Data[[#This Row],[Gender]]="Male",1,0)</f>
        <v>1</v>
      </c>
      <c r="AH1318" cm="1">
        <f t="array" ref="AH1318">_xlfn.SWITCH(tbl_HR_Data[[#This Row],[BusinessTravel]], "Non-Travel", 0, "Travel_Rarely", 1, "Travel_Frequently", 2)</f>
        <v>2</v>
      </c>
      <c r="AI1318" cm="1">
        <f t="array" ref="AI1318">_xlfn.SWITCH(tbl_HR_Data[[#This Row],[MaritalStatus]],"Single",0,"Married",1,"Divorced",2)</f>
        <v>1</v>
      </c>
      <c r="AJ1318">
        <f>IF(tbl_HR_Data[[#This Row],[OverTime]]=1,1,0)</f>
        <v>0</v>
      </c>
      <c r="AK1318">
        <f>IF(tbl_HR_Data[[#This Row],[DistanceFromHome]]&gt;15,1,0)</f>
        <v>0</v>
      </c>
      <c r="AL1318">
        <f>IF(tbl_HR_Data[[#This Row],[JobSatisfaction]]&lt;=2,1,0)</f>
        <v>0</v>
      </c>
      <c r="AM1318">
        <f>IF(tbl_HR_Data[[#This Row],[MonthlyIncome]]&lt;$AT$2,1,0)</f>
        <v>0</v>
      </c>
      <c r="AN1318">
        <f>IF(tbl_HR_Data[[#This Row],[Travel_Code]]=2,1,0)</f>
        <v>1</v>
      </c>
      <c r="AO1318">
        <f>(tbl_HR_Data[[#This Row],[Flag_OT]] * Logic_Parameters!$B$2) +
 (tbl_HR_Data[[#This Row],[Flag_Travel]] * Logic_Parameters!$B$3) +
 (tbl_HR_Data[[#This Row],[Flag_Satisfaction]] * Logic_Parameters!$B$4) +
 (tbl_HR_Data[[#This Row],[Flag_Distance]]* Logic_Parameters!$B$5) +
 (tbl_HR_Data[[#This Row],[Flag_Income]] * Logic_Parameters!$B$6)</f>
        <v>5.1603899804901765</v>
      </c>
      <c r="AP1318" s="15">
        <f>tbl_HR_Data[[#This Row],[Risk_Score_Raw]] / SUM(Logic_Parameters!$B$2:$B$6)</f>
        <v>0.17778840383009531</v>
      </c>
      <c r="AQ1318" s="16" t="str" cm="1">
        <f t="array" ref="AQ1318">_xlfn.IFS(tbl_HR_Data[[#This Row],[Attrition_Risk_Percentage]] &gt;= 0.75, "Critical",tbl_HR_Data[ [#This Row],[Attrition_Risk_Percentage] ]&gt;= 0.5, "High",tbl_HR_Data[[#This Row],[Attrition_Risk_Percentage]] &gt;= 0.25, "Medium",TRUE, "Low")</f>
        <v>Low</v>
      </c>
      <c r="AR1318" s="16" cm="1">
        <f t="array" ref="AR1318">IFERROR(_xlfn.IFS(tbl_HR_Data[[#This Row],[Risk_Category]]="Critical",tbl_HR_Data[[#This Row],[MonthlyIncome]]*1.5,tbl_HR_Data[[#This Row],[Risk_Category]]="High",tbl_HR_Data[[#This Row],[MonthlyIncome]]*1.5),0)</f>
        <v>0</v>
      </c>
    </row>
    <row r="1319" spans="1:44" x14ac:dyDescent="0.35">
      <c r="A1319" t="s">
        <v>1202</v>
      </c>
      <c r="B1319">
        <v>27</v>
      </c>
      <c r="C1319" t="s">
        <v>37</v>
      </c>
      <c r="D1319">
        <v>1297</v>
      </c>
      <c r="E1319" t="s">
        <v>38</v>
      </c>
      <c r="F1319">
        <v>5</v>
      </c>
      <c r="G1319">
        <v>2</v>
      </c>
      <c r="H1319" t="s">
        <v>33</v>
      </c>
      <c r="I1319">
        <v>4</v>
      </c>
      <c r="J1319" t="s">
        <v>34</v>
      </c>
      <c r="K1319">
        <v>53</v>
      </c>
      <c r="L1319">
        <v>3</v>
      </c>
      <c r="M1319">
        <v>1</v>
      </c>
      <c r="N1319" t="s">
        <v>43</v>
      </c>
      <c r="O1319">
        <v>4</v>
      </c>
      <c r="P1319" t="s">
        <v>36</v>
      </c>
      <c r="Q1319">
        <v>2379</v>
      </c>
      <c r="R1319">
        <v>19826</v>
      </c>
      <c r="S1319">
        <v>0</v>
      </c>
      <c r="T1319">
        <v>1</v>
      </c>
      <c r="U1319" s="17">
        <v>0.14000000000000001</v>
      </c>
      <c r="V1319">
        <v>3</v>
      </c>
      <c r="W1319">
        <v>3</v>
      </c>
      <c r="X1319">
        <v>0</v>
      </c>
      <c r="Y1319">
        <v>6</v>
      </c>
      <c r="Z1319">
        <v>3</v>
      </c>
      <c r="AA1319">
        <v>2</v>
      </c>
      <c r="AB1319">
        <v>5</v>
      </c>
      <c r="AC1319">
        <v>4</v>
      </c>
      <c r="AD1319">
        <v>0</v>
      </c>
      <c r="AE1319">
        <v>2</v>
      </c>
      <c r="AF1319">
        <v>0</v>
      </c>
      <c r="AG1319">
        <f>IF(tbl_HR_Data[[#This Row],[Gender]]="Male",1,0)</f>
        <v>0</v>
      </c>
      <c r="AH1319" cm="1">
        <f t="array" ref="AH1319">_xlfn.SWITCH(tbl_HR_Data[[#This Row],[BusinessTravel]], "Non-Travel", 0, "Travel_Rarely", 1, "Travel_Frequently", 2)</f>
        <v>2</v>
      </c>
      <c r="AI1319" cm="1">
        <f t="array" ref="AI1319">_xlfn.SWITCH(tbl_HR_Data[[#This Row],[MaritalStatus]],"Single",0,"Married",1,"Divorced",2)</f>
        <v>0</v>
      </c>
      <c r="AJ1319">
        <f>IF(tbl_HR_Data[[#This Row],[OverTime]]=1,1,0)</f>
        <v>1</v>
      </c>
      <c r="AK1319">
        <f>IF(tbl_HR_Data[[#This Row],[DistanceFromHome]]&gt;15,1,0)</f>
        <v>0</v>
      </c>
      <c r="AL1319">
        <f>IF(tbl_HR_Data[[#This Row],[JobSatisfaction]]&lt;=2,1,0)</f>
        <v>0</v>
      </c>
      <c r="AM1319">
        <f>IF(tbl_HR_Data[[#This Row],[MonthlyIncome]]&lt;$AT$2,1,0)</f>
        <v>1</v>
      </c>
      <c r="AN1319">
        <f>IF(tbl_HR_Data[[#This Row],[Travel_Code]]=2,1,0)</f>
        <v>1</v>
      </c>
      <c r="AO1319">
        <f>(tbl_HR_Data[[#This Row],[Flag_OT]] * Logic_Parameters!$B$2) +
 (tbl_HR_Data[[#This Row],[Flag_Travel]] * Logic_Parameters!$B$3) +
 (tbl_HR_Data[[#This Row],[Flag_Satisfaction]] * Logic_Parameters!$B$4) +
 (tbl_HR_Data[[#This Row],[Flag_Distance]]* Logic_Parameters!$B$5) +
 (tbl_HR_Data[[#This Row],[Flag_Income]] * Logic_Parameters!$B$6)</f>
        <v>21.654818917911005</v>
      </c>
      <c r="AP1319" s="15">
        <f>tbl_HR_Data[[#This Row],[Risk_Score_Raw]] / SUM(Logic_Parameters!$B$2:$B$6)</f>
        <v>0.74606293423572745</v>
      </c>
      <c r="AQ1319" s="16" t="str" cm="1">
        <f t="array" ref="AQ1319">_xlfn.IFS(tbl_HR_Data[[#This Row],[Attrition_Risk_Percentage]] &gt;= 0.75, "Critical",tbl_HR_Data[ [#This Row],[Attrition_Risk_Percentage] ]&gt;= 0.5, "High",tbl_HR_Data[[#This Row],[Attrition_Risk_Percentage]] &gt;= 0.25, "Medium",TRUE, "Low")</f>
        <v>High</v>
      </c>
      <c r="AR1319" s="16" cm="1">
        <f t="array" ref="AR1319">IFERROR(_xlfn.IFS(tbl_HR_Data[[#This Row],[Risk_Category]]="Critical",tbl_HR_Data[[#This Row],[MonthlyIncome]]*1.5,tbl_HR_Data[[#This Row],[Risk_Category]]="High",tbl_HR_Data[[#This Row],[MonthlyIncome]]*1.5),0)</f>
        <v>3568.5</v>
      </c>
    </row>
    <row r="1320" spans="1:44" x14ac:dyDescent="0.35">
      <c r="A1320" t="s">
        <v>349</v>
      </c>
      <c r="B1320">
        <v>29</v>
      </c>
      <c r="C1320" t="s">
        <v>37</v>
      </c>
      <c r="D1320">
        <v>574</v>
      </c>
      <c r="E1320" t="s">
        <v>38</v>
      </c>
      <c r="F1320">
        <v>20</v>
      </c>
      <c r="G1320">
        <v>1</v>
      </c>
      <c r="H1320" t="s">
        <v>44</v>
      </c>
      <c r="I1320">
        <v>4</v>
      </c>
      <c r="J1320" t="s">
        <v>39</v>
      </c>
      <c r="K1320">
        <v>40</v>
      </c>
      <c r="L1320">
        <v>3</v>
      </c>
      <c r="M1320">
        <v>1</v>
      </c>
      <c r="N1320" t="s">
        <v>43</v>
      </c>
      <c r="O1320">
        <v>4</v>
      </c>
      <c r="P1320" t="s">
        <v>41</v>
      </c>
      <c r="Q1320">
        <v>3812</v>
      </c>
      <c r="R1320">
        <v>7003</v>
      </c>
      <c r="S1320">
        <v>1</v>
      </c>
      <c r="T1320">
        <v>0</v>
      </c>
      <c r="U1320" s="17">
        <v>0.13</v>
      </c>
      <c r="V1320">
        <v>3</v>
      </c>
      <c r="W1320">
        <v>2</v>
      </c>
      <c r="X1320">
        <v>0</v>
      </c>
      <c r="Y1320">
        <v>11</v>
      </c>
      <c r="Z1320">
        <v>3</v>
      </c>
      <c r="AA1320">
        <v>4</v>
      </c>
      <c r="AB1320">
        <v>11</v>
      </c>
      <c r="AC1320">
        <v>8</v>
      </c>
      <c r="AD1320">
        <v>3</v>
      </c>
      <c r="AE1320">
        <v>10</v>
      </c>
      <c r="AF1320">
        <v>0</v>
      </c>
      <c r="AG1320">
        <f>IF(tbl_HR_Data[[#This Row],[Gender]]="Male",1,0)</f>
        <v>1</v>
      </c>
      <c r="AH1320" cm="1">
        <f t="array" ref="AH1320">_xlfn.SWITCH(tbl_HR_Data[[#This Row],[BusinessTravel]], "Non-Travel", 0, "Travel_Rarely", 1, "Travel_Frequently", 2)</f>
        <v>2</v>
      </c>
      <c r="AI1320" cm="1">
        <f t="array" ref="AI1320">_xlfn.SWITCH(tbl_HR_Data[[#This Row],[MaritalStatus]],"Single",0,"Married",1,"Divorced",2)</f>
        <v>1</v>
      </c>
      <c r="AJ1320">
        <f>IF(tbl_HR_Data[[#This Row],[OverTime]]=1,1,0)</f>
        <v>0</v>
      </c>
      <c r="AK1320">
        <f>IF(tbl_HR_Data[[#This Row],[DistanceFromHome]]&gt;15,1,0)</f>
        <v>1</v>
      </c>
      <c r="AL1320">
        <f>IF(tbl_HR_Data[[#This Row],[JobSatisfaction]]&lt;=2,1,0)</f>
        <v>0</v>
      </c>
      <c r="AM1320">
        <f>IF(tbl_HR_Data[[#This Row],[MonthlyIncome]]&lt;$AT$2,1,0)</f>
        <v>1</v>
      </c>
      <c r="AN1320">
        <f>IF(tbl_HR_Data[[#This Row],[Travel_Code]]=2,1,0)</f>
        <v>1</v>
      </c>
      <c r="AO1320">
        <f>(tbl_HR_Data[[#This Row],[Flag_OT]] * Logic_Parameters!$B$2) +
 (tbl_HR_Data[[#This Row],[Flag_Travel]] * Logic_Parameters!$B$3) +
 (tbl_HR_Data[[#This Row],[Flag_Satisfaction]] * Logic_Parameters!$B$4) +
 (tbl_HR_Data[[#This Row],[Flag_Distance]]* Logic_Parameters!$B$5) +
 (tbl_HR_Data[[#This Row],[Flag_Income]] * Logic_Parameters!$B$6)</f>
        <v>14.820925613786383</v>
      </c>
      <c r="AP1320" s="15">
        <f>tbl_HR_Data[[#This Row],[Risk_Score_Raw]] / SUM(Logic_Parameters!$B$2:$B$6)</f>
        <v>0.51061813508702369</v>
      </c>
      <c r="AQ1320" s="16" t="str" cm="1">
        <f t="array" ref="AQ1320">_xlfn.IFS(tbl_HR_Data[[#This Row],[Attrition_Risk_Percentage]] &gt;= 0.75, "Critical",tbl_HR_Data[ [#This Row],[Attrition_Risk_Percentage] ]&gt;= 0.5, "High",tbl_HR_Data[[#This Row],[Attrition_Risk_Percentage]] &gt;= 0.25, "Medium",TRUE, "Low")</f>
        <v>High</v>
      </c>
      <c r="AR1320" s="16" cm="1">
        <f t="array" ref="AR1320">IFERROR(_xlfn.IFS(tbl_HR_Data[[#This Row],[Risk_Category]]="Critical",tbl_HR_Data[[#This Row],[MonthlyIncome]]*1.5,tbl_HR_Data[[#This Row],[Risk_Category]]="High",tbl_HR_Data[[#This Row],[MonthlyIncome]]*1.5),0)</f>
        <v>5718</v>
      </c>
    </row>
    <row r="1321" spans="1:44" x14ac:dyDescent="0.35">
      <c r="A1321" t="s">
        <v>222</v>
      </c>
      <c r="B1321">
        <v>32</v>
      </c>
      <c r="C1321" t="s">
        <v>37</v>
      </c>
      <c r="D1321">
        <v>1318</v>
      </c>
      <c r="E1321" t="s">
        <v>32</v>
      </c>
      <c r="F1321">
        <v>10</v>
      </c>
      <c r="G1321">
        <v>4</v>
      </c>
      <c r="H1321" t="s">
        <v>51</v>
      </c>
      <c r="I1321">
        <v>4</v>
      </c>
      <c r="J1321" t="s">
        <v>39</v>
      </c>
      <c r="K1321">
        <v>79</v>
      </c>
      <c r="L1321">
        <v>3</v>
      </c>
      <c r="M1321">
        <v>2</v>
      </c>
      <c r="N1321" t="s">
        <v>35</v>
      </c>
      <c r="O1321">
        <v>4</v>
      </c>
      <c r="P1321" t="s">
        <v>36</v>
      </c>
      <c r="Q1321">
        <v>4648</v>
      </c>
      <c r="R1321">
        <v>26075</v>
      </c>
      <c r="S1321">
        <v>8</v>
      </c>
      <c r="T1321">
        <v>0</v>
      </c>
      <c r="U1321" s="17">
        <v>0.13</v>
      </c>
      <c r="V1321">
        <v>3</v>
      </c>
      <c r="W1321">
        <v>3</v>
      </c>
      <c r="X1321">
        <v>0</v>
      </c>
      <c r="Y1321">
        <v>4</v>
      </c>
      <c r="Z1321">
        <v>2</v>
      </c>
      <c r="AA1321">
        <v>4</v>
      </c>
      <c r="AB1321">
        <v>0</v>
      </c>
      <c r="AC1321">
        <v>0</v>
      </c>
      <c r="AD1321">
        <v>0</v>
      </c>
      <c r="AE1321">
        <v>0</v>
      </c>
      <c r="AF1321">
        <v>0</v>
      </c>
      <c r="AG1321">
        <f>IF(tbl_HR_Data[[#This Row],[Gender]]="Male",1,0)</f>
        <v>1</v>
      </c>
      <c r="AH1321" cm="1">
        <f t="array" ref="AH1321">_xlfn.SWITCH(tbl_HR_Data[[#This Row],[BusinessTravel]], "Non-Travel", 0, "Travel_Rarely", 1, "Travel_Frequently", 2)</f>
        <v>2</v>
      </c>
      <c r="AI1321" cm="1">
        <f t="array" ref="AI1321">_xlfn.SWITCH(tbl_HR_Data[[#This Row],[MaritalStatus]],"Single",0,"Married",1,"Divorced",2)</f>
        <v>0</v>
      </c>
      <c r="AJ1321">
        <f>IF(tbl_HR_Data[[#This Row],[OverTime]]=1,1,0)</f>
        <v>0</v>
      </c>
      <c r="AK1321">
        <f>IF(tbl_HR_Data[[#This Row],[DistanceFromHome]]&gt;15,1,0)</f>
        <v>0</v>
      </c>
      <c r="AL1321">
        <f>IF(tbl_HR_Data[[#This Row],[JobSatisfaction]]&lt;=2,1,0)</f>
        <v>0</v>
      </c>
      <c r="AM1321">
        <f>IF(tbl_HR_Data[[#This Row],[MonthlyIncome]]&lt;$AT$2,1,0)</f>
        <v>1</v>
      </c>
      <c r="AN1321">
        <f>IF(tbl_HR_Data[[#This Row],[Travel_Code]]=2,1,0)</f>
        <v>1</v>
      </c>
      <c r="AO1321">
        <f>(tbl_HR_Data[[#This Row],[Flag_OT]] * Logic_Parameters!$B$2) +
 (tbl_HR_Data[[#This Row],[Flag_Travel]] * Logic_Parameters!$B$3) +
 (tbl_HR_Data[[#This Row],[Flag_Satisfaction]] * Logic_Parameters!$B$4) +
 (tbl_HR_Data[[#This Row],[Flag_Distance]]* Logic_Parameters!$B$5) +
 (tbl_HR_Data[[#This Row],[Flag_Income]] * Logic_Parameters!$B$6)</f>
        <v>11.654818917911005</v>
      </c>
      <c r="AP1321" s="15">
        <f>tbl_HR_Data[[#This Row],[Risk_Score_Raw]] / SUM(Logic_Parameters!$B$2:$B$6)</f>
        <v>0.40153780240992015</v>
      </c>
      <c r="AQ1321" s="16" t="str" cm="1">
        <f t="array" ref="AQ1321">_xlfn.IFS(tbl_HR_Data[[#This Row],[Attrition_Risk_Percentage]] &gt;= 0.75, "Critical",tbl_HR_Data[ [#This Row],[Attrition_Risk_Percentage] ]&gt;= 0.5, "High",tbl_HR_Data[[#This Row],[Attrition_Risk_Percentage]] &gt;= 0.25, "Medium",TRUE, "Low")</f>
        <v>Medium</v>
      </c>
      <c r="AR1321" s="16" cm="1">
        <f t="array" ref="AR1321">IFERROR(_xlfn.IFS(tbl_HR_Data[[#This Row],[Risk_Category]]="Critical",tbl_HR_Data[[#This Row],[MonthlyIncome]]*1.5,tbl_HR_Data[[#This Row],[Risk_Category]]="High",tbl_HR_Data[[#This Row],[MonthlyIncome]]*1.5),0)</f>
        <v>0</v>
      </c>
    </row>
    <row r="1322" spans="1:44" x14ac:dyDescent="0.35">
      <c r="A1322" t="s">
        <v>564</v>
      </c>
      <c r="B1322">
        <v>42</v>
      </c>
      <c r="C1322" t="s">
        <v>1525</v>
      </c>
      <c r="D1322">
        <v>355</v>
      </c>
      <c r="E1322" t="s">
        <v>38</v>
      </c>
      <c r="F1322">
        <v>10</v>
      </c>
      <c r="G1322">
        <v>4</v>
      </c>
      <c r="H1322" t="s">
        <v>52</v>
      </c>
      <c r="I1322">
        <v>3</v>
      </c>
      <c r="J1322" t="s">
        <v>39</v>
      </c>
      <c r="K1322">
        <v>38</v>
      </c>
      <c r="L1322">
        <v>3</v>
      </c>
      <c r="M1322">
        <v>1</v>
      </c>
      <c r="N1322" t="s">
        <v>40</v>
      </c>
      <c r="O1322">
        <v>3</v>
      </c>
      <c r="P1322" t="s">
        <v>41</v>
      </c>
      <c r="Q1322">
        <v>2936</v>
      </c>
      <c r="R1322">
        <v>6161</v>
      </c>
      <c r="S1322">
        <v>3</v>
      </c>
      <c r="T1322">
        <v>0</v>
      </c>
      <c r="U1322" s="17">
        <v>0.22</v>
      </c>
      <c r="V1322">
        <v>4</v>
      </c>
      <c r="W1322">
        <v>2</v>
      </c>
      <c r="X1322">
        <v>2</v>
      </c>
      <c r="Y1322">
        <v>10</v>
      </c>
      <c r="Z1322">
        <v>1</v>
      </c>
      <c r="AA1322">
        <v>2</v>
      </c>
      <c r="AB1322">
        <v>6</v>
      </c>
      <c r="AC1322">
        <v>3</v>
      </c>
      <c r="AD1322">
        <v>3</v>
      </c>
      <c r="AE1322">
        <v>3</v>
      </c>
      <c r="AF1322">
        <v>0</v>
      </c>
      <c r="AG1322">
        <f>IF(tbl_HR_Data[[#This Row],[Gender]]="Male",1,0)</f>
        <v>1</v>
      </c>
      <c r="AH1322" cm="1">
        <f t="array" ref="AH1322">_xlfn.SWITCH(tbl_HR_Data[[#This Row],[BusinessTravel]], "Non-Travel", 0, "Travel_Rarely", 1, "Travel_Frequently", 2)</f>
        <v>0</v>
      </c>
      <c r="AI1322" cm="1">
        <f t="array" ref="AI1322">_xlfn.SWITCH(tbl_HR_Data[[#This Row],[MaritalStatus]],"Single",0,"Married",1,"Divorced",2)</f>
        <v>1</v>
      </c>
      <c r="AJ1322">
        <f>IF(tbl_HR_Data[[#This Row],[OverTime]]=1,1,0)</f>
        <v>0</v>
      </c>
      <c r="AK1322">
        <f>IF(tbl_HR_Data[[#This Row],[DistanceFromHome]]&gt;15,1,0)</f>
        <v>0</v>
      </c>
      <c r="AL1322">
        <f>IF(tbl_HR_Data[[#This Row],[JobSatisfaction]]&lt;=2,1,0)</f>
        <v>0</v>
      </c>
      <c r="AM1322">
        <f>IF(tbl_HR_Data[[#This Row],[MonthlyIncome]]&lt;$AT$2,1,0)</f>
        <v>1</v>
      </c>
      <c r="AN1322">
        <f>IF(tbl_HR_Data[[#This Row],[Travel_Code]]=2,1,0)</f>
        <v>0</v>
      </c>
      <c r="AO1322">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322" s="15">
        <f>tbl_HR_Data[[#This Row],[Risk_Score_Raw]] / SUM(Logic_Parameters!$B$2:$B$6)</f>
        <v>0.22374939857982484</v>
      </c>
      <c r="AQ1322" s="16" t="str" cm="1">
        <f t="array" ref="AQ1322">_xlfn.IFS(tbl_HR_Data[[#This Row],[Attrition_Risk_Percentage]] &gt;= 0.75, "Critical",tbl_HR_Data[ [#This Row],[Attrition_Risk_Percentage] ]&gt;= 0.5, "High",tbl_HR_Data[[#This Row],[Attrition_Risk_Percentage]] &gt;= 0.25, "Medium",TRUE, "Low")</f>
        <v>Low</v>
      </c>
      <c r="AR1322" s="16" cm="1">
        <f t="array" ref="AR1322">IFERROR(_xlfn.IFS(tbl_HR_Data[[#This Row],[Risk_Category]]="Critical",tbl_HR_Data[[#This Row],[MonthlyIncome]]*1.5,tbl_HR_Data[[#This Row],[Risk_Category]]="High",tbl_HR_Data[[#This Row],[MonthlyIncome]]*1.5),0)</f>
        <v>0</v>
      </c>
    </row>
    <row r="1323" spans="1:44" x14ac:dyDescent="0.35">
      <c r="A1323" t="s">
        <v>1015</v>
      </c>
      <c r="B1323">
        <v>47</v>
      </c>
      <c r="C1323" t="s">
        <v>31</v>
      </c>
      <c r="D1323">
        <v>207</v>
      </c>
      <c r="E1323" t="s">
        <v>38</v>
      </c>
      <c r="F1323">
        <v>9</v>
      </c>
      <c r="G1323">
        <v>4</v>
      </c>
      <c r="H1323" t="s">
        <v>33</v>
      </c>
      <c r="I1323">
        <v>2</v>
      </c>
      <c r="J1323" t="s">
        <v>34</v>
      </c>
      <c r="K1323">
        <v>64</v>
      </c>
      <c r="L1323">
        <v>3</v>
      </c>
      <c r="M1323">
        <v>1</v>
      </c>
      <c r="N1323" t="s">
        <v>43</v>
      </c>
      <c r="O1323">
        <v>3</v>
      </c>
      <c r="P1323" t="s">
        <v>36</v>
      </c>
      <c r="Q1323">
        <v>2105</v>
      </c>
      <c r="R1323">
        <v>5411</v>
      </c>
      <c r="S1323">
        <v>4</v>
      </c>
      <c r="T1323">
        <v>0</v>
      </c>
      <c r="U1323" s="17">
        <v>0.12</v>
      </c>
      <c r="V1323">
        <v>3</v>
      </c>
      <c r="W1323">
        <v>3</v>
      </c>
      <c r="X1323">
        <v>0</v>
      </c>
      <c r="Y1323">
        <v>7</v>
      </c>
      <c r="Z1323">
        <v>2</v>
      </c>
      <c r="AA1323">
        <v>3</v>
      </c>
      <c r="AB1323">
        <v>2</v>
      </c>
      <c r="AC1323">
        <v>2</v>
      </c>
      <c r="AD1323">
        <v>2</v>
      </c>
      <c r="AE1323">
        <v>0</v>
      </c>
      <c r="AF1323">
        <v>0</v>
      </c>
      <c r="AG1323">
        <f>IF(tbl_HR_Data[[#This Row],[Gender]]="Male",1,0)</f>
        <v>0</v>
      </c>
      <c r="AH1323" cm="1">
        <f t="array" ref="AH1323">_xlfn.SWITCH(tbl_HR_Data[[#This Row],[BusinessTravel]], "Non-Travel", 0, "Travel_Rarely", 1, "Travel_Frequently", 2)</f>
        <v>1</v>
      </c>
      <c r="AI1323" cm="1">
        <f t="array" ref="AI1323">_xlfn.SWITCH(tbl_HR_Data[[#This Row],[MaritalStatus]],"Single",0,"Married",1,"Divorced",2)</f>
        <v>0</v>
      </c>
      <c r="AJ1323">
        <f>IF(tbl_HR_Data[[#This Row],[OverTime]]=1,1,0)</f>
        <v>0</v>
      </c>
      <c r="AK1323">
        <f>IF(tbl_HR_Data[[#This Row],[DistanceFromHome]]&gt;15,1,0)</f>
        <v>0</v>
      </c>
      <c r="AL1323">
        <f>IF(tbl_HR_Data[[#This Row],[JobSatisfaction]]&lt;=2,1,0)</f>
        <v>0</v>
      </c>
      <c r="AM1323">
        <f>IF(tbl_HR_Data[[#This Row],[MonthlyIncome]]&lt;$AT$2,1,0)</f>
        <v>1</v>
      </c>
      <c r="AN1323">
        <f>IF(tbl_HR_Data[[#This Row],[Travel_Code]]=2,1,0)</f>
        <v>0</v>
      </c>
      <c r="AO1323">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323" s="15">
        <f>tbl_HR_Data[[#This Row],[Risk_Score_Raw]] / SUM(Logic_Parameters!$B$2:$B$6)</f>
        <v>0.22374939857982484</v>
      </c>
      <c r="AQ1323" s="16" t="str" cm="1">
        <f t="array" ref="AQ1323">_xlfn.IFS(tbl_HR_Data[[#This Row],[Attrition_Risk_Percentage]] &gt;= 0.75, "Critical",tbl_HR_Data[ [#This Row],[Attrition_Risk_Percentage] ]&gt;= 0.5, "High",tbl_HR_Data[[#This Row],[Attrition_Risk_Percentage]] &gt;= 0.25, "Medium",TRUE, "Low")</f>
        <v>Low</v>
      </c>
      <c r="AR1323" s="16" cm="1">
        <f t="array" ref="AR1323">IFERROR(_xlfn.IFS(tbl_HR_Data[[#This Row],[Risk_Category]]="Critical",tbl_HR_Data[[#This Row],[MonthlyIncome]]*1.5,tbl_HR_Data[[#This Row],[Risk_Category]]="High",tbl_HR_Data[[#This Row],[MonthlyIncome]]*1.5),0)</f>
        <v>0</v>
      </c>
    </row>
    <row r="1324" spans="1:44" x14ac:dyDescent="0.35">
      <c r="A1324" t="s">
        <v>481</v>
      </c>
      <c r="B1324">
        <v>46</v>
      </c>
      <c r="C1324" t="s">
        <v>31</v>
      </c>
      <c r="D1324">
        <v>706</v>
      </c>
      <c r="E1324" t="s">
        <v>38</v>
      </c>
      <c r="F1324">
        <v>2</v>
      </c>
      <c r="G1324">
        <v>2</v>
      </c>
      <c r="H1324" t="s">
        <v>33</v>
      </c>
      <c r="I1324">
        <v>4</v>
      </c>
      <c r="J1324" t="s">
        <v>39</v>
      </c>
      <c r="K1324">
        <v>82</v>
      </c>
      <c r="L1324">
        <v>3</v>
      </c>
      <c r="M1324">
        <v>3</v>
      </c>
      <c r="N1324" t="s">
        <v>46</v>
      </c>
      <c r="O1324">
        <v>4</v>
      </c>
      <c r="P1324" t="s">
        <v>45</v>
      </c>
      <c r="Q1324">
        <v>8578</v>
      </c>
      <c r="R1324">
        <v>19989</v>
      </c>
      <c r="S1324">
        <v>3</v>
      </c>
      <c r="T1324">
        <v>0</v>
      </c>
      <c r="U1324" s="17">
        <v>0.14000000000000001</v>
      </c>
      <c r="V1324">
        <v>3</v>
      </c>
      <c r="W1324">
        <v>3</v>
      </c>
      <c r="X1324">
        <v>1</v>
      </c>
      <c r="Y1324">
        <v>12</v>
      </c>
      <c r="Z1324">
        <v>4</v>
      </c>
      <c r="AA1324">
        <v>2</v>
      </c>
      <c r="AB1324">
        <v>9</v>
      </c>
      <c r="AC1324">
        <v>8</v>
      </c>
      <c r="AD1324">
        <v>4</v>
      </c>
      <c r="AE1324">
        <v>7</v>
      </c>
      <c r="AF1324">
        <v>0</v>
      </c>
      <c r="AG1324">
        <f>IF(tbl_HR_Data[[#This Row],[Gender]]="Male",1,0)</f>
        <v>1</v>
      </c>
      <c r="AH1324" cm="1">
        <f t="array" ref="AH1324">_xlfn.SWITCH(tbl_HR_Data[[#This Row],[BusinessTravel]], "Non-Travel", 0, "Travel_Rarely", 1, "Travel_Frequently", 2)</f>
        <v>1</v>
      </c>
      <c r="AI1324" cm="1">
        <f t="array" ref="AI1324">_xlfn.SWITCH(tbl_HR_Data[[#This Row],[MaritalStatus]],"Single",0,"Married",1,"Divorced",2)</f>
        <v>2</v>
      </c>
      <c r="AJ1324">
        <f>IF(tbl_HR_Data[[#This Row],[OverTime]]=1,1,0)</f>
        <v>0</v>
      </c>
      <c r="AK1324">
        <f>IF(tbl_HR_Data[[#This Row],[DistanceFromHome]]&gt;15,1,0)</f>
        <v>0</v>
      </c>
      <c r="AL1324">
        <f>IF(tbl_HR_Data[[#This Row],[JobSatisfaction]]&lt;=2,1,0)</f>
        <v>0</v>
      </c>
      <c r="AM1324">
        <f>IF(tbl_HR_Data[[#This Row],[MonthlyIncome]]&lt;$AT$2,1,0)</f>
        <v>0</v>
      </c>
      <c r="AN1324">
        <f>IF(tbl_HR_Data[[#This Row],[Travel_Code]]=2,1,0)</f>
        <v>0</v>
      </c>
      <c r="AO1324">
        <f>(tbl_HR_Data[[#This Row],[Flag_OT]] * Logic_Parameters!$B$2) +
 (tbl_HR_Data[[#This Row],[Flag_Travel]] * Logic_Parameters!$B$3) +
 (tbl_HR_Data[[#This Row],[Flag_Satisfaction]] * Logic_Parameters!$B$4) +
 (tbl_HR_Data[[#This Row],[Flag_Distance]]* Logic_Parameters!$B$5) +
 (tbl_HR_Data[[#This Row],[Flag_Income]] * Logic_Parameters!$B$6)</f>
        <v>0</v>
      </c>
      <c r="AP1324" s="15">
        <f>tbl_HR_Data[[#This Row],[Risk_Score_Raw]] / SUM(Logic_Parameters!$B$2:$B$6)</f>
        <v>0</v>
      </c>
      <c r="AQ1324" s="16" t="str" cm="1">
        <f t="array" ref="AQ1324">_xlfn.IFS(tbl_HR_Data[[#This Row],[Attrition_Risk_Percentage]] &gt;= 0.75, "Critical",tbl_HR_Data[ [#This Row],[Attrition_Risk_Percentage] ]&gt;= 0.5, "High",tbl_HR_Data[[#This Row],[Attrition_Risk_Percentage]] &gt;= 0.25, "Medium",TRUE, "Low")</f>
        <v>Low</v>
      </c>
      <c r="AR1324" s="16" cm="1">
        <f t="array" ref="AR1324">IFERROR(_xlfn.IFS(tbl_HR_Data[[#This Row],[Risk_Category]]="Critical",tbl_HR_Data[[#This Row],[MonthlyIncome]]*1.5,tbl_HR_Data[[#This Row],[Risk_Category]]="High",tbl_HR_Data[[#This Row],[MonthlyIncome]]*1.5),0)</f>
        <v>0</v>
      </c>
    </row>
    <row r="1325" spans="1:44" x14ac:dyDescent="0.35">
      <c r="A1325" t="s">
        <v>449</v>
      </c>
      <c r="B1325">
        <v>28</v>
      </c>
      <c r="C1325" t="s">
        <v>1525</v>
      </c>
      <c r="D1325">
        <v>280</v>
      </c>
      <c r="E1325" t="s">
        <v>53</v>
      </c>
      <c r="F1325">
        <v>1</v>
      </c>
      <c r="G1325">
        <v>2</v>
      </c>
      <c r="H1325" t="s">
        <v>33</v>
      </c>
      <c r="I1325">
        <v>3</v>
      </c>
      <c r="J1325" t="s">
        <v>39</v>
      </c>
      <c r="K1325">
        <v>43</v>
      </c>
      <c r="L1325">
        <v>3</v>
      </c>
      <c r="M1325">
        <v>1</v>
      </c>
      <c r="N1325" t="s">
        <v>53</v>
      </c>
      <c r="O1325">
        <v>4</v>
      </c>
      <c r="P1325" t="s">
        <v>45</v>
      </c>
      <c r="Q1325">
        <v>2706</v>
      </c>
      <c r="R1325">
        <v>10494</v>
      </c>
      <c r="S1325">
        <v>1</v>
      </c>
      <c r="T1325">
        <v>0</v>
      </c>
      <c r="U1325" s="17">
        <v>0.15</v>
      </c>
      <c r="V1325">
        <v>3</v>
      </c>
      <c r="W1325">
        <v>2</v>
      </c>
      <c r="X1325">
        <v>1</v>
      </c>
      <c r="Y1325">
        <v>3</v>
      </c>
      <c r="Z1325">
        <v>2</v>
      </c>
      <c r="AA1325">
        <v>3</v>
      </c>
      <c r="AB1325">
        <v>3</v>
      </c>
      <c r="AC1325">
        <v>2</v>
      </c>
      <c r="AD1325">
        <v>2</v>
      </c>
      <c r="AE1325">
        <v>2</v>
      </c>
      <c r="AF1325">
        <v>0</v>
      </c>
      <c r="AG1325">
        <f>IF(tbl_HR_Data[[#This Row],[Gender]]="Male",1,0)</f>
        <v>1</v>
      </c>
      <c r="AH1325" cm="1">
        <f t="array" ref="AH1325">_xlfn.SWITCH(tbl_HR_Data[[#This Row],[BusinessTravel]], "Non-Travel", 0, "Travel_Rarely", 1, "Travel_Frequently", 2)</f>
        <v>0</v>
      </c>
      <c r="AI1325" cm="1">
        <f t="array" ref="AI1325">_xlfn.SWITCH(tbl_HR_Data[[#This Row],[MaritalStatus]],"Single",0,"Married",1,"Divorced",2)</f>
        <v>2</v>
      </c>
      <c r="AJ1325">
        <f>IF(tbl_HR_Data[[#This Row],[OverTime]]=1,1,0)</f>
        <v>0</v>
      </c>
      <c r="AK1325">
        <f>IF(tbl_HR_Data[[#This Row],[DistanceFromHome]]&gt;15,1,0)</f>
        <v>0</v>
      </c>
      <c r="AL1325">
        <f>IF(tbl_HR_Data[[#This Row],[JobSatisfaction]]&lt;=2,1,0)</f>
        <v>0</v>
      </c>
      <c r="AM1325">
        <f>IF(tbl_HR_Data[[#This Row],[MonthlyIncome]]&lt;$AT$2,1,0)</f>
        <v>1</v>
      </c>
      <c r="AN1325">
        <f>IF(tbl_HR_Data[[#This Row],[Travel_Code]]=2,1,0)</f>
        <v>0</v>
      </c>
      <c r="AO1325">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325" s="15">
        <f>tbl_HR_Data[[#This Row],[Risk_Score_Raw]] / SUM(Logic_Parameters!$B$2:$B$6)</f>
        <v>0.22374939857982484</v>
      </c>
      <c r="AQ1325" s="16" t="str" cm="1">
        <f t="array" ref="AQ1325">_xlfn.IFS(tbl_HR_Data[[#This Row],[Attrition_Risk_Percentage]] &gt;= 0.75, "Critical",tbl_HR_Data[ [#This Row],[Attrition_Risk_Percentage] ]&gt;= 0.5, "High",tbl_HR_Data[[#This Row],[Attrition_Risk_Percentage]] &gt;= 0.25, "Medium",TRUE, "Low")</f>
        <v>Low</v>
      </c>
      <c r="AR1325" s="16" cm="1">
        <f t="array" ref="AR1325">IFERROR(_xlfn.IFS(tbl_HR_Data[[#This Row],[Risk_Category]]="Critical",tbl_HR_Data[[#This Row],[MonthlyIncome]]*1.5,tbl_HR_Data[[#This Row],[Risk_Category]]="High",tbl_HR_Data[[#This Row],[MonthlyIncome]]*1.5),0)</f>
        <v>0</v>
      </c>
    </row>
    <row r="1326" spans="1:44" x14ac:dyDescent="0.35">
      <c r="A1326" t="s">
        <v>914</v>
      </c>
      <c r="B1326">
        <v>29</v>
      </c>
      <c r="C1326" t="s">
        <v>31</v>
      </c>
      <c r="D1326">
        <v>726</v>
      </c>
      <c r="E1326" t="s">
        <v>38</v>
      </c>
      <c r="F1326">
        <v>29</v>
      </c>
      <c r="G1326">
        <v>1</v>
      </c>
      <c r="H1326" t="s">
        <v>33</v>
      </c>
      <c r="I1326">
        <v>4</v>
      </c>
      <c r="J1326" t="s">
        <v>39</v>
      </c>
      <c r="K1326">
        <v>93</v>
      </c>
      <c r="L1326">
        <v>1</v>
      </c>
      <c r="M1326">
        <v>2</v>
      </c>
      <c r="N1326" t="s">
        <v>47</v>
      </c>
      <c r="O1326">
        <v>3</v>
      </c>
      <c r="P1326" t="s">
        <v>45</v>
      </c>
      <c r="Q1326">
        <v>6384</v>
      </c>
      <c r="R1326">
        <v>21143</v>
      </c>
      <c r="S1326">
        <v>8</v>
      </c>
      <c r="T1326">
        <v>0</v>
      </c>
      <c r="U1326" s="17">
        <v>0.17</v>
      </c>
      <c r="V1326">
        <v>3</v>
      </c>
      <c r="W1326">
        <v>4</v>
      </c>
      <c r="X1326">
        <v>2</v>
      </c>
      <c r="Y1326">
        <v>11</v>
      </c>
      <c r="Z1326">
        <v>3</v>
      </c>
      <c r="AA1326">
        <v>3</v>
      </c>
      <c r="AB1326">
        <v>7</v>
      </c>
      <c r="AC1326">
        <v>0</v>
      </c>
      <c r="AD1326">
        <v>1</v>
      </c>
      <c r="AE1326">
        <v>6</v>
      </c>
      <c r="AF1326">
        <v>0</v>
      </c>
      <c r="AG1326">
        <f>IF(tbl_HR_Data[[#This Row],[Gender]]="Male",1,0)</f>
        <v>1</v>
      </c>
      <c r="AH1326" cm="1">
        <f t="array" ref="AH1326">_xlfn.SWITCH(tbl_HR_Data[[#This Row],[BusinessTravel]], "Non-Travel", 0, "Travel_Rarely", 1, "Travel_Frequently", 2)</f>
        <v>1</v>
      </c>
      <c r="AI1326" cm="1">
        <f t="array" ref="AI1326">_xlfn.SWITCH(tbl_HR_Data[[#This Row],[MaritalStatus]],"Single",0,"Married",1,"Divorced",2)</f>
        <v>2</v>
      </c>
      <c r="AJ1326">
        <f>IF(tbl_HR_Data[[#This Row],[OverTime]]=1,1,0)</f>
        <v>0</v>
      </c>
      <c r="AK1326">
        <f>IF(tbl_HR_Data[[#This Row],[DistanceFromHome]]&gt;15,1,0)</f>
        <v>1</v>
      </c>
      <c r="AL1326">
        <f>IF(tbl_HR_Data[[#This Row],[JobSatisfaction]]&lt;=2,1,0)</f>
        <v>0</v>
      </c>
      <c r="AM1326">
        <f>IF(tbl_HR_Data[[#This Row],[MonthlyIncome]]&lt;$AT$2,1,0)</f>
        <v>0</v>
      </c>
      <c r="AN1326">
        <f>IF(tbl_HR_Data[[#This Row],[Travel_Code]]=2,1,0)</f>
        <v>0</v>
      </c>
      <c r="AO1326">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1326" s="15">
        <f>tbl_HR_Data[[#This Row],[Risk_Score_Raw]] / SUM(Logic_Parameters!$B$2:$B$6)</f>
        <v>0.10908033267710357</v>
      </c>
      <c r="AQ1326" s="16" t="str" cm="1">
        <f t="array" ref="AQ1326">_xlfn.IFS(tbl_HR_Data[[#This Row],[Attrition_Risk_Percentage]] &gt;= 0.75, "Critical",tbl_HR_Data[ [#This Row],[Attrition_Risk_Percentage] ]&gt;= 0.5, "High",tbl_HR_Data[[#This Row],[Attrition_Risk_Percentage]] &gt;= 0.25, "Medium",TRUE, "Low")</f>
        <v>Low</v>
      </c>
      <c r="AR1326" s="16" cm="1">
        <f t="array" ref="AR1326">IFERROR(_xlfn.IFS(tbl_HR_Data[[#This Row],[Risk_Category]]="Critical",tbl_HR_Data[[#This Row],[MonthlyIncome]]*1.5,tbl_HR_Data[[#This Row],[Risk_Category]]="High",tbl_HR_Data[[#This Row],[MonthlyIncome]]*1.5),0)</f>
        <v>0</v>
      </c>
    </row>
    <row r="1327" spans="1:44" x14ac:dyDescent="0.35">
      <c r="A1327" t="s">
        <v>675</v>
      </c>
      <c r="B1327">
        <v>42</v>
      </c>
      <c r="C1327" t="s">
        <v>31</v>
      </c>
      <c r="D1327">
        <v>1142</v>
      </c>
      <c r="E1327" t="s">
        <v>38</v>
      </c>
      <c r="F1327">
        <v>8</v>
      </c>
      <c r="G1327">
        <v>3</v>
      </c>
      <c r="H1327" t="s">
        <v>33</v>
      </c>
      <c r="I1327">
        <v>4</v>
      </c>
      <c r="J1327" t="s">
        <v>39</v>
      </c>
      <c r="K1327">
        <v>81</v>
      </c>
      <c r="L1327">
        <v>3</v>
      </c>
      <c r="M1327">
        <v>1</v>
      </c>
      <c r="N1327" t="s">
        <v>43</v>
      </c>
      <c r="O1327">
        <v>3</v>
      </c>
      <c r="P1327" t="s">
        <v>36</v>
      </c>
      <c r="Q1327">
        <v>3968</v>
      </c>
      <c r="R1327">
        <v>13624</v>
      </c>
      <c r="S1327">
        <v>4</v>
      </c>
      <c r="T1327">
        <v>0</v>
      </c>
      <c r="U1327" s="17">
        <v>0.13</v>
      </c>
      <c r="V1327">
        <v>3</v>
      </c>
      <c r="W1327">
        <v>4</v>
      </c>
      <c r="X1327">
        <v>0</v>
      </c>
      <c r="Y1327">
        <v>8</v>
      </c>
      <c r="Z1327">
        <v>3</v>
      </c>
      <c r="AA1327">
        <v>3</v>
      </c>
      <c r="AB1327">
        <v>0</v>
      </c>
      <c r="AC1327">
        <v>0</v>
      </c>
      <c r="AD1327">
        <v>0</v>
      </c>
      <c r="AE1327">
        <v>0</v>
      </c>
      <c r="AF1327">
        <v>0</v>
      </c>
      <c r="AG1327">
        <f>IF(tbl_HR_Data[[#This Row],[Gender]]="Male",1,0)</f>
        <v>1</v>
      </c>
      <c r="AH1327" cm="1">
        <f t="array" ref="AH1327">_xlfn.SWITCH(tbl_HR_Data[[#This Row],[BusinessTravel]], "Non-Travel", 0, "Travel_Rarely", 1, "Travel_Frequently", 2)</f>
        <v>1</v>
      </c>
      <c r="AI1327" cm="1">
        <f t="array" ref="AI1327">_xlfn.SWITCH(tbl_HR_Data[[#This Row],[MaritalStatus]],"Single",0,"Married",1,"Divorced",2)</f>
        <v>0</v>
      </c>
      <c r="AJ1327">
        <f>IF(tbl_HR_Data[[#This Row],[OverTime]]=1,1,0)</f>
        <v>0</v>
      </c>
      <c r="AK1327">
        <f>IF(tbl_HR_Data[[#This Row],[DistanceFromHome]]&gt;15,1,0)</f>
        <v>0</v>
      </c>
      <c r="AL1327">
        <f>IF(tbl_HR_Data[[#This Row],[JobSatisfaction]]&lt;=2,1,0)</f>
        <v>0</v>
      </c>
      <c r="AM1327">
        <f>IF(tbl_HR_Data[[#This Row],[MonthlyIncome]]&lt;$AT$2,1,0)</f>
        <v>1</v>
      </c>
      <c r="AN1327">
        <f>IF(tbl_HR_Data[[#This Row],[Travel_Code]]=2,1,0)</f>
        <v>0</v>
      </c>
      <c r="AO1327">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327" s="15">
        <f>tbl_HR_Data[[#This Row],[Risk_Score_Raw]] / SUM(Logic_Parameters!$B$2:$B$6)</f>
        <v>0.22374939857982484</v>
      </c>
      <c r="AQ1327" s="16" t="str" cm="1">
        <f t="array" ref="AQ1327">_xlfn.IFS(tbl_HR_Data[[#This Row],[Attrition_Risk_Percentage]] &gt;= 0.75, "Critical",tbl_HR_Data[ [#This Row],[Attrition_Risk_Percentage] ]&gt;= 0.5, "High",tbl_HR_Data[[#This Row],[Attrition_Risk_Percentage]] &gt;= 0.25, "Medium",TRUE, "Low")</f>
        <v>Low</v>
      </c>
      <c r="AR1327" s="16" cm="1">
        <f t="array" ref="AR1327">IFERROR(_xlfn.IFS(tbl_HR_Data[[#This Row],[Risk_Category]]="Critical",tbl_HR_Data[[#This Row],[MonthlyIncome]]*1.5,tbl_HR_Data[[#This Row],[Risk_Category]]="High",tbl_HR_Data[[#This Row],[MonthlyIncome]]*1.5),0)</f>
        <v>0</v>
      </c>
    </row>
    <row r="1328" spans="1:44" x14ac:dyDescent="0.35">
      <c r="A1328" t="s">
        <v>987</v>
      </c>
      <c r="B1328">
        <v>32</v>
      </c>
      <c r="C1328" t="s">
        <v>31</v>
      </c>
      <c r="D1328">
        <v>414</v>
      </c>
      <c r="E1328" t="s">
        <v>32</v>
      </c>
      <c r="F1328">
        <v>2</v>
      </c>
      <c r="G1328">
        <v>4</v>
      </c>
      <c r="H1328" t="s">
        <v>51</v>
      </c>
      <c r="I1328">
        <v>3</v>
      </c>
      <c r="J1328" t="s">
        <v>39</v>
      </c>
      <c r="K1328">
        <v>82</v>
      </c>
      <c r="L1328">
        <v>2</v>
      </c>
      <c r="M1328">
        <v>2</v>
      </c>
      <c r="N1328" t="s">
        <v>35</v>
      </c>
      <c r="O1328">
        <v>2</v>
      </c>
      <c r="P1328" t="s">
        <v>36</v>
      </c>
      <c r="Q1328">
        <v>9907</v>
      </c>
      <c r="R1328">
        <v>26186</v>
      </c>
      <c r="S1328">
        <v>7</v>
      </c>
      <c r="T1328">
        <v>1</v>
      </c>
      <c r="U1328" s="17">
        <v>0.12</v>
      </c>
      <c r="V1328">
        <v>3</v>
      </c>
      <c r="W1328">
        <v>3</v>
      </c>
      <c r="X1328">
        <v>0</v>
      </c>
      <c r="Y1328">
        <v>7</v>
      </c>
      <c r="Z1328">
        <v>3</v>
      </c>
      <c r="AA1328">
        <v>2</v>
      </c>
      <c r="AB1328">
        <v>2</v>
      </c>
      <c r="AC1328">
        <v>2</v>
      </c>
      <c r="AD1328">
        <v>2</v>
      </c>
      <c r="AE1328">
        <v>2</v>
      </c>
      <c r="AF1328">
        <v>1</v>
      </c>
      <c r="AG1328">
        <f>IF(tbl_HR_Data[[#This Row],[Gender]]="Male",1,0)</f>
        <v>1</v>
      </c>
      <c r="AH1328" cm="1">
        <f t="array" ref="AH1328">_xlfn.SWITCH(tbl_HR_Data[[#This Row],[BusinessTravel]], "Non-Travel", 0, "Travel_Rarely", 1, "Travel_Frequently", 2)</f>
        <v>1</v>
      </c>
      <c r="AI1328" cm="1">
        <f t="array" ref="AI1328">_xlfn.SWITCH(tbl_HR_Data[[#This Row],[MaritalStatus]],"Single",0,"Married",1,"Divorced",2)</f>
        <v>0</v>
      </c>
      <c r="AJ1328">
        <f>IF(tbl_HR_Data[[#This Row],[OverTime]]=1,1,0)</f>
        <v>1</v>
      </c>
      <c r="AK1328">
        <f>IF(tbl_HR_Data[[#This Row],[DistanceFromHome]]&gt;15,1,0)</f>
        <v>0</v>
      </c>
      <c r="AL1328">
        <f>IF(tbl_HR_Data[[#This Row],[JobSatisfaction]]&lt;=2,1,0)</f>
        <v>1</v>
      </c>
      <c r="AM1328">
        <f>IF(tbl_HR_Data[[#This Row],[MonthlyIncome]]&lt;$AT$2,1,0)</f>
        <v>0</v>
      </c>
      <c r="AN1328">
        <f>IF(tbl_HR_Data[[#This Row],[Travel_Code]]=2,1,0)</f>
        <v>0</v>
      </c>
      <c r="AO1328">
        <f>(tbl_HR_Data[[#This Row],[Flag_OT]] * Logic_Parameters!$B$2) +
 (tbl_HR_Data[[#This Row],[Flag_Travel]] * Logic_Parameters!$B$3) +
 (tbl_HR_Data[[#This Row],[Flag_Satisfaction]] * Logic_Parameters!$B$4) +
 (tbl_HR_Data[[#This Row],[Flag_Distance]]* Logic_Parameters!$B$5) +
 (tbl_HR_Data[[#This Row],[Flag_Income]] * Logic_Parameters!$B$6)</f>
        <v>14.204533129978131</v>
      </c>
      <c r="AP1328" s="15">
        <f>tbl_HR_Data[[#This Row],[Risk_Score_Raw]] / SUM(Logic_Parameters!$B$2:$B$6)</f>
        <v>0.48938186491297625</v>
      </c>
      <c r="AQ1328" s="16" t="str" cm="1">
        <f t="array" ref="AQ1328">_xlfn.IFS(tbl_HR_Data[[#This Row],[Attrition_Risk_Percentage]] &gt;= 0.75, "Critical",tbl_HR_Data[ [#This Row],[Attrition_Risk_Percentage] ]&gt;= 0.5, "High",tbl_HR_Data[[#This Row],[Attrition_Risk_Percentage]] &gt;= 0.25, "Medium",TRUE, "Low")</f>
        <v>Medium</v>
      </c>
      <c r="AR1328" s="16" cm="1">
        <f t="array" ref="AR1328">IFERROR(_xlfn.IFS(tbl_HR_Data[[#This Row],[Risk_Category]]="Critical",tbl_HR_Data[[#This Row],[MonthlyIncome]]*1.5,tbl_HR_Data[[#This Row],[Risk_Category]]="High",tbl_HR_Data[[#This Row],[MonthlyIncome]]*1.5),0)</f>
        <v>0</v>
      </c>
    </row>
    <row r="1329" spans="1:44" x14ac:dyDescent="0.35">
      <c r="A1329" t="s">
        <v>1338</v>
      </c>
      <c r="B1329">
        <v>46</v>
      </c>
      <c r="C1329" t="s">
        <v>31</v>
      </c>
      <c r="D1329">
        <v>1319</v>
      </c>
      <c r="E1329" t="s">
        <v>32</v>
      </c>
      <c r="F1329">
        <v>3</v>
      </c>
      <c r="G1329">
        <v>3</v>
      </c>
      <c r="H1329" t="s">
        <v>52</v>
      </c>
      <c r="I1329">
        <v>1</v>
      </c>
      <c r="J1329" t="s">
        <v>34</v>
      </c>
      <c r="K1329">
        <v>45</v>
      </c>
      <c r="L1329">
        <v>4</v>
      </c>
      <c r="M1329">
        <v>4</v>
      </c>
      <c r="N1329" t="s">
        <v>35</v>
      </c>
      <c r="O1329">
        <v>1</v>
      </c>
      <c r="P1329" t="s">
        <v>45</v>
      </c>
      <c r="Q1329">
        <v>13225</v>
      </c>
      <c r="R1329">
        <v>7739</v>
      </c>
      <c r="S1329">
        <v>2</v>
      </c>
      <c r="T1329">
        <v>0</v>
      </c>
      <c r="U1329" s="17">
        <v>0.12</v>
      </c>
      <c r="V1329">
        <v>3</v>
      </c>
      <c r="W1329">
        <v>4</v>
      </c>
      <c r="X1329">
        <v>1</v>
      </c>
      <c r="Y1329">
        <v>25</v>
      </c>
      <c r="Z1329">
        <v>5</v>
      </c>
      <c r="AA1329">
        <v>3</v>
      </c>
      <c r="AB1329">
        <v>19</v>
      </c>
      <c r="AC1329">
        <v>17</v>
      </c>
      <c r="AD1329">
        <v>2</v>
      </c>
      <c r="AE1329">
        <v>8</v>
      </c>
      <c r="AF1329">
        <v>0</v>
      </c>
      <c r="AG1329">
        <f>IF(tbl_HR_Data[[#This Row],[Gender]]="Male",1,0)</f>
        <v>0</v>
      </c>
      <c r="AH1329" cm="1">
        <f t="array" ref="AH1329">_xlfn.SWITCH(tbl_HR_Data[[#This Row],[BusinessTravel]], "Non-Travel", 0, "Travel_Rarely", 1, "Travel_Frequently", 2)</f>
        <v>1</v>
      </c>
      <c r="AI1329" cm="1">
        <f t="array" ref="AI1329">_xlfn.SWITCH(tbl_HR_Data[[#This Row],[MaritalStatus]],"Single",0,"Married",1,"Divorced",2)</f>
        <v>2</v>
      </c>
      <c r="AJ1329">
        <f>IF(tbl_HR_Data[[#This Row],[OverTime]]=1,1,0)</f>
        <v>0</v>
      </c>
      <c r="AK1329">
        <f>IF(tbl_HR_Data[[#This Row],[DistanceFromHome]]&gt;15,1,0)</f>
        <v>0</v>
      </c>
      <c r="AL1329">
        <f>IF(tbl_HR_Data[[#This Row],[JobSatisfaction]]&lt;=2,1,0)</f>
        <v>1</v>
      </c>
      <c r="AM1329">
        <f>IF(tbl_HR_Data[[#This Row],[MonthlyIncome]]&lt;$AT$2,1,0)</f>
        <v>0</v>
      </c>
      <c r="AN1329">
        <f>IF(tbl_HR_Data[[#This Row],[Travel_Code]]=2,1,0)</f>
        <v>0</v>
      </c>
      <c r="AO1329">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329" s="15">
        <f>tbl_HR_Data[[#This Row],[Risk_Score_Raw]] / SUM(Logic_Parameters!$B$2:$B$6)</f>
        <v>0.14485673308716898</v>
      </c>
      <c r="AQ1329" s="16" t="str" cm="1">
        <f t="array" ref="AQ1329">_xlfn.IFS(tbl_HR_Data[[#This Row],[Attrition_Risk_Percentage]] &gt;= 0.75, "Critical",tbl_HR_Data[ [#This Row],[Attrition_Risk_Percentage] ]&gt;= 0.5, "High",tbl_HR_Data[[#This Row],[Attrition_Risk_Percentage]] &gt;= 0.25, "Medium",TRUE, "Low")</f>
        <v>Low</v>
      </c>
      <c r="AR1329" s="16" cm="1">
        <f t="array" ref="AR1329">IFERROR(_xlfn.IFS(tbl_HR_Data[[#This Row],[Risk_Category]]="Critical",tbl_HR_Data[[#This Row],[MonthlyIncome]]*1.5,tbl_HR_Data[[#This Row],[Risk_Category]]="High",tbl_HR_Data[[#This Row],[MonthlyIncome]]*1.5),0)</f>
        <v>0</v>
      </c>
    </row>
    <row r="1330" spans="1:44" x14ac:dyDescent="0.35">
      <c r="A1330" t="s">
        <v>166</v>
      </c>
      <c r="B1330">
        <v>27</v>
      </c>
      <c r="C1330" t="s">
        <v>31</v>
      </c>
      <c r="D1330">
        <v>728</v>
      </c>
      <c r="E1330" t="s">
        <v>32</v>
      </c>
      <c r="F1330">
        <v>23</v>
      </c>
      <c r="G1330">
        <v>1</v>
      </c>
      <c r="H1330" t="s">
        <v>44</v>
      </c>
      <c r="I1330">
        <v>2</v>
      </c>
      <c r="J1330" t="s">
        <v>34</v>
      </c>
      <c r="K1330">
        <v>36</v>
      </c>
      <c r="L1330">
        <v>2</v>
      </c>
      <c r="M1330">
        <v>2</v>
      </c>
      <c r="N1330" t="s">
        <v>49</v>
      </c>
      <c r="O1330">
        <v>3</v>
      </c>
      <c r="P1330" t="s">
        <v>41</v>
      </c>
      <c r="Q1330">
        <v>3540</v>
      </c>
      <c r="R1330">
        <v>7018</v>
      </c>
      <c r="S1330">
        <v>1</v>
      </c>
      <c r="T1330">
        <v>0</v>
      </c>
      <c r="U1330" s="17">
        <v>0.21</v>
      </c>
      <c r="V1330">
        <v>4</v>
      </c>
      <c r="W1330">
        <v>4</v>
      </c>
      <c r="X1330">
        <v>1</v>
      </c>
      <c r="Y1330">
        <v>9</v>
      </c>
      <c r="Z1330">
        <v>5</v>
      </c>
      <c r="AA1330">
        <v>3</v>
      </c>
      <c r="AB1330">
        <v>9</v>
      </c>
      <c r="AC1330">
        <v>8</v>
      </c>
      <c r="AD1330">
        <v>5</v>
      </c>
      <c r="AE1330">
        <v>8</v>
      </c>
      <c r="AF1330">
        <v>0</v>
      </c>
      <c r="AG1330">
        <f>IF(tbl_HR_Data[[#This Row],[Gender]]="Male",1,0)</f>
        <v>0</v>
      </c>
      <c r="AH1330" cm="1">
        <f t="array" ref="AH1330">_xlfn.SWITCH(tbl_HR_Data[[#This Row],[BusinessTravel]], "Non-Travel", 0, "Travel_Rarely", 1, "Travel_Frequently", 2)</f>
        <v>1</v>
      </c>
      <c r="AI1330" cm="1">
        <f t="array" ref="AI1330">_xlfn.SWITCH(tbl_HR_Data[[#This Row],[MaritalStatus]],"Single",0,"Married",1,"Divorced",2)</f>
        <v>1</v>
      </c>
      <c r="AJ1330">
        <f>IF(tbl_HR_Data[[#This Row],[OverTime]]=1,1,0)</f>
        <v>0</v>
      </c>
      <c r="AK1330">
        <f>IF(tbl_HR_Data[[#This Row],[DistanceFromHome]]&gt;15,1,0)</f>
        <v>1</v>
      </c>
      <c r="AL1330">
        <f>IF(tbl_HR_Data[[#This Row],[JobSatisfaction]]&lt;=2,1,0)</f>
        <v>0</v>
      </c>
      <c r="AM1330">
        <f>IF(tbl_HR_Data[[#This Row],[MonthlyIncome]]&lt;$AT$2,1,0)</f>
        <v>1</v>
      </c>
      <c r="AN1330">
        <f>IF(tbl_HR_Data[[#This Row],[Travel_Code]]=2,1,0)</f>
        <v>0</v>
      </c>
      <c r="AO1330">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1330" s="15">
        <f>tbl_HR_Data[[#This Row],[Risk_Score_Raw]] / SUM(Logic_Parameters!$B$2:$B$6)</f>
        <v>0.33282973125692844</v>
      </c>
      <c r="AQ1330" s="16" t="str" cm="1">
        <f t="array" ref="AQ1330">_xlfn.IFS(tbl_HR_Data[[#This Row],[Attrition_Risk_Percentage]] &gt;= 0.75, "Critical",tbl_HR_Data[ [#This Row],[Attrition_Risk_Percentage] ]&gt;= 0.5, "High",tbl_HR_Data[[#This Row],[Attrition_Risk_Percentage]] &gt;= 0.25, "Medium",TRUE, "Low")</f>
        <v>Medium</v>
      </c>
      <c r="AR1330" s="16" cm="1">
        <f t="array" ref="AR1330">IFERROR(_xlfn.IFS(tbl_HR_Data[[#This Row],[Risk_Category]]="Critical",tbl_HR_Data[[#This Row],[MonthlyIncome]]*1.5,tbl_HR_Data[[#This Row],[Risk_Category]]="High",tbl_HR_Data[[#This Row],[MonthlyIncome]]*1.5),0)</f>
        <v>0</v>
      </c>
    </row>
    <row r="1331" spans="1:44" x14ac:dyDescent="0.35">
      <c r="A1331" t="s">
        <v>782</v>
      </c>
      <c r="B1331">
        <v>29</v>
      </c>
      <c r="C1331" t="s">
        <v>31</v>
      </c>
      <c r="D1331">
        <v>352</v>
      </c>
      <c r="E1331" t="s">
        <v>53</v>
      </c>
      <c r="F1331">
        <v>6</v>
      </c>
      <c r="G1331">
        <v>1</v>
      </c>
      <c r="H1331" t="s">
        <v>44</v>
      </c>
      <c r="I1331">
        <v>4</v>
      </c>
      <c r="J1331" t="s">
        <v>39</v>
      </c>
      <c r="K1331">
        <v>87</v>
      </c>
      <c r="L1331">
        <v>2</v>
      </c>
      <c r="M1331">
        <v>1</v>
      </c>
      <c r="N1331" t="s">
        <v>53</v>
      </c>
      <c r="O1331">
        <v>2</v>
      </c>
      <c r="P1331" t="s">
        <v>41</v>
      </c>
      <c r="Q1331">
        <v>2804</v>
      </c>
      <c r="R1331">
        <v>15434</v>
      </c>
      <c r="S1331">
        <v>1</v>
      </c>
      <c r="T1331">
        <v>0</v>
      </c>
      <c r="U1331" s="17">
        <v>0.11</v>
      </c>
      <c r="V1331">
        <v>3</v>
      </c>
      <c r="W1331">
        <v>4</v>
      </c>
      <c r="X1331">
        <v>0</v>
      </c>
      <c r="Y1331">
        <v>1</v>
      </c>
      <c r="Z1331">
        <v>3</v>
      </c>
      <c r="AA1331">
        <v>3</v>
      </c>
      <c r="AB1331">
        <v>1</v>
      </c>
      <c r="AC1331">
        <v>0</v>
      </c>
      <c r="AD1331">
        <v>0</v>
      </c>
      <c r="AE1331">
        <v>0</v>
      </c>
      <c r="AF1331">
        <v>0</v>
      </c>
      <c r="AG1331">
        <f>IF(tbl_HR_Data[[#This Row],[Gender]]="Male",1,0)</f>
        <v>1</v>
      </c>
      <c r="AH1331" cm="1">
        <f t="array" ref="AH1331">_xlfn.SWITCH(tbl_HR_Data[[#This Row],[BusinessTravel]], "Non-Travel", 0, "Travel_Rarely", 1, "Travel_Frequently", 2)</f>
        <v>1</v>
      </c>
      <c r="AI1331" cm="1">
        <f t="array" ref="AI1331">_xlfn.SWITCH(tbl_HR_Data[[#This Row],[MaritalStatus]],"Single",0,"Married",1,"Divorced",2)</f>
        <v>1</v>
      </c>
      <c r="AJ1331">
        <f>IF(tbl_HR_Data[[#This Row],[OverTime]]=1,1,0)</f>
        <v>0</v>
      </c>
      <c r="AK1331">
        <f>IF(tbl_HR_Data[[#This Row],[DistanceFromHome]]&gt;15,1,0)</f>
        <v>0</v>
      </c>
      <c r="AL1331">
        <f>IF(tbl_HR_Data[[#This Row],[JobSatisfaction]]&lt;=2,1,0)</f>
        <v>1</v>
      </c>
      <c r="AM1331">
        <f>IF(tbl_HR_Data[[#This Row],[MonthlyIncome]]&lt;$AT$2,1,0)</f>
        <v>1</v>
      </c>
      <c r="AN1331">
        <f>IF(tbl_HR_Data[[#This Row],[Travel_Code]]=2,1,0)</f>
        <v>0</v>
      </c>
      <c r="AO1331">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331" s="15">
        <f>tbl_HR_Data[[#This Row],[Risk_Score_Raw]] / SUM(Logic_Parameters!$B$2:$B$6)</f>
        <v>0.3686061316669938</v>
      </c>
      <c r="AQ1331" s="16" t="str" cm="1">
        <f t="array" ref="AQ1331">_xlfn.IFS(tbl_HR_Data[[#This Row],[Attrition_Risk_Percentage]] &gt;= 0.75, "Critical",tbl_HR_Data[ [#This Row],[Attrition_Risk_Percentage] ]&gt;= 0.5, "High",tbl_HR_Data[[#This Row],[Attrition_Risk_Percentage]] &gt;= 0.25, "Medium",TRUE, "Low")</f>
        <v>Medium</v>
      </c>
      <c r="AR1331" s="16" cm="1">
        <f t="array" ref="AR1331">IFERROR(_xlfn.IFS(tbl_HR_Data[[#This Row],[Risk_Category]]="Critical",tbl_HR_Data[[#This Row],[MonthlyIncome]]*1.5,tbl_HR_Data[[#This Row],[Risk_Category]]="High",tbl_HR_Data[[#This Row],[MonthlyIncome]]*1.5),0)</f>
        <v>0</v>
      </c>
    </row>
    <row r="1332" spans="1:44" x14ac:dyDescent="0.35">
      <c r="A1332" t="s">
        <v>1092</v>
      </c>
      <c r="B1332">
        <v>43</v>
      </c>
      <c r="C1332" t="s">
        <v>31</v>
      </c>
      <c r="D1332">
        <v>823</v>
      </c>
      <c r="E1332" t="s">
        <v>38</v>
      </c>
      <c r="F1332">
        <v>6</v>
      </c>
      <c r="G1332">
        <v>3</v>
      </c>
      <c r="H1332" t="s">
        <v>44</v>
      </c>
      <c r="I1332">
        <v>1</v>
      </c>
      <c r="J1332" t="s">
        <v>34</v>
      </c>
      <c r="K1332">
        <v>81</v>
      </c>
      <c r="L1332">
        <v>2</v>
      </c>
      <c r="M1332">
        <v>5</v>
      </c>
      <c r="N1332" t="s">
        <v>48</v>
      </c>
      <c r="O1332">
        <v>3</v>
      </c>
      <c r="P1332" t="s">
        <v>41</v>
      </c>
      <c r="Q1332">
        <v>19392</v>
      </c>
      <c r="R1332">
        <v>22539</v>
      </c>
      <c r="S1332">
        <v>7</v>
      </c>
      <c r="T1332">
        <v>0</v>
      </c>
      <c r="U1332" s="17">
        <v>0.13</v>
      </c>
      <c r="V1332">
        <v>3</v>
      </c>
      <c r="W1332">
        <v>4</v>
      </c>
      <c r="X1332">
        <v>0</v>
      </c>
      <c r="Y1332">
        <v>21</v>
      </c>
      <c r="Z1332">
        <v>2</v>
      </c>
      <c r="AA1332">
        <v>3</v>
      </c>
      <c r="AB1332">
        <v>16</v>
      </c>
      <c r="AC1332">
        <v>12</v>
      </c>
      <c r="AD1332">
        <v>6</v>
      </c>
      <c r="AE1332">
        <v>14</v>
      </c>
      <c r="AF1332">
        <v>0</v>
      </c>
      <c r="AG1332">
        <f>IF(tbl_HR_Data[[#This Row],[Gender]]="Male",1,0)</f>
        <v>0</v>
      </c>
      <c r="AH1332" cm="1">
        <f t="array" ref="AH1332">_xlfn.SWITCH(tbl_HR_Data[[#This Row],[BusinessTravel]], "Non-Travel", 0, "Travel_Rarely", 1, "Travel_Frequently", 2)</f>
        <v>1</v>
      </c>
      <c r="AI1332" cm="1">
        <f t="array" ref="AI1332">_xlfn.SWITCH(tbl_HR_Data[[#This Row],[MaritalStatus]],"Single",0,"Married",1,"Divorced",2)</f>
        <v>1</v>
      </c>
      <c r="AJ1332">
        <f>IF(tbl_HR_Data[[#This Row],[OverTime]]=1,1,0)</f>
        <v>0</v>
      </c>
      <c r="AK1332">
        <f>IF(tbl_HR_Data[[#This Row],[DistanceFromHome]]&gt;15,1,0)</f>
        <v>0</v>
      </c>
      <c r="AL1332">
        <f>IF(tbl_HR_Data[[#This Row],[JobSatisfaction]]&lt;=2,1,0)</f>
        <v>0</v>
      </c>
      <c r="AM1332">
        <f>IF(tbl_HR_Data[[#This Row],[MonthlyIncome]]&lt;$AT$2,1,0)</f>
        <v>0</v>
      </c>
      <c r="AN1332">
        <f>IF(tbl_HR_Data[[#This Row],[Travel_Code]]=2,1,0)</f>
        <v>0</v>
      </c>
      <c r="AO1332">
        <f>(tbl_HR_Data[[#This Row],[Flag_OT]] * Logic_Parameters!$B$2) +
 (tbl_HR_Data[[#This Row],[Flag_Travel]] * Logic_Parameters!$B$3) +
 (tbl_HR_Data[[#This Row],[Flag_Satisfaction]] * Logic_Parameters!$B$4) +
 (tbl_HR_Data[[#This Row],[Flag_Distance]]* Logic_Parameters!$B$5) +
 (tbl_HR_Data[[#This Row],[Flag_Income]] * Logic_Parameters!$B$6)</f>
        <v>0</v>
      </c>
      <c r="AP1332" s="15">
        <f>tbl_HR_Data[[#This Row],[Risk_Score_Raw]] / SUM(Logic_Parameters!$B$2:$B$6)</f>
        <v>0</v>
      </c>
      <c r="AQ1332" s="16" t="str" cm="1">
        <f t="array" ref="AQ1332">_xlfn.IFS(tbl_HR_Data[[#This Row],[Attrition_Risk_Percentage]] &gt;= 0.75, "Critical",tbl_HR_Data[ [#This Row],[Attrition_Risk_Percentage] ]&gt;= 0.5, "High",tbl_HR_Data[[#This Row],[Attrition_Risk_Percentage]] &gt;= 0.25, "Medium",TRUE, "Low")</f>
        <v>Low</v>
      </c>
      <c r="AR1332" s="16" cm="1">
        <f t="array" ref="AR1332">IFERROR(_xlfn.IFS(tbl_HR_Data[[#This Row],[Risk_Category]]="Critical",tbl_HR_Data[[#This Row],[MonthlyIncome]]*1.5,tbl_HR_Data[[#This Row],[Risk_Category]]="High",tbl_HR_Data[[#This Row],[MonthlyIncome]]*1.5),0)</f>
        <v>0</v>
      </c>
    </row>
    <row r="1333" spans="1:44" x14ac:dyDescent="0.35">
      <c r="A1333" t="s">
        <v>1150</v>
      </c>
      <c r="B1333">
        <v>48</v>
      </c>
      <c r="C1333" t="s">
        <v>31</v>
      </c>
      <c r="D1333">
        <v>1224</v>
      </c>
      <c r="E1333" t="s">
        <v>38</v>
      </c>
      <c r="F1333">
        <v>10</v>
      </c>
      <c r="G1333">
        <v>3</v>
      </c>
      <c r="H1333" t="s">
        <v>33</v>
      </c>
      <c r="I1333">
        <v>4</v>
      </c>
      <c r="J1333" t="s">
        <v>39</v>
      </c>
      <c r="K1333">
        <v>91</v>
      </c>
      <c r="L1333">
        <v>2</v>
      </c>
      <c r="M1333">
        <v>5</v>
      </c>
      <c r="N1333" t="s">
        <v>50</v>
      </c>
      <c r="O1333">
        <v>2</v>
      </c>
      <c r="P1333" t="s">
        <v>41</v>
      </c>
      <c r="Q1333">
        <v>19665</v>
      </c>
      <c r="R1333">
        <v>13583</v>
      </c>
      <c r="S1333">
        <v>4</v>
      </c>
      <c r="T1333">
        <v>0</v>
      </c>
      <c r="U1333" s="17">
        <v>0.12</v>
      </c>
      <c r="V1333">
        <v>3</v>
      </c>
      <c r="W1333">
        <v>4</v>
      </c>
      <c r="X1333">
        <v>0</v>
      </c>
      <c r="Y1333">
        <v>29</v>
      </c>
      <c r="Z1333">
        <v>3</v>
      </c>
      <c r="AA1333">
        <v>3</v>
      </c>
      <c r="AB1333">
        <v>22</v>
      </c>
      <c r="AC1333">
        <v>10</v>
      </c>
      <c r="AD1333">
        <v>12</v>
      </c>
      <c r="AE1333">
        <v>9</v>
      </c>
      <c r="AF1333">
        <v>0</v>
      </c>
      <c r="AG1333">
        <f>IF(tbl_HR_Data[[#This Row],[Gender]]="Male",1,0)</f>
        <v>1</v>
      </c>
      <c r="AH1333" cm="1">
        <f t="array" ref="AH1333">_xlfn.SWITCH(tbl_HR_Data[[#This Row],[BusinessTravel]], "Non-Travel", 0, "Travel_Rarely", 1, "Travel_Frequently", 2)</f>
        <v>1</v>
      </c>
      <c r="AI1333" cm="1">
        <f t="array" ref="AI1333">_xlfn.SWITCH(tbl_HR_Data[[#This Row],[MaritalStatus]],"Single",0,"Married",1,"Divorced",2)</f>
        <v>1</v>
      </c>
      <c r="AJ1333">
        <f>IF(tbl_HR_Data[[#This Row],[OverTime]]=1,1,0)</f>
        <v>0</v>
      </c>
      <c r="AK1333">
        <f>IF(tbl_HR_Data[[#This Row],[DistanceFromHome]]&gt;15,1,0)</f>
        <v>0</v>
      </c>
      <c r="AL1333">
        <f>IF(tbl_HR_Data[[#This Row],[JobSatisfaction]]&lt;=2,1,0)</f>
        <v>1</v>
      </c>
      <c r="AM1333">
        <f>IF(tbl_HR_Data[[#This Row],[MonthlyIncome]]&lt;$AT$2,1,0)</f>
        <v>0</v>
      </c>
      <c r="AN1333">
        <f>IF(tbl_HR_Data[[#This Row],[Travel_Code]]=2,1,0)</f>
        <v>0</v>
      </c>
      <c r="AO1333">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333" s="15">
        <f>tbl_HR_Data[[#This Row],[Risk_Score_Raw]] / SUM(Logic_Parameters!$B$2:$B$6)</f>
        <v>0.14485673308716898</v>
      </c>
      <c r="AQ1333" s="16" t="str" cm="1">
        <f t="array" ref="AQ1333">_xlfn.IFS(tbl_HR_Data[[#This Row],[Attrition_Risk_Percentage]] &gt;= 0.75, "Critical",tbl_HR_Data[ [#This Row],[Attrition_Risk_Percentage] ]&gt;= 0.5, "High",tbl_HR_Data[[#This Row],[Attrition_Risk_Percentage]] &gt;= 0.25, "Medium",TRUE, "Low")</f>
        <v>Low</v>
      </c>
      <c r="AR1333" s="16" cm="1">
        <f t="array" ref="AR1333">IFERROR(_xlfn.IFS(tbl_HR_Data[[#This Row],[Risk_Category]]="Critical",tbl_HR_Data[[#This Row],[MonthlyIncome]]*1.5,tbl_HR_Data[[#This Row],[Risk_Category]]="High",tbl_HR_Data[[#This Row],[MonthlyIncome]]*1.5),0)</f>
        <v>0</v>
      </c>
    </row>
    <row r="1334" spans="1:44" x14ac:dyDescent="0.35">
      <c r="A1334" t="s">
        <v>963</v>
      </c>
      <c r="B1334">
        <v>29</v>
      </c>
      <c r="C1334" t="s">
        <v>37</v>
      </c>
      <c r="D1334">
        <v>459</v>
      </c>
      <c r="E1334" t="s">
        <v>38</v>
      </c>
      <c r="F1334">
        <v>24</v>
      </c>
      <c r="G1334">
        <v>2</v>
      </c>
      <c r="H1334" t="s">
        <v>33</v>
      </c>
      <c r="I1334">
        <v>4</v>
      </c>
      <c r="J1334" t="s">
        <v>39</v>
      </c>
      <c r="K1334">
        <v>73</v>
      </c>
      <c r="L1334">
        <v>2</v>
      </c>
      <c r="M1334">
        <v>1</v>
      </c>
      <c r="N1334" t="s">
        <v>40</v>
      </c>
      <c r="O1334">
        <v>4</v>
      </c>
      <c r="P1334" t="s">
        <v>36</v>
      </c>
      <c r="Q1334">
        <v>2439</v>
      </c>
      <c r="R1334">
        <v>14753</v>
      </c>
      <c r="S1334">
        <v>1</v>
      </c>
      <c r="T1334">
        <v>1</v>
      </c>
      <c r="U1334" s="17">
        <v>0.24</v>
      </c>
      <c r="V1334">
        <v>4</v>
      </c>
      <c r="W1334">
        <v>2</v>
      </c>
      <c r="X1334">
        <v>0</v>
      </c>
      <c r="Y1334">
        <v>1</v>
      </c>
      <c r="Z1334">
        <v>3</v>
      </c>
      <c r="AA1334">
        <v>2</v>
      </c>
      <c r="AB1334">
        <v>1</v>
      </c>
      <c r="AC1334">
        <v>0</v>
      </c>
      <c r="AD1334">
        <v>1</v>
      </c>
      <c r="AE1334">
        <v>0</v>
      </c>
      <c r="AF1334">
        <v>1</v>
      </c>
      <c r="AG1334">
        <f>IF(tbl_HR_Data[[#This Row],[Gender]]="Male",1,0)</f>
        <v>1</v>
      </c>
      <c r="AH1334" cm="1">
        <f t="array" ref="AH1334">_xlfn.SWITCH(tbl_HR_Data[[#This Row],[BusinessTravel]], "Non-Travel", 0, "Travel_Rarely", 1, "Travel_Frequently", 2)</f>
        <v>2</v>
      </c>
      <c r="AI1334" cm="1">
        <f t="array" ref="AI1334">_xlfn.SWITCH(tbl_HR_Data[[#This Row],[MaritalStatus]],"Single",0,"Married",1,"Divorced",2)</f>
        <v>0</v>
      </c>
      <c r="AJ1334">
        <f>IF(tbl_HR_Data[[#This Row],[OverTime]]=1,1,0)</f>
        <v>1</v>
      </c>
      <c r="AK1334">
        <f>IF(tbl_HR_Data[[#This Row],[DistanceFromHome]]&gt;15,1,0)</f>
        <v>1</v>
      </c>
      <c r="AL1334">
        <f>IF(tbl_HR_Data[[#This Row],[JobSatisfaction]]&lt;=2,1,0)</f>
        <v>0</v>
      </c>
      <c r="AM1334">
        <f>IF(tbl_HR_Data[[#This Row],[MonthlyIncome]]&lt;$AT$2,1,0)</f>
        <v>1</v>
      </c>
      <c r="AN1334">
        <f>IF(tbl_HR_Data[[#This Row],[Travel_Code]]=2,1,0)</f>
        <v>1</v>
      </c>
      <c r="AO1334">
        <f>(tbl_HR_Data[[#This Row],[Flag_OT]] * Logic_Parameters!$B$2) +
 (tbl_HR_Data[[#This Row],[Flag_Travel]] * Logic_Parameters!$B$3) +
 (tbl_HR_Data[[#This Row],[Flag_Satisfaction]] * Logic_Parameters!$B$4) +
 (tbl_HR_Data[[#This Row],[Flag_Distance]]* Logic_Parameters!$B$5) +
 (tbl_HR_Data[[#This Row],[Flag_Income]] * Logic_Parameters!$B$6)</f>
        <v>24.820925613786383</v>
      </c>
      <c r="AP1334" s="15">
        <f>tbl_HR_Data[[#This Row],[Risk_Score_Raw]] / SUM(Logic_Parameters!$B$2:$B$6)</f>
        <v>0.85514326691283105</v>
      </c>
      <c r="AQ1334" s="16" t="str" cm="1">
        <f t="array" ref="AQ1334">_xlfn.IFS(tbl_HR_Data[[#This Row],[Attrition_Risk_Percentage]] &gt;= 0.75, "Critical",tbl_HR_Data[ [#This Row],[Attrition_Risk_Percentage] ]&gt;= 0.5, "High",tbl_HR_Data[[#This Row],[Attrition_Risk_Percentage]] &gt;= 0.25, "Medium",TRUE, "Low")</f>
        <v>Critical</v>
      </c>
      <c r="AR1334" s="16" cm="1">
        <f t="array" ref="AR1334">IFERROR(_xlfn.IFS(tbl_HR_Data[[#This Row],[Risk_Category]]="Critical",tbl_HR_Data[[#This Row],[MonthlyIncome]]*1.5,tbl_HR_Data[[#This Row],[Risk_Category]]="High",tbl_HR_Data[[#This Row],[MonthlyIncome]]*1.5),0)</f>
        <v>3658.5</v>
      </c>
    </row>
    <row r="1335" spans="1:44" x14ac:dyDescent="0.35">
      <c r="A1335" t="s">
        <v>451</v>
      </c>
      <c r="B1335">
        <v>46</v>
      </c>
      <c r="C1335" t="s">
        <v>31</v>
      </c>
      <c r="D1335">
        <v>1254</v>
      </c>
      <c r="E1335" t="s">
        <v>32</v>
      </c>
      <c r="F1335">
        <v>10</v>
      </c>
      <c r="G1335">
        <v>3</v>
      </c>
      <c r="H1335" t="s">
        <v>33</v>
      </c>
      <c r="I1335">
        <v>3</v>
      </c>
      <c r="J1335" t="s">
        <v>34</v>
      </c>
      <c r="K1335">
        <v>64</v>
      </c>
      <c r="L1335">
        <v>3</v>
      </c>
      <c r="M1335">
        <v>3</v>
      </c>
      <c r="N1335" t="s">
        <v>35</v>
      </c>
      <c r="O1335">
        <v>2</v>
      </c>
      <c r="P1335" t="s">
        <v>41</v>
      </c>
      <c r="Q1335">
        <v>7314</v>
      </c>
      <c r="R1335">
        <v>14011</v>
      </c>
      <c r="S1335">
        <v>5</v>
      </c>
      <c r="T1335">
        <v>0</v>
      </c>
      <c r="U1335" s="17">
        <v>0.21</v>
      </c>
      <c r="V1335">
        <v>4</v>
      </c>
      <c r="W1335">
        <v>3</v>
      </c>
      <c r="X1335">
        <v>3</v>
      </c>
      <c r="Y1335">
        <v>14</v>
      </c>
      <c r="Z1335">
        <v>2</v>
      </c>
      <c r="AA1335">
        <v>3</v>
      </c>
      <c r="AB1335">
        <v>8</v>
      </c>
      <c r="AC1335">
        <v>7</v>
      </c>
      <c r="AD1335">
        <v>0</v>
      </c>
      <c r="AE1335">
        <v>7</v>
      </c>
      <c r="AF1335">
        <v>1</v>
      </c>
      <c r="AG1335">
        <f>IF(tbl_HR_Data[[#This Row],[Gender]]="Male",1,0)</f>
        <v>0</v>
      </c>
      <c r="AH1335" cm="1">
        <f t="array" ref="AH1335">_xlfn.SWITCH(tbl_HR_Data[[#This Row],[BusinessTravel]], "Non-Travel", 0, "Travel_Rarely", 1, "Travel_Frequently", 2)</f>
        <v>1</v>
      </c>
      <c r="AI1335" cm="1">
        <f t="array" ref="AI1335">_xlfn.SWITCH(tbl_HR_Data[[#This Row],[MaritalStatus]],"Single",0,"Married",1,"Divorced",2)</f>
        <v>1</v>
      </c>
      <c r="AJ1335">
        <f>IF(tbl_HR_Data[[#This Row],[OverTime]]=1,1,0)</f>
        <v>0</v>
      </c>
      <c r="AK1335">
        <f>IF(tbl_HR_Data[[#This Row],[DistanceFromHome]]&gt;15,1,0)</f>
        <v>0</v>
      </c>
      <c r="AL1335">
        <f>IF(tbl_HR_Data[[#This Row],[JobSatisfaction]]&lt;=2,1,0)</f>
        <v>1</v>
      </c>
      <c r="AM1335">
        <f>IF(tbl_HR_Data[[#This Row],[MonthlyIncome]]&lt;$AT$2,1,0)</f>
        <v>0</v>
      </c>
      <c r="AN1335">
        <f>IF(tbl_HR_Data[[#This Row],[Travel_Code]]=2,1,0)</f>
        <v>0</v>
      </c>
      <c r="AO1335">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335" s="15">
        <f>tbl_HR_Data[[#This Row],[Risk_Score_Raw]] / SUM(Logic_Parameters!$B$2:$B$6)</f>
        <v>0.14485673308716898</v>
      </c>
      <c r="AQ1335" s="16" t="str" cm="1">
        <f t="array" ref="AQ1335">_xlfn.IFS(tbl_HR_Data[[#This Row],[Attrition_Risk_Percentage]] &gt;= 0.75, "Critical",tbl_HR_Data[ [#This Row],[Attrition_Risk_Percentage] ]&gt;= 0.5, "High",tbl_HR_Data[[#This Row],[Attrition_Risk_Percentage]] &gt;= 0.25, "Medium",TRUE, "Low")</f>
        <v>Low</v>
      </c>
      <c r="AR1335" s="16" cm="1">
        <f t="array" ref="AR1335">IFERROR(_xlfn.IFS(tbl_HR_Data[[#This Row],[Risk_Category]]="Critical",tbl_HR_Data[[#This Row],[MonthlyIncome]]*1.5,tbl_HR_Data[[#This Row],[Risk_Category]]="High",tbl_HR_Data[[#This Row],[MonthlyIncome]]*1.5),0)</f>
        <v>0</v>
      </c>
    </row>
    <row r="1336" spans="1:44" x14ac:dyDescent="0.35">
      <c r="A1336" t="s">
        <v>889</v>
      </c>
      <c r="B1336">
        <v>27</v>
      </c>
      <c r="C1336" t="s">
        <v>37</v>
      </c>
      <c r="D1336">
        <v>1131</v>
      </c>
      <c r="E1336" t="s">
        <v>38</v>
      </c>
      <c r="F1336">
        <v>15</v>
      </c>
      <c r="G1336">
        <v>3</v>
      </c>
      <c r="H1336" t="s">
        <v>33</v>
      </c>
      <c r="I1336">
        <v>4</v>
      </c>
      <c r="J1336" t="s">
        <v>34</v>
      </c>
      <c r="K1336">
        <v>77</v>
      </c>
      <c r="L1336">
        <v>2</v>
      </c>
      <c r="M1336">
        <v>1</v>
      </c>
      <c r="N1336" t="s">
        <v>40</v>
      </c>
      <c r="O1336">
        <v>1</v>
      </c>
      <c r="P1336" t="s">
        <v>41</v>
      </c>
      <c r="Q1336">
        <v>4774</v>
      </c>
      <c r="R1336">
        <v>23844</v>
      </c>
      <c r="S1336">
        <v>0</v>
      </c>
      <c r="T1336">
        <v>0</v>
      </c>
      <c r="U1336" s="17">
        <v>0.19</v>
      </c>
      <c r="V1336">
        <v>3</v>
      </c>
      <c r="W1336">
        <v>4</v>
      </c>
      <c r="X1336">
        <v>1</v>
      </c>
      <c r="Y1336">
        <v>8</v>
      </c>
      <c r="Z1336">
        <v>2</v>
      </c>
      <c r="AA1336">
        <v>2</v>
      </c>
      <c r="AB1336">
        <v>7</v>
      </c>
      <c r="AC1336">
        <v>6</v>
      </c>
      <c r="AD1336">
        <v>7</v>
      </c>
      <c r="AE1336">
        <v>3</v>
      </c>
      <c r="AF1336">
        <v>0</v>
      </c>
      <c r="AG1336">
        <f>IF(tbl_HR_Data[[#This Row],[Gender]]="Male",1,0)</f>
        <v>0</v>
      </c>
      <c r="AH1336" cm="1">
        <f t="array" ref="AH1336">_xlfn.SWITCH(tbl_HR_Data[[#This Row],[BusinessTravel]], "Non-Travel", 0, "Travel_Rarely", 1, "Travel_Frequently", 2)</f>
        <v>2</v>
      </c>
      <c r="AI1336" cm="1">
        <f t="array" ref="AI1336">_xlfn.SWITCH(tbl_HR_Data[[#This Row],[MaritalStatus]],"Single",0,"Married",1,"Divorced",2)</f>
        <v>1</v>
      </c>
      <c r="AJ1336">
        <f>IF(tbl_HR_Data[[#This Row],[OverTime]]=1,1,0)</f>
        <v>0</v>
      </c>
      <c r="AK1336">
        <f>IF(tbl_HR_Data[[#This Row],[DistanceFromHome]]&gt;15,1,0)</f>
        <v>0</v>
      </c>
      <c r="AL1336">
        <f>IF(tbl_HR_Data[[#This Row],[JobSatisfaction]]&lt;=2,1,0)</f>
        <v>1</v>
      </c>
      <c r="AM1336">
        <f>IF(tbl_HR_Data[[#This Row],[MonthlyIncome]]&lt;$AT$2,1,0)</f>
        <v>1</v>
      </c>
      <c r="AN1336">
        <f>IF(tbl_HR_Data[[#This Row],[Travel_Code]]=2,1,0)</f>
        <v>1</v>
      </c>
      <c r="AO1336">
        <f>(tbl_HR_Data[[#This Row],[Flag_OT]] * Logic_Parameters!$B$2) +
 (tbl_HR_Data[[#This Row],[Flag_Travel]] * Logic_Parameters!$B$3) +
 (tbl_HR_Data[[#This Row],[Flag_Satisfaction]] * Logic_Parameters!$B$4) +
 (tbl_HR_Data[[#This Row],[Flag_Distance]]* Logic_Parameters!$B$5) +
 (tbl_HR_Data[[#This Row],[Flag_Income]] * Logic_Parameters!$B$6)</f>
        <v>15.859352047889136</v>
      </c>
      <c r="AP1336" s="15">
        <f>tbl_HR_Data[[#This Row],[Risk_Score_Raw]] / SUM(Logic_Parameters!$B$2:$B$6)</f>
        <v>0.54639453549708916</v>
      </c>
      <c r="AQ1336" s="16" t="str" cm="1">
        <f t="array" ref="AQ1336">_xlfn.IFS(tbl_HR_Data[[#This Row],[Attrition_Risk_Percentage]] &gt;= 0.75, "Critical",tbl_HR_Data[ [#This Row],[Attrition_Risk_Percentage] ]&gt;= 0.5, "High",tbl_HR_Data[[#This Row],[Attrition_Risk_Percentage]] &gt;= 0.25, "Medium",TRUE, "Low")</f>
        <v>High</v>
      </c>
      <c r="AR1336" s="16" cm="1">
        <f t="array" ref="AR1336">IFERROR(_xlfn.IFS(tbl_HR_Data[[#This Row],[Risk_Category]]="Critical",tbl_HR_Data[[#This Row],[MonthlyIncome]]*1.5,tbl_HR_Data[[#This Row],[Risk_Category]]="High",tbl_HR_Data[[#This Row],[MonthlyIncome]]*1.5),0)</f>
        <v>7161</v>
      </c>
    </row>
    <row r="1337" spans="1:44" x14ac:dyDescent="0.35">
      <c r="A1337" t="s">
        <v>156</v>
      </c>
      <c r="B1337">
        <v>39</v>
      </c>
      <c r="C1337" t="s">
        <v>31</v>
      </c>
      <c r="D1337">
        <v>835</v>
      </c>
      <c r="E1337" t="s">
        <v>38</v>
      </c>
      <c r="F1337">
        <v>19</v>
      </c>
      <c r="G1337">
        <v>4</v>
      </c>
      <c r="H1337" t="s">
        <v>42</v>
      </c>
      <c r="I1337">
        <v>4</v>
      </c>
      <c r="J1337" t="s">
        <v>39</v>
      </c>
      <c r="K1337">
        <v>41</v>
      </c>
      <c r="L1337">
        <v>3</v>
      </c>
      <c r="M1337">
        <v>2</v>
      </c>
      <c r="N1337" t="s">
        <v>40</v>
      </c>
      <c r="O1337">
        <v>4</v>
      </c>
      <c r="P1337" t="s">
        <v>45</v>
      </c>
      <c r="Q1337">
        <v>3902</v>
      </c>
      <c r="R1337">
        <v>5141</v>
      </c>
      <c r="S1337">
        <v>8</v>
      </c>
      <c r="T1337">
        <v>0</v>
      </c>
      <c r="U1337" s="17">
        <v>0.14000000000000001</v>
      </c>
      <c r="V1337">
        <v>3</v>
      </c>
      <c r="W1337">
        <v>2</v>
      </c>
      <c r="X1337">
        <v>3</v>
      </c>
      <c r="Y1337">
        <v>7</v>
      </c>
      <c r="Z1337">
        <v>2</v>
      </c>
      <c r="AA1337">
        <v>3</v>
      </c>
      <c r="AB1337">
        <v>2</v>
      </c>
      <c r="AC1337">
        <v>2</v>
      </c>
      <c r="AD1337">
        <v>2</v>
      </c>
      <c r="AE1337">
        <v>2</v>
      </c>
      <c r="AF1337">
        <v>0</v>
      </c>
      <c r="AG1337">
        <f>IF(tbl_HR_Data[[#This Row],[Gender]]="Male",1,0)</f>
        <v>1</v>
      </c>
      <c r="AH1337" cm="1">
        <f t="array" ref="AH1337">_xlfn.SWITCH(tbl_HR_Data[[#This Row],[BusinessTravel]], "Non-Travel", 0, "Travel_Rarely", 1, "Travel_Frequently", 2)</f>
        <v>1</v>
      </c>
      <c r="AI1337" cm="1">
        <f t="array" ref="AI1337">_xlfn.SWITCH(tbl_HR_Data[[#This Row],[MaritalStatus]],"Single",0,"Married",1,"Divorced",2)</f>
        <v>2</v>
      </c>
      <c r="AJ1337">
        <f>IF(tbl_HR_Data[[#This Row],[OverTime]]=1,1,0)</f>
        <v>0</v>
      </c>
      <c r="AK1337">
        <f>IF(tbl_HR_Data[[#This Row],[DistanceFromHome]]&gt;15,1,0)</f>
        <v>1</v>
      </c>
      <c r="AL1337">
        <f>IF(tbl_HR_Data[[#This Row],[JobSatisfaction]]&lt;=2,1,0)</f>
        <v>0</v>
      </c>
      <c r="AM1337">
        <f>IF(tbl_HR_Data[[#This Row],[MonthlyIncome]]&lt;$AT$2,1,0)</f>
        <v>1</v>
      </c>
      <c r="AN1337">
        <f>IF(tbl_HR_Data[[#This Row],[Travel_Code]]=2,1,0)</f>
        <v>0</v>
      </c>
      <c r="AO1337">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1337" s="15">
        <f>tbl_HR_Data[[#This Row],[Risk_Score_Raw]] / SUM(Logic_Parameters!$B$2:$B$6)</f>
        <v>0.33282973125692844</v>
      </c>
      <c r="AQ1337" s="16" t="str" cm="1">
        <f t="array" ref="AQ1337">_xlfn.IFS(tbl_HR_Data[[#This Row],[Attrition_Risk_Percentage]] &gt;= 0.75, "Critical",tbl_HR_Data[ [#This Row],[Attrition_Risk_Percentage] ]&gt;= 0.5, "High",tbl_HR_Data[[#This Row],[Attrition_Risk_Percentage]] &gt;= 0.25, "Medium",TRUE, "Low")</f>
        <v>Medium</v>
      </c>
      <c r="AR1337" s="16" cm="1">
        <f t="array" ref="AR1337">IFERROR(_xlfn.IFS(tbl_HR_Data[[#This Row],[Risk_Category]]="Critical",tbl_HR_Data[[#This Row],[MonthlyIncome]]*1.5,tbl_HR_Data[[#This Row],[Risk_Category]]="High",tbl_HR_Data[[#This Row],[MonthlyIncome]]*1.5),0)</f>
        <v>0</v>
      </c>
    </row>
    <row r="1338" spans="1:44" x14ac:dyDescent="0.35">
      <c r="A1338" t="s">
        <v>432</v>
      </c>
      <c r="B1338">
        <v>55</v>
      </c>
      <c r="C1338" t="s">
        <v>31</v>
      </c>
      <c r="D1338">
        <v>836</v>
      </c>
      <c r="E1338" t="s">
        <v>38</v>
      </c>
      <c r="F1338">
        <v>2</v>
      </c>
      <c r="G1338">
        <v>4</v>
      </c>
      <c r="H1338" t="s">
        <v>52</v>
      </c>
      <c r="I1338">
        <v>2</v>
      </c>
      <c r="J1338" t="s">
        <v>39</v>
      </c>
      <c r="K1338">
        <v>98</v>
      </c>
      <c r="L1338">
        <v>2</v>
      </c>
      <c r="M1338">
        <v>1</v>
      </c>
      <c r="N1338" t="s">
        <v>40</v>
      </c>
      <c r="O1338">
        <v>4</v>
      </c>
      <c r="P1338" t="s">
        <v>41</v>
      </c>
      <c r="Q1338">
        <v>2662</v>
      </c>
      <c r="R1338">
        <v>7975</v>
      </c>
      <c r="S1338">
        <v>8</v>
      </c>
      <c r="T1338">
        <v>0</v>
      </c>
      <c r="U1338" s="17">
        <v>0.2</v>
      </c>
      <c r="V1338">
        <v>4</v>
      </c>
      <c r="W1338">
        <v>2</v>
      </c>
      <c r="X1338">
        <v>1</v>
      </c>
      <c r="Y1338">
        <v>19</v>
      </c>
      <c r="Z1338">
        <v>2</v>
      </c>
      <c r="AA1338">
        <v>4</v>
      </c>
      <c r="AB1338">
        <v>5</v>
      </c>
      <c r="AC1338">
        <v>2</v>
      </c>
      <c r="AD1338">
        <v>0</v>
      </c>
      <c r="AE1338">
        <v>4</v>
      </c>
      <c r="AF1338">
        <v>0</v>
      </c>
      <c r="AG1338">
        <f>IF(tbl_HR_Data[[#This Row],[Gender]]="Male",1,0)</f>
        <v>1</v>
      </c>
      <c r="AH1338" cm="1">
        <f t="array" ref="AH1338">_xlfn.SWITCH(tbl_HR_Data[[#This Row],[BusinessTravel]], "Non-Travel", 0, "Travel_Rarely", 1, "Travel_Frequently", 2)</f>
        <v>1</v>
      </c>
      <c r="AI1338" cm="1">
        <f t="array" ref="AI1338">_xlfn.SWITCH(tbl_HR_Data[[#This Row],[MaritalStatus]],"Single",0,"Married",1,"Divorced",2)</f>
        <v>1</v>
      </c>
      <c r="AJ1338">
        <f>IF(tbl_HR_Data[[#This Row],[OverTime]]=1,1,0)</f>
        <v>0</v>
      </c>
      <c r="AK1338">
        <f>IF(tbl_HR_Data[[#This Row],[DistanceFromHome]]&gt;15,1,0)</f>
        <v>0</v>
      </c>
      <c r="AL1338">
        <f>IF(tbl_HR_Data[[#This Row],[JobSatisfaction]]&lt;=2,1,0)</f>
        <v>0</v>
      </c>
      <c r="AM1338">
        <f>IF(tbl_HR_Data[[#This Row],[MonthlyIncome]]&lt;$AT$2,1,0)</f>
        <v>1</v>
      </c>
      <c r="AN1338">
        <f>IF(tbl_HR_Data[[#This Row],[Travel_Code]]=2,1,0)</f>
        <v>0</v>
      </c>
      <c r="AO1338">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338" s="15">
        <f>tbl_HR_Data[[#This Row],[Risk_Score_Raw]] / SUM(Logic_Parameters!$B$2:$B$6)</f>
        <v>0.22374939857982484</v>
      </c>
      <c r="AQ1338" s="16" t="str" cm="1">
        <f t="array" ref="AQ1338">_xlfn.IFS(tbl_HR_Data[[#This Row],[Attrition_Risk_Percentage]] &gt;= 0.75, "Critical",tbl_HR_Data[ [#This Row],[Attrition_Risk_Percentage] ]&gt;= 0.5, "High",tbl_HR_Data[[#This Row],[Attrition_Risk_Percentage]] &gt;= 0.25, "Medium",TRUE, "Low")</f>
        <v>Low</v>
      </c>
      <c r="AR1338" s="16" cm="1">
        <f t="array" ref="AR1338">IFERROR(_xlfn.IFS(tbl_HR_Data[[#This Row],[Risk_Category]]="Critical",tbl_HR_Data[[#This Row],[MonthlyIncome]]*1.5,tbl_HR_Data[[#This Row],[Risk_Category]]="High",tbl_HR_Data[[#This Row],[MonthlyIncome]]*1.5),0)</f>
        <v>0</v>
      </c>
    </row>
    <row r="1339" spans="1:44" x14ac:dyDescent="0.35">
      <c r="A1339" t="s">
        <v>1244</v>
      </c>
      <c r="B1339">
        <v>28</v>
      </c>
      <c r="C1339" t="s">
        <v>31</v>
      </c>
      <c r="D1339">
        <v>1172</v>
      </c>
      <c r="E1339" t="s">
        <v>32</v>
      </c>
      <c r="F1339">
        <v>3</v>
      </c>
      <c r="G1339">
        <v>3</v>
      </c>
      <c r="H1339" t="s">
        <v>44</v>
      </c>
      <c r="I1339">
        <v>2</v>
      </c>
      <c r="J1339" t="s">
        <v>34</v>
      </c>
      <c r="K1339">
        <v>78</v>
      </c>
      <c r="L1339">
        <v>3</v>
      </c>
      <c r="M1339">
        <v>1</v>
      </c>
      <c r="N1339" t="s">
        <v>49</v>
      </c>
      <c r="O1339">
        <v>2</v>
      </c>
      <c r="P1339" t="s">
        <v>41</v>
      </c>
      <c r="Q1339">
        <v>2856</v>
      </c>
      <c r="R1339">
        <v>3692</v>
      </c>
      <c r="S1339">
        <v>1</v>
      </c>
      <c r="T1339">
        <v>0</v>
      </c>
      <c r="U1339" s="17">
        <v>0.19</v>
      </c>
      <c r="V1339">
        <v>3</v>
      </c>
      <c r="W1339">
        <v>4</v>
      </c>
      <c r="X1339">
        <v>1</v>
      </c>
      <c r="Y1339">
        <v>1</v>
      </c>
      <c r="Z1339">
        <v>3</v>
      </c>
      <c r="AA1339">
        <v>3</v>
      </c>
      <c r="AB1339">
        <v>1</v>
      </c>
      <c r="AC1339">
        <v>0</v>
      </c>
      <c r="AD1339">
        <v>0</v>
      </c>
      <c r="AE1339">
        <v>0</v>
      </c>
      <c r="AF1339">
        <v>0</v>
      </c>
      <c r="AG1339">
        <f>IF(tbl_HR_Data[[#This Row],[Gender]]="Male",1,0)</f>
        <v>0</v>
      </c>
      <c r="AH1339" cm="1">
        <f t="array" ref="AH1339">_xlfn.SWITCH(tbl_HR_Data[[#This Row],[BusinessTravel]], "Non-Travel", 0, "Travel_Rarely", 1, "Travel_Frequently", 2)</f>
        <v>1</v>
      </c>
      <c r="AI1339" cm="1">
        <f t="array" ref="AI1339">_xlfn.SWITCH(tbl_HR_Data[[#This Row],[MaritalStatus]],"Single",0,"Married",1,"Divorced",2)</f>
        <v>1</v>
      </c>
      <c r="AJ1339">
        <f>IF(tbl_HR_Data[[#This Row],[OverTime]]=1,1,0)</f>
        <v>0</v>
      </c>
      <c r="AK1339">
        <f>IF(tbl_HR_Data[[#This Row],[DistanceFromHome]]&gt;15,1,0)</f>
        <v>0</v>
      </c>
      <c r="AL1339">
        <f>IF(tbl_HR_Data[[#This Row],[JobSatisfaction]]&lt;=2,1,0)</f>
        <v>1</v>
      </c>
      <c r="AM1339">
        <f>IF(tbl_HR_Data[[#This Row],[MonthlyIncome]]&lt;$AT$2,1,0)</f>
        <v>1</v>
      </c>
      <c r="AN1339">
        <f>IF(tbl_HR_Data[[#This Row],[Travel_Code]]=2,1,0)</f>
        <v>0</v>
      </c>
      <c r="AO1339">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339" s="15">
        <f>tbl_HR_Data[[#This Row],[Risk_Score_Raw]] / SUM(Logic_Parameters!$B$2:$B$6)</f>
        <v>0.3686061316669938</v>
      </c>
      <c r="AQ1339" s="16" t="str" cm="1">
        <f t="array" ref="AQ1339">_xlfn.IFS(tbl_HR_Data[[#This Row],[Attrition_Risk_Percentage]] &gt;= 0.75, "Critical",tbl_HR_Data[ [#This Row],[Attrition_Risk_Percentage] ]&gt;= 0.5, "High",tbl_HR_Data[[#This Row],[Attrition_Risk_Percentage]] &gt;= 0.25, "Medium",TRUE, "Low")</f>
        <v>Medium</v>
      </c>
      <c r="AR1339" s="16" cm="1">
        <f t="array" ref="AR1339">IFERROR(_xlfn.IFS(tbl_HR_Data[[#This Row],[Risk_Category]]="Critical",tbl_HR_Data[[#This Row],[MonthlyIncome]]*1.5,tbl_HR_Data[[#This Row],[Risk_Category]]="High",tbl_HR_Data[[#This Row],[MonthlyIncome]]*1.5),0)</f>
        <v>0</v>
      </c>
    </row>
    <row r="1340" spans="1:44" x14ac:dyDescent="0.35">
      <c r="A1340" t="s">
        <v>187</v>
      </c>
      <c r="B1340">
        <v>30</v>
      </c>
      <c r="C1340" t="s">
        <v>31</v>
      </c>
      <c r="D1340">
        <v>945</v>
      </c>
      <c r="E1340" t="s">
        <v>32</v>
      </c>
      <c r="F1340">
        <v>9</v>
      </c>
      <c r="G1340">
        <v>3</v>
      </c>
      <c r="H1340" t="s">
        <v>44</v>
      </c>
      <c r="I1340">
        <v>2</v>
      </c>
      <c r="J1340" t="s">
        <v>39</v>
      </c>
      <c r="K1340">
        <v>89</v>
      </c>
      <c r="L1340">
        <v>3</v>
      </c>
      <c r="M1340">
        <v>1</v>
      </c>
      <c r="N1340" t="s">
        <v>49</v>
      </c>
      <c r="O1340">
        <v>4</v>
      </c>
      <c r="P1340" t="s">
        <v>36</v>
      </c>
      <c r="Q1340">
        <v>1081</v>
      </c>
      <c r="R1340">
        <v>16019</v>
      </c>
      <c r="S1340">
        <v>1</v>
      </c>
      <c r="T1340">
        <v>0</v>
      </c>
      <c r="U1340" s="17">
        <v>0.13</v>
      </c>
      <c r="V1340">
        <v>3</v>
      </c>
      <c r="W1340">
        <v>3</v>
      </c>
      <c r="X1340">
        <v>0</v>
      </c>
      <c r="Y1340">
        <v>1</v>
      </c>
      <c r="Z1340">
        <v>3</v>
      </c>
      <c r="AA1340">
        <v>2</v>
      </c>
      <c r="AB1340">
        <v>1</v>
      </c>
      <c r="AC1340">
        <v>0</v>
      </c>
      <c r="AD1340">
        <v>0</v>
      </c>
      <c r="AE1340">
        <v>0</v>
      </c>
      <c r="AF1340">
        <v>1</v>
      </c>
      <c r="AG1340">
        <f>IF(tbl_HR_Data[[#This Row],[Gender]]="Male",1,0)</f>
        <v>1</v>
      </c>
      <c r="AH1340" cm="1">
        <f t="array" ref="AH1340">_xlfn.SWITCH(tbl_HR_Data[[#This Row],[BusinessTravel]], "Non-Travel", 0, "Travel_Rarely", 1, "Travel_Frequently", 2)</f>
        <v>1</v>
      </c>
      <c r="AI1340" cm="1">
        <f t="array" ref="AI1340">_xlfn.SWITCH(tbl_HR_Data[[#This Row],[MaritalStatus]],"Single",0,"Married",1,"Divorced",2)</f>
        <v>0</v>
      </c>
      <c r="AJ1340">
        <f>IF(tbl_HR_Data[[#This Row],[OverTime]]=1,1,0)</f>
        <v>0</v>
      </c>
      <c r="AK1340">
        <f>IF(tbl_HR_Data[[#This Row],[DistanceFromHome]]&gt;15,1,0)</f>
        <v>0</v>
      </c>
      <c r="AL1340">
        <f>IF(tbl_HR_Data[[#This Row],[JobSatisfaction]]&lt;=2,1,0)</f>
        <v>0</v>
      </c>
      <c r="AM1340">
        <f>IF(tbl_HR_Data[[#This Row],[MonthlyIncome]]&lt;$AT$2,1,0)</f>
        <v>1</v>
      </c>
      <c r="AN1340">
        <f>IF(tbl_HR_Data[[#This Row],[Travel_Code]]=2,1,0)</f>
        <v>0</v>
      </c>
      <c r="AO1340">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340" s="15">
        <f>tbl_HR_Data[[#This Row],[Risk_Score_Raw]] / SUM(Logic_Parameters!$B$2:$B$6)</f>
        <v>0.22374939857982484</v>
      </c>
      <c r="AQ1340" s="16" t="str" cm="1">
        <f t="array" ref="AQ1340">_xlfn.IFS(tbl_HR_Data[[#This Row],[Attrition_Risk_Percentage]] &gt;= 0.75, "Critical",tbl_HR_Data[ [#This Row],[Attrition_Risk_Percentage] ]&gt;= 0.5, "High",tbl_HR_Data[[#This Row],[Attrition_Risk_Percentage]] &gt;= 0.25, "Medium",TRUE, "Low")</f>
        <v>Low</v>
      </c>
      <c r="AR1340" s="16" cm="1">
        <f t="array" ref="AR1340">IFERROR(_xlfn.IFS(tbl_HR_Data[[#This Row],[Risk_Category]]="Critical",tbl_HR_Data[[#This Row],[MonthlyIncome]]*1.5,tbl_HR_Data[[#This Row],[Risk_Category]]="High",tbl_HR_Data[[#This Row],[MonthlyIncome]]*1.5),0)</f>
        <v>0</v>
      </c>
    </row>
    <row r="1341" spans="1:44" x14ac:dyDescent="0.35">
      <c r="A1341" t="s">
        <v>439</v>
      </c>
      <c r="B1341">
        <v>22</v>
      </c>
      <c r="C1341" t="s">
        <v>31</v>
      </c>
      <c r="D1341">
        <v>391</v>
      </c>
      <c r="E1341" t="s">
        <v>38</v>
      </c>
      <c r="F1341">
        <v>7</v>
      </c>
      <c r="G1341">
        <v>1</v>
      </c>
      <c r="H1341" t="s">
        <v>33</v>
      </c>
      <c r="I1341">
        <v>4</v>
      </c>
      <c r="J1341" t="s">
        <v>39</v>
      </c>
      <c r="K1341">
        <v>75</v>
      </c>
      <c r="L1341">
        <v>3</v>
      </c>
      <c r="M1341">
        <v>1</v>
      </c>
      <c r="N1341" t="s">
        <v>40</v>
      </c>
      <c r="O1341">
        <v>2</v>
      </c>
      <c r="P1341" t="s">
        <v>36</v>
      </c>
      <c r="Q1341">
        <v>2472</v>
      </c>
      <c r="R1341">
        <v>26092</v>
      </c>
      <c r="S1341">
        <v>1</v>
      </c>
      <c r="T1341">
        <v>1</v>
      </c>
      <c r="U1341" s="17">
        <v>0.23</v>
      </c>
      <c r="V1341">
        <v>4</v>
      </c>
      <c r="W1341">
        <v>1</v>
      </c>
      <c r="X1341">
        <v>0</v>
      </c>
      <c r="Y1341">
        <v>1</v>
      </c>
      <c r="Z1341">
        <v>2</v>
      </c>
      <c r="AA1341">
        <v>3</v>
      </c>
      <c r="AB1341">
        <v>1</v>
      </c>
      <c r="AC1341">
        <v>0</v>
      </c>
      <c r="AD1341">
        <v>0</v>
      </c>
      <c r="AE1341">
        <v>0</v>
      </c>
      <c r="AF1341">
        <v>1</v>
      </c>
      <c r="AG1341">
        <f>IF(tbl_HR_Data[[#This Row],[Gender]]="Male",1,0)</f>
        <v>1</v>
      </c>
      <c r="AH1341" cm="1">
        <f t="array" ref="AH1341">_xlfn.SWITCH(tbl_HR_Data[[#This Row],[BusinessTravel]], "Non-Travel", 0, "Travel_Rarely", 1, "Travel_Frequently", 2)</f>
        <v>1</v>
      </c>
      <c r="AI1341" cm="1">
        <f t="array" ref="AI1341">_xlfn.SWITCH(tbl_HR_Data[[#This Row],[MaritalStatus]],"Single",0,"Married",1,"Divorced",2)</f>
        <v>0</v>
      </c>
      <c r="AJ1341">
        <f>IF(tbl_HR_Data[[#This Row],[OverTime]]=1,1,0)</f>
        <v>1</v>
      </c>
      <c r="AK1341">
        <f>IF(tbl_HR_Data[[#This Row],[DistanceFromHome]]&gt;15,1,0)</f>
        <v>0</v>
      </c>
      <c r="AL1341">
        <f>IF(tbl_HR_Data[[#This Row],[JobSatisfaction]]&lt;=2,1,0)</f>
        <v>1</v>
      </c>
      <c r="AM1341">
        <f>IF(tbl_HR_Data[[#This Row],[MonthlyIncome]]&lt;$AT$2,1,0)</f>
        <v>1</v>
      </c>
      <c r="AN1341">
        <f>IF(tbl_HR_Data[[#This Row],[Travel_Code]]=2,1,0)</f>
        <v>0</v>
      </c>
      <c r="AO1341">
        <f>(tbl_HR_Data[[#This Row],[Flag_OT]] * Logic_Parameters!$B$2) +
 (tbl_HR_Data[[#This Row],[Flag_Travel]] * Logic_Parameters!$B$3) +
 (tbl_HR_Data[[#This Row],[Flag_Satisfaction]] * Logic_Parameters!$B$4) +
 (tbl_HR_Data[[#This Row],[Flag_Distance]]* Logic_Parameters!$B$5) +
 (tbl_HR_Data[[#This Row],[Flag_Income]] * Logic_Parameters!$B$6)</f>
        <v>20.698962067398959</v>
      </c>
      <c r="AP1341" s="15">
        <f>tbl_HR_Data[[#This Row],[Risk_Score_Raw]] / SUM(Logic_Parameters!$B$2:$B$6)</f>
        <v>0.71313126349280109</v>
      </c>
      <c r="AQ1341" s="16" t="str" cm="1">
        <f t="array" ref="AQ1341">_xlfn.IFS(tbl_HR_Data[[#This Row],[Attrition_Risk_Percentage]] &gt;= 0.75, "Critical",tbl_HR_Data[ [#This Row],[Attrition_Risk_Percentage] ]&gt;= 0.5, "High",tbl_HR_Data[[#This Row],[Attrition_Risk_Percentage]] &gt;= 0.25, "Medium",TRUE, "Low")</f>
        <v>High</v>
      </c>
      <c r="AR1341" s="16" cm="1">
        <f t="array" ref="AR1341">IFERROR(_xlfn.IFS(tbl_HR_Data[[#This Row],[Risk_Category]]="Critical",tbl_HR_Data[[#This Row],[MonthlyIncome]]*1.5,tbl_HR_Data[[#This Row],[Risk_Category]]="High",tbl_HR_Data[[#This Row],[MonthlyIncome]]*1.5),0)</f>
        <v>3708</v>
      </c>
    </row>
    <row r="1342" spans="1:44" x14ac:dyDescent="0.35">
      <c r="A1342" t="s">
        <v>818</v>
      </c>
      <c r="B1342">
        <v>36</v>
      </c>
      <c r="C1342" t="s">
        <v>31</v>
      </c>
      <c r="D1342">
        <v>1266</v>
      </c>
      <c r="E1342" t="s">
        <v>32</v>
      </c>
      <c r="F1342">
        <v>10</v>
      </c>
      <c r="G1342">
        <v>4</v>
      </c>
      <c r="H1342" t="s">
        <v>52</v>
      </c>
      <c r="I1342">
        <v>2</v>
      </c>
      <c r="J1342" t="s">
        <v>34</v>
      </c>
      <c r="K1342">
        <v>63</v>
      </c>
      <c r="L1342">
        <v>2</v>
      </c>
      <c r="M1342">
        <v>2</v>
      </c>
      <c r="N1342" t="s">
        <v>35</v>
      </c>
      <c r="O1342">
        <v>3</v>
      </c>
      <c r="P1342" t="s">
        <v>41</v>
      </c>
      <c r="Q1342">
        <v>5673</v>
      </c>
      <c r="R1342">
        <v>6060</v>
      </c>
      <c r="S1342">
        <v>1</v>
      </c>
      <c r="T1342">
        <v>1</v>
      </c>
      <c r="U1342" s="17">
        <v>0.13</v>
      </c>
      <c r="V1342">
        <v>3</v>
      </c>
      <c r="W1342">
        <v>1</v>
      </c>
      <c r="X1342">
        <v>1</v>
      </c>
      <c r="Y1342">
        <v>10</v>
      </c>
      <c r="Z1342">
        <v>4</v>
      </c>
      <c r="AA1342">
        <v>3</v>
      </c>
      <c r="AB1342">
        <v>10</v>
      </c>
      <c r="AC1342">
        <v>9</v>
      </c>
      <c r="AD1342">
        <v>1</v>
      </c>
      <c r="AE1342">
        <v>7</v>
      </c>
      <c r="AF1342">
        <v>0</v>
      </c>
      <c r="AG1342">
        <f>IF(tbl_HR_Data[[#This Row],[Gender]]="Male",1,0)</f>
        <v>0</v>
      </c>
      <c r="AH1342" cm="1">
        <f t="array" ref="AH1342">_xlfn.SWITCH(tbl_HR_Data[[#This Row],[BusinessTravel]], "Non-Travel", 0, "Travel_Rarely", 1, "Travel_Frequently", 2)</f>
        <v>1</v>
      </c>
      <c r="AI1342" cm="1">
        <f t="array" ref="AI1342">_xlfn.SWITCH(tbl_HR_Data[[#This Row],[MaritalStatus]],"Single",0,"Married",1,"Divorced",2)</f>
        <v>1</v>
      </c>
      <c r="AJ1342">
        <f>IF(tbl_HR_Data[[#This Row],[OverTime]]=1,1,0)</f>
        <v>1</v>
      </c>
      <c r="AK1342">
        <f>IF(tbl_HR_Data[[#This Row],[DistanceFromHome]]&gt;15,1,0)</f>
        <v>0</v>
      </c>
      <c r="AL1342">
        <f>IF(tbl_HR_Data[[#This Row],[JobSatisfaction]]&lt;=2,1,0)</f>
        <v>0</v>
      </c>
      <c r="AM1342">
        <f>IF(tbl_HR_Data[[#This Row],[MonthlyIncome]]&lt;$AT$2,1,0)</f>
        <v>0</v>
      </c>
      <c r="AN1342">
        <f>IF(tbl_HR_Data[[#This Row],[Travel_Code]]=2,1,0)</f>
        <v>0</v>
      </c>
      <c r="AO1342">
        <f>(tbl_HR_Data[[#This Row],[Flag_OT]] * Logic_Parameters!$B$2) +
 (tbl_HR_Data[[#This Row],[Flag_Travel]] * Logic_Parameters!$B$3) +
 (tbl_HR_Data[[#This Row],[Flag_Satisfaction]] * Logic_Parameters!$B$4) +
 (tbl_HR_Data[[#This Row],[Flag_Distance]]* Logic_Parameters!$B$5) +
 (tbl_HR_Data[[#This Row],[Flag_Income]] * Logic_Parameters!$B$6)</f>
        <v>10</v>
      </c>
      <c r="AP1342" s="15">
        <f>tbl_HR_Data[[#This Row],[Risk_Score_Raw]] / SUM(Logic_Parameters!$B$2:$B$6)</f>
        <v>0.3445251318258073</v>
      </c>
      <c r="AQ1342" s="16" t="str" cm="1">
        <f t="array" ref="AQ1342">_xlfn.IFS(tbl_HR_Data[[#This Row],[Attrition_Risk_Percentage]] &gt;= 0.75, "Critical",tbl_HR_Data[ [#This Row],[Attrition_Risk_Percentage] ]&gt;= 0.5, "High",tbl_HR_Data[[#This Row],[Attrition_Risk_Percentage]] &gt;= 0.25, "Medium",TRUE, "Low")</f>
        <v>Medium</v>
      </c>
      <c r="AR1342" s="16" cm="1">
        <f t="array" ref="AR1342">IFERROR(_xlfn.IFS(tbl_HR_Data[[#This Row],[Risk_Category]]="Critical",tbl_HR_Data[[#This Row],[MonthlyIncome]]*1.5,tbl_HR_Data[[#This Row],[Risk_Category]]="High",tbl_HR_Data[[#This Row],[MonthlyIncome]]*1.5),0)</f>
        <v>0</v>
      </c>
    </row>
    <row r="1343" spans="1:44" x14ac:dyDescent="0.35">
      <c r="A1343" t="s">
        <v>178</v>
      </c>
      <c r="B1343">
        <v>31</v>
      </c>
      <c r="C1343" t="s">
        <v>31</v>
      </c>
      <c r="D1343">
        <v>311</v>
      </c>
      <c r="E1343" t="s">
        <v>38</v>
      </c>
      <c r="F1343">
        <v>20</v>
      </c>
      <c r="G1343">
        <v>3</v>
      </c>
      <c r="H1343" t="s">
        <v>33</v>
      </c>
      <c r="I1343">
        <v>2</v>
      </c>
      <c r="J1343" t="s">
        <v>39</v>
      </c>
      <c r="K1343">
        <v>89</v>
      </c>
      <c r="L1343">
        <v>3</v>
      </c>
      <c r="M1343">
        <v>2</v>
      </c>
      <c r="N1343" t="s">
        <v>43</v>
      </c>
      <c r="O1343">
        <v>3</v>
      </c>
      <c r="P1343" t="s">
        <v>45</v>
      </c>
      <c r="Q1343">
        <v>4197</v>
      </c>
      <c r="R1343">
        <v>18624</v>
      </c>
      <c r="S1343">
        <v>1</v>
      </c>
      <c r="T1343">
        <v>0</v>
      </c>
      <c r="U1343" s="17">
        <v>0.11</v>
      </c>
      <c r="V1343">
        <v>3</v>
      </c>
      <c r="W1343">
        <v>1</v>
      </c>
      <c r="X1343">
        <v>1</v>
      </c>
      <c r="Y1343">
        <v>10</v>
      </c>
      <c r="Z1343">
        <v>2</v>
      </c>
      <c r="AA1343">
        <v>3</v>
      </c>
      <c r="AB1343">
        <v>10</v>
      </c>
      <c r="AC1343">
        <v>8</v>
      </c>
      <c r="AD1343">
        <v>0</v>
      </c>
      <c r="AE1343">
        <v>2</v>
      </c>
      <c r="AF1343">
        <v>0</v>
      </c>
      <c r="AG1343">
        <f>IF(tbl_HR_Data[[#This Row],[Gender]]="Male",1,0)</f>
        <v>1</v>
      </c>
      <c r="AH1343" cm="1">
        <f t="array" ref="AH1343">_xlfn.SWITCH(tbl_HR_Data[[#This Row],[BusinessTravel]], "Non-Travel", 0, "Travel_Rarely", 1, "Travel_Frequently", 2)</f>
        <v>1</v>
      </c>
      <c r="AI1343" cm="1">
        <f t="array" ref="AI1343">_xlfn.SWITCH(tbl_HR_Data[[#This Row],[MaritalStatus]],"Single",0,"Married",1,"Divorced",2)</f>
        <v>2</v>
      </c>
      <c r="AJ1343">
        <f>IF(tbl_HR_Data[[#This Row],[OverTime]]=1,1,0)</f>
        <v>0</v>
      </c>
      <c r="AK1343">
        <f>IF(tbl_HR_Data[[#This Row],[DistanceFromHome]]&gt;15,1,0)</f>
        <v>1</v>
      </c>
      <c r="AL1343">
        <f>IF(tbl_HR_Data[[#This Row],[JobSatisfaction]]&lt;=2,1,0)</f>
        <v>0</v>
      </c>
      <c r="AM1343">
        <f>IF(tbl_HR_Data[[#This Row],[MonthlyIncome]]&lt;$AT$2,1,0)</f>
        <v>1</v>
      </c>
      <c r="AN1343">
        <f>IF(tbl_HR_Data[[#This Row],[Travel_Code]]=2,1,0)</f>
        <v>0</v>
      </c>
      <c r="AO1343">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1343" s="15">
        <f>tbl_HR_Data[[#This Row],[Risk_Score_Raw]] / SUM(Logic_Parameters!$B$2:$B$6)</f>
        <v>0.33282973125692844</v>
      </c>
      <c r="AQ1343" s="16" t="str" cm="1">
        <f t="array" ref="AQ1343">_xlfn.IFS(tbl_HR_Data[[#This Row],[Attrition_Risk_Percentage]] &gt;= 0.75, "Critical",tbl_HR_Data[ [#This Row],[Attrition_Risk_Percentage] ]&gt;= 0.5, "High",tbl_HR_Data[[#This Row],[Attrition_Risk_Percentage]] &gt;= 0.25, "Medium",TRUE, "Low")</f>
        <v>Medium</v>
      </c>
      <c r="AR1343" s="16" cm="1">
        <f t="array" ref="AR1343">IFERROR(_xlfn.IFS(tbl_HR_Data[[#This Row],[Risk_Category]]="Critical",tbl_HR_Data[[#This Row],[MonthlyIncome]]*1.5,tbl_HR_Data[[#This Row],[Risk_Category]]="High",tbl_HR_Data[[#This Row],[MonthlyIncome]]*1.5),0)</f>
        <v>0</v>
      </c>
    </row>
    <row r="1344" spans="1:44" x14ac:dyDescent="0.35">
      <c r="A1344" t="s">
        <v>143</v>
      </c>
      <c r="B1344">
        <v>34</v>
      </c>
      <c r="C1344" t="s">
        <v>31</v>
      </c>
      <c r="D1344">
        <v>1480</v>
      </c>
      <c r="E1344" t="s">
        <v>32</v>
      </c>
      <c r="F1344">
        <v>4</v>
      </c>
      <c r="G1344">
        <v>3</v>
      </c>
      <c r="H1344" t="s">
        <v>33</v>
      </c>
      <c r="I1344">
        <v>3</v>
      </c>
      <c r="J1344" t="s">
        <v>39</v>
      </c>
      <c r="K1344">
        <v>64</v>
      </c>
      <c r="L1344">
        <v>3</v>
      </c>
      <c r="M1344">
        <v>3</v>
      </c>
      <c r="N1344" t="s">
        <v>35</v>
      </c>
      <c r="O1344">
        <v>4</v>
      </c>
      <c r="P1344" t="s">
        <v>41</v>
      </c>
      <c r="Q1344">
        <v>9713</v>
      </c>
      <c r="R1344">
        <v>24444</v>
      </c>
      <c r="S1344">
        <v>2</v>
      </c>
      <c r="T1344">
        <v>1</v>
      </c>
      <c r="U1344" s="17">
        <v>0.13</v>
      </c>
      <c r="V1344">
        <v>3</v>
      </c>
      <c r="W1344">
        <v>4</v>
      </c>
      <c r="X1344">
        <v>3</v>
      </c>
      <c r="Y1344">
        <v>9</v>
      </c>
      <c r="Z1344">
        <v>3</v>
      </c>
      <c r="AA1344">
        <v>3</v>
      </c>
      <c r="AB1344">
        <v>5</v>
      </c>
      <c r="AC1344">
        <v>3</v>
      </c>
      <c r="AD1344">
        <v>1</v>
      </c>
      <c r="AE1344">
        <v>0</v>
      </c>
      <c r="AF1344">
        <v>0</v>
      </c>
      <c r="AG1344">
        <f>IF(tbl_HR_Data[[#This Row],[Gender]]="Male",1,0)</f>
        <v>1</v>
      </c>
      <c r="AH1344" cm="1">
        <f t="array" ref="AH1344">_xlfn.SWITCH(tbl_HR_Data[[#This Row],[BusinessTravel]], "Non-Travel", 0, "Travel_Rarely", 1, "Travel_Frequently", 2)</f>
        <v>1</v>
      </c>
      <c r="AI1344" cm="1">
        <f t="array" ref="AI1344">_xlfn.SWITCH(tbl_HR_Data[[#This Row],[MaritalStatus]],"Single",0,"Married",1,"Divorced",2)</f>
        <v>1</v>
      </c>
      <c r="AJ1344">
        <f>IF(tbl_HR_Data[[#This Row],[OverTime]]=1,1,0)</f>
        <v>1</v>
      </c>
      <c r="AK1344">
        <f>IF(tbl_HR_Data[[#This Row],[DistanceFromHome]]&gt;15,1,0)</f>
        <v>0</v>
      </c>
      <c r="AL1344">
        <f>IF(tbl_HR_Data[[#This Row],[JobSatisfaction]]&lt;=2,1,0)</f>
        <v>0</v>
      </c>
      <c r="AM1344">
        <f>IF(tbl_HR_Data[[#This Row],[MonthlyIncome]]&lt;$AT$2,1,0)</f>
        <v>0</v>
      </c>
      <c r="AN1344">
        <f>IF(tbl_HR_Data[[#This Row],[Travel_Code]]=2,1,0)</f>
        <v>0</v>
      </c>
      <c r="AO1344">
        <f>(tbl_HR_Data[[#This Row],[Flag_OT]] * Logic_Parameters!$B$2) +
 (tbl_HR_Data[[#This Row],[Flag_Travel]] * Logic_Parameters!$B$3) +
 (tbl_HR_Data[[#This Row],[Flag_Satisfaction]] * Logic_Parameters!$B$4) +
 (tbl_HR_Data[[#This Row],[Flag_Distance]]* Logic_Parameters!$B$5) +
 (tbl_HR_Data[[#This Row],[Flag_Income]] * Logic_Parameters!$B$6)</f>
        <v>10</v>
      </c>
      <c r="AP1344" s="15">
        <f>tbl_HR_Data[[#This Row],[Risk_Score_Raw]] / SUM(Logic_Parameters!$B$2:$B$6)</f>
        <v>0.3445251318258073</v>
      </c>
      <c r="AQ1344" s="16" t="str" cm="1">
        <f t="array" ref="AQ1344">_xlfn.IFS(tbl_HR_Data[[#This Row],[Attrition_Risk_Percentage]] &gt;= 0.75, "Critical",tbl_HR_Data[ [#This Row],[Attrition_Risk_Percentage] ]&gt;= 0.5, "High",tbl_HR_Data[[#This Row],[Attrition_Risk_Percentage]] &gt;= 0.25, "Medium",TRUE, "Low")</f>
        <v>Medium</v>
      </c>
      <c r="AR1344" s="16" cm="1">
        <f t="array" ref="AR1344">IFERROR(_xlfn.IFS(tbl_HR_Data[[#This Row],[Risk_Category]]="Critical",tbl_HR_Data[[#This Row],[MonthlyIncome]]*1.5,tbl_HR_Data[[#This Row],[Risk_Category]]="High",tbl_HR_Data[[#This Row],[MonthlyIncome]]*1.5),0)</f>
        <v>0</v>
      </c>
    </row>
    <row r="1345" spans="1:44" x14ac:dyDescent="0.35">
      <c r="A1345" t="s">
        <v>518</v>
      </c>
      <c r="B1345">
        <v>29</v>
      </c>
      <c r="C1345" t="s">
        <v>31</v>
      </c>
      <c r="D1345">
        <v>592</v>
      </c>
      <c r="E1345" t="s">
        <v>38</v>
      </c>
      <c r="F1345">
        <v>7</v>
      </c>
      <c r="G1345">
        <v>3</v>
      </c>
      <c r="H1345" t="s">
        <v>33</v>
      </c>
      <c r="I1345">
        <v>4</v>
      </c>
      <c r="J1345" t="s">
        <v>39</v>
      </c>
      <c r="K1345">
        <v>59</v>
      </c>
      <c r="L1345">
        <v>3</v>
      </c>
      <c r="M1345">
        <v>1</v>
      </c>
      <c r="N1345" t="s">
        <v>43</v>
      </c>
      <c r="O1345">
        <v>1</v>
      </c>
      <c r="P1345" t="s">
        <v>36</v>
      </c>
      <c r="Q1345">
        <v>2062</v>
      </c>
      <c r="R1345">
        <v>19384</v>
      </c>
      <c r="S1345">
        <v>3</v>
      </c>
      <c r="T1345">
        <v>0</v>
      </c>
      <c r="U1345" s="17">
        <v>0.14000000000000001</v>
      </c>
      <c r="V1345">
        <v>3</v>
      </c>
      <c r="W1345">
        <v>2</v>
      </c>
      <c r="X1345">
        <v>0</v>
      </c>
      <c r="Y1345">
        <v>11</v>
      </c>
      <c r="Z1345">
        <v>2</v>
      </c>
      <c r="AA1345">
        <v>3</v>
      </c>
      <c r="AB1345">
        <v>3</v>
      </c>
      <c r="AC1345">
        <v>2</v>
      </c>
      <c r="AD1345">
        <v>1</v>
      </c>
      <c r="AE1345">
        <v>2</v>
      </c>
      <c r="AF1345">
        <v>0</v>
      </c>
      <c r="AG1345">
        <f>IF(tbl_HR_Data[[#This Row],[Gender]]="Male",1,0)</f>
        <v>1</v>
      </c>
      <c r="AH1345" cm="1">
        <f t="array" ref="AH1345">_xlfn.SWITCH(tbl_HR_Data[[#This Row],[BusinessTravel]], "Non-Travel", 0, "Travel_Rarely", 1, "Travel_Frequently", 2)</f>
        <v>1</v>
      </c>
      <c r="AI1345" cm="1">
        <f t="array" ref="AI1345">_xlfn.SWITCH(tbl_HR_Data[[#This Row],[MaritalStatus]],"Single",0,"Married",1,"Divorced",2)</f>
        <v>0</v>
      </c>
      <c r="AJ1345">
        <f>IF(tbl_HR_Data[[#This Row],[OverTime]]=1,1,0)</f>
        <v>0</v>
      </c>
      <c r="AK1345">
        <f>IF(tbl_HR_Data[[#This Row],[DistanceFromHome]]&gt;15,1,0)</f>
        <v>0</v>
      </c>
      <c r="AL1345">
        <f>IF(tbl_HR_Data[[#This Row],[JobSatisfaction]]&lt;=2,1,0)</f>
        <v>1</v>
      </c>
      <c r="AM1345">
        <f>IF(tbl_HR_Data[[#This Row],[MonthlyIncome]]&lt;$AT$2,1,0)</f>
        <v>1</v>
      </c>
      <c r="AN1345">
        <f>IF(tbl_HR_Data[[#This Row],[Travel_Code]]=2,1,0)</f>
        <v>0</v>
      </c>
      <c r="AO1345">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345" s="15">
        <f>tbl_HR_Data[[#This Row],[Risk_Score_Raw]] / SUM(Logic_Parameters!$B$2:$B$6)</f>
        <v>0.3686061316669938</v>
      </c>
      <c r="AQ1345" s="16" t="str" cm="1">
        <f t="array" ref="AQ1345">_xlfn.IFS(tbl_HR_Data[[#This Row],[Attrition_Risk_Percentage]] &gt;= 0.75, "Critical",tbl_HR_Data[ [#This Row],[Attrition_Risk_Percentage] ]&gt;= 0.5, "High",tbl_HR_Data[[#This Row],[Attrition_Risk_Percentage]] &gt;= 0.25, "Medium",TRUE, "Low")</f>
        <v>Medium</v>
      </c>
      <c r="AR1345" s="16" cm="1">
        <f t="array" ref="AR1345">IFERROR(_xlfn.IFS(tbl_HR_Data[[#This Row],[Risk_Category]]="Critical",tbl_HR_Data[[#This Row],[MonthlyIncome]]*1.5,tbl_HR_Data[[#This Row],[Risk_Category]]="High",tbl_HR_Data[[#This Row],[MonthlyIncome]]*1.5),0)</f>
        <v>0</v>
      </c>
    </row>
    <row r="1346" spans="1:44" x14ac:dyDescent="0.35">
      <c r="A1346" t="s">
        <v>533</v>
      </c>
      <c r="B1346">
        <v>37</v>
      </c>
      <c r="C1346" t="s">
        <v>31</v>
      </c>
      <c r="D1346">
        <v>783</v>
      </c>
      <c r="E1346" t="s">
        <v>38</v>
      </c>
      <c r="F1346">
        <v>7</v>
      </c>
      <c r="G1346">
        <v>4</v>
      </c>
      <c r="H1346" t="s">
        <v>44</v>
      </c>
      <c r="I1346">
        <v>4</v>
      </c>
      <c r="J1346" t="s">
        <v>39</v>
      </c>
      <c r="K1346">
        <v>78</v>
      </c>
      <c r="L1346">
        <v>3</v>
      </c>
      <c r="M1346">
        <v>2</v>
      </c>
      <c r="N1346" t="s">
        <v>40</v>
      </c>
      <c r="O1346">
        <v>1</v>
      </c>
      <c r="P1346" t="s">
        <v>41</v>
      </c>
      <c r="Q1346">
        <v>4284</v>
      </c>
      <c r="R1346">
        <v>13588</v>
      </c>
      <c r="S1346">
        <v>5</v>
      </c>
      <c r="T1346">
        <v>1</v>
      </c>
      <c r="U1346" s="17">
        <v>0.22</v>
      </c>
      <c r="V1346">
        <v>4</v>
      </c>
      <c r="W1346">
        <v>3</v>
      </c>
      <c r="X1346">
        <v>1</v>
      </c>
      <c r="Y1346">
        <v>16</v>
      </c>
      <c r="Z1346">
        <v>2</v>
      </c>
      <c r="AA1346">
        <v>3</v>
      </c>
      <c r="AB1346">
        <v>5</v>
      </c>
      <c r="AC1346">
        <v>3</v>
      </c>
      <c r="AD1346">
        <v>0</v>
      </c>
      <c r="AE1346">
        <v>4</v>
      </c>
      <c r="AF1346">
        <v>0</v>
      </c>
      <c r="AG1346">
        <f>IF(tbl_HR_Data[[#This Row],[Gender]]="Male",1,0)</f>
        <v>1</v>
      </c>
      <c r="AH1346" cm="1">
        <f t="array" ref="AH1346">_xlfn.SWITCH(tbl_HR_Data[[#This Row],[BusinessTravel]], "Non-Travel", 0, "Travel_Rarely", 1, "Travel_Frequently", 2)</f>
        <v>1</v>
      </c>
      <c r="AI1346" cm="1">
        <f t="array" ref="AI1346">_xlfn.SWITCH(tbl_HR_Data[[#This Row],[MaritalStatus]],"Single",0,"Married",1,"Divorced",2)</f>
        <v>1</v>
      </c>
      <c r="AJ1346">
        <f>IF(tbl_HR_Data[[#This Row],[OverTime]]=1,1,0)</f>
        <v>1</v>
      </c>
      <c r="AK1346">
        <f>IF(tbl_HR_Data[[#This Row],[DistanceFromHome]]&gt;15,1,0)</f>
        <v>0</v>
      </c>
      <c r="AL1346">
        <f>IF(tbl_HR_Data[[#This Row],[JobSatisfaction]]&lt;=2,1,0)</f>
        <v>1</v>
      </c>
      <c r="AM1346">
        <f>IF(tbl_HR_Data[[#This Row],[MonthlyIncome]]&lt;$AT$2,1,0)</f>
        <v>1</v>
      </c>
      <c r="AN1346">
        <f>IF(tbl_HR_Data[[#This Row],[Travel_Code]]=2,1,0)</f>
        <v>0</v>
      </c>
      <c r="AO1346">
        <f>(tbl_HR_Data[[#This Row],[Flag_OT]] * Logic_Parameters!$B$2) +
 (tbl_HR_Data[[#This Row],[Flag_Travel]] * Logic_Parameters!$B$3) +
 (tbl_HR_Data[[#This Row],[Flag_Satisfaction]] * Logic_Parameters!$B$4) +
 (tbl_HR_Data[[#This Row],[Flag_Distance]]* Logic_Parameters!$B$5) +
 (tbl_HR_Data[[#This Row],[Flag_Income]] * Logic_Parameters!$B$6)</f>
        <v>20.698962067398959</v>
      </c>
      <c r="AP1346" s="15">
        <f>tbl_HR_Data[[#This Row],[Risk_Score_Raw]] / SUM(Logic_Parameters!$B$2:$B$6)</f>
        <v>0.71313126349280109</v>
      </c>
      <c r="AQ1346" s="16" t="str" cm="1">
        <f t="array" ref="AQ1346">_xlfn.IFS(tbl_HR_Data[[#This Row],[Attrition_Risk_Percentage]] &gt;= 0.75, "Critical",tbl_HR_Data[ [#This Row],[Attrition_Risk_Percentage] ]&gt;= 0.5, "High",tbl_HR_Data[[#This Row],[Attrition_Risk_Percentage]] &gt;= 0.25, "Medium",TRUE, "Low")</f>
        <v>High</v>
      </c>
      <c r="AR1346" s="16" cm="1">
        <f t="array" ref="AR1346">IFERROR(_xlfn.IFS(tbl_HR_Data[[#This Row],[Risk_Category]]="Critical",tbl_HR_Data[[#This Row],[MonthlyIncome]]*1.5,tbl_HR_Data[[#This Row],[Risk_Category]]="High",tbl_HR_Data[[#This Row],[MonthlyIncome]]*1.5),0)</f>
        <v>6426</v>
      </c>
    </row>
    <row r="1347" spans="1:44" x14ac:dyDescent="0.35">
      <c r="A1347" t="s">
        <v>515</v>
      </c>
      <c r="B1347">
        <v>35</v>
      </c>
      <c r="C1347" t="s">
        <v>31</v>
      </c>
      <c r="D1347">
        <v>219</v>
      </c>
      <c r="E1347" t="s">
        <v>38</v>
      </c>
      <c r="F1347">
        <v>16</v>
      </c>
      <c r="G1347">
        <v>2</v>
      </c>
      <c r="H1347" t="s">
        <v>42</v>
      </c>
      <c r="I1347">
        <v>4</v>
      </c>
      <c r="J1347" t="s">
        <v>34</v>
      </c>
      <c r="K1347">
        <v>44</v>
      </c>
      <c r="L1347">
        <v>2</v>
      </c>
      <c r="M1347">
        <v>2</v>
      </c>
      <c r="N1347" t="s">
        <v>46</v>
      </c>
      <c r="O1347">
        <v>2</v>
      </c>
      <c r="P1347" t="s">
        <v>41</v>
      </c>
      <c r="Q1347">
        <v>4788</v>
      </c>
      <c r="R1347">
        <v>25388</v>
      </c>
      <c r="S1347">
        <v>0</v>
      </c>
      <c r="T1347">
        <v>1</v>
      </c>
      <c r="U1347" s="17">
        <v>0.11</v>
      </c>
      <c r="V1347">
        <v>3</v>
      </c>
      <c r="W1347">
        <v>4</v>
      </c>
      <c r="X1347">
        <v>0</v>
      </c>
      <c r="Y1347">
        <v>4</v>
      </c>
      <c r="Z1347">
        <v>2</v>
      </c>
      <c r="AA1347">
        <v>3</v>
      </c>
      <c r="AB1347">
        <v>3</v>
      </c>
      <c r="AC1347">
        <v>2</v>
      </c>
      <c r="AD1347">
        <v>0</v>
      </c>
      <c r="AE1347">
        <v>2</v>
      </c>
      <c r="AF1347">
        <v>0</v>
      </c>
      <c r="AG1347">
        <f>IF(tbl_HR_Data[[#This Row],[Gender]]="Male",1,0)</f>
        <v>0</v>
      </c>
      <c r="AH1347" cm="1">
        <f t="array" ref="AH1347">_xlfn.SWITCH(tbl_HR_Data[[#This Row],[BusinessTravel]], "Non-Travel", 0, "Travel_Rarely", 1, "Travel_Frequently", 2)</f>
        <v>1</v>
      </c>
      <c r="AI1347" cm="1">
        <f t="array" ref="AI1347">_xlfn.SWITCH(tbl_HR_Data[[#This Row],[MaritalStatus]],"Single",0,"Married",1,"Divorced",2)</f>
        <v>1</v>
      </c>
      <c r="AJ1347">
        <f>IF(tbl_HR_Data[[#This Row],[OverTime]]=1,1,0)</f>
        <v>1</v>
      </c>
      <c r="AK1347">
        <f>IF(tbl_HR_Data[[#This Row],[DistanceFromHome]]&gt;15,1,0)</f>
        <v>1</v>
      </c>
      <c r="AL1347">
        <f>IF(tbl_HR_Data[[#This Row],[JobSatisfaction]]&lt;=2,1,0)</f>
        <v>1</v>
      </c>
      <c r="AM1347">
        <f>IF(tbl_HR_Data[[#This Row],[MonthlyIncome]]&lt;$AT$2,1,0)</f>
        <v>1</v>
      </c>
      <c r="AN1347">
        <f>IF(tbl_HR_Data[[#This Row],[Travel_Code]]=2,1,0)</f>
        <v>0</v>
      </c>
      <c r="AO1347">
        <f>(tbl_HR_Data[[#This Row],[Flag_OT]] * Logic_Parameters!$B$2) +
 (tbl_HR_Data[[#This Row],[Flag_Travel]] * Logic_Parameters!$B$3) +
 (tbl_HR_Data[[#This Row],[Flag_Satisfaction]] * Logic_Parameters!$B$4) +
 (tbl_HR_Data[[#This Row],[Flag_Distance]]* Logic_Parameters!$B$5) +
 (tbl_HR_Data[[#This Row],[Flag_Income]] * Logic_Parameters!$B$6)</f>
        <v>23.865068763274337</v>
      </c>
      <c r="AP1347" s="15">
        <f>tbl_HR_Data[[#This Row],[Risk_Score_Raw]] / SUM(Logic_Parameters!$B$2:$B$6)</f>
        <v>0.82221159616990469</v>
      </c>
      <c r="AQ1347" s="16" t="str" cm="1">
        <f t="array" ref="AQ1347">_xlfn.IFS(tbl_HR_Data[[#This Row],[Attrition_Risk_Percentage]] &gt;= 0.75, "Critical",tbl_HR_Data[ [#This Row],[Attrition_Risk_Percentage] ]&gt;= 0.5, "High",tbl_HR_Data[[#This Row],[Attrition_Risk_Percentage]] &gt;= 0.25, "Medium",TRUE, "Low")</f>
        <v>Critical</v>
      </c>
      <c r="AR1347" s="16" cm="1">
        <f t="array" ref="AR1347">IFERROR(_xlfn.IFS(tbl_HR_Data[[#This Row],[Risk_Category]]="Critical",tbl_HR_Data[[#This Row],[MonthlyIncome]]*1.5,tbl_HR_Data[[#This Row],[Risk_Category]]="High",tbl_HR_Data[[#This Row],[MonthlyIncome]]*1.5),0)</f>
        <v>7182</v>
      </c>
    </row>
    <row r="1348" spans="1:44" x14ac:dyDescent="0.35">
      <c r="A1348" t="s">
        <v>1057</v>
      </c>
      <c r="B1348">
        <v>45</v>
      </c>
      <c r="C1348" t="s">
        <v>31</v>
      </c>
      <c r="D1348">
        <v>556</v>
      </c>
      <c r="E1348" t="s">
        <v>38</v>
      </c>
      <c r="F1348">
        <v>25</v>
      </c>
      <c r="G1348">
        <v>2</v>
      </c>
      <c r="H1348" t="s">
        <v>33</v>
      </c>
      <c r="I1348">
        <v>2</v>
      </c>
      <c r="J1348" t="s">
        <v>34</v>
      </c>
      <c r="K1348">
        <v>93</v>
      </c>
      <c r="L1348">
        <v>2</v>
      </c>
      <c r="M1348">
        <v>2</v>
      </c>
      <c r="N1348" t="s">
        <v>46</v>
      </c>
      <c r="O1348">
        <v>4</v>
      </c>
      <c r="P1348" t="s">
        <v>41</v>
      </c>
      <c r="Q1348">
        <v>5906</v>
      </c>
      <c r="R1348">
        <v>23888</v>
      </c>
      <c r="S1348">
        <v>0</v>
      </c>
      <c r="T1348">
        <v>0</v>
      </c>
      <c r="U1348" s="17">
        <v>0.13</v>
      </c>
      <c r="V1348">
        <v>3</v>
      </c>
      <c r="W1348">
        <v>4</v>
      </c>
      <c r="X1348">
        <v>2</v>
      </c>
      <c r="Y1348">
        <v>10</v>
      </c>
      <c r="Z1348">
        <v>2</v>
      </c>
      <c r="AA1348">
        <v>2</v>
      </c>
      <c r="AB1348">
        <v>9</v>
      </c>
      <c r="AC1348">
        <v>8</v>
      </c>
      <c r="AD1348">
        <v>3</v>
      </c>
      <c r="AE1348">
        <v>8</v>
      </c>
      <c r="AF1348">
        <v>0</v>
      </c>
      <c r="AG1348">
        <f>IF(tbl_HR_Data[[#This Row],[Gender]]="Male",1,0)</f>
        <v>0</v>
      </c>
      <c r="AH1348" cm="1">
        <f t="array" ref="AH1348">_xlfn.SWITCH(tbl_HR_Data[[#This Row],[BusinessTravel]], "Non-Travel", 0, "Travel_Rarely", 1, "Travel_Frequently", 2)</f>
        <v>1</v>
      </c>
      <c r="AI1348" cm="1">
        <f t="array" ref="AI1348">_xlfn.SWITCH(tbl_HR_Data[[#This Row],[MaritalStatus]],"Single",0,"Married",1,"Divorced",2)</f>
        <v>1</v>
      </c>
      <c r="AJ1348">
        <f>IF(tbl_HR_Data[[#This Row],[OverTime]]=1,1,0)</f>
        <v>0</v>
      </c>
      <c r="AK1348">
        <f>IF(tbl_HR_Data[[#This Row],[DistanceFromHome]]&gt;15,1,0)</f>
        <v>1</v>
      </c>
      <c r="AL1348">
        <f>IF(tbl_HR_Data[[#This Row],[JobSatisfaction]]&lt;=2,1,0)</f>
        <v>0</v>
      </c>
      <c r="AM1348">
        <f>IF(tbl_HR_Data[[#This Row],[MonthlyIncome]]&lt;$AT$2,1,0)</f>
        <v>0</v>
      </c>
      <c r="AN1348">
        <f>IF(tbl_HR_Data[[#This Row],[Travel_Code]]=2,1,0)</f>
        <v>0</v>
      </c>
      <c r="AO1348">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1348" s="15">
        <f>tbl_HR_Data[[#This Row],[Risk_Score_Raw]] / SUM(Logic_Parameters!$B$2:$B$6)</f>
        <v>0.10908033267710357</v>
      </c>
      <c r="AQ1348" s="16" t="str" cm="1">
        <f t="array" ref="AQ1348">_xlfn.IFS(tbl_HR_Data[[#This Row],[Attrition_Risk_Percentage]] &gt;= 0.75, "Critical",tbl_HR_Data[ [#This Row],[Attrition_Risk_Percentage] ]&gt;= 0.5, "High",tbl_HR_Data[[#This Row],[Attrition_Risk_Percentage]] &gt;= 0.25, "Medium",TRUE, "Low")</f>
        <v>Low</v>
      </c>
      <c r="AR1348" s="16" cm="1">
        <f t="array" ref="AR1348">IFERROR(_xlfn.IFS(tbl_HR_Data[[#This Row],[Risk_Category]]="Critical",tbl_HR_Data[[#This Row],[MonthlyIncome]]*1.5,tbl_HR_Data[[#This Row],[Risk_Category]]="High",tbl_HR_Data[[#This Row],[MonthlyIncome]]*1.5),0)</f>
        <v>0</v>
      </c>
    </row>
    <row r="1349" spans="1:44" x14ac:dyDescent="0.35">
      <c r="A1349" t="s">
        <v>755</v>
      </c>
      <c r="B1349">
        <v>36</v>
      </c>
      <c r="C1349" t="s">
        <v>37</v>
      </c>
      <c r="D1349">
        <v>1213</v>
      </c>
      <c r="E1349" t="s">
        <v>53</v>
      </c>
      <c r="F1349">
        <v>2</v>
      </c>
      <c r="G1349">
        <v>1</v>
      </c>
      <c r="H1349" t="s">
        <v>53</v>
      </c>
      <c r="I1349">
        <v>2</v>
      </c>
      <c r="J1349" t="s">
        <v>39</v>
      </c>
      <c r="K1349">
        <v>94</v>
      </c>
      <c r="L1349">
        <v>2</v>
      </c>
      <c r="M1349">
        <v>2</v>
      </c>
      <c r="N1349" t="s">
        <v>53</v>
      </c>
      <c r="O1349">
        <v>4</v>
      </c>
      <c r="P1349" t="s">
        <v>36</v>
      </c>
      <c r="Q1349">
        <v>3886</v>
      </c>
      <c r="R1349">
        <v>4223</v>
      </c>
      <c r="S1349">
        <v>1</v>
      </c>
      <c r="T1349">
        <v>0</v>
      </c>
      <c r="U1349" s="17">
        <v>0.21</v>
      </c>
      <c r="V1349">
        <v>4</v>
      </c>
      <c r="W1349">
        <v>4</v>
      </c>
      <c r="X1349">
        <v>0</v>
      </c>
      <c r="Y1349">
        <v>10</v>
      </c>
      <c r="Z1349">
        <v>2</v>
      </c>
      <c r="AA1349">
        <v>2</v>
      </c>
      <c r="AB1349">
        <v>10</v>
      </c>
      <c r="AC1349">
        <v>1</v>
      </c>
      <c r="AD1349">
        <v>0</v>
      </c>
      <c r="AE1349">
        <v>8</v>
      </c>
      <c r="AF1349">
        <v>0</v>
      </c>
      <c r="AG1349">
        <f>IF(tbl_HR_Data[[#This Row],[Gender]]="Male",1,0)</f>
        <v>1</v>
      </c>
      <c r="AH1349" cm="1">
        <f t="array" ref="AH1349">_xlfn.SWITCH(tbl_HR_Data[[#This Row],[BusinessTravel]], "Non-Travel", 0, "Travel_Rarely", 1, "Travel_Frequently", 2)</f>
        <v>2</v>
      </c>
      <c r="AI1349" cm="1">
        <f t="array" ref="AI1349">_xlfn.SWITCH(tbl_HR_Data[[#This Row],[MaritalStatus]],"Single",0,"Married",1,"Divorced",2)</f>
        <v>0</v>
      </c>
      <c r="AJ1349">
        <f>IF(tbl_HR_Data[[#This Row],[OverTime]]=1,1,0)</f>
        <v>0</v>
      </c>
      <c r="AK1349">
        <f>IF(tbl_HR_Data[[#This Row],[DistanceFromHome]]&gt;15,1,0)</f>
        <v>0</v>
      </c>
      <c r="AL1349">
        <f>IF(tbl_HR_Data[[#This Row],[JobSatisfaction]]&lt;=2,1,0)</f>
        <v>0</v>
      </c>
      <c r="AM1349">
        <f>IF(tbl_HR_Data[[#This Row],[MonthlyIncome]]&lt;$AT$2,1,0)</f>
        <v>1</v>
      </c>
      <c r="AN1349">
        <f>IF(tbl_HR_Data[[#This Row],[Travel_Code]]=2,1,0)</f>
        <v>1</v>
      </c>
      <c r="AO1349">
        <f>(tbl_HR_Data[[#This Row],[Flag_OT]] * Logic_Parameters!$B$2) +
 (tbl_HR_Data[[#This Row],[Flag_Travel]] * Logic_Parameters!$B$3) +
 (tbl_HR_Data[[#This Row],[Flag_Satisfaction]] * Logic_Parameters!$B$4) +
 (tbl_HR_Data[[#This Row],[Flag_Distance]]* Logic_Parameters!$B$5) +
 (tbl_HR_Data[[#This Row],[Flag_Income]] * Logic_Parameters!$B$6)</f>
        <v>11.654818917911005</v>
      </c>
      <c r="AP1349" s="15">
        <f>tbl_HR_Data[[#This Row],[Risk_Score_Raw]] / SUM(Logic_Parameters!$B$2:$B$6)</f>
        <v>0.40153780240992015</v>
      </c>
      <c r="AQ1349" s="16" t="str" cm="1">
        <f t="array" ref="AQ1349">_xlfn.IFS(tbl_HR_Data[[#This Row],[Attrition_Risk_Percentage]] &gt;= 0.75, "Critical",tbl_HR_Data[ [#This Row],[Attrition_Risk_Percentage] ]&gt;= 0.5, "High",tbl_HR_Data[[#This Row],[Attrition_Risk_Percentage]] &gt;= 0.25, "Medium",TRUE, "Low")</f>
        <v>Medium</v>
      </c>
      <c r="AR1349" s="16" cm="1">
        <f t="array" ref="AR1349">IFERROR(_xlfn.IFS(tbl_HR_Data[[#This Row],[Risk_Category]]="Critical",tbl_HR_Data[[#This Row],[MonthlyIncome]]*1.5,tbl_HR_Data[[#This Row],[Risk_Category]]="High",tbl_HR_Data[[#This Row],[MonthlyIncome]]*1.5),0)</f>
        <v>0</v>
      </c>
    </row>
    <row r="1350" spans="1:44" x14ac:dyDescent="0.35">
      <c r="A1350" t="s">
        <v>1184</v>
      </c>
      <c r="B1350">
        <v>40</v>
      </c>
      <c r="C1350" t="s">
        <v>31</v>
      </c>
      <c r="D1350">
        <v>1137</v>
      </c>
      <c r="E1350" t="s">
        <v>38</v>
      </c>
      <c r="F1350">
        <v>1</v>
      </c>
      <c r="G1350">
        <v>4</v>
      </c>
      <c r="H1350" t="s">
        <v>33</v>
      </c>
      <c r="I1350">
        <v>1</v>
      </c>
      <c r="J1350" t="s">
        <v>39</v>
      </c>
      <c r="K1350">
        <v>98</v>
      </c>
      <c r="L1350">
        <v>3</v>
      </c>
      <c r="M1350">
        <v>4</v>
      </c>
      <c r="N1350" t="s">
        <v>48</v>
      </c>
      <c r="O1350">
        <v>1</v>
      </c>
      <c r="P1350" t="s">
        <v>45</v>
      </c>
      <c r="Q1350">
        <v>16823</v>
      </c>
      <c r="R1350">
        <v>18991</v>
      </c>
      <c r="S1350">
        <v>2</v>
      </c>
      <c r="T1350">
        <v>0</v>
      </c>
      <c r="U1350" s="17">
        <v>0.11</v>
      </c>
      <c r="V1350">
        <v>3</v>
      </c>
      <c r="W1350">
        <v>1</v>
      </c>
      <c r="X1350">
        <v>1</v>
      </c>
      <c r="Y1350">
        <v>22</v>
      </c>
      <c r="Z1350">
        <v>3</v>
      </c>
      <c r="AA1350">
        <v>3</v>
      </c>
      <c r="AB1350">
        <v>19</v>
      </c>
      <c r="AC1350">
        <v>7</v>
      </c>
      <c r="AD1350">
        <v>11</v>
      </c>
      <c r="AE1350">
        <v>16</v>
      </c>
      <c r="AF1350">
        <v>0</v>
      </c>
      <c r="AG1350">
        <f>IF(tbl_HR_Data[[#This Row],[Gender]]="Male",1,0)</f>
        <v>1</v>
      </c>
      <c r="AH1350" cm="1">
        <f t="array" ref="AH1350">_xlfn.SWITCH(tbl_HR_Data[[#This Row],[BusinessTravel]], "Non-Travel", 0, "Travel_Rarely", 1, "Travel_Frequently", 2)</f>
        <v>1</v>
      </c>
      <c r="AI1350" cm="1">
        <f t="array" ref="AI1350">_xlfn.SWITCH(tbl_HR_Data[[#This Row],[MaritalStatus]],"Single",0,"Married",1,"Divorced",2)</f>
        <v>2</v>
      </c>
      <c r="AJ1350">
        <f>IF(tbl_HR_Data[[#This Row],[OverTime]]=1,1,0)</f>
        <v>0</v>
      </c>
      <c r="AK1350">
        <f>IF(tbl_HR_Data[[#This Row],[DistanceFromHome]]&gt;15,1,0)</f>
        <v>0</v>
      </c>
      <c r="AL1350">
        <f>IF(tbl_HR_Data[[#This Row],[JobSatisfaction]]&lt;=2,1,0)</f>
        <v>1</v>
      </c>
      <c r="AM1350">
        <f>IF(tbl_HR_Data[[#This Row],[MonthlyIncome]]&lt;$AT$2,1,0)</f>
        <v>0</v>
      </c>
      <c r="AN1350">
        <f>IF(tbl_HR_Data[[#This Row],[Travel_Code]]=2,1,0)</f>
        <v>0</v>
      </c>
      <c r="AO1350">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350" s="15">
        <f>tbl_HR_Data[[#This Row],[Risk_Score_Raw]] / SUM(Logic_Parameters!$B$2:$B$6)</f>
        <v>0.14485673308716898</v>
      </c>
      <c r="AQ1350" s="16" t="str" cm="1">
        <f t="array" ref="AQ1350">_xlfn.IFS(tbl_HR_Data[[#This Row],[Attrition_Risk_Percentage]] &gt;= 0.75, "Critical",tbl_HR_Data[ [#This Row],[Attrition_Risk_Percentage] ]&gt;= 0.5, "High",tbl_HR_Data[[#This Row],[Attrition_Risk_Percentage]] &gt;= 0.25, "Medium",TRUE, "Low")</f>
        <v>Low</v>
      </c>
      <c r="AR1350" s="16" cm="1">
        <f t="array" ref="AR1350">IFERROR(_xlfn.IFS(tbl_HR_Data[[#This Row],[Risk_Category]]="Critical",tbl_HR_Data[[#This Row],[MonthlyIncome]]*1.5,tbl_HR_Data[[#This Row],[Risk_Category]]="High",tbl_HR_Data[[#This Row],[MonthlyIncome]]*1.5),0)</f>
        <v>0</v>
      </c>
    </row>
    <row r="1351" spans="1:44" x14ac:dyDescent="0.35">
      <c r="A1351" t="s">
        <v>1312</v>
      </c>
      <c r="B1351">
        <v>26</v>
      </c>
      <c r="C1351" t="s">
        <v>31</v>
      </c>
      <c r="D1351">
        <v>482</v>
      </c>
      <c r="E1351" t="s">
        <v>38</v>
      </c>
      <c r="F1351">
        <v>1</v>
      </c>
      <c r="G1351">
        <v>2</v>
      </c>
      <c r="H1351" t="s">
        <v>33</v>
      </c>
      <c r="I1351">
        <v>2</v>
      </c>
      <c r="J1351" t="s">
        <v>34</v>
      </c>
      <c r="K1351">
        <v>90</v>
      </c>
      <c r="L1351">
        <v>2</v>
      </c>
      <c r="M1351">
        <v>1</v>
      </c>
      <c r="N1351" t="s">
        <v>40</v>
      </c>
      <c r="O1351">
        <v>3</v>
      </c>
      <c r="P1351" t="s">
        <v>41</v>
      </c>
      <c r="Q1351">
        <v>2933</v>
      </c>
      <c r="R1351">
        <v>14908</v>
      </c>
      <c r="S1351">
        <v>1</v>
      </c>
      <c r="T1351">
        <v>1</v>
      </c>
      <c r="U1351" s="17">
        <v>0.13</v>
      </c>
      <c r="V1351">
        <v>3</v>
      </c>
      <c r="W1351">
        <v>3</v>
      </c>
      <c r="X1351">
        <v>1</v>
      </c>
      <c r="Y1351">
        <v>1</v>
      </c>
      <c r="Z1351">
        <v>3</v>
      </c>
      <c r="AA1351">
        <v>2</v>
      </c>
      <c r="AB1351">
        <v>1</v>
      </c>
      <c r="AC1351">
        <v>0</v>
      </c>
      <c r="AD1351">
        <v>1</v>
      </c>
      <c r="AE1351">
        <v>0</v>
      </c>
      <c r="AF1351">
        <v>0</v>
      </c>
      <c r="AG1351">
        <f>IF(tbl_HR_Data[[#This Row],[Gender]]="Male",1,0)</f>
        <v>0</v>
      </c>
      <c r="AH1351" cm="1">
        <f t="array" ref="AH1351">_xlfn.SWITCH(tbl_HR_Data[[#This Row],[BusinessTravel]], "Non-Travel", 0, "Travel_Rarely", 1, "Travel_Frequently", 2)</f>
        <v>1</v>
      </c>
      <c r="AI1351" cm="1">
        <f t="array" ref="AI1351">_xlfn.SWITCH(tbl_HR_Data[[#This Row],[MaritalStatus]],"Single",0,"Married",1,"Divorced",2)</f>
        <v>1</v>
      </c>
      <c r="AJ1351">
        <f>IF(tbl_HR_Data[[#This Row],[OverTime]]=1,1,0)</f>
        <v>1</v>
      </c>
      <c r="AK1351">
        <f>IF(tbl_HR_Data[[#This Row],[DistanceFromHome]]&gt;15,1,0)</f>
        <v>0</v>
      </c>
      <c r="AL1351">
        <f>IF(tbl_HR_Data[[#This Row],[JobSatisfaction]]&lt;=2,1,0)</f>
        <v>0</v>
      </c>
      <c r="AM1351">
        <f>IF(tbl_HR_Data[[#This Row],[MonthlyIncome]]&lt;$AT$2,1,0)</f>
        <v>1</v>
      </c>
      <c r="AN1351">
        <f>IF(tbl_HR_Data[[#This Row],[Travel_Code]]=2,1,0)</f>
        <v>0</v>
      </c>
      <c r="AO1351">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1351" s="15">
        <f>tbl_HR_Data[[#This Row],[Risk_Score_Raw]] / SUM(Logic_Parameters!$B$2:$B$6)</f>
        <v>0.56827453040563214</v>
      </c>
      <c r="AQ1351" s="16" t="str" cm="1">
        <f t="array" ref="AQ1351">_xlfn.IFS(tbl_HR_Data[[#This Row],[Attrition_Risk_Percentage]] &gt;= 0.75, "Critical",tbl_HR_Data[ [#This Row],[Attrition_Risk_Percentage] ]&gt;= 0.5, "High",tbl_HR_Data[[#This Row],[Attrition_Risk_Percentage]] &gt;= 0.25, "Medium",TRUE, "Low")</f>
        <v>High</v>
      </c>
      <c r="AR1351" s="16" cm="1">
        <f t="array" ref="AR1351">IFERROR(_xlfn.IFS(tbl_HR_Data[[#This Row],[Risk_Category]]="Critical",tbl_HR_Data[[#This Row],[MonthlyIncome]]*1.5,tbl_HR_Data[[#This Row],[Risk_Category]]="High",tbl_HR_Data[[#This Row],[MonthlyIncome]]*1.5),0)</f>
        <v>4399.5</v>
      </c>
    </row>
    <row r="1352" spans="1:44" x14ac:dyDescent="0.35">
      <c r="A1352" t="s">
        <v>223</v>
      </c>
      <c r="B1352">
        <v>27</v>
      </c>
      <c r="C1352" t="s">
        <v>31</v>
      </c>
      <c r="D1352">
        <v>511</v>
      </c>
      <c r="E1352" t="s">
        <v>32</v>
      </c>
      <c r="F1352">
        <v>2</v>
      </c>
      <c r="G1352">
        <v>2</v>
      </c>
      <c r="H1352" t="s">
        <v>44</v>
      </c>
      <c r="I1352">
        <v>1</v>
      </c>
      <c r="J1352" t="s">
        <v>34</v>
      </c>
      <c r="K1352">
        <v>89</v>
      </c>
      <c r="L1352">
        <v>4</v>
      </c>
      <c r="M1352">
        <v>2</v>
      </c>
      <c r="N1352" t="s">
        <v>35</v>
      </c>
      <c r="O1352">
        <v>3</v>
      </c>
      <c r="P1352" t="s">
        <v>36</v>
      </c>
      <c r="Q1352">
        <v>6500</v>
      </c>
      <c r="R1352">
        <v>26997</v>
      </c>
      <c r="S1352">
        <v>0</v>
      </c>
      <c r="T1352">
        <v>0</v>
      </c>
      <c r="U1352" s="17">
        <v>0.14000000000000001</v>
      </c>
      <c r="V1352">
        <v>3</v>
      </c>
      <c r="W1352">
        <v>2</v>
      </c>
      <c r="X1352">
        <v>0</v>
      </c>
      <c r="Y1352">
        <v>9</v>
      </c>
      <c r="Z1352">
        <v>5</v>
      </c>
      <c r="AA1352">
        <v>2</v>
      </c>
      <c r="AB1352">
        <v>8</v>
      </c>
      <c r="AC1352">
        <v>7</v>
      </c>
      <c r="AD1352">
        <v>0</v>
      </c>
      <c r="AE1352">
        <v>7</v>
      </c>
      <c r="AF1352">
        <v>0</v>
      </c>
      <c r="AG1352">
        <f>IF(tbl_HR_Data[[#This Row],[Gender]]="Male",1,0)</f>
        <v>0</v>
      </c>
      <c r="AH1352" cm="1">
        <f t="array" ref="AH1352">_xlfn.SWITCH(tbl_HR_Data[[#This Row],[BusinessTravel]], "Non-Travel", 0, "Travel_Rarely", 1, "Travel_Frequently", 2)</f>
        <v>1</v>
      </c>
      <c r="AI1352" cm="1">
        <f t="array" ref="AI1352">_xlfn.SWITCH(tbl_HR_Data[[#This Row],[MaritalStatus]],"Single",0,"Married",1,"Divorced",2)</f>
        <v>0</v>
      </c>
      <c r="AJ1352">
        <f>IF(tbl_HR_Data[[#This Row],[OverTime]]=1,1,0)</f>
        <v>0</v>
      </c>
      <c r="AK1352">
        <f>IF(tbl_HR_Data[[#This Row],[DistanceFromHome]]&gt;15,1,0)</f>
        <v>0</v>
      </c>
      <c r="AL1352">
        <f>IF(tbl_HR_Data[[#This Row],[JobSatisfaction]]&lt;=2,1,0)</f>
        <v>0</v>
      </c>
      <c r="AM1352">
        <f>IF(tbl_HR_Data[[#This Row],[MonthlyIncome]]&lt;$AT$2,1,0)</f>
        <v>0</v>
      </c>
      <c r="AN1352">
        <f>IF(tbl_HR_Data[[#This Row],[Travel_Code]]=2,1,0)</f>
        <v>0</v>
      </c>
      <c r="AO1352">
        <f>(tbl_HR_Data[[#This Row],[Flag_OT]] * Logic_Parameters!$B$2) +
 (tbl_HR_Data[[#This Row],[Flag_Travel]] * Logic_Parameters!$B$3) +
 (tbl_HR_Data[[#This Row],[Flag_Satisfaction]] * Logic_Parameters!$B$4) +
 (tbl_HR_Data[[#This Row],[Flag_Distance]]* Logic_Parameters!$B$5) +
 (tbl_HR_Data[[#This Row],[Flag_Income]] * Logic_Parameters!$B$6)</f>
        <v>0</v>
      </c>
      <c r="AP1352" s="15">
        <f>tbl_HR_Data[[#This Row],[Risk_Score_Raw]] / SUM(Logic_Parameters!$B$2:$B$6)</f>
        <v>0</v>
      </c>
      <c r="AQ1352" s="16" t="str" cm="1">
        <f t="array" ref="AQ1352">_xlfn.IFS(tbl_HR_Data[[#This Row],[Attrition_Risk_Percentage]] &gt;= 0.75, "Critical",tbl_HR_Data[ [#This Row],[Attrition_Risk_Percentage] ]&gt;= 0.5, "High",tbl_HR_Data[[#This Row],[Attrition_Risk_Percentage]] &gt;= 0.25, "Medium",TRUE, "Low")</f>
        <v>Low</v>
      </c>
      <c r="AR1352" s="16" cm="1">
        <f t="array" ref="AR1352">IFERROR(_xlfn.IFS(tbl_HR_Data[[#This Row],[Risk_Category]]="Critical",tbl_HR_Data[[#This Row],[MonthlyIncome]]*1.5,tbl_HR_Data[[#This Row],[Risk_Category]]="High",tbl_HR_Data[[#This Row],[MonthlyIncome]]*1.5),0)</f>
        <v>0</v>
      </c>
    </row>
    <row r="1353" spans="1:44" x14ac:dyDescent="0.35">
      <c r="A1353" t="s">
        <v>1151</v>
      </c>
      <c r="B1353">
        <v>48</v>
      </c>
      <c r="C1353" t="s">
        <v>37</v>
      </c>
      <c r="D1353">
        <v>117</v>
      </c>
      <c r="E1353" t="s">
        <v>38</v>
      </c>
      <c r="F1353">
        <v>22</v>
      </c>
      <c r="G1353">
        <v>3</v>
      </c>
      <c r="H1353" t="s">
        <v>44</v>
      </c>
      <c r="I1353">
        <v>4</v>
      </c>
      <c r="J1353" t="s">
        <v>34</v>
      </c>
      <c r="K1353">
        <v>58</v>
      </c>
      <c r="L1353">
        <v>3</v>
      </c>
      <c r="M1353">
        <v>4</v>
      </c>
      <c r="N1353" t="s">
        <v>48</v>
      </c>
      <c r="O1353">
        <v>4</v>
      </c>
      <c r="P1353" t="s">
        <v>45</v>
      </c>
      <c r="Q1353">
        <v>17174</v>
      </c>
      <c r="R1353">
        <v>2437</v>
      </c>
      <c r="S1353">
        <v>3</v>
      </c>
      <c r="T1353">
        <v>0</v>
      </c>
      <c r="U1353" s="17">
        <v>0.11</v>
      </c>
      <c r="V1353">
        <v>3</v>
      </c>
      <c r="W1353">
        <v>2</v>
      </c>
      <c r="X1353">
        <v>1</v>
      </c>
      <c r="Y1353">
        <v>24</v>
      </c>
      <c r="Z1353">
        <v>3</v>
      </c>
      <c r="AA1353">
        <v>3</v>
      </c>
      <c r="AB1353">
        <v>22</v>
      </c>
      <c r="AC1353">
        <v>17</v>
      </c>
      <c r="AD1353">
        <v>4</v>
      </c>
      <c r="AE1353">
        <v>7</v>
      </c>
      <c r="AF1353">
        <v>0</v>
      </c>
      <c r="AG1353">
        <f>IF(tbl_HR_Data[[#This Row],[Gender]]="Male",1,0)</f>
        <v>0</v>
      </c>
      <c r="AH1353" cm="1">
        <f t="array" ref="AH1353">_xlfn.SWITCH(tbl_HR_Data[[#This Row],[BusinessTravel]], "Non-Travel", 0, "Travel_Rarely", 1, "Travel_Frequently", 2)</f>
        <v>2</v>
      </c>
      <c r="AI1353" cm="1">
        <f t="array" ref="AI1353">_xlfn.SWITCH(tbl_HR_Data[[#This Row],[MaritalStatus]],"Single",0,"Married",1,"Divorced",2)</f>
        <v>2</v>
      </c>
      <c r="AJ1353">
        <f>IF(tbl_HR_Data[[#This Row],[OverTime]]=1,1,0)</f>
        <v>0</v>
      </c>
      <c r="AK1353">
        <f>IF(tbl_HR_Data[[#This Row],[DistanceFromHome]]&gt;15,1,0)</f>
        <v>1</v>
      </c>
      <c r="AL1353">
        <f>IF(tbl_HR_Data[[#This Row],[JobSatisfaction]]&lt;=2,1,0)</f>
        <v>0</v>
      </c>
      <c r="AM1353">
        <f>IF(tbl_HR_Data[[#This Row],[MonthlyIncome]]&lt;$AT$2,1,0)</f>
        <v>0</v>
      </c>
      <c r="AN1353">
        <f>IF(tbl_HR_Data[[#This Row],[Travel_Code]]=2,1,0)</f>
        <v>1</v>
      </c>
      <c r="AO1353">
        <f>(tbl_HR_Data[[#This Row],[Flag_OT]] * Logic_Parameters!$B$2) +
 (tbl_HR_Data[[#This Row],[Flag_Travel]] * Logic_Parameters!$B$3) +
 (tbl_HR_Data[[#This Row],[Flag_Satisfaction]] * Logic_Parameters!$B$4) +
 (tbl_HR_Data[[#This Row],[Flag_Distance]]* Logic_Parameters!$B$5) +
 (tbl_HR_Data[[#This Row],[Flag_Income]] * Logic_Parameters!$B$6)</f>
        <v>8.3264966763655544</v>
      </c>
      <c r="AP1353" s="15">
        <f>tbl_HR_Data[[#This Row],[Risk_Score_Raw]] / SUM(Logic_Parameters!$B$2:$B$6)</f>
        <v>0.28686873650719891</v>
      </c>
      <c r="AQ1353" s="16" t="str" cm="1">
        <f t="array" ref="AQ1353">_xlfn.IFS(tbl_HR_Data[[#This Row],[Attrition_Risk_Percentage]] &gt;= 0.75, "Critical",tbl_HR_Data[ [#This Row],[Attrition_Risk_Percentage] ]&gt;= 0.5, "High",tbl_HR_Data[[#This Row],[Attrition_Risk_Percentage]] &gt;= 0.25, "Medium",TRUE, "Low")</f>
        <v>Medium</v>
      </c>
      <c r="AR1353" s="16" cm="1">
        <f t="array" ref="AR1353">IFERROR(_xlfn.IFS(tbl_HR_Data[[#This Row],[Risk_Category]]="Critical",tbl_HR_Data[[#This Row],[MonthlyIncome]]*1.5,tbl_HR_Data[[#This Row],[Risk_Category]]="High",tbl_HR_Data[[#This Row],[MonthlyIncome]]*1.5),0)</f>
        <v>0</v>
      </c>
    </row>
    <row r="1354" spans="1:44" x14ac:dyDescent="0.35">
      <c r="A1354" t="s">
        <v>756</v>
      </c>
      <c r="B1354">
        <v>44</v>
      </c>
      <c r="C1354" t="s">
        <v>31</v>
      </c>
      <c r="D1354">
        <v>170</v>
      </c>
      <c r="E1354" t="s">
        <v>38</v>
      </c>
      <c r="F1354">
        <v>1</v>
      </c>
      <c r="G1354">
        <v>4</v>
      </c>
      <c r="H1354" t="s">
        <v>33</v>
      </c>
      <c r="I1354">
        <v>2</v>
      </c>
      <c r="J1354" t="s">
        <v>39</v>
      </c>
      <c r="K1354">
        <v>78</v>
      </c>
      <c r="L1354">
        <v>4</v>
      </c>
      <c r="M1354">
        <v>2</v>
      </c>
      <c r="N1354" t="s">
        <v>47</v>
      </c>
      <c r="O1354">
        <v>1</v>
      </c>
      <c r="P1354" t="s">
        <v>41</v>
      </c>
      <c r="Q1354">
        <v>5033</v>
      </c>
      <c r="R1354">
        <v>9364</v>
      </c>
      <c r="S1354">
        <v>2</v>
      </c>
      <c r="T1354">
        <v>0</v>
      </c>
      <c r="U1354" s="17">
        <v>0.15</v>
      </c>
      <c r="V1354">
        <v>3</v>
      </c>
      <c r="W1354">
        <v>4</v>
      </c>
      <c r="X1354">
        <v>1</v>
      </c>
      <c r="Y1354">
        <v>10</v>
      </c>
      <c r="Z1354">
        <v>5</v>
      </c>
      <c r="AA1354">
        <v>3</v>
      </c>
      <c r="AB1354">
        <v>2</v>
      </c>
      <c r="AC1354">
        <v>0</v>
      </c>
      <c r="AD1354">
        <v>2</v>
      </c>
      <c r="AE1354">
        <v>2</v>
      </c>
      <c r="AF1354">
        <v>0</v>
      </c>
      <c r="AG1354">
        <f>IF(tbl_HR_Data[[#This Row],[Gender]]="Male",1,0)</f>
        <v>1</v>
      </c>
      <c r="AH1354" cm="1">
        <f t="array" ref="AH1354">_xlfn.SWITCH(tbl_HR_Data[[#This Row],[BusinessTravel]], "Non-Travel", 0, "Travel_Rarely", 1, "Travel_Frequently", 2)</f>
        <v>1</v>
      </c>
      <c r="AI1354" cm="1">
        <f t="array" ref="AI1354">_xlfn.SWITCH(tbl_HR_Data[[#This Row],[MaritalStatus]],"Single",0,"Married",1,"Divorced",2)</f>
        <v>1</v>
      </c>
      <c r="AJ1354">
        <f>IF(tbl_HR_Data[[#This Row],[OverTime]]=1,1,0)</f>
        <v>0</v>
      </c>
      <c r="AK1354">
        <f>IF(tbl_HR_Data[[#This Row],[DistanceFromHome]]&gt;15,1,0)</f>
        <v>0</v>
      </c>
      <c r="AL1354">
        <f>IF(tbl_HR_Data[[#This Row],[JobSatisfaction]]&lt;=2,1,0)</f>
        <v>1</v>
      </c>
      <c r="AM1354">
        <f>IF(tbl_HR_Data[[#This Row],[MonthlyIncome]]&lt;$AT$2,1,0)</f>
        <v>0</v>
      </c>
      <c r="AN1354">
        <f>IF(tbl_HR_Data[[#This Row],[Travel_Code]]=2,1,0)</f>
        <v>0</v>
      </c>
      <c r="AO1354">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354" s="15">
        <f>tbl_HR_Data[[#This Row],[Risk_Score_Raw]] / SUM(Logic_Parameters!$B$2:$B$6)</f>
        <v>0.14485673308716898</v>
      </c>
      <c r="AQ1354" s="16" t="str" cm="1">
        <f t="array" ref="AQ1354">_xlfn.IFS(tbl_HR_Data[[#This Row],[Attrition_Risk_Percentage]] &gt;= 0.75, "Critical",tbl_HR_Data[ [#This Row],[Attrition_Risk_Percentage] ]&gt;= 0.5, "High",tbl_HR_Data[[#This Row],[Attrition_Risk_Percentage]] &gt;= 0.25, "Medium",TRUE, "Low")</f>
        <v>Low</v>
      </c>
      <c r="AR1354" s="16" cm="1">
        <f t="array" ref="AR1354">IFERROR(_xlfn.IFS(tbl_HR_Data[[#This Row],[Risk_Category]]="Critical",tbl_HR_Data[[#This Row],[MonthlyIncome]]*1.5,tbl_HR_Data[[#This Row],[Risk_Category]]="High",tbl_HR_Data[[#This Row],[MonthlyIncome]]*1.5),0)</f>
        <v>0</v>
      </c>
    </row>
    <row r="1355" spans="1:44" x14ac:dyDescent="0.35">
      <c r="A1355" t="s">
        <v>843</v>
      </c>
      <c r="B1355">
        <v>34</v>
      </c>
      <c r="C1355" t="s">
        <v>1525</v>
      </c>
      <c r="D1355">
        <v>967</v>
      </c>
      <c r="E1355" t="s">
        <v>38</v>
      </c>
      <c r="F1355">
        <v>16</v>
      </c>
      <c r="G1355">
        <v>4</v>
      </c>
      <c r="H1355" t="s">
        <v>52</v>
      </c>
      <c r="I1355">
        <v>4</v>
      </c>
      <c r="J1355" t="s">
        <v>39</v>
      </c>
      <c r="K1355">
        <v>85</v>
      </c>
      <c r="L1355">
        <v>1</v>
      </c>
      <c r="M1355">
        <v>1</v>
      </c>
      <c r="N1355" t="s">
        <v>40</v>
      </c>
      <c r="O1355">
        <v>1</v>
      </c>
      <c r="P1355" t="s">
        <v>41</v>
      </c>
      <c r="Q1355">
        <v>2307</v>
      </c>
      <c r="R1355">
        <v>14460</v>
      </c>
      <c r="S1355">
        <v>1</v>
      </c>
      <c r="T1355">
        <v>1</v>
      </c>
      <c r="U1355" s="17">
        <v>0.23</v>
      </c>
      <c r="V1355">
        <v>4</v>
      </c>
      <c r="W1355">
        <v>2</v>
      </c>
      <c r="X1355">
        <v>1</v>
      </c>
      <c r="Y1355">
        <v>5</v>
      </c>
      <c r="Z1355">
        <v>2</v>
      </c>
      <c r="AA1355">
        <v>3</v>
      </c>
      <c r="AB1355">
        <v>5</v>
      </c>
      <c r="AC1355">
        <v>2</v>
      </c>
      <c r="AD1355">
        <v>3</v>
      </c>
      <c r="AE1355">
        <v>0</v>
      </c>
      <c r="AF1355">
        <v>1</v>
      </c>
      <c r="AG1355">
        <f>IF(tbl_HR_Data[[#This Row],[Gender]]="Male",1,0)</f>
        <v>1</v>
      </c>
      <c r="AH1355" cm="1">
        <f t="array" ref="AH1355">_xlfn.SWITCH(tbl_HR_Data[[#This Row],[BusinessTravel]], "Non-Travel", 0, "Travel_Rarely", 1, "Travel_Frequently", 2)</f>
        <v>0</v>
      </c>
      <c r="AI1355" cm="1">
        <f t="array" ref="AI1355">_xlfn.SWITCH(tbl_HR_Data[[#This Row],[MaritalStatus]],"Single",0,"Married",1,"Divorced",2)</f>
        <v>1</v>
      </c>
      <c r="AJ1355">
        <f>IF(tbl_HR_Data[[#This Row],[OverTime]]=1,1,0)</f>
        <v>1</v>
      </c>
      <c r="AK1355">
        <f>IF(tbl_HR_Data[[#This Row],[DistanceFromHome]]&gt;15,1,0)</f>
        <v>1</v>
      </c>
      <c r="AL1355">
        <f>IF(tbl_HR_Data[[#This Row],[JobSatisfaction]]&lt;=2,1,0)</f>
        <v>1</v>
      </c>
      <c r="AM1355">
        <f>IF(tbl_HR_Data[[#This Row],[MonthlyIncome]]&lt;$AT$2,1,0)</f>
        <v>1</v>
      </c>
      <c r="AN1355">
        <f>IF(tbl_HR_Data[[#This Row],[Travel_Code]]=2,1,0)</f>
        <v>0</v>
      </c>
      <c r="AO1355">
        <f>(tbl_HR_Data[[#This Row],[Flag_OT]] * Logic_Parameters!$B$2) +
 (tbl_HR_Data[[#This Row],[Flag_Travel]] * Logic_Parameters!$B$3) +
 (tbl_HR_Data[[#This Row],[Flag_Satisfaction]] * Logic_Parameters!$B$4) +
 (tbl_HR_Data[[#This Row],[Flag_Distance]]* Logic_Parameters!$B$5) +
 (tbl_HR_Data[[#This Row],[Flag_Income]] * Logic_Parameters!$B$6)</f>
        <v>23.865068763274337</v>
      </c>
      <c r="AP1355" s="15">
        <f>tbl_HR_Data[[#This Row],[Risk_Score_Raw]] / SUM(Logic_Parameters!$B$2:$B$6)</f>
        <v>0.82221159616990469</v>
      </c>
      <c r="AQ1355" s="16" t="str" cm="1">
        <f t="array" ref="AQ1355">_xlfn.IFS(tbl_HR_Data[[#This Row],[Attrition_Risk_Percentage]] &gt;= 0.75, "Critical",tbl_HR_Data[ [#This Row],[Attrition_Risk_Percentage] ]&gt;= 0.5, "High",tbl_HR_Data[[#This Row],[Attrition_Risk_Percentage]] &gt;= 0.25, "Medium",TRUE, "Low")</f>
        <v>Critical</v>
      </c>
      <c r="AR1355" s="16" cm="1">
        <f t="array" ref="AR1355">IFERROR(_xlfn.IFS(tbl_HR_Data[[#This Row],[Risk_Category]]="Critical",tbl_HR_Data[[#This Row],[MonthlyIncome]]*1.5,tbl_HR_Data[[#This Row],[Risk_Category]]="High",tbl_HR_Data[[#This Row],[MonthlyIncome]]*1.5),0)</f>
        <v>3460.5</v>
      </c>
    </row>
    <row r="1356" spans="1:44" x14ac:dyDescent="0.35">
      <c r="A1356" t="s">
        <v>1203</v>
      </c>
      <c r="B1356">
        <v>56</v>
      </c>
      <c r="C1356" t="s">
        <v>31</v>
      </c>
      <c r="D1356">
        <v>1162</v>
      </c>
      <c r="E1356" t="s">
        <v>38</v>
      </c>
      <c r="F1356">
        <v>24</v>
      </c>
      <c r="G1356">
        <v>2</v>
      </c>
      <c r="H1356" t="s">
        <v>33</v>
      </c>
      <c r="I1356">
        <v>1</v>
      </c>
      <c r="J1356" t="s">
        <v>39</v>
      </c>
      <c r="K1356">
        <v>97</v>
      </c>
      <c r="L1356">
        <v>3</v>
      </c>
      <c r="M1356">
        <v>1</v>
      </c>
      <c r="N1356" t="s">
        <v>43</v>
      </c>
      <c r="O1356">
        <v>4</v>
      </c>
      <c r="P1356" t="s">
        <v>36</v>
      </c>
      <c r="Q1356">
        <v>2587</v>
      </c>
      <c r="R1356">
        <v>10261</v>
      </c>
      <c r="S1356">
        <v>1</v>
      </c>
      <c r="T1356">
        <v>0</v>
      </c>
      <c r="U1356" s="17">
        <v>0.16</v>
      </c>
      <c r="V1356">
        <v>3</v>
      </c>
      <c r="W1356">
        <v>4</v>
      </c>
      <c r="X1356">
        <v>0</v>
      </c>
      <c r="Y1356">
        <v>5</v>
      </c>
      <c r="Z1356">
        <v>3</v>
      </c>
      <c r="AA1356">
        <v>3</v>
      </c>
      <c r="AB1356">
        <v>4</v>
      </c>
      <c r="AC1356">
        <v>2</v>
      </c>
      <c r="AD1356">
        <v>1</v>
      </c>
      <c r="AE1356">
        <v>0</v>
      </c>
      <c r="AF1356">
        <v>1</v>
      </c>
      <c r="AG1356">
        <f>IF(tbl_HR_Data[[#This Row],[Gender]]="Male",1,0)</f>
        <v>1</v>
      </c>
      <c r="AH1356" cm="1">
        <f t="array" ref="AH1356">_xlfn.SWITCH(tbl_HR_Data[[#This Row],[BusinessTravel]], "Non-Travel", 0, "Travel_Rarely", 1, "Travel_Frequently", 2)</f>
        <v>1</v>
      </c>
      <c r="AI1356" cm="1">
        <f t="array" ref="AI1356">_xlfn.SWITCH(tbl_HR_Data[[#This Row],[MaritalStatus]],"Single",0,"Married",1,"Divorced",2)</f>
        <v>0</v>
      </c>
      <c r="AJ1356">
        <f>IF(tbl_HR_Data[[#This Row],[OverTime]]=1,1,0)</f>
        <v>0</v>
      </c>
      <c r="AK1356">
        <f>IF(tbl_HR_Data[[#This Row],[DistanceFromHome]]&gt;15,1,0)</f>
        <v>1</v>
      </c>
      <c r="AL1356">
        <f>IF(tbl_HR_Data[[#This Row],[JobSatisfaction]]&lt;=2,1,0)</f>
        <v>0</v>
      </c>
      <c r="AM1356">
        <f>IF(tbl_HR_Data[[#This Row],[MonthlyIncome]]&lt;$AT$2,1,0)</f>
        <v>1</v>
      </c>
      <c r="AN1356">
        <f>IF(tbl_HR_Data[[#This Row],[Travel_Code]]=2,1,0)</f>
        <v>0</v>
      </c>
      <c r="AO1356">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1356" s="15">
        <f>tbl_HR_Data[[#This Row],[Risk_Score_Raw]] / SUM(Logic_Parameters!$B$2:$B$6)</f>
        <v>0.33282973125692844</v>
      </c>
      <c r="AQ1356" s="16" t="str" cm="1">
        <f t="array" ref="AQ1356">_xlfn.IFS(tbl_HR_Data[[#This Row],[Attrition_Risk_Percentage]] &gt;= 0.75, "Critical",tbl_HR_Data[ [#This Row],[Attrition_Risk_Percentage] ]&gt;= 0.5, "High",tbl_HR_Data[[#This Row],[Attrition_Risk_Percentage]] &gt;= 0.25, "Medium",TRUE, "Low")</f>
        <v>Medium</v>
      </c>
      <c r="AR1356" s="16" cm="1">
        <f t="array" ref="AR1356">IFERROR(_xlfn.IFS(tbl_HR_Data[[#This Row],[Risk_Category]]="Critical",tbl_HR_Data[[#This Row],[MonthlyIncome]]*1.5,tbl_HR_Data[[#This Row],[Risk_Category]]="High",tbl_HR_Data[[#This Row],[MonthlyIncome]]*1.5),0)</f>
        <v>0</v>
      </c>
    </row>
    <row r="1357" spans="1:44" x14ac:dyDescent="0.35">
      <c r="A1357" t="s">
        <v>279</v>
      </c>
      <c r="B1357">
        <v>36</v>
      </c>
      <c r="C1357" t="s">
        <v>31</v>
      </c>
      <c r="D1357">
        <v>335</v>
      </c>
      <c r="E1357" t="s">
        <v>32</v>
      </c>
      <c r="F1357">
        <v>17</v>
      </c>
      <c r="G1357">
        <v>2</v>
      </c>
      <c r="H1357" t="s">
        <v>51</v>
      </c>
      <c r="I1357">
        <v>3</v>
      </c>
      <c r="J1357" t="s">
        <v>39</v>
      </c>
      <c r="K1357">
        <v>33</v>
      </c>
      <c r="L1357">
        <v>2</v>
      </c>
      <c r="M1357">
        <v>2</v>
      </c>
      <c r="N1357" t="s">
        <v>35</v>
      </c>
      <c r="O1357">
        <v>2</v>
      </c>
      <c r="P1357" t="s">
        <v>41</v>
      </c>
      <c r="Q1357">
        <v>5507</v>
      </c>
      <c r="R1357">
        <v>16822</v>
      </c>
      <c r="S1357">
        <v>2</v>
      </c>
      <c r="T1357">
        <v>0</v>
      </c>
      <c r="U1357" s="17">
        <v>0.16</v>
      </c>
      <c r="V1357">
        <v>3</v>
      </c>
      <c r="W1357">
        <v>3</v>
      </c>
      <c r="X1357">
        <v>2</v>
      </c>
      <c r="Y1357">
        <v>12</v>
      </c>
      <c r="Z1357">
        <v>1</v>
      </c>
      <c r="AA1357">
        <v>1</v>
      </c>
      <c r="AB1357">
        <v>4</v>
      </c>
      <c r="AC1357">
        <v>2</v>
      </c>
      <c r="AD1357">
        <v>1</v>
      </c>
      <c r="AE1357">
        <v>3</v>
      </c>
      <c r="AF1357">
        <v>0</v>
      </c>
      <c r="AG1357">
        <f>IF(tbl_HR_Data[[#This Row],[Gender]]="Male",1,0)</f>
        <v>1</v>
      </c>
      <c r="AH1357" cm="1">
        <f t="array" ref="AH1357">_xlfn.SWITCH(tbl_HR_Data[[#This Row],[BusinessTravel]], "Non-Travel", 0, "Travel_Rarely", 1, "Travel_Frequently", 2)</f>
        <v>1</v>
      </c>
      <c r="AI1357" cm="1">
        <f t="array" ref="AI1357">_xlfn.SWITCH(tbl_HR_Data[[#This Row],[MaritalStatus]],"Single",0,"Married",1,"Divorced",2)</f>
        <v>1</v>
      </c>
      <c r="AJ1357">
        <f>IF(tbl_HR_Data[[#This Row],[OverTime]]=1,1,0)</f>
        <v>0</v>
      </c>
      <c r="AK1357">
        <f>IF(tbl_HR_Data[[#This Row],[DistanceFromHome]]&gt;15,1,0)</f>
        <v>1</v>
      </c>
      <c r="AL1357">
        <f>IF(tbl_HR_Data[[#This Row],[JobSatisfaction]]&lt;=2,1,0)</f>
        <v>1</v>
      </c>
      <c r="AM1357">
        <f>IF(tbl_HR_Data[[#This Row],[MonthlyIncome]]&lt;$AT$2,1,0)</f>
        <v>0</v>
      </c>
      <c r="AN1357">
        <f>IF(tbl_HR_Data[[#This Row],[Travel_Code]]=2,1,0)</f>
        <v>0</v>
      </c>
      <c r="AO1357">
        <f>(tbl_HR_Data[[#This Row],[Flag_OT]] * Logic_Parameters!$B$2) +
 (tbl_HR_Data[[#This Row],[Flag_Travel]] * Logic_Parameters!$B$3) +
 (tbl_HR_Data[[#This Row],[Flag_Satisfaction]] * Logic_Parameters!$B$4) +
 (tbl_HR_Data[[#This Row],[Flag_Distance]]* Logic_Parameters!$B$5) +
 (tbl_HR_Data[[#This Row],[Flag_Income]] * Logic_Parameters!$B$6)</f>
        <v>7.3706398258535089</v>
      </c>
      <c r="AP1357" s="15">
        <f>tbl_HR_Data[[#This Row],[Risk_Score_Raw]] / SUM(Logic_Parameters!$B$2:$B$6)</f>
        <v>0.25393706576427255</v>
      </c>
      <c r="AQ1357" s="16" t="str" cm="1">
        <f t="array" ref="AQ1357">_xlfn.IFS(tbl_HR_Data[[#This Row],[Attrition_Risk_Percentage]] &gt;= 0.75, "Critical",tbl_HR_Data[ [#This Row],[Attrition_Risk_Percentage] ]&gt;= 0.5, "High",tbl_HR_Data[[#This Row],[Attrition_Risk_Percentage]] &gt;= 0.25, "Medium",TRUE, "Low")</f>
        <v>Medium</v>
      </c>
      <c r="AR1357" s="16" cm="1">
        <f t="array" ref="AR1357">IFERROR(_xlfn.IFS(tbl_HR_Data[[#This Row],[Risk_Category]]="Critical",tbl_HR_Data[[#This Row],[MonthlyIncome]]*1.5,tbl_HR_Data[[#This Row],[Risk_Category]]="High",tbl_HR_Data[[#This Row],[MonthlyIncome]]*1.5),0)</f>
        <v>0</v>
      </c>
    </row>
    <row r="1358" spans="1:44" x14ac:dyDescent="0.35">
      <c r="A1358" t="s">
        <v>525</v>
      </c>
      <c r="B1358">
        <v>41</v>
      </c>
      <c r="C1358" t="s">
        <v>31</v>
      </c>
      <c r="D1358">
        <v>337</v>
      </c>
      <c r="E1358" t="s">
        <v>32</v>
      </c>
      <c r="F1358">
        <v>8</v>
      </c>
      <c r="G1358">
        <v>3</v>
      </c>
      <c r="H1358" t="s">
        <v>51</v>
      </c>
      <c r="I1358">
        <v>3</v>
      </c>
      <c r="J1358" t="s">
        <v>34</v>
      </c>
      <c r="K1358">
        <v>54</v>
      </c>
      <c r="L1358">
        <v>3</v>
      </c>
      <c r="M1358">
        <v>2</v>
      </c>
      <c r="N1358" t="s">
        <v>35</v>
      </c>
      <c r="O1358">
        <v>2</v>
      </c>
      <c r="P1358" t="s">
        <v>41</v>
      </c>
      <c r="Q1358">
        <v>4393</v>
      </c>
      <c r="R1358">
        <v>26841</v>
      </c>
      <c r="S1358">
        <v>5</v>
      </c>
      <c r="T1358">
        <v>0</v>
      </c>
      <c r="U1358" s="17">
        <v>0.21</v>
      </c>
      <c r="V1358">
        <v>4</v>
      </c>
      <c r="W1358">
        <v>3</v>
      </c>
      <c r="X1358">
        <v>1</v>
      </c>
      <c r="Y1358">
        <v>14</v>
      </c>
      <c r="Z1358">
        <v>3</v>
      </c>
      <c r="AA1358">
        <v>3</v>
      </c>
      <c r="AB1358">
        <v>5</v>
      </c>
      <c r="AC1358">
        <v>4</v>
      </c>
      <c r="AD1358">
        <v>1</v>
      </c>
      <c r="AE1358">
        <v>4</v>
      </c>
      <c r="AF1358">
        <v>0</v>
      </c>
      <c r="AG1358">
        <f>IF(tbl_HR_Data[[#This Row],[Gender]]="Male",1,0)</f>
        <v>0</v>
      </c>
      <c r="AH1358" cm="1">
        <f t="array" ref="AH1358">_xlfn.SWITCH(tbl_HR_Data[[#This Row],[BusinessTravel]], "Non-Travel", 0, "Travel_Rarely", 1, "Travel_Frequently", 2)</f>
        <v>1</v>
      </c>
      <c r="AI1358" cm="1">
        <f t="array" ref="AI1358">_xlfn.SWITCH(tbl_HR_Data[[#This Row],[MaritalStatus]],"Single",0,"Married",1,"Divorced",2)</f>
        <v>1</v>
      </c>
      <c r="AJ1358">
        <f>IF(tbl_HR_Data[[#This Row],[OverTime]]=1,1,0)</f>
        <v>0</v>
      </c>
      <c r="AK1358">
        <f>IF(tbl_HR_Data[[#This Row],[DistanceFromHome]]&gt;15,1,0)</f>
        <v>0</v>
      </c>
      <c r="AL1358">
        <f>IF(tbl_HR_Data[[#This Row],[JobSatisfaction]]&lt;=2,1,0)</f>
        <v>1</v>
      </c>
      <c r="AM1358">
        <f>IF(tbl_HR_Data[[#This Row],[MonthlyIncome]]&lt;$AT$2,1,0)</f>
        <v>1</v>
      </c>
      <c r="AN1358">
        <f>IF(tbl_HR_Data[[#This Row],[Travel_Code]]=2,1,0)</f>
        <v>0</v>
      </c>
      <c r="AO1358">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358" s="15">
        <f>tbl_HR_Data[[#This Row],[Risk_Score_Raw]] / SUM(Logic_Parameters!$B$2:$B$6)</f>
        <v>0.3686061316669938</v>
      </c>
      <c r="AQ1358" s="16" t="str" cm="1">
        <f t="array" ref="AQ1358">_xlfn.IFS(tbl_HR_Data[[#This Row],[Attrition_Risk_Percentage]] &gt;= 0.75, "Critical",tbl_HR_Data[ [#This Row],[Attrition_Risk_Percentage] ]&gt;= 0.5, "High",tbl_HR_Data[[#This Row],[Attrition_Risk_Percentage]] &gt;= 0.25, "Medium",TRUE, "Low")</f>
        <v>Medium</v>
      </c>
      <c r="AR1358" s="16" cm="1">
        <f t="array" ref="AR1358">IFERROR(_xlfn.IFS(tbl_HR_Data[[#This Row],[Risk_Category]]="Critical",tbl_HR_Data[[#This Row],[MonthlyIncome]]*1.5,tbl_HR_Data[[#This Row],[Risk_Category]]="High",tbl_HR_Data[[#This Row],[MonthlyIncome]]*1.5),0)</f>
        <v>0</v>
      </c>
    </row>
    <row r="1359" spans="1:44" x14ac:dyDescent="0.35">
      <c r="A1359" t="s">
        <v>761</v>
      </c>
      <c r="B1359">
        <v>42</v>
      </c>
      <c r="C1359" t="s">
        <v>31</v>
      </c>
      <c r="D1359">
        <v>1396</v>
      </c>
      <c r="E1359" t="s">
        <v>38</v>
      </c>
      <c r="F1359">
        <v>6</v>
      </c>
      <c r="G1359">
        <v>3</v>
      </c>
      <c r="H1359" t="s">
        <v>44</v>
      </c>
      <c r="I1359">
        <v>3</v>
      </c>
      <c r="J1359" t="s">
        <v>39</v>
      </c>
      <c r="K1359">
        <v>83</v>
      </c>
      <c r="L1359">
        <v>3</v>
      </c>
      <c r="M1359">
        <v>3</v>
      </c>
      <c r="N1359" t="s">
        <v>50</v>
      </c>
      <c r="O1359">
        <v>1</v>
      </c>
      <c r="P1359" t="s">
        <v>41</v>
      </c>
      <c r="Q1359">
        <v>13348</v>
      </c>
      <c r="R1359">
        <v>14842</v>
      </c>
      <c r="S1359">
        <v>9</v>
      </c>
      <c r="T1359">
        <v>0</v>
      </c>
      <c r="U1359" s="17">
        <v>0.13</v>
      </c>
      <c r="V1359">
        <v>3</v>
      </c>
      <c r="W1359">
        <v>2</v>
      </c>
      <c r="X1359">
        <v>1</v>
      </c>
      <c r="Y1359">
        <v>18</v>
      </c>
      <c r="Z1359">
        <v>3</v>
      </c>
      <c r="AA1359">
        <v>4</v>
      </c>
      <c r="AB1359">
        <v>13</v>
      </c>
      <c r="AC1359">
        <v>7</v>
      </c>
      <c r="AD1359">
        <v>5</v>
      </c>
      <c r="AE1359">
        <v>7</v>
      </c>
      <c r="AF1359">
        <v>0</v>
      </c>
      <c r="AG1359">
        <f>IF(tbl_HR_Data[[#This Row],[Gender]]="Male",1,0)</f>
        <v>1</v>
      </c>
      <c r="AH1359" cm="1">
        <f t="array" ref="AH1359">_xlfn.SWITCH(tbl_HR_Data[[#This Row],[BusinessTravel]], "Non-Travel", 0, "Travel_Rarely", 1, "Travel_Frequently", 2)</f>
        <v>1</v>
      </c>
      <c r="AI1359" cm="1">
        <f t="array" ref="AI1359">_xlfn.SWITCH(tbl_HR_Data[[#This Row],[MaritalStatus]],"Single",0,"Married",1,"Divorced",2)</f>
        <v>1</v>
      </c>
      <c r="AJ1359">
        <f>IF(tbl_HR_Data[[#This Row],[OverTime]]=1,1,0)</f>
        <v>0</v>
      </c>
      <c r="AK1359">
        <f>IF(tbl_HR_Data[[#This Row],[DistanceFromHome]]&gt;15,1,0)</f>
        <v>0</v>
      </c>
      <c r="AL1359">
        <f>IF(tbl_HR_Data[[#This Row],[JobSatisfaction]]&lt;=2,1,0)</f>
        <v>1</v>
      </c>
      <c r="AM1359">
        <f>IF(tbl_HR_Data[[#This Row],[MonthlyIncome]]&lt;$AT$2,1,0)</f>
        <v>0</v>
      </c>
      <c r="AN1359">
        <f>IF(tbl_HR_Data[[#This Row],[Travel_Code]]=2,1,0)</f>
        <v>0</v>
      </c>
      <c r="AO1359">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359" s="15">
        <f>tbl_HR_Data[[#This Row],[Risk_Score_Raw]] / SUM(Logic_Parameters!$B$2:$B$6)</f>
        <v>0.14485673308716898</v>
      </c>
      <c r="AQ1359" s="16" t="str" cm="1">
        <f t="array" ref="AQ1359">_xlfn.IFS(tbl_HR_Data[[#This Row],[Attrition_Risk_Percentage]] &gt;= 0.75, "Critical",tbl_HR_Data[ [#This Row],[Attrition_Risk_Percentage] ]&gt;= 0.5, "High",tbl_HR_Data[[#This Row],[Attrition_Risk_Percentage]] &gt;= 0.25, "Medium",TRUE, "Low")</f>
        <v>Low</v>
      </c>
      <c r="AR1359" s="16" cm="1">
        <f t="array" ref="AR1359">IFERROR(_xlfn.IFS(tbl_HR_Data[[#This Row],[Risk_Category]]="Critical",tbl_HR_Data[[#This Row],[MonthlyIncome]]*1.5,tbl_HR_Data[[#This Row],[Risk_Category]]="High",tbl_HR_Data[[#This Row],[MonthlyIncome]]*1.5),0)</f>
        <v>0</v>
      </c>
    </row>
    <row r="1360" spans="1:44" x14ac:dyDescent="0.35">
      <c r="A1360" t="s">
        <v>1377</v>
      </c>
      <c r="B1360">
        <v>31</v>
      </c>
      <c r="C1360" t="s">
        <v>31</v>
      </c>
      <c r="D1360">
        <v>1079</v>
      </c>
      <c r="E1360" t="s">
        <v>32</v>
      </c>
      <c r="F1360">
        <v>10</v>
      </c>
      <c r="G1360">
        <v>2</v>
      </c>
      <c r="H1360" t="s">
        <v>44</v>
      </c>
      <c r="I1360">
        <v>3</v>
      </c>
      <c r="J1360" t="s">
        <v>34</v>
      </c>
      <c r="K1360">
        <v>86</v>
      </c>
      <c r="L1360">
        <v>3</v>
      </c>
      <c r="M1360">
        <v>2</v>
      </c>
      <c r="N1360" t="s">
        <v>35</v>
      </c>
      <c r="O1360">
        <v>4</v>
      </c>
      <c r="P1360" t="s">
        <v>45</v>
      </c>
      <c r="Q1360">
        <v>6583</v>
      </c>
      <c r="R1360">
        <v>20115</v>
      </c>
      <c r="S1360">
        <v>2</v>
      </c>
      <c r="T1360">
        <v>1</v>
      </c>
      <c r="U1360" s="17">
        <v>0.11</v>
      </c>
      <c r="V1360">
        <v>3</v>
      </c>
      <c r="W1360">
        <v>4</v>
      </c>
      <c r="X1360">
        <v>1</v>
      </c>
      <c r="Y1360">
        <v>8</v>
      </c>
      <c r="Z1360">
        <v>2</v>
      </c>
      <c r="AA1360">
        <v>3</v>
      </c>
      <c r="AB1360">
        <v>5</v>
      </c>
      <c r="AC1360">
        <v>2</v>
      </c>
      <c r="AD1360">
        <v>1</v>
      </c>
      <c r="AE1360">
        <v>4</v>
      </c>
      <c r="AF1360">
        <v>0</v>
      </c>
      <c r="AG1360">
        <f>IF(tbl_HR_Data[[#This Row],[Gender]]="Male",1,0)</f>
        <v>0</v>
      </c>
      <c r="AH1360" cm="1">
        <f t="array" ref="AH1360">_xlfn.SWITCH(tbl_HR_Data[[#This Row],[BusinessTravel]], "Non-Travel", 0, "Travel_Rarely", 1, "Travel_Frequently", 2)</f>
        <v>1</v>
      </c>
      <c r="AI1360" cm="1">
        <f t="array" ref="AI1360">_xlfn.SWITCH(tbl_HR_Data[[#This Row],[MaritalStatus]],"Single",0,"Married",1,"Divorced",2)</f>
        <v>2</v>
      </c>
      <c r="AJ1360">
        <f>IF(tbl_HR_Data[[#This Row],[OverTime]]=1,1,0)</f>
        <v>1</v>
      </c>
      <c r="AK1360">
        <f>IF(tbl_HR_Data[[#This Row],[DistanceFromHome]]&gt;15,1,0)</f>
        <v>0</v>
      </c>
      <c r="AL1360">
        <f>IF(tbl_HR_Data[[#This Row],[JobSatisfaction]]&lt;=2,1,0)</f>
        <v>0</v>
      </c>
      <c r="AM1360">
        <f>IF(tbl_HR_Data[[#This Row],[MonthlyIncome]]&lt;$AT$2,1,0)</f>
        <v>0</v>
      </c>
      <c r="AN1360">
        <f>IF(tbl_HR_Data[[#This Row],[Travel_Code]]=2,1,0)</f>
        <v>0</v>
      </c>
      <c r="AO1360">
        <f>(tbl_HR_Data[[#This Row],[Flag_OT]] * Logic_Parameters!$B$2) +
 (tbl_HR_Data[[#This Row],[Flag_Travel]] * Logic_Parameters!$B$3) +
 (tbl_HR_Data[[#This Row],[Flag_Satisfaction]] * Logic_Parameters!$B$4) +
 (tbl_HR_Data[[#This Row],[Flag_Distance]]* Logic_Parameters!$B$5) +
 (tbl_HR_Data[[#This Row],[Flag_Income]] * Logic_Parameters!$B$6)</f>
        <v>10</v>
      </c>
      <c r="AP1360" s="15">
        <f>tbl_HR_Data[[#This Row],[Risk_Score_Raw]] / SUM(Logic_Parameters!$B$2:$B$6)</f>
        <v>0.3445251318258073</v>
      </c>
      <c r="AQ1360" s="16" t="str" cm="1">
        <f t="array" ref="AQ1360">_xlfn.IFS(tbl_HR_Data[[#This Row],[Attrition_Risk_Percentage]] &gt;= 0.75, "Critical",tbl_HR_Data[ [#This Row],[Attrition_Risk_Percentage] ]&gt;= 0.5, "High",tbl_HR_Data[[#This Row],[Attrition_Risk_Percentage]] &gt;= 0.25, "Medium",TRUE, "Low")</f>
        <v>Medium</v>
      </c>
      <c r="AR1360" s="16" cm="1">
        <f t="array" ref="AR1360">IFERROR(_xlfn.IFS(tbl_HR_Data[[#This Row],[Risk_Category]]="Critical",tbl_HR_Data[[#This Row],[MonthlyIncome]]*1.5,tbl_HR_Data[[#This Row],[Risk_Category]]="High",tbl_HR_Data[[#This Row],[MonthlyIncome]]*1.5),0)</f>
        <v>0</v>
      </c>
    </row>
    <row r="1361" spans="1:44" x14ac:dyDescent="0.35">
      <c r="A1361" t="s">
        <v>902</v>
      </c>
      <c r="B1361">
        <v>34</v>
      </c>
      <c r="C1361" t="s">
        <v>31</v>
      </c>
      <c r="D1361">
        <v>735</v>
      </c>
      <c r="E1361" t="s">
        <v>32</v>
      </c>
      <c r="F1361">
        <v>3</v>
      </c>
      <c r="G1361">
        <v>1</v>
      </c>
      <c r="H1361" t="s">
        <v>44</v>
      </c>
      <c r="I1361">
        <v>4</v>
      </c>
      <c r="J1361" t="s">
        <v>34</v>
      </c>
      <c r="K1361">
        <v>75</v>
      </c>
      <c r="L1361">
        <v>2</v>
      </c>
      <c r="M1361">
        <v>2</v>
      </c>
      <c r="N1361" t="s">
        <v>35</v>
      </c>
      <c r="O1361">
        <v>4</v>
      </c>
      <c r="P1361" t="s">
        <v>41</v>
      </c>
      <c r="Q1361">
        <v>8103</v>
      </c>
      <c r="R1361">
        <v>16495</v>
      </c>
      <c r="S1361">
        <v>3</v>
      </c>
      <c r="T1361">
        <v>1</v>
      </c>
      <c r="U1361" s="17">
        <v>0.12</v>
      </c>
      <c r="V1361">
        <v>3</v>
      </c>
      <c r="W1361">
        <v>3</v>
      </c>
      <c r="X1361">
        <v>0</v>
      </c>
      <c r="Y1361">
        <v>9</v>
      </c>
      <c r="Z1361">
        <v>3</v>
      </c>
      <c r="AA1361">
        <v>2</v>
      </c>
      <c r="AB1361">
        <v>4</v>
      </c>
      <c r="AC1361">
        <v>2</v>
      </c>
      <c r="AD1361">
        <v>0</v>
      </c>
      <c r="AE1361">
        <v>1</v>
      </c>
      <c r="AF1361">
        <v>0</v>
      </c>
      <c r="AG1361">
        <f>IF(tbl_HR_Data[[#This Row],[Gender]]="Male",1,0)</f>
        <v>0</v>
      </c>
      <c r="AH1361" cm="1">
        <f t="array" ref="AH1361">_xlfn.SWITCH(tbl_HR_Data[[#This Row],[BusinessTravel]], "Non-Travel", 0, "Travel_Rarely", 1, "Travel_Frequently", 2)</f>
        <v>1</v>
      </c>
      <c r="AI1361" cm="1">
        <f t="array" ref="AI1361">_xlfn.SWITCH(tbl_HR_Data[[#This Row],[MaritalStatus]],"Single",0,"Married",1,"Divorced",2)</f>
        <v>1</v>
      </c>
      <c r="AJ1361">
        <f>IF(tbl_HR_Data[[#This Row],[OverTime]]=1,1,0)</f>
        <v>1</v>
      </c>
      <c r="AK1361">
        <f>IF(tbl_HR_Data[[#This Row],[DistanceFromHome]]&gt;15,1,0)</f>
        <v>0</v>
      </c>
      <c r="AL1361">
        <f>IF(tbl_HR_Data[[#This Row],[JobSatisfaction]]&lt;=2,1,0)</f>
        <v>0</v>
      </c>
      <c r="AM1361">
        <f>IF(tbl_HR_Data[[#This Row],[MonthlyIncome]]&lt;$AT$2,1,0)</f>
        <v>0</v>
      </c>
      <c r="AN1361">
        <f>IF(tbl_HR_Data[[#This Row],[Travel_Code]]=2,1,0)</f>
        <v>0</v>
      </c>
      <c r="AO1361">
        <f>(tbl_HR_Data[[#This Row],[Flag_OT]] * Logic_Parameters!$B$2) +
 (tbl_HR_Data[[#This Row],[Flag_Travel]] * Logic_Parameters!$B$3) +
 (tbl_HR_Data[[#This Row],[Flag_Satisfaction]] * Logic_Parameters!$B$4) +
 (tbl_HR_Data[[#This Row],[Flag_Distance]]* Logic_Parameters!$B$5) +
 (tbl_HR_Data[[#This Row],[Flag_Income]] * Logic_Parameters!$B$6)</f>
        <v>10</v>
      </c>
      <c r="AP1361" s="15">
        <f>tbl_HR_Data[[#This Row],[Risk_Score_Raw]] / SUM(Logic_Parameters!$B$2:$B$6)</f>
        <v>0.3445251318258073</v>
      </c>
      <c r="AQ1361" s="16" t="str" cm="1">
        <f t="array" ref="AQ1361">_xlfn.IFS(tbl_HR_Data[[#This Row],[Attrition_Risk_Percentage]] &gt;= 0.75, "Critical",tbl_HR_Data[ [#This Row],[Attrition_Risk_Percentage] ]&gt;= 0.5, "High",tbl_HR_Data[[#This Row],[Attrition_Risk_Percentage]] &gt;= 0.25, "Medium",TRUE, "Low")</f>
        <v>Medium</v>
      </c>
      <c r="AR1361" s="16" cm="1">
        <f t="array" ref="AR1361">IFERROR(_xlfn.IFS(tbl_HR_Data[[#This Row],[Risk_Category]]="Critical",tbl_HR_Data[[#This Row],[MonthlyIncome]]*1.5,tbl_HR_Data[[#This Row],[Risk_Category]]="High",tbl_HR_Data[[#This Row],[MonthlyIncome]]*1.5),0)</f>
        <v>0</v>
      </c>
    </row>
    <row r="1362" spans="1:44" x14ac:dyDescent="0.35">
      <c r="A1362" t="s">
        <v>834</v>
      </c>
      <c r="B1362">
        <v>31</v>
      </c>
      <c r="C1362" t="s">
        <v>31</v>
      </c>
      <c r="D1362">
        <v>471</v>
      </c>
      <c r="E1362" t="s">
        <v>38</v>
      </c>
      <c r="F1362">
        <v>4</v>
      </c>
      <c r="G1362">
        <v>3</v>
      </c>
      <c r="H1362" t="s">
        <v>44</v>
      </c>
      <c r="I1362">
        <v>1</v>
      </c>
      <c r="J1362" t="s">
        <v>34</v>
      </c>
      <c r="K1362">
        <v>62</v>
      </c>
      <c r="L1362">
        <v>4</v>
      </c>
      <c r="M1362">
        <v>1</v>
      </c>
      <c r="N1362" t="s">
        <v>43</v>
      </c>
      <c r="O1362">
        <v>3</v>
      </c>
      <c r="P1362" t="s">
        <v>45</v>
      </c>
      <c r="Q1362">
        <v>3978</v>
      </c>
      <c r="R1362">
        <v>16031</v>
      </c>
      <c r="S1362">
        <v>8</v>
      </c>
      <c r="T1362">
        <v>0</v>
      </c>
      <c r="U1362" s="17">
        <v>0.12</v>
      </c>
      <c r="V1362">
        <v>3</v>
      </c>
      <c r="W1362">
        <v>2</v>
      </c>
      <c r="X1362">
        <v>1</v>
      </c>
      <c r="Y1362">
        <v>4</v>
      </c>
      <c r="Z1362">
        <v>0</v>
      </c>
      <c r="AA1362">
        <v>2</v>
      </c>
      <c r="AB1362">
        <v>2</v>
      </c>
      <c r="AC1362">
        <v>2</v>
      </c>
      <c r="AD1362">
        <v>2</v>
      </c>
      <c r="AE1362">
        <v>2</v>
      </c>
      <c r="AF1362">
        <v>0</v>
      </c>
      <c r="AG1362">
        <f>IF(tbl_HR_Data[[#This Row],[Gender]]="Male",1,0)</f>
        <v>0</v>
      </c>
      <c r="AH1362" cm="1">
        <f t="array" ref="AH1362">_xlfn.SWITCH(tbl_HR_Data[[#This Row],[BusinessTravel]], "Non-Travel", 0, "Travel_Rarely", 1, "Travel_Frequently", 2)</f>
        <v>1</v>
      </c>
      <c r="AI1362" cm="1">
        <f t="array" ref="AI1362">_xlfn.SWITCH(tbl_HR_Data[[#This Row],[MaritalStatus]],"Single",0,"Married",1,"Divorced",2)</f>
        <v>2</v>
      </c>
      <c r="AJ1362">
        <f>IF(tbl_HR_Data[[#This Row],[OverTime]]=1,1,0)</f>
        <v>0</v>
      </c>
      <c r="AK1362">
        <f>IF(tbl_HR_Data[[#This Row],[DistanceFromHome]]&gt;15,1,0)</f>
        <v>0</v>
      </c>
      <c r="AL1362">
        <f>IF(tbl_HR_Data[[#This Row],[JobSatisfaction]]&lt;=2,1,0)</f>
        <v>0</v>
      </c>
      <c r="AM1362">
        <f>IF(tbl_HR_Data[[#This Row],[MonthlyIncome]]&lt;$AT$2,1,0)</f>
        <v>1</v>
      </c>
      <c r="AN1362">
        <f>IF(tbl_HR_Data[[#This Row],[Travel_Code]]=2,1,0)</f>
        <v>0</v>
      </c>
      <c r="AO1362">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362" s="15">
        <f>tbl_HR_Data[[#This Row],[Risk_Score_Raw]] / SUM(Logic_Parameters!$B$2:$B$6)</f>
        <v>0.22374939857982484</v>
      </c>
      <c r="AQ1362" s="16" t="str" cm="1">
        <f t="array" ref="AQ1362">_xlfn.IFS(tbl_HR_Data[[#This Row],[Attrition_Risk_Percentage]] &gt;= 0.75, "Critical",tbl_HR_Data[ [#This Row],[Attrition_Risk_Percentage] ]&gt;= 0.5, "High",tbl_HR_Data[[#This Row],[Attrition_Risk_Percentage]] &gt;= 0.25, "Medium",TRUE, "Low")</f>
        <v>Low</v>
      </c>
      <c r="AR1362" s="16" cm="1">
        <f t="array" ref="AR1362">IFERROR(_xlfn.IFS(tbl_HR_Data[[#This Row],[Risk_Category]]="Critical",tbl_HR_Data[[#This Row],[MonthlyIncome]]*1.5,tbl_HR_Data[[#This Row],[Risk_Category]]="High",tbl_HR_Data[[#This Row],[MonthlyIncome]]*1.5),0)</f>
        <v>0</v>
      </c>
    </row>
    <row r="1363" spans="1:44" x14ac:dyDescent="0.35">
      <c r="A1363" t="s">
        <v>1266</v>
      </c>
      <c r="B1363">
        <v>26</v>
      </c>
      <c r="C1363" t="s">
        <v>37</v>
      </c>
      <c r="D1363">
        <v>1096</v>
      </c>
      <c r="E1363" t="s">
        <v>38</v>
      </c>
      <c r="F1363">
        <v>6</v>
      </c>
      <c r="G1363">
        <v>3</v>
      </c>
      <c r="H1363" t="s">
        <v>42</v>
      </c>
      <c r="I1363">
        <v>3</v>
      </c>
      <c r="J1363" t="s">
        <v>39</v>
      </c>
      <c r="K1363">
        <v>61</v>
      </c>
      <c r="L1363">
        <v>4</v>
      </c>
      <c r="M1363">
        <v>1</v>
      </c>
      <c r="N1363" t="s">
        <v>43</v>
      </c>
      <c r="O1363">
        <v>4</v>
      </c>
      <c r="P1363" t="s">
        <v>41</v>
      </c>
      <c r="Q1363">
        <v>2544</v>
      </c>
      <c r="R1363">
        <v>7102</v>
      </c>
      <c r="S1363">
        <v>0</v>
      </c>
      <c r="T1363">
        <v>0</v>
      </c>
      <c r="U1363" s="17">
        <v>0.18</v>
      </c>
      <c r="V1363">
        <v>3</v>
      </c>
      <c r="W1363">
        <v>1</v>
      </c>
      <c r="X1363">
        <v>1</v>
      </c>
      <c r="Y1363">
        <v>8</v>
      </c>
      <c r="Z1363">
        <v>3</v>
      </c>
      <c r="AA1363">
        <v>3</v>
      </c>
      <c r="AB1363">
        <v>7</v>
      </c>
      <c r="AC1363">
        <v>7</v>
      </c>
      <c r="AD1363">
        <v>7</v>
      </c>
      <c r="AE1363">
        <v>7</v>
      </c>
      <c r="AF1363">
        <v>0</v>
      </c>
      <c r="AG1363">
        <f>IF(tbl_HR_Data[[#This Row],[Gender]]="Male",1,0)</f>
        <v>1</v>
      </c>
      <c r="AH1363" cm="1">
        <f t="array" ref="AH1363">_xlfn.SWITCH(tbl_HR_Data[[#This Row],[BusinessTravel]], "Non-Travel", 0, "Travel_Rarely", 1, "Travel_Frequently", 2)</f>
        <v>2</v>
      </c>
      <c r="AI1363" cm="1">
        <f t="array" ref="AI1363">_xlfn.SWITCH(tbl_HR_Data[[#This Row],[MaritalStatus]],"Single",0,"Married",1,"Divorced",2)</f>
        <v>1</v>
      </c>
      <c r="AJ1363">
        <f>IF(tbl_HR_Data[[#This Row],[OverTime]]=1,1,0)</f>
        <v>0</v>
      </c>
      <c r="AK1363">
        <f>IF(tbl_HR_Data[[#This Row],[DistanceFromHome]]&gt;15,1,0)</f>
        <v>0</v>
      </c>
      <c r="AL1363">
        <f>IF(tbl_HR_Data[[#This Row],[JobSatisfaction]]&lt;=2,1,0)</f>
        <v>0</v>
      </c>
      <c r="AM1363">
        <f>IF(tbl_HR_Data[[#This Row],[MonthlyIncome]]&lt;$AT$2,1,0)</f>
        <v>1</v>
      </c>
      <c r="AN1363">
        <f>IF(tbl_HR_Data[[#This Row],[Travel_Code]]=2,1,0)</f>
        <v>1</v>
      </c>
      <c r="AO1363">
        <f>(tbl_HR_Data[[#This Row],[Flag_OT]] * Logic_Parameters!$B$2) +
 (tbl_HR_Data[[#This Row],[Flag_Travel]] * Logic_Parameters!$B$3) +
 (tbl_HR_Data[[#This Row],[Flag_Satisfaction]] * Logic_Parameters!$B$4) +
 (tbl_HR_Data[[#This Row],[Flag_Distance]]* Logic_Parameters!$B$5) +
 (tbl_HR_Data[[#This Row],[Flag_Income]] * Logic_Parameters!$B$6)</f>
        <v>11.654818917911005</v>
      </c>
      <c r="AP1363" s="15">
        <f>tbl_HR_Data[[#This Row],[Risk_Score_Raw]] / SUM(Logic_Parameters!$B$2:$B$6)</f>
        <v>0.40153780240992015</v>
      </c>
      <c r="AQ1363" s="16" t="str" cm="1">
        <f t="array" ref="AQ1363">_xlfn.IFS(tbl_HR_Data[[#This Row],[Attrition_Risk_Percentage]] &gt;= 0.75, "Critical",tbl_HR_Data[ [#This Row],[Attrition_Risk_Percentage] ]&gt;= 0.5, "High",tbl_HR_Data[[#This Row],[Attrition_Risk_Percentage]] &gt;= 0.25, "Medium",TRUE, "Low")</f>
        <v>Medium</v>
      </c>
      <c r="AR1363" s="16" cm="1">
        <f t="array" ref="AR1363">IFERROR(_xlfn.IFS(tbl_HR_Data[[#This Row],[Risk_Category]]="Critical",tbl_HR_Data[[#This Row],[MonthlyIncome]]*1.5,tbl_HR_Data[[#This Row],[Risk_Category]]="High",tbl_HR_Data[[#This Row],[MonthlyIncome]]*1.5),0)</f>
        <v>0</v>
      </c>
    </row>
    <row r="1364" spans="1:44" x14ac:dyDescent="0.35">
      <c r="A1364" t="s">
        <v>1055</v>
      </c>
      <c r="B1364">
        <v>45</v>
      </c>
      <c r="C1364" t="s">
        <v>37</v>
      </c>
      <c r="D1364">
        <v>1297</v>
      </c>
      <c r="E1364" t="s">
        <v>38</v>
      </c>
      <c r="F1364">
        <v>1</v>
      </c>
      <c r="G1364">
        <v>4</v>
      </c>
      <c r="H1364" t="s">
        <v>44</v>
      </c>
      <c r="I1364">
        <v>2</v>
      </c>
      <c r="J1364" t="s">
        <v>39</v>
      </c>
      <c r="K1364">
        <v>44</v>
      </c>
      <c r="L1364">
        <v>3</v>
      </c>
      <c r="M1364">
        <v>2</v>
      </c>
      <c r="N1364" t="s">
        <v>47</v>
      </c>
      <c r="O1364">
        <v>3</v>
      </c>
      <c r="P1364" t="s">
        <v>36</v>
      </c>
      <c r="Q1364">
        <v>5399</v>
      </c>
      <c r="R1364">
        <v>14511</v>
      </c>
      <c r="S1364">
        <v>4</v>
      </c>
      <c r="T1364">
        <v>0</v>
      </c>
      <c r="U1364" s="17">
        <v>0.12</v>
      </c>
      <c r="V1364">
        <v>3</v>
      </c>
      <c r="W1364">
        <v>3</v>
      </c>
      <c r="X1364">
        <v>0</v>
      </c>
      <c r="Y1364">
        <v>12</v>
      </c>
      <c r="Z1364">
        <v>3</v>
      </c>
      <c r="AA1364">
        <v>3</v>
      </c>
      <c r="AB1364">
        <v>4</v>
      </c>
      <c r="AC1364">
        <v>2</v>
      </c>
      <c r="AD1364">
        <v>0</v>
      </c>
      <c r="AE1364">
        <v>3</v>
      </c>
      <c r="AF1364">
        <v>0</v>
      </c>
      <c r="AG1364">
        <f>IF(tbl_HR_Data[[#This Row],[Gender]]="Male",1,0)</f>
        <v>1</v>
      </c>
      <c r="AH1364" cm="1">
        <f t="array" ref="AH1364">_xlfn.SWITCH(tbl_HR_Data[[#This Row],[BusinessTravel]], "Non-Travel", 0, "Travel_Rarely", 1, "Travel_Frequently", 2)</f>
        <v>2</v>
      </c>
      <c r="AI1364" cm="1">
        <f t="array" ref="AI1364">_xlfn.SWITCH(tbl_HR_Data[[#This Row],[MaritalStatus]],"Single",0,"Married",1,"Divorced",2)</f>
        <v>0</v>
      </c>
      <c r="AJ1364">
        <f>IF(tbl_HR_Data[[#This Row],[OverTime]]=1,1,0)</f>
        <v>0</v>
      </c>
      <c r="AK1364">
        <f>IF(tbl_HR_Data[[#This Row],[DistanceFromHome]]&gt;15,1,0)</f>
        <v>0</v>
      </c>
      <c r="AL1364">
        <f>IF(tbl_HR_Data[[#This Row],[JobSatisfaction]]&lt;=2,1,0)</f>
        <v>0</v>
      </c>
      <c r="AM1364">
        <f>IF(tbl_HR_Data[[#This Row],[MonthlyIncome]]&lt;$AT$2,1,0)</f>
        <v>0</v>
      </c>
      <c r="AN1364">
        <f>IF(tbl_HR_Data[[#This Row],[Travel_Code]]=2,1,0)</f>
        <v>1</v>
      </c>
      <c r="AO1364">
        <f>(tbl_HR_Data[[#This Row],[Flag_OT]] * Logic_Parameters!$B$2) +
 (tbl_HR_Data[[#This Row],[Flag_Travel]] * Logic_Parameters!$B$3) +
 (tbl_HR_Data[[#This Row],[Flag_Satisfaction]] * Logic_Parameters!$B$4) +
 (tbl_HR_Data[[#This Row],[Flag_Distance]]* Logic_Parameters!$B$5) +
 (tbl_HR_Data[[#This Row],[Flag_Income]] * Logic_Parameters!$B$6)</f>
        <v>5.1603899804901765</v>
      </c>
      <c r="AP1364" s="15">
        <f>tbl_HR_Data[[#This Row],[Risk_Score_Raw]] / SUM(Logic_Parameters!$B$2:$B$6)</f>
        <v>0.17778840383009531</v>
      </c>
      <c r="AQ1364" s="16" t="str" cm="1">
        <f t="array" ref="AQ1364">_xlfn.IFS(tbl_HR_Data[[#This Row],[Attrition_Risk_Percentage]] &gt;= 0.75, "Critical",tbl_HR_Data[ [#This Row],[Attrition_Risk_Percentage] ]&gt;= 0.5, "High",tbl_HR_Data[[#This Row],[Attrition_Risk_Percentage]] &gt;= 0.25, "Medium",TRUE, "Low")</f>
        <v>Low</v>
      </c>
      <c r="AR1364" s="16" cm="1">
        <f t="array" ref="AR1364">IFERROR(_xlfn.IFS(tbl_HR_Data[[#This Row],[Risk_Category]]="Critical",tbl_HR_Data[[#This Row],[MonthlyIncome]]*1.5,tbl_HR_Data[[#This Row],[Risk_Category]]="High",tbl_HR_Data[[#This Row],[MonthlyIncome]]*1.5),0)</f>
        <v>0</v>
      </c>
    </row>
    <row r="1365" spans="1:44" x14ac:dyDescent="0.35">
      <c r="A1365" t="s">
        <v>1006</v>
      </c>
      <c r="B1365">
        <v>33</v>
      </c>
      <c r="C1365" t="s">
        <v>31</v>
      </c>
      <c r="D1365">
        <v>217</v>
      </c>
      <c r="E1365" t="s">
        <v>32</v>
      </c>
      <c r="F1365">
        <v>10</v>
      </c>
      <c r="G1365">
        <v>4</v>
      </c>
      <c r="H1365" t="s">
        <v>51</v>
      </c>
      <c r="I1365">
        <v>2</v>
      </c>
      <c r="J1365" t="s">
        <v>39</v>
      </c>
      <c r="K1365">
        <v>43</v>
      </c>
      <c r="L1365">
        <v>3</v>
      </c>
      <c r="M1365">
        <v>2</v>
      </c>
      <c r="N1365" t="s">
        <v>35</v>
      </c>
      <c r="O1365">
        <v>3</v>
      </c>
      <c r="P1365" t="s">
        <v>36</v>
      </c>
      <c r="Q1365">
        <v>5487</v>
      </c>
      <c r="R1365">
        <v>10410</v>
      </c>
      <c r="S1365">
        <v>1</v>
      </c>
      <c r="T1365">
        <v>0</v>
      </c>
      <c r="U1365" s="17">
        <v>0.14000000000000001</v>
      </c>
      <c r="V1365">
        <v>3</v>
      </c>
      <c r="W1365">
        <v>2</v>
      </c>
      <c r="X1365">
        <v>0</v>
      </c>
      <c r="Y1365">
        <v>10</v>
      </c>
      <c r="Z1365">
        <v>2</v>
      </c>
      <c r="AA1365">
        <v>2</v>
      </c>
      <c r="AB1365">
        <v>10</v>
      </c>
      <c r="AC1365">
        <v>4</v>
      </c>
      <c r="AD1365">
        <v>0</v>
      </c>
      <c r="AE1365">
        <v>9</v>
      </c>
      <c r="AF1365">
        <v>0</v>
      </c>
      <c r="AG1365">
        <f>IF(tbl_HR_Data[[#This Row],[Gender]]="Male",1,0)</f>
        <v>1</v>
      </c>
      <c r="AH1365" cm="1">
        <f t="array" ref="AH1365">_xlfn.SWITCH(tbl_HR_Data[[#This Row],[BusinessTravel]], "Non-Travel", 0, "Travel_Rarely", 1, "Travel_Frequently", 2)</f>
        <v>1</v>
      </c>
      <c r="AI1365" cm="1">
        <f t="array" ref="AI1365">_xlfn.SWITCH(tbl_HR_Data[[#This Row],[MaritalStatus]],"Single",0,"Married",1,"Divorced",2)</f>
        <v>0</v>
      </c>
      <c r="AJ1365">
        <f>IF(tbl_HR_Data[[#This Row],[OverTime]]=1,1,0)</f>
        <v>0</v>
      </c>
      <c r="AK1365">
        <f>IF(tbl_HR_Data[[#This Row],[DistanceFromHome]]&gt;15,1,0)</f>
        <v>0</v>
      </c>
      <c r="AL1365">
        <f>IF(tbl_HR_Data[[#This Row],[JobSatisfaction]]&lt;=2,1,0)</f>
        <v>0</v>
      </c>
      <c r="AM1365">
        <f>IF(tbl_HR_Data[[#This Row],[MonthlyIncome]]&lt;$AT$2,1,0)</f>
        <v>0</v>
      </c>
      <c r="AN1365">
        <f>IF(tbl_HR_Data[[#This Row],[Travel_Code]]=2,1,0)</f>
        <v>0</v>
      </c>
      <c r="AO1365">
        <f>(tbl_HR_Data[[#This Row],[Flag_OT]] * Logic_Parameters!$B$2) +
 (tbl_HR_Data[[#This Row],[Flag_Travel]] * Logic_Parameters!$B$3) +
 (tbl_HR_Data[[#This Row],[Flag_Satisfaction]] * Logic_Parameters!$B$4) +
 (tbl_HR_Data[[#This Row],[Flag_Distance]]* Logic_Parameters!$B$5) +
 (tbl_HR_Data[[#This Row],[Flag_Income]] * Logic_Parameters!$B$6)</f>
        <v>0</v>
      </c>
      <c r="AP1365" s="15">
        <f>tbl_HR_Data[[#This Row],[Risk_Score_Raw]] / SUM(Logic_Parameters!$B$2:$B$6)</f>
        <v>0</v>
      </c>
      <c r="AQ1365" s="16" t="str" cm="1">
        <f t="array" ref="AQ1365">_xlfn.IFS(tbl_HR_Data[[#This Row],[Attrition_Risk_Percentage]] &gt;= 0.75, "Critical",tbl_HR_Data[ [#This Row],[Attrition_Risk_Percentage] ]&gt;= 0.5, "High",tbl_HR_Data[[#This Row],[Attrition_Risk_Percentage]] &gt;= 0.25, "Medium",TRUE, "Low")</f>
        <v>Low</v>
      </c>
      <c r="AR1365" s="16" cm="1">
        <f t="array" ref="AR1365">IFERROR(_xlfn.IFS(tbl_HR_Data[[#This Row],[Risk_Category]]="Critical",tbl_HR_Data[[#This Row],[MonthlyIncome]]*1.5,tbl_HR_Data[[#This Row],[Risk_Category]]="High",tbl_HR_Data[[#This Row],[MonthlyIncome]]*1.5),0)</f>
        <v>0</v>
      </c>
    </row>
    <row r="1366" spans="1:44" x14ac:dyDescent="0.35">
      <c r="A1366" t="s">
        <v>131</v>
      </c>
      <c r="B1366">
        <v>28</v>
      </c>
      <c r="C1366" t="s">
        <v>37</v>
      </c>
      <c r="D1366">
        <v>783</v>
      </c>
      <c r="E1366" t="s">
        <v>32</v>
      </c>
      <c r="F1366">
        <v>1</v>
      </c>
      <c r="G1366">
        <v>2</v>
      </c>
      <c r="H1366" t="s">
        <v>33</v>
      </c>
      <c r="I1366">
        <v>3</v>
      </c>
      <c r="J1366" t="s">
        <v>39</v>
      </c>
      <c r="K1366">
        <v>42</v>
      </c>
      <c r="L1366">
        <v>2</v>
      </c>
      <c r="M1366">
        <v>2</v>
      </c>
      <c r="N1366" t="s">
        <v>35</v>
      </c>
      <c r="O1366">
        <v>4</v>
      </c>
      <c r="P1366" t="s">
        <v>41</v>
      </c>
      <c r="Q1366">
        <v>6834</v>
      </c>
      <c r="R1366">
        <v>19255</v>
      </c>
      <c r="S1366">
        <v>1</v>
      </c>
      <c r="T1366">
        <v>1</v>
      </c>
      <c r="U1366" s="17">
        <v>0.12</v>
      </c>
      <c r="V1366">
        <v>3</v>
      </c>
      <c r="W1366">
        <v>3</v>
      </c>
      <c r="X1366">
        <v>1</v>
      </c>
      <c r="Y1366">
        <v>7</v>
      </c>
      <c r="Z1366">
        <v>2</v>
      </c>
      <c r="AA1366">
        <v>3</v>
      </c>
      <c r="AB1366">
        <v>7</v>
      </c>
      <c r="AC1366">
        <v>7</v>
      </c>
      <c r="AD1366">
        <v>0</v>
      </c>
      <c r="AE1366">
        <v>7</v>
      </c>
      <c r="AF1366">
        <v>0</v>
      </c>
      <c r="AG1366">
        <f>IF(tbl_HR_Data[[#This Row],[Gender]]="Male",1,0)</f>
        <v>1</v>
      </c>
      <c r="AH1366" cm="1">
        <f t="array" ref="AH1366">_xlfn.SWITCH(tbl_HR_Data[[#This Row],[BusinessTravel]], "Non-Travel", 0, "Travel_Rarely", 1, "Travel_Frequently", 2)</f>
        <v>2</v>
      </c>
      <c r="AI1366" cm="1">
        <f t="array" ref="AI1366">_xlfn.SWITCH(tbl_HR_Data[[#This Row],[MaritalStatus]],"Single",0,"Married",1,"Divorced",2)</f>
        <v>1</v>
      </c>
      <c r="AJ1366">
        <f>IF(tbl_HR_Data[[#This Row],[OverTime]]=1,1,0)</f>
        <v>1</v>
      </c>
      <c r="AK1366">
        <f>IF(tbl_HR_Data[[#This Row],[DistanceFromHome]]&gt;15,1,0)</f>
        <v>0</v>
      </c>
      <c r="AL1366">
        <f>IF(tbl_HR_Data[[#This Row],[JobSatisfaction]]&lt;=2,1,0)</f>
        <v>0</v>
      </c>
      <c r="AM1366">
        <f>IF(tbl_HR_Data[[#This Row],[MonthlyIncome]]&lt;$AT$2,1,0)</f>
        <v>0</v>
      </c>
      <c r="AN1366">
        <f>IF(tbl_HR_Data[[#This Row],[Travel_Code]]=2,1,0)</f>
        <v>1</v>
      </c>
      <c r="AO1366">
        <f>(tbl_HR_Data[[#This Row],[Flag_OT]] * Logic_Parameters!$B$2) +
 (tbl_HR_Data[[#This Row],[Flag_Travel]] * Logic_Parameters!$B$3) +
 (tbl_HR_Data[[#This Row],[Flag_Satisfaction]] * Logic_Parameters!$B$4) +
 (tbl_HR_Data[[#This Row],[Flag_Distance]]* Logic_Parameters!$B$5) +
 (tbl_HR_Data[[#This Row],[Flag_Income]] * Logic_Parameters!$B$6)</f>
        <v>15.160389980490176</v>
      </c>
      <c r="AP1366" s="15">
        <f>tbl_HR_Data[[#This Row],[Risk_Score_Raw]] / SUM(Logic_Parameters!$B$2:$B$6)</f>
        <v>0.52231353565590266</v>
      </c>
      <c r="AQ1366" s="16" t="str" cm="1">
        <f t="array" ref="AQ1366">_xlfn.IFS(tbl_HR_Data[[#This Row],[Attrition_Risk_Percentage]] &gt;= 0.75, "Critical",tbl_HR_Data[ [#This Row],[Attrition_Risk_Percentage] ]&gt;= 0.5, "High",tbl_HR_Data[[#This Row],[Attrition_Risk_Percentage]] &gt;= 0.25, "Medium",TRUE, "Low")</f>
        <v>High</v>
      </c>
      <c r="AR1366" s="16" cm="1">
        <f t="array" ref="AR1366">IFERROR(_xlfn.IFS(tbl_HR_Data[[#This Row],[Risk_Category]]="Critical",tbl_HR_Data[[#This Row],[MonthlyIncome]]*1.5,tbl_HR_Data[[#This Row],[Risk_Category]]="High",tbl_HR_Data[[#This Row],[MonthlyIncome]]*1.5),0)</f>
        <v>10251</v>
      </c>
    </row>
    <row r="1367" spans="1:44" x14ac:dyDescent="0.35">
      <c r="A1367" t="s">
        <v>770</v>
      </c>
      <c r="B1367">
        <v>29</v>
      </c>
      <c r="C1367" t="s">
        <v>37</v>
      </c>
      <c r="D1367">
        <v>746</v>
      </c>
      <c r="E1367" t="s">
        <v>32</v>
      </c>
      <c r="F1367">
        <v>24</v>
      </c>
      <c r="G1367">
        <v>3</v>
      </c>
      <c r="H1367" t="s">
        <v>52</v>
      </c>
      <c r="I1367">
        <v>3</v>
      </c>
      <c r="J1367" t="s">
        <v>39</v>
      </c>
      <c r="K1367">
        <v>45</v>
      </c>
      <c r="L1367">
        <v>4</v>
      </c>
      <c r="M1367">
        <v>1</v>
      </c>
      <c r="N1367" t="s">
        <v>49</v>
      </c>
      <c r="O1367">
        <v>1</v>
      </c>
      <c r="P1367" t="s">
        <v>36</v>
      </c>
      <c r="Q1367">
        <v>1091</v>
      </c>
      <c r="R1367">
        <v>10642</v>
      </c>
      <c r="S1367">
        <v>1</v>
      </c>
      <c r="T1367">
        <v>0</v>
      </c>
      <c r="U1367" s="17">
        <v>0.17</v>
      </c>
      <c r="V1367">
        <v>3</v>
      </c>
      <c r="W1367">
        <v>4</v>
      </c>
      <c r="X1367">
        <v>0</v>
      </c>
      <c r="Y1367">
        <v>1</v>
      </c>
      <c r="Z1367">
        <v>3</v>
      </c>
      <c r="AA1367">
        <v>3</v>
      </c>
      <c r="AB1367">
        <v>1</v>
      </c>
      <c r="AC1367">
        <v>0</v>
      </c>
      <c r="AD1367">
        <v>0</v>
      </c>
      <c r="AE1367">
        <v>0</v>
      </c>
      <c r="AF1367">
        <v>1</v>
      </c>
      <c r="AG1367">
        <f>IF(tbl_HR_Data[[#This Row],[Gender]]="Male",1,0)</f>
        <v>1</v>
      </c>
      <c r="AH1367" cm="1">
        <f t="array" ref="AH1367">_xlfn.SWITCH(tbl_HR_Data[[#This Row],[BusinessTravel]], "Non-Travel", 0, "Travel_Rarely", 1, "Travel_Frequently", 2)</f>
        <v>2</v>
      </c>
      <c r="AI1367" cm="1">
        <f t="array" ref="AI1367">_xlfn.SWITCH(tbl_HR_Data[[#This Row],[MaritalStatus]],"Single",0,"Married",1,"Divorced",2)</f>
        <v>0</v>
      </c>
      <c r="AJ1367">
        <f>IF(tbl_HR_Data[[#This Row],[OverTime]]=1,1,0)</f>
        <v>0</v>
      </c>
      <c r="AK1367">
        <f>IF(tbl_HR_Data[[#This Row],[DistanceFromHome]]&gt;15,1,0)</f>
        <v>1</v>
      </c>
      <c r="AL1367">
        <f>IF(tbl_HR_Data[[#This Row],[JobSatisfaction]]&lt;=2,1,0)</f>
        <v>1</v>
      </c>
      <c r="AM1367">
        <f>IF(tbl_HR_Data[[#This Row],[MonthlyIncome]]&lt;$AT$2,1,0)</f>
        <v>1</v>
      </c>
      <c r="AN1367">
        <f>IF(tbl_HR_Data[[#This Row],[Travel_Code]]=2,1,0)</f>
        <v>1</v>
      </c>
      <c r="AO1367">
        <f>(tbl_HR_Data[[#This Row],[Flag_OT]] * Logic_Parameters!$B$2) +
 (tbl_HR_Data[[#This Row],[Flag_Travel]] * Logic_Parameters!$B$3) +
 (tbl_HR_Data[[#This Row],[Flag_Satisfaction]] * Logic_Parameters!$B$4) +
 (tbl_HR_Data[[#This Row],[Flag_Distance]]* Logic_Parameters!$B$5) +
 (tbl_HR_Data[[#This Row],[Flag_Income]] * Logic_Parameters!$B$6)</f>
        <v>19.025458743764514</v>
      </c>
      <c r="AP1367" s="15">
        <f>tbl_HR_Data[[#This Row],[Risk_Score_Raw]] / SUM(Logic_Parameters!$B$2:$B$6)</f>
        <v>0.65547486817419276</v>
      </c>
      <c r="AQ1367" s="16" t="str" cm="1">
        <f t="array" ref="AQ1367">_xlfn.IFS(tbl_HR_Data[[#This Row],[Attrition_Risk_Percentage]] &gt;= 0.75, "Critical",tbl_HR_Data[ [#This Row],[Attrition_Risk_Percentage] ]&gt;= 0.5, "High",tbl_HR_Data[[#This Row],[Attrition_Risk_Percentage]] &gt;= 0.25, "Medium",TRUE, "Low")</f>
        <v>High</v>
      </c>
      <c r="AR1367" s="16" cm="1">
        <f t="array" ref="AR1367">IFERROR(_xlfn.IFS(tbl_HR_Data[[#This Row],[Risk_Category]]="Critical",tbl_HR_Data[[#This Row],[MonthlyIncome]]*1.5,tbl_HR_Data[[#This Row],[Risk_Category]]="High",tbl_HR_Data[[#This Row],[MonthlyIncome]]*1.5),0)</f>
        <v>1636.5</v>
      </c>
    </row>
    <row r="1368" spans="1:44" x14ac:dyDescent="0.35">
      <c r="A1368" t="s">
        <v>627</v>
      </c>
      <c r="B1368">
        <v>39</v>
      </c>
      <c r="C1368" t="s">
        <v>1525</v>
      </c>
      <c r="D1368">
        <v>1251</v>
      </c>
      <c r="E1368" t="s">
        <v>32</v>
      </c>
      <c r="F1368">
        <v>21</v>
      </c>
      <c r="G1368">
        <v>4</v>
      </c>
      <c r="H1368" t="s">
        <v>33</v>
      </c>
      <c r="I1368">
        <v>1</v>
      </c>
      <c r="J1368" t="s">
        <v>34</v>
      </c>
      <c r="K1368">
        <v>32</v>
      </c>
      <c r="L1368">
        <v>1</v>
      </c>
      <c r="M1368">
        <v>2</v>
      </c>
      <c r="N1368" t="s">
        <v>35</v>
      </c>
      <c r="O1368">
        <v>3</v>
      </c>
      <c r="P1368" t="s">
        <v>41</v>
      </c>
      <c r="Q1368">
        <v>5736</v>
      </c>
      <c r="R1368">
        <v>3987</v>
      </c>
      <c r="S1368">
        <v>6</v>
      </c>
      <c r="T1368">
        <v>0</v>
      </c>
      <c r="U1368" s="17">
        <v>0.19</v>
      </c>
      <c r="V1368">
        <v>3</v>
      </c>
      <c r="W1368">
        <v>3</v>
      </c>
      <c r="X1368">
        <v>1</v>
      </c>
      <c r="Y1368">
        <v>10</v>
      </c>
      <c r="Z1368">
        <v>1</v>
      </c>
      <c r="AA1368">
        <v>3</v>
      </c>
      <c r="AB1368">
        <v>3</v>
      </c>
      <c r="AC1368">
        <v>2</v>
      </c>
      <c r="AD1368">
        <v>1</v>
      </c>
      <c r="AE1368">
        <v>2</v>
      </c>
      <c r="AF1368">
        <v>0</v>
      </c>
      <c r="AG1368">
        <f>IF(tbl_HR_Data[[#This Row],[Gender]]="Male",1,0)</f>
        <v>0</v>
      </c>
      <c r="AH1368" cm="1">
        <f t="array" ref="AH1368">_xlfn.SWITCH(tbl_HR_Data[[#This Row],[BusinessTravel]], "Non-Travel", 0, "Travel_Rarely", 1, "Travel_Frequently", 2)</f>
        <v>0</v>
      </c>
      <c r="AI1368" cm="1">
        <f t="array" ref="AI1368">_xlfn.SWITCH(tbl_HR_Data[[#This Row],[MaritalStatus]],"Single",0,"Married",1,"Divorced",2)</f>
        <v>1</v>
      </c>
      <c r="AJ1368">
        <f>IF(tbl_HR_Data[[#This Row],[OverTime]]=1,1,0)</f>
        <v>0</v>
      </c>
      <c r="AK1368">
        <f>IF(tbl_HR_Data[[#This Row],[DistanceFromHome]]&gt;15,1,0)</f>
        <v>1</v>
      </c>
      <c r="AL1368">
        <f>IF(tbl_HR_Data[[#This Row],[JobSatisfaction]]&lt;=2,1,0)</f>
        <v>0</v>
      </c>
      <c r="AM1368">
        <f>IF(tbl_HR_Data[[#This Row],[MonthlyIncome]]&lt;$AT$2,1,0)</f>
        <v>0</v>
      </c>
      <c r="AN1368">
        <f>IF(tbl_HR_Data[[#This Row],[Travel_Code]]=2,1,0)</f>
        <v>0</v>
      </c>
      <c r="AO1368">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1368" s="15">
        <f>tbl_HR_Data[[#This Row],[Risk_Score_Raw]] / SUM(Logic_Parameters!$B$2:$B$6)</f>
        <v>0.10908033267710357</v>
      </c>
      <c r="AQ1368" s="16" t="str" cm="1">
        <f t="array" ref="AQ1368">_xlfn.IFS(tbl_HR_Data[[#This Row],[Attrition_Risk_Percentage]] &gt;= 0.75, "Critical",tbl_HR_Data[ [#This Row],[Attrition_Risk_Percentage] ]&gt;= 0.5, "High",tbl_HR_Data[[#This Row],[Attrition_Risk_Percentage]] &gt;= 0.25, "Medium",TRUE, "Low")</f>
        <v>Low</v>
      </c>
      <c r="AR1368" s="16" cm="1">
        <f t="array" ref="AR1368">IFERROR(_xlfn.IFS(tbl_HR_Data[[#This Row],[Risk_Category]]="Critical",tbl_HR_Data[[#This Row],[MonthlyIncome]]*1.5,tbl_HR_Data[[#This Row],[Risk_Category]]="High",tbl_HR_Data[[#This Row],[MonthlyIncome]]*1.5),0)</f>
        <v>0</v>
      </c>
    </row>
    <row r="1369" spans="1:44" x14ac:dyDescent="0.35">
      <c r="A1369" t="s">
        <v>272</v>
      </c>
      <c r="B1369">
        <v>27</v>
      </c>
      <c r="C1369" t="s">
        <v>31</v>
      </c>
      <c r="D1369">
        <v>1354</v>
      </c>
      <c r="E1369" t="s">
        <v>38</v>
      </c>
      <c r="F1369">
        <v>2</v>
      </c>
      <c r="G1369">
        <v>4</v>
      </c>
      <c r="H1369" t="s">
        <v>52</v>
      </c>
      <c r="I1369">
        <v>2</v>
      </c>
      <c r="J1369" t="s">
        <v>39</v>
      </c>
      <c r="K1369">
        <v>41</v>
      </c>
      <c r="L1369">
        <v>3</v>
      </c>
      <c r="M1369">
        <v>1</v>
      </c>
      <c r="N1369" t="s">
        <v>40</v>
      </c>
      <c r="O1369">
        <v>2</v>
      </c>
      <c r="P1369" t="s">
        <v>41</v>
      </c>
      <c r="Q1369">
        <v>2226</v>
      </c>
      <c r="R1369">
        <v>6073</v>
      </c>
      <c r="S1369">
        <v>1</v>
      </c>
      <c r="T1369">
        <v>0</v>
      </c>
      <c r="U1369" s="17">
        <v>0.11</v>
      </c>
      <c r="V1369">
        <v>3</v>
      </c>
      <c r="W1369">
        <v>3</v>
      </c>
      <c r="X1369">
        <v>1</v>
      </c>
      <c r="Y1369">
        <v>6</v>
      </c>
      <c r="Z1369">
        <v>3</v>
      </c>
      <c r="AA1369">
        <v>2</v>
      </c>
      <c r="AB1369">
        <v>5</v>
      </c>
      <c r="AC1369">
        <v>3</v>
      </c>
      <c r="AD1369">
        <v>1</v>
      </c>
      <c r="AE1369">
        <v>2</v>
      </c>
      <c r="AF1369">
        <v>0</v>
      </c>
      <c r="AG1369">
        <f>IF(tbl_HR_Data[[#This Row],[Gender]]="Male",1,0)</f>
        <v>1</v>
      </c>
      <c r="AH1369" cm="1">
        <f t="array" ref="AH1369">_xlfn.SWITCH(tbl_HR_Data[[#This Row],[BusinessTravel]], "Non-Travel", 0, "Travel_Rarely", 1, "Travel_Frequently", 2)</f>
        <v>1</v>
      </c>
      <c r="AI1369" cm="1">
        <f t="array" ref="AI1369">_xlfn.SWITCH(tbl_HR_Data[[#This Row],[MaritalStatus]],"Single",0,"Married",1,"Divorced",2)</f>
        <v>1</v>
      </c>
      <c r="AJ1369">
        <f>IF(tbl_HR_Data[[#This Row],[OverTime]]=1,1,0)</f>
        <v>0</v>
      </c>
      <c r="AK1369">
        <f>IF(tbl_HR_Data[[#This Row],[DistanceFromHome]]&gt;15,1,0)</f>
        <v>0</v>
      </c>
      <c r="AL1369">
        <f>IF(tbl_HR_Data[[#This Row],[JobSatisfaction]]&lt;=2,1,0)</f>
        <v>1</v>
      </c>
      <c r="AM1369">
        <f>IF(tbl_HR_Data[[#This Row],[MonthlyIncome]]&lt;$AT$2,1,0)</f>
        <v>1</v>
      </c>
      <c r="AN1369">
        <f>IF(tbl_HR_Data[[#This Row],[Travel_Code]]=2,1,0)</f>
        <v>0</v>
      </c>
      <c r="AO1369">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369" s="15">
        <f>tbl_HR_Data[[#This Row],[Risk_Score_Raw]] / SUM(Logic_Parameters!$B$2:$B$6)</f>
        <v>0.3686061316669938</v>
      </c>
      <c r="AQ1369" s="16" t="str" cm="1">
        <f t="array" ref="AQ1369">_xlfn.IFS(tbl_HR_Data[[#This Row],[Attrition_Risk_Percentage]] &gt;= 0.75, "Critical",tbl_HR_Data[ [#This Row],[Attrition_Risk_Percentage] ]&gt;= 0.5, "High",tbl_HR_Data[[#This Row],[Attrition_Risk_Percentage]] &gt;= 0.25, "Medium",TRUE, "Low")</f>
        <v>Medium</v>
      </c>
      <c r="AR1369" s="16" cm="1">
        <f t="array" ref="AR1369">IFERROR(_xlfn.IFS(tbl_HR_Data[[#This Row],[Risk_Category]]="Critical",tbl_HR_Data[[#This Row],[MonthlyIncome]]*1.5,tbl_HR_Data[[#This Row],[Risk_Category]]="High",tbl_HR_Data[[#This Row],[MonthlyIncome]]*1.5),0)</f>
        <v>0</v>
      </c>
    </row>
    <row r="1370" spans="1:44" x14ac:dyDescent="0.35">
      <c r="A1370" t="s">
        <v>344</v>
      </c>
      <c r="B1370">
        <v>34</v>
      </c>
      <c r="C1370" t="s">
        <v>37</v>
      </c>
      <c r="D1370">
        <v>735</v>
      </c>
      <c r="E1370" t="s">
        <v>38</v>
      </c>
      <c r="F1370">
        <v>22</v>
      </c>
      <c r="G1370">
        <v>4</v>
      </c>
      <c r="H1370" t="s">
        <v>42</v>
      </c>
      <c r="I1370">
        <v>3</v>
      </c>
      <c r="J1370" t="s">
        <v>39</v>
      </c>
      <c r="K1370">
        <v>86</v>
      </c>
      <c r="L1370">
        <v>2</v>
      </c>
      <c r="M1370">
        <v>2</v>
      </c>
      <c r="N1370" t="s">
        <v>40</v>
      </c>
      <c r="O1370">
        <v>4</v>
      </c>
      <c r="P1370" t="s">
        <v>41</v>
      </c>
      <c r="Q1370">
        <v>5747</v>
      </c>
      <c r="R1370">
        <v>26496</v>
      </c>
      <c r="S1370">
        <v>1</v>
      </c>
      <c r="T1370">
        <v>1</v>
      </c>
      <c r="U1370" s="17">
        <v>0.15</v>
      </c>
      <c r="V1370">
        <v>3</v>
      </c>
      <c r="W1370">
        <v>2</v>
      </c>
      <c r="X1370">
        <v>0</v>
      </c>
      <c r="Y1370">
        <v>16</v>
      </c>
      <c r="Z1370">
        <v>3</v>
      </c>
      <c r="AA1370">
        <v>3</v>
      </c>
      <c r="AB1370">
        <v>15</v>
      </c>
      <c r="AC1370">
        <v>10</v>
      </c>
      <c r="AD1370">
        <v>6</v>
      </c>
      <c r="AE1370">
        <v>11</v>
      </c>
      <c r="AF1370">
        <v>0</v>
      </c>
      <c r="AG1370">
        <f>IF(tbl_HR_Data[[#This Row],[Gender]]="Male",1,0)</f>
        <v>1</v>
      </c>
      <c r="AH1370" cm="1">
        <f t="array" ref="AH1370">_xlfn.SWITCH(tbl_HR_Data[[#This Row],[BusinessTravel]], "Non-Travel", 0, "Travel_Rarely", 1, "Travel_Frequently", 2)</f>
        <v>2</v>
      </c>
      <c r="AI1370" cm="1">
        <f t="array" ref="AI1370">_xlfn.SWITCH(tbl_HR_Data[[#This Row],[MaritalStatus]],"Single",0,"Married",1,"Divorced",2)</f>
        <v>1</v>
      </c>
      <c r="AJ1370">
        <f>IF(tbl_HR_Data[[#This Row],[OverTime]]=1,1,0)</f>
        <v>1</v>
      </c>
      <c r="AK1370">
        <f>IF(tbl_HR_Data[[#This Row],[DistanceFromHome]]&gt;15,1,0)</f>
        <v>1</v>
      </c>
      <c r="AL1370">
        <f>IF(tbl_HR_Data[[#This Row],[JobSatisfaction]]&lt;=2,1,0)</f>
        <v>0</v>
      </c>
      <c r="AM1370">
        <f>IF(tbl_HR_Data[[#This Row],[MonthlyIncome]]&lt;$AT$2,1,0)</f>
        <v>0</v>
      </c>
      <c r="AN1370">
        <f>IF(tbl_HR_Data[[#This Row],[Travel_Code]]=2,1,0)</f>
        <v>1</v>
      </c>
      <c r="AO1370">
        <f>(tbl_HR_Data[[#This Row],[Flag_OT]] * Logic_Parameters!$B$2) +
 (tbl_HR_Data[[#This Row],[Flag_Travel]] * Logic_Parameters!$B$3) +
 (tbl_HR_Data[[#This Row],[Flag_Satisfaction]] * Logic_Parameters!$B$4) +
 (tbl_HR_Data[[#This Row],[Flag_Distance]]* Logic_Parameters!$B$5) +
 (tbl_HR_Data[[#This Row],[Flag_Income]] * Logic_Parameters!$B$6)</f>
        <v>18.326496676365554</v>
      </c>
      <c r="AP1370" s="15">
        <f>tbl_HR_Data[[#This Row],[Risk_Score_Raw]] / SUM(Logic_Parameters!$B$2:$B$6)</f>
        <v>0.63139386833300615</v>
      </c>
      <c r="AQ1370" s="16" t="str" cm="1">
        <f t="array" ref="AQ1370">_xlfn.IFS(tbl_HR_Data[[#This Row],[Attrition_Risk_Percentage]] &gt;= 0.75, "Critical",tbl_HR_Data[ [#This Row],[Attrition_Risk_Percentage] ]&gt;= 0.5, "High",tbl_HR_Data[[#This Row],[Attrition_Risk_Percentage]] &gt;= 0.25, "Medium",TRUE, "Low")</f>
        <v>High</v>
      </c>
      <c r="AR1370" s="16" cm="1">
        <f t="array" ref="AR1370">IFERROR(_xlfn.IFS(tbl_HR_Data[[#This Row],[Risk_Category]]="Critical",tbl_HR_Data[[#This Row],[MonthlyIncome]]*1.5,tbl_HR_Data[[#This Row],[Risk_Category]]="High",tbl_HR_Data[[#This Row],[MonthlyIncome]]*1.5),0)</f>
        <v>8620.5</v>
      </c>
    </row>
    <row r="1371" spans="1:44" x14ac:dyDescent="0.35">
      <c r="A1371" t="s">
        <v>111</v>
      </c>
      <c r="B1371">
        <v>28</v>
      </c>
      <c r="C1371" t="s">
        <v>31</v>
      </c>
      <c r="D1371">
        <v>1475</v>
      </c>
      <c r="E1371" t="s">
        <v>32</v>
      </c>
      <c r="F1371">
        <v>13</v>
      </c>
      <c r="G1371">
        <v>2</v>
      </c>
      <c r="H1371" t="s">
        <v>51</v>
      </c>
      <c r="I1371">
        <v>4</v>
      </c>
      <c r="J1371" t="s">
        <v>34</v>
      </c>
      <c r="K1371">
        <v>84</v>
      </c>
      <c r="L1371">
        <v>3</v>
      </c>
      <c r="M1371">
        <v>2</v>
      </c>
      <c r="N1371" t="s">
        <v>35</v>
      </c>
      <c r="O1371">
        <v>3</v>
      </c>
      <c r="P1371" t="s">
        <v>36</v>
      </c>
      <c r="Q1371">
        <v>9854</v>
      </c>
      <c r="R1371">
        <v>23352</v>
      </c>
      <c r="S1371">
        <v>3</v>
      </c>
      <c r="T1371">
        <v>1</v>
      </c>
      <c r="U1371" s="17">
        <v>0.11</v>
      </c>
      <c r="V1371">
        <v>3</v>
      </c>
      <c r="W1371">
        <v>4</v>
      </c>
      <c r="X1371">
        <v>0</v>
      </c>
      <c r="Y1371">
        <v>6</v>
      </c>
      <c r="Z1371">
        <v>0</v>
      </c>
      <c r="AA1371">
        <v>3</v>
      </c>
      <c r="AB1371">
        <v>2</v>
      </c>
      <c r="AC1371">
        <v>0</v>
      </c>
      <c r="AD1371">
        <v>2</v>
      </c>
      <c r="AE1371">
        <v>2</v>
      </c>
      <c r="AF1371">
        <v>1</v>
      </c>
      <c r="AG1371">
        <f>IF(tbl_HR_Data[[#This Row],[Gender]]="Male",1,0)</f>
        <v>0</v>
      </c>
      <c r="AH1371" cm="1">
        <f t="array" ref="AH1371">_xlfn.SWITCH(tbl_HR_Data[[#This Row],[BusinessTravel]], "Non-Travel", 0, "Travel_Rarely", 1, "Travel_Frequently", 2)</f>
        <v>1</v>
      </c>
      <c r="AI1371" cm="1">
        <f t="array" ref="AI1371">_xlfn.SWITCH(tbl_HR_Data[[#This Row],[MaritalStatus]],"Single",0,"Married",1,"Divorced",2)</f>
        <v>0</v>
      </c>
      <c r="AJ1371">
        <f>IF(tbl_HR_Data[[#This Row],[OverTime]]=1,1,0)</f>
        <v>1</v>
      </c>
      <c r="AK1371">
        <f>IF(tbl_HR_Data[[#This Row],[DistanceFromHome]]&gt;15,1,0)</f>
        <v>0</v>
      </c>
      <c r="AL1371">
        <f>IF(tbl_HR_Data[[#This Row],[JobSatisfaction]]&lt;=2,1,0)</f>
        <v>0</v>
      </c>
      <c r="AM1371">
        <f>IF(tbl_HR_Data[[#This Row],[MonthlyIncome]]&lt;$AT$2,1,0)</f>
        <v>0</v>
      </c>
      <c r="AN1371">
        <f>IF(tbl_HR_Data[[#This Row],[Travel_Code]]=2,1,0)</f>
        <v>0</v>
      </c>
      <c r="AO1371">
        <f>(tbl_HR_Data[[#This Row],[Flag_OT]] * Logic_Parameters!$B$2) +
 (tbl_HR_Data[[#This Row],[Flag_Travel]] * Logic_Parameters!$B$3) +
 (tbl_HR_Data[[#This Row],[Flag_Satisfaction]] * Logic_Parameters!$B$4) +
 (tbl_HR_Data[[#This Row],[Flag_Distance]]* Logic_Parameters!$B$5) +
 (tbl_HR_Data[[#This Row],[Flag_Income]] * Logic_Parameters!$B$6)</f>
        <v>10</v>
      </c>
      <c r="AP1371" s="15">
        <f>tbl_HR_Data[[#This Row],[Risk_Score_Raw]] / SUM(Logic_Parameters!$B$2:$B$6)</f>
        <v>0.3445251318258073</v>
      </c>
      <c r="AQ1371" s="16" t="str" cm="1">
        <f t="array" ref="AQ1371">_xlfn.IFS(tbl_HR_Data[[#This Row],[Attrition_Risk_Percentage]] &gt;= 0.75, "Critical",tbl_HR_Data[ [#This Row],[Attrition_Risk_Percentage] ]&gt;= 0.5, "High",tbl_HR_Data[[#This Row],[Attrition_Risk_Percentage]] &gt;= 0.25, "Medium",TRUE, "Low")</f>
        <v>Medium</v>
      </c>
      <c r="AR1371" s="16" cm="1">
        <f t="array" ref="AR1371">IFERROR(_xlfn.IFS(tbl_HR_Data[[#This Row],[Risk_Category]]="Critical",tbl_HR_Data[[#This Row],[MonthlyIncome]]*1.5,tbl_HR_Data[[#This Row],[Risk_Category]]="High",tbl_HR_Data[[#This Row],[MonthlyIncome]]*1.5),0)</f>
        <v>0</v>
      </c>
    </row>
    <row r="1372" spans="1:44" x14ac:dyDescent="0.35">
      <c r="A1372" t="s">
        <v>953</v>
      </c>
      <c r="B1372">
        <v>47</v>
      </c>
      <c r="C1372" t="s">
        <v>1525</v>
      </c>
      <c r="D1372">
        <v>1169</v>
      </c>
      <c r="E1372" t="s">
        <v>38</v>
      </c>
      <c r="F1372">
        <v>14</v>
      </c>
      <c r="G1372">
        <v>4</v>
      </c>
      <c r="H1372" t="s">
        <v>52</v>
      </c>
      <c r="I1372">
        <v>3</v>
      </c>
      <c r="J1372" t="s">
        <v>39</v>
      </c>
      <c r="K1372">
        <v>64</v>
      </c>
      <c r="L1372">
        <v>3</v>
      </c>
      <c r="M1372">
        <v>2</v>
      </c>
      <c r="N1372" t="s">
        <v>40</v>
      </c>
      <c r="O1372">
        <v>2</v>
      </c>
      <c r="P1372" t="s">
        <v>41</v>
      </c>
      <c r="Q1372">
        <v>5467</v>
      </c>
      <c r="R1372">
        <v>2125</v>
      </c>
      <c r="S1372">
        <v>8</v>
      </c>
      <c r="T1372">
        <v>0</v>
      </c>
      <c r="U1372" s="17">
        <v>0.18</v>
      </c>
      <c r="V1372">
        <v>3</v>
      </c>
      <c r="W1372">
        <v>3</v>
      </c>
      <c r="X1372">
        <v>1</v>
      </c>
      <c r="Y1372">
        <v>16</v>
      </c>
      <c r="Z1372">
        <v>4</v>
      </c>
      <c r="AA1372">
        <v>4</v>
      </c>
      <c r="AB1372">
        <v>8</v>
      </c>
      <c r="AC1372">
        <v>7</v>
      </c>
      <c r="AD1372">
        <v>1</v>
      </c>
      <c r="AE1372">
        <v>7</v>
      </c>
      <c r="AF1372">
        <v>0</v>
      </c>
      <c r="AG1372">
        <f>IF(tbl_HR_Data[[#This Row],[Gender]]="Male",1,0)</f>
        <v>1</v>
      </c>
      <c r="AH1372" cm="1">
        <f t="array" ref="AH1372">_xlfn.SWITCH(tbl_HR_Data[[#This Row],[BusinessTravel]], "Non-Travel", 0, "Travel_Rarely", 1, "Travel_Frequently", 2)</f>
        <v>0</v>
      </c>
      <c r="AI1372" cm="1">
        <f t="array" ref="AI1372">_xlfn.SWITCH(tbl_HR_Data[[#This Row],[MaritalStatus]],"Single",0,"Married",1,"Divorced",2)</f>
        <v>1</v>
      </c>
      <c r="AJ1372">
        <f>IF(tbl_HR_Data[[#This Row],[OverTime]]=1,1,0)</f>
        <v>0</v>
      </c>
      <c r="AK1372">
        <f>IF(tbl_HR_Data[[#This Row],[DistanceFromHome]]&gt;15,1,0)</f>
        <v>0</v>
      </c>
      <c r="AL1372">
        <f>IF(tbl_HR_Data[[#This Row],[JobSatisfaction]]&lt;=2,1,0)</f>
        <v>1</v>
      </c>
      <c r="AM1372">
        <f>IF(tbl_HR_Data[[#This Row],[MonthlyIncome]]&lt;$AT$2,1,0)</f>
        <v>0</v>
      </c>
      <c r="AN1372">
        <f>IF(tbl_HR_Data[[#This Row],[Travel_Code]]=2,1,0)</f>
        <v>0</v>
      </c>
      <c r="AO1372">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372" s="15">
        <f>tbl_HR_Data[[#This Row],[Risk_Score_Raw]] / SUM(Logic_Parameters!$B$2:$B$6)</f>
        <v>0.14485673308716898</v>
      </c>
      <c r="AQ1372" s="16" t="str" cm="1">
        <f t="array" ref="AQ1372">_xlfn.IFS(tbl_HR_Data[[#This Row],[Attrition_Risk_Percentage]] &gt;= 0.75, "Critical",tbl_HR_Data[ [#This Row],[Attrition_Risk_Percentage] ]&gt;= 0.5, "High",tbl_HR_Data[[#This Row],[Attrition_Risk_Percentage]] &gt;= 0.25, "Medium",TRUE, "Low")</f>
        <v>Low</v>
      </c>
      <c r="AR1372" s="16" cm="1">
        <f t="array" ref="AR1372">IFERROR(_xlfn.IFS(tbl_HR_Data[[#This Row],[Risk_Category]]="Critical",tbl_HR_Data[[#This Row],[MonthlyIncome]]*1.5,tbl_HR_Data[[#This Row],[Risk_Category]]="High",tbl_HR_Data[[#This Row],[MonthlyIncome]]*1.5),0)</f>
        <v>0</v>
      </c>
    </row>
    <row r="1373" spans="1:44" x14ac:dyDescent="0.35">
      <c r="A1373" t="s">
        <v>294</v>
      </c>
      <c r="B1373">
        <v>56</v>
      </c>
      <c r="C1373" t="s">
        <v>31</v>
      </c>
      <c r="D1373">
        <v>1443</v>
      </c>
      <c r="E1373" t="s">
        <v>32</v>
      </c>
      <c r="F1373">
        <v>11</v>
      </c>
      <c r="G1373">
        <v>5</v>
      </c>
      <c r="H1373" t="s">
        <v>51</v>
      </c>
      <c r="I1373">
        <v>4</v>
      </c>
      <c r="J1373" t="s">
        <v>34</v>
      </c>
      <c r="K1373">
        <v>89</v>
      </c>
      <c r="L1373">
        <v>2</v>
      </c>
      <c r="M1373">
        <v>2</v>
      </c>
      <c r="N1373" t="s">
        <v>35</v>
      </c>
      <c r="O1373">
        <v>1</v>
      </c>
      <c r="P1373" t="s">
        <v>41</v>
      </c>
      <c r="Q1373">
        <v>5380</v>
      </c>
      <c r="R1373">
        <v>20328</v>
      </c>
      <c r="S1373">
        <v>4</v>
      </c>
      <c r="T1373">
        <v>0</v>
      </c>
      <c r="U1373" s="17">
        <v>0.16</v>
      </c>
      <c r="V1373">
        <v>3</v>
      </c>
      <c r="W1373">
        <v>3</v>
      </c>
      <c r="X1373">
        <v>1</v>
      </c>
      <c r="Y1373">
        <v>6</v>
      </c>
      <c r="Z1373">
        <v>3</v>
      </c>
      <c r="AA1373">
        <v>3</v>
      </c>
      <c r="AB1373">
        <v>0</v>
      </c>
      <c r="AC1373">
        <v>0</v>
      </c>
      <c r="AD1373">
        <v>0</v>
      </c>
      <c r="AE1373">
        <v>0</v>
      </c>
      <c r="AF1373">
        <v>0</v>
      </c>
      <c r="AG1373">
        <f>IF(tbl_HR_Data[[#This Row],[Gender]]="Male",1,0)</f>
        <v>0</v>
      </c>
      <c r="AH1373" cm="1">
        <f t="array" ref="AH1373">_xlfn.SWITCH(tbl_HR_Data[[#This Row],[BusinessTravel]], "Non-Travel", 0, "Travel_Rarely", 1, "Travel_Frequently", 2)</f>
        <v>1</v>
      </c>
      <c r="AI1373" cm="1">
        <f t="array" ref="AI1373">_xlfn.SWITCH(tbl_HR_Data[[#This Row],[MaritalStatus]],"Single",0,"Married",1,"Divorced",2)</f>
        <v>1</v>
      </c>
      <c r="AJ1373">
        <f>IF(tbl_HR_Data[[#This Row],[OverTime]]=1,1,0)</f>
        <v>0</v>
      </c>
      <c r="AK1373">
        <f>IF(tbl_HR_Data[[#This Row],[DistanceFromHome]]&gt;15,1,0)</f>
        <v>0</v>
      </c>
      <c r="AL1373">
        <f>IF(tbl_HR_Data[[#This Row],[JobSatisfaction]]&lt;=2,1,0)</f>
        <v>1</v>
      </c>
      <c r="AM1373">
        <f>IF(tbl_HR_Data[[#This Row],[MonthlyIncome]]&lt;$AT$2,1,0)</f>
        <v>0</v>
      </c>
      <c r="AN1373">
        <f>IF(tbl_HR_Data[[#This Row],[Travel_Code]]=2,1,0)</f>
        <v>0</v>
      </c>
      <c r="AO1373">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373" s="15">
        <f>tbl_HR_Data[[#This Row],[Risk_Score_Raw]] / SUM(Logic_Parameters!$B$2:$B$6)</f>
        <v>0.14485673308716898</v>
      </c>
      <c r="AQ1373" s="16" t="str" cm="1">
        <f t="array" ref="AQ1373">_xlfn.IFS(tbl_HR_Data[[#This Row],[Attrition_Risk_Percentage]] &gt;= 0.75, "Critical",tbl_HR_Data[ [#This Row],[Attrition_Risk_Percentage] ]&gt;= 0.5, "High",tbl_HR_Data[[#This Row],[Attrition_Risk_Percentage]] &gt;= 0.25, "Medium",TRUE, "Low")</f>
        <v>Low</v>
      </c>
      <c r="AR1373" s="16" cm="1">
        <f t="array" ref="AR1373">IFERROR(_xlfn.IFS(tbl_HR_Data[[#This Row],[Risk_Category]]="Critical",tbl_HR_Data[[#This Row],[MonthlyIncome]]*1.5,tbl_HR_Data[[#This Row],[Risk_Category]]="High",tbl_HR_Data[[#This Row],[MonthlyIncome]]*1.5),0)</f>
        <v>0</v>
      </c>
    </row>
    <row r="1374" spans="1:44" x14ac:dyDescent="0.35">
      <c r="A1374" t="s">
        <v>494</v>
      </c>
      <c r="B1374">
        <v>39</v>
      </c>
      <c r="C1374" t="s">
        <v>31</v>
      </c>
      <c r="D1374">
        <v>867</v>
      </c>
      <c r="E1374" t="s">
        <v>38</v>
      </c>
      <c r="F1374">
        <v>9</v>
      </c>
      <c r="G1374">
        <v>2</v>
      </c>
      <c r="H1374" t="s">
        <v>44</v>
      </c>
      <c r="I1374">
        <v>1</v>
      </c>
      <c r="J1374" t="s">
        <v>39</v>
      </c>
      <c r="K1374">
        <v>87</v>
      </c>
      <c r="L1374">
        <v>3</v>
      </c>
      <c r="M1374">
        <v>2</v>
      </c>
      <c r="N1374" t="s">
        <v>46</v>
      </c>
      <c r="O1374">
        <v>1</v>
      </c>
      <c r="P1374" t="s">
        <v>41</v>
      </c>
      <c r="Q1374">
        <v>5151</v>
      </c>
      <c r="R1374">
        <v>12315</v>
      </c>
      <c r="S1374">
        <v>1</v>
      </c>
      <c r="T1374">
        <v>0</v>
      </c>
      <c r="U1374" s="17">
        <v>0.25</v>
      </c>
      <c r="V1374">
        <v>4</v>
      </c>
      <c r="W1374">
        <v>4</v>
      </c>
      <c r="X1374">
        <v>1</v>
      </c>
      <c r="Y1374">
        <v>10</v>
      </c>
      <c r="Z1374">
        <v>3</v>
      </c>
      <c r="AA1374">
        <v>3</v>
      </c>
      <c r="AB1374">
        <v>10</v>
      </c>
      <c r="AC1374">
        <v>0</v>
      </c>
      <c r="AD1374">
        <v>7</v>
      </c>
      <c r="AE1374">
        <v>9</v>
      </c>
      <c r="AF1374">
        <v>0</v>
      </c>
      <c r="AG1374">
        <f>IF(tbl_HR_Data[[#This Row],[Gender]]="Male",1,0)</f>
        <v>1</v>
      </c>
      <c r="AH1374" cm="1">
        <f t="array" ref="AH1374">_xlfn.SWITCH(tbl_HR_Data[[#This Row],[BusinessTravel]], "Non-Travel", 0, "Travel_Rarely", 1, "Travel_Frequently", 2)</f>
        <v>1</v>
      </c>
      <c r="AI1374" cm="1">
        <f t="array" ref="AI1374">_xlfn.SWITCH(tbl_HR_Data[[#This Row],[MaritalStatus]],"Single",0,"Married",1,"Divorced",2)</f>
        <v>1</v>
      </c>
      <c r="AJ1374">
        <f>IF(tbl_HR_Data[[#This Row],[OverTime]]=1,1,0)</f>
        <v>0</v>
      </c>
      <c r="AK1374">
        <f>IF(tbl_HR_Data[[#This Row],[DistanceFromHome]]&gt;15,1,0)</f>
        <v>0</v>
      </c>
      <c r="AL1374">
        <f>IF(tbl_HR_Data[[#This Row],[JobSatisfaction]]&lt;=2,1,0)</f>
        <v>1</v>
      </c>
      <c r="AM1374">
        <f>IF(tbl_HR_Data[[#This Row],[MonthlyIncome]]&lt;$AT$2,1,0)</f>
        <v>0</v>
      </c>
      <c r="AN1374">
        <f>IF(tbl_HR_Data[[#This Row],[Travel_Code]]=2,1,0)</f>
        <v>0</v>
      </c>
      <c r="AO1374">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374" s="15">
        <f>tbl_HR_Data[[#This Row],[Risk_Score_Raw]] / SUM(Logic_Parameters!$B$2:$B$6)</f>
        <v>0.14485673308716898</v>
      </c>
      <c r="AQ1374" s="16" t="str" cm="1">
        <f t="array" ref="AQ1374">_xlfn.IFS(tbl_HR_Data[[#This Row],[Attrition_Risk_Percentage]] &gt;= 0.75, "Critical",tbl_HR_Data[ [#This Row],[Attrition_Risk_Percentage] ]&gt;= 0.5, "High",tbl_HR_Data[[#This Row],[Attrition_Risk_Percentage]] &gt;= 0.25, "Medium",TRUE, "Low")</f>
        <v>Low</v>
      </c>
      <c r="AR1374" s="16" cm="1">
        <f t="array" ref="AR1374">IFERROR(_xlfn.IFS(tbl_HR_Data[[#This Row],[Risk_Category]]="Critical",tbl_HR_Data[[#This Row],[MonthlyIncome]]*1.5,tbl_HR_Data[[#This Row],[Risk_Category]]="High",tbl_HR_Data[[#This Row],[MonthlyIncome]]*1.5),0)</f>
        <v>0</v>
      </c>
    </row>
    <row r="1375" spans="1:44" x14ac:dyDescent="0.35">
      <c r="A1375" t="s">
        <v>824</v>
      </c>
      <c r="B1375">
        <v>38</v>
      </c>
      <c r="C1375" t="s">
        <v>37</v>
      </c>
      <c r="D1375">
        <v>1394</v>
      </c>
      <c r="E1375" t="s">
        <v>38</v>
      </c>
      <c r="F1375">
        <v>8</v>
      </c>
      <c r="G1375">
        <v>3</v>
      </c>
      <c r="H1375" t="s">
        <v>44</v>
      </c>
      <c r="I1375">
        <v>4</v>
      </c>
      <c r="J1375" t="s">
        <v>34</v>
      </c>
      <c r="K1375">
        <v>58</v>
      </c>
      <c r="L1375">
        <v>2</v>
      </c>
      <c r="M1375">
        <v>2</v>
      </c>
      <c r="N1375" t="s">
        <v>40</v>
      </c>
      <c r="O1375">
        <v>2</v>
      </c>
      <c r="P1375" t="s">
        <v>45</v>
      </c>
      <c r="Q1375">
        <v>2133</v>
      </c>
      <c r="R1375">
        <v>18115</v>
      </c>
      <c r="S1375">
        <v>1</v>
      </c>
      <c r="T1375">
        <v>1</v>
      </c>
      <c r="U1375" s="17">
        <v>0.16</v>
      </c>
      <c r="V1375">
        <v>3</v>
      </c>
      <c r="W1375">
        <v>3</v>
      </c>
      <c r="X1375">
        <v>1</v>
      </c>
      <c r="Y1375">
        <v>20</v>
      </c>
      <c r="Z1375">
        <v>3</v>
      </c>
      <c r="AA1375">
        <v>3</v>
      </c>
      <c r="AB1375">
        <v>20</v>
      </c>
      <c r="AC1375">
        <v>11</v>
      </c>
      <c r="AD1375">
        <v>0</v>
      </c>
      <c r="AE1375">
        <v>7</v>
      </c>
      <c r="AF1375">
        <v>0</v>
      </c>
      <c r="AG1375">
        <f>IF(tbl_HR_Data[[#This Row],[Gender]]="Male",1,0)</f>
        <v>0</v>
      </c>
      <c r="AH1375" cm="1">
        <f t="array" ref="AH1375">_xlfn.SWITCH(tbl_HR_Data[[#This Row],[BusinessTravel]], "Non-Travel", 0, "Travel_Rarely", 1, "Travel_Frequently", 2)</f>
        <v>2</v>
      </c>
      <c r="AI1375" cm="1">
        <f t="array" ref="AI1375">_xlfn.SWITCH(tbl_HR_Data[[#This Row],[MaritalStatus]],"Single",0,"Married",1,"Divorced",2)</f>
        <v>2</v>
      </c>
      <c r="AJ1375">
        <f>IF(tbl_HR_Data[[#This Row],[OverTime]]=1,1,0)</f>
        <v>1</v>
      </c>
      <c r="AK1375">
        <f>IF(tbl_HR_Data[[#This Row],[DistanceFromHome]]&gt;15,1,0)</f>
        <v>0</v>
      </c>
      <c r="AL1375">
        <f>IF(tbl_HR_Data[[#This Row],[JobSatisfaction]]&lt;=2,1,0)</f>
        <v>1</v>
      </c>
      <c r="AM1375">
        <f>IF(tbl_HR_Data[[#This Row],[MonthlyIncome]]&lt;$AT$2,1,0)</f>
        <v>1</v>
      </c>
      <c r="AN1375">
        <f>IF(tbl_HR_Data[[#This Row],[Travel_Code]]=2,1,0)</f>
        <v>1</v>
      </c>
      <c r="AO1375">
        <f>(tbl_HR_Data[[#This Row],[Flag_OT]] * Logic_Parameters!$B$2) +
 (tbl_HR_Data[[#This Row],[Flag_Travel]] * Logic_Parameters!$B$3) +
 (tbl_HR_Data[[#This Row],[Flag_Satisfaction]] * Logic_Parameters!$B$4) +
 (tbl_HR_Data[[#This Row],[Flag_Distance]]* Logic_Parameters!$B$5) +
 (tbl_HR_Data[[#This Row],[Flag_Income]] * Logic_Parameters!$B$6)</f>
        <v>25.859352047889136</v>
      </c>
      <c r="AP1375" s="15">
        <f>tbl_HR_Data[[#This Row],[Risk_Score_Raw]] / SUM(Logic_Parameters!$B$2:$B$6)</f>
        <v>0.8909196673228964</v>
      </c>
      <c r="AQ1375" s="16" t="str" cm="1">
        <f t="array" ref="AQ1375">_xlfn.IFS(tbl_HR_Data[[#This Row],[Attrition_Risk_Percentage]] &gt;= 0.75, "Critical",tbl_HR_Data[ [#This Row],[Attrition_Risk_Percentage] ]&gt;= 0.5, "High",tbl_HR_Data[[#This Row],[Attrition_Risk_Percentage]] &gt;= 0.25, "Medium",TRUE, "Low")</f>
        <v>Critical</v>
      </c>
      <c r="AR1375" s="16" cm="1">
        <f t="array" ref="AR1375">IFERROR(_xlfn.IFS(tbl_HR_Data[[#This Row],[Risk_Category]]="Critical",tbl_HR_Data[[#This Row],[MonthlyIncome]]*1.5,tbl_HR_Data[[#This Row],[Risk_Category]]="High",tbl_HR_Data[[#This Row],[MonthlyIncome]]*1.5),0)</f>
        <v>3199.5</v>
      </c>
    </row>
    <row r="1376" spans="1:44" x14ac:dyDescent="0.35">
      <c r="A1376" t="s">
        <v>887</v>
      </c>
      <c r="B1376">
        <v>58</v>
      </c>
      <c r="C1376" t="s">
        <v>31</v>
      </c>
      <c r="D1376">
        <v>605</v>
      </c>
      <c r="E1376" t="s">
        <v>32</v>
      </c>
      <c r="F1376">
        <v>21</v>
      </c>
      <c r="G1376">
        <v>3</v>
      </c>
      <c r="H1376" t="s">
        <v>33</v>
      </c>
      <c r="I1376">
        <v>4</v>
      </c>
      <c r="J1376" t="s">
        <v>34</v>
      </c>
      <c r="K1376">
        <v>72</v>
      </c>
      <c r="L1376">
        <v>3</v>
      </c>
      <c r="M1376">
        <v>4</v>
      </c>
      <c r="N1376" t="s">
        <v>48</v>
      </c>
      <c r="O1376">
        <v>4</v>
      </c>
      <c r="P1376" t="s">
        <v>41</v>
      </c>
      <c r="Q1376">
        <v>17875</v>
      </c>
      <c r="R1376">
        <v>11761</v>
      </c>
      <c r="S1376">
        <v>4</v>
      </c>
      <c r="T1376">
        <v>1</v>
      </c>
      <c r="U1376" s="17">
        <v>0.13</v>
      </c>
      <c r="V1376">
        <v>3</v>
      </c>
      <c r="W1376">
        <v>3</v>
      </c>
      <c r="X1376">
        <v>1</v>
      </c>
      <c r="Y1376">
        <v>29</v>
      </c>
      <c r="Z1376">
        <v>2</v>
      </c>
      <c r="AA1376">
        <v>2</v>
      </c>
      <c r="AB1376">
        <v>1</v>
      </c>
      <c r="AC1376">
        <v>0</v>
      </c>
      <c r="AD1376">
        <v>0</v>
      </c>
      <c r="AE1376">
        <v>0</v>
      </c>
      <c r="AF1376">
        <v>0</v>
      </c>
      <c r="AG1376">
        <f>IF(tbl_HR_Data[[#This Row],[Gender]]="Male",1,0)</f>
        <v>0</v>
      </c>
      <c r="AH1376" cm="1">
        <f t="array" ref="AH1376">_xlfn.SWITCH(tbl_HR_Data[[#This Row],[BusinessTravel]], "Non-Travel", 0, "Travel_Rarely", 1, "Travel_Frequently", 2)</f>
        <v>1</v>
      </c>
      <c r="AI1376" cm="1">
        <f t="array" ref="AI1376">_xlfn.SWITCH(tbl_HR_Data[[#This Row],[MaritalStatus]],"Single",0,"Married",1,"Divorced",2)</f>
        <v>1</v>
      </c>
      <c r="AJ1376">
        <f>IF(tbl_HR_Data[[#This Row],[OverTime]]=1,1,0)</f>
        <v>1</v>
      </c>
      <c r="AK1376">
        <f>IF(tbl_HR_Data[[#This Row],[DistanceFromHome]]&gt;15,1,0)</f>
        <v>1</v>
      </c>
      <c r="AL1376">
        <f>IF(tbl_HR_Data[[#This Row],[JobSatisfaction]]&lt;=2,1,0)</f>
        <v>0</v>
      </c>
      <c r="AM1376">
        <f>IF(tbl_HR_Data[[#This Row],[MonthlyIncome]]&lt;$AT$2,1,0)</f>
        <v>0</v>
      </c>
      <c r="AN1376">
        <f>IF(tbl_HR_Data[[#This Row],[Travel_Code]]=2,1,0)</f>
        <v>0</v>
      </c>
      <c r="AO1376">
        <f>(tbl_HR_Data[[#This Row],[Flag_OT]] * Logic_Parameters!$B$2) +
 (tbl_HR_Data[[#This Row],[Flag_Travel]] * Logic_Parameters!$B$3) +
 (tbl_HR_Data[[#This Row],[Flag_Satisfaction]] * Logic_Parameters!$B$4) +
 (tbl_HR_Data[[#This Row],[Flag_Distance]]* Logic_Parameters!$B$5) +
 (tbl_HR_Data[[#This Row],[Flag_Income]] * Logic_Parameters!$B$6)</f>
        <v>13.166106695875378</v>
      </c>
      <c r="AP1376" s="15">
        <f>tbl_HR_Data[[#This Row],[Risk_Score_Raw]] / SUM(Logic_Parameters!$B$2:$B$6)</f>
        <v>0.45360546450291089</v>
      </c>
      <c r="AQ1376" s="16" t="str" cm="1">
        <f t="array" ref="AQ1376">_xlfn.IFS(tbl_HR_Data[[#This Row],[Attrition_Risk_Percentage]] &gt;= 0.75, "Critical",tbl_HR_Data[ [#This Row],[Attrition_Risk_Percentage] ]&gt;= 0.5, "High",tbl_HR_Data[[#This Row],[Attrition_Risk_Percentage]] &gt;= 0.25, "Medium",TRUE, "Low")</f>
        <v>Medium</v>
      </c>
      <c r="AR1376" s="16" cm="1">
        <f t="array" ref="AR1376">IFERROR(_xlfn.IFS(tbl_HR_Data[[#This Row],[Risk_Category]]="Critical",tbl_HR_Data[[#This Row],[MonthlyIncome]]*1.5,tbl_HR_Data[[#This Row],[Risk_Category]]="High",tbl_HR_Data[[#This Row],[MonthlyIncome]]*1.5),0)</f>
        <v>0</v>
      </c>
    </row>
    <row r="1377" spans="1:44" x14ac:dyDescent="0.35">
      <c r="A1377" t="s">
        <v>414</v>
      </c>
      <c r="B1377">
        <v>32</v>
      </c>
      <c r="C1377" t="s">
        <v>37</v>
      </c>
      <c r="D1377">
        <v>238</v>
      </c>
      <c r="E1377" t="s">
        <v>38</v>
      </c>
      <c r="F1377">
        <v>5</v>
      </c>
      <c r="G1377">
        <v>2</v>
      </c>
      <c r="H1377" t="s">
        <v>33</v>
      </c>
      <c r="I1377">
        <v>1</v>
      </c>
      <c r="J1377" t="s">
        <v>34</v>
      </c>
      <c r="K1377">
        <v>47</v>
      </c>
      <c r="L1377">
        <v>4</v>
      </c>
      <c r="M1377">
        <v>1</v>
      </c>
      <c r="N1377" t="s">
        <v>40</v>
      </c>
      <c r="O1377">
        <v>3</v>
      </c>
      <c r="P1377" t="s">
        <v>36</v>
      </c>
      <c r="Q1377">
        <v>2432</v>
      </c>
      <c r="R1377">
        <v>15318</v>
      </c>
      <c r="S1377">
        <v>3</v>
      </c>
      <c r="T1377">
        <v>1</v>
      </c>
      <c r="U1377" s="17">
        <v>0.14000000000000001</v>
      </c>
      <c r="V1377">
        <v>3</v>
      </c>
      <c r="W1377">
        <v>1</v>
      </c>
      <c r="X1377">
        <v>0</v>
      </c>
      <c r="Y1377">
        <v>8</v>
      </c>
      <c r="Z1377">
        <v>2</v>
      </c>
      <c r="AA1377">
        <v>3</v>
      </c>
      <c r="AB1377">
        <v>4</v>
      </c>
      <c r="AC1377">
        <v>1</v>
      </c>
      <c r="AD1377">
        <v>0</v>
      </c>
      <c r="AE1377">
        <v>3</v>
      </c>
      <c r="AF1377">
        <v>1</v>
      </c>
      <c r="AG1377">
        <f>IF(tbl_HR_Data[[#This Row],[Gender]]="Male",1,0)</f>
        <v>0</v>
      </c>
      <c r="AH1377" cm="1">
        <f t="array" ref="AH1377">_xlfn.SWITCH(tbl_HR_Data[[#This Row],[BusinessTravel]], "Non-Travel", 0, "Travel_Rarely", 1, "Travel_Frequently", 2)</f>
        <v>2</v>
      </c>
      <c r="AI1377" cm="1">
        <f t="array" ref="AI1377">_xlfn.SWITCH(tbl_HR_Data[[#This Row],[MaritalStatus]],"Single",0,"Married",1,"Divorced",2)</f>
        <v>0</v>
      </c>
      <c r="AJ1377">
        <f>IF(tbl_HR_Data[[#This Row],[OverTime]]=1,1,0)</f>
        <v>1</v>
      </c>
      <c r="AK1377">
        <f>IF(tbl_HR_Data[[#This Row],[DistanceFromHome]]&gt;15,1,0)</f>
        <v>0</v>
      </c>
      <c r="AL1377">
        <f>IF(tbl_HR_Data[[#This Row],[JobSatisfaction]]&lt;=2,1,0)</f>
        <v>0</v>
      </c>
      <c r="AM1377">
        <f>IF(tbl_HR_Data[[#This Row],[MonthlyIncome]]&lt;$AT$2,1,0)</f>
        <v>1</v>
      </c>
      <c r="AN1377">
        <f>IF(tbl_HR_Data[[#This Row],[Travel_Code]]=2,1,0)</f>
        <v>1</v>
      </c>
      <c r="AO1377">
        <f>(tbl_HR_Data[[#This Row],[Flag_OT]] * Logic_Parameters!$B$2) +
 (tbl_HR_Data[[#This Row],[Flag_Travel]] * Logic_Parameters!$B$3) +
 (tbl_HR_Data[[#This Row],[Flag_Satisfaction]] * Logic_Parameters!$B$4) +
 (tbl_HR_Data[[#This Row],[Flag_Distance]]* Logic_Parameters!$B$5) +
 (tbl_HR_Data[[#This Row],[Flag_Income]] * Logic_Parameters!$B$6)</f>
        <v>21.654818917911005</v>
      </c>
      <c r="AP1377" s="15">
        <f>tbl_HR_Data[[#This Row],[Risk_Score_Raw]] / SUM(Logic_Parameters!$B$2:$B$6)</f>
        <v>0.74606293423572745</v>
      </c>
      <c r="AQ1377" s="16" t="str" cm="1">
        <f t="array" ref="AQ1377">_xlfn.IFS(tbl_HR_Data[[#This Row],[Attrition_Risk_Percentage]] &gt;= 0.75, "Critical",tbl_HR_Data[ [#This Row],[Attrition_Risk_Percentage] ]&gt;= 0.5, "High",tbl_HR_Data[[#This Row],[Attrition_Risk_Percentage]] &gt;= 0.25, "Medium",TRUE, "Low")</f>
        <v>High</v>
      </c>
      <c r="AR1377" s="16" cm="1">
        <f t="array" ref="AR1377">IFERROR(_xlfn.IFS(tbl_HR_Data[[#This Row],[Risk_Category]]="Critical",tbl_HR_Data[[#This Row],[MonthlyIncome]]*1.5,tbl_HR_Data[[#This Row],[Risk_Category]]="High",tbl_HR_Data[[#This Row],[MonthlyIncome]]*1.5),0)</f>
        <v>3648</v>
      </c>
    </row>
    <row r="1378" spans="1:44" x14ac:dyDescent="0.35">
      <c r="A1378" t="s">
        <v>63</v>
      </c>
      <c r="B1378">
        <v>38</v>
      </c>
      <c r="C1378" t="s">
        <v>31</v>
      </c>
      <c r="D1378">
        <v>1206</v>
      </c>
      <c r="E1378" t="s">
        <v>38</v>
      </c>
      <c r="F1378">
        <v>9</v>
      </c>
      <c r="G1378">
        <v>2</v>
      </c>
      <c r="H1378" t="s">
        <v>33</v>
      </c>
      <c r="I1378">
        <v>2</v>
      </c>
      <c r="J1378" t="s">
        <v>39</v>
      </c>
      <c r="K1378">
        <v>71</v>
      </c>
      <c r="L1378">
        <v>3</v>
      </c>
      <c r="M1378">
        <v>1</v>
      </c>
      <c r="N1378" t="s">
        <v>40</v>
      </c>
      <c r="O1378">
        <v>4</v>
      </c>
      <c r="P1378" t="s">
        <v>45</v>
      </c>
      <c r="Q1378">
        <v>4771</v>
      </c>
      <c r="R1378">
        <v>14293</v>
      </c>
      <c r="S1378">
        <v>2</v>
      </c>
      <c r="T1378">
        <v>0</v>
      </c>
      <c r="U1378" s="17">
        <v>0.19</v>
      </c>
      <c r="V1378">
        <v>3</v>
      </c>
      <c r="W1378">
        <v>4</v>
      </c>
      <c r="X1378">
        <v>2</v>
      </c>
      <c r="Y1378">
        <v>10</v>
      </c>
      <c r="Z1378">
        <v>0</v>
      </c>
      <c r="AA1378">
        <v>4</v>
      </c>
      <c r="AB1378">
        <v>5</v>
      </c>
      <c r="AC1378">
        <v>2</v>
      </c>
      <c r="AD1378">
        <v>0</v>
      </c>
      <c r="AE1378">
        <v>3</v>
      </c>
      <c r="AF1378">
        <v>0</v>
      </c>
      <c r="AG1378">
        <f>IF(tbl_HR_Data[[#This Row],[Gender]]="Male",1,0)</f>
        <v>1</v>
      </c>
      <c r="AH1378" cm="1">
        <f t="array" ref="AH1378">_xlfn.SWITCH(tbl_HR_Data[[#This Row],[BusinessTravel]], "Non-Travel", 0, "Travel_Rarely", 1, "Travel_Frequently", 2)</f>
        <v>1</v>
      </c>
      <c r="AI1378" cm="1">
        <f t="array" ref="AI1378">_xlfn.SWITCH(tbl_HR_Data[[#This Row],[MaritalStatus]],"Single",0,"Married",1,"Divorced",2)</f>
        <v>2</v>
      </c>
      <c r="AJ1378">
        <f>IF(tbl_HR_Data[[#This Row],[OverTime]]=1,1,0)</f>
        <v>0</v>
      </c>
      <c r="AK1378">
        <f>IF(tbl_HR_Data[[#This Row],[DistanceFromHome]]&gt;15,1,0)</f>
        <v>0</v>
      </c>
      <c r="AL1378">
        <f>IF(tbl_HR_Data[[#This Row],[JobSatisfaction]]&lt;=2,1,0)</f>
        <v>0</v>
      </c>
      <c r="AM1378">
        <f>IF(tbl_HR_Data[[#This Row],[MonthlyIncome]]&lt;$AT$2,1,0)</f>
        <v>1</v>
      </c>
      <c r="AN1378">
        <f>IF(tbl_HR_Data[[#This Row],[Travel_Code]]=2,1,0)</f>
        <v>0</v>
      </c>
      <c r="AO1378">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378" s="15">
        <f>tbl_HR_Data[[#This Row],[Risk_Score_Raw]] / SUM(Logic_Parameters!$B$2:$B$6)</f>
        <v>0.22374939857982484</v>
      </c>
      <c r="AQ1378" s="16" t="str" cm="1">
        <f t="array" ref="AQ1378">_xlfn.IFS(tbl_HR_Data[[#This Row],[Attrition_Risk_Percentage]] &gt;= 0.75, "Critical",tbl_HR_Data[ [#This Row],[Attrition_Risk_Percentage] ]&gt;= 0.5, "High",tbl_HR_Data[[#This Row],[Attrition_Risk_Percentage]] &gt;= 0.25, "Medium",TRUE, "Low")</f>
        <v>Low</v>
      </c>
      <c r="AR1378" s="16" cm="1">
        <f t="array" ref="AR1378">IFERROR(_xlfn.IFS(tbl_HR_Data[[#This Row],[Risk_Category]]="Critical",tbl_HR_Data[[#This Row],[MonthlyIncome]]*1.5,tbl_HR_Data[[#This Row],[Risk_Category]]="High",tbl_HR_Data[[#This Row],[MonthlyIncome]]*1.5),0)</f>
        <v>0</v>
      </c>
    </row>
    <row r="1379" spans="1:44" x14ac:dyDescent="0.35">
      <c r="A1379" t="s">
        <v>202</v>
      </c>
      <c r="B1379">
        <v>49</v>
      </c>
      <c r="C1379" t="s">
        <v>37</v>
      </c>
      <c r="D1379">
        <v>1064</v>
      </c>
      <c r="E1379" t="s">
        <v>38</v>
      </c>
      <c r="F1379">
        <v>2</v>
      </c>
      <c r="G1379">
        <v>1</v>
      </c>
      <c r="H1379" t="s">
        <v>33</v>
      </c>
      <c r="I1379">
        <v>2</v>
      </c>
      <c r="J1379" t="s">
        <v>39</v>
      </c>
      <c r="K1379">
        <v>42</v>
      </c>
      <c r="L1379">
        <v>3</v>
      </c>
      <c r="M1379">
        <v>5</v>
      </c>
      <c r="N1379" t="s">
        <v>50</v>
      </c>
      <c r="O1379">
        <v>4</v>
      </c>
      <c r="P1379" t="s">
        <v>41</v>
      </c>
      <c r="Q1379">
        <v>19161</v>
      </c>
      <c r="R1379">
        <v>13738</v>
      </c>
      <c r="S1379">
        <v>3</v>
      </c>
      <c r="T1379">
        <v>0</v>
      </c>
      <c r="U1379" s="17">
        <v>0.15</v>
      </c>
      <c r="V1379">
        <v>3</v>
      </c>
      <c r="W1379">
        <v>4</v>
      </c>
      <c r="X1379">
        <v>0</v>
      </c>
      <c r="Y1379">
        <v>28</v>
      </c>
      <c r="Z1379">
        <v>3</v>
      </c>
      <c r="AA1379">
        <v>3</v>
      </c>
      <c r="AB1379">
        <v>5</v>
      </c>
      <c r="AC1379">
        <v>4</v>
      </c>
      <c r="AD1379">
        <v>4</v>
      </c>
      <c r="AE1379">
        <v>3</v>
      </c>
      <c r="AF1379">
        <v>0</v>
      </c>
      <c r="AG1379">
        <f>IF(tbl_HR_Data[[#This Row],[Gender]]="Male",1,0)</f>
        <v>1</v>
      </c>
      <c r="AH1379" cm="1">
        <f t="array" ref="AH1379">_xlfn.SWITCH(tbl_HR_Data[[#This Row],[BusinessTravel]], "Non-Travel", 0, "Travel_Rarely", 1, "Travel_Frequently", 2)</f>
        <v>2</v>
      </c>
      <c r="AI1379" cm="1">
        <f t="array" ref="AI1379">_xlfn.SWITCH(tbl_HR_Data[[#This Row],[MaritalStatus]],"Single",0,"Married",1,"Divorced",2)</f>
        <v>1</v>
      </c>
      <c r="AJ1379">
        <f>IF(tbl_HR_Data[[#This Row],[OverTime]]=1,1,0)</f>
        <v>0</v>
      </c>
      <c r="AK1379">
        <f>IF(tbl_HR_Data[[#This Row],[DistanceFromHome]]&gt;15,1,0)</f>
        <v>0</v>
      </c>
      <c r="AL1379">
        <f>IF(tbl_HR_Data[[#This Row],[JobSatisfaction]]&lt;=2,1,0)</f>
        <v>0</v>
      </c>
      <c r="AM1379">
        <f>IF(tbl_HR_Data[[#This Row],[MonthlyIncome]]&lt;$AT$2,1,0)</f>
        <v>0</v>
      </c>
      <c r="AN1379">
        <f>IF(tbl_HR_Data[[#This Row],[Travel_Code]]=2,1,0)</f>
        <v>1</v>
      </c>
      <c r="AO1379">
        <f>(tbl_HR_Data[[#This Row],[Flag_OT]] * Logic_Parameters!$B$2) +
 (tbl_HR_Data[[#This Row],[Flag_Travel]] * Logic_Parameters!$B$3) +
 (tbl_HR_Data[[#This Row],[Flag_Satisfaction]] * Logic_Parameters!$B$4) +
 (tbl_HR_Data[[#This Row],[Flag_Distance]]* Logic_Parameters!$B$5) +
 (tbl_HR_Data[[#This Row],[Flag_Income]] * Logic_Parameters!$B$6)</f>
        <v>5.1603899804901765</v>
      </c>
      <c r="AP1379" s="15">
        <f>tbl_HR_Data[[#This Row],[Risk_Score_Raw]] / SUM(Logic_Parameters!$B$2:$B$6)</f>
        <v>0.17778840383009531</v>
      </c>
      <c r="AQ1379" s="16" t="str" cm="1">
        <f t="array" ref="AQ1379">_xlfn.IFS(tbl_HR_Data[[#This Row],[Attrition_Risk_Percentage]] &gt;= 0.75, "Critical",tbl_HR_Data[ [#This Row],[Attrition_Risk_Percentage] ]&gt;= 0.5, "High",tbl_HR_Data[[#This Row],[Attrition_Risk_Percentage]] &gt;= 0.25, "Medium",TRUE, "Low")</f>
        <v>Low</v>
      </c>
      <c r="AR1379" s="16" cm="1">
        <f t="array" ref="AR1379">IFERROR(_xlfn.IFS(tbl_HR_Data[[#This Row],[Risk_Category]]="Critical",tbl_HR_Data[[#This Row],[MonthlyIncome]]*1.5,tbl_HR_Data[[#This Row],[Risk_Category]]="High",tbl_HR_Data[[#This Row],[MonthlyIncome]]*1.5),0)</f>
        <v>0</v>
      </c>
    </row>
    <row r="1380" spans="1:44" x14ac:dyDescent="0.35">
      <c r="A1380" t="s">
        <v>142</v>
      </c>
      <c r="B1380">
        <v>42</v>
      </c>
      <c r="C1380" t="s">
        <v>31</v>
      </c>
      <c r="D1380">
        <v>419</v>
      </c>
      <c r="E1380" t="s">
        <v>32</v>
      </c>
      <c r="F1380">
        <v>12</v>
      </c>
      <c r="G1380">
        <v>4</v>
      </c>
      <c r="H1380" t="s">
        <v>51</v>
      </c>
      <c r="I1380">
        <v>2</v>
      </c>
      <c r="J1380" t="s">
        <v>39</v>
      </c>
      <c r="K1380">
        <v>77</v>
      </c>
      <c r="L1380">
        <v>3</v>
      </c>
      <c r="M1380">
        <v>2</v>
      </c>
      <c r="N1380" t="s">
        <v>35</v>
      </c>
      <c r="O1380">
        <v>4</v>
      </c>
      <c r="P1380" t="s">
        <v>45</v>
      </c>
      <c r="Q1380">
        <v>5087</v>
      </c>
      <c r="R1380">
        <v>2900</v>
      </c>
      <c r="S1380">
        <v>3</v>
      </c>
      <c r="T1380">
        <v>1</v>
      </c>
      <c r="U1380" s="17">
        <v>0.12</v>
      </c>
      <c r="V1380">
        <v>3</v>
      </c>
      <c r="W1380">
        <v>3</v>
      </c>
      <c r="X1380">
        <v>2</v>
      </c>
      <c r="Y1380">
        <v>14</v>
      </c>
      <c r="Z1380">
        <v>4</v>
      </c>
      <c r="AA1380">
        <v>3</v>
      </c>
      <c r="AB1380">
        <v>0</v>
      </c>
      <c r="AC1380">
        <v>0</v>
      </c>
      <c r="AD1380">
        <v>0</v>
      </c>
      <c r="AE1380">
        <v>0</v>
      </c>
      <c r="AF1380">
        <v>0</v>
      </c>
      <c r="AG1380">
        <f>IF(tbl_HR_Data[[#This Row],[Gender]]="Male",1,0)</f>
        <v>1</v>
      </c>
      <c r="AH1380" cm="1">
        <f t="array" ref="AH1380">_xlfn.SWITCH(tbl_HR_Data[[#This Row],[BusinessTravel]], "Non-Travel", 0, "Travel_Rarely", 1, "Travel_Frequently", 2)</f>
        <v>1</v>
      </c>
      <c r="AI1380" cm="1">
        <f t="array" ref="AI1380">_xlfn.SWITCH(tbl_HR_Data[[#This Row],[MaritalStatus]],"Single",0,"Married",1,"Divorced",2)</f>
        <v>2</v>
      </c>
      <c r="AJ1380">
        <f>IF(tbl_HR_Data[[#This Row],[OverTime]]=1,1,0)</f>
        <v>1</v>
      </c>
      <c r="AK1380">
        <f>IF(tbl_HR_Data[[#This Row],[DistanceFromHome]]&gt;15,1,0)</f>
        <v>0</v>
      </c>
      <c r="AL1380">
        <f>IF(tbl_HR_Data[[#This Row],[JobSatisfaction]]&lt;=2,1,0)</f>
        <v>0</v>
      </c>
      <c r="AM1380">
        <f>IF(tbl_HR_Data[[#This Row],[MonthlyIncome]]&lt;$AT$2,1,0)</f>
        <v>0</v>
      </c>
      <c r="AN1380">
        <f>IF(tbl_HR_Data[[#This Row],[Travel_Code]]=2,1,0)</f>
        <v>0</v>
      </c>
      <c r="AO1380">
        <f>(tbl_HR_Data[[#This Row],[Flag_OT]] * Logic_Parameters!$B$2) +
 (tbl_HR_Data[[#This Row],[Flag_Travel]] * Logic_Parameters!$B$3) +
 (tbl_HR_Data[[#This Row],[Flag_Satisfaction]] * Logic_Parameters!$B$4) +
 (tbl_HR_Data[[#This Row],[Flag_Distance]]* Logic_Parameters!$B$5) +
 (tbl_HR_Data[[#This Row],[Flag_Income]] * Logic_Parameters!$B$6)</f>
        <v>10</v>
      </c>
      <c r="AP1380" s="15">
        <f>tbl_HR_Data[[#This Row],[Risk_Score_Raw]] / SUM(Logic_Parameters!$B$2:$B$6)</f>
        <v>0.3445251318258073</v>
      </c>
      <c r="AQ1380" s="16" t="str" cm="1">
        <f t="array" ref="AQ1380">_xlfn.IFS(tbl_HR_Data[[#This Row],[Attrition_Risk_Percentage]] &gt;= 0.75, "Critical",tbl_HR_Data[ [#This Row],[Attrition_Risk_Percentage] ]&gt;= 0.5, "High",tbl_HR_Data[[#This Row],[Attrition_Risk_Percentage]] &gt;= 0.25, "Medium",TRUE, "Low")</f>
        <v>Medium</v>
      </c>
      <c r="AR1380" s="16" cm="1">
        <f t="array" ref="AR1380">IFERROR(_xlfn.IFS(tbl_HR_Data[[#This Row],[Risk_Category]]="Critical",tbl_HR_Data[[#This Row],[MonthlyIncome]]*1.5,tbl_HR_Data[[#This Row],[Risk_Category]]="High",tbl_HR_Data[[#This Row],[MonthlyIncome]]*1.5),0)</f>
        <v>0</v>
      </c>
    </row>
    <row r="1381" spans="1:44" x14ac:dyDescent="0.35">
      <c r="A1381" t="s">
        <v>1283</v>
      </c>
      <c r="B1381">
        <v>27</v>
      </c>
      <c r="C1381" t="s">
        <v>37</v>
      </c>
      <c r="D1381">
        <v>1337</v>
      </c>
      <c r="E1381" t="s">
        <v>53</v>
      </c>
      <c r="F1381">
        <v>22</v>
      </c>
      <c r="G1381">
        <v>3</v>
      </c>
      <c r="H1381" t="s">
        <v>53</v>
      </c>
      <c r="I1381">
        <v>1</v>
      </c>
      <c r="J1381" t="s">
        <v>34</v>
      </c>
      <c r="K1381">
        <v>58</v>
      </c>
      <c r="L1381">
        <v>2</v>
      </c>
      <c r="M1381">
        <v>1</v>
      </c>
      <c r="N1381" t="s">
        <v>53</v>
      </c>
      <c r="O1381">
        <v>2</v>
      </c>
      <c r="P1381" t="s">
        <v>41</v>
      </c>
      <c r="Q1381">
        <v>2863</v>
      </c>
      <c r="R1381">
        <v>19555</v>
      </c>
      <c r="S1381">
        <v>1</v>
      </c>
      <c r="T1381">
        <v>0</v>
      </c>
      <c r="U1381" s="17">
        <v>0.12</v>
      </c>
      <c r="V1381">
        <v>3</v>
      </c>
      <c r="W1381">
        <v>1</v>
      </c>
      <c r="X1381">
        <v>0</v>
      </c>
      <c r="Y1381">
        <v>1</v>
      </c>
      <c r="Z1381">
        <v>2</v>
      </c>
      <c r="AA1381">
        <v>3</v>
      </c>
      <c r="AB1381">
        <v>1</v>
      </c>
      <c r="AC1381">
        <v>0</v>
      </c>
      <c r="AD1381">
        <v>0</v>
      </c>
      <c r="AE1381">
        <v>0</v>
      </c>
      <c r="AF1381">
        <v>1</v>
      </c>
      <c r="AG1381">
        <f>IF(tbl_HR_Data[[#This Row],[Gender]]="Male",1,0)</f>
        <v>0</v>
      </c>
      <c r="AH1381" cm="1">
        <f t="array" ref="AH1381">_xlfn.SWITCH(tbl_HR_Data[[#This Row],[BusinessTravel]], "Non-Travel", 0, "Travel_Rarely", 1, "Travel_Frequently", 2)</f>
        <v>2</v>
      </c>
      <c r="AI1381" cm="1">
        <f t="array" ref="AI1381">_xlfn.SWITCH(tbl_HR_Data[[#This Row],[MaritalStatus]],"Single",0,"Married",1,"Divorced",2)</f>
        <v>1</v>
      </c>
      <c r="AJ1381">
        <f>IF(tbl_HR_Data[[#This Row],[OverTime]]=1,1,0)</f>
        <v>0</v>
      </c>
      <c r="AK1381">
        <f>IF(tbl_HR_Data[[#This Row],[DistanceFromHome]]&gt;15,1,0)</f>
        <v>1</v>
      </c>
      <c r="AL1381">
        <f>IF(tbl_HR_Data[[#This Row],[JobSatisfaction]]&lt;=2,1,0)</f>
        <v>1</v>
      </c>
      <c r="AM1381">
        <f>IF(tbl_HR_Data[[#This Row],[MonthlyIncome]]&lt;$AT$2,1,0)</f>
        <v>1</v>
      </c>
      <c r="AN1381">
        <f>IF(tbl_HR_Data[[#This Row],[Travel_Code]]=2,1,0)</f>
        <v>1</v>
      </c>
      <c r="AO1381">
        <f>(tbl_HR_Data[[#This Row],[Flag_OT]] * Logic_Parameters!$B$2) +
 (tbl_HR_Data[[#This Row],[Flag_Travel]] * Logic_Parameters!$B$3) +
 (tbl_HR_Data[[#This Row],[Flag_Satisfaction]] * Logic_Parameters!$B$4) +
 (tbl_HR_Data[[#This Row],[Flag_Distance]]* Logic_Parameters!$B$5) +
 (tbl_HR_Data[[#This Row],[Flag_Income]] * Logic_Parameters!$B$6)</f>
        <v>19.025458743764514</v>
      </c>
      <c r="AP1381" s="15">
        <f>tbl_HR_Data[[#This Row],[Risk_Score_Raw]] / SUM(Logic_Parameters!$B$2:$B$6)</f>
        <v>0.65547486817419276</v>
      </c>
      <c r="AQ1381" s="16" t="str" cm="1">
        <f t="array" ref="AQ1381">_xlfn.IFS(tbl_HR_Data[[#This Row],[Attrition_Risk_Percentage]] &gt;= 0.75, "Critical",tbl_HR_Data[ [#This Row],[Attrition_Risk_Percentage] ]&gt;= 0.5, "High",tbl_HR_Data[[#This Row],[Attrition_Risk_Percentage]] &gt;= 0.25, "Medium",TRUE, "Low")</f>
        <v>High</v>
      </c>
      <c r="AR1381" s="16" cm="1">
        <f t="array" ref="AR1381">IFERROR(_xlfn.IFS(tbl_HR_Data[[#This Row],[Risk_Category]]="Critical",tbl_HR_Data[[#This Row],[MonthlyIncome]]*1.5,tbl_HR_Data[[#This Row],[Risk_Category]]="High",tbl_HR_Data[[#This Row],[MonthlyIncome]]*1.5),0)</f>
        <v>4294.5</v>
      </c>
    </row>
    <row r="1382" spans="1:44" x14ac:dyDescent="0.35">
      <c r="A1382" t="s">
        <v>945</v>
      </c>
      <c r="B1382">
        <v>35</v>
      </c>
      <c r="C1382" t="s">
        <v>31</v>
      </c>
      <c r="D1382">
        <v>682</v>
      </c>
      <c r="E1382" t="s">
        <v>32</v>
      </c>
      <c r="F1382">
        <v>18</v>
      </c>
      <c r="G1382">
        <v>4</v>
      </c>
      <c r="H1382" t="s">
        <v>44</v>
      </c>
      <c r="I1382">
        <v>2</v>
      </c>
      <c r="J1382" t="s">
        <v>39</v>
      </c>
      <c r="K1382">
        <v>71</v>
      </c>
      <c r="L1382">
        <v>3</v>
      </c>
      <c r="M1382">
        <v>2</v>
      </c>
      <c r="N1382" t="s">
        <v>35</v>
      </c>
      <c r="O1382">
        <v>1</v>
      </c>
      <c r="P1382" t="s">
        <v>41</v>
      </c>
      <c r="Q1382">
        <v>5561</v>
      </c>
      <c r="R1382">
        <v>15975</v>
      </c>
      <c r="S1382">
        <v>0</v>
      </c>
      <c r="T1382">
        <v>0</v>
      </c>
      <c r="U1382" s="17">
        <v>0.16</v>
      </c>
      <c r="V1382">
        <v>3</v>
      </c>
      <c r="W1382">
        <v>4</v>
      </c>
      <c r="X1382">
        <v>1</v>
      </c>
      <c r="Y1382">
        <v>6</v>
      </c>
      <c r="Z1382">
        <v>2</v>
      </c>
      <c r="AA1382">
        <v>1</v>
      </c>
      <c r="AB1382">
        <v>5</v>
      </c>
      <c r="AC1382">
        <v>3</v>
      </c>
      <c r="AD1382">
        <v>0</v>
      </c>
      <c r="AE1382">
        <v>4</v>
      </c>
      <c r="AF1382">
        <v>0</v>
      </c>
      <c r="AG1382">
        <f>IF(tbl_HR_Data[[#This Row],[Gender]]="Male",1,0)</f>
        <v>1</v>
      </c>
      <c r="AH1382" cm="1">
        <f t="array" ref="AH1382">_xlfn.SWITCH(tbl_HR_Data[[#This Row],[BusinessTravel]], "Non-Travel", 0, "Travel_Rarely", 1, "Travel_Frequently", 2)</f>
        <v>1</v>
      </c>
      <c r="AI1382" cm="1">
        <f t="array" ref="AI1382">_xlfn.SWITCH(tbl_HR_Data[[#This Row],[MaritalStatus]],"Single",0,"Married",1,"Divorced",2)</f>
        <v>1</v>
      </c>
      <c r="AJ1382">
        <f>IF(tbl_HR_Data[[#This Row],[OverTime]]=1,1,0)</f>
        <v>0</v>
      </c>
      <c r="AK1382">
        <f>IF(tbl_HR_Data[[#This Row],[DistanceFromHome]]&gt;15,1,0)</f>
        <v>1</v>
      </c>
      <c r="AL1382">
        <f>IF(tbl_HR_Data[[#This Row],[JobSatisfaction]]&lt;=2,1,0)</f>
        <v>1</v>
      </c>
      <c r="AM1382">
        <f>IF(tbl_HR_Data[[#This Row],[MonthlyIncome]]&lt;$AT$2,1,0)</f>
        <v>0</v>
      </c>
      <c r="AN1382">
        <f>IF(tbl_HR_Data[[#This Row],[Travel_Code]]=2,1,0)</f>
        <v>0</v>
      </c>
      <c r="AO1382">
        <f>(tbl_HR_Data[[#This Row],[Flag_OT]] * Logic_Parameters!$B$2) +
 (tbl_HR_Data[[#This Row],[Flag_Travel]] * Logic_Parameters!$B$3) +
 (tbl_HR_Data[[#This Row],[Flag_Satisfaction]] * Logic_Parameters!$B$4) +
 (tbl_HR_Data[[#This Row],[Flag_Distance]]* Logic_Parameters!$B$5) +
 (tbl_HR_Data[[#This Row],[Flag_Income]] * Logic_Parameters!$B$6)</f>
        <v>7.3706398258535089</v>
      </c>
      <c r="AP1382" s="15">
        <f>tbl_HR_Data[[#This Row],[Risk_Score_Raw]] / SUM(Logic_Parameters!$B$2:$B$6)</f>
        <v>0.25393706576427255</v>
      </c>
      <c r="AQ1382" s="16" t="str" cm="1">
        <f t="array" ref="AQ1382">_xlfn.IFS(tbl_HR_Data[[#This Row],[Attrition_Risk_Percentage]] &gt;= 0.75, "Critical",tbl_HR_Data[ [#This Row],[Attrition_Risk_Percentage] ]&gt;= 0.5, "High",tbl_HR_Data[[#This Row],[Attrition_Risk_Percentage]] &gt;= 0.25, "Medium",TRUE, "Low")</f>
        <v>Medium</v>
      </c>
      <c r="AR1382" s="16" cm="1">
        <f t="array" ref="AR1382">IFERROR(_xlfn.IFS(tbl_HR_Data[[#This Row],[Risk_Category]]="Critical",tbl_HR_Data[[#This Row],[MonthlyIncome]]*1.5,tbl_HR_Data[[#This Row],[Risk_Category]]="High",tbl_HR_Data[[#This Row],[MonthlyIncome]]*1.5),0)</f>
        <v>0</v>
      </c>
    </row>
    <row r="1383" spans="1:44" x14ac:dyDescent="0.35">
      <c r="A1383" t="s">
        <v>683</v>
      </c>
      <c r="B1383">
        <v>28</v>
      </c>
      <c r="C1383" t="s">
        <v>1525</v>
      </c>
      <c r="D1383">
        <v>1103</v>
      </c>
      <c r="E1383" t="s">
        <v>38</v>
      </c>
      <c r="F1383">
        <v>16</v>
      </c>
      <c r="G1383">
        <v>3</v>
      </c>
      <c r="H1383" t="s">
        <v>44</v>
      </c>
      <c r="I1383">
        <v>3</v>
      </c>
      <c r="J1383" t="s">
        <v>39</v>
      </c>
      <c r="K1383">
        <v>49</v>
      </c>
      <c r="L1383">
        <v>3</v>
      </c>
      <c r="M1383">
        <v>1</v>
      </c>
      <c r="N1383" t="s">
        <v>40</v>
      </c>
      <c r="O1383">
        <v>3</v>
      </c>
      <c r="P1383" t="s">
        <v>36</v>
      </c>
      <c r="Q1383">
        <v>2144</v>
      </c>
      <c r="R1383">
        <v>2122</v>
      </c>
      <c r="S1383">
        <v>1</v>
      </c>
      <c r="T1383">
        <v>0</v>
      </c>
      <c r="U1383" s="17">
        <v>0.14000000000000001</v>
      </c>
      <c r="V1383">
        <v>3</v>
      </c>
      <c r="W1383">
        <v>3</v>
      </c>
      <c r="X1383">
        <v>0</v>
      </c>
      <c r="Y1383">
        <v>5</v>
      </c>
      <c r="Z1383">
        <v>3</v>
      </c>
      <c r="AA1383">
        <v>2</v>
      </c>
      <c r="AB1383">
        <v>5</v>
      </c>
      <c r="AC1383">
        <v>3</v>
      </c>
      <c r="AD1383">
        <v>1</v>
      </c>
      <c r="AE1383">
        <v>4</v>
      </c>
      <c r="AF1383">
        <v>0</v>
      </c>
      <c r="AG1383">
        <f>IF(tbl_HR_Data[[#This Row],[Gender]]="Male",1,0)</f>
        <v>1</v>
      </c>
      <c r="AH1383" cm="1">
        <f t="array" ref="AH1383">_xlfn.SWITCH(tbl_HR_Data[[#This Row],[BusinessTravel]], "Non-Travel", 0, "Travel_Rarely", 1, "Travel_Frequently", 2)</f>
        <v>0</v>
      </c>
      <c r="AI1383" cm="1">
        <f t="array" ref="AI1383">_xlfn.SWITCH(tbl_HR_Data[[#This Row],[MaritalStatus]],"Single",0,"Married",1,"Divorced",2)</f>
        <v>0</v>
      </c>
      <c r="AJ1383">
        <f>IF(tbl_HR_Data[[#This Row],[OverTime]]=1,1,0)</f>
        <v>0</v>
      </c>
      <c r="AK1383">
        <f>IF(tbl_HR_Data[[#This Row],[DistanceFromHome]]&gt;15,1,0)</f>
        <v>1</v>
      </c>
      <c r="AL1383">
        <f>IF(tbl_HR_Data[[#This Row],[JobSatisfaction]]&lt;=2,1,0)</f>
        <v>0</v>
      </c>
      <c r="AM1383">
        <f>IF(tbl_HR_Data[[#This Row],[MonthlyIncome]]&lt;$AT$2,1,0)</f>
        <v>1</v>
      </c>
      <c r="AN1383">
        <f>IF(tbl_HR_Data[[#This Row],[Travel_Code]]=2,1,0)</f>
        <v>0</v>
      </c>
      <c r="AO1383">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1383" s="15">
        <f>tbl_HR_Data[[#This Row],[Risk_Score_Raw]] / SUM(Logic_Parameters!$B$2:$B$6)</f>
        <v>0.33282973125692844</v>
      </c>
      <c r="AQ1383" s="16" t="str" cm="1">
        <f t="array" ref="AQ1383">_xlfn.IFS(tbl_HR_Data[[#This Row],[Attrition_Risk_Percentage]] &gt;= 0.75, "Critical",tbl_HR_Data[ [#This Row],[Attrition_Risk_Percentage] ]&gt;= 0.5, "High",tbl_HR_Data[[#This Row],[Attrition_Risk_Percentage]] &gt;= 0.25, "Medium",TRUE, "Low")</f>
        <v>Medium</v>
      </c>
      <c r="AR1383" s="16" cm="1">
        <f t="array" ref="AR1383">IFERROR(_xlfn.IFS(tbl_HR_Data[[#This Row],[Risk_Category]]="Critical",tbl_HR_Data[[#This Row],[MonthlyIncome]]*1.5,tbl_HR_Data[[#This Row],[Risk_Category]]="High",tbl_HR_Data[[#This Row],[MonthlyIncome]]*1.5),0)</f>
        <v>0</v>
      </c>
    </row>
    <row r="1384" spans="1:44" x14ac:dyDescent="0.35">
      <c r="A1384" t="s">
        <v>1157</v>
      </c>
      <c r="B1384">
        <v>31</v>
      </c>
      <c r="C1384" t="s">
        <v>1525</v>
      </c>
      <c r="D1384">
        <v>976</v>
      </c>
      <c r="E1384" t="s">
        <v>38</v>
      </c>
      <c r="F1384">
        <v>3</v>
      </c>
      <c r="G1384">
        <v>2</v>
      </c>
      <c r="H1384" t="s">
        <v>44</v>
      </c>
      <c r="I1384">
        <v>3</v>
      </c>
      <c r="J1384" t="s">
        <v>39</v>
      </c>
      <c r="K1384">
        <v>48</v>
      </c>
      <c r="L1384">
        <v>3</v>
      </c>
      <c r="M1384">
        <v>1</v>
      </c>
      <c r="N1384" t="s">
        <v>40</v>
      </c>
      <c r="O1384">
        <v>1</v>
      </c>
      <c r="P1384" t="s">
        <v>45</v>
      </c>
      <c r="Q1384">
        <v>3065</v>
      </c>
      <c r="R1384">
        <v>3995</v>
      </c>
      <c r="S1384">
        <v>1</v>
      </c>
      <c r="T1384">
        <v>1</v>
      </c>
      <c r="U1384" s="17">
        <v>0.13</v>
      </c>
      <c r="V1384">
        <v>3</v>
      </c>
      <c r="W1384">
        <v>4</v>
      </c>
      <c r="X1384">
        <v>1</v>
      </c>
      <c r="Y1384">
        <v>4</v>
      </c>
      <c r="Z1384">
        <v>3</v>
      </c>
      <c r="AA1384">
        <v>4</v>
      </c>
      <c r="AB1384">
        <v>4</v>
      </c>
      <c r="AC1384">
        <v>2</v>
      </c>
      <c r="AD1384">
        <v>2</v>
      </c>
      <c r="AE1384">
        <v>3</v>
      </c>
      <c r="AF1384">
        <v>0</v>
      </c>
      <c r="AG1384">
        <f>IF(tbl_HR_Data[[#This Row],[Gender]]="Male",1,0)</f>
        <v>1</v>
      </c>
      <c r="AH1384" cm="1">
        <f t="array" ref="AH1384">_xlfn.SWITCH(tbl_HR_Data[[#This Row],[BusinessTravel]], "Non-Travel", 0, "Travel_Rarely", 1, "Travel_Frequently", 2)</f>
        <v>0</v>
      </c>
      <c r="AI1384" cm="1">
        <f t="array" ref="AI1384">_xlfn.SWITCH(tbl_HR_Data[[#This Row],[MaritalStatus]],"Single",0,"Married",1,"Divorced",2)</f>
        <v>2</v>
      </c>
      <c r="AJ1384">
        <f>IF(tbl_HR_Data[[#This Row],[OverTime]]=1,1,0)</f>
        <v>1</v>
      </c>
      <c r="AK1384">
        <f>IF(tbl_HR_Data[[#This Row],[DistanceFromHome]]&gt;15,1,0)</f>
        <v>0</v>
      </c>
      <c r="AL1384">
        <f>IF(tbl_HR_Data[[#This Row],[JobSatisfaction]]&lt;=2,1,0)</f>
        <v>1</v>
      </c>
      <c r="AM1384">
        <f>IF(tbl_HR_Data[[#This Row],[MonthlyIncome]]&lt;$AT$2,1,0)</f>
        <v>1</v>
      </c>
      <c r="AN1384">
        <f>IF(tbl_HR_Data[[#This Row],[Travel_Code]]=2,1,0)</f>
        <v>0</v>
      </c>
      <c r="AO1384">
        <f>(tbl_HR_Data[[#This Row],[Flag_OT]] * Logic_Parameters!$B$2) +
 (tbl_HR_Data[[#This Row],[Flag_Travel]] * Logic_Parameters!$B$3) +
 (tbl_HR_Data[[#This Row],[Flag_Satisfaction]] * Logic_Parameters!$B$4) +
 (tbl_HR_Data[[#This Row],[Flag_Distance]]* Logic_Parameters!$B$5) +
 (tbl_HR_Data[[#This Row],[Flag_Income]] * Logic_Parameters!$B$6)</f>
        <v>20.698962067398959</v>
      </c>
      <c r="AP1384" s="15">
        <f>tbl_HR_Data[[#This Row],[Risk_Score_Raw]] / SUM(Logic_Parameters!$B$2:$B$6)</f>
        <v>0.71313126349280109</v>
      </c>
      <c r="AQ1384" s="16" t="str" cm="1">
        <f t="array" ref="AQ1384">_xlfn.IFS(tbl_HR_Data[[#This Row],[Attrition_Risk_Percentage]] &gt;= 0.75, "Critical",tbl_HR_Data[ [#This Row],[Attrition_Risk_Percentage] ]&gt;= 0.5, "High",tbl_HR_Data[[#This Row],[Attrition_Risk_Percentage]] &gt;= 0.25, "Medium",TRUE, "Low")</f>
        <v>High</v>
      </c>
      <c r="AR1384" s="16" cm="1">
        <f t="array" ref="AR1384">IFERROR(_xlfn.IFS(tbl_HR_Data[[#This Row],[Risk_Category]]="Critical",tbl_HR_Data[[#This Row],[MonthlyIncome]]*1.5,tbl_HR_Data[[#This Row],[Risk_Category]]="High",tbl_HR_Data[[#This Row],[MonthlyIncome]]*1.5),0)</f>
        <v>4597.5</v>
      </c>
    </row>
    <row r="1385" spans="1:44" x14ac:dyDescent="0.35">
      <c r="A1385" t="s">
        <v>742</v>
      </c>
      <c r="B1385">
        <v>36</v>
      </c>
      <c r="C1385" t="s">
        <v>1525</v>
      </c>
      <c r="D1385">
        <v>1351</v>
      </c>
      <c r="E1385" t="s">
        <v>38</v>
      </c>
      <c r="F1385">
        <v>9</v>
      </c>
      <c r="G1385">
        <v>4</v>
      </c>
      <c r="H1385" t="s">
        <v>33</v>
      </c>
      <c r="I1385">
        <v>1</v>
      </c>
      <c r="J1385" t="s">
        <v>39</v>
      </c>
      <c r="K1385">
        <v>66</v>
      </c>
      <c r="L1385">
        <v>4</v>
      </c>
      <c r="M1385">
        <v>1</v>
      </c>
      <c r="N1385" t="s">
        <v>43</v>
      </c>
      <c r="O1385">
        <v>2</v>
      </c>
      <c r="P1385" t="s">
        <v>41</v>
      </c>
      <c r="Q1385">
        <v>2810</v>
      </c>
      <c r="R1385">
        <v>9238</v>
      </c>
      <c r="S1385">
        <v>1</v>
      </c>
      <c r="T1385">
        <v>0</v>
      </c>
      <c r="U1385" s="17">
        <v>0.22</v>
      </c>
      <c r="V1385">
        <v>4</v>
      </c>
      <c r="W1385">
        <v>2</v>
      </c>
      <c r="X1385">
        <v>0</v>
      </c>
      <c r="Y1385">
        <v>5</v>
      </c>
      <c r="Z1385">
        <v>3</v>
      </c>
      <c r="AA1385">
        <v>3</v>
      </c>
      <c r="AB1385">
        <v>5</v>
      </c>
      <c r="AC1385">
        <v>4</v>
      </c>
      <c r="AD1385">
        <v>0</v>
      </c>
      <c r="AE1385">
        <v>2</v>
      </c>
      <c r="AF1385">
        <v>0</v>
      </c>
      <c r="AG1385">
        <f>IF(tbl_HR_Data[[#This Row],[Gender]]="Male",1,0)</f>
        <v>1</v>
      </c>
      <c r="AH1385" cm="1">
        <f t="array" ref="AH1385">_xlfn.SWITCH(tbl_HR_Data[[#This Row],[BusinessTravel]], "Non-Travel", 0, "Travel_Rarely", 1, "Travel_Frequently", 2)</f>
        <v>0</v>
      </c>
      <c r="AI1385" cm="1">
        <f t="array" ref="AI1385">_xlfn.SWITCH(tbl_HR_Data[[#This Row],[MaritalStatus]],"Single",0,"Married",1,"Divorced",2)</f>
        <v>1</v>
      </c>
      <c r="AJ1385">
        <f>IF(tbl_HR_Data[[#This Row],[OverTime]]=1,1,0)</f>
        <v>0</v>
      </c>
      <c r="AK1385">
        <f>IF(tbl_HR_Data[[#This Row],[DistanceFromHome]]&gt;15,1,0)</f>
        <v>0</v>
      </c>
      <c r="AL1385">
        <f>IF(tbl_HR_Data[[#This Row],[JobSatisfaction]]&lt;=2,1,0)</f>
        <v>1</v>
      </c>
      <c r="AM1385">
        <f>IF(tbl_HR_Data[[#This Row],[MonthlyIncome]]&lt;$AT$2,1,0)</f>
        <v>1</v>
      </c>
      <c r="AN1385">
        <f>IF(tbl_HR_Data[[#This Row],[Travel_Code]]=2,1,0)</f>
        <v>0</v>
      </c>
      <c r="AO1385">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385" s="15">
        <f>tbl_HR_Data[[#This Row],[Risk_Score_Raw]] / SUM(Logic_Parameters!$B$2:$B$6)</f>
        <v>0.3686061316669938</v>
      </c>
      <c r="AQ1385" s="16" t="str" cm="1">
        <f t="array" ref="AQ1385">_xlfn.IFS(tbl_HR_Data[[#This Row],[Attrition_Risk_Percentage]] &gt;= 0.75, "Critical",tbl_HR_Data[ [#This Row],[Attrition_Risk_Percentage] ]&gt;= 0.5, "High",tbl_HR_Data[[#This Row],[Attrition_Risk_Percentage]] &gt;= 0.25, "Medium",TRUE, "Low")</f>
        <v>Medium</v>
      </c>
      <c r="AR1385" s="16" cm="1">
        <f t="array" ref="AR1385">IFERROR(_xlfn.IFS(tbl_HR_Data[[#This Row],[Risk_Category]]="Critical",tbl_HR_Data[[#This Row],[MonthlyIncome]]*1.5,tbl_HR_Data[[#This Row],[Risk_Category]]="High",tbl_HR_Data[[#This Row],[MonthlyIncome]]*1.5),0)</f>
        <v>0</v>
      </c>
    </row>
    <row r="1386" spans="1:44" x14ac:dyDescent="0.35">
      <c r="A1386" t="s">
        <v>1359</v>
      </c>
      <c r="B1386">
        <v>34</v>
      </c>
      <c r="C1386" t="s">
        <v>31</v>
      </c>
      <c r="D1386">
        <v>937</v>
      </c>
      <c r="E1386" t="s">
        <v>32</v>
      </c>
      <c r="F1386">
        <v>1</v>
      </c>
      <c r="G1386">
        <v>3</v>
      </c>
      <c r="H1386" t="s">
        <v>51</v>
      </c>
      <c r="I1386">
        <v>1</v>
      </c>
      <c r="J1386" t="s">
        <v>39</v>
      </c>
      <c r="K1386">
        <v>32</v>
      </c>
      <c r="L1386">
        <v>3</v>
      </c>
      <c r="M1386">
        <v>3</v>
      </c>
      <c r="N1386" t="s">
        <v>35</v>
      </c>
      <c r="O1386">
        <v>4</v>
      </c>
      <c r="P1386" t="s">
        <v>36</v>
      </c>
      <c r="Q1386">
        <v>9888</v>
      </c>
      <c r="R1386">
        <v>6770</v>
      </c>
      <c r="S1386">
        <v>1</v>
      </c>
      <c r="T1386">
        <v>0</v>
      </c>
      <c r="U1386" s="17">
        <v>0.21</v>
      </c>
      <c r="V1386">
        <v>4</v>
      </c>
      <c r="W1386">
        <v>1</v>
      </c>
      <c r="X1386">
        <v>0</v>
      </c>
      <c r="Y1386">
        <v>14</v>
      </c>
      <c r="Z1386">
        <v>3</v>
      </c>
      <c r="AA1386">
        <v>2</v>
      </c>
      <c r="AB1386">
        <v>14</v>
      </c>
      <c r="AC1386">
        <v>8</v>
      </c>
      <c r="AD1386">
        <v>2</v>
      </c>
      <c r="AE1386">
        <v>1</v>
      </c>
      <c r="AF1386">
        <v>0</v>
      </c>
      <c r="AG1386">
        <f>IF(tbl_HR_Data[[#This Row],[Gender]]="Male",1,0)</f>
        <v>1</v>
      </c>
      <c r="AH1386" cm="1">
        <f t="array" ref="AH1386">_xlfn.SWITCH(tbl_HR_Data[[#This Row],[BusinessTravel]], "Non-Travel", 0, "Travel_Rarely", 1, "Travel_Frequently", 2)</f>
        <v>1</v>
      </c>
      <c r="AI1386" cm="1">
        <f t="array" ref="AI1386">_xlfn.SWITCH(tbl_HR_Data[[#This Row],[MaritalStatus]],"Single",0,"Married",1,"Divorced",2)</f>
        <v>0</v>
      </c>
      <c r="AJ1386">
        <f>IF(tbl_HR_Data[[#This Row],[OverTime]]=1,1,0)</f>
        <v>0</v>
      </c>
      <c r="AK1386">
        <f>IF(tbl_HR_Data[[#This Row],[DistanceFromHome]]&gt;15,1,0)</f>
        <v>0</v>
      </c>
      <c r="AL1386">
        <f>IF(tbl_HR_Data[[#This Row],[JobSatisfaction]]&lt;=2,1,0)</f>
        <v>0</v>
      </c>
      <c r="AM1386">
        <f>IF(tbl_HR_Data[[#This Row],[MonthlyIncome]]&lt;$AT$2,1,0)</f>
        <v>0</v>
      </c>
      <c r="AN1386">
        <f>IF(tbl_HR_Data[[#This Row],[Travel_Code]]=2,1,0)</f>
        <v>0</v>
      </c>
      <c r="AO1386">
        <f>(tbl_HR_Data[[#This Row],[Flag_OT]] * Logic_Parameters!$B$2) +
 (tbl_HR_Data[[#This Row],[Flag_Travel]] * Logic_Parameters!$B$3) +
 (tbl_HR_Data[[#This Row],[Flag_Satisfaction]] * Logic_Parameters!$B$4) +
 (tbl_HR_Data[[#This Row],[Flag_Distance]]* Logic_Parameters!$B$5) +
 (tbl_HR_Data[[#This Row],[Flag_Income]] * Logic_Parameters!$B$6)</f>
        <v>0</v>
      </c>
      <c r="AP1386" s="15">
        <f>tbl_HR_Data[[#This Row],[Risk_Score_Raw]] / SUM(Logic_Parameters!$B$2:$B$6)</f>
        <v>0</v>
      </c>
      <c r="AQ1386" s="16" t="str" cm="1">
        <f t="array" ref="AQ1386">_xlfn.IFS(tbl_HR_Data[[#This Row],[Attrition_Risk_Percentage]] &gt;= 0.75, "Critical",tbl_HR_Data[ [#This Row],[Attrition_Risk_Percentage] ]&gt;= 0.5, "High",tbl_HR_Data[[#This Row],[Attrition_Risk_Percentage]] &gt;= 0.25, "Medium",TRUE, "Low")</f>
        <v>Low</v>
      </c>
      <c r="AR1386" s="16" cm="1">
        <f t="array" ref="AR1386">IFERROR(_xlfn.IFS(tbl_HR_Data[[#This Row],[Risk_Category]]="Critical",tbl_HR_Data[[#This Row],[MonthlyIncome]]*1.5,tbl_HR_Data[[#This Row],[Risk_Category]]="High",tbl_HR_Data[[#This Row],[MonthlyIncome]]*1.5),0)</f>
        <v>0</v>
      </c>
    </row>
    <row r="1387" spans="1:44" x14ac:dyDescent="0.35">
      <c r="A1387" t="s">
        <v>215</v>
      </c>
      <c r="B1387">
        <v>34</v>
      </c>
      <c r="C1387" t="s">
        <v>31</v>
      </c>
      <c r="D1387">
        <v>1239</v>
      </c>
      <c r="E1387" t="s">
        <v>32</v>
      </c>
      <c r="F1387">
        <v>13</v>
      </c>
      <c r="G1387">
        <v>4</v>
      </c>
      <c r="H1387" t="s">
        <v>44</v>
      </c>
      <c r="I1387">
        <v>4</v>
      </c>
      <c r="J1387" t="s">
        <v>39</v>
      </c>
      <c r="K1387">
        <v>39</v>
      </c>
      <c r="L1387">
        <v>3</v>
      </c>
      <c r="M1387">
        <v>3</v>
      </c>
      <c r="N1387" t="s">
        <v>35</v>
      </c>
      <c r="O1387">
        <v>3</v>
      </c>
      <c r="P1387" t="s">
        <v>45</v>
      </c>
      <c r="Q1387">
        <v>8628</v>
      </c>
      <c r="R1387">
        <v>22914</v>
      </c>
      <c r="S1387">
        <v>1</v>
      </c>
      <c r="T1387">
        <v>0</v>
      </c>
      <c r="U1387" s="17">
        <v>0.18</v>
      </c>
      <c r="V1387">
        <v>3</v>
      </c>
      <c r="W1387">
        <v>3</v>
      </c>
      <c r="X1387">
        <v>1</v>
      </c>
      <c r="Y1387">
        <v>9</v>
      </c>
      <c r="Z1387">
        <v>2</v>
      </c>
      <c r="AA1387">
        <v>2</v>
      </c>
      <c r="AB1387">
        <v>8</v>
      </c>
      <c r="AC1387">
        <v>7</v>
      </c>
      <c r="AD1387">
        <v>1</v>
      </c>
      <c r="AE1387">
        <v>1</v>
      </c>
      <c r="AF1387">
        <v>0</v>
      </c>
      <c r="AG1387">
        <f>IF(tbl_HR_Data[[#This Row],[Gender]]="Male",1,0)</f>
        <v>1</v>
      </c>
      <c r="AH1387" cm="1">
        <f t="array" ref="AH1387">_xlfn.SWITCH(tbl_HR_Data[[#This Row],[BusinessTravel]], "Non-Travel", 0, "Travel_Rarely", 1, "Travel_Frequently", 2)</f>
        <v>1</v>
      </c>
      <c r="AI1387" cm="1">
        <f t="array" ref="AI1387">_xlfn.SWITCH(tbl_HR_Data[[#This Row],[MaritalStatus]],"Single",0,"Married",1,"Divorced",2)</f>
        <v>2</v>
      </c>
      <c r="AJ1387">
        <f>IF(tbl_HR_Data[[#This Row],[OverTime]]=1,1,0)</f>
        <v>0</v>
      </c>
      <c r="AK1387">
        <f>IF(tbl_HR_Data[[#This Row],[DistanceFromHome]]&gt;15,1,0)</f>
        <v>0</v>
      </c>
      <c r="AL1387">
        <f>IF(tbl_HR_Data[[#This Row],[JobSatisfaction]]&lt;=2,1,0)</f>
        <v>0</v>
      </c>
      <c r="AM1387">
        <f>IF(tbl_HR_Data[[#This Row],[MonthlyIncome]]&lt;$AT$2,1,0)</f>
        <v>0</v>
      </c>
      <c r="AN1387">
        <f>IF(tbl_HR_Data[[#This Row],[Travel_Code]]=2,1,0)</f>
        <v>0</v>
      </c>
      <c r="AO1387">
        <f>(tbl_HR_Data[[#This Row],[Flag_OT]] * Logic_Parameters!$B$2) +
 (tbl_HR_Data[[#This Row],[Flag_Travel]] * Logic_Parameters!$B$3) +
 (tbl_HR_Data[[#This Row],[Flag_Satisfaction]] * Logic_Parameters!$B$4) +
 (tbl_HR_Data[[#This Row],[Flag_Distance]]* Logic_Parameters!$B$5) +
 (tbl_HR_Data[[#This Row],[Flag_Income]] * Logic_Parameters!$B$6)</f>
        <v>0</v>
      </c>
      <c r="AP1387" s="15">
        <f>tbl_HR_Data[[#This Row],[Risk_Score_Raw]] / SUM(Logic_Parameters!$B$2:$B$6)</f>
        <v>0</v>
      </c>
      <c r="AQ1387" s="16" t="str" cm="1">
        <f t="array" ref="AQ1387">_xlfn.IFS(tbl_HR_Data[[#This Row],[Attrition_Risk_Percentage]] &gt;= 0.75, "Critical",tbl_HR_Data[ [#This Row],[Attrition_Risk_Percentage] ]&gt;= 0.5, "High",tbl_HR_Data[[#This Row],[Attrition_Risk_Percentage]] &gt;= 0.25, "Medium",TRUE, "Low")</f>
        <v>Low</v>
      </c>
      <c r="AR1387" s="16" cm="1">
        <f t="array" ref="AR1387">IFERROR(_xlfn.IFS(tbl_HR_Data[[#This Row],[Risk_Category]]="Critical",tbl_HR_Data[[#This Row],[MonthlyIncome]]*1.5,tbl_HR_Data[[#This Row],[Risk_Category]]="High",tbl_HR_Data[[#This Row],[MonthlyIncome]]*1.5),0)</f>
        <v>0</v>
      </c>
    </row>
    <row r="1388" spans="1:44" x14ac:dyDescent="0.35">
      <c r="A1388" t="s">
        <v>1102</v>
      </c>
      <c r="B1388">
        <v>26</v>
      </c>
      <c r="C1388" t="s">
        <v>31</v>
      </c>
      <c r="D1388">
        <v>157</v>
      </c>
      <c r="E1388" t="s">
        <v>38</v>
      </c>
      <c r="F1388">
        <v>1</v>
      </c>
      <c r="G1388">
        <v>3</v>
      </c>
      <c r="H1388" t="s">
        <v>44</v>
      </c>
      <c r="I1388">
        <v>3</v>
      </c>
      <c r="J1388" t="s">
        <v>39</v>
      </c>
      <c r="K1388">
        <v>95</v>
      </c>
      <c r="L1388">
        <v>3</v>
      </c>
      <c r="M1388">
        <v>1</v>
      </c>
      <c r="N1388" t="s">
        <v>43</v>
      </c>
      <c r="O1388">
        <v>1</v>
      </c>
      <c r="P1388" t="s">
        <v>36</v>
      </c>
      <c r="Q1388">
        <v>2867</v>
      </c>
      <c r="R1388">
        <v>20006</v>
      </c>
      <c r="S1388">
        <v>0</v>
      </c>
      <c r="T1388">
        <v>0</v>
      </c>
      <c r="U1388" s="17">
        <v>0.13</v>
      </c>
      <c r="V1388">
        <v>3</v>
      </c>
      <c r="W1388">
        <v>4</v>
      </c>
      <c r="X1388">
        <v>0</v>
      </c>
      <c r="Y1388">
        <v>8</v>
      </c>
      <c r="Z1388">
        <v>6</v>
      </c>
      <c r="AA1388">
        <v>2</v>
      </c>
      <c r="AB1388">
        <v>7</v>
      </c>
      <c r="AC1388">
        <v>7</v>
      </c>
      <c r="AD1388">
        <v>7</v>
      </c>
      <c r="AE1388">
        <v>6</v>
      </c>
      <c r="AF1388">
        <v>0</v>
      </c>
      <c r="AG1388">
        <f>IF(tbl_HR_Data[[#This Row],[Gender]]="Male",1,0)</f>
        <v>1</v>
      </c>
      <c r="AH1388" cm="1">
        <f t="array" ref="AH1388">_xlfn.SWITCH(tbl_HR_Data[[#This Row],[BusinessTravel]], "Non-Travel", 0, "Travel_Rarely", 1, "Travel_Frequently", 2)</f>
        <v>1</v>
      </c>
      <c r="AI1388" cm="1">
        <f t="array" ref="AI1388">_xlfn.SWITCH(tbl_HR_Data[[#This Row],[MaritalStatus]],"Single",0,"Married",1,"Divorced",2)</f>
        <v>0</v>
      </c>
      <c r="AJ1388">
        <f>IF(tbl_HR_Data[[#This Row],[OverTime]]=1,1,0)</f>
        <v>0</v>
      </c>
      <c r="AK1388">
        <f>IF(tbl_HR_Data[[#This Row],[DistanceFromHome]]&gt;15,1,0)</f>
        <v>0</v>
      </c>
      <c r="AL1388">
        <f>IF(tbl_HR_Data[[#This Row],[JobSatisfaction]]&lt;=2,1,0)</f>
        <v>1</v>
      </c>
      <c r="AM1388">
        <f>IF(tbl_HR_Data[[#This Row],[MonthlyIncome]]&lt;$AT$2,1,0)</f>
        <v>1</v>
      </c>
      <c r="AN1388">
        <f>IF(tbl_HR_Data[[#This Row],[Travel_Code]]=2,1,0)</f>
        <v>0</v>
      </c>
      <c r="AO1388">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388" s="15">
        <f>tbl_HR_Data[[#This Row],[Risk_Score_Raw]] / SUM(Logic_Parameters!$B$2:$B$6)</f>
        <v>0.3686061316669938</v>
      </c>
      <c r="AQ1388" s="16" t="str" cm="1">
        <f t="array" ref="AQ1388">_xlfn.IFS(tbl_HR_Data[[#This Row],[Attrition_Risk_Percentage]] &gt;= 0.75, "Critical",tbl_HR_Data[ [#This Row],[Attrition_Risk_Percentage] ]&gt;= 0.5, "High",tbl_HR_Data[[#This Row],[Attrition_Risk_Percentage]] &gt;= 0.25, "Medium",TRUE, "Low")</f>
        <v>Medium</v>
      </c>
      <c r="AR1388" s="16" cm="1">
        <f t="array" ref="AR1388">IFERROR(_xlfn.IFS(tbl_HR_Data[[#This Row],[Risk_Category]]="Critical",tbl_HR_Data[[#This Row],[MonthlyIncome]]*1.5,tbl_HR_Data[[#This Row],[Risk_Category]]="High",tbl_HR_Data[[#This Row],[MonthlyIncome]]*1.5),0)</f>
        <v>0</v>
      </c>
    </row>
    <row r="1389" spans="1:44" x14ac:dyDescent="0.35">
      <c r="A1389" t="s">
        <v>1094</v>
      </c>
      <c r="B1389">
        <v>29</v>
      </c>
      <c r="C1389" t="s">
        <v>31</v>
      </c>
      <c r="D1389">
        <v>136</v>
      </c>
      <c r="E1389" t="s">
        <v>38</v>
      </c>
      <c r="F1389">
        <v>1</v>
      </c>
      <c r="G1389">
        <v>3</v>
      </c>
      <c r="H1389" t="s">
        <v>33</v>
      </c>
      <c r="I1389">
        <v>1</v>
      </c>
      <c r="J1389" t="s">
        <v>39</v>
      </c>
      <c r="K1389">
        <v>89</v>
      </c>
      <c r="L1389">
        <v>3</v>
      </c>
      <c r="M1389">
        <v>2</v>
      </c>
      <c r="N1389" t="s">
        <v>47</v>
      </c>
      <c r="O1389">
        <v>1</v>
      </c>
      <c r="P1389" t="s">
        <v>41</v>
      </c>
      <c r="Q1389">
        <v>5373</v>
      </c>
      <c r="R1389">
        <v>6225</v>
      </c>
      <c r="S1389">
        <v>0</v>
      </c>
      <c r="T1389">
        <v>0</v>
      </c>
      <c r="U1389" s="17">
        <v>0.12</v>
      </c>
      <c r="V1389">
        <v>3</v>
      </c>
      <c r="W1389">
        <v>1</v>
      </c>
      <c r="X1389">
        <v>1</v>
      </c>
      <c r="Y1389">
        <v>6</v>
      </c>
      <c r="Z1389">
        <v>5</v>
      </c>
      <c r="AA1389">
        <v>2</v>
      </c>
      <c r="AB1389">
        <v>5</v>
      </c>
      <c r="AC1389">
        <v>3</v>
      </c>
      <c r="AD1389">
        <v>0</v>
      </c>
      <c r="AE1389">
        <v>2</v>
      </c>
      <c r="AF1389">
        <v>0</v>
      </c>
      <c r="AG1389">
        <f>IF(tbl_HR_Data[[#This Row],[Gender]]="Male",1,0)</f>
        <v>1</v>
      </c>
      <c r="AH1389" cm="1">
        <f t="array" ref="AH1389">_xlfn.SWITCH(tbl_HR_Data[[#This Row],[BusinessTravel]], "Non-Travel", 0, "Travel_Rarely", 1, "Travel_Frequently", 2)</f>
        <v>1</v>
      </c>
      <c r="AI1389" cm="1">
        <f t="array" ref="AI1389">_xlfn.SWITCH(tbl_HR_Data[[#This Row],[MaritalStatus]],"Single",0,"Married",1,"Divorced",2)</f>
        <v>1</v>
      </c>
      <c r="AJ1389">
        <f>IF(tbl_HR_Data[[#This Row],[OverTime]]=1,1,0)</f>
        <v>0</v>
      </c>
      <c r="AK1389">
        <f>IF(tbl_HR_Data[[#This Row],[DistanceFromHome]]&gt;15,1,0)</f>
        <v>0</v>
      </c>
      <c r="AL1389">
        <f>IF(tbl_HR_Data[[#This Row],[JobSatisfaction]]&lt;=2,1,0)</f>
        <v>1</v>
      </c>
      <c r="AM1389">
        <f>IF(tbl_HR_Data[[#This Row],[MonthlyIncome]]&lt;$AT$2,1,0)</f>
        <v>0</v>
      </c>
      <c r="AN1389">
        <f>IF(tbl_HR_Data[[#This Row],[Travel_Code]]=2,1,0)</f>
        <v>0</v>
      </c>
      <c r="AO1389">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389" s="15">
        <f>tbl_HR_Data[[#This Row],[Risk_Score_Raw]] / SUM(Logic_Parameters!$B$2:$B$6)</f>
        <v>0.14485673308716898</v>
      </c>
      <c r="AQ1389" s="16" t="str" cm="1">
        <f t="array" ref="AQ1389">_xlfn.IFS(tbl_HR_Data[[#This Row],[Attrition_Risk_Percentage]] &gt;= 0.75, "Critical",tbl_HR_Data[ [#This Row],[Attrition_Risk_Percentage] ]&gt;= 0.5, "High",tbl_HR_Data[[#This Row],[Attrition_Risk_Percentage]] &gt;= 0.25, "Medium",TRUE, "Low")</f>
        <v>Low</v>
      </c>
      <c r="AR1389" s="16" cm="1">
        <f t="array" ref="AR1389">IFERROR(_xlfn.IFS(tbl_HR_Data[[#This Row],[Risk_Category]]="Critical",tbl_HR_Data[[#This Row],[MonthlyIncome]]*1.5,tbl_HR_Data[[#This Row],[Risk_Category]]="High",tbl_HR_Data[[#This Row],[MonthlyIncome]]*1.5),0)</f>
        <v>0</v>
      </c>
    </row>
    <row r="1390" spans="1:44" x14ac:dyDescent="0.35">
      <c r="A1390" t="s">
        <v>1297</v>
      </c>
      <c r="B1390">
        <v>32</v>
      </c>
      <c r="C1390" t="s">
        <v>1525</v>
      </c>
      <c r="D1390">
        <v>1146</v>
      </c>
      <c r="E1390" t="s">
        <v>38</v>
      </c>
      <c r="F1390">
        <v>15</v>
      </c>
      <c r="G1390">
        <v>4</v>
      </c>
      <c r="H1390" t="s">
        <v>44</v>
      </c>
      <c r="I1390">
        <v>3</v>
      </c>
      <c r="J1390" t="s">
        <v>34</v>
      </c>
      <c r="K1390">
        <v>34</v>
      </c>
      <c r="L1390">
        <v>3</v>
      </c>
      <c r="M1390">
        <v>2</v>
      </c>
      <c r="N1390" t="s">
        <v>47</v>
      </c>
      <c r="O1390">
        <v>4</v>
      </c>
      <c r="P1390" t="s">
        <v>45</v>
      </c>
      <c r="Q1390">
        <v>6667</v>
      </c>
      <c r="R1390">
        <v>16542</v>
      </c>
      <c r="S1390">
        <v>5</v>
      </c>
      <c r="T1390">
        <v>0</v>
      </c>
      <c r="U1390" s="17">
        <v>0.18</v>
      </c>
      <c r="V1390">
        <v>3</v>
      </c>
      <c r="W1390">
        <v>2</v>
      </c>
      <c r="X1390">
        <v>1</v>
      </c>
      <c r="Y1390">
        <v>9</v>
      </c>
      <c r="Z1390">
        <v>6</v>
      </c>
      <c r="AA1390">
        <v>3</v>
      </c>
      <c r="AB1390">
        <v>5</v>
      </c>
      <c r="AC1390">
        <v>1</v>
      </c>
      <c r="AD1390">
        <v>1</v>
      </c>
      <c r="AE1390">
        <v>2</v>
      </c>
      <c r="AF1390">
        <v>0</v>
      </c>
      <c r="AG1390">
        <f>IF(tbl_HR_Data[[#This Row],[Gender]]="Male",1,0)</f>
        <v>0</v>
      </c>
      <c r="AH1390" cm="1">
        <f t="array" ref="AH1390">_xlfn.SWITCH(tbl_HR_Data[[#This Row],[BusinessTravel]], "Non-Travel", 0, "Travel_Rarely", 1, "Travel_Frequently", 2)</f>
        <v>0</v>
      </c>
      <c r="AI1390" cm="1">
        <f t="array" ref="AI1390">_xlfn.SWITCH(tbl_HR_Data[[#This Row],[MaritalStatus]],"Single",0,"Married",1,"Divorced",2)</f>
        <v>2</v>
      </c>
      <c r="AJ1390">
        <f>IF(tbl_HR_Data[[#This Row],[OverTime]]=1,1,0)</f>
        <v>0</v>
      </c>
      <c r="AK1390">
        <f>IF(tbl_HR_Data[[#This Row],[DistanceFromHome]]&gt;15,1,0)</f>
        <v>0</v>
      </c>
      <c r="AL1390">
        <f>IF(tbl_HR_Data[[#This Row],[JobSatisfaction]]&lt;=2,1,0)</f>
        <v>0</v>
      </c>
      <c r="AM1390">
        <f>IF(tbl_HR_Data[[#This Row],[MonthlyIncome]]&lt;$AT$2,1,0)</f>
        <v>0</v>
      </c>
      <c r="AN1390">
        <f>IF(tbl_HR_Data[[#This Row],[Travel_Code]]=2,1,0)</f>
        <v>0</v>
      </c>
      <c r="AO1390">
        <f>(tbl_HR_Data[[#This Row],[Flag_OT]] * Logic_Parameters!$B$2) +
 (tbl_HR_Data[[#This Row],[Flag_Travel]] * Logic_Parameters!$B$3) +
 (tbl_HR_Data[[#This Row],[Flag_Satisfaction]] * Logic_Parameters!$B$4) +
 (tbl_HR_Data[[#This Row],[Flag_Distance]]* Logic_Parameters!$B$5) +
 (tbl_HR_Data[[#This Row],[Flag_Income]] * Logic_Parameters!$B$6)</f>
        <v>0</v>
      </c>
      <c r="AP1390" s="15">
        <f>tbl_HR_Data[[#This Row],[Risk_Score_Raw]] / SUM(Logic_Parameters!$B$2:$B$6)</f>
        <v>0</v>
      </c>
      <c r="AQ1390" s="16" t="str" cm="1">
        <f t="array" ref="AQ1390">_xlfn.IFS(tbl_HR_Data[[#This Row],[Attrition_Risk_Percentage]] &gt;= 0.75, "Critical",tbl_HR_Data[ [#This Row],[Attrition_Risk_Percentage] ]&gt;= 0.5, "High",tbl_HR_Data[[#This Row],[Attrition_Risk_Percentage]] &gt;= 0.25, "Medium",TRUE, "Low")</f>
        <v>Low</v>
      </c>
      <c r="AR1390" s="16" cm="1">
        <f t="array" ref="AR1390">IFERROR(_xlfn.IFS(tbl_HR_Data[[#This Row],[Risk_Category]]="Critical",tbl_HR_Data[[#This Row],[MonthlyIncome]]*1.5,tbl_HR_Data[[#This Row],[Risk_Category]]="High",tbl_HR_Data[[#This Row],[MonthlyIncome]]*1.5),0)</f>
        <v>0</v>
      </c>
    </row>
    <row r="1391" spans="1:44" x14ac:dyDescent="0.35">
      <c r="A1391" t="s">
        <v>300</v>
      </c>
      <c r="B1391">
        <v>31</v>
      </c>
      <c r="C1391" t="s">
        <v>37</v>
      </c>
      <c r="D1391">
        <v>1125</v>
      </c>
      <c r="E1391" t="s">
        <v>38</v>
      </c>
      <c r="F1391">
        <v>1</v>
      </c>
      <c r="G1391">
        <v>3</v>
      </c>
      <c r="H1391" t="s">
        <v>33</v>
      </c>
      <c r="I1391">
        <v>4</v>
      </c>
      <c r="J1391" t="s">
        <v>39</v>
      </c>
      <c r="K1391">
        <v>48</v>
      </c>
      <c r="L1391">
        <v>1</v>
      </c>
      <c r="M1391">
        <v>2</v>
      </c>
      <c r="N1391" t="s">
        <v>40</v>
      </c>
      <c r="O1391">
        <v>1</v>
      </c>
      <c r="P1391" t="s">
        <v>41</v>
      </c>
      <c r="Q1391">
        <v>5003</v>
      </c>
      <c r="R1391">
        <v>5771</v>
      </c>
      <c r="S1391">
        <v>1</v>
      </c>
      <c r="T1391">
        <v>0</v>
      </c>
      <c r="U1391" s="17">
        <v>0.21</v>
      </c>
      <c r="V1391">
        <v>4</v>
      </c>
      <c r="W1391">
        <v>2</v>
      </c>
      <c r="X1391">
        <v>0</v>
      </c>
      <c r="Y1391">
        <v>10</v>
      </c>
      <c r="Z1391">
        <v>6</v>
      </c>
      <c r="AA1391">
        <v>3</v>
      </c>
      <c r="AB1391">
        <v>10</v>
      </c>
      <c r="AC1391">
        <v>8</v>
      </c>
      <c r="AD1391">
        <v>8</v>
      </c>
      <c r="AE1391">
        <v>7</v>
      </c>
      <c r="AF1391">
        <v>0</v>
      </c>
      <c r="AG1391">
        <f>IF(tbl_HR_Data[[#This Row],[Gender]]="Male",1,0)</f>
        <v>1</v>
      </c>
      <c r="AH1391" cm="1">
        <f t="array" ref="AH1391">_xlfn.SWITCH(tbl_HR_Data[[#This Row],[BusinessTravel]], "Non-Travel", 0, "Travel_Rarely", 1, "Travel_Frequently", 2)</f>
        <v>2</v>
      </c>
      <c r="AI1391" cm="1">
        <f t="array" ref="AI1391">_xlfn.SWITCH(tbl_HR_Data[[#This Row],[MaritalStatus]],"Single",0,"Married",1,"Divorced",2)</f>
        <v>1</v>
      </c>
      <c r="AJ1391">
        <f>IF(tbl_HR_Data[[#This Row],[OverTime]]=1,1,0)</f>
        <v>0</v>
      </c>
      <c r="AK1391">
        <f>IF(tbl_HR_Data[[#This Row],[DistanceFromHome]]&gt;15,1,0)</f>
        <v>0</v>
      </c>
      <c r="AL1391">
        <f>IF(tbl_HR_Data[[#This Row],[JobSatisfaction]]&lt;=2,1,0)</f>
        <v>1</v>
      </c>
      <c r="AM1391">
        <f>IF(tbl_HR_Data[[#This Row],[MonthlyIncome]]&lt;$AT$2,1,0)</f>
        <v>0</v>
      </c>
      <c r="AN1391">
        <f>IF(tbl_HR_Data[[#This Row],[Travel_Code]]=2,1,0)</f>
        <v>1</v>
      </c>
      <c r="AO1391">
        <f>(tbl_HR_Data[[#This Row],[Flag_OT]] * Logic_Parameters!$B$2) +
 (tbl_HR_Data[[#This Row],[Flag_Travel]] * Logic_Parameters!$B$3) +
 (tbl_HR_Data[[#This Row],[Flag_Satisfaction]] * Logic_Parameters!$B$4) +
 (tbl_HR_Data[[#This Row],[Flag_Distance]]* Logic_Parameters!$B$5) +
 (tbl_HR_Data[[#This Row],[Flag_Income]] * Logic_Parameters!$B$6)</f>
        <v>9.3649231104683075</v>
      </c>
      <c r="AP1391" s="15">
        <f>tbl_HR_Data[[#This Row],[Risk_Score_Raw]] / SUM(Logic_Parameters!$B$2:$B$6)</f>
        <v>0.32264513691726432</v>
      </c>
      <c r="AQ1391" s="16" t="str" cm="1">
        <f t="array" ref="AQ1391">_xlfn.IFS(tbl_HR_Data[[#This Row],[Attrition_Risk_Percentage]] &gt;= 0.75, "Critical",tbl_HR_Data[ [#This Row],[Attrition_Risk_Percentage] ]&gt;= 0.5, "High",tbl_HR_Data[[#This Row],[Attrition_Risk_Percentage]] &gt;= 0.25, "Medium",TRUE, "Low")</f>
        <v>Medium</v>
      </c>
      <c r="AR1391" s="16" cm="1">
        <f t="array" ref="AR1391">IFERROR(_xlfn.IFS(tbl_HR_Data[[#This Row],[Risk_Category]]="Critical",tbl_HR_Data[[#This Row],[MonthlyIncome]]*1.5,tbl_HR_Data[[#This Row],[Risk_Category]]="High",tbl_HR_Data[[#This Row],[MonthlyIncome]]*1.5),0)</f>
        <v>0</v>
      </c>
    </row>
    <row r="1392" spans="1:44" x14ac:dyDescent="0.35">
      <c r="A1392" t="s">
        <v>1502</v>
      </c>
      <c r="B1392">
        <v>28</v>
      </c>
      <c r="C1392" t="s">
        <v>31</v>
      </c>
      <c r="D1392">
        <v>1404</v>
      </c>
      <c r="E1392" t="s">
        <v>38</v>
      </c>
      <c r="F1392">
        <v>17</v>
      </c>
      <c r="G1392">
        <v>3</v>
      </c>
      <c r="H1392" t="s">
        <v>52</v>
      </c>
      <c r="I1392">
        <v>3</v>
      </c>
      <c r="J1392" t="s">
        <v>39</v>
      </c>
      <c r="K1392">
        <v>32</v>
      </c>
      <c r="L1392">
        <v>2</v>
      </c>
      <c r="M1392">
        <v>1</v>
      </c>
      <c r="N1392" t="s">
        <v>43</v>
      </c>
      <c r="O1392">
        <v>4</v>
      </c>
      <c r="P1392" t="s">
        <v>45</v>
      </c>
      <c r="Q1392">
        <v>2367</v>
      </c>
      <c r="R1392">
        <v>18779</v>
      </c>
      <c r="S1392">
        <v>5</v>
      </c>
      <c r="T1392">
        <v>0</v>
      </c>
      <c r="U1392" s="17">
        <v>0.12</v>
      </c>
      <c r="V1392">
        <v>3</v>
      </c>
      <c r="W1392">
        <v>1</v>
      </c>
      <c r="X1392">
        <v>1</v>
      </c>
      <c r="Y1392">
        <v>6</v>
      </c>
      <c r="Z1392">
        <v>2</v>
      </c>
      <c r="AA1392">
        <v>2</v>
      </c>
      <c r="AB1392">
        <v>4</v>
      </c>
      <c r="AC1392">
        <v>1</v>
      </c>
      <c r="AD1392">
        <v>0</v>
      </c>
      <c r="AE1392">
        <v>3</v>
      </c>
      <c r="AF1392">
        <v>1</v>
      </c>
      <c r="AG1392">
        <f>IF(tbl_HR_Data[[#This Row],[Gender]]="Male",1,0)</f>
        <v>1</v>
      </c>
      <c r="AH1392" cm="1">
        <f t="array" ref="AH1392">_xlfn.SWITCH(tbl_HR_Data[[#This Row],[BusinessTravel]], "Non-Travel", 0, "Travel_Rarely", 1, "Travel_Frequently", 2)</f>
        <v>1</v>
      </c>
      <c r="AI1392" cm="1">
        <f t="array" ref="AI1392">_xlfn.SWITCH(tbl_HR_Data[[#This Row],[MaritalStatus]],"Single",0,"Married",1,"Divorced",2)</f>
        <v>2</v>
      </c>
      <c r="AJ1392">
        <f>IF(tbl_HR_Data[[#This Row],[OverTime]]=1,1,0)</f>
        <v>0</v>
      </c>
      <c r="AK1392">
        <f>IF(tbl_HR_Data[[#This Row],[DistanceFromHome]]&gt;15,1,0)</f>
        <v>1</v>
      </c>
      <c r="AL1392">
        <f>IF(tbl_HR_Data[[#This Row],[JobSatisfaction]]&lt;=2,1,0)</f>
        <v>0</v>
      </c>
      <c r="AM1392">
        <f>IF(tbl_HR_Data[[#This Row],[MonthlyIncome]]&lt;$AT$2,1,0)</f>
        <v>1</v>
      </c>
      <c r="AN1392">
        <f>IF(tbl_HR_Data[[#This Row],[Travel_Code]]=2,1,0)</f>
        <v>0</v>
      </c>
      <c r="AO1392">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1392" s="15">
        <f>tbl_HR_Data[[#This Row],[Risk_Score_Raw]] / SUM(Logic_Parameters!$B$2:$B$6)</f>
        <v>0.33282973125692844</v>
      </c>
      <c r="AQ1392" s="16" t="str" cm="1">
        <f t="array" ref="AQ1392">_xlfn.IFS(tbl_HR_Data[[#This Row],[Attrition_Risk_Percentage]] &gt;= 0.75, "Critical",tbl_HR_Data[ [#This Row],[Attrition_Risk_Percentage] ]&gt;= 0.5, "High",tbl_HR_Data[[#This Row],[Attrition_Risk_Percentage]] &gt;= 0.25, "Medium",TRUE, "Low")</f>
        <v>Medium</v>
      </c>
      <c r="AR1392" s="16" cm="1">
        <f t="array" ref="AR1392">IFERROR(_xlfn.IFS(tbl_HR_Data[[#This Row],[Risk_Category]]="Critical",tbl_HR_Data[[#This Row],[MonthlyIncome]]*1.5,tbl_HR_Data[[#This Row],[Risk_Category]]="High",tbl_HR_Data[[#This Row],[MonthlyIncome]]*1.5),0)</f>
        <v>0</v>
      </c>
    </row>
    <row r="1393" spans="1:44" x14ac:dyDescent="0.35">
      <c r="A1393" t="s">
        <v>214</v>
      </c>
      <c r="B1393">
        <v>38</v>
      </c>
      <c r="C1393" t="s">
        <v>31</v>
      </c>
      <c r="D1393">
        <v>1404</v>
      </c>
      <c r="E1393" t="s">
        <v>32</v>
      </c>
      <c r="F1393">
        <v>1</v>
      </c>
      <c r="G1393">
        <v>3</v>
      </c>
      <c r="H1393" t="s">
        <v>33</v>
      </c>
      <c r="I1393">
        <v>1</v>
      </c>
      <c r="J1393" t="s">
        <v>39</v>
      </c>
      <c r="K1393">
        <v>59</v>
      </c>
      <c r="L1393">
        <v>2</v>
      </c>
      <c r="M1393">
        <v>1</v>
      </c>
      <c r="N1393" t="s">
        <v>49</v>
      </c>
      <c r="O1393">
        <v>1</v>
      </c>
      <c r="P1393" t="s">
        <v>36</v>
      </c>
      <c r="Q1393">
        <v>2858</v>
      </c>
      <c r="R1393">
        <v>11473</v>
      </c>
      <c r="S1393">
        <v>4</v>
      </c>
      <c r="T1393">
        <v>0</v>
      </c>
      <c r="U1393" s="17">
        <v>0.14000000000000001</v>
      </c>
      <c r="V1393">
        <v>3</v>
      </c>
      <c r="W1393">
        <v>1</v>
      </c>
      <c r="X1393">
        <v>0</v>
      </c>
      <c r="Y1393">
        <v>20</v>
      </c>
      <c r="Z1393">
        <v>3</v>
      </c>
      <c r="AA1393">
        <v>2</v>
      </c>
      <c r="AB1393">
        <v>1</v>
      </c>
      <c r="AC1393">
        <v>0</v>
      </c>
      <c r="AD1393">
        <v>0</v>
      </c>
      <c r="AE1393">
        <v>0</v>
      </c>
      <c r="AF1393">
        <v>0</v>
      </c>
      <c r="AG1393">
        <f>IF(tbl_HR_Data[[#This Row],[Gender]]="Male",1,0)</f>
        <v>1</v>
      </c>
      <c r="AH1393" cm="1">
        <f t="array" ref="AH1393">_xlfn.SWITCH(tbl_HR_Data[[#This Row],[BusinessTravel]], "Non-Travel", 0, "Travel_Rarely", 1, "Travel_Frequently", 2)</f>
        <v>1</v>
      </c>
      <c r="AI1393" cm="1">
        <f t="array" ref="AI1393">_xlfn.SWITCH(tbl_HR_Data[[#This Row],[MaritalStatus]],"Single",0,"Married",1,"Divorced",2)</f>
        <v>0</v>
      </c>
      <c r="AJ1393">
        <f>IF(tbl_HR_Data[[#This Row],[OverTime]]=1,1,0)</f>
        <v>0</v>
      </c>
      <c r="AK1393">
        <f>IF(tbl_HR_Data[[#This Row],[DistanceFromHome]]&gt;15,1,0)</f>
        <v>0</v>
      </c>
      <c r="AL1393">
        <f>IF(tbl_HR_Data[[#This Row],[JobSatisfaction]]&lt;=2,1,0)</f>
        <v>1</v>
      </c>
      <c r="AM1393">
        <f>IF(tbl_HR_Data[[#This Row],[MonthlyIncome]]&lt;$AT$2,1,0)</f>
        <v>1</v>
      </c>
      <c r="AN1393">
        <f>IF(tbl_HR_Data[[#This Row],[Travel_Code]]=2,1,0)</f>
        <v>0</v>
      </c>
      <c r="AO1393">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393" s="15">
        <f>tbl_HR_Data[[#This Row],[Risk_Score_Raw]] / SUM(Logic_Parameters!$B$2:$B$6)</f>
        <v>0.3686061316669938</v>
      </c>
      <c r="AQ1393" s="16" t="str" cm="1">
        <f t="array" ref="AQ1393">_xlfn.IFS(tbl_HR_Data[[#This Row],[Attrition_Risk_Percentage]] &gt;= 0.75, "Critical",tbl_HR_Data[ [#This Row],[Attrition_Risk_Percentage] ]&gt;= 0.5, "High",tbl_HR_Data[[#This Row],[Attrition_Risk_Percentage]] &gt;= 0.25, "Medium",TRUE, "Low")</f>
        <v>Medium</v>
      </c>
      <c r="AR1393" s="16" cm="1">
        <f t="array" ref="AR1393">IFERROR(_xlfn.IFS(tbl_HR_Data[[#This Row],[Risk_Category]]="Critical",tbl_HR_Data[[#This Row],[MonthlyIncome]]*1.5,tbl_HR_Data[[#This Row],[Risk_Category]]="High",tbl_HR_Data[[#This Row],[MonthlyIncome]]*1.5),0)</f>
        <v>0</v>
      </c>
    </row>
    <row r="1394" spans="1:44" x14ac:dyDescent="0.35">
      <c r="A1394" t="s">
        <v>935</v>
      </c>
      <c r="B1394">
        <v>35</v>
      </c>
      <c r="C1394" t="s">
        <v>31</v>
      </c>
      <c r="D1394">
        <v>1224</v>
      </c>
      <c r="E1394" t="s">
        <v>32</v>
      </c>
      <c r="F1394">
        <v>7</v>
      </c>
      <c r="G1394">
        <v>4</v>
      </c>
      <c r="H1394" t="s">
        <v>33</v>
      </c>
      <c r="I1394">
        <v>3</v>
      </c>
      <c r="J1394" t="s">
        <v>34</v>
      </c>
      <c r="K1394">
        <v>55</v>
      </c>
      <c r="L1394">
        <v>3</v>
      </c>
      <c r="M1394">
        <v>2</v>
      </c>
      <c r="N1394" t="s">
        <v>35</v>
      </c>
      <c r="O1394">
        <v>4</v>
      </c>
      <c r="P1394" t="s">
        <v>41</v>
      </c>
      <c r="Q1394">
        <v>5204</v>
      </c>
      <c r="R1394">
        <v>13586</v>
      </c>
      <c r="S1394">
        <v>1</v>
      </c>
      <c r="T1394">
        <v>1</v>
      </c>
      <c r="U1394" s="17">
        <v>0.11</v>
      </c>
      <c r="V1394">
        <v>3</v>
      </c>
      <c r="W1394">
        <v>4</v>
      </c>
      <c r="X1394">
        <v>0</v>
      </c>
      <c r="Y1394">
        <v>10</v>
      </c>
      <c r="Z1394">
        <v>2</v>
      </c>
      <c r="AA1394">
        <v>3</v>
      </c>
      <c r="AB1394">
        <v>10</v>
      </c>
      <c r="AC1394">
        <v>8</v>
      </c>
      <c r="AD1394">
        <v>0</v>
      </c>
      <c r="AE1394">
        <v>9</v>
      </c>
      <c r="AF1394">
        <v>0</v>
      </c>
      <c r="AG1394">
        <f>IF(tbl_HR_Data[[#This Row],[Gender]]="Male",1,0)</f>
        <v>0</v>
      </c>
      <c r="AH1394" cm="1">
        <f t="array" ref="AH1394">_xlfn.SWITCH(tbl_HR_Data[[#This Row],[BusinessTravel]], "Non-Travel", 0, "Travel_Rarely", 1, "Travel_Frequently", 2)</f>
        <v>1</v>
      </c>
      <c r="AI1394" cm="1">
        <f t="array" ref="AI1394">_xlfn.SWITCH(tbl_HR_Data[[#This Row],[MaritalStatus]],"Single",0,"Married",1,"Divorced",2)</f>
        <v>1</v>
      </c>
      <c r="AJ1394">
        <f>IF(tbl_HR_Data[[#This Row],[OverTime]]=1,1,0)</f>
        <v>1</v>
      </c>
      <c r="AK1394">
        <f>IF(tbl_HR_Data[[#This Row],[DistanceFromHome]]&gt;15,1,0)</f>
        <v>0</v>
      </c>
      <c r="AL1394">
        <f>IF(tbl_HR_Data[[#This Row],[JobSatisfaction]]&lt;=2,1,0)</f>
        <v>0</v>
      </c>
      <c r="AM1394">
        <f>IF(tbl_HR_Data[[#This Row],[MonthlyIncome]]&lt;$AT$2,1,0)</f>
        <v>0</v>
      </c>
      <c r="AN1394">
        <f>IF(tbl_HR_Data[[#This Row],[Travel_Code]]=2,1,0)</f>
        <v>0</v>
      </c>
      <c r="AO1394">
        <f>(tbl_HR_Data[[#This Row],[Flag_OT]] * Logic_Parameters!$B$2) +
 (tbl_HR_Data[[#This Row],[Flag_Travel]] * Logic_Parameters!$B$3) +
 (tbl_HR_Data[[#This Row],[Flag_Satisfaction]] * Logic_Parameters!$B$4) +
 (tbl_HR_Data[[#This Row],[Flag_Distance]]* Logic_Parameters!$B$5) +
 (tbl_HR_Data[[#This Row],[Flag_Income]] * Logic_Parameters!$B$6)</f>
        <v>10</v>
      </c>
      <c r="AP1394" s="15">
        <f>tbl_HR_Data[[#This Row],[Risk_Score_Raw]] / SUM(Logic_Parameters!$B$2:$B$6)</f>
        <v>0.3445251318258073</v>
      </c>
      <c r="AQ1394" s="16" t="str" cm="1">
        <f t="array" ref="AQ1394">_xlfn.IFS(tbl_HR_Data[[#This Row],[Attrition_Risk_Percentage]] &gt;= 0.75, "Critical",tbl_HR_Data[ [#This Row],[Attrition_Risk_Percentage] ]&gt;= 0.5, "High",tbl_HR_Data[[#This Row],[Attrition_Risk_Percentage]] &gt;= 0.25, "Medium",TRUE, "Low")</f>
        <v>Medium</v>
      </c>
      <c r="AR1394" s="16" cm="1">
        <f t="array" ref="AR1394">IFERROR(_xlfn.IFS(tbl_HR_Data[[#This Row],[Risk_Category]]="Critical",tbl_HR_Data[[#This Row],[MonthlyIncome]]*1.5,tbl_HR_Data[[#This Row],[Risk_Category]]="High",tbl_HR_Data[[#This Row],[MonthlyIncome]]*1.5),0)</f>
        <v>0</v>
      </c>
    </row>
    <row r="1395" spans="1:44" x14ac:dyDescent="0.35">
      <c r="A1395" t="s">
        <v>383</v>
      </c>
      <c r="B1395">
        <v>27</v>
      </c>
      <c r="C1395" t="s">
        <v>31</v>
      </c>
      <c r="D1395">
        <v>954</v>
      </c>
      <c r="E1395" t="s">
        <v>32</v>
      </c>
      <c r="F1395">
        <v>9</v>
      </c>
      <c r="G1395">
        <v>3</v>
      </c>
      <c r="H1395" t="s">
        <v>51</v>
      </c>
      <c r="I1395">
        <v>4</v>
      </c>
      <c r="J1395" t="s">
        <v>39</v>
      </c>
      <c r="K1395">
        <v>44</v>
      </c>
      <c r="L1395">
        <v>3</v>
      </c>
      <c r="M1395">
        <v>2</v>
      </c>
      <c r="N1395" t="s">
        <v>35</v>
      </c>
      <c r="O1395">
        <v>4</v>
      </c>
      <c r="P1395" t="s">
        <v>36</v>
      </c>
      <c r="Q1395">
        <v>4105</v>
      </c>
      <c r="R1395">
        <v>5099</v>
      </c>
      <c r="S1395">
        <v>1</v>
      </c>
      <c r="T1395">
        <v>0</v>
      </c>
      <c r="U1395" s="17">
        <v>0.14000000000000001</v>
      </c>
      <c r="V1395">
        <v>3</v>
      </c>
      <c r="W1395">
        <v>1</v>
      </c>
      <c r="X1395">
        <v>0</v>
      </c>
      <c r="Y1395">
        <v>7</v>
      </c>
      <c r="Z1395">
        <v>5</v>
      </c>
      <c r="AA1395">
        <v>3</v>
      </c>
      <c r="AB1395">
        <v>7</v>
      </c>
      <c r="AC1395">
        <v>7</v>
      </c>
      <c r="AD1395">
        <v>0</v>
      </c>
      <c r="AE1395">
        <v>7</v>
      </c>
      <c r="AF1395">
        <v>0</v>
      </c>
      <c r="AG1395">
        <f>IF(tbl_HR_Data[[#This Row],[Gender]]="Male",1,0)</f>
        <v>1</v>
      </c>
      <c r="AH1395" cm="1">
        <f t="array" ref="AH1395">_xlfn.SWITCH(tbl_HR_Data[[#This Row],[BusinessTravel]], "Non-Travel", 0, "Travel_Rarely", 1, "Travel_Frequently", 2)</f>
        <v>1</v>
      </c>
      <c r="AI1395" cm="1">
        <f t="array" ref="AI1395">_xlfn.SWITCH(tbl_HR_Data[[#This Row],[MaritalStatus]],"Single",0,"Married",1,"Divorced",2)</f>
        <v>0</v>
      </c>
      <c r="AJ1395">
        <f>IF(tbl_HR_Data[[#This Row],[OverTime]]=1,1,0)</f>
        <v>0</v>
      </c>
      <c r="AK1395">
        <f>IF(tbl_HR_Data[[#This Row],[DistanceFromHome]]&gt;15,1,0)</f>
        <v>0</v>
      </c>
      <c r="AL1395">
        <f>IF(tbl_HR_Data[[#This Row],[JobSatisfaction]]&lt;=2,1,0)</f>
        <v>0</v>
      </c>
      <c r="AM1395">
        <f>IF(tbl_HR_Data[[#This Row],[MonthlyIncome]]&lt;$AT$2,1,0)</f>
        <v>1</v>
      </c>
      <c r="AN1395">
        <f>IF(tbl_HR_Data[[#This Row],[Travel_Code]]=2,1,0)</f>
        <v>0</v>
      </c>
      <c r="AO1395">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395" s="15">
        <f>tbl_HR_Data[[#This Row],[Risk_Score_Raw]] / SUM(Logic_Parameters!$B$2:$B$6)</f>
        <v>0.22374939857982484</v>
      </c>
      <c r="AQ1395" s="16" t="str" cm="1">
        <f t="array" ref="AQ1395">_xlfn.IFS(tbl_HR_Data[[#This Row],[Attrition_Risk_Percentage]] &gt;= 0.75, "Critical",tbl_HR_Data[ [#This Row],[Attrition_Risk_Percentage] ]&gt;= 0.5, "High",tbl_HR_Data[[#This Row],[Attrition_Risk_Percentage]] &gt;= 0.25, "Medium",TRUE, "Low")</f>
        <v>Low</v>
      </c>
      <c r="AR1395" s="16" cm="1">
        <f t="array" ref="AR1395">IFERROR(_xlfn.IFS(tbl_HR_Data[[#This Row],[Risk_Category]]="Critical",tbl_HR_Data[[#This Row],[MonthlyIncome]]*1.5,tbl_HR_Data[[#This Row],[Risk_Category]]="High",tbl_HR_Data[[#This Row],[MonthlyIncome]]*1.5),0)</f>
        <v>0</v>
      </c>
    </row>
    <row r="1396" spans="1:44" x14ac:dyDescent="0.35">
      <c r="A1396" t="s">
        <v>447</v>
      </c>
      <c r="B1396">
        <v>32</v>
      </c>
      <c r="C1396" t="s">
        <v>31</v>
      </c>
      <c r="D1396">
        <v>1373</v>
      </c>
      <c r="E1396" t="s">
        <v>38</v>
      </c>
      <c r="F1396">
        <v>5</v>
      </c>
      <c r="G1396">
        <v>4</v>
      </c>
      <c r="H1396" t="s">
        <v>33</v>
      </c>
      <c r="I1396">
        <v>4</v>
      </c>
      <c r="J1396" t="s">
        <v>39</v>
      </c>
      <c r="K1396">
        <v>56</v>
      </c>
      <c r="L1396">
        <v>2</v>
      </c>
      <c r="M1396">
        <v>2</v>
      </c>
      <c r="N1396" t="s">
        <v>46</v>
      </c>
      <c r="O1396">
        <v>4</v>
      </c>
      <c r="P1396" t="s">
        <v>36</v>
      </c>
      <c r="Q1396">
        <v>9679</v>
      </c>
      <c r="R1396">
        <v>10138</v>
      </c>
      <c r="S1396">
        <v>8</v>
      </c>
      <c r="T1396">
        <v>0</v>
      </c>
      <c r="U1396" s="17">
        <v>0.24</v>
      </c>
      <c r="V1396">
        <v>4</v>
      </c>
      <c r="W1396">
        <v>2</v>
      </c>
      <c r="X1396">
        <v>0</v>
      </c>
      <c r="Y1396">
        <v>8</v>
      </c>
      <c r="Z1396">
        <v>1</v>
      </c>
      <c r="AA1396">
        <v>3</v>
      </c>
      <c r="AB1396">
        <v>1</v>
      </c>
      <c r="AC1396">
        <v>0</v>
      </c>
      <c r="AD1396">
        <v>0</v>
      </c>
      <c r="AE1396">
        <v>0</v>
      </c>
      <c r="AF1396">
        <v>0</v>
      </c>
      <c r="AG1396">
        <f>IF(tbl_HR_Data[[#This Row],[Gender]]="Male",1,0)</f>
        <v>1</v>
      </c>
      <c r="AH1396" cm="1">
        <f t="array" ref="AH1396">_xlfn.SWITCH(tbl_HR_Data[[#This Row],[BusinessTravel]], "Non-Travel", 0, "Travel_Rarely", 1, "Travel_Frequently", 2)</f>
        <v>1</v>
      </c>
      <c r="AI1396" cm="1">
        <f t="array" ref="AI1396">_xlfn.SWITCH(tbl_HR_Data[[#This Row],[MaritalStatus]],"Single",0,"Married",1,"Divorced",2)</f>
        <v>0</v>
      </c>
      <c r="AJ1396">
        <f>IF(tbl_HR_Data[[#This Row],[OverTime]]=1,1,0)</f>
        <v>0</v>
      </c>
      <c r="AK1396">
        <f>IF(tbl_HR_Data[[#This Row],[DistanceFromHome]]&gt;15,1,0)</f>
        <v>0</v>
      </c>
      <c r="AL1396">
        <f>IF(tbl_HR_Data[[#This Row],[JobSatisfaction]]&lt;=2,1,0)</f>
        <v>0</v>
      </c>
      <c r="AM1396">
        <f>IF(tbl_HR_Data[[#This Row],[MonthlyIncome]]&lt;$AT$2,1,0)</f>
        <v>0</v>
      </c>
      <c r="AN1396">
        <f>IF(tbl_HR_Data[[#This Row],[Travel_Code]]=2,1,0)</f>
        <v>0</v>
      </c>
      <c r="AO1396">
        <f>(tbl_HR_Data[[#This Row],[Flag_OT]] * Logic_Parameters!$B$2) +
 (tbl_HR_Data[[#This Row],[Flag_Travel]] * Logic_Parameters!$B$3) +
 (tbl_HR_Data[[#This Row],[Flag_Satisfaction]] * Logic_Parameters!$B$4) +
 (tbl_HR_Data[[#This Row],[Flag_Distance]]* Logic_Parameters!$B$5) +
 (tbl_HR_Data[[#This Row],[Flag_Income]] * Logic_Parameters!$B$6)</f>
        <v>0</v>
      </c>
      <c r="AP1396" s="15">
        <f>tbl_HR_Data[[#This Row],[Risk_Score_Raw]] / SUM(Logic_Parameters!$B$2:$B$6)</f>
        <v>0</v>
      </c>
      <c r="AQ1396" s="16" t="str" cm="1">
        <f t="array" ref="AQ1396">_xlfn.IFS(tbl_HR_Data[[#This Row],[Attrition_Risk_Percentage]] &gt;= 0.75, "Critical",tbl_HR_Data[ [#This Row],[Attrition_Risk_Percentage] ]&gt;= 0.5, "High",tbl_HR_Data[[#This Row],[Attrition_Risk_Percentage]] &gt;= 0.25, "Medium",TRUE, "Low")</f>
        <v>Low</v>
      </c>
      <c r="AR1396" s="16" cm="1">
        <f t="array" ref="AR1396">IFERROR(_xlfn.IFS(tbl_HR_Data[[#This Row],[Risk_Category]]="Critical",tbl_HR_Data[[#This Row],[MonthlyIncome]]*1.5,tbl_HR_Data[[#This Row],[Risk_Category]]="High",tbl_HR_Data[[#This Row],[MonthlyIncome]]*1.5),0)</f>
        <v>0</v>
      </c>
    </row>
    <row r="1397" spans="1:44" x14ac:dyDescent="0.35">
      <c r="A1397" t="s">
        <v>1484</v>
      </c>
      <c r="B1397">
        <v>31</v>
      </c>
      <c r="C1397" t="s">
        <v>37</v>
      </c>
      <c r="D1397">
        <v>754</v>
      </c>
      <c r="E1397" t="s">
        <v>32</v>
      </c>
      <c r="F1397">
        <v>26</v>
      </c>
      <c r="G1397">
        <v>4</v>
      </c>
      <c r="H1397" t="s">
        <v>51</v>
      </c>
      <c r="I1397">
        <v>1</v>
      </c>
      <c r="J1397" t="s">
        <v>39</v>
      </c>
      <c r="K1397">
        <v>63</v>
      </c>
      <c r="L1397">
        <v>3</v>
      </c>
      <c r="M1397">
        <v>2</v>
      </c>
      <c r="N1397" t="s">
        <v>35</v>
      </c>
      <c r="O1397">
        <v>4</v>
      </c>
      <c r="P1397" t="s">
        <v>41</v>
      </c>
      <c r="Q1397">
        <v>5617</v>
      </c>
      <c r="R1397">
        <v>21075</v>
      </c>
      <c r="S1397">
        <v>1</v>
      </c>
      <c r="T1397">
        <v>1</v>
      </c>
      <c r="U1397" s="17">
        <v>0.11</v>
      </c>
      <c r="V1397">
        <v>3</v>
      </c>
      <c r="W1397">
        <v>3</v>
      </c>
      <c r="X1397">
        <v>0</v>
      </c>
      <c r="Y1397">
        <v>10</v>
      </c>
      <c r="Z1397">
        <v>4</v>
      </c>
      <c r="AA1397">
        <v>3</v>
      </c>
      <c r="AB1397">
        <v>10</v>
      </c>
      <c r="AC1397">
        <v>7</v>
      </c>
      <c r="AD1397">
        <v>0</v>
      </c>
      <c r="AE1397">
        <v>8</v>
      </c>
      <c r="AF1397">
        <v>1</v>
      </c>
      <c r="AG1397">
        <f>IF(tbl_HR_Data[[#This Row],[Gender]]="Male",1,0)</f>
        <v>1</v>
      </c>
      <c r="AH1397" cm="1">
        <f t="array" ref="AH1397">_xlfn.SWITCH(tbl_HR_Data[[#This Row],[BusinessTravel]], "Non-Travel", 0, "Travel_Rarely", 1, "Travel_Frequently", 2)</f>
        <v>2</v>
      </c>
      <c r="AI1397" cm="1">
        <f t="array" ref="AI1397">_xlfn.SWITCH(tbl_HR_Data[[#This Row],[MaritalStatus]],"Single",0,"Married",1,"Divorced",2)</f>
        <v>1</v>
      </c>
      <c r="AJ1397">
        <f>IF(tbl_HR_Data[[#This Row],[OverTime]]=1,1,0)</f>
        <v>1</v>
      </c>
      <c r="AK1397">
        <f>IF(tbl_HR_Data[[#This Row],[DistanceFromHome]]&gt;15,1,0)</f>
        <v>1</v>
      </c>
      <c r="AL1397">
        <f>IF(tbl_HR_Data[[#This Row],[JobSatisfaction]]&lt;=2,1,0)</f>
        <v>0</v>
      </c>
      <c r="AM1397">
        <f>IF(tbl_HR_Data[[#This Row],[MonthlyIncome]]&lt;$AT$2,1,0)</f>
        <v>0</v>
      </c>
      <c r="AN1397">
        <f>IF(tbl_HR_Data[[#This Row],[Travel_Code]]=2,1,0)</f>
        <v>1</v>
      </c>
      <c r="AO1397">
        <f>(tbl_HR_Data[[#This Row],[Flag_OT]] * Logic_Parameters!$B$2) +
 (tbl_HR_Data[[#This Row],[Flag_Travel]] * Logic_Parameters!$B$3) +
 (tbl_HR_Data[[#This Row],[Flag_Satisfaction]] * Logic_Parameters!$B$4) +
 (tbl_HR_Data[[#This Row],[Flag_Distance]]* Logic_Parameters!$B$5) +
 (tbl_HR_Data[[#This Row],[Flag_Income]] * Logic_Parameters!$B$6)</f>
        <v>18.326496676365554</v>
      </c>
      <c r="AP1397" s="15">
        <f>tbl_HR_Data[[#This Row],[Risk_Score_Raw]] / SUM(Logic_Parameters!$B$2:$B$6)</f>
        <v>0.63139386833300615</v>
      </c>
      <c r="AQ1397" s="16" t="str" cm="1">
        <f t="array" ref="AQ1397">_xlfn.IFS(tbl_HR_Data[[#This Row],[Attrition_Risk_Percentage]] &gt;= 0.75, "Critical",tbl_HR_Data[ [#This Row],[Attrition_Risk_Percentage] ]&gt;= 0.5, "High",tbl_HR_Data[[#This Row],[Attrition_Risk_Percentage]] &gt;= 0.25, "Medium",TRUE, "Low")</f>
        <v>High</v>
      </c>
      <c r="AR1397" s="16" cm="1">
        <f t="array" ref="AR1397">IFERROR(_xlfn.IFS(tbl_HR_Data[[#This Row],[Risk_Category]]="Critical",tbl_HR_Data[[#This Row],[MonthlyIncome]]*1.5,tbl_HR_Data[[#This Row],[Risk_Category]]="High",tbl_HR_Data[[#This Row],[MonthlyIncome]]*1.5),0)</f>
        <v>8425.5</v>
      </c>
    </row>
    <row r="1398" spans="1:44" x14ac:dyDescent="0.35">
      <c r="A1398" t="s">
        <v>180</v>
      </c>
      <c r="B1398">
        <v>53</v>
      </c>
      <c r="C1398" t="s">
        <v>31</v>
      </c>
      <c r="D1398">
        <v>1168</v>
      </c>
      <c r="E1398" t="s">
        <v>32</v>
      </c>
      <c r="F1398">
        <v>24</v>
      </c>
      <c r="G1398">
        <v>4</v>
      </c>
      <c r="H1398" t="s">
        <v>33</v>
      </c>
      <c r="I1398">
        <v>1</v>
      </c>
      <c r="J1398" t="s">
        <v>39</v>
      </c>
      <c r="K1398">
        <v>66</v>
      </c>
      <c r="L1398">
        <v>3</v>
      </c>
      <c r="M1398">
        <v>3</v>
      </c>
      <c r="N1398" t="s">
        <v>35</v>
      </c>
      <c r="O1398">
        <v>1</v>
      </c>
      <c r="P1398" t="s">
        <v>36</v>
      </c>
      <c r="Q1398">
        <v>10448</v>
      </c>
      <c r="R1398">
        <v>5843</v>
      </c>
      <c r="S1398">
        <v>6</v>
      </c>
      <c r="T1398">
        <v>1</v>
      </c>
      <c r="U1398" s="17">
        <v>0.13</v>
      </c>
      <c r="V1398">
        <v>3</v>
      </c>
      <c r="W1398">
        <v>2</v>
      </c>
      <c r="X1398">
        <v>0</v>
      </c>
      <c r="Y1398">
        <v>15</v>
      </c>
      <c r="Z1398">
        <v>2</v>
      </c>
      <c r="AA1398">
        <v>2</v>
      </c>
      <c r="AB1398">
        <v>2</v>
      </c>
      <c r="AC1398">
        <v>2</v>
      </c>
      <c r="AD1398">
        <v>2</v>
      </c>
      <c r="AE1398">
        <v>2</v>
      </c>
      <c r="AF1398">
        <v>1</v>
      </c>
      <c r="AG1398">
        <f>IF(tbl_HR_Data[[#This Row],[Gender]]="Male",1,0)</f>
        <v>1</v>
      </c>
      <c r="AH1398" cm="1">
        <f t="array" ref="AH1398">_xlfn.SWITCH(tbl_HR_Data[[#This Row],[BusinessTravel]], "Non-Travel", 0, "Travel_Rarely", 1, "Travel_Frequently", 2)</f>
        <v>1</v>
      </c>
      <c r="AI1398" cm="1">
        <f t="array" ref="AI1398">_xlfn.SWITCH(tbl_HR_Data[[#This Row],[MaritalStatus]],"Single",0,"Married",1,"Divorced",2)</f>
        <v>0</v>
      </c>
      <c r="AJ1398">
        <f>IF(tbl_HR_Data[[#This Row],[OverTime]]=1,1,0)</f>
        <v>1</v>
      </c>
      <c r="AK1398">
        <f>IF(tbl_HR_Data[[#This Row],[DistanceFromHome]]&gt;15,1,0)</f>
        <v>1</v>
      </c>
      <c r="AL1398">
        <f>IF(tbl_HR_Data[[#This Row],[JobSatisfaction]]&lt;=2,1,0)</f>
        <v>1</v>
      </c>
      <c r="AM1398">
        <f>IF(tbl_HR_Data[[#This Row],[MonthlyIncome]]&lt;$AT$2,1,0)</f>
        <v>0</v>
      </c>
      <c r="AN1398">
        <f>IF(tbl_HR_Data[[#This Row],[Travel_Code]]=2,1,0)</f>
        <v>0</v>
      </c>
      <c r="AO1398">
        <f>(tbl_HR_Data[[#This Row],[Flag_OT]] * Logic_Parameters!$B$2) +
 (tbl_HR_Data[[#This Row],[Flag_Travel]] * Logic_Parameters!$B$3) +
 (tbl_HR_Data[[#This Row],[Flag_Satisfaction]] * Logic_Parameters!$B$4) +
 (tbl_HR_Data[[#This Row],[Flag_Distance]]* Logic_Parameters!$B$5) +
 (tbl_HR_Data[[#This Row],[Flag_Income]] * Logic_Parameters!$B$6)</f>
        <v>17.370639825853509</v>
      </c>
      <c r="AP1398" s="15">
        <f>tbl_HR_Data[[#This Row],[Risk_Score_Raw]] / SUM(Logic_Parameters!$B$2:$B$6)</f>
        <v>0.59846219759007979</v>
      </c>
      <c r="AQ1398" s="16" t="str" cm="1">
        <f t="array" ref="AQ1398">_xlfn.IFS(tbl_HR_Data[[#This Row],[Attrition_Risk_Percentage]] &gt;= 0.75, "Critical",tbl_HR_Data[ [#This Row],[Attrition_Risk_Percentage] ]&gt;= 0.5, "High",tbl_HR_Data[[#This Row],[Attrition_Risk_Percentage]] &gt;= 0.25, "Medium",TRUE, "Low")</f>
        <v>High</v>
      </c>
      <c r="AR1398" s="16" cm="1">
        <f t="array" ref="AR1398">IFERROR(_xlfn.IFS(tbl_HR_Data[[#This Row],[Risk_Category]]="Critical",tbl_HR_Data[[#This Row],[MonthlyIncome]]*1.5,tbl_HR_Data[[#This Row],[Risk_Category]]="High",tbl_HR_Data[[#This Row],[MonthlyIncome]]*1.5),0)</f>
        <v>15672</v>
      </c>
    </row>
    <row r="1399" spans="1:44" x14ac:dyDescent="0.35">
      <c r="A1399" t="s">
        <v>1408</v>
      </c>
      <c r="B1399">
        <v>54</v>
      </c>
      <c r="C1399" t="s">
        <v>31</v>
      </c>
      <c r="D1399">
        <v>155</v>
      </c>
      <c r="E1399" t="s">
        <v>38</v>
      </c>
      <c r="F1399">
        <v>9</v>
      </c>
      <c r="G1399">
        <v>2</v>
      </c>
      <c r="H1399" t="s">
        <v>33</v>
      </c>
      <c r="I1399">
        <v>1</v>
      </c>
      <c r="J1399" t="s">
        <v>34</v>
      </c>
      <c r="K1399">
        <v>67</v>
      </c>
      <c r="L1399">
        <v>3</v>
      </c>
      <c r="M1399">
        <v>2</v>
      </c>
      <c r="N1399" t="s">
        <v>40</v>
      </c>
      <c r="O1399">
        <v>3</v>
      </c>
      <c r="P1399" t="s">
        <v>41</v>
      </c>
      <c r="Q1399">
        <v>2897</v>
      </c>
      <c r="R1399">
        <v>22474</v>
      </c>
      <c r="S1399">
        <v>3</v>
      </c>
      <c r="T1399">
        <v>0</v>
      </c>
      <c r="U1399" s="17">
        <v>0.11</v>
      </c>
      <c r="V1399">
        <v>3</v>
      </c>
      <c r="W1399">
        <v>3</v>
      </c>
      <c r="X1399">
        <v>2</v>
      </c>
      <c r="Y1399">
        <v>9</v>
      </c>
      <c r="Z1399">
        <v>6</v>
      </c>
      <c r="AA1399">
        <v>2</v>
      </c>
      <c r="AB1399">
        <v>4</v>
      </c>
      <c r="AC1399">
        <v>3</v>
      </c>
      <c r="AD1399">
        <v>2</v>
      </c>
      <c r="AE1399">
        <v>3</v>
      </c>
      <c r="AF1399">
        <v>0</v>
      </c>
      <c r="AG1399">
        <f>IF(tbl_HR_Data[[#This Row],[Gender]]="Male",1,0)</f>
        <v>0</v>
      </c>
      <c r="AH1399" cm="1">
        <f t="array" ref="AH1399">_xlfn.SWITCH(tbl_HR_Data[[#This Row],[BusinessTravel]], "Non-Travel", 0, "Travel_Rarely", 1, "Travel_Frequently", 2)</f>
        <v>1</v>
      </c>
      <c r="AI1399" cm="1">
        <f t="array" ref="AI1399">_xlfn.SWITCH(tbl_HR_Data[[#This Row],[MaritalStatus]],"Single",0,"Married",1,"Divorced",2)</f>
        <v>1</v>
      </c>
      <c r="AJ1399">
        <f>IF(tbl_HR_Data[[#This Row],[OverTime]]=1,1,0)</f>
        <v>0</v>
      </c>
      <c r="AK1399">
        <f>IF(tbl_HR_Data[[#This Row],[DistanceFromHome]]&gt;15,1,0)</f>
        <v>0</v>
      </c>
      <c r="AL1399">
        <f>IF(tbl_HR_Data[[#This Row],[JobSatisfaction]]&lt;=2,1,0)</f>
        <v>0</v>
      </c>
      <c r="AM1399">
        <f>IF(tbl_HR_Data[[#This Row],[MonthlyIncome]]&lt;$AT$2,1,0)</f>
        <v>1</v>
      </c>
      <c r="AN1399">
        <f>IF(tbl_HR_Data[[#This Row],[Travel_Code]]=2,1,0)</f>
        <v>0</v>
      </c>
      <c r="AO1399">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399" s="15">
        <f>tbl_HR_Data[[#This Row],[Risk_Score_Raw]] / SUM(Logic_Parameters!$B$2:$B$6)</f>
        <v>0.22374939857982484</v>
      </c>
      <c r="AQ1399" s="16" t="str" cm="1">
        <f t="array" ref="AQ1399">_xlfn.IFS(tbl_HR_Data[[#This Row],[Attrition_Risk_Percentage]] &gt;= 0.75, "Critical",tbl_HR_Data[ [#This Row],[Attrition_Risk_Percentage] ]&gt;= 0.5, "High",tbl_HR_Data[[#This Row],[Attrition_Risk_Percentage]] &gt;= 0.25, "Medium",TRUE, "Low")</f>
        <v>Low</v>
      </c>
      <c r="AR1399" s="16" cm="1">
        <f t="array" ref="AR1399">IFERROR(_xlfn.IFS(tbl_HR_Data[[#This Row],[Risk_Category]]="Critical",tbl_HR_Data[[#This Row],[MonthlyIncome]]*1.5,tbl_HR_Data[[#This Row],[Risk_Category]]="High",tbl_HR_Data[[#This Row],[MonthlyIncome]]*1.5),0)</f>
        <v>0</v>
      </c>
    </row>
    <row r="1400" spans="1:44" x14ac:dyDescent="0.35">
      <c r="A1400" t="s">
        <v>854</v>
      </c>
      <c r="B1400">
        <v>33</v>
      </c>
      <c r="C1400" t="s">
        <v>37</v>
      </c>
      <c r="D1400">
        <v>1303</v>
      </c>
      <c r="E1400" t="s">
        <v>38</v>
      </c>
      <c r="F1400">
        <v>7</v>
      </c>
      <c r="G1400">
        <v>2</v>
      </c>
      <c r="H1400" t="s">
        <v>33</v>
      </c>
      <c r="I1400">
        <v>4</v>
      </c>
      <c r="J1400" t="s">
        <v>39</v>
      </c>
      <c r="K1400">
        <v>36</v>
      </c>
      <c r="L1400">
        <v>3</v>
      </c>
      <c r="M1400">
        <v>2</v>
      </c>
      <c r="N1400" t="s">
        <v>47</v>
      </c>
      <c r="O1400">
        <v>3</v>
      </c>
      <c r="P1400" t="s">
        <v>45</v>
      </c>
      <c r="Q1400">
        <v>5968</v>
      </c>
      <c r="R1400">
        <v>18079</v>
      </c>
      <c r="S1400">
        <v>1</v>
      </c>
      <c r="T1400">
        <v>0</v>
      </c>
      <c r="U1400" s="17">
        <v>0.2</v>
      </c>
      <c r="V1400">
        <v>4</v>
      </c>
      <c r="W1400">
        <v>3</v>
      </c>
      <c r="X1400">
        <v>3</v>
      </c>
      <c r="Y1400">
        <v>9</v>
      </c>
      <c r="Z1400">
        <v>2</v>
      </c>
      <c r="AA1400">
        <v>3</v>
      </c>
      <c r="AB1400">
        <v>9</v>
      </c>
      <c r="AC1400">
        <v>7</v>
      </c>
      <c r="AD1400">
        <v>2</v>
      </c>
      <c r="AE1400">
        <v>8</v>
      </c>
      <c r="AF1400">
        <v>0</v>
      </c>
      <c r="AG1400">
        <f>IF(tbl_HR_Data[[#This Row],[Gender]]="Male",1,0)</f>
        <v>1</v>
      </c>
      <c r="AH1400" cm="1">
        <f t="array" ref="AH1400">_xlfn.SWITCH(tbl_HR_Data[[#This Row],[BusinessTravel]], "Non-Travel", 0, "Travel_Rarely", 1, "Travel_Frequently", 2)</f>
        <v>2</v>
      </c>
      <c r="AI1400" cm="1">
        <f t="array" ref="AI1400">_xlfn.SWITCH(tbl_HR_Data[[#This Row],[MaritalStatus]],"Single",0,"Married",1,"Divorced",2)</f>
        <v>2</v>
      </c>
      <c r="AJ1400">
        <f>IF(tbl_HR_Data[[#This Row],[OverTime]]=1,1,0)</f>
        <v>0</v>
      </c>
      <c r="AK1400">
        <f>IF(tbl_HR_Data[[#This Row],[DistanceFromHome]]&gt;15,1,0)</f>
        <v>0</v>
      </c>
      <c r="AL1400">
        <f>IF(tbl_HR_Data[[#This Row],[JobSatisfaction]]&lt;=2,1,0)</f>
        <v>0</v>
      </c>
      <c r="AM1400">
        <f>IF(tbl_HR_Data[[#This Row],[MonthlyIncome]]&lt;$AT$2,1,0)</f>
        <v>0</v>
      </c>
      <c r="AN1400">
        <f>IF(tbl_HR_Data[[#This Row],[Travel_Code]]=2,1,0)</f>
        <v>1</v>
      </c>
      <c r="AO1400">
        <f>(tbl_HR_Data[[#This Row],[Flag_OT]] * Logic_Parameters!$B$2) +
 (tbl_HR_Data[[#This Row],[Flag_Travel]] * Logic_Parameters!$B$3) +
 (tbl_HR_Data[[#This Row],[Flag_Satisfaction]] * Logic_Parameters!$B$4) +
 (tbl_HR_Data[[#This Row],[Flag_Distance]]* Logic_Parameters!$B$5) +
 (tbl_HR_Data[[#This Row],[Flag_Income]] * Logic_Parameters!$B$6)</f>
        <v>5.1603899804901765</v>
      </c>
      <c r="AP1400" s="15">
        <f>tbl_HR_Data[[#This Row],[Risk_Score_Raw]] / SUM(Logic_Parameters!$B$2:$B$6)</f>
        <v>0.17778840383009531</v>
      </c>
      <c r="AQ1400" s="16" t="str" cm="1">
        <f t="array" ref="AQ1400">_xlfn.IFS(tbl_HR_Data[[#This Row],[Attrition_Risk_Percentage]] &gt;= 0.75, "Critical",tbl_HR_Data[ [#This Row],[Attrition_Risk_Percentage] ]&gt;= 0.5, "High",tbl_HR_Data[[#This Row],[Attrition_Risk_Percentage]] &gt;= 0.25, "Medium",TRUE, "Low")</f>
        <v>Low</v>
      </c>
      <c r="AR1400" s="16" cm="1">
        <f t="array" ref="AR1400">IFERROR(_xlfn.IFS(tbl_HR_Data[[#This Row],[Risk_Category]]="Critical",tbl_HR_Data[[#This Row],[MonthlyIncome]]*1.5,tbl_HR_Data[[#This Row],[Risk_Category]]="High",tbl_HR_Data[[#This Row],[MonthlyIncome]]*1.5),0)</f>
        <v>0</v>
      </c>
    </row>
    <row r="1401" spans="1:44" x14ac:dyDescent="0.35">
      <c r="A1401" t="s">
        <v>1214</v>
      </c>
      <c r="B1401">
        <v>43</v>
      </c>
      <c r="C1401" t="s">
        <v>31</v>
      </c>
      <c r="D1401">
        <v>574</v>
      </c>
      <c r="E1401" t="s">
        <v>38</v>
      </c>
      <c r="F1401">
        <v>11</v>
      </c>
      <c r="G1401">
        <v>3</v>
      </c>
      <c r="H1401" t="s">
        <v>33</v>
      </c>
      <c r="I1401">
        <v>1</v>
      </c>
      <c r="J1401" t="s">
        <v>39</v>
      </c>
      <c r="K1401">
        <v>30</v>
      </c>
      <c r="L1401">
        <v>3</v>
      </c>
      <c r="M1401">
        <v>3</v>
      </c>
      <c r="N1401" t="s">
        <v>47</v>
      </c>
      <c r="O1401">
        <v>3</v>
      </c>
      <c r="P1401" t="s">
        <v>41</v>
      </c>
      <c r="Q1401">
        <v>7510</v>
      </c>
      <c r="R1401">
        <v>16873</v>
      </c>
      <c r="S1401">
        <v>1</v>
      </c>
      <c r="T1401">
        <v>0</v>
      </c>
      <c r="U1401" s="17">
        <v>0.17</v>
      </c>
      <c r="V1401">
        <v>3</v>
      </c>
      <c r="W1401">
        <v>2</v>
      </c>
      <c r="X1401">
        <v>1</v>
      </c>
      <c r="Y1401">
        <v>10</v>
      </c>
      <c r="Z1401">
        <v>1</v>
      </c>
      <c r="AA1401">
        <v>3</v>
      </c>
      <c r="AB1401">
        <v>10</v>
      </c>
      <c r="AC1401">
        <v>9</v>
      </c>
      <c r="AD1401">
        <v>0</v>
      </c>
      <c r="AE1401">
        <v>9</v>
      </c>
      <c r="AF1401">
        <v>0</v>
      </c>
      <c r="AG1401">
        <f>IF(tbl_HR_Data[[#This Row],[Gender]]="Male",1,0)</f>
        <v>1</v>
      </c>
      <c r="AH1401" cm="1">
        <f t="array" ref="AH1401">_xlfn.SWITCH(tbl_HR_Data[[#This Row],[BusinessTravel]], "Non-Travel", 0, "Travel_Rarely", 1, "Travel_Frequently", 2)</f>
        <v>1</v>
      </c>
      <c r="AI1401" cm="1">
        <f t="array" ref="AI1401">_xlfn.SWITCH(tbl_HR_Data[[#This Row],[MaritalStatus]],"Single",0,"Married",1,"Divorced",2)</f>
        <v>1</v>
      </c>
      <c r="AJ1401">
        <f>IF(tbl_HR_Data[[#This Row],[OverTime]]=1,1,0)</f>
        <v>0</v>
      </c>
      <c r="AK1401">
        <f>IF(tbl_HR_Data[[#This Row],[DistanceFromHome]]&gt;15,1,0)</f>
        <v>0</v>
      </c>
      <c r="AL1401">
        <f>IF(tbl_HR_Data[[#This Row],[JobSatisfaction]]&lt;=2,1,0)</f>
        <v>0</v>
      </c>
      <c r="AM1401">
        <f>IF(tbl_HR_Data[[#This Row],[MonthlyIncome]]&lt;$AT$2,1,0)</f>
        <v>0</v>
      </c>
      <c r="AN1401">
        <f>IF(tbl_HR_Data[[#This Row],[Travel_Code]]=2,1,0)</f>
        <v>0</v>
      </c>
      <c r="AO1401">
        <f>(tbl_HR_Data[[#This Row],[Flag_OT]] * Logic_Parameters!$B$2) +
 (tbl_HR_Data[[#This Row],[Flag_Travel]] * Logic_Parameters!$B$3) +
 (tbl_HR_Data[[#This Row],[Flag_Satisfaction]] * Logic_Parameters!$B$4) +
 (tbl_HR_Data[[#This Row],[Flag_Distance]]* Logic_Parameters!$B$5) +
 (tbl_HR_Data[[#This Row],[Flag_Income]] * Logic_Parameters!$B$6)</f>
        <v>0</v>
      </c>
      <c r="AP1401" s="15">
        <f>tbl_HR_Data[[#This Row],[Risk_Score_Raw]] / SUM(Logic_Parameters!$B$2:$B$6)</f>
        <v>0</v>
      </c>
      <c r="AQ1401" s="16" t="str" cm="1">
        <f t="array" ref="AQ1401">_xlfn.IFS(tbl_HR_Data[[#This Row],[Attrition_Risk_Percentage]] &gt;= 0.75, "Critical",tbl_HR_Data[ [#This Row],[Attrition_Risk_Percentage] ]&gt;= 0.5, "High",tbl_HR_Data[[#This Row],[Attrition_Risk_Percentage]] &gt;= 0.25, "Medium",TRUE, "Low")</f>
        <v>Low</v>
      </c>
      <c r="AR1401" s="16" cm="1">
        <f t="array" ref="AR1401">IFERROR(_xlfn.IFS(tbl_HR_Data[[#This Row],[Risk_Category]]="Critical",tbl_HR_Data[[#This Row],[MonthlyIncome]]*1.5,tbl_HR_Data[[#This Row],[Risk_Category]]="High",tbl_HR_Data[[#This Row],[MonthlyIncome]]*1.5),0)</f>
        <v>0</v>
      </c>
    </row>
    <row r="1402" spans="1:44" x14ac:dyDescent="0.35">
      <c r="A1402" t="s">
        <v>899</v>
      </c>
      <c r="B1402">
        <v>38</v>
      </c>
      <c r="C1402" t="s">
        <v>37</v>
      </c>
      <c r="D1402">
        <v>1444</v>
      </c>
      <c r="E1402" t="s">
        <v>53</v>
      </c>
      <c r="F1402">
        <v>1</v>
      </c>
      <c r="G1402">
        <v>4</v>
      </c>
      <c r="H1402" t="s">
        <v>42</v>
      </c>
      <c r="I1402">
        <v>4</v>
      </c>
      <c r="J1402" t="s">
        <v>39</v>
      </c>
      <c r="K1402">
        <v>88</v>
      </c>
      <c r="L1402">
        <v>3</v>
      </c>
      <c r="M1402">
        <v>1</v>
      </c>
      <c r="N1402" t="s">
        <v>53</v>
      </c>
      <c r="O1402">
        <v>2</v>
      </c>
      <c r="P1402" t="s">
        <v>41</v>
      </c>
      <c r="Q1402">
        <v>2991</v>
      </c>
      <c r="R1402">
        <v>5224</v>
      </c>
      <c r="S1402">
        <v>0</v>
      </c>
      <c r="T1402">
        <v>1</v>
      </c>
      <c r="U1402" s="17">
        <v>0.11</v>
      </c>
      <c r="V1402">
        <v>3</v>
      </c>
      <c r="W1402">
        <v>2</v>
      </c>
      <c r="X1402">
        <v>1</v>
      </c>
      <c r="Y1402">
        <v>7</v>
      </c>
      <c r="Z1402">
        <v>2</v>
      </c>
      <c r="AA1402">
        <v>3</v>
      </c>
      <c r="AB1402">
        <v>6</v>
      </c>
      <c r="AC1402">
        <v>2</v>
      </c>
      <c r="AD1402">
        <v>1</v>
      </c>
      <c r="AE1402">
        <v>2</v>
      </c>
      <c r="AF1402">
        <v>0</v>
      </c>
      <c r="AG1402">
        <f>IF(tbl_HR_Data[[#This Row],[Gender]]="Male",1,0)</f>
        <v>1</v>
      </c>
      <c r="AH1402" cm="1">
        <f t="array" ref="AH1402">_xlfn.SWITCH(tbl_HR_Data[[#This Row],[BusinessTravel]], "Non-Travel", 0, "Travel_Rarely", 1, "Travel_Frequently", 2)</f>
        <v>2</v>
      </c>
      <c r="AI1402" cm="1">
        <f t="array" ref="AI1402">_xlfn.SWITCH(tbl_HR_Data[[#This Row],[MaritalStatus]],"Single",0,"Married",1,"Divorced",2)</f>
        <v>1</v>
      </c>
      <c r="AJ1402">
        <f>IF(tbl_HR_Data[[#This Row],[OverTime]]=1,1,0)</f>
        <v>1</v>
      </c>
      <c r="AK1402">
        <f>IF(tbl_HR_Data[[#This Row],[DistanceFromHome]]&gt;15,1,0)</f>
        <v>0</v>
      </c>
      <c r="AL1402">
        <f>IF(tbl_HR_Data[[#This Row],[JobSatisfaction]]&lt;=2,1,0)</f>
        <v>1</v>
      </c>
      <c r="AM1402">
        <f>IF(tbl_HR_Data[[#This Row],[MonthlyIncome]]&lt;$AT$2,1,0)</f>
        <v>1</v>
      </c>
      <c r="AN1402">
        <f>IF(tbl_HR_Data[[#This Row],[Travel_Code]]=2,1,0)</f>
        <v>1</v>
      </c>
      <c r="AO1402">
        <f>(tbl_HR_Data[[#This Row],[Flag_OT]] * Logic_Parameters!$B$2) +
 (tbl_HR_Data[[#This Row],[Flag_Travel]] * Logic_Parameters!$B$3) +
 (tbl_HR_Data[[#This Row],[Flag_Satisfaction]] * Logic_Parameters!$B$4) +
 (tbl_HR_Data[[#This Row],[Flag_Distance]]* Logic_Parameters!$B$5) +
 (tbl_HR_Data[[#This Row],[Flag_Income]] * Logic_Parameters!$B$6)</f>
        <v>25.859352047889136</v>
      </c>
      <c r="AP1402" s="15">
        <f>tbl_HR_Data[[#This Row],[Risk_Score_Raw]] / SUM(Logic_Parameters!$B$2:$B$6)</f>
        <v>0.8909196673228964</v>
      </c>
      <c r="AQ1402" s="16" t="str" cm="1">
        <f t="array" ref="AQ1402">_xlfn.IFS(tbl_HR_Data[[#This Row],[Attrition_Risk_Percentage]] &gt;= 0.75, "Critical",tbl_HR_Data[ [#This Row],[Attrition_Risk_Percentage] ]&gt;= 0.5, "High",tbl_HR_Data[[#This Row],[Attrition_Risk_Percentage]] &gt;= 0.25, "Medium",TRUE, "Low")</f>
        <v>Critical</v>
      </c>
      <c r="AR1402" s="16" cm="1">
        <f t="array" ref="AR1402">IFERROR(_xlfn.IFS(tbl_HR_Data[[#This Row],[Risk_Category]]="Critical",tbl_HR_Data[[#This Row],[MonthlyIncome]]*1.5,tbl_HR_Data[[#This Row],[Risk_Category]]="High",tbl_HR_Data[[#This Row],[MonthlyIncome]]*1.5),0)</f>
        <v>4486.5</v>
      </c>
    </row>
    <row r="1403" spans="1:44" x14ac:dyDescent="0.35">
      <c r="A1403" t="s">
        <v>173</v>
      </c>
      <c r="B1403">
        <v>55</v>
      </c>
      <c r="C1403" t="s">
        <v>31</v>
      </c>
      <c r="D1403">
        <v>189</v>
      </c>
      <c r="E1403" t="s">
        <v>53</v>
      </c>
      <c r="F1403">
        <v>26</v>
      </c>
      <c r="G1403">
        <v>4</v>
      </c>
      <c r="H1403" t="s">
        <v>53</v>
      </c>
      <c r="I1403">
        <v>3</v>
      </c>
      <c r="J1403" t="s">
        <v>39</v>
      </c>
      <c r="K1403">
        <v>71</v>
      </c>
      <c r="L1403">
        <v>4</v>
      </c>
      <c r="M1403">
        <v>5</v>
      </c>
      <c r="N1403" t="s">
        <v>48</v>
      </c>
      <c r="O1403">
        <v>2</v>
      </c>
      <c r="P1403" t="s">
        <v>41</v>
      </c>
      <c r="Q1403">
        <v>19636</v>
      </c>
      <c r="R1403">
        <v>25811</v>
      </c>
      <c r="S1403">
        <v>4</v>
      </c>
      <c r="T1403">
        <v>1</v>
      </c>
      <c r="U1403" s="17">
        <v>0.18</v>
      </c>
      <c r="V1403">
        <v>3</v>
      </c>
      <c r="W1403">
        <v>1</v>
      </c>
      <c r="X1403">
        <v>1</v>
      </c>
      <c r="Y1403">
        <v>35</v>
      </c>
      <c r="Z1403">
        <v>0</v>
      </c>
      <c r="AA1403">
        <v>3</v>
      </c>
      <c r="AB1403">
        <v>10</v>
      </c>
      <c r="AC1403">
        <v>9</v>
      </c>
      <c r="AD1403">
        <v>1</v>
      </c>
      <c r="AE1403">
        <v>4</v>
      </c>
      <c r="AF1403">
        <v>0</v>
      </c>
      <c r="AG1403">
        <f>IF(tbl_HR_Data[[#This Row],[Gender]]="Male",1,0)</f>
        <v>1</v>
      </c>
      <c r="AH1403" cm="1">
        <f t="array" ref="AH1403">_xlfn.SWITCH(tbl_HR_Data[[#This Row],[BusinessTravel]], "Non-Travel", 0, "Travel_Rarely", 1, "Travel_Frequently", 2)</f>
        <v>1</v>
      </c>
      <c r="AI1403" cm="1">
        <f t="array" ref="AI1403">_xlfn.SWITCH(tbl_HR_Data[[#This Row],[MaritalStatus]],"Single",0,"Married",1,"Divorced",2)</f>
        <v>1</v>
      </c>
      <c r="AJ1403">
        <f>IF(tbl_HR_Data[[#This Row],[OverTime]]=1,1,0)</f>
        <v>1</v>
      </c>
      <c r="AK1403">
        <f>IF(tbl_HR_Data[[#This Row],[DistanceFromHome]]&gt;15,1,0)</f>
        <v>1</v>
      </c>
      <c r="AL1403">
        <f>IF(tbl_HR_Data[[#This Row],[JobSatisfaction]]&lt;=2,1,0)</f>
        <v>1</v>
      </c>
      <c r="AM1403">
        <f>IF(tbl_HR_Data[[#This Row],[MonthlyIncome]]&lt;$AT$2,1,0)</f>
        <v>0</v>
      </c>
      <c r="AN1403">
        <f>IF(tbl_HR_Data[[#This Row],[Travel_Code]]=2,1,0)</f>
        <v>0</v>
      </c>
      <c r="AO1403">
        <f>(tbl_HR_Data[[#This Row],[Flag_OT]] * Logic_Parameters!$B$2) +
 (tbl_HR_Data[[#This Row],[Flag_Travel]] * Logic_Parameters!$B$3) +
 (tbl_HR_Data[[#This Row],[Flag_Satisfaction]] * Logic_Parameters!$B$4) +
 (tbl_HR_Data[[#This Row],[Flag_Distance]]* Logic_Parameters!$B$5) +
 (tbl_HR_Data[[#This Row],[Flag_Income]] * Logic_Parameters!$B$6)</f>
        <v>17.370639825853509</v>
      </c>
      <c r="AP1403" s="15">
        <f>tbl_HR_Data[[#This Row],[Risk_Score_Raw]] / SUM(Logic_Parameters!$B$2:$B$6)</f>
        <v>0.59846219759007979</v>
      </c>
      <c r="AQ1403" s="16" t="str" cm="1">
        <f t="array" ref="AQ1403">_xlfn.IFS(tbl_HR_Data[[#This Row],[Attrition_Risk_Percentage]] &gt;= 0.75, "Critical",tbl_HR_Data[ [#This Row],[Attrition_Risk_Percentage] ]&gt;= 0.5, "High",tbl_HR_Data[[#This Row],[Attrition_Risk_Percentage]] &gt;= 0.25, "Medium",TRUE, "Low")</f>
        <v>High</v>
      </c>
      <c r="AR1403" s="16" cm="1">
        <f t="array" ref="AR1403">IFERROR(_xlfn.IFS(tbl_HR_Data[[#This Row],[Risk_Category]]="Critical",tbl_HR_Data[[#This Row],[MonthlyIncome]]*1.5,tbl_HR_Data[[#This Row],[Risk_Category]]="High",tbl_HR_Data[[#This Row],[MonthlyIncome]]*1.5),0)</f>
        <v>29454</v>
      </c>
    </row>
    <row r="1404" spans="1:44" x14ac:dyDescent="0.35">
      <c r="A1404" t="s">
        <v>61</v>
      </c>
      <c r="B1404">
        <v>31</v>
      </c>
      <c r="C1404" t="s">
        <v>31</v>
      </c>
      <c r="D1404">
        <v>1276</v>
      </c>
      <c r="E1404" t="s">
        <v>38</v>
      </c>
      <c r="F1404">
        <v>2</v>
      </c>
      <c r="G1404">
        <v>1</v>
      </c>
      <c r="H1404" t="s">
        <v>44</v>
      </c>
      <c r="I1404">
        <v>4</v>
      </c>
      <c r="J1404" t="s">
        <v>34</v>
      </c>
      <c r="K1404">
        <v>59</v>
      </c>
      <c r="L1404">
        <v>1</v>
      </c>
      <c r="M1404">
        <v>1</v>
      </c>
      <c r="N1404" t="s">
        <v>43</v>
      </c>
      <c r="O1404">
        <v>4</v>
      </c>
      <c r="P1404" t="s">
        <v>45</v>
      </c>
      <c r="Q1404">
        <v>1129</v>
      </c>
      <c r="R1404">
        <v>17536</v>
      </c>
      <c r="S1404">
        <v>1</v>
      </c>
      <c r="T1404">
        <v>1</v>
      </c>
      <c r="U1404" s="17">
        <v>0.11</v>
      </c>
      <c r="V1404">
        <v>3</v>
      </c>
      <c r="W1404">
        <v>3</v>
      </c>
      <c r="X1404">
        <v>3</v>
      </c>
      <c r="Y1404">
        <v>1</v>
      </c>
      <c r="Z1404">
        <v>4</v>
      </c>
      <c r="AA1404">
        <v>3</v>
      </c>
      <c r="AB1404">
        <v>1</v>
      </c>
      <c r="AC1404">
        <v>0</v>
      </c>
      <c r="AD1404">
        <v>0</v>
      </c>
      <c r="AE1404">
        <v>0</v>
      </c>
      <c r="AF1404">
        <v>0</v>
      </c>
      <c r="AG1404">
        <f>IF(tbl_HR_Data[[#This Row],[Gender]]="Male",1,0)</f>
        <v>0</v>
      </c>
      <c r="AH1404" cm="1">
        <f t="array" ref="AH1404">_xlfn.SWITCH(tbl_HR_Data[[#This Row],[BusinessTravel]], "Non-Travel", 0, "Travel_Rarely", 1, "Travel_Frequently", 2)</f>
        <v>1</v>
      </c>
      <c r="AI1404" cm="1">
        <f t="array" ref="AI1404">_xlfn.SWITCH(tbl_HR_Data[[#This Row],[MaritalStatus]],"Single",0,"Married",1,"Divorced",2)</f>
        <v>2</v>
      </c>
      <c r="AJ1404">
        <f>IF(tbl_HR_Data[[#This Row],[OverTime]]=1,1,0)</f>
        <v>1</v>
      </c>
      <c r="AK1404">
        <f>IF(tbl_HR_Data[[#This Row],[DistanceFromHome]]&gt;15,1,0)</f>
        <v>0</v>
      </c>
      <c r="AL1404">
        <f>IF(tbl_HR_Data[[#This Row],[JobSatisfaction]]&lt;=2,1,0)</f>
        <v>0</v>
      </c>
      <c r="AM1404">
        <f>IF(tbl_HR_Data[[#This Row],[MonthlyIncome]]&lt;$AT$2,1,0)</f>
        <v>1</v>
      </c>
      <c r="AN1404">
        <f>IF(tbl_HR_Data[[#This Row],[Travel_Code]]=2,1,0)</f>
        <v>0</v>
      </c>
      <c r="AO1404">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1404" s="15">
        <f>tbl_HR_Data[[#This Row],[Risk_Score_Raw]] / SUM(Logic_Parameters!$B$2:$B$6)</f>
        <v>0.56827453040563214</v>
      </c>
      <c r="AQ1404" s="16" t="str" cm="1">
        <f t="array" ref="AQ1404">_xlfn.IFS(tbl_HR_Data[[#This Row],[Attrition_Risk_Percentage]] &gt;= 0.75, "Critical",tbl_HR_Data[ [#This Row],[Attrition_Risk_Percentage] ]&gt;= 0.5, "High",tbl_HR_Data[[#This Row],[Attrition_Risk_Percentage]] &gt;= 0.25, "Medium",TRUE, "Low")</f>
        <v>High</v>
      </c>
      <c r="AR1404" s="16" cm="1">
        <f t="array" ref="AR1404">IFERROR(_xlfn.IFS(tbl_HR_Data[[#This Row],[Risk_Category]]="Critical",tbl_HR_Data[[#This Row],[MonthlyIncome]]*1.5,tbl_HR_Data[[#This Row],[Risk_Category]]="High",tbl_HR_Data[[#This Row],[MonthlyIncome]]*1.5),0)</f>
        <v>1693.5</v>
      </c>
    </row>
    <row r="1405" spans="1:44" x14ac:dyDescent="0.35">
      <c r="A1405" t="s">
        <v>571</v>
      </c>
      <c r="B1405">
        <v>39</v>
      </c>
      <c r="C1405" t="s">
        <v>31</v>
      </c>
      <c r="D1405">
        <v>119</v>
      </c>
      <c r="E1405" t="s">
        <v>32</v>
      </c>
      <c r="F1405">
        <v>15</v>
      </c>
      <c r="G1405">
        <v>4</v>
      </c>
      <c r="H1405" t="s">
        <v>51</v>
      </c>
      <c r="I1405">
        <v>2</v>
      </c>
      <c r="J1405" t="s">
        <v>39</v>
      </c>
      <c r="K1405">
        <v>77</v>
      </c>
      <c r="L1405">
        <v>3</v>
      </c>
      <c r="M1405">
        <v>4</v>
      </c>
      <c r="N1405" t="s">
        <v>35</v>
      </c>
      <c r="O1405">
        <v>1</v>
      </c>
      <c r="P1405" t="s">
        <v>36</v>
      </c>
      <c r="Q1405">
        <v>13341</v>
      </c>
      <c r="R1405">
        <v>25098</v>
      </c>
      <c r="S1405">
        <v>0</v>
      </c>
      <c r="T1405">
        <v>0</v>
      </c>
      <c r="U1405" s="17">
        <v>0.12</v>
      </c>
      <c r="V1405">
        <v>3</v>
      </c>
      <c r="W1405">
        <v>1</v>
      </c>
      <c r="X1405">
        <v>0</v>
      </c>
      <c r="Y1405">
        <v>21</v>
      </c>
      <c r="Z1405">
        <v>3</v>
      </c>
      <c r="AA1405">
        <v>3</v>
      </c>
      <c r="AB1405">
        <v>20</v>
      </c>
      <c r="AC1405">
        <v>8</v>
      </c>
      <c r="AD1405">
        <v>11</v>
      </c>
      <c r="AE1405">
        <v>10</v>
      </c>
      <c r="AF1405">
        <v>0</v>
      </c>
      <c r="AG1405">
        <f>IF(tbl_HR_Data[[#This Row],[Gender]]="Male",1,0)</f>
        <v>1</v>
      </c>
      <c r="AH1405" cm="1">
        <f t="array" ref="AH1405">_xlfn.SWITCH(tbl_HR_Data[[#This Row],[BusinessTravel]], "Non-Travel", 0, "Travel_Rarely", 1, "Travel_Frequently", 2)</f>
        <v>1</v>
      </c>
      <c r="AI1405" cm="1">
        <f t="array" ref="AI1405">_xlfn.SWITCH(tbl_HR_Data[[#This Row],[MaritalStatus]],"Single",0,"Married",1,"Divorced",2)</f>
        <v>0</v>
      </c>
      <c r="AJ1405">
        <f>IF(tbl_HR_Data[[#This Row],[OverTime]]=1,1,0)</f>
        <v>0</v>
      </c>
      <c r="AK1405">
        <f>IF(tbl_HR_Data[[#This Row],[DistanceFromHome]]&gt;15,1,0)</f>
        <v>0</v>
      </c>
      <c r="AL1405">
        <f>IF(tbl_HR_Data[[#This Row],[JobSatisfaction]]&lt;=2,1,0)</f>
        <v>1</v>
      </c>
      <c r="AM1405">
        <f>IF(tbl_HR_Data[[#This Row],[MonthlyIncome]]&lt;$AT$2,1,0)</f>
        <v>0</v>
      </c>
      <c r="AN1405">
        <f>IF(tbl_HR_Data[[#This Row],[Travel_Code]]=2,1,0)</f>
        <v>0</v>
      </c>
      <c r="AO1405">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405" s="15">
        <f>tbl_HR_Data[[#This Row],[Risk_Score_Raw]] / SUM(Logic_Parameters!$B$2:$B$6)</f>
        <v>0.14485673308716898</v>
      </c>
      <c r="AQ1405" s="16" t="str" cm="1">
        <f t="array" ref="AQ1405">_xlfn.IFS(tbl_HR_Data[[#This Row],[Attrition_Risk_Percentage]] &gt;= 0.75, "Critical",tbl_HR_Data[ [#This Row],[Attrition_Risk_Percentage] ]&gt;= 0.5, "High",tbl_HR_Data[[#This Row],[Attrition_Risk_Percentage]] &gt;= 0.25, "Medium",TRUE, "Low")</f>
        <v>Low</v>
      </c>
      <c r="AR1405" s="16" cm="1">
        <f t="array" ref="AR1405">IFERROR(_xlfn.IFS(tbl_HR_Data[[#This Row],[Risk_Category]]="Critical",tbl_HR_Data[[#This Row],[MonthlyIncome]]*1.5,tbl_HR_Data[[#This Row],[Risk_Category]]="High",tbl_HR_Data[[#This Row],[MonthlyIncome]]*1.5),0)</f>
        <v>0</v>
      </c>
    </row>
    <row r="1406" spans="1:44" x14ac:dyDescent="0.35">
      <c r="A1406" t="s">
        <v>921</v>
      </c>
      <c r="B1406">
        <v>42</v>
      </c>
      <c r="C1406" t="s">
        <v>1525</v>
      </c>
      <c r="D1406">
        <v>335</v>
      </c>
      <c r="E1406" t="s">
        <v>38</v>
      </c>
      <c r="F1406">
        <v>23</v>
      </c>
      <c r="G1406">
        <v>2</v>
      </c>
      <c r="H1406" t="s">
        <v>33</v>
      </c>
      <c r="I1406">
        <v>4</v>
      </c>
      <c r="J1406" t="s">
        <v>39</v>
      </c>
      <c r="K1406">
        <v>37</v>
      </c>
      <c r="L1406">
        <v>2</v>
      </c>
      <c r="M1406">
        <v>2</v>
      </c>
      <c r="N1406" t="s">
        <v>40</v>
      </c>
      <c r="O1406">
        <v>3</v>
      </c>
      <c r="P1406" t="s">
        <v>36</v>
      </c>
      <c r="Q1406">
        <v>4332</v>
      </c>
      <c r="R1406">
        <v>14811</v>
      </c>
      <c r="S1406">
        <v>1</v>
      </c>
      <c r="T1406">
        <v>0</v>
      </c>
      <c r="U1406" s="17">
        <v>0.12</v>
      </c>
      <c r="V1406">
        <v>3</v>
      </c>
      <c r="W1406">
        <v>4</v>
      </c>
      <c r="X1406">
        <v>0</v>
      </c>
      <c r="Y1406">
        <v>20</v>
      </c>
      <c r="Z1406">
        <v>2</v>
      </c>
      <c r="AA1406">
        <v>3</v>
      </c>
      <c r="AB1406">
        <v>20</v>
      </c>
      <c r="AC1406">
        <v>9</v>
      </c>
      <c r="AD1406">
        <v>3</v>
      </c>
      <c r="AE1406">
        <v>7</v>
      </c>
      <c r="AF1406">
        <v>0</v>
      </c>
      <c r="AG1406">
        <f>IF(tbl_HR_Data[[#This Row],[Gender]]="Male",1,0)</f>
        <v>1</v>
      </c>
      <c r="AH1406" cm="1">
        <f t="array" ref="AH1406">_xlfn.SWITCH(tbl_HR_Data[[#This Row],[BusinessTravel]], "Non-Travel", 0, "Travel_Rarely", 1, "Travel_Frequently", 2)</f>
        <v>0</v>
      </c>
      <c r="AI1406" cm="1">
        <f t="array" ref="AI1406">_xlfn.SWITCH(tbl_HR_Data[[#This Row],[MaritalStatus]],"Single",0,"Married",1,"Divorced",2)</f>
        <v>0</v>
      </c>
      <c r="AJ1406">
        <f>IF(tbl_HR_Data[[#This Row],[OverTime]]=1,1,0)</f>
        <v>0</v>
      </c>
      <c r="AK1406">
        <f>IF(tbl_HR_Data[[#This Row],[DistanceFromHome]]&gt;15,1,0)</f>
        <v>1</v>
      </c>
      <c r="AL1406">
        <f>IF(tbl_HR_Data[[#This Row],[JobSatisfaction]]&lt;=2,1,0)</f>
        <v>0</v>
      </c>
      <c r="AM1406">
        <f>IF(tbl_HR_Data[[#This Row],[MonthlyIncome]]&lt;$AT$2,1,0)</f>
        <v>1</v>
      </c>
      <c r="AN1406">
        <f>IF(tbl_HR_Data[[#This Row],[Travel_Code]]=2,1,0)</f>
        <v>0</v>
      </c>
      <c r="AO1406">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1406" s="15">
        <f>tbl_HR_Data[[#This Row],[Risk_Score_Raw]] / SUM(Logic_Parameters!$B$2:$B$6)</f>
        <v>0.33282973125692844</v>
      </c>
      <c r="AQ1406" s="16" t="str" cm="1">
        <f t="array" ref="AQ1406">_xlfn.IFS(tbl_HR_Data[[#This Row],[Attrition_Risk_Percentage]] &gt;= 0.75, "Critical",tbl_HR_Data[ [#This Row],[Attrition_Risk_Percentage] ]&gt;= 0.5, "High",tbl_HR_Data[[#This Row],[Attrition_Risk_Percentage]] &gt;= 0.25, "Medium",TRUE, "Low")</f>
        <v>Medium</v>
      </c>
      <c r="AR1406" s="16" cm="1">
        <f t="array" ref="AR1406">IFERROR(_xlfn.IFS(tbl_HR_Data[[#This Row],[Risk_Category]]="Critical",tbl_HR_Data[[#This Row],[MonthlyIncome]]*1.5,tbl_HR_Data[[#This Row],[Risk_Category]]="High",tbl_HR_Data[[#This Row],[MonthlyIncome]]*1.5),0)</f>
        <v>0</v>
      </c>
    </row>
    <row r="1407" spans="1:44" x14ac:dyDescent="0.35">
      <c r="A1407" t="s">
        <v>346</v>
      </c>
      <c r="B1407">
        <v>31</v>
      </c>
      <c r="C1407" t="s">
        <v>1525</v>
      </c>
      <c r="D1407">
        <v>697</v>
      </c>
      <c r="E1407" t="s">
        <v>38</v>
      </c>
      <c r="F1407">
        <v>10</v>
      </c>
      <c r="G1407">
        <v>3</v>
      </c>
      <c r="H1407" t="s">
        <v>44</v>
      </c>
      <c r="I1407">
        <v>3</v>
      </c>
      <c r="J1407" t="s">
        <v>34</v>
      </c>
      <c r="K1407">
        <v>40</v>
      </c>
      <c r="L1407">
        <v>3</v>
      </c>
      <c r="M1407">
        <v>3</v>
      </c>
      <c r="N1407" t="s">
        <v>50</v>
      </c>
      <c r="O1407">
        <v>3</v>
      </c>
      <c r="P1407" t="s">
        <v>41</v>
      </c>
      <c r="Q1407">
        <v>11031</v>
      </c>
      <c r="R1407">
        <v>26862</v>
      </c>
      <c r="S1407">
        <v>4</v>
      </c>
      <c r="T1407">
        <v>0</v>
      </c>
      <c r="U1407" s="17">
        <v>0.2</v>
      </c>
      <c r="V1407">
        <v>4</v>
      </c>
      <c r="W1407">
        <v>3</v>
      </c>
      <c r="X1407">
        <v>1</v>
      </c>
      <c r="Y1407">
        <v>13</v>
      </c>
      <c r="Z1407">
        <v>2</v>
      </c>
      <c r="AA1407">
        <v>4</v>
      </c>
      <c r="AB1407">
        <v>11</v>
      </c>
      <c r="AC1407">
        <v>7</v>
      </c>
      <c r="AD1407">
        <v>4</v>
      </c>
      <c r="AE1407">
        <v>8</v>
      </c>
      <c r="AF1407">
        <v>0</v>
      </c>
      <c r="AG1407">
        <f>IF(tbl_HR_Data[[#This Row],[Gender]]="Male",1,0)</f>
        <v>0</v>
      </c>
      <c r="AH1407" cm="1">
        <f t="array" ref="AH1407">_xlfn.SWITCH(tbl_HR_Data[[#This Row],[BusinessTravel]], "Non-Travel", 0, "Travel_Rarely", 1, "Travel_Frequently", 2)</f>
        <v>0</v>
      </c>
      <c r="AI1407" cm="1">
        <f t="array" ref="AI1407">_xlfn.SWITCH(tbl_HR_Data[[#This Row],[MaritalStatus]],"Single",0,"Married",1,"Divorced",2)</f>
        <v>1</v>
      </c>
      <c r="AJ1407">
        <f>IF(tbl_HR_Data[[#This Row],[OverTime]]=1,1,0)</f>
        <v>0</v>
      </c>
      <c r="AK1407">
        <f>IF(tbl_HR_Data[[#This Row],[DistanceFromHome]]&gt;15,1,0)</f>
        <v>0</v>
      </c>
      <c r="AL1407">
        <f>IF(tbl_HR_Data[[#This Row],[JobSatisfaction]]&lt;=2,1,0)</f>
        <v>0</v>
      </c>
      <c r="AM1407">
        <f>IF(tbl_HR_Data[[#This Row],[MonthlyIncome]]&lt;$AT$2,1,0)</f>
        <v>0</v>
      </c>
      <c r="AN1407">
        <f>IF(tbl_HR_Data[[#This Row],[Travel_Code]]=2,1,0)</f>
        <v>0</v>
      </c>
      <c r="AO1407">
        <f>(tbl_HR_Data[[#This Row],[Flag_OT]] * Logic_Parameters!$B$2) +
 (tbl_HR_Data[[#This Row],[Flag_Travel]] * Logic_Parameters!$B$3) +
 (tbl_HR_Data[[#This Row],[Flag_Satisfaction]] * Logic_Parameters!$B$4) +
 (tbl_HR_Data[[#This Row],[Flag_Distance]]* Logic_Parameters!$B$5) +
 (tbl_HR_Data[[#This Row],[Flag_Income]] * Logic_Parameters!$B$6)</f>
        <v>0</v>
      </c>
      <c r="AP1407" s="15">
        <f>tbl_HR_Data[[#This Row],[Risk_Score_Raw]] / SUM(Logic_Parameters!$B$2:$B$6)</f>
        <v>0</v>
      </c>
      <c r="AQ1407" s="16" t="str" cm="1">
        <f t="array" ref="AQ1407">_xlfn.IFS(tbl_HR_Data[[#This Row],[Attrition_Risk_Percentage]] &gt;= 0.75, "Critical",tbl_HR_Data[ [#This Row],[Attrition_Risk_Percentage] ]&gt;= 0.5, "High",tbl_HR_Data[[#This Row],[Attrition_Risk_Percentage]] &gt;= 0.25, "Medium",TRUE, "Low")</f>
        <v>Low</v>
      </c>
      <c r="AR1407" s="16" cm="1">
        <f t="array" ref="AR1407">IFERROR(_xlfn.IFS(tbl_HR_Data[[#This Row],[Risk_Category]]="Critical",tbl_HR_Data[[#This Row],[MonthlyIncome]]*1.5,tbl_HR_Data[[#This Row],[Risk_Category]]="High",tbl_HR_Data[[#This Row],[MonthlyIncome]]*1.5),0)</f>
        <v>0</v>
      </c>
    </row>
    <row r="1408" spans="1:44" x14ac:dyDescent="0.35">
      <c r="A1408" t="s">
        <v>385</v>
      </c>
      <c r="B1408">
        <v>54</v>
      </c>
      <c r="C1408" t="s">
        <v>31</v>
      </c>
      <c r="D1408">
        <v>157</v>
      </c>
      <c r="E1408" t="s">
        <v>38</v>
      </c>
      <c r="F1408">
        <v>10</v>
      </c>
      <c r="G1408">
        <v>3</v>
      </c>
      <c r="H1408" t="s">
        <v>44</v>
      </c>
      <c r="I1408">
        <v>3</v>
      </c>
      <c r="J1408" t="s">
        <v>34</v>
      </c>
      <c r="K1408">
        <v>77</v>
      </c>
      <c r="L1408">
        <v>3</v>
      </c>
      <c r="M1408">
        <v>2</v>
      </c>
      <c r="N1408" t="s">
        <v>46</v>
      </c>
      <c r="O1408">
        <v>1</v>
      </c>
      <c r="P1408" t="s">
        <v>36</v>
      </c>
      <c r="Q1408">
        <v>4440</v>
      </c>
      <c r="R1408">
        <v>25198</v>
      </c>
      <c r="S1408">
        <v>6</v>
      </c>
      <c r="T1408">
        <v>1</v>
      </c>
      <c r="U1408" s="17">
        <v>0.19</v>
      </c>
      <c r="V1408">
        <v>3</v>
      </c>
      <c r="W1408">
        <v>4</v>
      </c>
      <c r="X1408">
        <v>0</v>
      </c>
      <c r="Y1408">
        <v>9</v>
      </c>
      <c r="Z1408">
        <v>3</v>
      </c>
      <c r="AA1408">
        <v>3</v>
      </c>
      <c r="AB1408">
        <v>5</v>
      </c>
      <c r="AC1408">
        <v>2</v>
      </c>
      <c r="AD1408">
        <v>1</v>
      </c>
      <c r="AE1408">
        <v>4</v>
      </c>
      <c r="AF1408">
        <v>0</v>
      </c>
      <c r="AG1408">
        <f>IF(tbl_HR_Data[[#This Row],[Gender]]="Male",1,0)</f>
        <v>0</v>
      </c>
      <c r="AH1408" cm="1">
        <f t="array" ref="AH1408">_xlfn.SWITCH(tbl_HR_Data[[#This Row],[BusinessTravel]], "Non-Travel", 0, "Travel_Rarely", 1, "Travel_Frequently", 2)</f>
        <v>1</v>
      </c>
      <c r="AI1408" cm="1">
        <f t="array" ref="AI1408">_xlfn.SWITCH(tbl_HR_Data[[#This Row],[MaritalStatus]],"Single",0,"Married",1,"Divorced",2)</f>
        <v>0</v>
      </c>
      <c r="AJ1408">
        <f>IF(tbl_HR_Data[[#This Row],[OverTime]]=1,1,0)</f>
        <v>1</v>
      </c>
      <c r="AK1408">
        <f>IF(tbl_HR_Data[[#This Row],[DistanceFromHome]]&gt;15,1,0)</f>
        <v>0</v>
      </c>
      <c r="AL1408">
        <f>IF(tbl_HR_Data[[#This Row],[JobSatisfaction]]&lt;=2,1,0)</f>
        <v>1</v>
      </c>
      <c r="AM1408">
        <f>IF(tbl_HR_Data[[#This Row],[MonthlyIncome]]&lt;$AT$2,1,0)</f>
        <v>1</v>
      </c>
      <c r="AN1408">
        <f>IF(tbl_HR_Data[[#This Row],[Travel_Code]]=2,1,0)</f>
        <v>0</v>
      </c>
      <c r="AO1408">
        <f>(tbl_HR_Data[[#This Row],[Flag_OT]] * Logic_Parameters!$B$2) +
 (tbl_HR_Data[[#This Row],[Flag_Travel]] * Logic_Parameters!$B$3) +
 (tbl_HR_Data[[#This Row],[Flag_Satisfaction]] * Logic_Parameters!$B$4) +
 (tbl_HR_Data[[#This Row],[Flag_Distance]]* Logic_Parameters!$B$5) +
 (tbl_HR_Data[[#This Row],[Flag_Income]] * Logic_Parameters!$B$6)</f>
        <v>20.698962067398959</v>
      </c>
      <c r="AP1408" s="15">
        <f>tbl_HR_Data[[#This Row],[Risk_Score_Raw]] / SUM(Logic_Parameters!$B$2:$B$6)</f>
        <v>0.71313126349280109</v>
      </c>
      <c r="AQ1408" s="16" t="str" cm="1">
        <f t="array" ref="AQ1408">_xlfn.IFS(tbl_HR_Data[[#This Row],[Attrition_Risk_Percentage]] &gt;= 0.75, "Critical",tbl_HR_Data[ [#This Row],[Attrition_Risk_Percentage] ]&gt;= 0.5, "High",tbl_HR_Data[[#This Row],[Attrition_Risk_Percentage]] &gt;= 0.25, "Medium",TRUE, "Low")</f>
        <v>High</v>
      </c>
      <c r="AR1408" s="16" cm="1">
        <f t="array" ref="AR1408">IFERROR(_xlfn.IFS(tbl_HR_Data[[#This Row],[Risk_Category]]="Critical",tbl_HR_Data[[#This Row],[MonthlyIncome]]*1.5,tbl_HR_Data[[#This Row],[Risk_Category]]="High",tbl_HR_Data[[#This Row],[MonthlyIncome]]*1.5),0)</f>
        <v>6660</v>
      </c>
    </row>
    <row r="1409" spans="1:44" x14ac:dyDescent="0.35">
      <c r="A1409" t="s">
        <v>270</v>
      </c>
      <c r="B1409">
        <v>24</v>
      </c>
      <c r="C1409" t="s">
        <v>31</v>
      </c>
      <c r="D1409">
        <v>771</v>
      </c>
      <c r="E1409" t="s">
        <v>38</v>
      </c>
      <c r="F1409">
        <v>1</v>
      </c>
      <c r="G1409">
        <v>2</v>
      </c>
      <c r="H1409" t="s">
        <v>33</v>
      </c>
      <c r="I1409">
        <v>2</v>
      </c>
      <c r="J1409" t="s">
        <v>39</v>
      </c>
      <c r="K1409">
        <v>45</v>
      </c>
      <c r="L1409">
        <v>2</v>
      </c>
      <c r="M1409">
        <v>2</v>
      </c>
      <c r="N1409" t="s">
        <v>47</v>
      </c>
      <c r="O1409">
        <v>3</v>
      </c>
      <c r="P1409" t="s">
        <v>36</v>
      </c>
      <c r="Q1409">
        <v>4617</v>
      </c>
      <c r="R1409">
        <v>14120</v>
      </c>
      <c r="S1409">
        <v>1</v>
      </c>
      <c r="T1409">
        <v>0</v>
      </c>
      <c r="U1409" s="17">
        <v>0.12</v>
      </c>
      <c r="V1409">
        <v>3</v>
      </c>
      <c r="W1409">
        <v>2</v>
      </c>
      <c r="X1409">
        <v>0</v>
      </c>
      <c r="Y1409">
        <v>4</v>
      </c>
      <c r="Z1409">
        <v>2</v>
      </c>
      <c r="AA1409">
        <v>2</v>
      </c>
      <c r="AB1409">
        <v>4</v>
      </c>
      <c r="AC1409">
        <v>3</v>
      </c>
      <c r="AD1409">
        <v>1</v>
      </c>
      <c r="AE1409">
        <v>2</v>
      </c>
      <c r="AF1409">
        <v>0</v>
      </c>
      <c r="AG1409">
        <f>IF(tbl_HR_Data[[#This Row],[Gender]]="Male",1,0)</f>
        <v>1</v>
      </c>
      <c r="AH1409" cm="1">
        <f t="array" ref="AH1409">_xlfn.SWITCH(tbl_HR_Data[[#This Row],[BusinessTravel]], "Non-Travel", 0, "Travel_Rarely", 1, "Travel_Frequently", 2)</f>
        <v>1</v>
      </c>
      <c r="AI1409" cm="1">
        <f t="array" ref="AI1409">_xlfn.SWITCH(tbl_HR_Data[[#This Row],[MaritalStatus]],"Single",0,"Married",1,"Divorced",2)</f>
        <v>0</v>
      </c>
      <c r="AJ1409">
        <f>IF(tbl_HR_Data[[#This Row],[OverTime]]=1,1,0)</f>
        <v>0</v>
      </c>
      <c r="AK1409">
        <f>IF(tbl_HR_Data[[#This Row],[DistanceFromHome]]&gt;15,1,0)</f>
        <v>0</v>
      </c>
      <c r="AL1409">
        <f>IF(tbl_HR_Data[[#This Row],[JobSatisfaction]]&lt;=2,1,0)</f>
        <v>0</v>
      </c>
      <c r="AM1409">
        <f>IF(tbl_HR_Data[[#This Row],[MonthlyIncome]]&lt;$AT$2,1,0)</f>
        <v>1</v>
      </c>
      <c r="AN1409">
        <f>IF(tbl_HR_Data[[#This Row],[Travel_Code]]=2,1,0)</f>
        <v>0</v>
      </c>
      <c r="AO1409">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409" s="15">
        <f>tbl_HR_Data[[#This Row],[Risk_Score_Raw]] / SUM(Logic_Parameters!$B$2:$B$6)</f>
        <v>0.22374939857982484</v>
      </c>
      <c r="AQ1409" s="16" t="str" cm="1">
        <f t="array" ref="AQ1409">_xlfn.IFS(tbl_HR_Data[[#This Row],[Attrition_Risk_Percentage]] &gt;= 0.75, "Critical",tbl_HR_Data[ [#This Row],[Attrition_Risk_Percentage] ]&gt;= 0.5, "High",tbl_HR_Data[[#This Row],[Attrition_Risk_Percentage]] &gt;= 0.25, "Medium",TRUE, "Low")</f>
        <v>Low</v>
      </c>
      <c r="AR1409" s="16" cm="1">
        <f t="array" ref="AR1409">IFERROR(_xlfn.IFS(tbl_HR_Data[[#This Row],[Risk_Category]]="Critical",tbl_HR_Data[[#This Row],[MonthlyIncome]]*1.5,tbl_HR_Data[[#This Row],[Risk_Category]]="High",tbl_HR_Data[[#This Row],[MonthlyIncome]]*1.5),0)</f>
        <v>0</v>
      </c>
    </row>
    <row r="1410" spans="1:44" x14ac:dyDescent="0.35">
      <c r="A1410" t="s">
        <v>1451</v>
      </c>
      <c r="B1410">
        <v>23</v>
      </c>
      <c r="C1410" t="s">
        <v>31</v>
      </c>
      <c r="D1410">
        <v>571</v>
      </c>
      <c r="E1410" t="s">
        <v>38</v>
      </c>
      <c r="F1410">
        <v>12</v>
      </c>
      <c r="G1410">
        <v>2</v>
      </c>
      <c r="H1410" t="s">
        <v>42</v>
      </c>
      <c r="I1410">
        <v>4</v>
      </c>
      <c r="J1410" t="s">
        <v>39</v>
      </c>
      <c r="K1410">
        <v>78</v>
      </c>
      <c r="L1410">
        <v>3</v>
      </c>
      <c r="M1410">
        <v>1</v>
      </c>
      <c r="N1410" t="s">
        <v>43</v>
      </c>
      <c r="O1410">
        <v>4</v>
      </c>
      <c r="P1410" t="s">
        <v>36</v>
      </c>
      <c r="Q1410">
        <v>2647</v>
      </c>
      <c r="R1410">
        <v>13672</v>
      </c>
      <c r="S1410">
        <v>1</v>
      </c>
      <c r="T1410">
        <v>0</v>
      </c>
      <c r="U1410" s="17">
        <v>0.13</v>
      </c>
      <c r="V1410">
        <v>3</v>
      </c>
      <c r="W1410">
        <v>3</v>
      </c>
      <c r="X1410">
        <v>0</v>
      </c>
      <c r="Y1410">
        <v>5</v>
      </c>
      <c r="Z1410">
        <v>6</v>
      </c>
      <c r="AA1410">
        <v>4</v>
      </c>
      <c r="AB1410">
        <v>5</v>
      </c>
      <c r="AC1410">
        <v>2</v>
      </c>
      <c r="AD1410">
        <v>1</v>
      </c>
      <c r="AE1410">
        <v>4</v>
      </c>
      <c r="AF1410">
        <v>0</v>
      </c>
      <c r="AG1410">
        <f>IF(tbl_HR_Data[[#This Row],[Gender]]="Male",1,0)</f>
        <v>1</v>
      </c>
      <c r="AH1410" cm="1">
        <f t="array" ref="AH1410">_xlfn.SWITCH(tbl_HR_Data[[#This Row],[BusinessTravel]], "Non-Travel", 0, "Travel_Rarely", 1, "Travel_Frequently", 2)</f>
        <v>1</v>
      </c>
      <c r="AI1410" cm="1">
        <f t="array" ref="AI1410">_xlfn.SWITCH(tbl_HR_Data[[#This Row],[MaritalStatus]],"Single",0,"Married",1,"Divorced",2)</f>
        <v>0</v>
      </c>
      <c r="AJ1410">
        <f>IF(tbl_HR_Data[[#This Row],[OverTime]]=1,1,0)</f>
        <v>0</v>
      </c>
      <c r="AK1410">
        <f>IF(tbl_HR_Data[[#This Row],[DistanceFromHome]]&gt;15,1,0)</f>
        <v>0</v>
      </c>
      <c r="AL1410">
        <f>IF(tbl_HR_Data[[#This Row],[JobSatisfaction]]&lt;=2,1,0)</f>
        <v>0</v>
      </c>
      <c r="AM1410">
        <f>IF(tbl_HR_Data[[#This Row],[MonthlyIncome]]&lt;$AT$2,1,0)</f>
        <v>1</v>
      </c>
      <c r="AN1410">
        <f>IF(tbl_HR_Data[[#This Row],[Travel_Code]]=2,1,0)</f>
        <v>0</v>
      </c>
      <c r="AO1410">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410" s="15">
        <f>tbl_HR_Data[[#This Row],[Risk_Score_Raw]] / SUM(Logic_Parameters!$B$2:$B$6)</f>
        <v>0.22374939857982484</v>
      </c>
      <c r="AQ1410" s="16" t="str" cm="1">
        <f t="array" ref="AQ1410">_xlfn.IFS(tbl_HR_Data[[#This Row],[Attrition_Risk_Percentage]] &gt;= 0.75, "Critical",tbl_HR_Data[ [#This Row],[Attrition_Risk_Percentage] ]&gt;= 0.5, "High",tbl_HR_Data[[#This Row],[Attrition_Risk_Percentage]] &gt;= 0.25, "Medium",TRUE, "Low")</f>
        <v>Low</v>
      </c>
      <c r="AR1410" s="16" cm="1">
        <f t="array" ref="AR1410">IFERROR(_xlfn.IFS(tbl_HR_Data[[#This Row],[Risk_Category]]="Critical",tbl_HR_Data[[#This Row],[MonthlyIncome]]*1.5,tbl_HR_Data[[#This Row],[Risk_Category]]="High",tbl_HR_Data[[#This Row],[MonthlyIncome]]*1.5),0)</f>
        <v>0</v>
      </c>
    </row>
    <row r="1411" spans="1:44" x14ac:dyDescent="0.35">
      <c r="A1411" t="s">
        <v>1038</v>
      </c>
      <c r="B1411">
        <v>40</v>
      </c>
      <c r="C1411" t="s">
        <v>37</v>
      </c>
      <c r="D1411">
        <v>692</v>
      </c>
      <c r="E1411" t="s">
        <v>38</v>
      </c>
      <c r="F1411">
        <v>11</v>
      </c>
      <c r="G1411">
        <v>3</v>
      </c>
      <c r="H1411" t="s">
        <v>52</v>
      </c>
      <c r="I1411">
        <v>4</v>
      </c>
      <c r="J1411" t="s">
        <v>34</v>
      </c>
      <c r="K1411">
        <v>73</v>
      </c>
      <c r="L1411">
        <v>3</v>
      </c>
      <c r="M1411">
        <v>2</v>
      </c>
      <c r="N1411" t="s">
        <v>43</v>
      </c>
      <c r="O1411">
        <v>3</v>
      </c>
      <c r="P1411" t="s">
        <v>41</v>
      </c>
      <c r="Q1411">
        <v>6323</v>
      </c>
      <c r="R1411">
        <v>26849</v>
      </c>
      <c r="S1411">
        <v>1</v>
      </c>
      <c r="T1411">
        <v>0</v>
      </c>
      <c r="U1411" s="17">
        <v>0.11</v>
      </c>
      <c r="V1411">
        <v>3</v>
      </c>
      <c r="W1411">
        <v>1</v>
      </c>
      <c r="X1411">
        <v>1</v>
      </c>
      <c r="Y1411">
        <v>10</v>
      </c>
      <c r="Z1411">
        <v>2</v>
      </c>
      <c r="AA1411">
        <v>4</v>
      </c>
      <c r="AB1411">
        <v>10</v>
      </c>
      <c r="AC1411">
        <v>9</v>
      </c>
      <c r="AD1411">
        <v>9</v>
      </c>
      <c r="AE1411">
        <v>4</v>
      </c>
      <c r="AF1411">
        <v>0</v>
      </c>
      <c r="AG1411">
        <f>IF(tbl_HR_Data[[#This Row],[Gender]]="Male",1,0)</f>
        <v>0</v>
      </c>
      <c r="AH1411" cm="1">
        <f t="array" ref="AH1411">_xlfn.SWITCH(tbl_HR_Data[[#This Row],[BusinessTravel]], "Non-Travel", 0, "Travel_Rarely", 1, "Travel_Frequently", 2)</f>
        <v>2</v>
      </c>
      <c r="AI1411" cm="1">
        <f t="array" ref="AI1411">_xlfn.SWITCH(tbl_HR_Data[[#This Row],[MaritalStatus]],"Single",0,"Married",1,"Divorced",2)</f>
        <v>1</v>
      </c>
      <c r="AJ1411">
        <f>IF(tbl_HR_Data[[#This Row],[OverTime]]=1,1,0)</f>
        <v>0</v>
      </c>
      <c r="AK1411">
        <f>IF(tbl_HR_Data[[#This Row],[DistanceFromHome]]&gt;15,1,0)</f>
        <v>0</v>
      </c>
      <c r="AL1411">
        <f>IF(tbl_HR_Data[[#This Row],[JobSatisfaction]]&lt;=2,1,0)</f>
        <v>0</v>
      </c>
      <c r="AM1411">
        <f>IF(tbl_HR_Data[[#This Row],[MonthlyIncome]]&lt;$AT$2,1,0)</f>
        <v>0</v>
      </c>
      <c r="AN1411">
        <f>IF(tbl_HR_Data[[#This Row],[Travel_Code]]=2,1,0)</f>
        <v>1</v>
      </c>
      <c r="AO1411">
        <f>(tbl_HR_Data[[#This Row],[Flag_OT]] * Logic_Parameters!$B$2) +
 (tbl_HR_Data[[#This Row],[Flag_Travel]] * Logic_Parameters!$B$3) +
 (tbl_HR_Data[[#This Row],[Flag_Satisfaction]] * Logic_Parameters!$B$4) +
 (tbl_HR_Data[[#This Row],[Flag_Distance]]* Logic_Parameters!$B$5) +
 (tbl_HR_Data[[#This Row],[Flag_Income]] * Logic_Parameters!$B$6)</f>
        <v>5.1603899804901765</v>
      </c>
      <c r="AP1411" s="15">
        <f>tbl_HR_Data[[#This Row],[Risk_Score_Raw]] / SUM(Logic_Parameters!$B$2:$B$6)</f>
        <v>0.17778840383009531</v>
      </c>
      <c r="AQ1411" s="16" t="str" cm="1">
        <f t="array" ref="AQ1411">_xlfn.IFS(tbl_HR_Data[[#This Row],[Attrition_Risk_Percentage]] &gt;= 0.75, "Critical",tbl_HR_Data[ [#This Row],[Attrition_Risk_Percentage] ]&gt;= 0.5, "High",tbl_HR_Data[[#This Row],[Attrition_Risk_Percentage]] &gt;= 0.25, "Medium",TRUE, "Low")</f>
        <v>Low</v>
      </c>
      <c r="AR1411" s="16" cm="1">
        <f t="array" ref="AR1411">IFERROR(_xlfn.IFS(tbl_HR_Data[[#This Row],[Risk_Category]]="Critical",tbl_HR_Data[[#This Row],[MonthlyIncome]]*1.5,tbl_HR_Data[[#This Row],[Risk_Category]]="High",tbl_HR_Data[[#This Row],[MonthlyIncome]]*1.5),0)</f>
        <v>0</v>
      </c>
    </row>
    <row r="1412" spans="1:44" x14ac:dyDescent="0.35">
      <c r="A1412" t="s">
        <v>227</v>
      </c>
      <c r="B1412">
        <v>40</v>
      </c>
      <c r="C1412" t="s">
        <v>31</v>
      </c>
      <c r="D1412">
        <v>444</v>
      </c>
      <c r="E1412" t="s">
        <v>32</v>
      </c>
      <c r="F1412">
        <v>2</v>
      </c>
      <c r="G1412">
        <v>2</v>
      </c>
      <c r="H1412" t="s">
        <v>51</v>
      </c>
      <c r="I1412">
        <v>2</v>
      </c>
      <c r="J1412" t="s">
        <v>34</v>
      </c>
      <c r="K1412">
        <v>92</v>
      </c>
      <c r="L1412">
        <v>3</v>
      </c>
      <c r="M1412">
        <v>2</v>
      </c>
      <c r="N1412" t="s">
        <v>35</v>
      </c>
      <c r="O1412">
        <v>2</v>
      </c>
      <c r="P1412" t="s">
        <v>41</v>
      </c>
      <c r="Q1412">
        <v>5677</v>
      </c>
      <c r="R1412">
        <v>4258</v>
      </c>
      <c r="S1412">
        <v>3</v>
      </c>
      <c r="T1412">
        <v>0</v>
      </c>
      <c r="U1412" s="17">
        <v>0.14000000000000001</v>
      </c>
      <c r="V1412">
        <v>3</v>
      </c>
      <c r="W1412">
        <v>3</v>
      </c>
      <c r="X1412">
        <v>1</v>
      </c>
      <c r="Y1412">
        <v>15</v>
      </c>
      <c r="Z1412">
        <v>4</v>
      </c>
      <c r="AA1412">
        <v>3</v>
      </c>
      <c r="AB1412">
        <v>11</v>
      </c>
      <c r="AC1412">
        <v>8</v>
      </c>
      <c r="AD1412">
        <v>5</v>
      </c>
      <c r="AE1412">
        <v>10</v>
      </c>
      <c r="AF1412">
        <v>0</v>
      </c>
      <c r="AG1412">
        <f>IF(tbl_HR_Data[[#This Row],[Gender]]="Male",1,0)</f>
        <v>0</v>
      </c>
      <c r="AH1412" cm="1">
        <f t="array" ref="AH1412">_xlfn.SWITCH(tbl_HR_Data[[#This Row],[BusinessTravel]], "Non-Travel", 0, "Travel_Rarely", 1, "Travel_Frequently", 2)</f>
        <v>1</v>
      </c>
      <c r="AI1412" cm="1">
        <f t="array" ref="AI1412">_xlfn.SWITCH(tbl_HR_Data[[#This Row],[MaritalStatus]],"Single",0,"Married",1,"Divorced",2)</f>
        <v>1</v>
      </c>
      <c r="AJ1412">
        <f>IF(tbl_HR_Data[[#This Row],[OverTime]]=1,1,0)</f>
        <v>0</v>
      </c>
      <c r="AK1412">
        <f>IF(tbl_HR_Data[[#This Row],[DistanceFromHome]]&gt;15,1,0)</f>
        <v>0</v>
      </c>
      <c r="AL1412">
        <f>IF(tbl_HR_Data[[#This Row],[JobSatisfaction]]&lt;=2,1,0)</f>
        <v>1</v>
      </c>
      <c r="AM1412">
        <f>IF(tbl_HR_Data[[#This Row],[MonthlyIncome]]&lt;$AT$2,1,0)</f>
        <v>0</v>
      </c>
      <c r="AN1412">
        <f>IF(tbl_HR_Data[[#This Row],[Travel_Code]]=2,1,0)</f>
        <v>0</v>
      </c>
      <c r="AO1412">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412" s="15">
        <f>tbl_HR_Data[[#This Row],[Risk_Score_Raw]] / SUM(Logic_Parameters!$B$2:$B$6)</f>
        <v>0.14485673308716898</v>
      </c>
      <c r="AQ1412" s="16" t="str" cm="1">
        <f t="array" ref="AQ1412">_xlfn.IFS(tbl_HR_Data[[#This Row],[Attrition_Risk_Percentage]] &gt;= 0.75, "Critical",tbl_HR_Data[ [#This Row],[Attrition_Risk_Percentage] ]&gt;= 0.5, "High",tbl_HR_Data[[#This Row],[Attrition_Risk_Percentage]] &gt;= 0.25, "Medium",TRUE, "Low")</f>
        <v>Low</v>
      </c>
      <c r="AR1412" s="16" cm="1">
        <f t="array" ref="AR1412">IFERROR(_xlfn.IFS(tbl_HR_Data[[#This Row],[Risk_Category]]="Critical",tbl_HR_Data[[#This Row],[MonthlyIncome]]*1.5,tbl_HR_Data[[#This Row],[Risk_Category]]="High",tbl_HR_Data[[#This Row],[MonthlyIncome]]*1.5),0)</f>
        <v>0</v>
      </c>
    </row>
    <row r="1413" spans="1:44" x14ac:dyDescent="0.35">
      <c r="A1413" t="s">
        <v>876</v>
      </c>
      <c r="B1413">
        <v>25</v>
      </c>
      <c r="C1413" t="s">
        <v>31</v>
      </c>
      <c r="D1413">
        <v>309</v>
      </c>
      <c r="E1413" t="s">
        <v>53</v>
      </c>
      <c r="F1413">
        <v>2</v>
      </c>
      <c r="G1413">
        <v>3</v>
      </c>
      <c r="H1413" t="s">
        <v>53</v>
      </c>
      <c r="I1413">
        <v>3</v>
      </c>
      <c r="J1413" t="s">
        <v>34</v>
      </c>
      <c r="K1413">
        <v>82</v>
      </c>
      <c r="L1413">
        <v>3</v>
      </c>
      <c r="M1413">
        <v>1</v>
      </c>
      <c r="N1413" t="s">
        <v>53</v>
      </c>
      <c r="O1413">
        <v>2</v>
      </c>
      <c r="P1413" t="s">
        <v>41</v>
      </c>
      <c r="Q1413">
        <v>2187</v>
      </c>
      <c r="R1413">
        <v>19655</v>
      </c>
      <c r="S1413">
        <v>4</v>
      </c>
      <c r="T1413">
        <v>0</v>
      </c>
      <c r="U1413" s="17">
        <v>0.14000000000000001</v>
      </c>
      <c r="V1413">
        <v>3</v>
      </c>
      <c r="W1413">
        <v>3</v>
      </c>
      <c r="X1413">
        <v>0</v>
      </c>
      <c r="Y1413">
        <v>6</v>
      </c>
      <c r="Z1413">
        <v>3</v>
      </c>
      <c r="AA1413">
        <v>3</v>
      </c>
      <c r="AB1413">
        <v>2</v>
      </c>
      <c r="AC1413">
        <v>0</v>
      </c>
      <c r="AD1413">
        <v>1</v>
      </c>
      <c r="AE1413">
        <v>2</v>
      </c>
      <c r="AF1413">
        <v>0</v>
      </c>
      <c r="AG1413">
        <f>IF(tbl_HR_Data[[#This Row],[Gender]]="Male",1,0)</f>
        <v>0</v>
      </c>
      <c r="AH1413" cm="1">
        <f t="array" ref="AH1413">_xlfn.SWITCH(tbl_HR_Data[[#This Row],[BusinessTravel]], "Non-Travel", 0, "Travel_Rarely", 1, "Travel_Frequently", 2)</f>
        <v>1</v>
      </c>
      <c r="AI1413" cm="1">
        <f t="array" ref="AI1413">_xlfn.SWITCH(tbl_HR_Data[[#This Row],[MaritalStatus]],"Single",0,"Married",1,"Divorced",2)</f>
        <v>1</v>
      </c>
      <c r="AJ1413">
        <f>IF(tbl_HR_Data[[#This Row],[OverTime]]=1,1,0)</f>
        <v>0</v>
      </c>
      <c r="AK1413">
        <f>IF(tbl_HR_Data[[#This Row],[DistanceFromHome]]&gt;15,1,0)</f>
        <v>0</v>
      </c>
      <c r="AL1413">
        <f>IF(tbl_HR_Data[[#This Row],[JobSatisfaction]]&lt;=2,1,0)</f>
        <v>1</v>
      </c>
      <c r="AM1413">
        <f>IF(tbl_HR_Data[[#This Row],[MonthlyIncome]]&lt;$AT$2,1,0)</f>
        <v>1</v>
      </c>
      <c r="AN1413">
        <f>IF(tbl_HR_Data[[#This Row],[Travel_Code]]=2,1,0)</f>
        <v>0</v>
      </c>
      <c r="AO1413">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413" s="15">
        <f>tbl_HR_Data[[#This Row],[Risk_Score_Raw]] / SUM(Logic_Parameters!$B$2:$B$6)</f>
        <v>0.3686061316669938</v>
      </c>
      <c r="AQ1413" s="16" t="str" cm="1">
        <f t="array" ref="AQ1413">_xlfn.IFS(tbl_HR_Data[[#This Row],[Attrition_Risk_Percentage]] &gt;= 0.75, "Critical",tbl_HR_Data[ [#This Row],[Attrition_Risk_Percentage] ]&gt;= 0.5, "High",tbl_HR_Data[[#This Row],[Attrition_Risk_Percentage]] &gt;= 0.25, "Medium",TRUE, "Low")</f>
        <v>Medium</v>
      </c>
      <c r="AR1413" s="16" cm="1">
        <f t="array" ref="AR1413">IFERROR(_xlfn.IFS(tbl_HR_Data[[#This Row],[Risk_Category]]="Critical",tbl_HR_Data[[#This Row],[MonthlyIncome]]*1.5,tbl_HR_Data[[#This Row],[Risk_Category]]="High",tbl_HR_Data[[#This Row],[MonthlyIncome]]*1.5),0)</f>
        <v>0</v>
      </c>
    </row>
    <row r="1414" spans="1:44" x14ac:dyDescent="0.35">
      <c r="A1414" t="s">
        <v>1503</v>
      </c>
      <c r="B1414">
        <v>30</v>
      </c>
      <c r="C1414" t="s">
        <v>31</v>
      </c>
      <c r="D1414">
        <v>911</v>
      </c>
      <c r="E1414" t="s">
        <v>38</v>
      </c>
      <c r="F1414">
        <v>1</v>
      </c>
      <c r="G1414">
        <v>2</v>
      </c>
      <c r="H1414" t="s">
        <v>44</v>
      </c>
      <c r="I1414">
        <v>4</v>
      </c>
      <c r="J1414" t="s">
        <v>39</v>
      </c>
      <c r="K1414">
        <v>76</v>
      </c>
      <c r="L1414">
        <v>3</v>
      </c>
      <c r="M1414">
        <v>1</v>
      </c>
      <c r="N1414" t="s">
        <v>43</v>
      </c>
      <c r="O1414">
        <v>2</v>
      </c>
      <c r="P1414" t="s">
        <v>41</v>
      </c>
      <c r="Q1414">
        <v>3748</v>
      </c>
      <c r="R1414">
        <v>4077</v>
      </c>
      <c r="S1414">
        <v>1</v>
      </c>
      <c r="T1414">
        <v>0</v>
      </c>
      <c r="U1414" s="17">
        <v>0.13</v>
      </c>
      <c r="V1414">
        <v>3</v>
      </c>
      <c r="W1414">
        <v>3</v>
      </c>
      <c r="X1414">
        <v>0</v>
      </c>
      <c r="Y1414">
        <v>12</v>
      </c>
      <c r="Z1414">
        <v>6</v>
      </c>
      <c r="AA1414">
        <v>2</v>
      </c>
      <c r="AB1414">
        <v>12</v>
      </c>
      <c r="AC1414">
        <v>8</v>
      </c>
      <c r="AD1414">
        <v>1</v>
      </c>
      <c r="AE1414">
        <v>7</v>
      </c>
      <c r="AF1414">
        <v>0</v>
      </c>
      <c r="AG1414">
        <f>IF(tbl_HR_Data[[#This Row],[Gender]]="Male",1,0)</f>
        <v>1</v>
      </c>
      <c r="AH1414" cm="1">
        <f t="array" ref="AH1414">_xlfn.SWITCH(tbl_HR_Data[[#This Row],[BusinessTravel]], "Non-Travel", 0, "Travel_Rarely", 1, "Travel_Frequently", 2)</f>
        <v>1</v>
      </c>
      <c r="AI1414" cm="1">
        <f t="array" ref="AI1414">_xlfn.SWITCH(tbl_HR_Data[[#This Row],[MaritalStatus]],"Single",0,"Married",1,"Divorced",2)</f>
        <v>1</v>
      </c>
      <c r="AJ1414">
        <f>IF(tbl_HR_Data[[#This Row],[OverTime]]=1,1,0)</f>
        <v>0</v>
      </c>
      <c r="AK1414">
        <f>IF(tbl_HR_Data[[#This Row],[DistanceFromHome]]&gt;15,1,0)</f>
        <v>0</v>
      </c>
      <c r="AL1414">
        <f>IF(tbl_HR_Data[[#This Row],[JobSatisfaction]]&lt;=2,1,0)</f>
        <v>1</v>
      </c>
      <c r="AM1414">
        <f>IF(tbl_HR_Data[[#This Row],[MonthlyIncome]]&lt;$AT$2,1,0)</f>
        <v>1</v>
      </c>
      <c r="AN1414">
        <f>IF(tbl_HR_Data[[#This Row],[Travel_Code]]=2,1,0)</f>
        <v>0</v>
      </c>
      <c r="AO1414">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414" s="15">
        <f>tbl_HR_Data[[#This Row],[Risk_Score_Raw]] / SUM(Logic_Parameters!$B$2:$B$6)</f>
        <v>0.3686061316669938</v>
      </c>
      <c r="AQ1414" s="16" t="str" cm="1">
        <f t="array" ref="AQ1414">_xlfn.IFS(tbl_HR_Data[[#This Row],[Attrition_Risk_Percentage]] &gt;= 0.75, "Critical",tbl_HR_Data[ [#This Row],[Attrition_Risk_Percentage] ]&gt;= 0.5, "High",tbl_HR_Data[[#This Row],[Attrition_Risk_Percentage]] &gt;= 0.25, "Medium",TRUE, "Low")</f>
        <v>Medium</v>
      </c>
      <c r="AR1414" s="16" cm="1">
        <f t="array" ref="AR1414">IFERROR(_xlfn.IFS(tbl_HR_Data[[#This Row],[Risk_Category]]="Critical",tbl_HR_Data[[#This Row],[MonthlyIncome]]*1.5,tbl_HR_Data[[#This Row],[Risk_Category]]="High",tbl_HR_Data[[#This Row],[MonthlyIncome]]*1.5),0)</f>
        <v>0</v>
      </c>
    </row>
    <row r="1415" spans="1:44" x14ac:dyDescent="0.35">
      <c r="A1415" t="s">
        <v>672</v>
      </c>
      <c r="B1415">
        <v>25</v>
      </c>
      <c r="C1415" t="s">
        <v>31</v>
      </c>
      <c r="D1415">
        <v>977</v>
      </c>
      <c r="E1415" t="s">
        <v>38</v>
      </c>
      <c r="F1415">
        <v>2</v>
      </c>
      <c r="G1415">
        <v>1</v>
      </c>
      <c r="H1415" t="s">
        <v>42</v>
      </c>
      <c r="I1415">
        <v>4</v>
      </c>
      <c r="J1415" t="s">
        <v>39</v>
      </c>
      <c r="K1415">
        <v>57</v>
      </c>
      <c r="L1415">
        <v>3</v>
      </c>
      <c r="M1415">
        <v>1</v>
      </c>
      <c r="N1415" t="s">
        <v>43</v>
      </c>
      <c r="O1415">
        <v>3</v>
      </c>
      <c r="P1415" t="s">
        <v>45</v>
      </c>
      <c r="Q1415">
        <v>3977</v>
      </c>
      <c r="R1415">
        <v>7298</v>
      </c>
      <c r="S1415">
        <v>6</v>
      </c>
      <c r="T1415">
        <v>1</v>
      </c>
      <c r="U1415" s="17">
        <v>0.19</v>
      </c>
      <c r="V1415">
        <v>3</v>
      </c>
      <c r="W1415">
        <v>3</v>
      </c>
      <c r="X1415">
        <v>1</v>
      </c>
      <c r="Y1415">
        <v>7</v>
      </c>
      <c r="Z1415">
        <v>2</v>
      </c>
      <c r="AA1415">
        <v>2</v>
      </c>
      <c r="AB1415">
        <v>2</v>
      </c>
      <c r="AC1415">
        <v>2</v>
      </c>
      <c r="AD1415">
        <v>0</v>
      </c>
      <c r="AE1415">
        <v>2</v>
      </c>
      <c r="AF1415">
        <v>0</v>
      </c>
      <c r="AG1415">
        <f>IF(tbl_HR_Data[[#This Row],[Gender]]="Male",1,0)</f>
        <v>1</v>
      </c>
      <c r="AH1415" cm="1">
        <f t="array" ref="AH1415">_xlfn.SWITCH(tbl_HR_Data[[#This Row],[BusinessTravel]], "Non-Travel", 0, "Travel_Rarely", 1, "Travel_Frequently", 2)</f>
        <v>1</v>
      </c>
      <c r="AI1415" cm="1">
        <f t="array" ref="AI1415">_xlfn.SWITCH(tbl_HR_Data[[#This Row],[MaritalStatus]],"Single",0,"Married",1,"Divorced",2)</f>
        <v>2</v>
      </c>
      <c r="AJ1415">
        <f>IF(tbl_HR_Data[[#This Row],[OverTime]]=1,1,0)</f>
        <v>1</v>
      </c>
      <c r="AK1415">
        <f>IF(tbl_HR_Data[[#This Row],[DistanceFromHome]]&gt;15,1,0)</f>
        <v>0</v>
      </c>
      <c r="AL1415">
        <f>IF(tbl_HR_Data[[#This Row],[JobSatisfaction]]&lt;=2,1,0)</f>
        <v>0</v>
      </c>
      <c r="AM1415">
        <f>IF(tbl_HR_Data[[#This Row],[MonthlyIncome]]&lt;$AT$2,1,0)</f>
        <v>1</v>
      </c>
      <c r="AN1415">
        <f>IF(tbl_HR_Data[[#This Row],[Travel_Code]]=2,1,0)</f>
        <v>0</v>
      </c>
      <c r="AO1415">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1415" s="15">
        <f>tbl_HR_Data[[#This Row],[Risk_Score_Raw]] / SUM(Logic_Parameters!$B$2:$B$6)</f>
        <v>0.56827453040563214</v>
      </c>
      <c r="AQ1415" s="16" t="str" cm="1">
        <f t="array" ref="AQ1415">_xlfn.IFS(tbl_HR_Data[[#This Row],[Attrition_Risk_Percentage]] &gt;= 0.75, "Critical",tbl_HR_Data[ [#This Row],[Attrition_Risk_Percentage] ]&gt;= 0.5, "High",tbl_HR_Data[[#This Row],[Attrition_Risk_Percentage]] &gt;= 0.25, "Medium",TRUE, "Low")</f>
        <v>High</v>
      </c>
      <c r="AR1415" s="16" cm="1">
        <f t="array" ref="AR1415">IFERROR(_xlfn.IFS(tbl_HR_Data[[#This Row],[Risk_Category]]="Critical",tbl_HR_Data[[#This Row],[MonthlyIncome]]*1.5,tbl_HR_Data[[#This Row],[Risk_Category]]="High",tbl_HR_Data[[#This Row],[MonthlyIncome]]*1.5),0)</f>
        <v>5965.5</v>
      </c>
    </row>
    <row r="1416" spans="1:44" x14ac:dyDescent="0.35">
      <c r="A1416" t="s">
        <v>468</v>
      </c>
      <c r="B1416">
        <v>47</v>
      </c>
      <c r="C1416" t="s">
        <v>31</v>
      </c>
      <c r="D1416">
        <v>1180</v>
      </c>
      <c r="E1416" t="s">
        <v>38</v>
      </c>
      <c r="F1416">
        <v>25</v>
      </c>
      <c r="G1416">
        <v>3</v>
      </c>
      <c r="H1416" t="s">
        <v>44</v>
      </c>
      <c r="I1416">
        <v>1</v>
      </c>
      <c r="J1416" t="s">
        <v>39</v>
      </c>
      <c r="K1416">
        <v>84</v>
      </c>
      <c r="L1416">
        <v>3</v>
      </c>
      <c r="M1416">
        <v>3</v>
      </c>
      <c r="N1416" t="s">
        <v>47</v>
      </c>
      <c r="O1416">
        <v>3</v>
      </c>
      <c r="P1416" t="s">
        <v>36</v>
      </c>
      <c r="Q1416">
        <v>8633</v>
      </c>
      <c r="R1416">
        <v>13084</v>
      </c>
      <c r="S1416">
        <v>2</v>
      </c>
      <c r="T1416">
        <v>0</v>
      </c>
      <c r="U1416" s="17">
        <v>0.23</v>
      </c>
      <c r="V1416">
        <v>4</v>
      </c>
      <c r="W1416">
        <v>2</v>
      </c>
      <c r="X1416">
        <v>0</v>
      </c>
      <c r="Y1416">
        <v>25</v>
      </c>
      <c r="Z1416">
        <v>3</v>
      </c>
      <c r="AA1416">
        <v>3</v>
      </c>
      <c r="AB1416">
        <v>17</v>
      </c>
      <c r="AC1416">
        <v>14</v>
      </c>
      <c r="AD1416">
        <v>12</v>
      </c>
      <c r="AE1416">
        <v>11</v>
      </c>
      <c r="AF1416">
        <v>0</v>
      </c>
      <c r="AG1416">
        <f>IF(tbl_HR_Data[[#This Row],[Gender]]="Male",1,0)</f>
        <v>1</v>
      </c>
      <c r="AH1416" cm="1">
        <f t="array" ref="AH1416">_xlfn.SWITCH(tbl_HR_Data[[#This Row],[BusinessTravel]], "Non-Travel", 0, "Travel_Rarely", 1, "Travel_Frequently", 2)</f>
        <v>1</v>
      </c>
      <c r="AI1416" cm="1">
        <f t="array" ref="AI1416">_xlfn.SWITCH(tbl_HR_Data[[#This Row],[MaritalStatus]],"Single",0,"Married",1,"Divorced",2)</f>
        <v>0</v>
      </c>
      <c r="AJ1416">
        <f>IF(tbl_HR_Data[[#This Row],[OverTime]]=1,1,0)</f>
        <v>0</v>
      </c>
      <c r="AK1416">
        <f>IF(tbl_HR_Data[[#This Row],[DistanceFromHome]]&gt;15,1,0)</f>
        <v>1</v>
      </c>
      <c r="AL1416">
        <f>IF(tbl_HR_Data[[#This Row],[JobSatisfaction]]&lt;=2,1,0)</f>
        <v>0</v>
      </c>
      <c r="AM1416">
        <f>IF(tbl_HR_Data[[#This Row],[MonthlyIncome]]&lt;$AT$2,1,0)</f>
        <v>0</v>
      </c>
      <c r="AN1416">
        <f>IF(tbl_HR_Data[[#This Row],[Travel_Code]]=2,1,0)</f>
        <v>0</v>
      </c>
      <c r="AO1416">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1416" s="15">
        <f>tbl_HR_Data[[#This Row],[Risk_Score_Raw]] / SUM(Logic_Parameters!$B$2:$B$6)</f>
        <v>0.10908033267710357</v>
      </c>
      <c r="AQ1416" s="16" t="str" cm="1">
        <f t="array" ref="AQ1416">_xlfn.IFS(tbl_HR_Data[[#This Row],[Attrition_Risk_Percentage]] &gt;= 0.75, "Critical",tbl_HR_Data[ [#This Row],[Attrition_Risk_Percentage] ]&gt;= 0.5, "High",tbl_HR_Data[[#This Row],[Attrition_Risk_Percentage]] &gt;= 0.25, "Medium",TRUE, "Low")</f>
        <v>Low</v>
      </c>
      <c r="AR1416" s="16" cm="1">
        <f t="array" ref="AR1416">IFERROR(_xlfn.IFS(tbl_HR_Data[[#This Row],[Risk_Category]]="Critical",tbl_HR_Data[[#This Row],[MonthlyIncome]]*1.5,tbl_HR_Data[[#This Row],[Risk_Category]]="High",tbl_HR_Data[[#This Row],[MonthlyIncome]]*1.5),0)</f>
        <v>0</v>
      </c>
    </row>
    <row r="1417" spans="1:44" x14ac:dyDescent="0.35">
      <c r="A1417" t="s">
        <v>537</v>
      </c>
      <c r="B1417">
        <v>33</v>
      </c>
      <c r="C1417" t="s">
        <v>1525</v>
      </c>
      <c r="D1417">
        <v>1313</v>
      </c>
      <c r="E1417" t="s">
        <v>38</v>
      </c>
      <c r="F1417">
        <v>1</v>
      </c>
      <c r="G1417">
        <v>2</v>
      </c>
      <c r="H1417" t="s">
        <v>44</v>
      </c>
      <c r="I1417">
        <v>2</v>
      </c>
      <c r="J1417" t="s">
        <v>39</v>
      </c>
      <c r="K1417">
        <v>59</v>
      </c>
      <c r="L1417">
        <v>2</v>
      </c>
      <c r="M1417">
        <v>1</v>
      </c>
      <c r="N1417" t="s">
        <v>43</v>
      </c>
      <c r="O1417">
        <v>3</v>
      </c>
      <c r="P1417" t="s">
        <v>45</v>
      </c>
      <c r="Q1417">
        <v>2008</v>
      </c>
      <c r="R1417">
        <v>20439</v>
      </c>
      <c r="S1417">
        <v>1</v>
      </c>
      <c r="T1417">
        <v>0</v>
      </c>
      <c r="U1417" s="17">
        <v>0.12</v>
      </c>
      <c r="V1417">
        <v>3</v>
      </c>
      <c r="W1417">
        <v>3</v>
      </c>
      <c r="X1417">
        <v>3</v>
      </c>
      <c r="Y1417">
        <v>1</v>
      </c>
      <c r="Z1417">
        <v>2</v>
      </c>
      <c r="AA1417">
        <v>2</v>
      </c>
      <c r="AB1417">
        <v>1</v>
      </c>
      <c r="AC1417">
        <v>1</v>
      </c>
      <c r="AD1417">
        <v>0</v>
      </c>
      <c r="AE1417">
        <v>0</v>
      </c>
      <c r="AF1417">
        <v>0</v>
      </c>
      <c r="AG1417">
        <f>IF(tbl_HR_Data[[#This Row],[Gender]]="Male",1,0)</f>
        <v>1</v>
      </c>
      <c r="AH1417" cm="1">
        <f t="array" ref="AH1417">_xlfn.SWITCH(tbl_HR_Data[[#This Row],[BusinessTravel]], "Non-Travel", 0, "Travel_Rarely", 1, "Travel_Frequently", 2)</f>
        <v>0</v>
      </c>
      <c r="AI1417" cm="1">
        <f t="array" ref="AI1417">_xlfn.SWITCH(tbl_HR_Data[[#This Row],[MaritalStatus]],"Single",0,"Married",1,"Divorced",2)</f>
        <v>2</v>
      </c>
      <c r="AJ1417">
        <f>IF(tbl_HR_Data[[#This Row],[OverTime]]=1,1,0)</f>
        <v>0</v>
      </c>
      <c r="AK1417">
        <f>IF(tbl_HR_Data[[#This Row],[DistanceFromHome]]&gt;15,1,0)</f>
        <v>0</v>
      </c>
      <c r="AL1417">
        <f>IF(tbl_HR_Data[[#This Row],[JobSatisfaction]]&lt;=2,1,0)</f>
        <v>0</v>
      </c>
      <c r="AM1417">
        <f>IF(tbl_HR_Data[[#This Row],[MonthlyIncome]]&lt;$AT$2,1,0)</f>
        <v>1</v>
      </c>
      <c r="AN1417">
        <f>IF(tbl_HR_Data[[#This Row],[Travel_Code]]=2,1,0)</f>
        <v>0</v>
      </c>
      <c r="AO1417">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417" s="15">
        <f>tbl_HR_Data[[#This Row],[Risk_Score_Raw]] / SUM(Logic_Parameters!$B$2:$B$6)</f>
        <v>0.22374939857982484</v>
      </c>
      <c r="AQ1417" s="16" t="str" cm="1">
        <f t="array" ref="AQ1417">_xlfn.IFS(tbl_HR_Data[[#This Row],[Attrition_Risk_Percentage]] &gt;= 0.75, "Critical",tbl_HR_Data[ [#This Row],[Attrition_Risk_Percentage] ]&gt;= 0.5, "High",tbl_HR_Data[[#This Row],[Attrition_Risk_Percentage]] &gt;= 0.25, "Medium",TRUE, "Low")</f>
        <v>Low</v>
      </c>
      <c r="AR1417" s="16" cm="1">
        <f t="array" ref="AR1417">IFERROR(_xlfn.IFS(tbl_HR_Data[[#This Row],[Risk_Category]]="Critical",tbl_HR_Data[[#This Row],[MonthlyIncome]]*1.5,tbl_HR_Data[[#This Row],[Risk_Category]]="High",tbl_HR_Data[[#This Row],[MonthlyIncome]]*1.5),0)</f>
        <v>0</v>
      </c>
    </row>
    <row r="1418" spans="1:44" x14ac:dyDescent="0.35">
      <c r="A1418" t="s">
        <v>205</v>
      </c>
      <c r="B1418">
        <v>38</v>
      </c>
      <c r="C1418" t="s">
        <v>31</v>
      </c>
      <c r="D1418">
        <v>1321</v>
      </c>
      <c r="E1418" t="s">
        <v>32</v>
      </c>
      <c r="F1418">
        <v>1</v>
      </c>
      <c r="G1418">
        <v>4</v>
      </c>
      <c r="H1418" t="s">
        <v>33</v>
      </c>
      <c r="I1418">
        <v>4</v>
      </c>
      <c r="J1418" t="s">
        <v>39</v>
      </c>
      <c r="K1418">
        <v>86</v>
      </c>
      <c r="L1418">
        <v>3</v>
      </c>
      <c r="M1418">
        <v>2</v>
      </c>
      <c r="N1418" t="s">
        <v>35</v>
      </c>
      <c r="O1418">
        <v>2</v>
      </c>
      <c r="P1418" t="s">
        <v>41</v>
      </c>
      <c r="Q1418">
        <v>4440</v>
      </c>
      <c r="R1418">
        <v>7636</v>
      </c>
      <c r="S1418">
        <v>0</v>
      </c>
      <c r="T1418">
        <v>0</v>
      </c>
      <c r="U1418" s="17">
        <v>0.15</v>
      </c>
      <c r="V1418">
        <v>3</v>
      </c>
      <c r="W1418">
        <v>1</v>
      </c>
      <c r="X1418">
        <v>2</v>
      </c>
      <c r="Y1418">
        <v>16</v>
      </c>
      <c r="Z1418">
        <v>3</v>
      </c>
      <c r="AA1418">
        <v>3</v>
      </c>
      <c r="AB1418">
        <v>15</v>
      </c>
      <c r="AC1418">
        <v>13</v>
      </c>
      <c r="AD1418">
        <v>5</v>
      </c>
      <c r="AE1418">
        <v>8</v>
      </c>
      <c r="AF1418">
        <v>0</v>
      </c>
      <c r="AG1418">
        <f>IF(tbl_HR_Data[[#This Row],[Gender]]="Male",1,0)</f>
        <v>1</v>
      </c>
      <c r="AH1418" cm="1">
        <f t="array" ref="AH1418">_xlfn.SWITCH(tbl_HR_Data[[#This Row],[BusinessTravel]], "Non-Travel", 0, "Travel_Rarely", 1, "Travel_Frequently", 2)</f>
        <v>1</v>
      </c>
      <c r="AI1418" cm="1">
        <f t="array" ref="AI1418">_xlfn.SWITCH(tbl_HR_Data[[#This Row],[MaritalStatus]],"Single",0,"Married",1,"Divorced",2)</f>
        <v>1</v>
      </c>
      <c r="AJ1418">
        <f>IF(tbl_HR_Data[[#This Row],[OverTime]]=1,1,0)</f>
        <v>0</v>
      </c>
      <c r="AK1418">
        <f>IF(tbl_HR_Data[[#This Row],[DistanceFromHome]]&gt;15,1,0)</f>
        <v>0</v>
      </c>
      <c r="AL1418">
        <f>IF(tbl_HR_Data[[#This Row],[JobSatisfaction]]&lt;=2,1,0)</f>
        <v>1</v>
      </c>
      <c r="AM1418">
        <f>IF(tbl_HR_Data[[#This Row],[MonthlyIncome]]&lt;$AT$2,1,0)</f>
        <v>1</v>
      </c>
      <c r="AN1418">
        <f>IF(tbl_HR_Data[[#This Row],[Travel_Code]]=2,1,0)</f>
        <v>0</v>
      </c>
      <c r="AO1418">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418" s="15">
        <f>tbl_HR_Data[[#This Row],[Risk_Score_Raw]] / SUM(Logic_Parameters!$B$2:$B$6)</f>
        <v>0.3686061316669938</v>
      </c>
      <c r="AQ1418" s="16" t="str" cm="1">
        <f t="array" ref="AQ1418">_xlfn.IFS(tbl_HR_Data[[#This Row],[Attrition_Risk_Percentage]] &gt;= 0.75, "Critical",tbl_HR_Data[ [#This Row],[Attrition_Risk_Percentage] ]&gt;= 0.5, "High",tbl_HR_Data[[#This Row],[Attrition_Risk_Percentage]] &gt;= 0.25, "Medium",TRUE, "Low")</f>
        <v>Medium</v>
      </c>
      <c r="AR1418" s="16" cm="1">
        <f t="array" ref="AR1418">IFERROR(_xlfn.IFS(tbl_HR_Data[[#This Row],[Risk_Category]]="Critical",tbl_HR_Data[[#This Row],[MonthlyIncome]]*1.5,tbl_HR_Data[[#This Row],[Risk_Category]]="High",tbl_HR_Data[[#This Row],[MonthlyIncome]]*1.5),0)</f>
        <v>0</v>
      </c>
    </row>
    <row r="1419" spans="1:44" x14ac:dyDescent="0.35">
      <c r="A1419" t="s">
        <v>871</v>
      </c>
      <c r="B1419">
        <v>31</v>
      </c>
      <c r="C1419" t="s">
        <v>31</v>
      </c>
      <c r="D1419">
        <v>1154</v>
      </c>
      <c r="E1419" t="s">
        <v>32</v>
      </c>
      <c r="F1419">
        <v>2</v>
      </c>
      <c r="G1419">
        <v>2</v>
      </c>
      <c r="H1419" t="s">
        <v>33</v>
      </c>
      <c r="I1419">
        <v>1</v>
      </c>
      <c r="J1419" t="s">
        <v>39</v>
      </c>
      <c r="K1419">
        <v>54</v>
      </c>
      <c r="L1419">
        <v>3</v>
      </c>
      <c r="M1419">
        <v>1</v>
      </c>
      <c r="N1419" t="s">
        <v>49</v>
      </c>
      <c r="O1419">
        <v>3</v>
      </c>
      <c r="P1419" t="s">
        <v>41</v>
      </c>
      <c r="Q1419">
        <v>3067</v>
      </c>
      <c r="R1419">
        <v>6393</v>
      </c>
      <c r="S1419">
        <v>0</v>
      </c>
      <c r="T1419">
        <v>0</v>
      </c>
      <c r="U1419" s="17">
        <v>0.19</v>
      </c>
      <c r="V1419">
        <v>3</v>
      </c>
      <c r="W1419">
        <v>3</v>
      </c>
      <c r="X1419">
        <v>1</v>
      </c>
      <c r="Y1419">
        <v>3</v>
      </c>
      <c r="Z1419">
        <v>1</v>
      </c>
      <c r="AA1419">
        <v>3</v>
      </c>
      <c r="AB1419">
        <v>2</v>
      </c>
      <c r="AC1419">
        <v>2</v>
      </c>
      <c r="AD1419">
        <v>1</v>
      </c>
      <c r="AE1419">
        <v>2</v>
      </c>
      <c r="AF1419">
        <v>0</v>
      </c>
      <c r="AG1419">
        <f>IF(tbl_HR_Data[[#This Row],[Gender]]="Male",1,0)</f>
        <v>1</v>
      </c>
      <c r="AH1419" cm="1">
        <f t="array" ref="AH1419">_xlfn.SWITCH(tbl_HR_Data[[#This Row],[BusinessTravel]], "Non-Travel", 0, "Travel_Rarely", 1, "Travel_Frequently", 2)</f>
        <v>1</v>
      </c>
      <c r="AI1419" cm="1">
        <f t="array" ref="AI1419">_xlfn.SWITCH(tbl_HR_Data[[#This Row],[MaritalStatus]],"Single",0,"Married",1,"Divorced",2)</f>
        <v>1</v>
      </c>
      <c r="AJ1419">
        <f>IF(tbl_HR_Data[[#This Row],[OverTime]]=1,1,0)</f>
        <v>0</v>
      </c>
      <c r="AK1419">
        <f>IF(tbl_HR_Data[[#This Row],[DistanceFromHome]]&gt;15,1,0)</f>
        <v>0</v>
      </c>
      <c r="AL1419">
        <f>IF(tbl_HR_Data[[#This Row],[JobSatisfaction]]&lt;=2,1,0)</f>
        <v>0</v>
      </c>
      <c r="AM1419">
        <f>IF(tbl_HR_Data[[#This Row],[MonthlyIncome]]&lt;$AT$2,1,0)</f>
        <v>1</v>
      </c>
      <c r="AN1419">
        <f>IF(tbl_HR_Data[[#This Row],[Travel_Code]]=2,1,0)</f>
        <v>0</v>
      </c>
      <c r="AO1419">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419" s="15">
        <f>tbl_HR_Data[[#This Row],[Risk_Score_Raw]] / SUM(Logic_Parameters!$B$2:$B$6)</f>
        <v>0.22374939857982484</v>
      </c>
      <c r="AQ1419" s="16" t="str" cm="1">
        <f t="array" ref="AQ1419">_xlfn.IFS(tbl_HR_Data[[#This Row],[Attrition_Risk_Percentage]] &gt;= 0.75, "Critical",tbl_HR_Data[ [#This Row],[Attrition_Risk_Percentage] ]&gt;= 0.5, "High",tbl_HR_Data[[#This Row],[Attrition_Risk_Percentage]] &gt;= 0.25, "Medium",TRUE, "Low")</f>
        <v>Low</v>
      </c>
      <c r="AR1419" s="16" cm="1">
        <f t="array" ref="AR1419">IFERROR(_xlfn.IFS(tbl_HR_Data[[#This Row],[Risk_Category]]="Critical",tbl_HR_Data[[#This Row],[MonthlyIncome]]*1.5,tbl_HR_Data[[#This Row],[Risk_Category]]="High",tbl_HR_Data[[#This Row],[MonthlyIncome]]*1.5),0)</f>
        <v>0</v>
      </c>
    </row>
    <row r="1420" spans="1:44" x14ac:dyDescent="0.35">
      <c r="A1420" t="s">
        <v>827</v>
      </c>
      <c r="B1420">
        <v>38</v>
      </c>
      <c r="C1420" t="s">
        <v>37</v>
      </c>
      <c r="D1420">
        <v>508</v>
      </c>
      <c r="E1420" t="s">
        <v>38</v>
      </c>
      <c r="F1420">
        <v>6</v>
      </c>
      <c r="G1420">
        <v>4</v>
      </c>
      <c r="H1420" t="s">
        <v>33</v>
      </c>
      <c r="I1420">
        <v>1</v>
      </c>
      <c r="J1420" t="s">
        <v>39</v>
      </c>
      <c r="K1420">
        <v>72</v>
      </c>
      <c r="L1420">
        <v>2</v>
      </c>
      <c r="M1420">
        <v>2</v>
      </c>
      <c r="N1420" t="s">
        <v>46</v>
      </c>
      <c r="O1420">
        <v>3</v>
      </c>
      <c r="P1420" t="s">
        <v>41</v>
      </c>
      <c r="Q1420">
        <v>5321</v>
      </c>
      <c r="R1420">
        <v>14284</v>
      </c>
      <c r="S1420">
        <v>2</v>
      </c>
      <c r="T1420">
        <v>0</v>
      </c>
      <c r="U1420" s="17">
        <v>0.11</v>
      </c>
      <c r="V1420">
        <v>3</v>
      </c>
      <c r="W1420">
        <v>4</v>
      </c>
      <c r="X1420">
        <v>1</v>
      </c>
      <c r="Y1420">
        <v>10</v>
      </c>
      <c r="Z1420">
        <v>1</v>
      </c>
      <c r="AA1420">
        <v>3</v>
      </c>
      <c r="AB1420">
        <v>8</v>
      </c>
      <c r="AC1420">
        <v>3</v>
      </c>
      <c r="AD1420">
        <v>7</v>
      </c>
      <c r="AE1420">
        <v>7</v>
      </c>
      <c r="AF1420">
        <v>0</v>
      </c>
      <c r="AG1420">
        <f>IF(tbl_HR_Data[[#This Row],[Gender]]="Male",1,0)</f>
        <v>1</v>
      </c>
      <c r="AH1420" cm="1">
        <f t="array" ref="AH1420">_xlfn.SWITCH(tbl_HR_Data[[#This Row],[BusinessTravel]], "Non-Travel", 0, "Travel_Rarely", 1, "Travel_Frequently", 2)</f>
        <v>2</v>
      </c>
      <c r="AI1420" cm="1">
        <f t="array" ref="AI1420">_xlfn.SWITCH(tbl_HR_Data[[#This Row],[MaritalStatus]],"Single",0,"Married",1,"Divorced",2)</f>
        <v>1</v>
      </c>
      <c r="AJ1420">
        <f>IF(tbl_HR_Data[[#This Row],[OverTime]]=1,1,0)</f>
        <v>0</v>
      </c>
      <c r="AK1420">
        <f>IF(tbl_HR_Data[[#This Row],[DistanceFromHome]]&gt;15,1,0)</f>
        <v>0</v>
      </c>
      <c r="AL1420">
        <f>IF(tbl_HR_Data[[#This Row],[JobSatisfaction]]&lt;=2,1,0)</f>
        <v>0</v>
      </c>
      <c r="AM1420">
        <f>IF(tbl_HR_Data[[#This Row],[MonthlyIncome]]&lt;$AT$2,1,0)</f>
        <v>0</v>
      </c>
      <c r="AN1420">
        <f>IF(tbl_HR_Data[[#This Row],[Travel_Code]]=2,1,0)</f>
        <v>1</v>
      </c>
      <c r="AO1420">
        <f>(tbl_HR_Data[[#This Row],[Flag_OT]] * Logic_Parameters!$B$2) +
 (tbl_HR_Data[[#This Row],[Flag_Travel]] * Logic_Parameters!$B$3) +
 (tbl_HR_Data[[#This Row],[Flag_Satisfaction]] * Logic_Parameters!$B$4) +
 (tbl_HR_Data[[#This Row],[Flag_Distance]]* Logic_Parameters!$B$5) +
 (tbl_HR_Data[[#This Row],[Flag_Income]] * Logic_Parameters!$B$6)</f>
        <v>5.1603899804901765</v>
      </c>
      <c r="AP1420" s="15">
        <f>tbl_HR_Data[[#This Row],[Risk_Score_Raw]] / SUM(Logic_Parameters!$B$2:$B$6)</f>
        <v>0.17778840383009531</v>
      </c>
      <c r="AQ1420" s="16" t="str" cm="1">
        <f t="array" ref="AQ1420">_xlfn.IFS(tbl_HR_Data[[#This Row],[Attrition_Risk_Percentage]] &gt;= 0.75, "Critical",tbl_HR_Data[ [#This Row],[Attrition_Risk_Percentage] ]&gt;= 0.5, "High",tbl_HR_Data[[#This Row],[Attrition_Risk_Percentage]] &gt;= 0.25, "Medium",TRUE, "Low")</f>
        <v>Low</v>
      </c>
      <c r="AR1420" s="16" cm="1">
        <f t="array" ref="AR1420">IFERROR(_xlfn.IFS(tbl_HR_Data[[#This Row],[Risk_Category]]="Critical",tbl_HR_Data[[#This Row],[MonthlyIncome]]*1.5,tbl_HR_Data[[#This Row],[Risk_Category]]="High",tbl_HR_Data[[#This Row],[MonthlyIncome]]*1.5),0)</f>
        <v>0</v>
      </c>
    </row>
    <row r="1421" spans="1:44" x14ac:dyDescent="0.35">
      <c r="A1421" t="s">
        <v>999</v>
      </c>
      <c r="B1421">
        <v>42</v>
      </c>
      <c r="C1421" t="s">
        <v>31</v>
      </c>
      <c r="D1421">
        <v>557</v>
      </c>
      <c r="E1421" t="s">
        <v>38</v>
      </c>
      <c r="F1421">
        <v>18</v>
      </c>
      <c r="G1421">
        <v>4</v>
      </c>
      <c r="H1421" t="s">
        <v>33</v>
      </c>
      <c r="I1421">
        <v>4</v>
      </c>
      <c r="J1421" t="s">
        <v>39</v>
      </c>
      <c r="K1421">
        <v>35</v>
      </c>
      <c r="L1421">
        <v>3</v>
      </c>
      <c r="M1421">
        <v>2</v>
      </c>
      <c r="N1421" t="s">
        <v>40</v>
      </c>
      <c r="O1421">
        <v>1</v>
      </c>
      <c r="P1421" t="s">
        <v>45</v>
      </c>
      <c r="Q1421">
        <v>5410</v>
      </c>
      <c r="R1421">
        <v>11189</v>
      </c>
      <c r="S1421">
        <v>6</v>
      </c>
      <c r="T1421">
        <v>1</v>
      </c>
      <c r="U1421" s="17">
        <v>0.17</v>
      </c>
      <c r="V1421">
        <v>3</v>
      </c>
      <c r="W1421">
        <v>3</v>
      </c>
      <c r="X1421">
        <v>1</v>
      </c>
      <c r="Y1421">
        <v>9</v>
      </c>
      <c r="Z1421">
        <v>3</v>
      </c>
      <c r="AA1421">
        <v>2</v>
      </c>
      <c r="AB1421">
        <v>4</v>
      </c>
      <c r="AC1421">
        <v>3</v>
      </c>
      <c r="AD1421">
        <v>1</v>
      </c>
      <c r="AE1421">
        <v>2</v>
      </c>
      <c r="AF1421">
        <v>0</v>
      </c>
      <c r="AG1421">
        <f>IF(tbl_HR_Data[[#This Row],[Gender]]="Male",1,0)</f>
        <v>1</v>
      </c>
      <c r="AH1421" cm="1">
        <f t="array" ref="AH1421">_xlfn.SWITCH(tbl_HR_Data[[#This Row],[BusinessTravel]], "Non-Travel", 0, "Travel_Rarely", 1, "Travel_Frequently", 2)</f>
        <v>1</v>
      </c>
      <c r="AI1421" cm="1">
        <f t="array" ref="AI1421">_xlfn.SWITCH(tbl_HR_Data[[#This Row],[MaritalStatus]],"Single",0,"Married",1,"Divorced",2)</f>
        <v>2</v>
      </c>
      <c r="AJ1421">
        <f>IF(tbl_HR_Data[[#This Row],[OverTime]]=1,1,0)</f>
        <v>1</v>
      </c>
      <c r="AK1421">
        <f>IF(tbl_HR_Data[[#This Row],[DistanceFromHome]]&gt;15,1,0)</f>
        <v>1</v>
      </c>
      <c r="AL1421">
        <f>IF(tbl_HR_Data[[#This Row],[JobSatisfaction]]&lt;=2,1,0)</f>
        <v>1</v>
      </c>
      <c r="AM1421">
        <f>IF(tbl_HR_Data[[#This Row],[MonthlyIncome]]&lt;$AT$2,1,0)</f>
        <v>0</v>
      </c>
      <c r="AN1421">
        <f>IF(tbl_HR_Data[[#This Row],[Travel_Code]]=2,1,0)</f>
        <v>0</v>
      </c>
      <c r="AO1421">
        <f>(tbl_HR_Data[[#This Row],[Flag_OT]] * Logic_Parameters!$B$2) +
 (tbl_HR_Data[[#This Row],[Flag_Travel]] * Logic_Parameters!$B$3) +
 (tbl_HR_Data[[#This Row],[Flag_Satisfaction]] * Logic_Parameters!$B$4) +
 (tbl_HR_Data[[#This Row],[Flag_Distance]]* Logic_Parameters!$B$5) +
 (tbl_HR_Data[[#This Row],[Flag_Income]] * Logic_Parameters!$B$6)</f>
        <v>17.370639825853509</v>
      </c>
      <c r="AP1421" s="15">
        <f>tbl_HR_Data[[#This Row],[Risk_Score_Raw]] / SUM(Logic_Parameters!$B$2:$B$6)</f>
        <v>0.59846219759007979</v>
      </c>
      <c r="AQ1421" s="16" t="str" cm="1">
        <f t="array" ref="AQ1421">_xlfn.IFS(tbl_HR_Data[[#This Row],[Attrition_Risk_Percentage]] &gt;= 0.75, "Critical",tbl_HR_Data[ [#This Row],[Attrition_Risk_Percentage] ]&gt;= 0.5, "High",tbl_HR_Data[[#This Row],[Attrition_Risk_Percentage]] &gt;= 0.25, "Medium",TRUE, "Low")</f>
        <v>High</v>
      </c>
      <c r="AR1421" s="16" cm="1">
        <f t="array" ref="AR1421">IFERROR(_xlfn.IFS(tbl_HR_Data[[#This Row],[Risk_Category]]="Critical",tbl_HR_Data[[#This Row],[MonthlyIncome]]*1.5,tbl_HR_Data[[#This Row],[Risk_Category]]="High",tbl_HR_Data[[#This Row],[MonthlyIncome]]*1.5),0)</f>
        <v>8115</v>
      </c>
    </row>
    <row r="1422" spans="1:44" x14ac:dyDescent="0.35">
      <c r="A1422" t="s">
        <v>805</v>
      </c>
      <c r="B1422">
        <v>41</v>
      </c>
      <c r="C1422" t="s">
        <v>31</v>
      </c>
      <c r="D1422">
        <v>642</v>
      </c>
      <c r="E1422" t="s">
        <v>38</v>
      </c>
      <c r="F1422">
        <v>1</v>
      </c>
      <c r="G1422">
        <v>3</v>
      </c>
      <c r="H1422" t="s">
        <v>33</v>
      </c>
      <c r="I1422">
        <v>4</v>
      </c>
      <c r="J1422" t="s">
        <v>39</v>
      </c>
      <c r="K1422">
        <v>76</v>
      </c>
      <c r="L1422">
        <v>3</v>
      </c>
      <c r="M1422">
        <v>1</v>
      </c>
      <c r="N1422" t="s">
        <v>40</v>
      </c>
      <c r="O1422">
        <v>4</v>
      </c>
      <c r="P1422" t="s">
        <v>41</v>
      </c>
      <c r="Q1422">
        <v>2782</v>
      </c>
      <c r="R1422">
        <v>21412</v>
      </c>
      <c r="S1422">
        <v>3</v>
      </c>
      <c r="T1422">
        <v>0</v>
      </c>
      <c r="U1422" s="17">
        <v>0.22</v>
      </c>
      <c r="V1422">
        <v>4</v>
      </c>
      <c r="W1422">
        <v>1</v>
      </c>
      <c r="X1422">
        <v>1</v>
      </c>
      <c r="Y1422">
        <v>12</v>
      </c>
      <c r="Z1422">
        <v>3</v>
      </c>
      <c r="AA1422">
        <v>3</v>
      </c>
      <c r="AB1422">
        <v>5</v>
      </c>
      <c r="AC1422">
        <v>3</v>
      </c>
      <c r="AD1422">
        <v>1</v>
      </c>
      <c r="AE1422">
        <v>0</v>
      </c>
      <c r="AF1422">
        <v>0</v>
      </c>
      <c r="AG1422">
        <f>IF(tbl_HR_Data[[#This Row],[Gender]]="Male",1,0)</f>
        <v>1</v>
      </c>
      <c r="AH1422" cm="1">
        <f t="array" ref="AH1422">_xlfn.SWITCH(tbl_HR_Data[[#This Row],[BusinessTravel]], "Non-Travel", 0, "Travel_Rarely", 1, "Travel_Frequently", 2)</f>
        <v>1</v>
      </c>
      <c r="AI1422" cm="1">
        <f t="array" ref="AI1422">_xlfn.SWITCH(tbl_HR_Data[[#This Row],[MaritalStatus]],"Single",0,"Married",1,"Divorced",2)</f>
        <v>1</v>
      </c>
      <c r="AJ1422">
        <f>IF(tbl_HR_Data[[#This Row],[OverTime]]=1,1,0)</f>
        <v>0</v>
      </c>
      <c r="AK1422">
        <f>IF(tbl_HR_Data[[#This Row],[DistanceFromHome]]&gt;15,1,0)</f>
        <v>0</v>
      </c>
      <c r="AL1422">
        <f>IF(tbl_HR_Data[[#This Row],[JobSatisfaction]]&lt;=2,1,0)</f>
        <v>0</v>
      </c>
      <c r="AM1422">
        <f>IF(tbl_HR_Data[[#This Row],[MonthlyIncome]]&lt;$AT$2,1,0)</f>
        <v>1</v>
      </c>
      <c r="AN1422">
        <f>IF(tbl_HR_Data[[#This Row],[Travel_Code]]=2,1,0)</f>
        <v>0</v>
      </c>
      <c r="AO1422">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422" s="15">
        <f>tbl_HR_Data[[#This Row],[Risk_Score_Raw]] / SUM(Logic_Parameters!$B$2:$B$6)</f>
        <v>0.22374939857982484</v>
      </c>
      <c r="AQ1422" s="16" t="str" cm="1">
        <f t="array" ref="AQ1422">_xlfn.IFS(tbl_HR_Data[[#This Row],[Attrition_Risk_Percentage]] &gt;= 0.75, "Critical",tbl_HR_Data[ [#This Row],[Attrition_Risk_Percentage] ]&gt;= 0.5, "High",tbl_HR_Data[[#This Row],[Attrition_Risk_Percentage]] &gt;= 0.25, "Medium",TRUE, "Low")</f>
        <v>Low</v>
      </c>
      <c r="AR1422" s="16" cm="1">
        <f t="array" ref="AR1422">IFERROR(_xlfn.IFS(tbl_HR_Data[[#This Row],[Risk_Category]]="Critical",tbl_HR_Data[[#This Row],[MonthlyIncome]]*1.5,tbl_HR_Data[[#This Row],[Risk_Category]]="High",tbl_HR_Data[[#This Row],[MonthlyIncome]]*1.5),0)</f>
        <v>0</v>
      </c>
    </row>
    <row r="1423" spans="1:44" x14ac:dyDescent="0.35">
      <c r="A1423" t="s">
        <v>1162</v>
      </c>
      <c r="B1423">
        <v>47</v>
      </c>
      <c r="C1423" t="s">
        <v>1525</v>
      </c>
      <c r="D1423">
        <v>1162</v>
      </c>
      <c r="E1423" t="s">
        <v>38</v>
      </c>
      <c r="F1423">
        <v>1</v>
      </c>
      <c r="G1423">
        <v>1</v>
      </c>
      <c r="H1423" t="s">
        <v>44</v>
      </c>
      <c r="I1423">
        <v>3</v>
      </c>
      <c r="J1423" t="s">
        <v>34</v>
      </c>
      <c r="K1423">
        <v>98</v>
      </c>
      <c r="L1423">
        <v>3</v>
      </c>
      <c r="M1423">
        <v>3</v>
      </c>
      <c r="N1423" t="s">
        <v>50</v>
      </c>
      <c r="O1423">
        <v>2</v>
      </c>
      <c r="P1423" t="s">
        <v>41</v>
      </c>
      <c r="Q1423">
        <v>11957</v>
      </c>
      <c r="R1423">
        <v>17231</v>
      </c>
      <c r="S1423">
        <v>0</v>
      </c>
      <c r="T1423">
        <v>0</v>
      </c>
      <c r="U1423" s="17">
        <v>0.18</v>
      </c>
      <c r="V1423">
        <v>3</v>
      </c>
      <c r="W1423">
        <v>1</v>
      </c>
      <c r="X1423">
        <v>2</v>
      </c>
      <c r="Y1423">
        <v>14</v>
      </c>
      <c r="Z1423">
        <v>3</v>
      </c>
      <c r="AA1423">
        <v>1</v>
      </c>
      <c r="AB1423">
        <v>13</v>
      </c>
      <c r="AC1423">
        <v>8</v>
      </c>
      <c r="AD1423">
        <v>5</v>
      </c>
      <c r="AE1423">
        <v>12</v>
      </c>
      <c r="AF1423">
        <v>0</v>
      </c>
      <c r="AG1423">
        <f>IF(tbl_HR_Data[[#This Row],[Gender]]="Male",1,0)</f>
        <v>0</v>
      </c>
      <c r="AH1423" cm="1">
        <f t="array" ref="AH1423">_xlfn.SWITCH(tbl_HR_Data[[#This Row],[BusinessTravel]], "Non-Travel", 0, "Travel_Rarely", 1, "Travel_Frequently", 2)</f>
        <v>0</v>
      </c>
      <c r="AI1423" cm="1">
        <f t="array" ref="AI1423">_xlfn.SWITCH(tbl_HR_Data[[#This Row],[MaritalStatus]],"Single",0,"Married",1,"Divorced",2)</f>
        <v>1</v>
      </c>
      <c r="AJ1423">
        <f>IF(tbl_HR_Data[[#This Row],[OverTime]]=1,1,0)</f>
        <v>0</v>
      </c>
      <c r="AK1423">
        <f>IF(tbl_HR_Data[[#This Row],[DistanceFromHome]]&gt;15,1,0)</f>
        <v>0</v>
      </c>
      <c r="AL1423">
        <f>IF(tbl_HR_Data[[#This Row],[JobSatisfaction]]&lt;=2,1,0)</f>
        <v>1</v>
      </c>
      <c r="AM1423">
        <f>IF(tbl_HR_Data[[#This Row],[MonthlyIncome]]&lt;$AT$2,1,0)</f>
        <v>0</v>
      </c>
      <c r="AN1423">
        <f>IF(tbl_HR_Data[[#This Row],[Travel_Code]]=2,1,0)</f>
        <v>0</v>
      </c>
      <c r="AO1423">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423" s="15">
        <f>tbl_HR_Data[[#This Row],[Risk_Score_Raw]] / SUM(Logic_Parameters!$B$2:$B$6)</f>
        <v>0.14485673308716898</v>
      </c>
      <c r="AQ1423" s="16" t="str" cm="1">
        <f t="array" ref="AQ1423">_xlfn.IFS(tbl_HR_Data[[#This Row],[Attrition_Risk_Percentage]] &gt;= 0.75, "Critical",tbl_HR_Data[ [#This Row],[Attrition_Risk_Percentage] ]&gt;= 0.5, "High",tbl_HR_Data[[#This Row],[Attrition_Risk_Percentage]] &gt;= 0.25, "Medium",TRUE, "Low")</f>
        <v>Low</v>
      </c>
      <c r="AR1423" s="16" cm="1">
        <f t="array" ref="AR1423">IFERROR(_xlfn.IFS(tbl_HR_Data[[#This Row],[Risk_Category]]="Critical",tbl_HR_Data[[#This Row],[MonthlyIncome]]*1.5,tbl_HR_Data[[#This Row],[Risk_Category]]="High",tbl_HR_Data[[#This Row],[MonthlyIncome]]*1.5),0)</f>
        <v>0</v>
      </c>
    </row>
    <row r="1424" spans="1:44" x14ac:dyDescent="0.35">
      <c r="A1424" t="s">
        <v>1367</v>
      </c>
      <c r="B1424">
        <v>35</v>
      </c>
      <c r="C1424" t="s">
        <v>31</v>
      </c>
      <c r="D1424">
        <v>1490</v>
      </c>
      <c r="E1424" t="s">
        <v>38</v>
      </c>
      <c r="F1424">
        <v>11</v>
      </c>
      <c r="G1424">
        <v>4</v>
      </c>
      <c r="H1424" t="s">
        <v>44</v>
      </c>
      <c r="I1424">
        <v>4</v>
      </c>
      <c r="J1424" t="s">
        <v>39</v>
      </c>
      <c r="K1424">
        <v>43</v>
      </c>
      <c r="L1424">
        <v>3</v>
      </c>
      <c r="M1424">
        <v>1</v>
      </c>
      <c r="N1424" t="s">
        <v>43</v>
      </c>
      <c r="O1424">
        <v>3</v>
      </c>
      <c r="P1424" t="s">
        <v>41</v>
      </c>
      <c r="Q1424">
        <v>2660</v>
      </c>
      <c r="R1424">
        <v>20232</v>
      </c>
      <c r="S1424">
        <v>7</v>
      </c>
      <c r="T1424">
        <v>1</v>
      </c>
      <c r="U1424" s="17">
        <v>0.11</v>
      </c>
      <c r="V1424">
        <v>3</v>
      </c>
      <c r="W1424">
        <v>3</v>
      </c>
      <c r="X1424">
        <v>1</v>
      </c>
      <c r="Y1424">
        <v>5</v>
      </c>
      <c r="Z1424">
        <v>3</v>
      </c>
      <c r="AA1424">
        <v>3</v>
      </c>
      <c r="AB1424">
        <v>2</v>
      </c>
      <c r="AC1424">
        <v>2</v>
      </c>
      <c r="AD1424">
        <v>2</v>
      </c>
      <c r="AE1424">
        <v>2</v>
      </c>
      <c r="AF1424">
        <v>0</v>
      </c>
      <c r="AG1424">
        <f>IF(tbl_HR_Data[[#This Row],[Gender]]="Male",1,0)</f>
        <v>1</v>
      </c>
      <c r="AH1424" cm="1">
        <f t="array" ref="AH1424">_xlfn.SWITCH(tbl_HR_Data[[#This Row],[BusinessTravel]], "Non-Travel", 0, "Travel_Rarely", 1, "Travel_Frequently", 2)</f>
        <v>1</v>
      </c>
      <c r="AI1424" cm="1">
        <f t="array" ref="AI1424">_xlfn.SWITCH(tbl_HR_Data[[#This Row],[MaritalStatus]],"Single",0,"Married",1,"Divorced",2)</f>
        <v>1</v>
      </c>
      <c r="AJ1424">
        <f>IF(tbl_HR_Data[[#This Row],[OverTime]]=1,1,0)</f>
        <v>1</v>
      </c>
      <c r="AK1424">
        <f>IF(tbl_HR_Data[[#This Row],[DistanceFromHome]]&gt;15,1,0)</f>
        <v>0</v>
      </c>
      <c r="AL1424">
        <f>IF(tbl_HR_Data[[#This Row],[JobSatisfaction]]&lt;=2,1,0)</f>
        <v>0</v>
      </c>
      <c r="AM1424">
        <f>IF(tbl_HR_Data[[#This Row],[MonthlyIncome]]&lt;$AT$2,1,0)</f>
        <v>1</v>
      </c>
      <c r="AN1424">
        <f>IF(tbl_HR_Data[[#This Row],[Travel_Code]]=2,1,0)</f>
        <v>0</v>
      </c>
      <c r="AO1424">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1424" s="15">
        <f>tbl_HR_Data[[#This Row],[Risk_Score_Raw]] / SUM(Logic_Parameters!$B$2:$B$6)</f>
        <v>0.56827453040563214</v>
      </c>
      <c r="AQ1424" s="16" t="str" cm="1">
        <f t="array" ref="AQ1424">_xlfn.IFS(tbl_HR_Data[[#This Row],[Attrition_Risk_Percentage]] &gt;= 0.75, "Critical",tbl_HR_Data[ [#This Row],[Attrition_Risk_Percentage] ]&gt;= 0.5, "High",tbl_HR_Data[[#This Row],[Attrition_Risk_Percentage]] &gt;= 0.25, "Medium",TRUE, "Low")</f>
        <v>High</v>
      </c>
      <c r="AR1424" s="16" cm="1">
        <f t="array" ref="AR1424">IFERROR(_xlfn.IFS(tbl_HR_Data[[#This Row],[Risk_Category]]="Critical",tbl_HR_Data[[#This Row],[MonthlyIncome]]*1.5,tbl_HR_Data[[#This Row],[Risk_Category]]="High",tbl_HR_Data[[#This Row],[MonthlyIncome]]*1.5),0)</f>
        <v>3990</v>
      </c>
    </row>
    <row r="1425" spans="1:44" x14ac:dyDescent="0.35">
      <c r="A1425" t="s">
        <v>1285</v>
      </c>
      <c r="B1425">
        <v>22</v>
      </c>
      <c r="C1425" t="s">
        <v>31</v>
      </c>
      <c r="D1425">
        <v>581</v>
      </c>
      <c r="E1425" t="s">
        <v>38</v>
      </c>
      <c r="F1425">
        <v>1</v>
      </c>
      <c r="G1425">
        <v>2</v>
      </c>
      <c r="H1425" t="s">
        <v>33</v>
      </c>
      <c r="I1425">
        <v>4</v>
      </c>
      <c r="J1425" t="s">
        <v>39</v>
      </c>
      <c r="K1425">
        <v>63</v>
      </c>
      <c r="L1425">
        <v>3</v>
      </c>
      <c r="M1425">
        <v>1</v>
      </c>
      <c r="N1425" t="s">
        <v>40</v>
      </c>
      <c r="O1425">
        <v>3</v>
      </c>
      <c r="P1425" t="s">
        <v>36</v>
      </c>
      <c r="Q1425">
        <v>3375</v>
      </c>
      <c r="R1425">
        <v>17624</v>
      </c>
      <c r="S1425">
        <v>0</v>
      </c>
      <c r="T1425">
        <v>0</v>
      </c>
      <c r="U1425" s="17">
        <v>0.12</v>
      </c>
      <c r="V1425">
        <v>3</v>
      </c>
      <c r="W1425">
        <v>4</v>
      </c>
      <c r="X1425">
        <v>0</v>
      </c>
      <c r="Y1425">
        <v>4</v>
      </c>
      <c r="Z1425">
        <v>2</v>
      </c>
      <c r="AA1425">
        <v>4</v>
      </c>
      <c r="AB1425">
        <v>3</v>
      </c>
      <c r="AC1425">
        <v>2</v>
      </c>
      <c r="AD1425">
        <v>1</v>
      </c>
      <c r="AE1425">
        <v>2</v>
      </c>
      <c r="AF1425">
        <v>0</v>
      </c>
      <c r="AG1425">
        <f>IF(tbl_HR_Data[[#This Row],[Gender]]="Male",1,0)</f>
        <v>1</v>
      </c>
      <c r="AH1425" cm="1">
        <f t="array" ref="AH1425">_xlfn.SWITCH(tbl_HR_Data[[#This Row],[BusinessTravel]], "Non-Travel", 0, "Travel_Rarely", 1, "Travel_Frequently", 2)</f>
        <v>1</v>
      </c>
      <c r="AI1425" cm="1">
        <f t="array" ref="AI1425">_xlfn.SWITCH(tbl_HR_Data[[#This Row],[MaritalStatus]],"Single",0,"Married",1,"Divorced",2)</f>
        <v>0</v>
      </c>
      <c r="AJ1425">
        <f>IF(tbl_HR_Data[[#This Row],[OverTime]]=1,1,0)</f>
        <v>0</v>
      </c>
      <c r="AK1425">
        <f>IF(tbl_HR_Data[[#This Row],[DistanceFromHome]]&gt;15,1,0)</f>
        <v>0</v>
      </c>
      <c r="AL1425">
        <f>IF(tbl_HR_Data[[#This Row],[JobSatisfaction]]&lt;=2,1,0)</f>
        <v>0</v>
      </c>
      <c r="AM1425">
        <f>IF(tbl_HR_Data[[#This Row],[MonthlyIncome]]&lt;$AT$2,1,0)</f>
        <v>1</v>
      </c>
      <c r="AN1425">
        <f>IF(tbl_HR_Data[[#This Row],[Travel_Code]]=2,1,0)</f>
        <v>0</v>
      </c>
      <c r="AO1425">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425" s="15">
        <f>tbl_HR_Data[[#This Row],[Risk_Score_Raw]] / SUM(Logic_Parameters!$B$2:$B$6)</f>
        <v>0.22374939857982484</v>
      </c>
      <c r="AQ1425" s="16" t="str" cm="1">
        <f t="array" ref="AQ1425">_xlfn.IFS(tbl_HR_Data[[#This Row],[Attrition_Risk_Percentage]] &gt;= 0.75, "Critical",tbl_HR_Data[ [#This Row],[Attrition_Risk_Percentage] ]&gt;= 0.5, "High",tbl_HR_Data[[#This Row],[Attrition_Risk_Percentage]] &gt;= 0.25, "Medium",TRUE, "Low")</f>
        <v>Low</v>
      </c>
      <c r="AR1425" s="16" cm="1">
        <f t="array" ref="AR1425">IFERROR(_xlfn.IFS(tbl_HR_Data[[#This Row],[Risk_Category]]="Critical",tbl_HR_Data[[#This Row],[MonthlyIncome]]*1.5,tbl_HR_Data[[#This Row],[Risk_Category]]="High",tbl_HR_Data[[#This Row],[MonthlyIncome]]*1.5),0)</f>
        <v>0</v>
      </c>
    </row>
    <row r="1426" spans="1:44" x14ac:dyDescent="0.35">
      <c r="A1426" t="s">
        <v>1288</v>
      </c>
      <c r="B1426">
        <v>35</v>
      </c>
      <c r="C1426" t="s">
        <v>31</v>
      </c>
      <c r="D1426">
        <v>1395</v>
      </c>
      <c r="E1426" t="s">
        <v>38</v>
      </c>
      <c r="F1426">
        <v>9</v>
      </c>
      <c r="G1426">
        <v>4</v>
      </c>
      <c r="H1426" t="s">
        <v>44</v>
      </c>
      <c r="I1426">
        <v>2</v>
      </c>
      <c r="J1426" t="s">
        <v>39</v>
      </c>
      <c r="K1426">
        <v>48</v>
      </c>
      <c r="L1426">
        <v>3</v>
      </c>
      <c r="M1426">
        <v>2</v>
      </c>
      <c r="N1426" t="s">
        <v>40</v>
      </c>
      <c r="O1426">
        <v>3</v>
      </c>
      <c r="P1426" t="s">
        <v>36</v>
      </c>
      <c r="Q1426">
        <v>5098</v>
      </c>
      <c r="R1426">
        <v>18698</v>
      </c>
      <c r="S1426">
        <v>1</v>
      </c>
      <c r="T1426">
        <v>0</v>
      </c>
      <c r="U1426" s="17">
        <v>0.19</v>
      </c>
      <c r="V1426">
        <v>3</v>
      </c>
      <c r="W1426">
        <v>2</v>
      </c>
      <c r="X1426">
        <v>0</v>
      </c>
      <c r="Y1426">
        <v>10</v>
      </c>
      <c r="Z1426">
        <v>5</v>
      </c>
      <c r="AA1426">
        <v>3</v>
      </c>
      <c r="AB1426">
        <v>10</v>
      </c>
      <c r="AC1426">
        <v>7</v>
      </c>
      <c r="AD1426">
        <v>0</v>
      </c>
      <c r="AE1426">
        <v>8</v>
      </c>
      <c r="AF1426">
        <v>0</v>
      </c>
      <c r="AG1426">
        <f>IF(tbl_HR_Data[[#This Row],[Gender]]="Male",1,0)</f>
        <v>1</v>
      </c>
      <c r="AH1426" cm="1">
        <f t="array" ref="AH1426">_xlfn.SWITCH(tbl_HR_Data[[#This Row],[BusinessTravel]], "Non-Travel", 0, "Travel_Rarely", 1, "Travel_Frequently", 2)</f>
        <v>1</v>
      </c>
      <c r="AI1426" cm="1">
        <f t="array" ref="AI1426">_xlfn.SWITCH(tbl_HR_Data[[#This Row],[MaritalStatus]],"Single",0,"Married",1,"Divorced",2)</f>
        <v>0</v>
      </c>
      <c r="AJ1426">
        <f>IF(tbl_HR_Data[[#This Row],[OverTime]]=1,1,0)</f>
        <v>0</v>
      </c>
      <c r="AK1426">
        <f>IF(tbl_HR_Data[[#This Row],[DistanceFromHome]]&gt;15,1,0)</f>
        <v>0</v>
      </c>
      <c r="AL1426">
        <f>IF(tbl_HR_Data[[#This Row],[JobSatisfaction]]&lt;=2,1,0)</f>
        <v>0</v>
      </c>
      <c r="AM1426">
        <f>IF(tbl_HR_Data[[#This Row],[MonthlyIncome]]&lt;$AT$2,1,0)</f>
        <v>0</v>
      </c>
      <c r="AN1426">
        <f>IF(tbl_HR_Data[[#This Row],[Travel_Code]]=2,1,0)</f>
        <v>0</v>
      </c>
      <c r="AO1426">
        <f>(tbl_HR_Data[[#This Row],[Flag_OT]] * Logic_Parameters!$B$2) +
 (tbl_HR_Data[[#This Row],[Flag_Travel]] * Logic_Parameters!$B$3) +
 (tbl_HR_Data[[#This Row],[Flag_Satisfaction]] * Logic_Parameters!$B$4) +
 (tbl_HR_Data[[#This Row],[Flag_Distance]]* Logic_Parameters!$B$5) +
 (tbl_HR_Data[[#This Row],[Flag_Income]] * Logic_Parameters!$B$6)</f>
        <v>0</v>
      </c>
      <c r="AP1426" s="15">
        <f>tbl_HR_Data[[#This Row],[Risk_Score_Raw]] / SUM(Logic_Parameters!$B$2:$B$6)</f>
        <v>0</v>
      </c>
      <c r="AQ1426" s="16" t="str" cm="1">
        <f t="array" ref="AQ1426">_xlfn.IFS(tbl_HR_Data[[#This Row],[Attrition_Risk_Percentage]] &gt;= 0.75, "Critical",tbl_HR_Data[ [#This Row],[Attrition_Risk_Percentage] ]&gt;= 0.5, "High",tbl_HR_Data[[#This Row],[Attrition_Risk_Percentage]] &gt;= 0.25, "Medium",TRUE, "Low")</f>
        <v>Low</v>
      </c>
      <c r="AR1426" s="16" cm="1">
        <f t="array" ref="AR1426">IFERROR(_xlfn.IFS(tbl_HR_Data[[#This Row],[Risk_Category]]="Critical",tbl_HR_Data[[#This Row],[MonthlyIncome]]*1.5,tbl_HR_Data[[#This Row],[Risk_Category]]="High",tbl_HR_Data[[#This Row],[MonthlyIncome]]*1.5),0)</f>
        <v>0</v>
      </c>
    </row>
    <row r="1427" spans="1:44" x14ac:dyDescent="0.35">
      <c r="A1427" t="s">
        <v>892</v>
      </c>
      <c r="B1427">
        <v>33</v>
      </c>
      <c r="C1427" t="s">
        <v>31</v>
      </c>
      <c r="D1427">
        <v>501</v>
      </c>
      <c r="E1427" t="s">
        <v>38</v>
      </c>
      <c r="F1427">
        <v>15</v>
      </c>
      <c r="G1427">
        <v>2</v>
      </c>
      <c r="H1427" t="s">
        <v>44</v>
      </c>
      <c r="I1427">
        <v>2</v>
      </c>
      <c r="J1427" t="s">
        <v>34</v>
      </c>
      <c r="K1427">
        <v>95</v>
      </c>
      <c r="L1427">
        <v>3</v>
      </c>
      <c r="M1427">
        <v>2</v>
      </c>
      <c r="N1427" t="s">
        <v>47</v>
      </c>
      <c r="O1427">
        <v>4</v>
      </c>
      <c r="P1427" t="s">
        <v>41</v>
      </c>
      <c r="Q1427">
        <v>4878</v>
      </c>
      <c r="R1427">
        <v>21653</v>
      </c>
      <c r="S1427">
        <v>0</v>
      </c>
      <c r="T1427">
        <v>1</v>
      </c>
      <c r="U1427" s="17">
        <v>0.13</v>
      </c>
      <c r="V1427">
        <v>3</v>
      </c>
      <c r="W1427">
        <v>1</v>
      </c>
      <c r="X1427">
        <v>1</v>
      </c>
      <c r="Y1427">
        <v>10</v>
      </c>
      <c r="Z1427">
        <v>6</v>
      </c>
      <c r="AA1427">
        <v>3</v>
      </c>
      <c r="AB1427">
        <v>9</v>
      </c>
      <c r="AC1427">
        <v>7</v>
      </c>
      <c r="AD1427">
        <v>8</v>
      </c>
      <c r="AE1427">
        <v>1</v>
      </c>
      <c r="AF1427">
        <v>0</v>
      </c>
      <c r="AG1427">
        <f>IF(tbl_HR_Data[[#This Row],[Gender]]="Male",1,0)</f>
        <v>0</v>
      </c>
      <c r="AH1427" cm="1">
        <f t="array" ref="AH1427">_xlfn.SWITCH(tbl_HR_Data[[#This Row],[BusinessTravel]], "Non-Travel", 0, "Travel_Rarely", 1, "Travel_Frequently", 2)</f>
        <v>1</v>
      </c>
      <c r="AI1427" cm="1">
        <f t="array" ref="AI1427">_xlfn.SWITCH(tbl_HR_Data[[#This Row],[MaritalStatus]],"Single",0,"Married",1,"Divorced",2)</f>
        <v>1</v>
      </c>
      <c r="AJ1427">
        <f>IF(tbl_HR_Data[[#This Row],[OverTime]]=1,1,0)</f>
        <v>1</v>
      </c>
      <c r="AK1427">
        <f>IF(tbl_HR_Data[[#This Row],[DistanceFromHome]]&gt;15,1,0)</f>
        <v>0</v>
      </c>
      <c r="AL1427">
        <f>IF(tbl_HR_Data[[#This Row],[JobSatisfaction]]&lt;=2,1,0)</f>
        <v>0</v>
      </c>
      <c r="AM1427">
        <f>IF(tbl_HR_Data[[#This Row],[MonthlyIncome]]&lt;$AT$2,1,0)</f>
        <v>1</v>
      </c>
      <c r="AN1427">
        <f>IF(tbl_HR_Data[[#This Row],[Travel_Code]]=2,1,0)</f>
        <v>0</v>
      </c>
      <c r="AO1427">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1427" s="15">
        <f>tbl_HR_Data[[#This Row],[Risk_Score_Raw]] / SUM(Logic_Parameters!$B$2:$B$6)</f>
        <v>0.56827453040563214</v>
      </c>
      <c r="AQ1427" s="16" t="str" cm="1">
        <f t="array" ref="AQ1427">_xlfn.IFS(tbl_HR_Data[[#This Row],[Attrition_Risk_Percentage]] &gt;= 0.75, "Critical",tbl_HR_Data[ [#This Row],[Attrition_Risk_Percentage] ]&gt;= 0.5, "High",tbl_HR_Data[[#This Row],[Attrition_Risk_Percentage]] &gt;= 0.25, "Medium",TRUE, "Low")</f>
        <v>High</v>
      </c>
      <c r="AR1427" s="16" cm="1">
        <f t="array" ref="AR1427">IFERROR(_xlfn.IFS(tbl_HR_Data[[#This Row],[Risk_Category]]="Critical",tbl_HR_Data[[#This Row],[MonthlyIncome]]*1.5,tbl_HR_Data[[#This Row],[Risk_Category]]="High",tbl_HR_Data[[#This Row],[MonthlyIncome]]*1.5),0)</f>
        <v>7317</v>
      </c>
    </row>
    <row r="1428" spans="1:44" x14ac:dyDescent="0.35">
      <c r="A1428" t="s">
        <v>1413</v>
      </c>
      <c r="B1428">
        <v>32</v>
      </c>
      <c r="C1428" t="s">
        <v>31</v>
      </c>
      <c r="D1428">
        <v>267</v>
      </c>
      <c r="E1428" t="s">
        <v>38</v>
      </c>
      <c r="F1428">
        <v>29</v>
      </c>
      <c r="G1428">
        <v>4</v>
      </c>
      <c r="H1428" t="s">
        <v>33</v>
      </c>
      <c r="I1428">
        <v>3</v>
      </c>
      <c r="J1428" t="s">
        <v>34</v>
      </c>
      <c r="K1428">
        <v>49</v>
      </c>
      <c r="L1428">
        <v>2</v>
      </c>
      <c r="M1428">
        <v>1</v>
      </c>
      <c r="N1428" t="s">
        <v>43</v>
      </c>
      <c r="O1428">
        <v>2</v>
      </c>
      <c r="P1428" t="s">
        <v>36</v>
      </c>
      <c r="Q1428">
        <v>2837</v>
      </c>
      <c r="R1428">
        <v>15919</v>
      </c>
      <c r="S1428">
        <v>1</v>
      </c>
      <c r="T1428">
        <v>0</v>
      </c>
      <c r="U1428" s="17">
        <v>0.13</v>
      </c>
      <c r="V1428">
        <v>3</v>
      </c>
      <c r="W1428">
        <v>3</v>
      </c>
      <c r="X1428">
        <v>0</v>
      </c>
      <c r="Y1428">
        <v>6</v>
      </c>
      <c r="Z1428">
        <v>3</v>
      </c>
      <c r="AA1428">
        <v>3</v>
      </c>
      <c r="AB1428">
        <v>6</v>
      </c>
      <c r="AC1428">
        <v>2</v>
      </c>
      <c r="AD1428">
        <v>4</v>
      </c>
      <c r="AE1428">
        <v>1</v>
      </c>
      <c r="AF1428">
        <v>0</v>
      </c>
      <c r="AG1428">
        <f>IF(tbl_HR_Data[[#This Row],[Gender]]="Male",1,0)</f>
        <v>0</v>
      </c>
      <c r="AH1428" cm="1">
        <f t="array" ref="AH1428">_xlfn.SWITCH(tbl_HR_Data[[#This Row],[BusinessTravel]], "Non-Travel", 0, "Travel_Rarely", 1, "Travel_Frequently", 2)</f>
        <v>1</v>
      </c>
      <c r="AI1428" cm="1">
        <f t="array" ref="AI1428">_xlfn.SWITCH(tbl_HR_Data[[#This Row],[MaritalStatus]],"Single",0,"Married",1,"Divorced",2)</f>
        <v>0</v>
      </c>
      <c r="AJ1428">
        <f>IF(tbl_HR_Data[[#This Row],[OverTime]]=1,1,0)</f>
        <v>0</v>
      </c>
      <c r="AK1428">
        <f>IF(tbl_HR_Data[[#This Row],[DistanceFromHome]]&gt;15,1,0)</f>
        <v>1</v>
      </c>
      <c r="AL1428">
        <f>IF(tbl_HR_Data[[#This Row],[JobSatisfaction]]&lt;=2,1,0)</f>
        <v>1</v>
      </c>
      <c r="AM1428">
        <f>IF(tbl_HR_Data[[#This Row],[MonthlyIncome]]&lt;$AT$2,1,0)</f>
        <v>1</v>
      </c>
      <c r="AN1428">
        <f>IF(tbl_HR_Data[[#This Row],[Travel_Code]]=2,1,0)</f>
        <v>0</v>
      </c>
      <c r="AO1428">
        <f>(tbl_HR_Data[[#This Row],[Flag_OT]] * Logic_Parameters!$B$2) +
 (tbl_HR_Data[[#This Row],[Flag_Travel]] * Logic_Parameters!$B$3) +
 (tbl_HR_Data[[#This Row],[Flag_Satisfaction]] * Logic_Parameters!$B$4) +
 (tbl_HR_Data[[#This Row],[Flag_Distance]]* Logic_Parameters!$B$5) +
 (tbl_HR_Data[[#This Row],[Flag_Income]] * Logic_Parameters!$B$6)</f>
        <v>13.865068763274337</v>
      </c>
      <c r="AP1428" s="15">
        <f>tbl_HR_Data[[#This Row],[Risk_Score_Raw]] / SUM(Logic_Parameters!$B$2:$B$6)</f>
        <v>0.47768646434409739</v>
      </c>
      <c r="AQ1428" s="16" t="str" cm="1">
        <f t="array" ref="AQ1428">_xlfn.IFS(tbl_HR_Data[[#This Row],[Attrition_Risk_Percentage]] &gt;= 0.75, "Critical",tbl_HR_Data[ [#This Row],[Attrition_Risk_Percentage] ]&gt;= 0.5, "High",tbl_HR_Data[[#This Row],[Attrition_Risk_Percentage]] &gt;= 0.25, "Medium",TRUE, "Low")</f>
        <v>Medium</v>
      </c>
      <c r="AR1428" s="16" cm="1">
        <f t="array" ref="AR1428">IFERROR(_xlfn.IFS(tbl_HR_Data[[#This Row],[Risk_Category]]="Critical",tbl_HR_Data[[#This Row],[MonthlyIncome]]*1.5,tbl_HR_Data[[#This Row],[Risk_Category]]="High",tbl_HR_Data[[#This Row],[MonthlyIncome]]*1.5),0)</f>
        <v>0</v>
      </c>
    </row>
    <row r="1429" spans="1:44" x14ac:dyDescent="0.35">
      <c r="A1429" t="s">
        <v>1062</v>
      </c>
      <c r="B1429">
        <v>40</v>
      </c>
      <c r="C1429" t="s">
        <v>31</v>
      </c>
      <c r="D1429">
        <v>543</v>
      </c>
      <c r="E1429" t="s">
        <v>38</v>
      </c>
      <c r="F1429">
        <v>1</v>
      </c>
      <c r="G1429">
        <v>4</v>
      </c>
      <c r="H1429" t="s">
        <v>33</v>
      </c>
      <c r="I1429">
        <v>1</v>
      </c>
      <c r="J1429" t="s">
        <v>39</v>
      </c>
      <c r="K1429">
        <v>83</v>
      </c>
      <c r="L1429">
        <v>3</v>
      </c>
      <c r="M1429">
        <v>1</v>
      </c>
      <c r="N1429" t="s">
        <v>43</v>
      </c>
      <c r="O1429">
        <v>4</v>
      </c>
      <c r="P1429" t="s">
        <v>41</v>
      </c>
      <c r="Q1429">
        <v>2406</v>
      </c>
      <c r="R1429">
        <v>4060</v>
      </c>
      <c r="S1429">
        <v>8</v>
      </c>
      <c r="T1429">
        <v>0</v>
      </c>
      <c r="U1429" s="17">
        <v>0.19</v>
      </c>
      <c r="V1429">
        <v>3</v>
      </c>
      <c r="W1429">
        <v>3</v>
      </c>
      <c r="X1429">
        <v>2</v>
      </c>
      <c r="Y1429">
        <v>8</v>
      </c>
      <c r="Z1429">
        <v>3</v>
      </c>
      <c r="AA1429">
        <v>2</v>
      </c>
      <c r="AB1429">
        <v>1</v>
      </c>
      <c r="AC1429">
        <v>0</v>
      </c>
      <c r="AD1429">
        <v>0</v>
      </c>
      <c r="AE1429">
        <v>0</v>
      </c>
      <c r="AF1429">
        <v>0</v>
      </c>
      <c r="AG1429">
        <f>IF(tbl_HR_Data[[#This Row],[Gender]]="Male",1,0)</f>
        <v>1</v>
      </c>
      <c r="AH1429" cm="1">
        <f t="array" ref="AH1429">_xlfn.SWITCH(tbl_HR_Data[[#This Row],[BusinessTravel]], "Non-Travel", 0, "Travel_Rarely", 1, "Travel_Frequently", 2)</f>
        <v>1</v>
      </c>
      <c r="AI1429" cm="1">
        <f t="array" ref="AI1429">_xlfn.SWITCH(tbl_HR_Data[[#This Row],[MaritalStatus]],"Single",0,"Married",1,"Divorced",2)</f>
        <v>1</v>
      </c>
      <c r="AJ1429">
        <f>IF(tbl_HR_Data[[#This Row],[OverTime]]=1,1,0)</f>
        <v>0</v>
      </c>
      <c r="AK1429">
        <f>IF(tbl_HR_Data[[#This Row],[DistanceFromHome]]&gt;15,1,0)</f>
        <v>0</v>
      </c>
      <c r="AL1429">
        <f>IF(tbl_HR_Data[[#This Row],[JobSatisfaction]]&lt;=2,1,0)</f>
        <v>0</v>
      </c>
      <c r="AM1429">
        <f>IF(tbl_HR_Data[[#This Row],[MonthlyIncome]]&lt;$AT$2,1,0)</f>
        <v>1</v>
      </c>
      <c r="AN1429">
        <f>IF(tbl_HR_Data[[#This Row],[Travel_Code]]=2,1,0)</f>
        <v>0</v>
      </c>
      <c r="AO1429">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429" s="15">
        <f>tbl_HR_Data[[#This Row],[Risk_Score_Raw]] / SUM(Logic_Parameters!$B$2:$B$6)</f>
        <v>0.22374939857982484</v>
      </c>
      <c r="AQ1429" s="16" t="str" cm="1">
        <f t="array" ref="AQ1429">_xlfn.IFS(tbl_HR_Data[[#This Row],[Attrition_Risk_Percentage]] &gt;= 0.75, "Critical",tbl_HR_Data[ [#This Row],[Attrition_Risk_Percentage] ]&gt;= 0.5, "High",tbl_HR_Data[[#This Row],[Attrition_Risk_Percentage]] &gt;= 0.25, "Medium",TRUE, "Low")</f>
        <v>Low</v>
      </c>
      <c r="AR1429" s="16" cm="1">
        <f t="array" ref="AR1429">IFERROR(_xlfn.IFS(tbl_HR_Data[[#This Row],[Risk_Category]]="Critical",tbl_HR_Data[[#This Row],[MonthlyIncome]]*1.5,tbl_HR_Data[[#This Row],[Risk_Category]]="High",tbl_HR_Data[[#This Row],[MonthlyIncome]]*1.5),0)</f>
        <v>0</v>
      </c>
    </row>
    <row r="1430" spans="1:44" x14ac:dyDescent="0.35">
      <c r="A1430" t="s">
        <v>779</v>
      </c>
      <c r="B1430">
        <v>32</v>
      </c>
      <c r="C1430" t="s">
        <v>31</v>
      </c>
      <c r="D1430">
        <v>234</v>
      </c>
      <c r="E1430" t="s">
        <v>32</v>
      </c>
      <c r="F1430">
        <v>1</v>
      </c>
      <c r="G1430">
        <v>4</v>
      </c>
      <c r="H1430" t="s">
        <v>44</v>
      </c>
      <c r="I1430">
        <v>2</v>
      </c>
      <c r="J1430" t="s">
        <v>39</v>
      </c>
      <c r="K1430">
        <v>68</v>
      </c>
      <c r="L1430">
        <v>2</v>
      </c>
      <c r="M1430">
        <v>1</v>
      </c>
      <c r="N1430" t="s">
        <v>49</v>
      </c>
      <c r="O1430">
        <v>2</v>
      </c>
      <c r="P1430" t="s">
        <v>41</v>
      </c>
      <c r="Q1430">
        <v>2269</v>
      </c>
      <c r="R1430">
        <v>18024</v>
      </c>
      <c r="S1430">
        <v>0</v>
      </c>
      <c r="T1430">
        <v>0</v>
      </c>
      <c r="U1430" s="17">
        <v>0.14000000000000001</v>
      </c>
      <c r="V1430">
        <v>3</v>
      </c>
      <c r="W1430">
        <v>2</v>
      </c>
      <c r="X1430">
        <v>1</v>
      </c>
      <c r="Y1430">
        <v>3</v>
      </c>
      <c r="Z1430">
        <v>2</v>
      </c>
      <c r="AA1430">
        <v>3</v>
      </c>
      <c r="AB1430">
        <v>2</v>
      </c>
      <c r="AC1430">
        <v>2</v>
      </c>
      <c r="AD1430">
        <v>2</v>
      </c>
      <c r="AE1430">
        <v>2</v>
      </c>
      <c r="AF1430">
        <v>0</v>
      </c>
      <c r="AG1430">
        <f>IF(tbl_HR_Data[[#This Row],[Gender]]="Male",1,0)</f>
        <v>1</v>
      </c>
      <c r="AH1430" cm="1">
        <f t="array" ref="AH1430">_xlfn.SWITCH(tbl_HR_Data[[#This Row],[BusinessTravel]], "Non-Travel", 0, "Travel_Rarely", 1, "Travel_Frequently", 2)</f>
        <v>1</v>
      </c>
      <c r="AI1430" cm="1">
        <f t="array" ref="AI1430">_xlfn.SWITCH(tbl_HR_Data[[#This Row],[MaritalStatus]],"Single",0,"Married",1,"Divorced",2)</f>
        <v>1</v>
      </c>
      <c r="AJ1430">
        <f>IF(tbl_HR_Data[[#This Row],[OverTime]]=1,1,0)</f>
        <v>0</v>
      </c>
      <c r="AK1430">
        <f>IF(tbl_HR_Data[[#This Row],[DistanceFromHome]]&gt;15,1,0)</f>
        <v>0</v>
      </c>
      <c r="AL1430">
        <f>IF(tbl_HR_Data[[#This Row],[JobSatisfaction]]&lt;=2,1,0)</f>
        <v>1</v>
      </c>
      <c r="AM1430">
        <f>IF(tbl_HR_Data[[#This Row],[MonthlyIncome]]&lt;$AT$2,1,0)</f>
        <v>1</v>
      </c>
      <c r="AN1430">
        <f>IF(tbl_HR_Data[[#This Row],[Travel_Code]]=2,1,0)</f>
        <v>0</v>
      </c>
      <c r="AO1430">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430" s="15">
        <f>tbl_HR_Data[[#This Row],[Risk_Score_Raw]] / SUM(Logic_Parameters!$B$2:$B$6)</f>
        <v>0.3686061316669938</v>
      </c>
      <c r="AQ1430" s="16" t="str" cm="1">
        <f t="array" ref="AQ1430">_xlfn.IFS(tbl_HR_Data[[#This Row],[Attrition_Risk_Percentage]] &gt;= 0.75, "Critical",tbl_HR_Data[ [#This Row],[Attrition_Risk_Percentage] ]&gt;= 0.5, "High",tbl_HR_Data[[#This Row],[Attrition_Risk_Percentage]] &gt;= 0.25, "Medium",TRUE, "Low")</f>
        <v>Medium</v>
      </c>
      <c r="AR1430" s="16" cm="1">
        <f t="array" ref="AR1430">IFERROR(_xlfn.IFS(tbl_HR_Data[[#This Row],[Risk_Category]]="Critical",tbl_HR_Data[[#This Row],[MonthlyIncome]]*1.5,tbl_HR_Data[[#This Row],[Risk_Category]]="High",tbl_HR_Data[[#This Row],[MonthlyIncome]]*1.5),0)</f>
        <v>0</v>
      </c>
    </row>
    <row r="1431" spans="1:44" x14ac:dyDescent="0.35">
      <c r="A1431" t="s">
        <v>1461</v>
      </c>
      <c r="B1431">
        <v>39</v>
      </c>
      <c r="C1431" t="s">
        <v>31</v>
      </c>
      <c r="D1431">
        <v>116</v>
      </c>
      <c r="E1431" t="s">
        <v>38</v>
      </c>
      <c r="F1431">
        <v>24</v>
      </c>
      <c r="G1431">
        <v>1</v>
      </c>
      <c r="H1431" t="s">
        <v>33</v>
      </c>
      <c r="I1431">
        <v>1</v>
      </c>
      <c r="J1431" t="s">
        <v>39</v>
      </c>
      <c r="K1431">
        <v>52</v>
      </c>
      <c r="L1431">
        <v>3</v>
      </c>
      <c r="M1431">
        <v>2</v>
      </c>
      <c r="N1431" t="s">
        <v>40</v>
      </c>
      <c r="O1431">
        <v>4</v>
      </c>
      <c r="P1431" t="s">
        <v>36</v>
      </c>
      <c r="Q1431">
        <v>4108</v>
      </c>
      <c r="R1431">
        <v>5340</v>
      </c>
      <c r="S1431">
        <v>7</v>
      </c>
      <c r="T1431">
        <v>0</v>
      </c>
      <c r="U1431" s="17">
        <v>0.13</v>
      </c>
      <c r="V1431">
        <v>3</v>
      </c>
      <c r="W1431">
        <v>1</v>
      </c>
      <c r="X1431">
        <v>0</v>
      </c>
      <c r="Y1431">
        <v>18</v>
      </c>
      <c r="Z1431">
        <v>2</v>
      </c>
      <c r="AA1431">
        <v>3</v>
      </c>
      <c r="AB1431">
        <v>7</v>
      </c>
      <c r="AC1431">
        <v>7</v>
      </c>
      <c r="AD1431">
        <v>1</v>
      </c>
      <c r="AE1431">
        <v>7</v>
      </c>
      <c r="AF1431">
        <v>0</v>
      </c>
      <c r="AG1431">
        <f>IF(tbl_HR_Data[[#This Row],[Gender]]="Male",1,0)</f>
        <v>1</v>
      </c>
      <c r="AH1431" cm="1">
        <f t="array" ref="AH1431">_xlfn.SWITCH(tbl_HR_Data[[#This Row],[BusinessTravel]], "Non-Travel", 0, "Travel_Rarely", 1, "Travel_Frequently", 2)</f>
        <v>1</v>
      </c>
      <c r="AI1431" cm="1">
        <f t="array" ref="AI1431">_xlfn.SWITCH(tbl_HR_Data[[#This Row],[MaritalStatus]],"Single",0,"Married",1,"Divorced",2)</f>
        <v>0</v>
      </c>
      <c r="AJ1431">
        <f>IF(tbl_HR_Data[[#This Row],[OverTime]]=1,1,0)</f>
        <v>0</v>
      </c>
      <c r="AK1431">
        <f>IF(tbl_HR_Data[[#This Row],[DistanceFromHome]]&gt;15,1,0)</f>
        <v>1</v>
      </c>
      <c r="AL1431">
        <f>IF(tbl_HR_Data[[#This Row],[JobSatisfaction]]&lt;=2,1,0)</f>
        <v>0</v>
      </c>
      <c r="AM1431">
        <f>IF(tbl_HR_Data[[#This Row],[MonthlyIncome]]&lt;$AT$2,1,0)</f>
        <v>1</v>
      </c>
      <c r="AN1431">
        <f>IF(tbl_HR_Data[[#This Row],[Travel_Code]]=2,1,0)</f>
        <v>0</v>
      </c>
      <c r="AO1431">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1431" s="15">
        <f>tbl_HR_Data[[#This Row],[Risk_Score_Raw]] / SUM(Logic_Parameters!$B$2:$B$6)</f>
        <v>0.33282973125692844</v>
      </c>
      <c r="AQ1431" s="16" t="str" cm="1">
        <f t="array" ref="AQ1431">_xlfn.IFS(tbl_HR_Data[[#This Row],[Attrition_Risk_Percentage]] &gt;= 0.75, "Critical",tbl_HR_Data[ [#This Row],[Attrition_Risk_Percentage] ]&gt;= 0.5, "High",tbl_HR_Data[[#This Row],[Attrition_Risk_Percentage]] &gt;= 0.25, "Medium",TRUE, "Low")</f>
        <v>Medium</v>
      </c>
      <c r="AR1431" s="16" cm="1">
        <f t="array" ref="AR1431">IFERROR(_xlfn.IFS(tbl_HR_Data[[#This Row],[Risk_Category]]="Critical",tbl_HR_Data[[#This Row],[MonthlyIncome]]*1.5,tbl_HR_Data[[#This Row],[Risk_Category]]="High",tbl_HR_Data[[#This Row],[MonthlyIncome]]*1.5),0)</f>
        <v>0</v>
      </c>
    </row>
    <row r="1432" spans="1:44" x14ac:dyDescent="0.35">
      <c r="A1432" t="s">
        <v>201</v>
      </c>
      <c r="B1432">
        <v>38</v>
      </c>
      <c r="C1432" t="s">
        <v>31</v>
      </c>
      <c r="D1432">
        <v>201</v>
      </c>
      <c r="E1432" t="s">
        <v>38</v>
      </c>
      <c r="F1432">
        <v>10</v>
      </c>
      <c r="G1432">
        <v>3</v>
      </c>
      <c r="H1432" t="s">
        <v>44</v>
      </c>
      <c r="I1432">
        <v>2</v>
      </c>
      <c r="J1432" t="s">
        <v>34</v>
      </c>
      <c r="K1432">
        <v>99</v>
      </c>
      <c r="L1432">
        <v>1</v>
      </c>
      <c r="M1432">
        <v>3</v>
      </c>
      <c r="N1432" t="s">
        <v>50</v>
      </c>
      <c r="O1432">
        <v>3</v>
      </c>
      <c r="P1432" t="s">
        <v>41</v>
      </c>
      <c r="Q1432">
        <v>13206</v>
      </c>
      <c r="R1432">
        <v>3376</v>
      </c>
      <c r="S1432">
        <v>3</v>
      </c>
      <c r="T1432">
        <v>0</v>
      </c>
      <c r="U1432" s="17">
        <v>0.12</v>
      </c>
      <c r="V1432">
        <v>3</v>
      </c>
      <c r="W1432">
        <v>1</v>
      </c>
      <c r="X1432">
        <v>1</v>
      </c>
      <c r="Y1432">
        <v>20</v>
      </c>
      <c r="Z1432">
        <v>3</v>
      </c>
      <c r="AA1432">
        <v>3</v>
      </c>
      <c r="AB1432">
        <v>18</v>
      </c>
      <c r="AC1432">
        <v>16</v>
      </c>
      <c r="AD1432">
        <v>1</v>
      </c>
      <c r="AE1432">
        <v>11</v>
      </c>
      <c r="AF1432">
        <v>0</v>
      </c>
      <c r="AG1432">
        <f>IF(tbl_HR_Data[[#This Row],[Gender]]="Male",1,0)</f>
        <v>0</v>
      </c>
      <c r="AH1432" cm="1">
        <f t="array" ref="AH1432">_xlfn.SWITCH(tbl_HR_Data[[#This Row],[BusinessTravel]], "Non-Travel", 0, "Travel_Rarely", 1, "Travel_Frequently", 2)</f>
        <v>1</v>
      </c>
      <c r="AI1432" cm="1">
        <f t="array" ref="AI1432">_xlfn.SWITCH(tbl_HR_Data[[#This Row],[MaritalStatus]],"Single",0,"Married",1,"Divorced",2)</f>
        <v>1</v>
      </c>
      <c r="AJ1432">
        <f>IF(tbl_HR_Data[[#This Row],[OverTime]]=1,1,0)</f>
        <v>0</v>
      </c>
      <c r="AK1432">
        <f>IF(tbl_HR_Data[[#This Row],[DistanceFromHome]]&gt;15,1,0)</f>
        <v>0</v>
      </c>
      <c r="AL1432">
        <f>IF(tbl_HR_Data[[#This Row],[JobSatisfaction]]&lt;=2,1,0)</f>
        <v>0</v>
      </c>
      <c r="AM1432">
        <f>IF(tbl_HR_Data[[#This Row],[MonthlyIncome]]&lt;$AT$2,1,0)</f>
        <v>0</v>
      </c>
      <c r="AN1432">
        <f>IF(tbl_HR_Data[[#This Row],[Travel_Code]]=2,1,0)</f>
        <v>0</v>
      </c>
      <c r="AO1432">
        <f>(tbl_HR_Data[[#This Row],[Flag_OT]] * Logic_Parameters!$B$2) +
 (tbl_HR_Data[[#This Row],[Flag_Travel]] * Logic_Parameters!$B$3) +
 (tbl_HR_Data[[#This Row],[Flag_Satisfaction]] * Logic_Parameters!$B$4) +
 (tbl_HR_Data[[#This Row],[Flag_Distance]]* Logic_Parameters!$B$5) +
 (tbl_HR_Data[[#This Row],[Flag_Income]] * Logic_Parameters!$B$6)</f>
        <v>0</v>
      </c>
      <c r="AP1432" s="15">
        <f>tbl_HR_Data[[#This Row],[Risk_Score_Raw]] / SUM(Logic_Parameters!$B$2:$B$6)</f>
        <v>0</v>
      </c>
      <c r="AQ1432" s="16" t="str" cm="1">
        <f t="array" ref="AQ1432">_xlfn.IFS(tbl_HR_Data[[#This Row],[Attrition_Risk_Percentage]] &gt;= 0.75, "Critical",tbl_HR_Data[ [#This Row],[Attrition_Risk_Percentage] ]&gt;= 0.5, "High",tbl_HR_Data[[#This Row],[Attrition_Risk_Percentage]] &gt;= 0.25, "Medium",TRUE, "Low")</f>
        <v>Low</v>
      </c>
      <c r="AR1432" s="16" cm="1">
        <f t="array" ref="AR1432">IFERROR(_xlfn.IFS(tbl_HR_Data[[#This Row],[Risk_Category]]="Critical",tbl_HR_Data[[#This Row],[MonthlyIncome]]*1.5,tbl_HR_Data[[#This Row],[Risk_Category]]="High",tbl_HR_Data[[#This Row],[MonthlyIncome]]*1.5),0)</f>
        <v>0</v>
      </c>
    </row>
    <row r="1433" spans="1:44" x14ac:dyDescent="0.35">
      <c r="A1433" t="s">
        <v>1223</v>
      </c>
      <c r="B1433">
        <v>32</v>
      </c>
      <c r="C1433" t="s">
        <v>31</v>
      </c>
      <c r="D1433">
        <v>801</v>
      </c>
      <c r="E1433" t="s">
        <v>32</v>
      </c>
      <c r="F1433">
        <v>1</v>
      </c>
      <c r="G1433">
        <v>4</v>
      </c>
      <c r="H1433" t="s">
        <v>51</v>
      </c>
      <c r="I1433">
        <v>3</v>
      </c>
      <c r="J1433" t="s">
        <v>34</v>
      </c>
      <c r="K1433">
        <v>48</v>
      </c>
      <c r="L1433">
        <v>3</v>
      </c>
      <c r="M1433">
        <v>3</v>
      </c>
      <c r="N1433" t="s">
        <v>35</v>
      </c>
      <c r="O1433">
        <v>4</v>
      </c>
      <c r="P1433" t="s">
        <v>41</v>
      </c>
      <c r="Q1433">
        <v>10422</v>
      </c>
      <c r="R1433">
        <v>24032</v>
      </c>
      <c r="S1433">
        <v>1</v>
      </c>
      <c r="T1433">
        <v>0</v>
      </c>
      <c r="U1433" s="17">
        <v>0.19</v>
      </c>
      <c r="V1433">
        <v>3</v>
      </c>
      <c r="W1433">
        <v>3</v>
      </c>
      <c r="X1433">
        <v>2</v>
      </c>
      <c r="Y1433">
        <v>14</v>
      </c>
      <c r="Z1433">
        <v>3</v>
      </c>
      <c r="AA1433">
        <v>3</v>
      </c>
      <c r="AB1433">
        <v>14</v>
      </c>
      <c r="AC1433">
        <v>10</v>
      </c>
      <c r="AD1433">
        <v>5</v>
      </c>
      <c r="AE1433">
        <v>7</v>
      </c>
      <c r="AF1433">
        <v>0</v>
      </c>
      <c r="AG1433">
        <f>IF(tbl_HR_Data[[#This Row],[Gender]]="Male",1,0)</f>
        <v>0</v>
      </c>
      <c r="AH1433" cm="1">
        <f t="array" ref="AH1433">_xlfn.SWITCH(tbl_HR_Data[[#This Row],[BusinessTravel]], "Non-Travel", 0, "Travel_Rarely", 1, "Travel_Frequently", 2)</f>
        <v>1</v>
      </c>
      <c r="AI1433" cm="1">
        <f t="array" ref="AI1433">_xlfn.SWITCH(tbl_HR_Data[[#This Row],[MaritalStatus]],"Single",0,"Married",1,"Divorced",2)</f>
        <v>1</v>
      </c>
      <c r="AJ1433">
        <f>IF(tbl_HR_Data[[#This Row],[OverTime]]=1,1,0)</f>
        <v>0</v>
      </c>
      <c r="AK1433">
        <f>IF(tbl_HR_Data[[#This Row],[DistanceFromHome]]&gt;15,1,0)</f>
        <v>0</v>
      </c>
      <c r="AL1433">
        <f>IF(tbl_HR_Data[[#This Row],[JobSatisfaction]]&lt;=2,1,0)</f>
        <v>0</v>
      </c>
      <c r="AM1433">
        <f>IF(tbl_HR_Data[[#This Row],[MonthlyIncome]]&lt;$AT$2,1,0)</f>
        <v>0</v>
      </c>
      <c r="AN1433">
        <f>IF(tbl_HR_Data[[#This Row],[Travel_Code]]=2,1,0)</f>
        <v>0</v>
      </c>
      <c r="AO1433">
        <f>(tbl_HR_Data[[#This Row],[Flag_OT]] * Logic_Parameters!$B$2) +
 (tbl_HR_Data[[#This Row],[Flag_Travel]] * Logic_Parameters!$B$3) +
 (tbl_HR_Data[[#This Row],[Flag_Satisfaction]] * Logic_Parameters!$B$4) +
 (tbl_HR_Data[[#This Row],[Flag_Distance]]* Logic_Parameters!$B$5) +
 (tbl_HR_Data[[#This Row],[Flag_Income]] * Logic_Parameters!$B$6)</f>
        <v>0</v>
      </c>
      <c r="AP1433" s="15">
        <f>tbl_HR_Data[[#This Row],[Risk_Score_Raw]] / SUM(Logic_Parameters!$B$2:$B$6)</f>
        <v>0</v>
      </c>
      <c r="AQ1433" s="16" t="str" cm="1">
        <f t="array" ref="AQ1433">_xlfn.IFS(tbl_HR_Data[[#This Row],[Attrition_Risk_Percentage]] &gt;= 0.75, "Critical",tbl_HR_Data[ [#This Row],[Attrition_Risk_Percentage] ]&gt;= 0.5, "High",tbl_HR_Data[[#This Row],[Attrition_Risk_Percentage]] &gt;= 0.25, "Medium",TRUE, "Low")</f>
        <v>Low</v>
      </c>
      <c r="AR1433" s="16" cm="1">
        <f t="array" ref="AR1433">IFERROR(_xlfn.IFS(tbl_HR_Data[[#This Row],[Risk_Category]]="Critical",tbl_HR_Data[[#This Row],[MonthlyIncome]]*1.5,tbl_HR_Data[[#This Row],[Risk_Category]]="High",tbl_HR_Data[[#This Row],[MonthlyIncome]]*1.5),0)</f>
        <v>0</v>
      </c>
    </row>
    <row r="1434" spans="1:44" x14ac:dyDescent="0.35">
      <c r="A1434" t="s">
        <v>870</v>
      </c>
      <c r="B1434">
        <v>37</v>
      </c>
      <c r="C1434" t="s">
        <v>31</v>
      </c>
      <c r="D1434">
        <v>161</v>
      </c>
      <c r="E1434" t="s">
        <v>38</v>
      </c>
      <c r="F1434">
        <v>10</v>
      </c>
      <c r="G1434">
        <v>3</v>
      </c>
      <c r="H1434" t="s">
        <v>33</v>
      </c>
      <c r="I1434">
        <v>3</v>
      </c>
      <c r="J1434" t="s">
        <v>34</v>
      </c>
      <c r="K1434">
        <v>42</v>
      </c>
      <c r="L1434">
        <v>4</v>
      </c>
      <c r="M1434">
        <v>3</v>
      </c>
      <c r="N1434" t="s">
        <v>50</v>
      </c>
      <c r="O1434">
        <v>4</v>
      </c>
      <c r="P1434" t="s">
        <v>41</v>
      </c>
      <c r="Q1434">
        <v>13744</v>
      </c>
      <c r="R1434">
        <v>15471</v>
      </c>
      <c r="S1434">
        <v>1</v>
      </c>
      <c r="T1434">
        <v>1</v>
      </c>
      <c r="U1434" s="17">
        <v>0.25</v>
      </c>
      <c r="V1434">
        <v>4</v>
      </c>
      <c r="W1434">
        <v>1</v>
      </c>
      <c r="X1434">
        <v>1</v>
      </c>
      <c r="Y1434">
        <v>16</v>
      </c>
      <c r="Z1434">
        <v>2</v>
      </c>
      <c r="AA1434">
        <v>3</v>
      </c>
      <c r="AB1434">
        <v>16</v>
      </c>
      <c r="AC1434">
        <v>11</v>
      </c>
      <c r="AD1434">
        <v>6</v>
      </c>
      <c r="AE1434">
        <v>8</v>
      </c>
      <c r="AF1434">
        <v>0</v>
      </c>
      <c r="AG1434">
        <f>IF(tbl_HR_Data[[#This Row],[Gender]]="Male",1,0)</f>
        <v>0</v>
      </c>
      <c r="AH1434" cm="1">
        <f t="array" ref="AH1434">_xlfn.SWITCH(tbl_HR_Data[[#This Row],[BusinessTravel]], "Non-Travel", 0, "Travel_Rarely", 1, "Travel_Frequently", 2)</f>
        <v>1</v>
      </c>
      <c r="AI1434" cm="1">
        <f t="array" ref="AI1434">_xlfn.SWITCH(tbl_HR_Data[[#This Row],[MaritalStatus]],"Single",0,"Married",1,"Divorced",2)</f>
        <v>1</v>
      </c>
      <c r="AJ1434">
        <f>IF(tbl_HR_Data[[#This Row],[OverTime]]=1,1,0)</f>
        <v>1</v>
      </c>
      <c r="AK1434">
        <f>IF(tbl_HR_Data[[#This Row],[DistanceFromHome]]&gt;15,1,0)</f>
        <v>0</v>
      </c>
      <c r="AL1434">
        <f>IF(tbl_HR_Data[[#This Row],[JobSatisfaction]]&lt;=2,1,0)</f>
        <v>0</v>
      </c>
      <c r="AM1434">
        <f>IF(tbl_HR_Data[[#This Row],[MonthlyIncome]]&lt;$AT$2,1,0)</f>
        <v>0</v>
      </c>
      <c r="AN1434">
        <f>IF(tbl_HR_Data[[#This Row],[Travel_Code]]=2,1,0)</f>
        <v>0</v>
      </c>
      <c r="AO1434">
        <f>(tbl_HR_Data[[#This Row],[Flag_OT]] * Logic_Parameters!$B$2) +
 (tbl_HR_Data[[#This Row],[Flag_Travel]] * Logic_Parameters!$B$3) +
 (tbl_HR_Data[[#This Row],[Flag_Satisfaction]] * Logic_Parameters!$B$4) +
 (tbl_HR_Data[[#This Row],[Flag_Distance]]* Logic_Parameters!$B$5) +
 (tbl_HR_Data[[#This Row],[Flag_Income]] * Logic_Parameters!$B$6)</f>
        <v>10</v>
      </c>
      <c r="AP1434" s="15">
        <f>tbl_HR_Data[[#This Row],[Risk_Score_Raw]] / SUM(Logic_Parameters!$B$2:$B$6)</f>
        <v>0.3445251318258073</v>
      </c>
      <c r="AQ1434" s="16" t="str" cm="1">
        <f t="array" ref="AQ1434">_xlfn.IFS(tbl_HR_Data[[#This Row],[Attrition_Risk_Percentage]] &gt;= 0.75, "Critical",tbl_HR_Data[ [#This Row],[Attrition_Risk_Percentage] ]&gt;= 0.5, "High",tbl_HR_Data[[#This Row],[Attrition_Risk_Percentage]] &gt;= 0.25, "Medium",TRUE, "Low")</f>
        <v>Medium</v>
      </c>
      <c r="AR1434" s="16" cm="1">
        <f t="array" ref="AR1434">IFERROR(_xlfn.IFS(tbl_HR_Data[[#This Row],[Risk_Category]]="Critical",tbl_HR_Data[[#This Row],[MonthlyIncome]]*1.5,tbl_HR_Data[[#This Row],[Risk_Category]]="High",tbl_HR_Data[[#This Row],[MonthlyIncome]]*1.5),0)</f>
        <v>0</v>
      </c>
    </row>
    <row r="1435" spans="1:44" x14ac:dyDescent="0.35">
      <c r="A1435" t="s">
        <v>504</v>
      </c>
      <c r="B1435">
        <v>25</v>
      </c>
      <c r="C1435" t="s">
        <v>31</v>
      </c>
      <c r="D1435">
        <v>1382</v>
      </c>
      <c r="E1435" t="s">
        <v>32</v>
      </c>
      <c r="F1435">
        <v>8</v>
      </c>
      <c r="G1435">
        <v>2</v>
      </c>
      <c r="H1435" t="s">
        <v>42</v>
      </c>
      <c r="I1435">
        <v>1</v>
      </c>
      <c r="J1435" t="s">
        <v>34</v>
      </c>
      <c r="K1435">
        <v>85</v>
      </c>
      <c r="L1435">
        <v>3</v>
      </c>
      <c r="M1435">
        <v>2</v>
      </c>
      <c r="N1435" t="s">
        <v>35</v>
      </c>
      <c r="O1435">
        <v>3</v>
      </c>
      <c r="P1435" t="s">
        <v>45</v>
      </c>
      <c r="Q1435">
        <v>4907</v>
      </c>
      <c r="R1435">
        <v>13684</v>
      </c>
      <c r="S1435">
        <v>0</v>
      </c>
      <c r="T1435">
        <v>1</v>
      </c>
      <c r="U1435" s="17">
        <v>0.22</v>
      </c>
      <c r="V1435">
        <v>4</v>
      </c>
      <c r="W1435">
        <v>2</v>
      </c>
      <c r="X1435">
        <v>1</v>
      </c>
      <c r="Y1435">
        <v>6</v>
      </c>
      <c r="Z1435">
        <v>3</v>
      </c>
      <c r="AA1435">
        <v>2</v>
      </c>
      <c r="AB1435">
        <v>5</v>
      </c>
      <c r="AC1435">
        <v>3</v>
      </c>
      <c r="AD1435">
        <v>0</v>
      </c>
      <c r="AE1435">
        <v>4</v>
      </c>
      <c r="AF1435">
        <v>0</v>
      </c>
      <c r="AG1435">
        <f>IF(tbl_HR_Data[[#This Row],[Gender]]="Male",1,0)</f>
        <v>0</v>
      </c>
      <c r="AH1435" cm="1">
        <f t="array" ref="AH1435">_xlfn.SWITCH(tbl_HR_Data[[#This Row],[BusinessTravel]], "Non-Travel", 0, "Travel_Rarely", 1, "Travel_Frequently", 2)</f>
        <v>1</v>
      </c>
      <c r="AI1435" cm="1">
        <f t="array" ref="AI1435">_xlfn.SWITCH(tbl_HR_Data[[#This Row],[MaritalStatus]],"Single",0,"Married",1,"Divorced",2)</f>
        <v>2</v>
      </c>
      <c r="AJ1435">
        <f>IF(tbl_HR_Data[[#This Row],[OverTime]]=1,1,0)</f>
        <v>1</v>
      </c>
      <c r="AK1435">
        <f>IF(tbl_HR_Data[[#This Row],[DistanceFromHome]]&gt;15,1,0)</f>
        <v>0</v>
      </c>
      <c r="AL1435">
        <f>IF(tbl_HR_Data[[#This Row],[JobSatisfaction]]&lt;=2,1,0)</f>
        <v>0</v>
      </c>
      <c r="AM1435">
        <f>IF(tbl_HR_Data[[#This Row],[MonthlyIncome]]&lt;$AT$2,1,0)</f>
        <v>1</v>
      </c>
      <c r="AN1435">
        <f>IF(tbl_HR_Data[[#This Row],[Travel_Code]]=2,1,0)</f>
        <v>0</v>
      </c>
      <c r="AO1435">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1435" s="15">
        <f>tbl_HR_Data[[#This Row],[Risk_Score_Raw]] / SUM(Logic_Parameters!$B$2:$B$6)</f>
        <v>0.56827453040563214</v>
      </c>
      <c r="AQ1435" s="16" t="str" cm="1">
        <f t="array" ref="AQ1435">_xlfn.IFS(tbl_HR_Data[[#This Row],[Attrition_Risk_Percentage]] &gt;= 0.75, "Critical",tbl_HR_Data[ [#This Row],[Attrition_Risk_Percentage] ]&gt;= 0.5, "High",tbl_HR_Data[[#This Row],[Attrition_Risk_Percentage]] &gt;= 0.25, "Medium",TRUE, "Low")</f>
        <v>High</v>
      </c>
      <c r="AR1435" s="16" cm="1">
        <f t="array" ref="AR1435">IFERROR(_xlfn.IFS(tbl_HR_Data[[#This Row],[Risk_Category]]="Critical",tbl_HR_Data[[#This Row],[MonthlyIncome]]*1.5,tbl_HR_Data[[#This Row],[Risk_Category]]="High",tbl_HR_Data[[#This Row],[MonthlyIncome]]*1.5),0)</f>
        <v>7360.5</v>
      </c>
    </row>
    <row r="1436" spans="1:44" x14ac:dyDescent="0.35">
      <c r="A1436" t="s">
        <v>736</v>
      </c>
      <c r="B1436">
        <v>52</v>
      </c>
      <c r="C1436" t="s">
        <v>1525</v>
      </c>
      <c r="D1436">
        <v>585</v>
      </c>
      <c r="E1436" t="s">
        <v>32</v>
      </c>
      <c r="F1436">
        <v>29</v>
      </c>
      <c r="G1436">
        <v>4</v>
      </c>
      <c r="H1436" t="s">
        <v>33</v>
      </c>
      <c r="I1436">
        <v>1</v>
      </c>
      <c r="J1436" t="s">
        <v>39</v>
      </c>
      <c r="K1436">
        <v>40</v>
      </c>
      <c r="L1436">
        <v>3</v>
      </c>
      <c r="M1436">
        <v>1</v>
      </c>
      <c r="N1436" t="s">
        <v>49</v>
      </c>
      <c r="O1436">
        <v>4</v>
      </c>
      <c r="P1436" t="s">
        <v>45</v>
      </c>
      <c r="Q1436">
        <v>3482</v>
      </c>
      <c r="R1436">
        <v>19788</v>
      </c>
      <c r="S1436">
        <v>2</v>
      </c>
      <c r="T1436">
        <v>0</v>
      </c>
      <c r="U1436" s="17">
        <v>0.15</v>
      </c>
      <c r="V1436">
        <v>3</v>
      </c>
      <c r="W1436">
        <v>2</v>
      </c>
      <c r="X1436">
        <v>2</v>
      </c>
      <c r="Y1436">
        <v>16</v>
      </c>
      <c r="Z1436">
        <v>3</v>
      </c>
      <c r="AA1436">
        <v>2</v>
      </c>
      <c r="AB1436">
        <v>9</v>
      </c>
      <c r="AC1436">
        <v>8</v>
      </c>
      <c r="AD1436">
        <v>0</v>
      </c>
      <c r="AE1436">
        <v>0</v>
      </c>
      <c r="AF1436">
        <v>0</v>
      </c>
      <c r="AG1436">
        <f>IF(tbl_HR_Data[[#This Row],[Gender]]="Male",1,0)</f>
        <v>1</v>
      </c>
      <c r="AH1436" cm="1">
        <f t="array" ref="AH1436">_xlfn.SWITCH(tbl_HR_Data[[#This Row],[BusinessTravel]], "Non-Travel", 0, "Travel_Rarely", 1, "Travel_Frequently", 2)</f>
        <v>0</v>
      </c>
      <c r="AI1436" cm="1">
        <f t="array" ref="AI1436">_xlfn.SWITCH(tbl_HR_Data[[#This Row],[MaritalStatus]],"Single",0,"Married",1,"Divorced",2)</f>
        <v>2</v>
      </c>
      <c r="AJ1436">
        <f>IF(tbl_HR_Data[[#This Row],[OverTime]]=1,1,0)</f>
        <v>0</v>
      </c>
      <c r="AK1436">
        <f>IF(tbl_HR_Data[[#This Row],[DistanceFromHome]]&gt;15,1,0)</f>
        <v>1</v>
      </c>
      <c r="AL1436">
        <f>IF(tbl_HR_Data[[#This Row],[JobSatisfaction]]&lt;=2,1,0)</f>
        <v>0</v>
      </c>
      <c r="AM1436">
        <f>IF(tbl_HR_Data[[#This Row],[MonthlyIncome]]&lt;$AT$2,1,0)</f>
        <v>1</v>
      </c>
      <c r="AN1436">
        <f>IF(tbl_HR_Data[[#This Row],[Travel_Code]]=2,1,0)</f>
        <v>0</v>
      </c>
      <c r="AO1436">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1436" s="15">
        <f>tbl_HR_Data[[#This Row],[Risk_Score_Raw]] / SUM(Logic_Parameters!$B$2:$B$6)</f>
        <v>0.33282973125692844</v>
      </c>
      <c r="AQ1436" s="16" t="str" cm="1">
        <f t="array" ref="AQ1436">_xlfn.IFS(tbl_HR_Data[[#This Row],[Attrition_Risk_Percentage]] &gt;= 0.75, "Critical",tbl_HR_Data[ [#This Row],[Attrition_Risk_Percentage] ]&gt;= 0.5, "High",tbl_HR_Data[[#This Row],[Attrition_Risk_Percentage]] &gt;= 0.25, "Medium",TRUE, "Low")</f>
        <v>Medium</v>
      </c>
      <c r="AR1436" s="16" cm="1">
        <f t="array" ref="AR1436">IFERROR(_xlfn.IFS(tbl_HR_Data[[#This Row],[Risk_Category]]="Critical",tbl_HR_Data[[#This Row],[MonthlyIncome]]*1.5,tbl_HR_Data[[#This Row],[Risk_Category]]="High",tbl_HR_Data[[#This Row],[MonthlyIncome]]*1.5),0)</f>
        <v>0</v>
      </c>
    </row>
    <row r="1437" spans="1:44" x14ac:dyDescent="0.35">
      <c r="A1437" t="s">
        <v>553</v>
      </c>
      <c r="B1437">
        <v>44</v>
      </c>
      <c r="C1437" t="s">
        <v>31</v>
      </c>
      <c r="D1437">
        <v>1037</v>
      </c>
      <c r="E1437" t="s">
        <v>38</v>
      </c>
      <c r="F1437">
        <v>1</v>
      </c>
      <c r="G1437">
        <v>3</v>
      </c>
      <c r="H1437" t="s">
        <v>44</v>
      </c>
      <c r="I1437">
        <v>2</v>
      </c>
      <c r="J1437" t="s">
        <v>39</v>
      </c>
      <c r="K1437">
        <v>42</v>
      </c>
      <c r="L1437">
        <v>3</v>
      </c>
      <c r="M1437">
        <v>1</v>
      </c>
      <c r="N1437" t="s">
        <v>40</v>
      </c>
      <c r="O1437">
        <v>4</v>
      </c>
      <c r="P1437" t="s">
        <v>36</v>
      </c>
      <c r="Q1437">
        <v>2436</v>
      </c>
      <c r="R1437">
        <v>13422</v>
      </c>
      <c r="S1437">
        <v>6</v>
      </c>
      <c r="T1437">
        <v>1</v>
      </c>
      <c r="U1437" s="17">
        <v>0.12</v>
      </c>
      <c r="V1437">
        <v>3</v>
      </c>
      <c r="W1437">
        <v>3</v>
      </c>
      <c r="X1437">
        <v>0</v>
      </c>
      <c r="Y1437">
        <v>6</v>
      </c>
      <c r="Z1437">
        <v>2</v>
      </c>
      <c r="AA1437">
        <v>3</v>
      </c>
      <c r="AB1437">
        <v>4</v>
      </c>
      <c r="AC1437">
        <v>3</v>
      </c>
      <c r="AD1437">
        <v>1</v>
      </c>
      <c r="AE1437">
        <v>2</v>
      </c>
      <c r="AF1437">
        <v>0</v>
      </c>
      <c r="AG1437">
        <f>IF(tbl_HR_Data[[#This Row],[Gender]]="Male",1,0)</f>
        <v>1</v>
      </c>
      <c r="AH1437" cm="1">
        <f t="array" ref="AH1437">_xlfn.SWITCH(tbl_HR_Data[[#This Row],[BusinessTravel]], "Non-Travel", 0, "Travel_Rarely", 1, "Travel_Frequently", 2)</f>
        <v>1</v>
      </c>
      <c r="AI1437" cm="1">
        <f t="array" ref="AI1437">_xlfn.SWITCH(tbl_HR_Data[[#This Row],[MaritalStatus]],"Single",0,"Married",1,"Divorced",2)</f>
        <v>0</v>
      </c>
      <c r="AJ1437">
        <f>IF(tbl_HR_Data[[#This Row],[OverTime]]=1,1,0)</f>
        <v>1</v>
      </c>
      <c r="AK1437">
        <f>IF(tbl_HR_Data[[#This Row],[DistanceFromHome]]&gt;15,1,0)</f>
        <v>0</v>
      </c>
      <c r="AL1437">
        <f>IF(tbl_HR_Data[[#This Row],[JobSatisfaction]]&lt;=2,1,0)</f>
        <v>0</v>
      </c>
      <c r="AM1437">
        <f>IF(tbl_HR_Data[[#This Row],[MonthlyIncome]]&lt;$AT$2,1,0)</f>
        <v>1</v>
      </c>
      <c r="AN1437">
        <f>IF(tbl_HR_Data[[#This Row],[Travel_Code]]=2,1,0)</f>
        <v>0</v>
      </c>
      <c r="AO1437">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1437" s="15">
        <f>tbl_HR_Data[[#This Row],[Risk_Score_Raw]] / SUM(Logic_Parameters!$B$2:$B$6)</f>
        <v>0.56827453040563214</v>
      </c>
      <c r="AQ1437" s="16" t="str" cm="1">
        <f t="array" ref="AQ1437">_xlfn.IFS(tbl_HR_Data[[#This Row],[Attrition_Risk_Percentage]] &gt;= 0.75, "Critical",tbl_HR_Data[ [#This Row],[Attrition_Risk_Percentage] ]&gt;= 0.5, "High",tbl_HR_Data[[#This Row],[Attrition_Risk_Percentage]] &gt;= 0.25, "Medium",TRUE, "Low")</f>
        <v>High</v>
      </c>
      <c r="AR1437" s="16" cm="1">
        <f t="array" ref="AR1437">IFERROR(_xlfn.IFS(tbl_HR_Data[[#This Row],[Risk_Category]]="Critical",tbl_HR_Data[[#This Row],[MonthlyIncome]]*1.5,tbl_HR_Data[[#This Row],[Risk_Category]]="High",tbl_HR_Data[[#This Row],[MonthlyIncome]]*1.5),0)</f>
        <v>3654</v>
      </c>
    </row>
    <row r="1438" spans="1:44" x14ac:dyDescent="0.35">
      <c r="A1438" t="s">
        <v>1070</v>
      </c>
      <c r="B1438">
        <v>21</v>
      </c>
      <c r="C1438" t="s">
        <v>31</v>
      </c>
      <c r="D1438">
        <v>501</v>
      </c>
      <c r="E1438" t="s">
        <v>32</v>
      </c>
      <c r="F1438">
        <v>5</v>
      </c>
      <c r="G1438">
        <v>1</v>
      </c>
      <c r="H1438" t="s">
        <v>44</v>
      </c>
      <c r="I1438">
        <v>3</v>
      </c>
      <c r="J1438" t="s">
        <v>39</v>
      </c>
      <c r="K1438">
        <v>58</v>
      </c>
      <c r="L1438">
        <v>3</v>
      </c>
      <c r="M1438">
        <v>1</v>
      </c>
      <c r="N1438" t="s">
        <v>49</v>
      </c>
      <c r="O1438">
        <v>1</v>
      </c>
      <c r="P1438" t="s">
        <v>36</v>
      </c>
      <c r="Q1438">
        <v>2380</v>
      </c>
      <c r="R1438">
        <v>25479</v>
      </c>
      <c r="S1438">
        <v>1</v>
      </c>
      <c r="T1438">
        <v>1</v>
      </c>
      <c r="U1438" s="17">
        <v>0.11</v>
      </c>
      <c r="V1438">
        <v>3</v>
      </c>
      <c r="W1438">
        <v>4</v>
      </c>
      <c r="X1438">
        <v>0</v>
      </c>
      <c r="Y1438">
        <v>2</v>
      </c>
      <c r="Z1438">
        <v>6</v>
      </c>
      <c r="AA1438">
        <v>3</v>
      </c>
      <c r="AB1438">
        <v>2</v>
      </c>
      <c r="AC1438">
        <v>2</v>
      </c>
      <c r="AD1438">
        <v>1</v>
      </c>
      <c r="AE1438">
        <v>2</v>
      </c>
      <c r="AF1438">
        <v>0</v>
      </c>
      <c r="AG1438">
        <f>IF(tbl_HR_Data[[#This Row],[Gender]]="Male",1,0)</f>
        <v>1</v>
      </c>
      <c r="AH1438" cm="1">
        <f t="array" ref="AH1438">_xlfn.SWITCH(tbl_HR_Data[[#This Row],[BusinessTravel]], "Non-Travel", 0, "Travel_Rarely", 1, "Travel_Frequently", 2)</f>
        <v>1</v>
      </c>
      <c r="AI1438" cm="1">
        <f t="array" ref="AI1438">_xlfn.SWITCH(tbl_HR_Data[[#This Row],[MaritalStatus]],"Single",0,"Married",1,"Divorced",2)</f>
        <v>0</v>
      </c>
      <c r="AJ1438">
        <f>IF(tbl_HR_Data[[#This Row],[OverTime]]=1,1,0)</f>
        <v>1</v>
      </c>
      <c r="AK1438">
        <f>IF(tbl_HR_Data[[#This Row],[DistanceFromHome]]&gt;15,1,0)</f>
        <v>0</v>
      </c>
      <c r="AL1438">
        <f>IF(tbl_HR_Data[[#This Row],[JobSatisfaction]]&lt;=2,1,0)</f>
        <v>1</v>
      </c>
      <c r="AM1438">
        <f>IF(tbl_HR_Data[[#This Row],[MonthlyIncome]]&lt;$AT$2,1,0)</f>
        <v>1</v>
      </c>
      <c r="AN1438">
        <f>IF(tbl_HR_Data[[#This Row],[Travel_Code]]=2,1,0)</f>
        <v>0</v>
      </c>
      <c r="AO1438">
        <f>(tbl_HR_Data[[#This Row],[Flag_OT]] * Logic_Parameters!$B$2) +
 (tbl_HR_Data[[#This Row],[Flag_Travel]] * Logic_Parameters!$B$3) +
 (tbl_HR_Data[[#This Row],[Flag_Satisfaction]] * Logic_Parameters!$B$4) +
 (tbl_HR_Data[[#This Row],[Flag_Distance]]* Logic_Parameters!$B$5) +
 (tbl_HR_Data[[#This Row],[Flag_Income]] * Logic_Parameters!$B$6)</f>
        <v>20.698962067398959</v>
      </c>
      <c r="AP1438" s="15">
        <f>tbl_HR_Data[[#This Row],[Risk_Score_Raw]] / SUM(Logic_Parameters!$B$2:$B$6)</f>
        <v>0.71313126349280109</v>
      </c>
      <c r="AQ1438" s="16" t="str" cm="1">
        <f t="array" ref="AQ1438">_xlfn.IFS(tbl_HR_Data[[#This Row],[Attrition_Risk_Percentage]] &gt;= 0.75, "Critical",tbl_HR_Data[ [#This Row],[Attrition_Risk_Percentage] ]&gt;= 0.5, "High",tbl_HR_Data[[#This Row],[Attrition_Risk_Percentage]] &gt;= 0.25, "Medium",TRUE, "Low")</f>
        <v>High</v>
      </c>
      <c r="AR1438" s="16" cm="1">
        <f t="array" ref="AR1438">IFERROR(_xlfn.IFS(tbl_HR_Data[[#This Row],[Risk_Category]]="Critical",tbl_HR_Data[[#This Row],[MonthlyIncome]]*1.5,tbl_HR_Data[[#This Row],[Risk_Category]]="High",tbl_HR_Data[[#This Row],[MonthlyIncome]]*1.5),0)</f>
        <v>3570</v>
      </c>
    </row>
    <row r="1439" spans="1:44" x14ac:dyDescent="0.35">
      <c r="A1439" t="s">
        <v>1002</v>
      </c>
      <c r="B1439">
        <v>39</v>
      </c>
      <c r="C1439" t="s">
        <v>1525</v>
      </c>
      <c r="D1439">
        <v>105</v>
      </c>
      <c r="E1439" t="s">
        <v>38</v>
      </c>
      <c r="F1439">
        <v>9</v>
      </c>
      <c r="G1439">
        <v>3</v>
      </c>
      <c r="H1439" t="s">
        <v>33</v>
      </c>
      <c r="I1439">
        <v>4</v>
      </c>
      <c r="J1439" t="s">
        <v>39</v>
      </c>
      <c r="K1439">
        <v>87</v>
      </c>
      <c r="L1439">
        <v>3</v>
      </c>
      <c r="M1439">
        <v>5</v>
      </c>
      <c r="N1439" t="s">
        <v>48</v>
      </c>
      <c r="O1439">
        <v>4</v>
      </c>
      <c r="P1439" t="s">
        <v>36</v>
      </c>
      <c r="Q1439">
        <v>19431</v>
      </c>
      <c r="R1439">
        <v>15302</v>
      </c>
      <c r="S1439">
        <v>2</v>
      </c>
      <c r="T1439">
        <v>0</v>
      </c>
      <c r="U1439" s="17">
        <v>0.13</v>
      </c>
      <c r="V1439">
        <v>3</v>
      </c>
      <c r="W1439">
        <v>3</v>
      </c>
      <c r="X1439">
        <v>0</v>
      </c>
      <c r="Y1439">
        <v>21</v>
      </c>
      <c r="Z1439">
        <v>3</v>
      </c>
      <c r="AA1439">
        <v>2</v>
      </c>
      <c r="AB1439">
        <v>6</v>
      </c>
      <c r="AC1439">
        <v>0</v>
      </c>
      <c r="AD1439">
        <v>1</v>
      </c>
      <c r="AE1439">
        <v>3</v>
      </c>
      <c r="AF1439">
        <v>0</v>
      </c>
      <c r="AG1439">
        <f>IF(tbl_HR_Data[[#This Row],[Gender]]="Male",1,0)</f>
        <v>1</v>
      </c>
      <c r="AH1439" cm="1">
        <f t="array" ref="AH1439">_xlfn.SWITCH(tbl_HR_Data[[#This Row],[BusinessTravel]], "Non-Travel", 0, "Travel_Rarely", 1, "Travel_Frequently", 2)</f>
        <v>0</v>
      </c>
      <c r="AI1439" cm="1">
        <f t="array" ref="AI1439">_xlfn.SWITCH(tbl_HR_Data[[#This Row],[MaritalStatus]],"Single",0,"Married",1,"Divorced",2)</f>
        <v>0</v>
      </c>
      <c r="AJ1439">
        <f>IF(tbl_HR_Data[[#This Row],[OverTime]]=1,1,0)</f>
        <v>0</v>
      </c>
      <c r="AK1439">
        <f>IF(tbl_HR_Data[[#This Row],[DistanceFromHome]]&gt;15,1,0)</f>
        <v>0</v>
      </c>
      <c r="AL1439">
        <f>IF(tbl_HR_Data[[#This Row],[JobSatisfaction]]&lt;=2,1,0)</f>
        <v>0</v>
      </c>
      <c r="AM1439">
        <f>IF(tbl_HR_Data[[#This Row],[MonthlyIncome]]&lt;$AT$2,1,0)</f>
        <v>0</v>
      </c>
      <c r="AN1439">
        <f>IF(tbl_HR_Data[[#This Row],[Travel_Code]]=2,1,0)</f>
        <v>0</v>
      </c>
      <c r="AO1439">
        <f>(tbl_HR_Data[[#This Row],[Flag_OT]] * Logic_Parameters!$B$2) +
 (tbl_HR_Data[[#This Row],[Flag_Travel]] * Logic_Parameters!$B$3) +
 (tbl_HR_Data[[#This Row],[Flag_Satisfaction]] * Logic_Parameters!$B$4) +
 (tbl_HR_Data[[#This Row],[Flag_Distance]]* Logic_Parameters!$B$5) +
 (tbl_HR_Data[[#This Row],[Flag_Income]] * Logic_Parameters!$B$6)</f>
        <v>0</v>
      </c>
      <c r="AP1439" s="15">
        <f>tbl_HR_Data[[#This Row],[Risk_Score_Raw]] / SUM(Logic_Parameters!$B$2:$B$6)</f>
        <v>0</v>
      </c>
      <c r="AQ1439" s="16" t="str" cm="1">
        <f t="array" ref="AQ1439">_xlfn.IFS(tbl_HR_Data[[#This Row],[Attrition_Risk_Percentage]] &gt;= 0.75, "Critical",tbl_HR_Data[ [#This Row],[Attrition_Risk_Percentage] ]&gt;= 0.5, "High",tbl_HR_Data[[#This Row],[Attrition_Risk_Percentage]] &gt;= 0.25, "Medium",TRUE, "Low")</f>
        <v>Low</v>
      </c>
      <c r="AR1439" s="16" cm="1">
        <f t="array" ref="AR1439">IFERROR(_xlfn.IFS(tbl_HR_Data[[#This Row],[Risk_Category]]="Critical",tbl_HR_Data[[#This Row],[MonthlyIncome]]*1.5,tbl_HR_Data[[#This Row],[Risk_Category]]="High",tbl_HR_Data[[#This Row],[MonthlyIncome]]*1.5),0)</f>
        <v>0</v>
      </c>
    </row>
    <row r="1440" spans="1:44" x14ac:dyDescent="0.35">
      <c r="A1440" t="s">
        <v>1129</v>
      </c>
      <c r="B1440">
        <v>23</v>
      </c>
      <c r="C1440" t="s">
        <v>37</v>
      </c>
      <c r="D1440">
        <v>638</v>
      </c>
      <c r="E1440" t="s">
        <v>32</v>
      </c>
      <c r="F1440">
        <v>9</v>
      </c>
      <c r="G1440">
        <v>3</v>
      </c>
      <c r="H1440" t="s">
        <v>51</v>
      </c>
      <c r="I1440">
        <v>4</v>
      </c>
      <c r="J1440" t="s">
        <v>39</v>
      </c>
      <c r="K1440">
        <v>33</v>
      </c>
      <c r="L1440">
        <v>3</v>
      </c>
      <c r="M1440">
        <v>1</v>
      </c>
      <c r="N1440" t="s">
        <v>49</v>
      </c>
      <c r="O1440">
        <v>1</v>
      </c>
      <c r="P1440" t="s">
        <v>41</v>
      </c>
      <c r="Q1440">
        <v>1790</v>
      </c>
      <c r="R1440">
        <v>26956</v>
      </c>
      <c r="S1440">
        <v>1</v>
      </c>
      <c r="T1440">
        <v>0</v>
      </c>
      <c r="U1440" s="17">
        <v>0.19</v>
      </c>
      <c r="V1440">
        <v>3</v>
      </c>
      <c r="W1440">
        <v>1</v>
      </c>
      <c r="X1440">
        <v>1</v>
      </c>
      <c r="Y1440">
        <v>1</v>
      </c>
      <c r="Z1440">
        <v>3</v>
      </c>
      <c r="AA1440">
        <v>2</v>
      </c>
      <c r="AB1440">
        <v>1</v>
      </c>
      <c r="AC1440">
        <v>0</v>
      </c>
      <c r="AD1440">
        <v>1</v>
      </c>
      <c r="AE1440">
        <v>0</v>
      </c>
      <c r="AF1440">
        <v>1</v>
      </c>
      <c r="AG1440">
        <f>IF(tbl_HR_Data[[#This Row],[Gender]]="Male",1,0)</f>
        <v>1</v>
      </c>
      <c r="AH1440" cm="1">
        <f t="array" ref="AH1440">_xlfn.SWITCH(tbl_HR_Data[[#This Row],[BusinessTravel]], "Non-Travel", 0, "Travel_Rarely", 1, "Travel_Frequently", 2)</f>
        <v>2</v>
      </c>
      <c r="AI1440" cm="1">
        <f t="array" ref="AI1440">_xlfn.SWITCH(tbl_HR_Data[[#This Row],[MaritalStatus]],"Single",0,"Married",1,"Divorced",2)</f>
        <v>1</v>
      </c>
      <c r="AJ1440">
        <f>IF(tbl_HR_Data[[#This Row],[OverTime]]=1,1,0)</f>
        <v>0</v>
      </c>
      <c r="AK1440">
        <f>IF(tbl_HR_Data[[#This Row],[DistanceFromHome]]&gt;15,1,0)</f>
        <v>0</v>
      </c>
      <c r="AL1440">
        <f>IF(tbl_HR_Data[[#This Row],[JobSatisfaction]]&lt;=2,1,0)</f>
        <v>1</v>
      </c>
      <c r="AM1440">
        <f>IF(tbl_HR_Data[[#This Row],[MonthlyIncome]]&lt;$AT$2,1,0)</f>
        <v>1</v>
      </c>
      <c r="AN1440">
        <f>IF(tbl_HR_Data[[#This Row],[Travel_Code]]=2,1,0)</f>
        <v>1</v>
      </c>
      <c r="AO1440">
        <f>(tbl_HR_Data[[#This Row],[Flag_OT]] * Logic_Parameters!$B$2) +
 (tbl_HR_Data[[#This Row],[Flag_Travel]] * Logic_Parameters!$B$3) +
 (tbl_HR_Data[[#This Row],[Flag_Satisfaction]] * Logic_Parameters!$B$4) +
 (tbl_HR_Data[[#This Row],[Flag_Distance]]* Logic_Parameters!$B$5) +
 (tbl_HR_Data[[#This Row],[Flag_Income]] * Logic_Parameters!$B$6)</f>
        <v>15.859352047889136</v>
      </c>
      <c r="AP1440" s="15">
        <f>tbl_HR_Data[[#This Row],[Risk_Score_Raw]] / SUM(Logic_Parameters!$B$2:$B$6)</f>
        <v>0.54639453549708916</v>
      </c>
      <c r="AQ1440" s="16" t="str" cm="1">
        <f t="array" ref="AQ1440">_xlfn.IFS(tbl_HR_Data[[#This Row],[Attrition_Risk_Percentage]] &gt;= 0.75, "Critical",tbl_HR_Data[ [#This Row],[Attrition_Risk_Percentage] ]&gt;= 0.5, "High",tbl_HR_Data[[#This Row],[Attrition_Risk_Percentage]] &gt;= 0.25, "Medium",TRUE, "Low")</f>
        <v>High</v>
      </c>
      <c r="AR1440" s="16" cm="1">
        <f t="array" ref="AR1440">IFERROR(_xlfn.IFS(tbl_HR_Data[[#This Row],[Risk_Category]]="Critical",tbl_HR_Data[[#This Row],[MonthlyIncome]]*1.5,tbl_HR_Data[[#This Row],[Risk_Category]]="High",tbl_HR_Data[[#This Row],[MonthlyIncome]]*1.5),0)</f>
        <v>2685</v>
      </c>
    </row>
    <row r="1441" spans="1:44" x14ac:dyDescent="0.35">
      <c r="A1441" t="s">
        <v>83</v>
      </c>
      <c r="B1441">
        <v>36</v>
      </c>
      <c r="C1441" t="s">
        <v>31</v>
      </c>
      <c r="D1441">
        <v>557</v>
      </c>
      <c r="E1441" t="s">
        <v>32</v>
      </c>
      <c r="F1441">
        <v>3</v>
      </c>
      <c r="G1441">
        <v>3</v>
      </c>
      <c r="H1441" t="s">
        <v>44</v>
      </c>
      <c r="I1441">
        <v>1</v>
      </c>
      <c r="J1441" t="s">
        <v>34</v>
      </c>
      <c r="K1441">
        <v>94</v>
      </c>
      <c r="L1441">
        <v>2</v>
      </c>
      <c r="M1441">
        <v>3</v>
      </c>
      <c r="N1441" t="s">
        <v>35</v>
      </c>
      <c r="O1441">
        <v>4</v>
      </c>
      <c r="P1441" t="s">
        <v>41</v>
      </c>
      <c r="Q1441">
        <v>7644</v>
      </c>
      <c r="R1441">
        <v>12695</v>
      </c>
      <c r="S1441">
        <v>0</v>
      </c>
      <c r="T1441">
        <v>0</v>
      </c>
      <c r="U1441" s="17">
        <v>0.19</v>
      </c>
      <c r="V1441">
        <v>3</v>
      </c>
      <c r="W1441">
        <v>3</v>
      </c>
      <c r="X1441">
        <v>2</v>
      </c>
      <c r="Y1441">
        <v>10</v>
      </c>
      <c r="Z1441">
        <v>2</v>
      </c>
      <c r="AA1441">
        <v>3</v>
      </c>
      <c r="AB1441">
        <v>9</v>
      </c>
      <c r="AC1441">
        <v>7</v>
      </c>
      <c r="AD1441">
        <v>3</v>
      </c>
      <c r="AE1441">
        <v>4</v>
      </c>
      <c r="AF1441">
        <v>0</v>
      </c>
      <c r="AG1441">
        <f>IF(tbl_HR_Data[[#This Row],[Gender]]="Male",1,0)</f>
        <v>0</v>
      </c>
      <c r="AH1441" cm="1">
        <f t="array" ref="AH1441">_xlfn.SWITCH(tbl_HR_Data[[#This Row],[BusinessTravel]], "Non-Travel", 0, "Travel_Rarely", 1, "Travel_Frequently", 2)</f>
        <v>1</v>
      </c>
      <c r="AI1441" cm="1">
        <f t="array" ref="AI1441">_xlfn.SWITCH(tbl_HR_Data[[#This Row],[MaritalStatus]],"Single",0,"Married",1,"Divorced",2)</f>
        <v>1</v>
      </c>
      <c r="AJ1441">
        <f>IF(tbl_HR_Data[[#This Row],[OverTime]]=1,1,0)</f>
        <v>0</v>
      </c>
      <c r="AK1441">
        <f>IF(tbl_HR_Data[[#This Row],[DistanceFromHome]]&gt;15,1,0)</f>
        <v>0</v>
      </c>
      <c r="AL1441">
        <f>IF(tbl_HR_Data[[#This Row],[JobSatisfaction]]&lt;=2,1,0)</f>
        <v>0</v>
      </c>
      <c r="AM1441">
        <f>IF(tbl_HR_Data[[#This Row],[MonthlyIncome]]&lt;$AT$2,1,0)</f>
        <v>0</v>
      </c>
      <c r="AN1441">
        <f>IF(tbl_HR_Data[[#This Row],[Travel_Code]]=2,1,0)</f>
        <v>0</v>
      </c>
      <c r="AO1441">
        <f>(tbl_HR_Data[[#This Row],[Flag_OT]] * Logic_Parameters!$B$2) +
 (tbl_HR_Data[[#This Row],[Flag_Travel]] * Logic_Parameters!$B$3) +
 (tbl_HR_Data[[#This Row],[Flag_Satisfaction]] * Logic_Parameters!$B$4) +
 (tbl_HR_Data[[#This Row],[Flag_Distance]]* Logic_Parameters!$B$5) +
 (tbl_HR_Data[[#This Row],[Flag_Income]] * Logic_Parameters!$B$6)</f>
        <v>0</v>
      </c>
      <c r="AP1441" s="15">
        <f>tbl_HR_Data[[#This Row],[Risk_Score_Raw]] / SUM(Logic_Parameters!$B$2:$B$6)</f>
        <v>0</v>
      </c>
      <c r="AQ1441" s="16" t="str" cm="1">
        <f t="array" ref="AQ1441">_xlfn.IFS(tbl_HR_Data[[#This Row],[Attrition_Risk_Percentage]] &gt;= 0.75, "Critical",tbl_HR_Data[ [#This Row],[Attrition_Risk_Percentage] ]&gt;= 0.5, "High",tbl_HR_Data[[#This Row],[Attrition_Risk_Percentage]] &gt;= 0.25, "Medium",TRUE, "Low")</f>
        <v>Low</v>
      </c>
      <c r="AR1441" s="16" cm="1">
        <f t="array" ref="AR1441">IFERROR(_xlfn.IFS(tbl_HR_Data[[#This Row],[Risk_Category]]="Critical",tbl_HR_Data[[#This Row],[MonthlyIncome]]*1.5,tbl_HR_Data[[#This Row],[Risk_Category]]="High",tbl_HR_Data[[#This Row],[MonthlyIncome]]*1.5),0)</f>
        <v>0</v>
      </c>
    </row>
    <row r="1442" spans="1:44" x14ac:dyDescent="0.35">
      <c r="A1442" t="s">
        <v>849</v>
      </c>
      <c r="B1442">
        <v>36</v>
      </c>
      <c r="C1442" t="s">
        <v>37</v>
      </c>
      <c r="D1442">
        <v>688</v>
      </c>
      <c r="E1442" t="s">
        <v>38</v>
      </c>
      <c r="F1442">
        <v>4</v>
      </c>
      <c r="G1442">
        <v>2</v>
      </c>
      <c r="H1442" t="s">
        <v>33</v>
      </c>
      <c r="I1442">
        <v>4</v>
      </c>
      <c r="J1442" t="s">
        <v>34</v>
      </c>
      <c r="K1442">
        <v>97</v>
      </c>
      <c r="L1442">
        <v>3</v>
      </c>
      <c r="M1442">
        <v>2</v>
      </c>
      <c r="N1442" t="s">
        <v>46</v>
      </c>
      <c r="O1442">
        <v>2</v>
      </c>
      <c r="P1442" t="s">
        <v>45</v>
      </c>
      <c r="Q1442">
        <v>5131</v>
      </c>
      <c r="R1442">
        <v>9192</v>
      </c>
      <c r="S1442">
        <v>7</v>
      </c>
      <c r="T1442">
        <v>0</v>
      </c>
      <c r="U1442" s="17">
        <v>0.13</v>
      </c>
      <c r="V1442">
        <v>3</v>
      </c>
      <c r="W1442">
        <v>2</v>
      </c>
      <c r="X1442">
        <v>3</v>
      </c>
      <c r="Y1442">
        <v>18</v>
      </c>
      <c r="Z1442">
        <v>3</v>
      </c>
      <c r="AA1442">
        <v>3</v>
      </c>
      <c r="AB1442">
        <v>4</v>
      </c>
      <c r="AC1442">
        <v>2</v>
      </c>
      <c r="AD1442">
        <v>0</v>
      </c>
      <c r="AE1442">
        <v>2</v>
      </c>
      <c r="AF1442">
        <v>0</v>
      </c>
      <c r="AG1442">
        <f>IF(tbl_HR_Data[[#This Row],[Gender]]="Male",1,0)</f>
        <v>0</v>
      </c>
      <c r="AH1442" cm="1">
        <f t="array" ref="AH1442">_xlfn.SWITCH(tbl_HR_Data[[#This Row],[BusinessTravel]], "Non-Travel", 0, "Travel_Rarely", 1, "Travel_Frequently", 2)</f>
        <v>2</v>
      </c>
      <c r="AI1442" cm="1">
        <f t="array" ref="AI1442">_xlfn.SWITCH(tbl_HR_Data[[#This Row],[MaritalStatus]],"Single",0,"Married",1,"Divorced",2)</f>
        <v>2</v>
      </c>
      <c r="AJ1442">
        <f>IF(tbl_HR_Data[[#This Row],[OverTime]]=1,1,0)</f>
        <v>0</v>
      </c>
      <c r="AK1442">
        <f>IF(tbl_HR_Data[[#This Row],[DistanceFromHome]]&gt;15,1,0)</f>
        <v>0</v>
      </c>
      <c r="AL1442">
        <f>IF(tbl_HR_Data[[#This Row],[JobSatisfaction]]&lt;=2,1,0)</f>
        <v>1</v>
      </c>
      <c r="AM1442">
        <f>IF(tbl_HR_Data[[#This Row],[MonthlyIncome]]&lt;$AT$2,1,0)</f>
        <v>0</v>
      </c>
      <c r="AN1442">
        <f>IF(tbl_HR_Data[[#This Row],[Travel_Code]]=2,1,0)</f>
        <v>1</v>
      </c>
      <c r="AO1442">
        <f>(tbl_HR_Data[[#This Row],[Flag_OT]] * Logic_Parameters!$B$2) +
 (tbl_HR_Data[[#This Row],[Flag_Travel]] * Logic_Parameters!$B$3) +
 (tbl_HR_Data[[#This Row],[Flag_Satisfaction]] * Logic_Parameters!$B$4) +
 (tbl_HR_Data[[#This Row],[Flag_Distance]]* Logic_Parameters!$B$5) +
 (tbl_HR_Data[[#This Row],[Flag_Income]] * Logic_Parameters!$B$6)</f>
        <v>9.3649231104683075</v>
      </c>
      <c r="AP1442" s="15">
        <f>tbl_HR_Data[[#This Row],[Risk_Score_Raw]] / SUM(Logic_Parameters!$B$2:$B$6)</f>
        <v>0.32264513691726432</v>
      </c>
      <c r="AQ1442" s="16" t="str" cm="1">
        <f t="array" ref="AQ1442">_xlfn.IFS(tbl_HR_Data[[#This Row],[Attrition_Risk_Percentage]] &gt;= 0.75, "Critical",tbl_HR_Data[ [#This Row],[Attrition_Risk_Percentage] ]&gt;= 0.5, "High",tbl_HR_Data[[#This Row],[Attrition_Risk_Percentage]] &gt;= 0.25, "Medium",TRUE, "Low")</f>
        <v>Medium</v>
      </c>
      <c r="AR1442" s="16" cm="1">
        <f t="array" ref="AR1442">IFERROR(_xlfn.IFS(tbl_HR_Data[[#This Row],[Risk_Category]]="Critical",tbl_HR_Data[[#This Row],[MonthlyIncome]]*1.5,tbl_HR_Data[[#This Row],[Risk_Category]]="High",tbl_HR_Data[[#This Row],[MonthlyIncome]]*1.5),0)</f>
        <v>0</v>
      </c>
    </row>
    <row r="1443" spans="1:44" x14ac:dyDescent="0.35">
      <c r="A1443" t="s">
        <v>1505</v>
      </c>
      <c r="B1443">
        <v>56</v>
      </c>
      <c r="C1443" t="s">
        <v>1525</v>
      </c>
      <c r="D1443">
        <v>667</v>
      </c>
      <c r="E1443" t="s">
        <v>38</v>
      </c>
      <c r="F1443">
        <v>1</v>
      </c>
      <c r="G1443">
        <v>4</v>
      </c>
      <c r="H1443" t="s">
        <v>33</v>
      </c>
      <c r="I1443">
        <v>3</v>
      </c>
      <c r="J1443" t="s">
        <v>39</v>
      </c>
      <c r="K1443">
        <v>57</v>
      </c>
      <c r="L1443">
        <v>3</v>
      </c>
      <c r="M1443">
        <v>2</v>
      </c>
      <c r="N1443" t="s">
        <v>47</v>
      </c>
      <c r="O1443">
        <v>3</v>
      </c>
      <c r="P1443" t="s">
        <v>45</v>
      </c>
      <c r="Q1443">
        <v>6306</v>
      </c>
      <c r="R1443">
        <v>26236</v>
      </c>
      <c r="S1443">
        <v>1</v>
      </c>
      <c r="T1443">
        <v>0</v>
      </c>
      <c r="U1443" s="17">
        <v>0.21</v>
      </c>
      <c r="V1443">
        <v>4</v>
      </c>
      <c r="W1443">
        <v>1</v>
      </c>
      <c r="X1443">
        <v>1</v>
      </c>
      <c r="Y1443">
        <v>13</v>
      </c>
      <c r="Z1443">
        <v>2</v>
      </c>
      <c r="AA1443">
        <v>2</v>
      </c>
      <c r="AB1443">
        <v>13</v>
      </c>
      <c r="AC1443">
        <v>12</v>
      </c>
      <c r="AD1443">
        <v>1</v>
      </c>
      <c r="AE1443">
        <v>9</v>
      </c>
      <c r="AF1443">
        <v>0</v>
      </c>
      <c r="AG1443">
        <f>IF(tbl_HR_Data[[#This Row],[Gender]]="Male",1,0)</f>
        <v>1</v>
      </c>
      <c r="AH1443" cm="1">
        <f t="array" ref="AH1443">_xlfn.SWITCH(tbl_HR_Data[[#This Row],[BusinessTravel]], "Non-Travel", 0, "Travel_Rarely", 1, "Travel_Frequently", 2)</f>
        <v>0</v>
      </c>
      <c r="AI1443" cm="1">
        <f t="array" ref="AI1443">_xlfn.SWITCH(tbl_HR_Data[[#This Row],[MaritalStatus]],"Single",0,"Married",1,"Divorced",2)</f>
        <v>2</v>
      </c>
      <c r="AJ1443">
        <f>IF(tbl_HR_Data[[#This Row],[OverTime]]=1,1,0)</f>
        <v>0</v>
      </c>
      <c r="AK1443">
        <f>IF(tbl_HR_Data[[#This Row],[DistanceFromHome]]&gt;15,1,0)</f>
        <v>0</v>
      </c>
      <c r="AL1443">
        <f>IF(tbl_HR_Data[[#This Row],[JobSatisfaction]]&lt;=2,1,0)</f>
        <v>0</v>
      </c>
      <c r="AM1443">
        <f>IF(tbl_HR_Data[[#This Row],[MonthlyIncome]]&lt;$AT$2,1,0)</f>
        <v>0</v>
      </c>
      <c r="AN1443">
        <f>IF(tbl_HR_Data[[#This Row],[Travel_Code]]=2,1,0)</f>
        <v>0</v>
      </c>
      <c r="AO1443">
        <f>(tbl_HR_Data[[#This Row],[Flag_OT]] * Logic_Parameters!$B$2) +
 (tbl_HR_Data[[#This Row],[Flag_Travel]] * Logic_Parameters!$B$3) +
 (tbl_HR_Data[[#This Row],[Flag_Satisfaction]] * Logic_Parameters!$B$4) +
 (tbl_HR_Data[[#This Row],[Flag_Distance]]* Logic_Parameters!$B$5) +
 (tbl_HR_Data[[#This Row],[Flag_Income]] * Logic_Parameters!$B$6)</f>
        <v>0</v>
      </c>
      <c r="AP1443" s="15">
        <f>tbl_HR_Data[[#This Row],[Risk_Score_Raw]] / SUM(Logic_Parameters!$B$2:$B$6)</f>
        <v>0</v>
      </c>
      <c r="AQ1443" s="16" t="str" cm="1">
        <f t="array" ref="AQ1443">_xlfn.IFS(tbl_HR_Data[[#This Row],[Attrition_Risk_Percentage]] &gt;= 0.75, "Critical",tbl_HR_Data[ [#This Row],[Attrition_Risk_Percentage] ]&gt;= 0.5, "High",tbl_HR_Data[[#This Row],[Attrition_Risk_Percentage]] &gt;= 0.25, "Medium",TRUE, "Low")</f>
        <v>Low</v>
      </c>
      <c r="AR1443" s="16" cm="1">
        <f t="array" ref="AR1443">IFERROR(_xlfn.IFS(tbl_HR_Data[[#This Row],[Risk_Category]]="Critical",tbl_HR_Data[[#This Row],[MonthlyIncome]]*1.5,tbl_HR_Data[[#This Row],[Risk_Category]]="High",tbl_HR_Data[[#This Row],[MonthlyIncome]]*1.5),0)</f>
        <v>0</v>
      </c>
    </row>
    <row r="1444" spans="1:44" x14ac:dyDescent="0.35">
      <c r="A1444" t="s">
        <v>582</v>
      </c>
      <c r="B1444">
        <v>29</v>
      </c>
      <c r="C1444" t="s">
        <v>31</v>
      </c>
      <c r="D1444">
        <v>1092</v>
      </c>
      <c r="E1444" t="s">
        <v>38</v>
      </c>
      <c r="F1444">
        <v>1</v>
      </c>
      <c r="G1444">
        <v>4</v>
      </c>
      <c r="H1444" t="s">
        <v>44</v>
      </c>
      <c r="I1444">
        <v>1</v>
      </c>
      <c r="J1444" t="s">
        <v>39</v>
      </c>
      <c r="K1444">
        <v>36</v>
      </c>
      <c r="L1444">
        <v>3</v>
      </c>
      <c r="M1444">
        <v>1</v>
      </c>
      <c r="N1444" t="s">
        <v>40</v>
      </c>
      <c r="O1444">
        <v>4</v>
      </c>
      <c r="P1444" t="s">
        <v>41</v>
      </c>
      <c r="Q1444">
        <v>4787</v>
      </c>
      <c r="R1444">
        <v>26124</v>
      </c>
      <c r="S1444">
        <v>9</v>
      </c>
      <c r="T1444">
        <v>1</v>
      </c>
      <c r="U1444" s="17">
        <v>0.14000000000000001</v>
      </c>
      <c r="V1444">
        <v>3</v>
      </c>
      <c r="W1444">
        <v>2</v>
      </c>
      <c r="X1444">
        <v>3</v>
      </c>
      <c r="Y1444">
        <v>4</v>
      </c>
      <c r="Z1444">
        <v>3</v>
      </c>
      <c r="AA1444">
        <v>4</v>
      </c>
      <c r="AB1444">
        <v>2</v>
      </c>
      <c r="AC1444">
        <v>2</v>
      </c>
      <c r="AD1444">
        <v>2</v>
      </c>
      <c r="AE1444">
        <v>2</v>
      </c>
      <c r="AF1444">
        <v>1</v>
      </c>
      <c r="AG1444">
        <f>IF(tbl_HR_Data[[#This Row],[Gender]]="Male",1,0)</f>
        <v>1</v>
      </c>
      <c r="AH1444" cm="1">
        <f t="array" ref="AH1444">_xlfn.SWITCH(tbl_HR_Data[[#This Row],[BusinessTravel]], "Non-Travel", 0, "Travel_Rarely", 1, "Travel_Frequently", 2)</f>
        <v>1</v>
      </c>
      <c r="AI1444" cm="1">
        <f t="array" ref="AI1444">_xlfn.SWITCH(tbl_HR_Data[[#This Row],[MaritalStatus]],"Single",0,"Married",1,"Divorced",2)</f>
        <v>1</v>
      </c>
      <c r="AJ1444">
        <f>IF(tbl_HR_Data[[#This Row],[OverTime]]=1,1,0)</f>
        <v>1</v>
      </c>
      <c r="AK1444">
        <f>IF(tbl_HR_Data[[#This Row],[DistanceFromHome]]&gt;15,1,0)</f>
        <v>0</v>
      </c>
      <c r="AL1444">
        <f>IF(tbl_HR_Data[[#This Row],[JobSatisfaction]]&lt;=2,1,0)</f>
        <v>0</v>
      </c>
      <c r="AM1444">
        <f>IF(tbl_HR_Data[[#This Row],[MonthlyIncome]]&lt;$AT$2,1,0)</f>
        <v>1</v>
      </c>
      <c r="AN1444">
        <f>IF(tbl_HR_Data[[#This Row],[Travel_Code]]=2,1,0)</f>
        <v>0</v>
      </c>
      <c r="AO1444">
        <f>(tbl_HR_Data[[#This Row],[Flag_OT]] * Logic_Parameters!$B$2) +
 (tbl_HR_Data[[#This Row],[Flag_Travel]] * Logic_Parameters!$B$3) +
 (tbl_HR_Data[[#This Row],[Flag_Satisfaction]] * Logic_Parameters!$B$4) +
 (tbl_HR_Data[[#This Row],[Flag_Distance]]* Logic_Parameters!$B$5) +
 (tbl_HR_Data[[#This Row],[Flag_Income]] * Logic_Parameters!$B$6)</f>
        <v>16.494428937420828</v>
      </c>
      <c r="AP1444" s="15">
        <f>tbl_HR_Data[[#This Row],[Risk_Score_Raw]] / SUM(Logic_Parameters!$B$2:$B$6)</f>
        <v>0.56827453040563214</v>
      </c>
      <c r="AQ1444" s="16" t="str" cm="1">
        <f t="array" ref="AQ1444">_xlfn.IFS(tbl_HR_Data[[#This Row],[Attrition_Risk_Percentage]] &gt;= 0.75, "Critical",tbl_HR_Data[ [#This Row],[Attrition_Risk_Percentage] ]&gt;= 0.5, "High",tbl_HR_Data[[#This Row],[Attrition_Risk_Percentage]] &gt;= 0.25, "Medium",TRUE, "Low")</f>
        <v>High</v>
      </c>
      <c r="AR1444" s="16" cm="1">
        <f t="array" ref="AR1444">IFERROR(_xlfn.IFS(tbl_HR_Data[[#This Row],[Risk_Category]]="Critical",tbl_HR_Data[[#This Row],[MonthlyIncome]]*1.5,tbl_HR_Data[[#This Row],[Risk_Category]]="High",tbl_HR_Data[[#This Row],[MonthlyIncome]]*1.5),0)</f>
        <v>7180.5</v>
      </c>
    </row>
    <row r="1445" spans="1:44" x14ac:dyDescent="0.35">
      <c r="A1445" t="s">
        <v>1164</v>
      </c>
      <c r="B1445">
        <v>42</v>
      </c>
      <c r="C1445" t="s">
        <v>31</v>
      </c>
      <c r="D1445">
        <v>300</v>
      </c>
      <c r="E1445" t="s">
        <v>38</v>
      </c>
      <c r="F1445">
        <v>2</v>
      </c>
      <c r="G1445">
        <v>3</v>
      </c>
      <c r="H1445" t="s">
        <v>33</v>
      </c>
      <c r="I1445">
        <v>1</v>
      </c>
      <c r="J1445" t="s">
        <v>39</v>
      </c>
      <c r="K1445">
        <v>56</v>
      </c>
      <c r="L1445">
        <v>3</v>
      </c>
      <c r="M1445">
        <v>5</v>
      </c>
      <c r="N1445" t="s">
        <v>48</v>
      </c>
      <c r="O1445">
        <v>3</v>
      </c>
      <c r="P1445" t="s">
        <v>41</v>
      </c>
      <c r="Q1445">
        <v>18880</v>
      </c>
      <c r="R1445">
        <v>17312</v>
      </c>
      <c r="S1445">
        <v>5</v>
      </c>
      <c r="T1445">
        <v>0</v>
      </c>
      <c r="U1445" s="17">
        <v>0.11</v>
      </c>
      <c r="V1445">
        <v>3</v>
      </c>
      <c r="W1445">
        <v>1</v>
      </c>
      <c r="X1445">
        <v>0</v>
      </c>
      <c r="Y1445">
        <v>24</v>
      </c>
      <c r="Z1445">
        <v>2</v>
      </c>
      <c r="AA1445">
        <v>2</v>
      </c>
      <c r="AB1445">
        <v>22</v>
      </c>
      <c r="AC1445">
        <v>6</v>
      </c>
      <c r="AD1445">
        <v>4</v>
      </c>
      <c r="AE1445">
        <v>14</v>
      </c>
      <c r="AF1445">
        <v>0</v>
      </c>
      <c r="AG1445">
        <f>IF(tbl_HR_Data[[#This Row],[Gender]]="Male",1,0)</f>
        <v>1</v>
      </c>
      <c r="AH1445" cm="1">
        <f t="array" ref="AH1445">_xlfn.SWITCH(tbl_HR_Data[[#This Row],[BusinessTravel]], "Non-Travel", 0, "Travel_Rarely", 1, "Travel_Frequently", 2)</f>
        <v>1</v>
      </c>
      <c r="AI1445" cm="1">
        <f t="array" ref="AI1445">_xlfn.SWITCH(tbl_HR_Data[[#This Row],[MaritalStatus]],"Single",0,"Married",1,"Divorced",2)</f>
        <v>1</v>
      </c>
      <c r="AJ1445">
        <f>IF(tbl_HR_Data[[#This Row],[OverTime]]=1,1,0)</f>
        <v>0</v>
      </c>
      <c r="AK1445">
        <f>IF(tbl_HR_Data[[#This Row],[DistanceFromHome]]&gt;15,1,0)</f>
        <v>0</v>
      </c>
      <c r="AL1445">
        <f>IF(tbl_HR_Data[[#This Row],[JobSatisfaction]]&lt;=2,1,0)</f>
        <v>0</v>
      </c>
      <c r="AM1445">
        <f>IF(tbl_HR_Data[[#This Row],[MonthlyIncome]]&lt;$AT$2,1,0)</f>
        <v>0</v>
      </c>
      <c r="AN1445">
        <f>IF(tbl_HR_Data[[#This Row],[Travel_Code]]=2,1,0)</f>
        <v>0</v>
      </c>
      <c r="AO1445">
        <f>(tbl_HR_Data[[#This Row],[Flag_OT]] * Logic_Parameters!$B$2) +
 (tbl_HR_Data[[#This Row],[Flag_Travel]] * Logic_Parameters!$B$3) +
 (tbl_HR_Data[[#This Row],[Flag_Satisfaction]] * Logic_Parameters!$B$4) +
 (tbl_HR_Data[[#This Row],[Flag_Distance]]* Logic_Parameters!$B$5) +
 (tbl_HR_Data[[#This Row],[Flag_Income]] * Logic_Parameters!$B$6)</f>
        <v>0</v>
      </c>
      <c r="AP1445" s="15">
        <f>tbl_HR_Data[[#This Row],[Risk_Score_Raw]] / SUM(Logic_Parameters!$B$2:$B$6)</f>
        <v>0</v>
      </c>
      <c r="AQ1445" s="16" t="str" cm="1">
        <f t="array" ref="AQ1445">_xlfn.IFS(tbl_HR_Data[[#This Row],[Attrition_Risk_Percentage]] &gt;= 0.75, "Critical",tbl_HR_Data[ [#This Row],[Attrition_Risk_Percentage] ]&gt;= 0.5, "High",tbl_HR_Data[[#This Row],[Attrition_Risk_Percentage]] &gt;= 0.25, "Medium",TRUE, "Low")</f>
        <v>Low</v>
      </c>
      <c r="AR1445" s="16" cm="1">
        <f t="array" ref="AR1445">IFERROR(_xlfn.IFS(tbl_HR_Data[[#This Row],[Risk_Category]]="Critical",tbl_HR_Data[[#This Row],[MonthlyIncome]]*1.5,tbl_HR_Data[[#This Row],[Risk_Category]]="High",tbl_HR_Data[[#This Row],[MonthlyIncome]]*1.5),0)</f>
        <v>0</v>
      </c>
    </row>
    <row r="1446" spans="1:44" x14ac:dyDescent="0.35">
      <c r="A1446" t="s">
        <v>199</v>
      </c>
      <c r="B1446">
        <v>56</v>
      </c>
      <c r="C1446" t="s">
        <v>31</v>
      </c>
      <c r="D1446">
        <v>310</v>
      </c>
      <c r="E1446" t="s">
        <v>38</v>
      </c>
      <c r="F1446">
        <v>7</v>
      </c>
      <c r="G1446">
        <v>2</v>
      </c>
      <c r="H1446" t="s">
        <v>52</v>
      </c>
      <c r="I1446">
        <v>4</v>
      </c>
      <c r="J1446" t="s">
        <v>39</v>
      </c>
      <c r="K1446">
        <v>72</v>
      </c>
      <c r="L1446">
        <v>3</v>
      </c>
      <c r="M1446">
        <v>1</v>
      </c>
      <c r="N1446" t="s">
        <v>43</v>
      </c>
      <c r="O1446">
        <v>3</v>
      </c>
      <c r="P1446" t="s">
        <v>41</v>
      </c>
      <c r="Q1446">
        <v>2339</v>
      </c>
      <c r="R1446">
        <v>3666</v>
      </c>
      <c r="S1446">
        <v>8</v>
      </c>
      <c r="T1446">
        <v>0</v>
      </c>
      <c r="U1446" s="17">
        <v>0.11</v>
      </c>
      <c r="V1446">
        <v>3</v>
      </c>
      <c r="W1446">
        <v>4</v>
      </c>
      <c r="X1446">
        <v>1</v>
      </c>
      <c r="Y1446">
        <v>14</v>
      </c>
      <c r="Z1446">
        <v>4</v>
      </c>
      <c r="AA1446">
        <v>1</v>
      </c>
      <c r="AB1446">
        <v>10</v>
      </c>
      <c r="AC1446">
        <v>9</v>
      </c>
      <c r="AD1446">
        <v>9</v>
      </c>
      <c r="AE1446">
        <v>8</v>
      </c>
      <c r="AF1446">
        <v>1</v>
      </c>
      <c r="AG1446">
        <f>IF(tbl_HR_Data[[#This Row],[Gender]]="Male",1,0)</f>
        <v>1</v>
      </c>
      <c r="AH1446" cm="1">
        <f t="array" ref="AH1446">_xlfn.SWITCH(tbl_HR_Data[[#This Row],[BusinessTravel]], "Non-Travel", 0, "Travel_Rarely", 1, "Travel_Frequently", 2)</f>
        <v>1</v>
      </c>
      <c r="AI1446" cm="1">
        <f t="array" ref="AI1446">_xlfn.SWITCH(tbl_HR_Data[[#This Row],[MaritalStatus]],"Single",0,"Married",1,"Divorced",2)</f>
        <v>1</v>
      </c>
      <c r="AJ1446">
        <f>IF(tbl_HR_Data[[#This Row],[OverTime]]=1,1,0)</f>
        <v>0</v>
      </c>
      <c r="AK1446">
        <f>IF(tbl_HR_Data[[#This Row],[DistanceFromHome]]&gt;15,1,0)</f>
        <v>0</v>
      </c>
      <c r="AL1446">
        <f>IF(tbl_HR_Data[[#This Row],[JobSatisfaction]]&lt;=2,1,0)</f>
        <v>0</v>
      </c>
      <c r="AM1446">
        <f>IF(tbl_HR_Data[[#This Row],[MonthlyIncome]]&lt;$AT$2,1,0)</f>
        <v>1</v>
      </c>
      <c r="AN1446">
        <f>IF(tbl_HR_Data[[#This Row],[Travel_Code]]=2,1,0)</f>
        <v>0</v>
      </c>
      <c r="AO1446">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446" s="15">
        <f>tbl_HR_Data[[#This Row],[Risk_Score_Raw]] / SUM(Logic_Parameters!$B$2:$B$6)</f>
        <v>0.22374939857982484</v>
      </c>
      <c r="AQ1446" s="16" t="str" cm="1">
        <f t="array" ref="AQ1446">_xlfn.IFS(tbl_HR_Data[[#This Row],[Attrition_Risk_Percentage]] &gt;= 0.75, "Critical",tbl_HR_Data[ [#This Row],[Attrition_Risk_Percentage] ]&gt;= 0.5, "High",tbl_HR_Data[[#This Row],[Attrition_Risk_Percentage]] &gt;= 0.25, "Medium",TRUE, "Low")</f>
        <v>Low</v>
      </c>
      <c r="AR1446" s="16" cm="1">
        <f t="array" ref="AR1446">IFERROR(_xlfn.IFS(tbl_HR_Data[[#This Row],[Risk_Category]]="Critical",tbl_HR_Data[[#This Row],[MonthlyIncome]]*1.5,tbl_HR_Data[[#This Row],[Risk_Category]]="High",tbl_HR_Data[[#This Row],[MonthlyIncome]]*1.5),0)</f>
        <v>0</v>
      </c>
    </row>
    <row r="1447" spans="1:44" x14ac:dyDescent="0.35">
      <c r="A1447" t="s">
        <v>883</v>
      </c>
      <c r="B1447">
        <v>41</v>
      </c>
      <c r="C1447" t="s">
        <v>31</v>
      </c>
      <c r="D1447">
        <v>582</v>
      </c>
      <c r="E1447" t="s">
        <v>38</v>
      </c>
      <c r="F1447">
        <v>28</v>
      </c>
      <c r="G1447">
        <v>4</v>
      </c>
      <c r="H1447" t="s">
        <v>33</v>
      </c>
      <c r="I1447">
        <v>1</v>
      </c>
      <c r="J1447" t="s">
        <v>34</v>
      </c>
      <c r="K1447">
        <v>60</v>
      </c>
      <c r="L1447">
        <v>2</v>
      </c>
      <c r="M1447">
        <v>4</v>
      </c>
      <c r="N1447" t="s">
        <v>46</v>
      </c>
      <c r="O1447">
        <v>2</v>
      </c>
      <c r="P1447" t="s">
        <v>41</v>
      </c>
      <c r="Q1447">
        <v>13570</v>
      </c>
      <c r="R1447">
        <v>5640</v>
      </c>
      <c r="S1447">
        <v>0</v>
      </c>
      <c r="T1447">
        <v>0</v>
      </c>
      <c r="U1447" s="17">
        <v>0.23</v>
      </c>
      <c r="V1447">
        <v>4</v>
      </c>
      <c r="W1447">
        <v>3</v>
      </c>
      <c r="X1447">
        <v>1</v>
      </c>
      <c r="Y1447">
        <v>21</v>
      </c>
      <c r="Z1447">
        <v>3</v>
      </c>
      <c r="AA1447">
        <v>3</v>
      </c>
      <c r="AB1447">
        <v>20</v>
      </c>
      <c r="AC1447">
        <v>7</v>
      </c>
      <c r="AD1447">
        <v>0</v>
      </c>
      <c r="AE1447">
        <v>10</v>
      </c>
      <c r="AF1447">
        <v>0</v>
      </c>
      <c r="AG1447">
        <f>IF(tbl_HR_Data[[#This Row],[Gender]]="Male",1,0)</f>
        <v>0</v>
      </c>
      <c r="AH1447" cm="1">
        <f t="array" ref="AH1447">_xlfn.SWITCH(tbl_HR_Data[[#This Row],[BusinessTravel]], "Non-Travel", 0, "Travel_Rarely", 1, "Travel_Frequently", 2)</f>
        <v>1</v>
      </c>
      <c r="AI1447" cm="1">
        <f t="array" ref="AI1447">_xlfn.SWITCH(tbl_HR_Data[[#This Row],[MaritalStatus]],"Single",0,"Married",1,"Divorced",2)</f>
        <v>1</v>
      </c>
      <c r="AJ1447">
        <f>IF(tbl_HR_Data[[#This Row],[OverTime]]=1,1,0)</f>
        <v>0</v>
      </c>
      <c r="AK1447">
        <f>IF(tbl_HR_Data[[#This Row],[DistanceFromHome]]&gt;15,1,0)</f>
        <v>1</v>
      </c>
      <c r="AL1447">
        <f>IF(tbl_HR_Data[[#This Row],[JobSatisfaction]]&lt;=2,1,0)</f>
        <v>1</v>
      </c>
      <c r="AM1447">
        <f>IF(tbl_HR_Data[[#This Row],[MonthlyIncome]]&lt;$AT$2,1,0)</f>
        <v>0</v>
      </c>
      <c r="AN1447">
        <f>IF(tbl_HR_Data[[#This Row],[Travel_Code]]=2,1,0)</f>
        <v>0</v>
      </c>
      <c r="AO1447">
        <f>(tbl_HR_Data[[#This Row],[Flag_OT]] * Logic_Parameters!$B$2) +
 (tbl_HR_Data[[#This Row],[Flag_Travel]] * Logic_Parameters!$B$3) +
 (tbl_HR_Data[[#This Row],[Flag_Satisfaction]] * Logic_Parameters!$B$4) +
 (tbl_HR_Data[[#This Row],[Flag_Distance]]* Logic_Parameters!$B$5) +
 (tbl_HR_Data[[#This Row],[Flag_Income]] * Logic_Parameters!$B$6)</f>
        <v>7.3706398258535089</v>
      </c>
      <c r="AP1447" s="15">
        <f>tbl_HR_Data[[#This Row],[Risk_Score_Raw]] / SUM(Logic_Parameters!$B$2:$B$6)</f>
        <v>0.25393706576427255</v>
      </c>
      <c r="AQ1447" s="16" t="str" cm="1">
        <f t="array" ref="AQ1447">_xlfn.IFS(tbl_HR_Data[[#This Row],[Attrition_Risk_Percentage]] &gt;= 0.75, "Critical",tbl_HR_Data[ [#This Row],[Attrition_Risk_Percentage] ]&gt;= 0.5, "High",tbl_HR_Data[[#This Row],[Attrition_Risk_Percentage]] &gt;= 0.25, "Medium",TRUE, "Low")</f>
        <v>Medium</v>
      </c>
      <c r="AR1447" s="16" cm="1">
        <f t="array" ref="AR1447">IFERROR(_xlfn.IFS(tbl_HR_Data[[#This Row],[Risk_Category]]="Critical",tbl_HR_Data[[#This Row],[MonthlyIncome]]*1.5,tbl_HR_Data[[#This Row],[Risk_Category]]="High",tbl_HR_Data[[#This Row],[MonthlyIncome]]*1.5),0)</f>
        <v>0</v>
      </c>
    </row>
    <row r="1448" spans="1:44" x14ac:dyDescent="0.35">
      <c r="A1448" t="s">
        <v>774</v>
      </c>
      <c r="B1448">
        <v>34</v>
      </c>
      <c r="C1448" t="s">
        <v>31</v>
      </c>
      <c r="D1448">
        <v>704</v>
      </c>
      <c r="E1448" t="s">
        <v>32</v>
      </c>
      <c r="F1448">
        <v>28</v>
      </c>
      <c r="G1448">
        <v>3</v>
      </c>
      <c r="H1448" t="s">
        <v>51</v>
      </c>
      <c r="I1448">
        <v>4</v>
      </c>
      <c r="J1448" t="s">
        <v>34</v>
      </c>
      <c r="K1448">
        <v>95</v>
      </c>
      <c r="L1448">
        <v>2</v>
      </c>
      <c r="M1448">
        <v>2</v>
      </c>
      <c r="N1448" t="s">
        <v>35</v>
      </c>
      <c r="O1448">
        <v>3</v>
      </c>
      <c r="P1448" t="s">
        <v>41</v>
      </c>
      <c r="Q1448">
        <v>6712</v>
      </c>
      <c r="R1448">
        <v>8978</v>
      </c>
      <c r="S1448">
        <v>1</v>
      </c>
      <c r="T1448">
        <v>0</v>
      </c>
      <c r="U1448" s="17">
        <v>0.21</v>
      </c>
      <c r="V1448">
        <v>4</v>
      </c>
      <c r="W1448">
        <v>4</v>
      </c>
      <c r="X1448">
        <v>2</v>
      </c>
      <c r="Y1448">
        <v>8</v>
      </c>
      <c r="Z1448">
        <v>2</v>
      </c>
      <c r="AA1448">
        <v>3</v>
      </c>
      <c r="AB1448">
        <v>8</v>
      </c>
      <c r="AC1448">
        <v>7</v>
      </c>
      <c r="AD1448">
        <v>1</v>
      </c>
      <c r="AE1448">
        <v>7</v>
      </c>
      <c r="AF1448">
        <v>0</v>
      </c>
      <c r="AG1448">
        <f>IF(tbl_HR_Data[[#This Row],[Gender]]="Male",1,0)</f>
        <v>0</v>
      </c>
      <c r="AH1448" cm="1">
        <f t="array" ref="AH1448">_xlfn.SWITCH(tbl_HR_Data[[#This Row],[BusinessTravel]], "Non-Travel", 0, "Travel_Rarely", 1, "Travel_Frequently", 2)</f>
        <v>1</v>
      </c>
      <c r="AI1448" cm="1">
        <f t="array" ref="AI1448">_xlfn.SWITCH(tbl_HR_Data[[#This Row],[MaritalStatus]],"Single",0,"Married",1,"Divorced",2)</f>
        <v>1</v>
      </c>
      <c r="AJ1448">
        <f>IF(tbl_HR_Data[[#This Row],[OverTime]]=1,1,0)</f>
        <v>0</v>
      </c>
      <c r="AK1448">
        <f>IF(tbl_HR_Data[[#This Row],[DistanceFromHome]]&gt;15,1,0)</f>
        <v>1</v>
      </c>
      <c r="AL1448">
        <f>IF(tbl_HR_Data[[#This Row],[JobSatisfaction]]&lt;=2,1,0)</f>
        <v>0</v>
      </c>
      <c r="AM1448">
        <f>IF(tbl_HR_Data[[#This Row],[MonthlyIncome]]&lt;$AT$2,1,0)</f>
        <v>0</v>
      </c>
      <c r="AN1448">
        <f>IF(tbl_HR_Data[[#This Row],[Travel_Code]]=2,1,0)</f>
        <v>0</v>
      </c>
      <c r="AO1448">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1448" s="15">
        <f>tbl_HR_Data[[#This Row],[Risk_Score_Raw]] / SUM(Logic_Parameters!$B$2:$B$6)</f>
        <v>0.10908033267710357</v>
      </c>
      <c r="AQ1448" s="16" t="str" cm="1">
        <f t="array" ref="AQ1448">_xlfn.IFS(tbl_HR_Data[[#This Row],[Attrition_Risk_Percentage]] &gt;= 0.75, "Critical",tbl_HR_Data[ [#This Row],[Attrition_Risk_Percentage] ]&gt;= 0.5, "High",tbl_HR_Data[[#This Row],[Attrition_Risk_Percentage]] &gt;= 0.25, "Medium",TRUE, "Low")</f>
        <v>Low</v>
      </c>
      <c r="AR1448" s="16" cm="1">
        <f t="array" ref="AR1448">IFERROR(_xlfn.IFS(tbl_HR_Data[[#This Row],[Risk_Category]]="Critical",tbl_HR_Data[[#This Row],[MonthlyIncome]]*1.5,tbl_HR_Data[[#This Row],[Risk_Category]]="High",tbl_HR_Data[[#This Row],[MonthlyIncome]]*1.5),0)</f>
        <v>0</v>
      </c>
    </row>
    <row r="1449" spans="1:44" x14ac:dyDescent="0.35">
      <c r="A1449" t="s">
        <v>305</v>
      </c>
      <c r="B1449">
        <v>36</v>
      </c>
      <c r="C1449" t="s">
        <v>1525</v>
      </c>
      <c r="D1449">
        <v>301</v>
      </c>
      <c r="E1449" t="s">
        <v>32</v>
      </c>
      <c r="F1449">
        <v>15</v>
      </c>
      <c r="G1449">
        <v>4</v>
      </c>
      <c r="H1449" t="s">
        <v>51</v>
      </c>
      <c r="I1449">
        <v>4</v>
      </c>
      <c r="J1449" t="s">
        <v>39</v>
      </c>
      <c r="K1449">
        <v>88</v>
      </c>
      <c r="L1449">
        <v>1</v>
      </c>
      <c r="M1449">
        <v>2</v>
      </c>
      <c r="N1449" t="s">
        <v>35</v>
      </c>
      <c r="O1449">
        <v>4</v>
      </c>
      <c r="P1449" t="s">
        <v>45</v>
      </c>
      <c r="Q1449">
        <v>5406</v>
      </c>
      <c r="R1449">
        <v>10436</v>
      </c>
      <c r="S1449">
        <v>1</v>
      </c>
      <c r="T1449">
        <v>0</v>
      </c>
      <c r="U1449" s="17">
        <v>0.24</v>
      </c>
      <c r="V1449">
        <v>4</v>
      </c>
      <c r="W1449">
        <v>1</v>
      </c>
      <c r="X1449">
        <v>1</v>
      </c>
      <c r="Y1449">
        <v>15</v>
      </c>
      <c r="Z1449">
        <v>4</v>
      </c>
      <c r="AA1449">
        <v>2</v>
      </c>
      <c r="AB1449">
        <v>15</v>
      </c>
      <c r="AC1449">
        <v>12</v>
      </c>
      <c r="AD1449">
        <v>11</v>
      </c>
      <c r="AE1449">
        <v>11</v>
      </c>
      <c r="AF1449">
        <v>0</v>
      </c>
      <c r="AG1449">
        <f>IF(tbl_HR_Data[[#This Row],[Gender]]="Male",1,0)</f>
        <v>1</v>
      </c>
      <c r="AH1449" cm="1">
        <f t="array" ref="AH1449">_xlfn.SWITCH(tbl_HR_Data[[#This Row],[BusinessTravel]], "Non-Travel", 0, "Travel_Rarely", 1, "Travel_Frequently", 2)</f>
        <v>0</v>
      </c>
      <c r="AI1449" cm="1">
        <f t="array" ref="AI1449">_xlfn.SWITCH(tbl_HR_Data[[#This Row],[MaritalStatus]],"Single",0,"Married",1,"Divorced",2)</f>
        <v>2</v>
      </c>
      <c r="AJ1449">
        <f>IF(tbl_HR_Data[[#This Row],[OverTime]]=1,1,0)</f>
        <v>0</v>
      </c>
      <c r="AK1449">
        <f>IF(tbl_HR_Data[[#This Row],[DistanceFromHome]]&gt;15,1,0)</f>
        <v>0</v>
      </c>
      <c r="AL1449">
        <f>IF(tbl_HR_Data[[#This Row],[JobSatisfaction]]&lt;=2,1,0)</f>
        <v>0</v>
      </c>
      <c r="AM1449">
        <f>IF(tbl_HR_Data[[#This Row],[MonthlyIncome]]&lt;$AT$2,1,0)</f>
        <v>0</v>
      </c>
      <c r="AN1449">
        <f>IF(tbl_HR_Data[[#This Row],[Travel_Code]]=2,1,0)</f>
        <v>0</v>
      </c>
      <c r="AO1449">
        <f>(tbl_HR_Data[[#This Row],[Flag_OT]] * Logic_Parameters!$B$2) +
 (tbl_HR_Data[[#This Row],[Flag_Travel]] * Logic_Parameters!$B$3) +
 (tbl_HR_Data[[#This Row],[Flag_Satisfaction]] * Logic_Parameters!$B$4) +
 (tbl_HR_Data[[#This Row],[Flag_Distance]]* Logic_Parameters!$B$5) +
 (tbl_HR_Data[[#This Row],[Flag_Income]] * Logic_Parameters!$B$6)</f>
        <v>0</v>
      </c>
      <c r="AP1449" s="15">
        <f>tbl_HR_Data[[#This Row],[Risk_Score_Raw]] / SUM(Logic_Parameters!$B$2:$B$6)</f>
        <v>0</v>
      </c>
      <c r="AQ1449" s="16" t="str" cm="1">
        <f t="array" ref="AQ1449">_xlfn.IFS(tbl_HR_Data[[#This Row],[Attrition_Risk_Percentage]] &gt;= 0.75, "Critical",tbl_HR_Data[ [#This Row],[Attrition_Risk_Percentage] ]&gt;= 0.5, "High",tbl_HR_Data[[#This Row],[Attrition_Risk_Percentage]] &gt;= 0.25, "Medium",TRUE, "Low")</f>
        <v>Low</v>
      </c>
      <c r="AR1449" s="16" cm="1">
        <f t="array" ref="AR1449">IFERROR(_xlfn.IFS(tbl_HR_Data[[#This Row],[Risk_Category]]="Critical",tbl_HR_Data[[#This Row],[MonthlyIncome]]*1.5,tbl_HR_Data[[#This Row],[Risk_Category]]="High",tbl_HR_Data[[#This Row],[MonthlyIncome]]*1.5),0)</f>
        <v>0</v>
      </c>
    </row>
    <row r="1450" spans="1:44" x14ac:dyDescent="0.35">
      <c r="A1450" t="s">
        <v>196</v>
      </c>
      <c r="B1450">
        <v>41</v>
      </c>
      <c r="C1450" t="s">
        <v>31</v>
      </c>
      <c r="D1450">
        <v>930</v>
      </c>
      <c r="E1450" t="s">
        <v>32</v>
      </c>
      <c r="F1450">
        <v>3</v>
      </c>
      <c r="G1450">
        <v>3</v>
      </c>
      <c r="H1450" t="s">
        <v>33</v>
      </c>
      <c r="I1450">
        <v>3</v>
      </c>
      <c r="J1450" t="s">
        <v>39</v>
      </c>
      <c r="K1450">
        <v>57</v>
      </c>
      <c r="L1450">
        <v>2</v>
      </c>
      <c r="M1450">
        <v>2</v>
      </c>
      <c r="N1450" t="s">
        <v>35</v>
      </c>
      <c r="O1450">
        <v>2</v>
      </c>
      <c r="P1450" t="s">
        <v>45</v>
      </c>
      <c r="Q1450">
        <v>8938</v>
      </c>
      <c r="R1450">
        <v>12227</v>
      </c>
      <c r="S1450">
        <v>2</v>
      </c>
      <c r="T1450">
        <v>0</v>
      </c>
      <c r="U1450" s="17">
        <v>0.11</v>
      </c>
      <c r="V1450">
        <v>3</v>
      </c>
      <c r="W1450">
        <v>3</v>
      </c>
      <c r="X1450">
        <v>1</v>
      </c>
      <c r="Y1450">
        <v>14</v>
      </c>
      <c r="Z1450">
        <v>5</v>
      </c>
      <c r="AA1450">
        <v>3</v>
      </c>
      <c r="AB1450">
        <v>5</v>
      </c>
      <c r="AC1450">
        <v>4</v>
      </c>
      <c r="AD1450">
        <v>0</v>
      </c>
      <c r="AE1450">
        <v>4</v>
      </c>
      <c r="AF1450">
        <v>0</v>
      </c>
      <c r="AG1450">
        <f>IF(tbl_HR_Data[[#This Row],[Gender]]="Male",1,0)</f>
        <v>1</v>
      </c>
      <c r="AH1450" cm="1">
        <f t="array" ref="AH1450">_xlfn.SWITCH(tbl_HR_Data[[#This Row],[BusinessTravel]], "Non-Travel", 0, "Travel_Rarely", 1, "Travel_Frequently", 2)</f>
        <v>1</v>
      </c>
      <c r="AI1450" cm="1">
        <f t="array" ref="AI1450">_xlfn.SWITCH(tbl_HR_Data[[#This Row],[MaritalStatus]],"Single",0,"Married",1,"Divorced",2)</f>
        <v>2</v>
      </c>
      <c r="AJ1450">
        <f>IF(tbl_HR_Data[[#This Row],[OverTime]]=1,1,0)</f>
        <v>0</v>
      </c>
      <c r="AK1450">
        <f>IF(tbl_HR_Data[[#This Row],[DistanceFromHome]]&gt;15,1,0)</f>
        <v>0</v>
      </c>
      <c r="AL1450">
        <f>IF(tbl_HR_Data[[#This Row],[JobSatisfaction]]&lt;=2,1,0)</f>
        <v>1</v>
      </c>
      <c r="AM1450">
        <f>IF(tbl_HR_Data[[#This Row],[MonthlyIncome]]&lt;$AT$2,1,0)</f>
        <v>0</v>
      </c>
      <c r="AN1450">
        <f>IF(tbl_HR_Data[[#This Row],[Travel_Code]]=2,1,0)</f>
        <v>0</v>
      </c>
      <c r="AO1450">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450" s="15">
        <f>tbl_HR_Data[[#This Row],[Risk_Score_Raw]] / SUM(Logic_Parameters!$B$2:$B$6)</f>
        <v>0.14485673308716898</v>
      </c>
      <c r="AQ1450" s="16" t="str" cm="1">
        <f t="array" ref="AQ1450">_xlfn.IFS(tbl_HR_Data[[#This Row],[Attrition_Risk_Percentage]] &gt;= 0.75, "Critical",tbl_HR_Data[ [#This Row],[Attrition_Risk_Percentage] ]&gt;= 0.5, "High",tbl_HR_Data[[#This Row],[Attrition_Risk_Percentage]] &gt;= 0.25, "Medium",TRUE, "Low")</f>
        <v>Low</v>
      </c>
      <c r="AR1450" s="16" cm="1">
        <f t="array" ref="AR1450">IFERROR(_xlfn.IFS(tbl_HR_Data[[#This Row],[Risk_Category]]="Critical",tbl_HR_Data[[#This Row],[MonthlyIncome]]*1.5,tbl_HR_Data[[#This Row],[Risk_Category]]="High",tbl_HR_Data[[#This Row],[MonthlyIncome]]*1.5),0)</f>
        <v>0</v>
      </c>
    </row>
    <row r="1451" spans="1:44" x14ac:dyDescent="0.35">
      <c r="A1451" t="s">
        <v>1492</v>
      </c>
      <c r="B1451">
        <v>32</v>
      </c>
      <c r="C1451" t="s">
        <v>31</v>
      </c>
      <c r="D1451">
        <v>529</v>
      </c>
      <c r="E1451" t="s">
        <v>38</v>
      </c>
      <c r="F1451">
        <v>2</v>
      </c>
      <c r="G1451">
        <v>3</v>
      </c>
      <c r="H1451" t="s">
        <v>52</v>
      </c>
      <c r="I1451">
        <v>4</v>
      </c>
      <c r="J1451" t="s">
        <v>39</v>
      </c>
      <c r="K1451">
        <v>78</v>
      </c>
      <c r="L1451">
        <v>3</v>
      </c>
      <c r="M1451">
        <v>1</v>
      </c>
      <c r="N1451" t="s">
        <v>40</v>
      </c>
      <c r="O1451">
        <v>1</v>
      </c>
      <c r="P1451" t="s">
        <v>36</v>
      </c>
      <c r="Q1451">
        <v>2439</v>
      </c>
      <c r="R1451">
        <v>11288</v>
      </c>
      <c r="S1451">
        <v>1</v>
      </c>
      <c r="T1451">
        <v>0</v>
      </c>
      <c r="U1451" s="17">
        <v>0.14000000000000001</v>
      </c>
      <c r="V1451">
        <v>3</v>
      </c>
      <c r="W1451">
        <v>4</v>
      </c>
      <c r="X1451">
        <v>0</v>
      </c>
      <c r="Y1451">
        <v>4</v>
      </c>
      <c r="Z1451">
        <v>4</v>
      </c>
      <c r="AA1451">
        <v>3</v>
      </c>
      <c r="AB1451">
        <v>4</v>
      </c>
      <c r="AC1451">
        <v>2</v>
      </c>
      <c r="AD1451">
        <v>1</v>
      </c>
      <c r="AE1451">
        <v>2</v>
      </c>
      <c r="AF1451">
        <v>0</v>
      </c>
      <c r="AG1451">
        <f>IF(tbl_HR_Data[[#This Row],[Gender]]="Male",1,0)</f>
        <v>1</v>
      </c>
      <c r="AH1451" cm="1">
        <f t="array" ref="AH1451">_xlfn.SWITCH(tbl_HR_Data[[#This Row],[BusinessTravel]], "Non-Travel", 0, "Travel_Rarely", 1, "Travel_Frequently", 2)</f>
        <v>1</v>
      </c>
      <c r="AI1451" cm="1">
        <f t="array" ref="AI1451">_xlfn.SWITCH(tbl_HR_Data[[#This Row],[MaritalStatus]],"Single",0,"Married",1,"Divorced",2)</f>
        <v>0</v>
      </c>
      <c r="AJ1451">
        <f>IF(tbl_HR_Data[[#This Row],[OverTime]]=1,1,0)</f>
        <v>0</v>
      </c>
      <c r="AK1451">
        <f>IF(tbl_HR_Data[[#This Row],[DistanceFromHome]]&gt;15,1,0)</f>
        <v>0</v>
      </c>
      <c r="AL1451">
        <f>IF(tbl_HR_Data[[#This Row],[JobSatisfaction]]&lt;=2,1,0)</f>
        <v>1</v>
      </c>
      <c r="AM1451">
        <f>IF(tbl_HR_Data[[#This Row],[MonthlyIncome]]&lt;$AT$2,1,0)</f>
        <v>1</v>
      </c>
      <c r="AN1451">
        <f>IF(tbl_HR_Data[[#This Row],[Travel_Code]]=2,1,0)</f>
        <v>0</v>
      </c>
      <c r="AO1451">
        <f>(tbl_HR_Data[[#This Row],[Flag_OT]] * Logic_Parameters!$B$2) +
 (tbl_HR_Data[[#This Row],[Flag_Travel]] * Logic_Parameters!$B$3) +
 (tbl_HR_Data[[#This Row],[Flag_Satisfaction]] * Logic_Parameters!$B$4) +
 (tbl_HR_Data[[#This Row],[Flag_Distance]]* Logic_Parameters!$B$5) +
 (tbl_HR_Data[[#This Row],[Flag_Income]] * Logic_Parameters!$B$6)</f>
        <v>10.698962067398959</v>
      </c>
      <c r="AP1451" s="15">
        <f>tbl_HR_Data[[#This Row],[Risk_Score_Raw]] / SUM(Logic_Parameters!$B$2:$B$6)</f>
        <v>0.3686061316669938</v>
      </c>
      <c r="AQ1451" s="16" t="str" cm="1">
        <f t="array" ref="AQ1451">_xlfn.IFS(tbl_HR_Data[[#This Row],[Attrition_Risk_Percentage]] &gt;= 0.75, "Critical",tbl_HR_Data[ [#This Row],[Attrition_Risk_Percentage] ]&gt;= 0.5, "High",tbl_HR_Data[[#This Row],[Attrition_Risk_Percentage]] &gt;= 0.25, "Medium",TRUE, "Low")</f>
        <v>Medium</v>
      </c>
      <c r="AR1451" s="16" cm="1">
        <f t="array" ref="AR1451">IFERROR(_xlfn.IFS(tbl_HR_Data[[#This Row],[Risk_Category]]="Critical",tbl_HR_Data[[#This Row],[MonthlyIncome]]*1.5,tbl_HR_Data[[#This Row],[Risk_Category]]="High",tbl_HR_Data[[#This Row],[MonthlyIncome]]*1.5),0)</f>
        <v>0</v>
      </c>
    </row>
    <row r="1452" spans="1:44" x14ac:dyDescent="0.35">
      <c r="A1452" t="s">
        <v>962</v>
      </c>
      <c r="B1452">
        <v>35</v>
      </c>
      <c r="C1452" t="s">
        <v>31</v>
      </c>
      <c r="D1452">
        <v>1146</v>
      </c>
      <c r="E1452" t="s">
        <v>53</v>
      </c>
      <c r="F1452">
        <v>26</v>
      </c>
      <c r="G1452">
        <v>4</v>
      </c>
      <c r="H1452" t="s">
        <v>33</v>
      </c>
      <c r="I1452">
        <v>3</v>
      </c>
      <c r="J1452" t="s">
        <v>34</v>
      </c>
      <c r="K1452">
        <v>31</v>
      </c>
      <c r="L1452">
        <v>3</v>
      </c>
      <c r="M1452">
        <v>3</v>
      </c>
      <c r="N1452" t="s">
        <v>53</v>
      </c>
      <c r="O1452">
        <v>4</v>
      </c>
      <c r="P1452" t="s">
        <v>36</v>
      </c>
      <c r="Q1452">
        <v>8837</v>
      </c>
      <c r="R1452">
        <v>16642</v>
      </c>
      <c r="S1452">
        <v>1</v>
      </c>
      <c r="T1452">
        <v>1</v>
      </c>
      <c r="U1452" s="17">
        <v>0.16</v>
      </c>
      <c r="V1452">
        <v>3</v>
      </c>
      <c r="W1452">
        <v>3</v>
      </c>
      <c r="X1452">
        <v>0</v>
      </c>
      <c r="Y1452">
        <v>9</v>
      </c>
      <c r="Z1452">
        <v>2</v>
      </c>
      <c r="AA1452">
        <v>3</v>
      </c>
      <c r="AB1452">
        <v>9</v>
      </c>
      <c r="AC1452">
        <v>0</v>
      </c>
      <c r="AD1452">
        <v>1</v>
      </c>
      <c r="AE1452">
        <v>7</v>
      </c>
      <c r="AF1452">
        <v>0</v>
      </c>
      <c r="AG1452">
        <f>IF(tbl_HR_Data[[#This Row],[Gender]]="Male",1,0)</f>
        <v>0</v>
      </c>
      <c r="AH1452" cm="1">
        <f t="array" ref="AH1452">_xlfn.SWITCH(tbl_HR_Data[[#This Row],[BusinessTravel]], "Non-Travel", 0, "Travel_Rarely", 1, "Travel_Frequently", 2)</f>
        <v>1</v>
      </c>
      <c r="AI1452" cm="1">
        <f t="array" ref="AI1452">_xlfn.SWITCH(tbl_HR_Data[[#This Row],[MaritalStatus]],"Single",0,"Married",1,"Divorced",2)</f>
        <v>0</v>
      </c>
      <c r="AJ1452">
        <f>IF(tbl_HR_Data[[#This Row],[OverTime]]=1,1,0)</f>
        <v>1</v>
      </c>
      <c r="AK1452">
        <f>IF(tbl_HR_Data[[#This Row],[DistanceFromHome]]&gt;15,1,0)</f>
        <v>1</v>
      </c>
      <c r="AL1452">
        <f>IF(tbl_HR_Data[[#This Row],[JobSatisfaction]]&lt;=2,1,0)</f>
        <v>0</v>
      </c>
      <c r="AM1452">
        <f>IF(tbl_HR_Data[[#This Row],[MonthlyIncome]]&lt;$AT$2,1,0)</f>
        <v>0</v>
      </c>
      <c r="AN1452">
        <f>IF(tbl_HR_Data[[#This Row],[Travel_Code]]=2,1,0)</f>
        <v>0</v>
      </c>
      <c r="AO1452">
        <f>(tbl_HR_Data[[#This Row],[Flag_OT]] * Logic_Parameters!$B$2) +
 (tbl_HR_Data[[#This Row],[Flag_Travel]] * Logic_Parameters!$B$3) +
 (tbl_HR_Data[[#This Row],[Flag_Satisfaction]] * Logic_Parameters!$B$4) +
 (tbl_HR_Data[[#This Row],[Flag_Distance]]* Logic_Parameters!$B$5) +
 (tbl_HR_Data[[#This Row],[Flag_Income]] * Logic_Parameters!$B$6)</f>
        <v>13.166106695875378</v>
      </c>
      <c r="AP1452" s="15">
        <f>tbl_HR_Data[[#This Row],[Risk_Score_Raw]] / SUM(Logic_Parameters!$B$2:$B$6)</f>
        <v>0.45360546450291089</v>
      </c>
      <c r="AQ1452" s="16" t="str" cm="1">
        <f t="array" ref="AQ1452">_xlfn.IFS(tbl_HR_Data[[#This Row],[Attrition_Risk_Percentage]] &gt;= 0.75, "Critical",tbl_HR_Data[ [#This Row],[Attrition_Risk_Percentage] ]&gt;= 0.5, "High",tbl_HR_Data[[#This Row],[Attrition_Risk_Percentage]] &gt;= 0.25, "Medium",TRUE, "Low")</f>
        <v>Medium</v>
      </c>
      <c r="AR1452" s="16" cm="1">
        <f t="array" ref="AR1452">IFERROR(_xlfn.IFS(tbl_HR_Data[[#This Row],[Risk_Category]]="Critical",tbl_HR_Data[[#This Row],[MonthlyIncome]]*1.5,tbl_HR_Data[[#This Row],[Risk_Category]]="High",tbl_HR_Data[[#This Row],[MonthlyIncome]]*1.5),0)</f>
        <v>0</v>
      </c>
    </row>
    <row r="1453" spans="1:44" x14ac:dyDescent="0.35">
      <c r="A1453" t="s">
        <v>513</v>
      </c>
      <c r="B1453">
        <v>38</v>
      </c>
      <c r="C1453" t="s">
        <v>31</v>
      </c>
      <c r="D1453">
        <v>345</v>
      </c>
      <c r="E1453" t="s">
        <v>32</v>
      </c>
      <c r="F1453">
        <v>10</v>
      </c>
      <c r="G1453">
        <v>2</v>
      </c>
      <c r="H1453" t="s">
        <v>33</v>
      </c>
      <c r="I1453">
        <v>1</v>
      </c>
      <c r="J1453" t="s">
        <v>34</v>
      </c>
      <c r="K1453">
        <v>100</v>
      </c>
      <c r="L1453">
        <v>3</v>
      </c>
      <c r="M1453">
        <v>2</v>
      </c>
      <c r="N1453" t="s">
        <v>35</v>
      </c>
      <c r="O1453">
        <v>4</v>
      </c>
      <c r="P1453" t="s">
        <v>41</v>
      </c>
      <c r="Q1453">
        <v>5343</v>
      </c>
      <c r="R1453">
        <v>5982</v>
      </c>
      <c r="S1453">
        <v>1</v>
      </c>
      <c r="T1453">
        <v>0</v>
      </c>
      <c r="U1453" s="17">
        <v>0.11</v>
      </c>
      <c r="V1453">
        <v>3</v>
      </c>
      <c r="W1453">
        <v>3</v>
      </c>
      <c r="X1453">
        <v>1</v>
      </c>
      <c r="Y1453">
        <v>10</v>
      </c>
      <c r="Z1453">
        <v>1</v>
      </c>
      <c r="AA1453">
        <v>3</v>
      </c>
      <c r="AB1453">
        <v>10</v>
      </c>
      <c r="AC1453">
        <v>7</v>
      </c>
      <c r="AD1453">
        <v>1</v>
      </c>
      <c r="AE1453">
        <v>9</v>
      </c>
      <c r="AF1453">
        <v>0</v>
      </c>
      <c r="AG1453">
        <f>IF(tbl_HR_Data[[#This Row],[Gender]]="Male",1,0)</f>
        <v>0</v>
      </c>
      <c r="AH1453" cm="1">
        <f t="array" ref="AH1453">_xlfn.SWITCH(tbl_HR_Data[[#This Row],[BusinessTravel]], "Non-Travel", 0, "Travel_Rarely", 1, "Travel_Frequently", 2)</f>
        <v>1</v>
      </c>
      <c r="AI1453" cm="1">
        <f t="array" ref="AI1453">_xlfn.SWITCH(tbl_HR_Data[[#This Row],[MaritalStatus]],"Single",0,"Married",1,"Divorced",2)</f>
        <v>1</v>
      </c>
      <c r="AJ1453">
        <f>IF(tbl_HR_Data[[#This Row],[OverTime]]=1,1,0)</f>
        <v>0</v>
      </c>
      <c r="AK1453">
        <f>IF(tbl_HR_Data[[#This Row],[DistanceFromHome]]&gt;15,1,0)</f>
        <v>0</v>
      </c>
      <c r="AL1453">
        <f>IF(tbl_HR_Data[[#This Row],[JobSatisfaction]]&lt;=2,1,0)</f>
        <v>0</v>
      </c>
      <c r="AM1453">
        <f>IF(tbl_HR_Data[[#This Row],[MonthlyIncome]]&lt;$AT$2,1,0)</f>
        <v>0</v>
      </c>
      <c r="AN1453">
        <f>IF(tbl_HR_Data[[#This Row],[Travel_Code]]=2,1,0)</f>
        <v>0</v>
      </c>
      <c r="AO1453">
        <f>(tbl_HR_Data[[#This Row],[Flag_OT]] * Logic_Parameters!$B$2) +
 (tbl_HR_Data[[#This Row],[Flag_Travel]] * Logic_Parameters!$B$3) +
 (tbl_HR_Data[[#This Row],[Flag_Satisfaction]] * Logic_Parameters!$B$4) +
 (tbl_HR_Data[[#This Row],[Flag_Distance]]* Logic_Parameters!$B$5) +
 (tbl_HR_Data[[#This Row],[Flag_Income]] * Logic_Parameters!$B$6)</f>
        <v>0</v>
      </c>
      <c r="AP1453" s="15">
        <f>tbl_HR_Data[[#This Row],[Risk_Score_Raw]] / SUM(Logic_Parameters!$B$2:$B$6)</f>
        <v>0</v>
      </c>
      <c r="AQ1453" s="16" t="str" cm="1">
        <f t="array" ref="AQ1453">_xlfn.IFS(tbl_HR_Data[[#This Row],[Attrition_Risk_Percentage]] &gt;= 0.75, "Critical",tbl_HR_Data[ [#This Row],[Attrition_Risk_Percentage] ]&gt;= 0.5, "High",tbl_HR_Data[[#This Row],[Attrition_Risk_Percentage]] &gt;= 0.25, "Medium",TRUE, "Low")</f>
        <v>Low</v>
      </c>
      <c r="AR1453" s="16" cm="1">
        <f t="array" ref="AR1453">IFERROR(_xlfn.IFS(tbl_HR_Data[[#This Row],[Risk_Category]]="Critical",tbl_HR_Data[[#This Row],[MonthlyIncome]]*1.5,tbl_HR_Data[[#This Row],[Risk_Category]]="High",tbl_HR_Data[[#This Row],[MonthlyIncome]]*1.5),0)</f>
        <v>0</v>
      </c>
    </row>
    <row r="1454" spans="1:44" x14ac:dyDescent="0.35">
      <c r="A1454" t="s">
        <v>975</v>
      </c>
      <c r="B1454">
        <v>50</v>
      </c>
      <c r="C1454" t="s">
        <v>37</v>
      </c>
      <c r="D1454">
        <v>878</v>
      </c>
      <c r="E1454" t="s">
        <v>32</v>
      </c>
      <c r="F1454">
        <v>1</v>
      </c>
      <c r="G1454">
        <v>4</v>
      </c>
      <c r="H1454" t="s">
        <v>33</v>
      </c>
      <c r="I1454">
        <v>2</v>
      </c>
      <c r="J1454" t="s">
        <v>39</v>
      </c>
      <c r="K1454">
        <v>94</v>
      </c>
      <c r="L1454">
        <v>3</v>
      </c>
      <c r="M1454">
        <v>2</v>
      </c>
      <c r="N1454" t="s">
        <v>35</v>
      </c>
      <c r="O1454">
        <v>3</v>
      </c>
      <c r="P1454" t="s">
        <v>45</v>
      </c>
      <c r="Q1454">
        <v>6728</v>
      </c>
      <c r="R1454">
        <v>14255</v>
      </c>
      <c r="S1454">
        <v>7</v>
      </c>
      <c r="T1454">
        <v>0</v>
      </c>
      <c r="U1454" s="17">
        <v>0.12</v>
      </c>
      <c r="V1454">
        <v>3</v>
      </c>
      <c r="W1454">
        <v>4</v>
      </c>
      <c r="X1454">
        <v>2</v>
      </c>
      <c r="Y1454">
        <v>12</v>
      </c>
      <c r="Z1454">
        <v>3</v>
      </c>
      <c r="AA1454">
        <v>3</v>
      </c>
      <c r="AB1454">
        <v>6</v>
      </c>
      <c r="AC1454">
        <v>3</v>
      </c>
      <c r="AD1454">
        <v>0</v>
      </c>
      <c r="AE1454">
        <v>1</v>
      </c>
      <c r="AF1454">
        <v>1</v>
      </c>
      <c r="AG1454">
        <f>IF(tbl_HR_Data[[#This Row],[Gender]]="Male",1,0)</f>
        <v>1</v>
      </c>
      <c r="AH1454" cm="1">
        <f t="array" ref="AH1454">_xlfn.SWITCH(tbl_HR_Data[[#This Row],[BusinessTravel]], "Non-Travel", 0, "Travel_Rarely", 1, "Travel_Frequently", 2)</f>
        <v>2</v>
      </c>
      <c r="AI1454" cm="1">
        <f t="array" ref="AI1454">_xlfn.SWITCH(tbl_HR_Data[[#This Row],[MaritalStatus]],"Single",0,"Married",1,"Divorced",2)</f>
        <v>2</v>
      </c>
      <c r="AJ1454">
        <f>IF(tbl_HR_Data[[#This Row],[OverTime]]=1,1,0)</f>
        <v>0</v>
      </c>
      <c r="AK1454">
        <f>IF(tbl_HR_Data[[#This Row],[DistanceFromHome]]&gt;15,1,0)</f>
        <v>0</v>
      </c>
      <c r="AL1454">
        <f>IF(tbl_HR_Data[[#This Row],[JobSatisfaction]]&lt;=2,1,0)</f>
        <v>0</v>
      </c>
      <c r="AM1454">
        <f>IF(tbl_HR_Data[[#This Row],[MonthlyIncome]]&lt;$AT$2,1,0)</f>
        <v>0</v>
      </c>
      <c r="AN1454">
        <f>IF(tbl_HR_Data[[#This Row],[Travel_Code]]=2,1,0)</f>
        <v>1</v>
      </c>
      <c r="AO1454">
        <f>(tbl_HR_Data[[#This Row],[Flag_OT]] * Logic_Parameters!$B$2) +
 (tbl_HR_Data[[#This Row],[Flag_Travel]] * Logic_Parameters!$B$3) +
 (tbl_HR_Data[[#This Row],[Flag_Satisfaction]] * Logic_Parameters!$B$4) +
 (tbl_HR_Data[[#This Row],[Flag_Distance]]* Logic_Parameters!$B$5) +
 (tbl_HR_Data[[#This Row],[Flag_Income]] * Logic_Parameters!$B$6)</f>
        <v>5.1603899804901765</v>
      </c>
      <c r="AP1454" s="15">
        <f>tbl_HR_Data[[#This Row],[Risk_Score_Raw]] / SUM(Logic_Parameters!$B$2:$B$6)</f>
        <v>0.17778840383009531</v>
      </c>
      <c r="AQ1454" s="16" t="str" cm="1">
        <f t="array" ref="AQ1454">_xlfn.IFS(tbl_HR_Data[[#This Row],[Attrition_Risk_Percentage]] &gt;= 0.75, "Critical",tbl_HR_Data[ [#This Row],[Attrition_Risk_Percentage] ]&gt;= 0.5, "High",tbl_HR_Data[[#This Row],[Attrition_Risk_Percentage]] &gt;= 0.25, "Medium",TRUE, "Low")</f>
        <v>Low</v>
      </c>
      <c r="AR1454" s="16" cm="1">
        <f t="array" ref="AR1454">IFERROR(_xlfn.IFS(tbl_HR_Data[[#This Row],[Risk_Category]]="Critical",tbl_HR_Data[[#This Row],[MonthlyIncome]]*1.5,tbl_HR_Data[[#This Row],[Risk_Category]]="High",tbl_HR_Data[[#This Row],[MonthlyIncome]]*1.5),0)</f>
        <v>0</v>
      </c>
    </row>
    <row r="1455" spans="1:44" x14ac:dyDescent="0.35">
      <c r="A1455" t="s">
        <v>212</v>
      </c>
      <c r="B1455">
        <v>36</v>
      </c>
      <c r="C1455" t="s">
        <v>31</v>
      </c>
      <c r="D1455">
        <v>1120</v>
      </c>
      <c r="E1455" t="s">
        <v>32</v>
      </c>
      <c r="F1455">
        <v>11</v>
      </c>
      <c r="G1455">
        <v>4</v>
      </c>
      <c r="H1455" t="s">
        <v>51</v>
      </c>
      <c r="I1455">
        <v>2</v>
      </c>
      <c r="J1455" t="s">
        <v>34</v>
      </c>
      <c r="K1455">
        <v>100</v>
      </c>
      <c r="L1455">
        <v>2</v>
      </c>
      <c r="M1455">
        <v>2</v>
      </c>
      <c r="N1455" t="s">
        <v>35</v>
      </c>
      <c r="O1455">
        <v>4</v>
      </c>
      <c r="P1455" t="s">
        <v>41</v>
      </c>
      <c r="Q1455">
        <v>6652</v>
      </c>
      <c r="R1455">
        <v>14369</v>
      </c>
      <c r="S1455">
        <v>4</v>
      </c>
      <c r="T1455">
        <v>0</v>
      </c>
      <c r="U1455" s="17">
        <v>0.13</v>
      </c>
      <c r="V1455">
        <v>3</v>
      </c>
      <c r="W1455">
        <v>1</v>
      </c>
      <c r="X1455">
        <v>1</v>
      </c>
      <c r="Y1455">
        <v>8</v>
      </c>
      <c r="Z1455">
        <v>2</v>
      </c>
      <c r="AA1455">
        <v>2</v>
      </c>
      <c r="AB1455">
        <v>6</v>
      </c>
      <c r="AC1455">
        <v>3</v>
      </c>
      <c r="AD1455">
        <v>0</v>
      </c>
      <c r="AE1455">
        <v>0</v>
      </c>
      <c r="AF1455">
        <v>0</v>
      </c>
      <c r="AG1455">
        <f>IF(tbl_HR_Data[[#This Row],[Gender]]="Male",1,0)</f>
        <v>0</v>
      </c>
      <c r="AH1455" cm="1">
        <f t="array" ref="AH1455">_xlfn.SWITCH(tbl_HR_Data[[#This Row],[BusinessTravel]], "Non-Travel", 0, "Travel_Rarely", 1, "Travel_Frequently", 2)</f>
        <v>1</v>
      </c>
      <c r="AI1455" cm="1">
        <f t="array" ref="AI1455">_xlfn.SWITCH(tbl_HR_Data[[#This Row],[MaritalStatus]],"Single",0,"Married",1,"Divorced",2)</f>
        <v>1</v>
      </c>
      <c r="AJ1455">
        <f>IF(tbl_HR_Data[[#This Row],[OverTime]]=1,1,0)</f>
        <v>0</v>
      </c>
      <c r="AK1455">
        <f>IF(tbl_HR_Data[[#This Row],[DistanceFromHome]]&gt;15,1,0)</f>
        <v>0</v>
      </c>
      <c r="AL1455">
        <f>IF(tbl_HR_Data[[#This Row],[JobSatisfaction]]&lt;=2,1,0)</f>
        <v>0</v>
      </c>
      <c r="AM1455">
        <f>IF(tbl_HR_Data[[#This Row],[MonthlyIncome]]&lt;$AT$2,1,0)</f>
        <v>0</v>
      </c>
      <c r="AN1455">
        <f>IF(tbl_HR_Data[[#This Row],[Travel_Code]]=2,1,0)</f>
        <v>0</v>
      </c>
      <c r="AO1455">
        <f>(tbl_HR_Data[[#This Row],[Flag_OT]] * Logic_Parameters!$B$2) +
 (tbl_HR_Data[[#This Row],[Flag_Travel]] * Logic_Parameters!$B$3) +
 (tbl_HR_Data[[#This Row],[Flag_Satisfaction]] * Logic_Parameters!$B$4) +
 (tbl_HR_Data[[#This Row],[Flag_Distance]]* Logic_Parameters!$B$5) +
 (tbl_HR_Data[[#This Row],[Flag_Income]] * Logic_Parameters!$B$6)</f>
        <v>0</v>
      </c>
      <c r="AP1455" s="15">
        <f>tbl_HR_Data[[#This Row],[Risk_Score_Raw]] / SUM(Logic_Parameters!$B$2:$B$6)</f>
        <v>0</v>
      </c>
      <c r="AQ1455" s="16" t="str" cm="1">
        <f t="array" ref="AQ1455">_xlfn.IFS(tbl_HR_Data[[#This Row],[Attrition_Risk_Percentage]] &gt;= 0.75, "Critical",tbl_HR_Data[ [#This Row],[Attrition_Risk_Percentage] ]&gt;= 0.5, "High",tbl_HR_Data[[#This Row],[Attrition_Risk_Percentage]] &gt;= 0.25, "Medium",TRUE, "Low")</f>
        <v>Low</v>
      </c>
      <c r="AR1455" s="16" cm="1">
        <f t="array" ref="AR1455">IFERROR(_xlfn.IFS(tbl_HR_Data[[#This Row],[Risk_Category]]="Critical",tbl_HR_Data[[#This Row],[MonthlyIncome]]*1.5,tbl_HR_Data[[#This Row],[Risk_Category]]="High",tbl_HR_Data[[#This Row],[MonthlyIncome]]*1.5),0)</f>
        <v>0</v>
      </c>
    </row>
    <row r="1456" spans="1:44" x14ac:dyDescent="0.35">
      <c r="A1456" t="s">
        <v>985</v>
      </c>
      <c r="B1456">
        <v>45</v>
      </c>
      <c r="C1456" t="s">
        <v>31</v>
      </c>
      <c r="D1456">
        <v>374</v>
      </c>
      <c r="E1456" t="s">
        <v>32</v>
      </c>
      <c r="F1456">
        <v>20</v>
      </c>
      <c r="G1456">
        <v>3</v>
      </c>
      <c r="H1456" t="s">
        <v>33</v>
      </c>
      <c r="I1456">
        <v>4</v>
      </c>
      <c r="J1456" t="s">
        <v>34</v>
      </c>
      <c r="K1456">
        <v>50</v>
      </c>
      <c r="L1456">
        <v>3</v>
      </c>
      <c r="M1456">
        <v>2</v>
      </c>
      <c r="N1456" t="s">
        <v>35</v>
      </c>
      <c r="O1456">
        <v>3</v>
      </c>
      <c r="P1456" t="s">
        <v>36</v>
      </c>
      <c r="Q1456">
        <v>4850</v>
      </c>
      <c r="R1456">
        <v>23333</v>
      </c>
      <c r="S1456">
        <v>8</v>
      </c>
      <c r="T1456">
        <v>0</v>
      </c>
      <c r="U1456" s="17">
        <v>0.15</v>
      </c>
      <c r="V1456">
        <v>3</v>
      </c>
      <c r="W1456">
        <v>3</v>
      </c>
      <c r="X1456">
        <v>0</v>
      </c>
      <c r="Y1456">
        <v>8</v>
      </c>
      <c r="Z1456">
        <v>3</v>
      </c>
      <c r="AA1456">
        <v>3</v>
      </c>
      <c r="AB1456">
        <v>5</v>
      </c>
      <c r="AC1456">
        <v>3</v>
      </c>
      <c r="AD1456">
        <v>0</v>
      </c>
      <c r="AE1456">
        <v>1</v>
      </c>
      <c r="AF1456">
        <v>0</v>
      </c>
      <c r="AG1456">
        <f>IF(tbl_HR_Data[[#This Row],[Gender]]="Male",1,0)</f>
        <v>0</v>
      </c>
      <c r="AH1456" cm="1">
        <f t="array" ref="AH1456">_xlfn.SWITCH(tbl_HR_Data[[#This Row],[BusinessTravel]], "Non-Travel", 0, "Travel_Rarely", 1, "Travel_Frequently", 2)</f>
        <v>1</v>
      </c>
      <c r="AI1456" cm="1">
        <f t="array" ref="AI1456">_xlfn.SWITCH(tbl_HR_Data[[#This Row],[MaritalStatus]],"Single",0,"Married",1,"Divorced",2)</f>
        <v>0</v>
      </c>
      <c r="AJ1456">
        <f>IF(tbl_HR_Data[[#This Row],[OverTime]]=1,1,0)</f>
        <v>0</v>
      </c>
      <c r="AK1456">
        <f>IF(tbl_HR_Data[[#This Row],[DistanceFromHome]]&gt;15,1,0)</f>
        <v>1</v>
      </c>
      <c r="AL1456">
        <f>IF(tbl_HR_Data[[#This Row],[JobSatisfaction]]&lt;=2,1,0)</f>
        <v>0</v>
      </c>
      <c r="AM1456">
        <f>IF(tbl_HR_Data[[#This Row],[MonthlyIncome]]&lt;$AT$2,1,0)</f>
        <v>1</v>
      </c>
      <c r="AN1456">
        <f>IF(tbl_HR_Data[[#This Row],[Travel_Code]]=2,1,0)</f>
        <v>0</v>
      </c>
      <c r="AO1456">
        <f>(tbl_HR_Data[[#This Row],[Flag_OT]] * Logic_Parameters!$B$2) +
 (tbl_HR_Data[[#This Row],[Flag_Travel]] * Logic_Parameters!$B$3) +
 (tbl_HR_Data[[#This Row],[Flag_Satisfaction]] * Logic_Parameters!$B$4) +
 (tbl_HR_Data[[#This Row],[Flag_Distance]]* Logic_Parameters!$B$5) +
 (tbl_HR_Data[[#This Row],[Flag_Income]] * Logic_Parameters!$B$6)</f>
        <v>9.660535633296206</v>
      </c>
      <c r="AP1456" s="15">
        <f>tbl_HR_Data[[#This Row],[Risk_Score_Raw]] / SUM(Logic_Parameters!$B$2:$B$6)</f>
        <v>0.33282973125692844</v>
      </c>
      <c r="AQ1456" s="16" t="str" cm="1">
        <f t="array" ref="AQ1456">_xlfn.IFS(tbl_HR_Data[[#This Row],[Attrition_Risk_Percentage]] &gt;= 0.75, "Critical",tbl_HR_Data[ [#This Row],[Attrition_Risk_Percentage] ]&gt;= 0.5, "High",tbl_HR_Data[[#This Row],[Attrition_Risk_Percentage]] &gt;= 0.25, "Medium",TRUE, "Low")</f>
        <v>Medium</v>
      </c>
      <c r="AR1456" s="16" cm="1">
        <f t="array" ref="AR1456">IFERROR(_xlfn.IFS(tbl_HR_Data[[#This Row],[Risk_Category]]="Critical",tbl_HR_Data[[#This Row],[MonthlyIncome]]*1.5,tbl_HR_Data[[#This Row],[Risk_Category]]="High",tbl_HR_Data[[#This Row],[MonthlyIncome]]*1.5),0)</f>
        <v>0</v>
      </c>
    </row>
    <row r="1457" spans="1:44" x14ac:dyDescent="0.35">
      <c r="A1457" t="s">
        <v>1178</v>
      </c>
      <c r="B1457">
        <v>40</v>
      </c>
      <c r="C1457" t="s">
        <v>31</v>
      </c>
      <c r="D1457">
        <v>1322</v>
      </c>
      <c r="E1457" t="s">
        <v>38</v>
      </c>
      <c r="F1457">
        <v>2</v>
      </c>
      <c r="G1457">
        <v>4</v>
      </c>
      <c r="H1457" t="s">
        <v>33</v>
      </c>
      <c r="I1457">
        <v>3</v>
      </c>
      <c r="J1457" t="s">
        <v>39</v>
      </c>
      <c r="K1457">
        <v>52</v>
      </c>
      <c r="L1457">
        <v>2</v>
      </c>
      <c r="M1457">
        <v>1</v>
      </c>
      <c r="N1457" t="s">
        <v>40</v>
      </c>
      <c r="O1457">
        <v>3</v>
      </c>
      <c r="P1457" t="s">
        <v>36</v>
      </c>
      <c r="Q1457">
        <v>2809</v>
      </c>
      <c r="R1457">
        <v>2725</v>
      </c>
      <c r="S1457">
        <v>2</v>
      </c>
      <c r="T1457">
        <v>0</v>
      </c>
      <c r="U1457" s="17">
        <v>0.14000000000000001</v>
      </c>
      <c r="V1457">
        <v>3</v>
      </c>
      <c r="W1457">
        <v>4</v>
      </c>
      <c r="X1457">
        <v>0</v>
      </c>
      <c r="Y1457">
        <v>8</v>
      </c>
      <c r="Z1457">
        <v>2</v>
      </c>
      <c r="AA1457">
        <v>3</v>
      </c>
      <c r="AB1457">
        <v>2</v>
      </c>
      <c r="AC1457">
        <v>2</v>
      </c>
      <c r="AD1457">
        <v>2</v>
      </c>
      <c r="AE1457">
        <v>2</v>
      </c>
      <c r="AF1457">
        <v>0</v>
      </c>
      <c r="AG1457">
        <f>IF(tbl_HR_Data[[#This Row],[Gender]]="Male",1,0)</f>
        <v>1</v>
      </c>
      <c r="AH1457" cm="1">
        <f t="array" ref="AH1457">_xlfn.SWITCH(tbl_HR_Data[[#This Row],[BusinessTravel]], "Non-Travel", 0, "Travel_Rarely", 1, "Travel_Frequently", 2)</f>
        <v>1</v>
      </c>
      <c r="AI1457" cm="1">
        <f t="array" ref="AI1457">_xlfn.SWITCH(tbl_HR_Data[[#This Row],[MaritalStatus]],"Single",0,"Married",1,"Divorced",2)</f>
        <v>0</v>
      </c>
      <c r="AJ1457">
        <f>IF(tbl_HR_Data[[#This Row],[OverTime]]=1,1,0)</f>
        <v>0</v>
      </c>
      <c r="AK1457">
        <f>IF(tbl_HR_Data[[#This Row],[DistanceFromHome]]&gt;15,1,0)</f>
        <v>0</v>
      </c>
      <c r="AL1457">
        <f>IF(tbl_HR_Data[[#This Row],[JobSatisfaction]]&lt;=2,1,0)</f>
        <v>0</v>
      </c>
      <c r="AM1457">
        <f>IF(tbl_HR_Data[[#This Row],[MonthlyIncome]]&lt;$AT$2,1,0)</f>
        <v>1</v>
      </c>
      <c r="AN1457">
        <f>IF(tbl_HR_Data[[#This Row],[Travel_Code]]=2,1,0)</f>
        <v>0</v>
      </c>
      <c r="AO1457">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457" s="15">
        <f>tbl_HR_Data[[#This Row],[Risk_Score_Raw]] / SUM(Logic_Parameters!$B$2:$B$6)</f>
        <v>0.22374939857982484</v>
      </c>
      <c r="AQ1457" s="16" t="str" cm="1">
        <f t="array" ref="AQ1457">_xlfn.IFS(tbl_HR_Data[[#This Row],[Attrition_Risk_Percentage]] &gt;= 0.75, "Critical",tbl_HR_Data[ [#This Row],[Attrition_Risk_Percentage] ]&gt;= 0.5, "High",tbl_HR_Data[[#This Row],[Attrition_Risk_Percentage]] &gt;= 0.25, "Medium",TRUE, "Low")</f>
        <v>Low</v>
      </c>
      <c r="AR1457" s="16" cm="1">
        <f t="array" ref="AR1457">IFERROR(_xlfn.IFS(tbl_HR_Data[[#This Row],[Risk_Category]]="Critical",tbl_HR_Data[[#This Row],[MonthlyIncome]]*1.5,tbl_HR_Data[[#This Row],[Risk_Category]]="High",tbl_HR_Data[[#This Row],[MonthlyIncome]]*1.5),0)</f>
        <v>0</v>
      </c>
    </row>
    <row r="1458" spans="1:44" x14ac:dyDescent="0.35">
      <c r="A1458" t="s">
        <v>1522</v>
      </c>
      <c r="B1458">
        <v>35</v>
      </c>
      <c r="C1458" t="s">
        <v>37</v>
      </c>
      <c r="D1458">
        <v>1199</v>
      </c>
      <c r="E1458" t="s">
        <v>38</v>
      </c>
      <c r="F1458">
        <v>18</v>
      </c>
      <c r="G1458">
        <v>4</v>
      </c>
      <c r="H1458" t="s">
        <v>33</v>
      </c>
      <c r="I1458">
        <v>3</v>
      </c>
      <c r="J1458" t="s">
        <v>39</v>
      </c>
      <c r="K1458">
        <v>80</v>
      </c>
      <c r="L1458">
        <v>3</v>
      </c>
      <c r="M1458">
        <v>2</v>
      </c>
      <c r="N1458" t="s">
        <v>47</v>
      </c>
      <c r="O1458">
        <v>3</v>
      </c>
      <c r="P1458" t="s">
        <v>41</v>
      </c>
      <c r="Q1458">
        <v>5689</v>
      </c>
      <c r="R1458">
        <v>24594</v>
      </c>
      <c r="S1458">
        <v>1</v>
      </c>
      <c r="T1458">
        <v>1</v>
      </c>
      <c r="U1458" s="17">
        <v>0.14000000000000001</v>
      </c>
      <c r="V1458">
        <v>3</v>
      </c>
      <c r="W1458">
        <v>4</v>
      </c>
      <c r="X1458">
        <v>2</v>
      </c>
      <c r="Y1458">
        <v>10</v>
      </c>
      <c r="Z1458">
        <v>2</v>
      </c>
      <c r="AA1458">
        <v>4</v>
      </c>
      <c r="AB1458">
        <v>10</v>
      </c>
      <c r="AC1458">
        <v>2</v>
      </c>
      <c r="AD1458">
        <v>0</v>
      </c>
      <c r="AE1458">
        <v>2</v>
      </c>
      <c r="AF1458">
        <v>0</v>
      </c>
      <c r="AG1458">
        <f>IF(tbl_HR_Data[[#This Row],[Gender]]="Male",1,0)</f>
        <v>1</v>
      </c>
      <c r="AH1458" cm="1">
        <f t="array" ref="AH1458">_xlfn.SWITCH(tbl_HR_Data[[#This Row],[BusinessTravel]], "Non-Travel", 0, "Travel_Rarely", 1, "Travel_Frequently", 2)</f>
        <v>2</v>
      </c>
      <c r="AI1458" cm="1">
        <f t="array" ref="AI1458">_xlfn.SWITCH(tbl_HR_Data[[#This Row],[MaritalStatus]],"Single",0,"Married",1,"Divorced",2)</f>
        <v>1</v>
      </c>
      <c r="AJ1458">
        <f>IF(tbl_HR_Data[[#This Row],[OverTime]]=1,1,0)</f>
        <v>1</v>
      </c>
      <c r="AK1458">
        <f>IF(tbl_HR_Data[[#This Row],[DistanceFromHome]]&gt;15,1,0)</f>
        <v>1</v>
      </c>
      <c r="AL1458">
        <f>IF(tbl_HR_Data[[#This Row],[JobSatisfaction]]&lt;=2,1,0)</f>
        <v>0</v>
      </c>
      <c r="AM1458">
        <f>IF(tbl_HR_Data[[#This Row],[MonthlyIncome]]&lt;$AT$2,1,0)</f>
        <v>0</v>
      </c>
      <c r="AN1458">
        <f>IF(tbl_HR_Data[[#This Row],[Travel_Code]]=2,1,0)</f>
        <v>1</v>
      </c>
      <c r="AO1458">
        <f>(tbl_HR_Data[[#This Row],[Flag_OT]] * Logic_Parameters!$B$2) +
 (tbl_HR_Data[[#This Row],[Flag_Travel]] * Logic_Parameters!$B$3) +
 (tbl_HR_Data[[#This Row],[Flag_Satisfaction]] * Logic_Parameters!$B$4) +
 (tbl_HR_Data[[#This Row],[Flag_Distance]]* Logic_Parameters!$B$5) +
 (tbl_HR_Data[[#This Row],[Flag_Income]] * Logic_Parameters!$B$6)</f>
        <v>18.326496676365554</v>
      </c>
      <c r="AP1458" s="15">
        <f>tbl_HR_Data[[#This Row],[Risk_Score_Raw]] / SUM(Logic_Parameters!$B$2:$B$6)</f>
        <v>0.63139386833300615</v>
      </c>
      <c r="AQ1458" s="16" t="str" cm="1">
        <f t="array" ref="AQ1458">_xlfn.IFS(tbl_HR_Data[[#This Row],[Attrition_Risk_Percentage]] &gt;= 0.75, "Critical",tbl_HR_Data[ [#This Row],[Attrition_Risk_Percentage] ]&gt;= 0.5, "High",tbl_HR_Data[[#This Row],[Attrition_Risk_Percentage]] &gt;= 0.25, "Medium",TRUE, "Low")</f>
        <v>High</v>
      </c>
      <c r="AR1458" s="16" cm="1">
        <f t="array" ref="AR1458">IFERROR(_xlfn.IFS(tbl_HR_Data[[#This Row],[Risk_Category]]="Critical",tbl_HR_Data[[#This Row],[MonthlyIncome]]*1.5,tbl_HR_Data[[#This Row],[Risk_Category]]="High",tbl_HR_Data[[#This Row],[MonthlyIncome]]*1.5),0)</f>
        <v>8533.5</v>
      </c>
    </row>
    <row r="1459" spans="1:44" x14ac:dyDescent="0.35">
      <c r="A1459" t="s">
        <v>821</v>
      </c>
      <c r="B1459">
        <v>40</v>
      </c>
      <c r="C1459" t="s">
        <v>31</v>
      </c>
      <c r="D1459">
        <v>1194</v>
      </c>
      <c r="E1459" t="s">
        <v>38</v>
      </c>
      <c r="F1459">
        <v>2</v>
      </c>
      <c r="G1459">
        <v>4</v>
      </c>
      <c r="H1459" t="s">
        <v>44</v>
      </c>
      <c r="I1459">
        <v>3</v>
      </c>
      <c r="J1459" t="s">
        <v>34</v>
      </c>
      <c r="K1459">
        <v>98</v>
      </c>
      <c r="L1459">
        <v>3</v>
      </c>
      <c r="M1459">
        <v>1</v>
      </c>
      <c r="N1459" t="s">
        <v>40</v>
      </c>
      <c r="O1459">
        <v>3</v>
      </c>
      <c r="P1459" t="s">
        <v>41</v>
      </c>
      <c r="Q1459">
        <v>2001</v>
      </c>
      <c r="R1459">
        <v>12549</v>
      </c>
      <c r="S1459">
        <v>2</v>
      </c>
      <c r="T1459">
        <v>0</v>
      </c>
      <c r="U1459" s="17">
        <v>0.14000000000000001</v>
      </c>
      <c r="V1459">
        <v>3</v>
      </c>
      <c r="W1459">
        <v>2</v>
      </c>
      <c r="X1459">
        <v>3</v>
      </c>
      <c r="Y1459">
        <v>20</v>
      </c>
      <c r="Z1459">
        <v>2</v>
      </c>
      <c r="AA1459">
        <v>3</v>
      </c>
      <c r="AB1459">
        <v>5</v>
      </c>
      <c r="AC1459">
        <v>3</v>
      </c>
      <c r="AD1459">
        <v>0</v>
      </c>
      <c r="AE1459">
        <v>2</v>
      </c>
      <c r="AF1459">
        <v>0</v>
      </c>
      <c r="AG1459">
        <f>IF(tbl_HR_Data[[#This Row],[Gender]]="Male",1,0)</f>
        <v>0</v>
      </c>
      <c r="AH1459" cm="1">
        <f t="array" ref="AH1459">_xlfn.SWITCH(tbl_HR_Data[[#This Row],[BusinessTravel]], "Non-Travel", 0, "Travel_Rarely", 1, "Travel_Frequently", 2)</f>
        <v>1</v>
      </c>
      <c r="AI1459" cm="1">
        <f t="array" ref="AI1459">_xlfn.SWITCH(tbl_HR_Data[[#This Row],[MaritalStatus]],"Single",0,"Married",1,"Divorced",2)</f>
        <v>1</v>
      </c>
      <c r="AJ1459">
        <f>IF(tbl_HR_Data[[#This Row],[OverTime]]=1,1,0)</f>
        <v>0</v>
      </c>
      <c r="AK1459">
        <f>IF(tbl_HR_Data[[#This Row],[DistanceFromHome]]&gt;15,1,0)</f>
        <v>0</v>
      </c>
      <c r="AL1459">
        <f>IF(tbl_HR_Data[[#This Row],[JobSatisfaction]]&lt;=2,1,0)</f>
        <v>0</v>
      </c>
      <c r="AM1459">
        <f>IF(tbl_HR_Data[[#This Row],[MonthlyIncome]]&lt;$AT$2,1,0)</f>
        <v>1</v>
      </c>
      <c r="AN1459">
        <f>IF(tbl_HR_Data[[#This Row],[Travel_Code]]=2,1,0)</f>
        <v>0</v>
      </c>
      <c r="AO1459">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459" s="15">
        <f>tbl_HR_Data[[#This Row],[Risk_Score_Raw]] / SUM(Logic_Parameters!$B$2:$B$6)</f>
        <v>0.22374939857982484</v>
      </c>
      <c r="AQ1459" s="16" t="str" cm="1">
        <f t="array" ref="AQ1459">_xlfn.IFS(tbl_HR_Data[[#This Row],[Attrition_Risk_Percentage]] &gt;= 0.75, "Critical",tbl_HR_Data[ [#This Row],[Attrition_Risk_Percentage] ]&gt;= 0.5, "High",tbl_HR_Data[[#This Row],[Attrition_Risk_Percentage]] &gt;= 0.25, "Medium",TRUE, "Low")</f>
        <v>Low</v>
      </c>
      <c r="AR1459" s="16" cm="1">
        <f t="array" ref="AR1459">IFERROR(_xlfn.IFS(tbl_HR_Data[[#This Row],[Risk_Category]]="Critical",tbl_HR_Data[[#This Row],[MonthlyIncome]]*1.5,tbl_HR_Data[[#This Row],[Risk_Category]]="High",tbl_HR_Data[[#This Row],[MonthlyIncome]]*1.5),0)</f>
        <v>0</v>
      </c>
    </row>
    <row r="1460" spans="1:44" x14ac:dyDescent="0.35">
      <c r="A1460" t="s">
        <v>928</v>
      </c>
      <c r="B1460">
        <v>35</v>
      </c>
      <c r="C1460" t="s">
        <v>31</v>
      </c>
      <c r="D1460">
        <v>287</v>
      </c>
      <c r="E1460" t="s">
        <v>38</v>
      </c>
      <c r="F1460">
        <v>1</v>
      </c>
      <c r="G1460">
        <v>4</v>
      </c>
      <c r="H1460" t="s">
        <v>33</v>
      </c>
      <c r="I1460">
        <v>3</v>
      </c>
      <c r="J1460" t="s">
        <v>34</v>
      </c>
      <c r="K1460">
        <v>62</v>
      </c>
      <c r="L1460">
        <v>1</v>
      </c>
      <c r="M1460">
        <v>1</v>
      </c>
      <c r="N1460" t="s">
        <v>40</v>
      </c>
      <c r="O1460">
        <v>4</v>
      </c>
      <c r="P1460" t="s">
        <v>41</v>
      </c>
      <c r="Q1460">
        <v>2977</v>
      </c>
      <c r="R1460">
        <v>8952</v>
      </c>
      <c r="S1460">
        <v>1</v>
      </c>
      <c r="T1460">
        <v>0</v>
      </c>
      <c r="U1460" s="17">
        <v>0.12</v>
      </c>
      <c r="V1460">
        <v>3</v>
      </c>
      <c r="W1460">
        <v>4</v>
      </c>
      <c r="X1460">
        <v>1</v>
      </c>
      <c r="Y1460">
        <v>4</v>
      </c>
      <c r="Z1460">
        <v>5</v>
      </c>
      <c r="AA1460">
        <v>3</v>
      </c>
      <c r="AB1460">
        <v>4</v>
      </c>
      <c r="AC1460">
        <v>3</v>
      </c>
      <c r="AD1460">
        <v>1</v>
      </c>
      <c r="AE1460">
        <v>1</v>
      </c>
      <c r="AF1460">
        <v>0</v>
      </c>
      <c r="AG1460">
        <f>IF(tbl_HR_Data[[#This Row],[Gender]]="Male",1,0)</f>
        <v>0</v>
      </c>
      <c r="AH1460" cm="1">
        <f t="array" ref="AH1460">_xlfn.SWITCH(tbl_HR_Data[[#This Row],[BusinessTravel]], "Non-Travel", 0, "Travel_Rarely", 1, "Travel_Frequently", 2)</f>
        <v>1</v>
      </c>
      <c r="AI1460" cm="1">
        <f t="array" ref="AI1460">_xlfn.SWITCH(tbl_HR_Data[[#This Row],[MaritalStatus]],"Single",0,"Married",1,"Divorced",2)</f>
        <v>1</v>
      </c>
      <c r="AJ1460">
        <f>IF(tbl_HR_Data[[#This Row],[OverTime]]=1,1,0)</f>
        <v>0</v>
      </c>
      <c r="AK1460">
        <f>IF(tbl_HR_Data[[#This Row],[DistanceFromHome]]&gt;15,1,0)</f>
        <v>0</v>
      </c>
      <c r="AL1460">
        <f>IF(tbl_HR_Data[[#This Row],[JobSatisfaction]]&lt;=2,1,0)</f>
        <v>0</v>
      </c>
      <c r="AM1460">
        <f>IF(tbl_HR_Data[[#This Row],[MonthlyIncome]]&lt;$AT$2,1,0)</f>
        <v>1</v>
      </c>
      <c r="AN1460">
        <f>IF(tbl_HR_Data[[#This Row],[Travel_Code]]=2,1,0)</f>
        <v>0</v>
      </c>
      <c r="AO1460">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460" s="15">
        <f>tbl_HR_Data[[#This Row],[Risk_Score_Raw]] / SUM(Logic_Parameters!$B$2:$B$6)</f>
        <v>0.22374939857982484</v>
      </c>
      <c r="AQ1460" s="16" t="str" cm="1">
        <f t="array" ref="AQ1460">_xlfn.IFS(tbl_HR_Data[[#This Row],[Attrition_Risk_Percentage]] &gt;= 0.75, "Critical",tbl_HR_Data[ [#This Row],[Attrition_Risk_Percentage] ]&gt;= 0.5, "High",tbl_HR_Data[[#This Row],[Attrition_Risk_Percentage]] &gt;= 0.25, "Medium",TRUE, "Low")</f>
        <v>Low</v>
      </c>
      <c r="AR1460" s="16" cm="1">
        <f t="array" ref="AR1460">IFERROR(_xlfn.IFS(tbl_HR_Data[[#This Row],[Risk_Category]]="Critical",tbl_HR_Data[[#This Row],[MonthlyIncome]]*1.5,tbl_HR_Data[[#This Row],[Risk_Category]]="High",tbl_HR_Data[[#This Row],[MonthlyIncome]]*1.5),0)</f>
        <v>0</v>
      </c>
    </row>
    <row r="1461" spans="1:44" x14ac:dyDescent="0.35">
      <c r="A1461" t="s">
        <v>1295</v>
      </c>
      <c r="B1461">
        <v>29</v>
      </c>
      <c r="C1461" t="s">
        <v>31</v>
      </c>
      <c r="D1461">
        <v>1378</v>
      </c>
      <c r="E1461" t="s">
        <v>38</v>
      </c>
      <c r="F1461">
        <v>13</v>
      </c>
      <c r="G1461">
        <v>2</v>
      </c>
      <c r="H1461" t="s">
        <v>42</v>
      </c>
      <c r="I1461">
        <v>4</v>
      </c>
      <c r="J1461" t="s">
        <v>39</v>
      </c>
      <c r="K1461">
        <v>46</v>
      </c>
      <c r="L1461">
        <v>2</v>
      </c>
      <c r="M1461">
        <v>2</v>
      </c>
      <c r="N1461" t="s">
        <v>43</v>
      </c>
      <c r="O1461">
        <v>2</v>
      </c>
      <c r="P1461" t="s">
        <v>41</v>
      </c>
      <c r="Q1461">
        <v>4025</v>
      </c>
      <c r="R1461">
        <v>23679</v>
      </c>
      <c r="S1461">
        <v>4</v>
      </c>
      <c r="T1461">
        <v>1</v>
      </c>
      <c r="U1461" s="17">
        <v>0.13</v>
      </c>
      <c r="V1461">
        <v>3</v>
      </c>
      <c r="W1461">
        <v>1</v>
      </c>
      <c r="X1461">
        <v>1</v>
      </c>
      <c r="Y1461">
        <v>10</v>
      </c>
      <c r="Z1461">
        <v>2</v>
      </c>
      <c r="AA1461">
        <v>3</v>
      </c>
      <c r="AB1461">
        <v>4</v>
      </c>
      <c r="AC1461">
        <v>3</v>
      </c>
      <c r="AD1461">
        <v>0</v>
      </c>
      <c r="AE1461">
        <v>3</v>
      </c>
      <c r="AF1461">
        <v>0</v>
      </c>
      <c r="AG1461">
        <f>IF(tbl_HR_Data[[#This Row],[Gender]]="Male",1,0)</f>
        <v>1</v>
      </c>
      <c r="AH1461" cm="1">
        <f t="array" ref="AH1461">_xlfn.SWITCH(tbl_HR_Data[[#This Row],[BusinessTravel]], "Non-Travel", 0, "Travel_Rarely", 1, "Travel_Frequently", 2)</f>
        <v>1</v>
      </c>
      <c r="AI1461" cm="1">
        <f t="array" ref="AI1461">_xlfn.SWITCH(tbl_HR_Data[[#This Row],[MaritalStatus]],"Single",0,"Married",1,"Divorced",2)</f>
        <v>1</v>
      </c>
      <c r="AJ1461">
        <f>IF(tbl_HR_Data[[#This Row],[OverTime]]=1,1,0)</f>
        <v>1</v>
      </c>
      <c r="AK1461">
        <f>IF(tbl_HR_Data[[#This Row],[DistanceFromHome]]&gt;15,1,0)</f>
        <v>0</v>
      </c>
      <c r="AL1461">
        <f>IF(tbl_HR_Data[[#This Row],[JobSatisfaction]]&lt;=2,1,0)</f>
        <v>1</v>
      </c>
      <c r="AM1461">
        <f>IF(tbl_HR_Data[[#This Row],[MonthlyIncome]]&lt;$AT$2,1,0)</f>
        <v>1</v>
      </c>
      <c r="AN1461">
        <f>IF(tbl_HR_Data[[#This Row],[Travel_Code]]=2,1,0)</f>
        <v>0</v>
      </c>
      <c r="AO1461">
        <f>(tbl_HR_Data[[#This Row],[Flag_OT]] * Logic_Parameters!$B$2) +
 (tbl_HR_Data[[#This Row],[Flag_Travel]] * Logic_Parameters!$B$3) +
 (tbl_HR_Data[[#This Row],[Flag_Satisfaction]] * Logic_Parameters!$B$4) +
 (tbl_HR_Data[[#This Row],[Flag_Distance]]* Logic_Parameters!$B$5) +
 (tbl_HR_Data[[#This Row],[Flag_Income]] * Logic_Parameters!$B$6)</f>
        <v>20.698962067398959</v>
      </c>
      <c r="AP1461" s="15">
        <f>tbl_HR_Data[[#This Row],[Risk_Score_Raw]] / SUM(Logic_Parameters!$B$2:$B$6)</f>
        <v>0.71313126349280109</v>
      </c>
      <c r="AQ1461" s="16" t="str" cm="1">
        <f t="array" ref="AQ1461">_xlfn.IFS(tbl_HR_Data[[#This Row],[Attrition_Risk_Percentage]] &gt;= 0.75, "Critical",tbl_HR_Data[ [#This Row],[Attrition_Risk_Percentage] ]&gt;= 0.5, "High",tbl_HR_Data[[#This Row],[Attrition_Risk_Percentage]] &gt;= 0.25, "Medium",TRUE, "Low")</f>
        <v>High</v>
      </c>
      <c r="AR1461" s="16" cm="1">
        <f t="array" ref="AR1461">IFERROR(_xlfn.IFS(tbl_HR_Data[[#This Row],[Risk_Category]]="Critical",tbl_HR_Data[[#This Row],[MonthlyIncome]]*1.5,tbl_HR_Data[[#This Row],[Risk_Category]]="High",tbl_HR_Data[[#This Row],[MonthlyIncome]]*1.5),0)</f>
        <v>6037.5</v>
      </c>
    </row>
    <row r="1462" spans="1:44" x14ac:dyDescent="0.35">
      <c r="A1462" t="s">
        <v>1135</v>
      </c>
      <c r="B1462">
        <v>29</v>
      </c>
      <c r="C1462" t="s">
        <v>31</v>
      </c>
      <c r="D1462">
        <v>468</v>
      </c>
      <c r="E1462" t="s">
        <v>38</v>
      </c>
      <c r="F1462">
        <v>28</v>
      </c>
      <c r="G1462">
        <v>4</v>
      </c>
      <c r="H1462" t="s">
        <v>44</v>
      </c>
      <c r="I1462">
        <v>4</v>
      </c>
      <c r="J1462" t="s">
        <v>34</v>
      </c>
      <c r="K1462">
        <v>73</v>
      </c>
      <c r="L1462">
        <v>2</v>
      </c>
      <c r="M1462">
        <v>1</v>
      </c>
      <c r="N1462" t="s">
        <v>40</v>
      </c>
      <c r="O1462">
        <v>1</v>
      </c>
      <c r="P1462" t="s">
        <v>36</v>
      </c>
      <c r="Q1462">
        <v>3785</v>
      </c>
      <c r="R1462">
        <v>8489</v>
      </c>
      <c r="S1462">
        <v>1</v>
      </c>
      <c r="T1462">
        <v>0</v>
      </c>
      <c r="U1462" s="17">
        <v>0.14000000000000001</v>
      </c>
      <c r="V1462">
        <v>3</v>
      </c>
      <c r="W1462">
        <v>2</v>
      </c>
      <c r="X1462">
        <v>0</v>
      </c>
      <c r="Y1462">
        <v>5</v>
      </c>
      <c r="Z1462">
        <v>3</v>
      </c>
      <c r="AA1462">
        <v>1</v>
      </c>
      <c r="AB1462">
        <v>5</v>
      </c>
      <c r="AC1462">
        <v>4</v>
      </c>
      <c r="AD1462">
        <v>0</v>
      </c>
      <c r="AE1462">
        <v>4</v>
      </c>
      <c r="AF1462">
        <v>0</v>
      </c>
      <c r="AG1462">
        <f>IF(tbl_HR_Data[[#This Row],[Gender]]="Male",1,0)</f>
        <v>0</v>
      </c>
      <c r="AH1462" cm="1">
        <f t="array" ref="AH1462">_xlfn.SWITCH(tbl_HR_Data[[#This Row],[BusinessTravel]], "Non-Travel", 0, "Travel_Rarely", 1, "Travel_Frequently", 2)</f>
        <v>1</v>
      </c>
      <c r="AI1462" cm="1">
        <f t="array" ref="AI1462">_xlfn.SWITCH(tbl_HR_Data[[#This Row],[MaritalStatus]],"Single",0,"Married",1,"Divorced",2)</f>
        <v>0</v>
      </c>
      <c r="AJ1462">
        <f>IF(tbl_HR_Data[[#This Row],[OverTime]]=1,1,0)</f>
        <v>0</v>
      </c>
      <c r="AK1462">
        <f>IF(tbl_HR_Data[[#This Row],[DistanceFromHome]]&gt;15,1,0)</f>
        <v>1</v>
      </c>
      <c r="AL1462">
        <f>IF(tbl_HR_Data[[#This Row],[JobSatisfaction]]&lt;=2,1,0)</f>
        <v>1</v>
      </c>
      <c r="AM1462">
        <f>IF(tbl_HR_Data[[#This Row],[MonthlyIncome]]&lt;$AT$2,1,0)</f>
        <v>1</v>
      </c>
      <c r="AN1462">
        <f>IF(tbl_HR_Data[[#This Row],[Travel_Code]]=2,1,0)</f>
        <v>0</v>
      </c>
      <c r="AO1462">
        <f>(tbl_HR_Data[[#This Row],[Flag_OT]] * Logic_Parameters!$B$2) +
 (tbl_HR_Data[[#This Row],[Flag_Travel]] * Logic_Parameters!$B$3) +
 (tbl_HR_Data[[#This Row],[Flag_Satisfaction]] * Logic_Parameters!$B$4) +
 (tbl_HR_Data[[#This Row],[Flag_Distance]]* Logic_Parameters!$B$5) +
 (tbl_HR_Data[[#This Row],[Flag_Income]] * Logic_Parameters!$B$6)</f>
        <v>13.865068763274337</v>
      </c>
      <c r="AP1462" s="15">
        <f>tbl_HR_Data[[#This Row],[Risk_Score_Raw]] / SUM(Logic_Parameters!$B$2:$B$6)</f>
        <v>0.47768646434409739</v>
      </c>
      <c r="AQ1462" s="16" t="str" cm="1">
        <f t="array" ref="AQ1462">_xlfn.IFS(tbl_HR_Data[[#This Row],[Attrition_Risk_Percentage]] &gt;= 0.75, "Critical",tbl_HR_Data[ [#This Row],[Attrition_Risk_Percentage] ]&gt;= 0.5, "High",tbl_HR_Data[[#This Row],[Attrition_Risk_Percentage]] &gt;= 0.25, "Medium",TRUE, "Low")</f>
        <v>Medium</v>
      </c>
      <c r="AR1462" s="16" cm="1">
        <f t="array" ref="AR1462">IFERROR(_xlfn.IFS(tbl_HR_Data[[#This Row],[Risk_Category]]="Critical",tbl_HR_Data[[#This Row],[MonthlyIncome]]*1.5,tbl_HR_Data[[#This Row],[Risk_Category]]="High",tbl_HR_Data[[#This Row],[MonthlyIncome]]*1.5),0)</f>
        <v>0</v>
      </c>
    </row>
    <row r="1463" spans="1:44" x14ac:dyDescent="0.35">
      <c r="A1463" t="s">
        <v>1495</v>
      </c>
      <c r="B1463">
        <v>50</v>
      </c>
      <c r="C1463" t="s">
        <v>31</v>
      </c>
      <c r="D1463">
        <v>410</v>
      </c>
      <c r="E1463" t="s">
        <v>32</v>
      </c>
      <c r="F1463">
        <v>28</v>
      </c>
      <c r="G1463">
        <v>3</v>
      </c>
      <c r="H1463" t="s">
        <v>51</v>
      </c>
      <c r="I1463">
        <v>4</v>
      </c>
      <c r="J1463" t="s">
        <v>39</v>
      </c>
      <c r="K1463">
        <v>39</v>
      </c>
      <c r="L1463">
        <v>2</v>
      </c>
      <c r="M1463">
        <v>3</v>
      </c>
      <c r="N1463" t="s">
        <v>35</v>
      </c>
      <c r="O1463">
        <v>1</v>
      </c>
      <c r="P1463" t="s">
        <v>45</v>
      </c>
      <c r="Q1463">
        <v>10854</v>
      </c>
      <c r="R1463">
        <v>16586</v>
      </c>
      <c r="S1463">
        <v>4</v>
      </c>
      <c r="T1463">
        <v>1</v>
      </c>
      <c r="U1463" s="17">
        <v>0.13</v>
      </c>
      <c r="V1463">
        <v>3</v>
      </c>
      <c r="W1463">
        <v>2</v>
      </c>
      <c r="X1463">
        <v>1</v>
      </c>
      <c r="Y1463">
        <v>20</v>
      </c>
      <c r="Z1463">
        <v>3</v>
      </c>
      <c r="AA1463">
        <v>3</v>
      </c>
      <c r="AB1463">
        <v>3</v>
      </c>
      <c r="AC1463">
        <v>2</v>
      </c>
      <c r="AD1463">
        <v>2</v>
      </c>
      <c r="AE1463">
        <v>0</v>
      </c>
      <c r="AF1463">
        <v>1</v>
      </c>
      <c r="AG1463">
        <f>IF(tbl_HR_Data[[#This Row],[Gender]]="Male",1,0)</f>
        <v>1</v>
      </c>
      <c r="AH1463" cm="1">
        <f t="array" ref="AH1463">_xlfn.SWITCH(tbl_HR_Data[[#This Row],[BusinessTravel]], "Non-Travel", 0, "Travel_Rarely", 1, "Travel_Frequently", 2)</f>
        <v>1</v>
      </c>
      <c r="AI1463" cm="1">
        <f t="array" ref="AI1463">_xlfn.SWITCH(tbl_HR_Data[[#This Row],[MaritalStatus]],"Single",0,"Married",1,"Divorced",2)</f>
        <v>2</v>
      </c>
      <c r="AJ1463">
        <f>IF(tbl_HR_Data[[#This Row],[OverTime]]=1,1,0)</f>
        <v>1</v>
      </c>
      <c r="AK1463">
        <f>IF(tbl_HR_Data[[#This Row],[DistanceFromHome]]&gt;15,1,0)</f>
        <v>1</v>
      </c>
      <c r="AL1463">
        <f>IF(tbl_HR_Data[[#This Row],[JobSatisfaction]]&lt;=2,1,0)</f>
        <v>1</v>
      </c>
      <c r="AM1463">
        <f>IF(tbl_HR_Data[[#This Row],[MonthlyIncome]]&lt;$AT$2,1,0)</f>
        <v>0</v>
      </c>
      <c r="AN1463">
        <f>IF(tbl_HR_Data[[#This Row],[Travel_Code]]=2,1,0)</f>
        <v>0</v>
      </c>
      <c r="AO1463">
        <f>(tbl_HR_Data[[#This Row],[Flag_OT]] * Logic_Parameters!$B$2) +
 (tbl_HR_Data[[#This Row],[Flag_Travel]] * Logic_Parameters!$B$3) +
 (tbl_HR_Data[[#This Row],[Flag_Satisfaction]] * Logic_Parameters!$B$4) +
 (tbl_HR_Data[[#This Row],[Flag_Distance]]* Logic_Parameters!$B$5) +
 (tbl_HR_Data[[#This Row],[Flag_Income]] * Logic_Parameters!$B$6)</f>
        <v>17.370639825853509</v>
      </c>
      <c r="AP1463" s="15">
        <f>tbl_HR_Data[[#This Row],[Risk_Score_Raw]] / SUM(Logic_Parameters!$B$2:$B$6)</f>
        <v>0.59846219759007979</v>
      </c>
      <c r="AQ1463" s="16" t="str" cm="1">
        <f t="array" ref="AQ1463">_xlfn.IFS(tbl_HR_Data[[#This Row],[Attrition_Risk_Percentage]] &gt;= 0.75, "Critical",tbl_HR_Data[ [#This Row],[Attrition_Risk_Percentage] ]&gt;= 0.5, "High",tbl_HR_Data[[#This Row],[Attrition_Risk_Percentage]] &gt;= 0.25, "Medium",TRUE, "Low")</f>
        <v>High</v>
      </c>
      <c r="AR1463" s="16" cm="1">
        <f t="array" ref="AR1463">IFERROR(_xlfn.IFS(tbl_HR_Data[[#This Row],[Risk_Category]]="Critical",tbl_HR_Data[[#This Row],[MonthlyIncome]]*1.5,tbl_HR_Data[[#This Row],[Risk_Category]]="High",tbl_HR_Data[[#This Row],[MonthlyIncome]]*1.5),0)</f>
        <v>16281</v>
      </c>
    </row>
    <row r="1464" spans="1:44" x14ac:dyDescent="0.35">
      <c r="A1464" t="s">
        <v>1302</v>
      </c>
      <c r="B1464">
        <v>39</v>
      </c>
      <c r="C1464" t="s">
        <v>31</v>
      </c>
      <c r="D1464">
        <v>722</v>
      </c>
      <c r="E1464" t="s">
        <v>32</v>
      </c>
      <c r="F1464">
        <v>24</v>
      </c>
      <c r="G1464">
        <v>1</v>
      </c>
      <c r="H1464" t="s">
        <v>51</v>
      </c>
      <c r="I1464">
        <v>2</v>
      </c>
      <c r="J1464" t="s">
        <v>34</v>
      </c>
      <c r="K1464">
        <v>60</v>
      </c>
      <c r="L1464">
        <v>2</v>
      </c>
      <c r="M1464">
        <v>4</v>
      </c>
      <c r="N1464" t="s">
        <v>35</v>
      </c>
      <c r="O1464">
        <v>4</v>
      </c>
      <c r="P1464" t="s">
        <v>41</v>
      </c>
      <c r="Q1464">
        <v>12031</v>
      </c>
      <c r="R1464">
        <v>8828</v>
      </c>
      <c r="S1464">
        <v>0</v>
      </c>
      <c r="T1464">
        <v>0</v>
      </c>
      <c r="U1464" s="17">
        <v>0.11</v>
      </c>
      <c r="V1464">
        <v>3</v>
      </c>
      <c r="W1464">
        <v>1</v>
      </c>
      <c r="X1464">
        <v>1</v>
      </c>
      <c r="Y1464">
        <v>21</v>
      </c>
      <c r="Z1464">
        <v>2</v>
      </c>
      <c r="AA1464">
        <v>2</v>
      </c>
      <c r="AB1464">
        <v>20</v>
      </c>
      <c r="AC1464">
        <v>9</v>
      </c>
      <c r="AD1464">
        <v>9</v>
      </c>
      <c r="AE1464">
        <v>6</v>
      </c>
      <c r="AF1464">
        <v>0</v>
      </c>
      <c r="AG1464">
        <f>IF(tbl_HR_Data[[#This Row],[Gender]]="Male",1,0)</f>
        <v>0</v>
      </c>
      <c r="AH1464" cm="1">
        <f t="array" ref="AH1464">_xlfn.SWITCH(tbl_HR_Data[[#This Row],[BusinessTravel]], "Non-Travel", 0, "Travel_Rarely", 1, "Travel_Frequently", 2)</f>
        <v>1</v>
      </c>
      <c r="AI1464" cm="1">
        <f t="array" ref="AI1464">_xlfn.SWITCH(tbl_HR_Data[[#This Row],[MaritalStatus]],"Single",0,"Married",1,"Divorced",2)</f>
        <v>1</v>
      </c>
      <c r="AJ1464">
        <f>IF(tbl_HR_Data[[#This Row],[OverTime]]=1,1,0)</f>
        <v>0</v>
      </c>
      <c r="AK1464">
        <f>IF(tbl_HR_Data[[#This Row],[DistanceFromHome]]&gt;15,1,0)</f>
        <v>1</v>
      </c>
      <c r="AL1464">
        <f>IF(tbl_HR_Data[[#This Row],[JobSatisfaction]]&lt;=2,1,0)</f>
        <v>0</v>
      </c>
      <c r="AM1464">
        <f>IF(tbl_HR_Data[[#This Row],[MonthlyIncome]]&lt;$AT$2,1,0)</f>
        <v>0</v>
      </c>
      <c r="AN1464">
        <f>IF(tbl_HR_Data[[#This Row],[Travel_Code]]=2,1,0)</f>
        <v>0</v>
      </c>
      <c r="AO1464">
        <f>(tbl_HR_Data[[#This Row],[Flag_OT]] * Logic_Parameters!$B$2) +
 (tbl_HR_Data[[#This Row],[Flag_Travel]] * Logic_Parameters!$B$3) +
 (tbl_HR_Data[[#This Row],[Flag_Satisfaction]] * Logic_Parameters!$B$4) +
 (tbl_HR_Data[[#This Row],[Flag_Distance]]* Logic_Parameters!$B$5) +
 (tbl_HR_Data[[#This Row],[Flag_Income]] * Logic_Parameters!$B$6)</f>
        <v>3.1661066958753779</v>
      </c>
      <c r="AP1464" s="15">
        <f>tbl_HR_Data[[#This Row],[Risk_Score_Raw]] / SUM(Logic_Parameters!$B$2:$B$6)</f>
        <v>0.10908033267710357</v>
      </c>
      <c r="AQ1464" s="16" t="str" cm="1">
        <f t="array" ref="AQ1464">_xlfn.IFS(tbl_HR_Data[[#This Row],[Attrition_Risk_Percentage]] &gt;= 0.75, "Critical",tbl_HR_Data[ [#This Row],[Attrition_Risk_Percentage] ]&gt;= 0.5, "High",tbl_HR_Data[[#This Row],[Attrition_Risk_Percentage]] &gt;= 0.25, "Medium",TRUE, "Low")</f>
        <v>Low</v>
      </c>
      <c r="AR1464" s="16" cm="1">
        <f t="array" ref="AR1464">IFERROR(_xlfn.IFS(tbl_HR_Data[[#This Row],[Risk_Category]]="Critical",tbl_HR_Data[[#This Row],[MonthlyIncome]]*1.5,tbl_HR_Data[[#This Row],[Risk_Category]]="High",tbl_HR_Data[[#This Row],[MonthlyIncome]]*1.5),0)</f>
        <v>0</v>
      </c>
    </row>
    <row r="1465" spans="1:44" x14ac:dyDescent="0.35">
      <c r="A1465" t="s">
        <v>1080</v>
      </c>
      <c r="B1465">
        <v>31</v>
      </c>
      <c r="C1465" t="s">
        <v>1525</v>
      </c>
      <c r="D1465">
        <v>325</v>
      </c>
      <c r="E1465" t="s">
        <v>38</v>
      </c>
      <c r="F1465">
        <v>5</v>
      </c>
      <c r="G1465">
        <v>3</v>
      </c>
      <c r="H1465" t="s">
        <v>44</v>
      </c>
      <c r="I1465">
        <v>2</v>
      </c>
      <c r="J1465" t="s">
        <v>39</v>
      </c>
      <c r="K1465">
        <v>74</v>
      </c>
      <c r="L1465">
        <v>3</v>
      </c>
      <c r="M1465">
        <v>2</v>
      </c>
      <c r="N1465" t="s">
        <v>46</v>
      </c>
      <c r="O1465">
        <v>1</v>
      </c>
      <c r="P1465" t="s">
        <v>36</v>
      </c>
      <c r="Q1465">
        <v>9936</v>
      </c>
      <c r="R1465">
        <v>3787</v>
      </c>
      <c r="S1465">
        <v>0</v>
      </c>
      <c r="T1465">
        <v>0</v>
      </c>
      <c r="U1465" s="17">
        <v>0.19</v>
      </c>
      <c r="V1465">
        <v>3</v>
      </c>
      <c r="W1465">
        <v>2</v>
      </c>
      <c r="X1465">
        <v>0</v>
      </c>
      <c r="Y1465">
        <v>10</v>
      </c>
      <c r="Z1465">
        <v>2</v>
      </c>
      <c r="AA1465">
        <v>3</v>
      </c>
      <c r="AB1465">
        <v>9</v>
      </c>
      <c r="AC1465">
        <v>4</v>
      </c>
      <c r="AD1465">
        <v>1</v>
      </c>
      <c r="AE1465">
        <v>7</v>
      </c>
      <c r="AF1465">
        <v>0</v>
      </c>
      <c r="AG1465">
        <f>IF(tbl_HR_Data[[#This Row],[Gender]]="Male",1,0)</f>
        <v>1</v>
      </c>
      <c r="AH1465" cm="1">
        <f t="array" ref="AH1465">_xlfn.SWITCH(tbl_HR_Data[[#This Row],[BusinessTravel]], "Non-Travel", 0, "Travel_Rarely", 1, "Travel_Frequently", 2)</f>
        <v>0</v>
      </c>
      <c r="AI1465" cm="1">
        <f t="array" ref="AI1465">_xlfn.SWITCH(tbl_HR_Data[[#This Row],[MaritalStatus]],"Single",0,"Married",1,"Divorced",2)</f>
        <v>0</v>
      </c>
      <c r="AJ1465">
        <f>IF(tbl_HR_Data[[#This Row],[OverTime]]=1,1,0)</f>
        <v>0</v>
      </c>
      <c r="AK1465">
        <f>IF(tbl_HR_Data[[#This Row],[DistanceFromHome]]&gt;15,1,0)</f>
        <v>0</v>
      </c>
      <c r="AL1465">
        <f>IF(tbl_HR_Data[[#This Row],[JobSatisfaction]]&lt;=2,1,0)</f>
        <v>1</v>
      </c>
      <c r="AM1465">
        <f>IF(tbl_HR_Data[[#This Row],[MonthlyIncome]]&lt;$AT$2,1,0)</f>
        <v>0</v>
      </c>
      <c r="AN1465">
        <f>IF(tbl_HR_Data[[#This Row],[Travel_Code]]=2,1,0)</f>
        <v>0</v>
      </c>
      <c r="AO1465">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465" s="15">
        <f>tbl_HR_Data[[#This Row],[Risk_Score_Raw]] / SUM(Logic_Parameters!$B$2:$B$6)</f>
        <v>0.14485673308716898</v>
      </c>
      <c r="AQ1465" s="16" t="str" cm="1">
        <f t="array" ref="AQ1465">_xlfn.IFS(tbl_HR_Data[[#This Row],[Attrition_Risk_Percentage]] &gt;= 0.75, "Critical",tbl_HR_Data[ [#This Row],[Attrition_Risk_Percentage] ]&gt;= 0.5, "High",tbl_HR_Data[[#This Row],[Attrition_Risk_Percentage]] &gt;= 0.25, "Medium",TRUE, "Low")</f>
        <v>Low</v>
      </c>
      <c r="AR1465" s="16" cm="1">
        <f t="array" ref="AR1465">IFERROR(_xlfn.IFS(tbl_HR_Data[[#This Row],[Risk_Category]]="Critical",tbl_HR_Data[[#This Row],[MonthlyIncome]]*1.5,tbl_HR_Data[[#This Row],[Risk_Category]]="High",tbl_HR_Data[[#This Row],[MonthlyIncome]]*1.5),0)</f>
        <v>0</v>
      </c>
    </row>
    <row r="1466" spans="1:44" x14ac:dyDescent="0.35">
      <c r="A1466" t="s">
        <v>550</v>
      </c>
      <c r="B1466">
        <v>26</v>
      </c>
      <c r="C1466" t="s">
        <v>31</v>
      </c>
      <c r="D1466">
        <v>1167</v>
      </c>
      <c r="E1466" t="s">
        <v>32</v>
      </c>
      <c r="F1466">
        <v>5</v>
      </c>
      <c r="G1466">
        <v>3</v>
      </c>
      <c r="H1466" t="s">
        <v>42</v>
      </c>
      <c r="I1466">
        <v>4</v>
      </c>
      <c r="J1466" t="s">
        <v>34</v>
      </c>
      <c r="K1466">
        <v>30</v>
      </c>
      <c r="L1466">
        <v>2</v>
      </c>
      <c r="M1466">
        <v>1</v>
      </c>
      <c r="N1466" t="s">
        <v>49</v>
      </c>
      <c r="O1466">
        <v>3</v>
      </c>
      <c r="P1466" t="s">
        <v>36</v>
      </c>
      <c r="Q1466">
        <v>2966</v>
      </c>
      <c r="R1466">
        <v>21378</v>
      </c>
      <c r="S1466">
        <v>0</v>
      </c>
      <c r="T1466">
        <v>0</v>
      </c>
      <c r="U1466" s="17">
        <v>0.18</v>
      </c>
      <c r="V1466">
        <v>3</v>
      </c>
      <c r="W1466">
        <v>4</v>
      </c>
      <c r="X1466">
        <v>0</v>
      </c>
      <c r="Y1466">
        <v>5</v>
      </c>
      <c r="Z1466">
        <v>2</v>
      </c>
      <c r="AA1466">
        <v>3</v>
      </c>
      <c r="AB1466">
        <v>4</v>
      </c>
      <c r="AC1466">
        <v>2</v>
      </c>
      <c r="AD1466">
        <v>0</v>
      </c>
      <c r="AE1466">
        <v>0</v>
      </c>
      <c r="AF1466">
        <v>0</v>
      </c>
      <c r="AG1466">
        <f>IF(tbl_HR_Data[[#This Row],[Gender]]="Male",1,0)</f>
        <v>0</v>
      </c>
      <c r="AH1466" cm="1">
        <f t="array" ref="AH1466">_xlfn.SWITCH(tbl_HR_Data[[#This Row],[BusinessTravel]], "Non-Travel", 0, "Travel_Rarely", 1, "Travel_Frequently", 2)</f>
        <v>1</v>
      </c>
      <c r="AI1466" cm="1">
        <f t="array" ref="AI1466">_xlfn.SWITCH(tbl_HR_Data[[#This Row],[MaritalStatus]],"Single",0,"Married",1,"Divorced",2)</f>
        <v>0</v>
      </c>
      <c r="AJ1466">
        <f>IF(tbl_HR_Data[[#This Row],[OverTime]]=1,1,0)</f>
        <v>0</v>
      </c>
      <c r="AK1466">
        <f>IF(tbl_HR_Data[[#This Row],[DistanceFromHome]]&gt;15,1,0)</f>
        <v>0</v>
      </c>
      <c r="AL1466">
        <f>IF(tbl_HR_Data[[#This Row],[JobSatisfaction]]&lt;=2,1,0)</f>
        <v>0</v>
      </c>
      <c r="AM1466">
        <f>IF(tbl_HR_Data[[#This Row],[MonthlyIncome]]&lt;$AT$2,1,0)</f>
        <v>1</v>
      </c>
      <c r="AN1466">
        <f>IF(tbl_HR_Data[[#This Row],[Travel_Code]]=2,1,0)</f>
        <v>0</v>
      </c>
      <c r="AO1466">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466" s="15">
        <f>tbl_HR_Data[[#This Row],[Risk_Score_Raw]] / SUM(Logic_Parameters!$B$2:$B$6)</f>
        <v>0.22374939857982484</v>
      </c>
      <c r="AQ1466" s="16" t="str" cm="1">
        <f t="array" ref="AQ1466">_xlfn.IFS(tbl_HR_Data[[#This Row],[Attrition_Risk_Percentage]] &gt;= 0.75, "Critical",tbl_HR_Data[ [#This Row],[Attrition_Risk_Percentage] ]&gt;= 0.5, "High",tbl_HR_Data[[#This Row],[Attrition_Risk_Percentage]] &gt;= 0.25, "Medium",TRUE, "Low")</f>
        <v>Low</v>
      </c>
      <c r="AR1466" s="16" cm="1">
        <f t="array" ref="AR1466">IFERROR(_xlfn.IFS(tbl_HR_Data[[#This Row],[Risk_Category]]="Critical",tbl_HR_Data[[#This Row],[MonthlyIncome]]*1.5,tbl_HR_Data[[#This Row],[Risk_Category]]="High",tbl_HR_Data[[#This Row],[MonthlyIncome]]*1.5),0)</f>
        <v>0</v>
      </c>
    </row>
    <row r="1467" spans="1:44" x14ac:dyDescent="0.35">
      <c r="A1467" t="s">
        <v>1487</v>
      </c>
      <c r="B1467">
        <v>36</v>
      </c>
      <c r="C1467" t="s">
        <v>37</v>
      </c>
      <c r="D1467">
        <v>884</v>
      </c>
      <c r="E1467" t="s">
        <v>38</v>
      </c>
      <c r="F1467">
        <v>23</v>
      </c>
      <c r="G1467">
        <v>2</v>
      </c>
      <c r="H1467" t="s">
        <v>44</v>
      </c>
      <c r="I1467">
        <v>3</v>
      </c>
      <c r="J1467" t="s">
        <v>39</v>
      </c>
      <c r="K1467">
        <v>41</v>
      </c>
      <c r="L1467">
        <v>4</v>
      </c>
      <c r="M1467">
        <v>2</v>
      </c>
      <c r="N1467" t="s">
        <v>43</v>
      </c>
      <c r="O1467">
        <v>4</v>
      </c>
      <c r="P1467" t="s">
        <v>41</v>
      </c>
      <c r="Q1467">
        <v>2571</v>
      </c>
      <c r="R1467">
        <v>12290</v>
      </c>
      <c r="S1467">
        <v>4</v>
      </c>
      <c r="T1467">
        <v>0</v>
      </c>
      <c r="U1467" s="17">
        <v>0.17</v>
      </c>
      <c r="V1467">
        <v>3</v>
      </c>
      <c r="W1467">
        <v>3</v>
      </c>
      <c r="X1467">
        <v>1</v>
      </c>
      <c r="Y1467">
        <v>17</v>
      </c>
      <c r="Z1467">
        <v>3</v>
      </c>
      <c r="AA1467">
        <v>3</v>
      </c>
      <c r="AB1467">
        <v>5</v>
      </c>
      <c r="AC1467">
        <v>2</v>
      </c>
      <c r="AD1467">
        <v>0</v>
      </c>
      <c r="AE1467">
        <v>3</v>
      </c>
      <c r="AF1467">
        <v>0</v>
      </c>
      <c r="AG1467">
        <f>IF(tbl_HR_Data[[#This Row],[Gender]]="Male",1,0)</f>
        <v>1</v>
      </c>
      <c r="AH1467" cm="1">
        <f t="array" ref="AH1467">_xlfn.SWITCH(tbl_HR_Data[[#This Row],[BusinessTravel]], "Non-Travel", 0, "Travel_Rarely", 1, "Travel_Frequently", 2)</f>
        <v>2</v>
      </c>
      <c r="AI1467" cm="1">
        <f t="array" ref="AI1467">_xlfn.SWITCH(tbl_HR_Data[[#This Row],[MaritalStatus]],"Single",0,"Married",1,"Divorced",2)</f>
        <v>1</v>
      </c>
      <c r="AJ1467">
        <f>IF(tbl_HR_Data[[#This Row],[OverTime]]=1,1,0)</f>
        <v>0</v>
      </c>
      <c r="AK1467">
        <f>IF(tbl_HR_Data[[#This Row],[DistanceFromHome]]&gt;15,1,0)</f>
        <v>1</v>
      </c>
      <c r="AL1467">
        <f>IF(tbl_HR_Data[[#This Row],[JobSatisfaction]]&lt;=2,1,0)</f>
        <v>0</v>
      </c>
      <c r="AM1467">
        <f>IF(tbl_HR_Data[[#This Row],[MonthlyIncome]]&lt;$AT$2,1,0)</f>
        <v>1</v>
      </c>
      <c r="AN1467">
        <f>IF(tbl_HR_Data[[#This Row],[Travel_Code]]=2,1,0)</f>
        <v>1</v>
      </c>
      <c r="AO1467">
        <f>(tbl_HR_Data[[#This Row],[Flag_OT]] * Logic_Parameters!$B$2) +
 (tbl_HR_Data[[#This Row],[Flag_Travel]] * Logic_Parameters!$B$3) +
 (tbl_HR_Data[[#This Row],[Flag_Satisfaction]] * Logic_Parameters!$B$4) +
 (tbl_HR_Data[[#This Row],[Flag_Distance]]* Logic_Parameters!$B$5) +
 (tbl_HR_Data[[#This Row],[Flag_Income]] * Logic_Parameters!$B$6)</f>
        <v>14.820925613786383</v>
      </c>
      <c r="AP1467" s="15">
        <f>tbl_HR_Data[[#This Row],[Risk_Score_Raw]] / SUM(Logic_Parameters!$B$2:$B$6)</f>
        <v>0.51061813508702369</v>
      </c>
      <c r="AQ1467" s="16" t="str" cm="1">
        <f t="array" ref="AQ1467">_xlfn.IFS(tbl_HR_Data[[#This Row],[Attrition_Risk_Percentage]] &gt;= 0.75, "Critical",tbl_HR_Data[ [#This Row],[Attrition_Risk_Percentage] ]&gt;= 0.5, "High",tbl_HR_Data[[#This Row],[Attrition_Risk_Percentage]] &gt;= 0.25, "Medium",TRUE, "Low")</f>
        <v>High</v>
      </c>
      <c r="AR1467" s="16" cm="1">
        <f t="array" ref="AR1467">IFERROR(_xlfn.IFS(tbl_HR_Data[[#This Row],[Risk_Category]]="Critical",tbl_HR_Data[[#This Row],[MonthlyIncome]]*1.5,tbl_HR_Data[[#This Row],[Risk_Category]]="High",tbl_HR_Data[[#This Row],[MonthlyIncome]]*1.5),0)</f>
        <v>3856.5</v>
      </c>
    </row>
    <row r="1468" spans="1:44" x14ac:dyDescent="0.35">
      <c r="A1468" t="s">
        <v>381</v>
      </c>
      <c r="B1468">
        <v>39</v>
      </c>
      <c r="C1468" t="s">
        <v>31</v>
      </c>
      <c r="D1468">
        <v>613</v>
      </c>
      <c r="E1468" t="s">
        <v>38</v>
      </c>
      <c r="F1468">
        <v>6</v>
      </c>
      <c r="G1468">
        <v>1</v>
      </c>
      <c r="H1468" t="s">
        <v>44</v>
      </c>
      <c r="I1468">
        <v>4</v>
      </c>
      <c r="J1468" t="s">
        <v>39</v>
      </c>
      <c r="K1468">
        <v>42</v>
      </c>
      <c r="L1468">
        <v>2</v>
      </c>
      <c r="M1468">
        <v>3</v>
      </c>
      <c r="N1468" t="s">
        <v>47</v>
      </c>
      <c r="O1468">
        <v>1</v>
      </c>
      <c r="P1468" t="s">
        <v>41</v>
      </c>
      <c r="Q1468">
        <v>9991</v>
      </c>
      <c r="R1468">
        <v>21457</v>
      </c>
      <c r="S1468">
        <v>4</v>
      </c>
      <c r="T1468">
        <v>0</v>
      </c>
      <c r="U1468" s="17">
        <v>0.15</v>
      </c>
      <c r="V1468">
        <v>3</v>
      </c>
      <c r="W1468">
        <v>1</v>
      </c>
      <c r="X1468">
        <v>1</v>
      </c>
      <c r="Y1468">
        <v>9</v>
      </c>
      <c r="Z1468">
        <v>5</v>
      </c>
      <c r="AA1468">
        <v>3</v>
      </c>
      <c r="AB1468">
        <v>7</v>
      </c>
      <c r="AC1468">
        <v>7</v>
      </c>
      <c r="AD1468">
        <v>1</v>
      </c>
      <c r="AE1468">
        <v>7</v>
      </c>
      <c r="AF1468">
        <v>0</v>
      </c>
      <c r="AG1468">
        <f>IF(tbl_HR_Data[[#This Row],[Gender]]="Male",1,0)</f>
        <v>1</v>
      </c>
      <c r="AH1468" cm="1">
        <f t="array" ref="AH1468">_xlfn.SWITCH(tbl_HR_Data[[#This Row],[BusinessTravel]], "Non-Travel", 0, "Travel_Rarely", 1, "Travel_Frequently", 2)</f>
        <v>1</v>
      </c>
      <c r="AI1468" cm="1">
        <f t="array" ref="AI1468">_xlfn.SWITCH(tbl_HR_Data[[#This Row],[MaritalStatus]],"Single",0,"Married",1,"Divorced",2)</f>
        <v>1</v>
      </c>
      <c r="AJ1468">
        <f>IF(tbl_HR_Data[[#This Row],[OverTime]]=1,1,0)</f>
        <v>0</v>
      </c>
      <c r="AK1468">
        <f>IF(tbl_HR_Data[[#This Row],[DistanceFromHome]]&gt;15,1,0)</f>
        <v>0</v>
      </c>
      <c r="AL1468">
        <f>IF(tbl_HR_Data[[#This Row],[JobSatisfaction]]&lt;=2,1,0)</f>
        <v>1</v>
      </c>
      <c r="AM1468">
        <f>IF(tbl_HR_Data[[#This Row],[MonthlyIncome]]&lt;$AT$2,1,0)</f>
        <v>0</v>
      </c>
      <c r="AN1468">
        <f>IF(tbl_HR_Data[[#This Row],[Travel_Code]]=2,1,0)</f>
        <v>0</v>
      </c>
      <c r="AO1468">
        <f>(tbl_HR_Data[[#This Row],[Flag_OT]] * Logic_Parameters!$B$2) +
 (tbl_HR_Data[[#This Row],[Flag_Travel]] * Logic_Parameters!$B$3) +
 (tbl_HR_Data[[#This Row],[Flag_Satisfaction]] * Logic_Parameters!$B$4) +
 (tbl_HR_Data[[#This Row],[Flag_Distance]]* Logic_Parameters!$B$5) +
 (tbl_HR_Data[[#This Row],[Flag_Income]] * Logic_Parameters!$B$6)</f>
        <v>4.204533129978131</v>
      </c>
      <c r="AP1468" s="15">
        <f>tbl_HR_Data[[#This Row],[Risk_Score_Raw]] / SUM(Logic_Parameters!$B$2:$B$6)</f>
        <v>0.14485673308716898</v>
      </c>
      <c r="AQ1468" s="16" t="str" cm="1">
        <f t="array" ref="AQ1468">_xlfn.IFS(tbl_HR_Data[[#This Row],[Attrition_Risk_Percentage]] &gt;= 0.75, "Critical",tbl_HR_Data[ [#This Row],[Attrition_Risk_Percentage] ]&gt;= 0.5, "High",tbl_HR_Data[[#This Row],[Attrition_Risk_Percentage]] &gt;= 0.25, "Medium",TRUE, "Low")</f>
        <v>Low</v>
      </c>
      <c r="AR1468" s="16" cm="1">
        <f t="array" ref="AR1468">IFERROR(_xlfn.IFS(tbl_HR_Data[[#This Row],[Risk_Category]]="Critical",tbl_HR_Data[[#This Row],[MonthlyIncome]]*1.5,tbl_HR_Data[[#This Row],[Risk_Category]]="High",tbl_HR_Data[[#This Row],[MonthlyIncome]]*1.5),0)</f>
        <v>0</v>
      </c>
    </row>
    <row r="1469" spans="1:44" x14ac:dyDescent="0.35">
      <c r="A1469" t="s">
        <v>1420</v>
      </c>
      <c r="B1469">
        <v>27</v>
      </c>
      <c r="C1469" t="s">
        <v>31</v>
      </c>
      <c r="D1469">
        <v>155</v>
      </c>
      <c r="E1469" t="s">
        <v>38</v>
      </c>
      <c r="F1469">
        <v>4</v>
      </c>
      <c r="G1469">
        <v>3</v>
      </c>
      <c r="H1469" t="s">
        <v>33</v>
      </c>
      <c r="I1469">
        <v>2</v>
      </c>
      <c r="J1469" t="s">
        <v>39</v>
      </c>
      <c r="K1469">
        <v>87</v>
      </c>
      <c r="L1469">
        <v>4</v>
      </c>
      <c r="M1469">
        <v>2</v>
      </c>
      <c r="N1469" t="s">
        <v>46</v>
      </c>
      <c r="O1469">
        <v>2</v>
      </c>
      <c r="P1469" t="s">
        <v>41</v>
      </c>
      <c r="Q1469">
        <v>6142</v>
      </c>
      <c r="R1469">
        <v>5174</v>
      </c>
      <c r="S1469">
        <v>1</v>
      </c>
      <c r="T1469">
        <v>1</v>
      </c>
      <c r="U1469" s="17">
        <v>0.2</v>
      </c>
      <c r="V1469">
        <v>4</v>
      </c>
      <c r="W1469">
        <v>2</v>
      </c>
      <c r="X1469">
        <v>1</v>
      </c>
      <c r="Y1469">
        <v>6</v>
      </c>
      <c r="Z1469">
        <v>0</v>
      </c>
      <c r="AA1469">
        <v>3</v>
      </c>
      <c r="AB1469">
        <v>6</v>
      </c>
      <c r="AC1469">
        <v>2</v>
      </c>
      <c r="AD1469">
        <v>0</v>
      </c>
      <c r="AE1469">
        <v>3</v>
      </c>
      <c r="AF1469">
        <v>0</v>
      </c>
      <c r="AG1469">
        <f>IF(tbl_HR_Data[[#This Row],[Gender]]="Male",1,0)</f>
        <v>1</v>
      </c>
      <c r="AH1469" cm="1">
        <f t="array" ref="AH1469">_xlfn.SWITCH(tbl_HR_Data[[#This Row],[BusinessTravel]], "Non-Travel", 0, "Travel_Rarely", 1, "Travel_Frequently", 2)</f>
        <v>1</v>
      </c>
      <c r="AI1469" cm="1">
        <f t="array" ref="AI1469">_xlfn.SWITCH(tbl_HR_Data[[#This Row],[MaritalStatus]],"Single",0,"Married",1,"Divorced",2)</f>
        <v>1</v>
      </c>
      <c r="AJ1469">
        <f>IF(tbl_HR_Data[[#This Row],[OverTime]]=1,1,0)</f>
        <v>1</v>
      </c>
      <c r="AK1469">
        <f>IF(tbl_HR_Data[[#This Row],[DistanceFromHome]]&gt;15,1,0)</f>
        <v>0</v>
      </c>
      <c r="AL1469">
        <f>IF(tbl_HR_Data[[#This Row],[JobSatisfaction]]&lt;=2,1,0)</f>
        <v>1</v>
      </c>
      <c r="AM1469">
        <f>IF(tbl_HR_Data[[#This Row],[MonthlyIncome]]&lt;$AT$2,1,0)</f>
        <v>0</v>
      </c>
      <c r="AN1469">
        <f>IF(tbl_HR_Data[[#This Row],[Travel_Code]]=2,1,0)</f>
        <v>0</v>
      </c>
      <c r="AO1469">
        <f>(tbl_HR_Data[[#This Row],[Flag_OT]] * Logic_Parameters!$B$2) +
 (tbl_HR_Data[[#This Row],[Flag_Travel]] * Logic_Parameters!$B$3) +
 (tbl_HR_Data[[#This Row],[Flag_Satisfaction]] * Logic_Parameters!$B$4) +
 (tbl_HR_Data[[#This Row],[Flag_Distance]]* Logic_Parameters!$B$5) +
 (tbl_HR_Data[[#This Row],[Flag_Income]] * Logic_Parameters!$B$6)</f>
        <v>14.204533129978131</v>
      </c>
      <c r="AP1469" s="15">
        <f>tbl_HR_Data[[#This Row],[Risk_Score_Raw]] / SUM(Logic_Parameters!$B$2:$B$6)</f>
        <v>0.48938186491297625</v>
      </c>
      <c r="AQ1469" s="16" t="str" cm="1">
        <f t="array" ref="AQ1469">_xlfn.IFS(tbl_HR_Data[[#This Row],[Attrition_Risk_Percentage]] &gt;= 0.75, "Critical",tbl_HR_Data[ [#This Row],[Attrition_Risk_Percentage] ]&gt;= 0.5, "High",tbl_HR_Data[[#This Row],[Attrition_Risk_Percentage]] &gt;= 0.25, "Medium",TRUE, "Low")</f>
        <v>Medium</v>
      </c>
      <c r="AR1469" s="16" cm="1">
        <f t="array" ref="AR1469">IFERROR(_xlfn.IFS(tbl_HR_Data[[#This Row],[Risk_Category]]="Critical",tbl_HR_Data[[#This Row],[MonthlyIncome]]*1.5,tbl_HR_Data[[#This Row],[Risk_Category]]="High",tbl_HR_Data[[#This Row],[MonthlyIncome]]*1.5),0)</f>
        <v>0</v>
      </c>
    </row>
    <row r="1470" spans="1:44" x14ac:dyDescent="0.35">
      <c r="A1470" t="s">
        <v>248</v>
      </c>
      <c r="B1470">
        <v>49</v>
      </c>
      <c r="C1470" t="s">
        <v>37</v>
      </c>
      <c r="D1470">
        <v>1023</v>
      </c>
      <c r="E1470" t="s">
        <v>32</v>
      </c>
      <c r="F1470">
        <v>2</v>
      </c>
      <c r="G1470">
        <v>3</v>
      </c>
      <c r="H1470" t="s">
        <v>44</v>
      </c>
      <c r="I1470">
        <v>4</v>
      </c>
      <c r="J1470" t="s">
        <v>39</v>
      </c>
      <c r="K1470">
        <v>63</v>
      </c>
      <c r="L1470">
        <v>2</v>
      </c>
      <c r="M1470">
        <v>2</v>
      </c>
      <c r="N1470" t="s">
        <v>35</v>
      </c>
      <c r="O1470">
        <v>2</v>
      </c>
      <c r="P1470" t="s">
        <v>41</v>
      </c>
      <c r="Q1470">
        <v>5390</v>
      </c>
      <c r="R1470">
        <v>13243</v>
      </c>
      <c r="S1470">
        <v>2</v>
      </c>
      <c r="T1470">
        <v>0</v>
      </c>
      <c r="U1470" s="17">
        <v>0.14000000000000001</v>
      </c>
      <c r="V1470">
        <v>3</v>
      </c>
      <c r="W1470">
        <v>4</v>
      </c>
      <c r="X1470">
        <v>0</v>
      </c>
      <c r="Y1470">
        <v>17</v>
      </c>
      <c r="Z1470">
        <v>3</v>
      </c>
      <c r="AA1470">
        <v>2</v>
      </c>
      <c r="AB1470">
        <v>9</v>
      </c>
      <c r="AC1470">
        <v>6</v>
      </c>
      <c r="AD1470">
        <v>0</v>
      </c>
      <c r="AE1470">
        <v>8</v>
      </c>
      <c r="AF1470">
        <v>0</v>
      </c>
      <c r="AG1470">
        <f>IF(tbl_HR_Data[[#This Row],[Gender]]="Male",1,0)</f>
        <v>1</v>
      </c>
      <c r="AH1470" cm="1">
        <f t="array" ref="AH1470">_xlfn.SWITCH(tbl_HR_Data[[#This Row],[BusinessTravel]], "Non-Travel", 0, "Travel_Rarely", 1, "Travel_Frequently", 2)</f>
        <v>2</v>
      </c>
      <c r="AI1470" cm="1">
        <f t="array" ref="AI1470">_xlfn.SWITCH(tbl_HR_Data[[#This Row],[MaritalStatus]],"Single",0,"Married",1,"Divorced",2)</f>
        <v>1</v>
      </c>
      <c r="AJ1470">
        <f>IF(tbl_HR_Data[[#This Row],[OverTime]]=1,1,0)</f>
        <v>0</v>
      </c>
      <c r="AK1470">
        <f>IF(tbl_HR_Data[[#This Row],[DistanceFromHome]]&gt;15,1,0)</f>
        <v>0</v>
      </c>
      <c r="AL1470">
        <f>IF(tbl_HR_Data[[#This Row],[JobSatisfaction]]&lt;=2,1,0)</f>
        <v>1</v>
      </c>
      <c r="AM1470">
        <f>IF(tbl_HR_Data[[#This Row],[MonthlyIncome]]&lt;$AT$2,1,0)</f>
        <v>0</v>
      </c>
      <c r="AN1470">
        <f>IF(tbl_HR_Data[[#This Row],[Travel_Code]]=2,1,0)</f>
        <v>1</v>
      </c>
      <c r="AO1470">
        <f>(tbl_HR_Data[[#This Row],[Flag_OT]] * Logic_Parameters!$B$2) +
 (tbl_HR_Data[[#This Row],[Flag_Travel]] * Logic_Parameters!$B$3) +
 (tbl_HR_Data[[#This Row],[Flag_Satisfaction]] * Logic_Parameters!$B$4) +
 (tbl_HR_Data[[#This Row],[Flag_Distance]]* Logic_Parameters!$B$5) +
 (tbl_HR_Data[[#This Row],[Flag_Income]] * Logic_Parameters!$B$6)</f>
        <v>9.3649231104683075</v>
      </c>
      <c r="AP1470" s="15">
        <f>tbl_HR_Data[[#This Row],[Risk_Score_Raw]] / SUM(Logic_Parameters!$B$2:$B$6)</f>
        <v>0.32264513691726432</v>
      </c>
      <c r="AQ1470" s="16" t="str" cm="1">
        <f t="array" ref="AQ1470">_xlfn.IFS(tbl_HR_Data[[#This Row],[Attrition_Risk_Percentage]] &gt;= 0.75, "Critical",tbl_HR_Data[ [#This Row],[Attrition_Risk_Percentage] ]&gt;= 0.5, "High",tbl_HR_Data[[#This Row],[Attrition_Risk_Percentage]] &gt;= 0.25, "Medium",TRUE, "Low")</f>
        <v>Medium</v>
      </c>
      <c r="AR1470" s="16" cm="1">
        <f t="array" ref="AR1470">IFERROR(_xlfn.IFS(tbl_HR_Data[[#This Row],[Risk_Category]]="Critical",tbl_HR_Data[[#This Row],[MonthlyIncome]]*1.5,tbl_HR_Data[[#This Row],[Risk_Category]]="High",tbl_HR_Data[[#This Row],[MonthlyIncome]]*1.5),0)</f>
        <v>0</v>
      </c>
    </row>
    <row r="1471" spans="1:44" x14ac:dyDescent="0.35">
      <c r="A1471" t="s">
        <v>649</v>
      </c>
      <c r="B1471">
        <v>34</v>
      </c>
      <c r="C1471" t="s">
        <v>31</v>
      </c>
      <c r="D1471">
        <v>628</v>
      </c>
      <c r="E1471" t="s">
        <v>38</v>
      </c>
      <c r="F1471">
        <v>8</v>
      </c>
      <c r="G1471">
        <v>3</v>
      </c>
      <c r="H1471" t="s">
        <v>44</v>
      </c>
      <c r="I1471">
        <v>2</v>
      </c>
      <c r="J1471" t="s">
        <v>39</v>
      </c>
      <c r="K1471">
        <v>82</v>
      </c>
      <c r="L1471">
        <v>4</v>
      </c>
      <c r="M1471">
        <v>2</v>
      </c>
      <c r="N1471" t="s">
        <v>43</v>
      </c>
      <c r="O1471">
        <v>3</v>
      </c>
      <c r="P1471" t="s">
        <v>41</v>
      </c>
      <c r="Q1471">
        <v>4404</v>
      </c>
      <c r="R1471">
        <v>10228</v>
      </c>
      <c r="S1471">
        <v>2</v>
      </c>
      <c r="T1471">
        <v>0</v>
      </c>
      <c r="U1471" s="17">
        <v>0.12</v>
      </c>
      <c r="V1471">
        <v>3</v>
      </c>
      <c r="W1471">
        <v>1</v>
      </c>
      <c r="X1471">
        <v>0</v>
      </c>
      <c r="Y1471">
        <v>6</v>
      </c>
      <c r="Z1471">
        <v>3</v>
      </c>
      <c r="AA1471">
        <v>4</v>
      </c>
      <c r="AB1471">
        <v>4</v>
      </c>
      <c r="AC1471">
        <v>3</v>
      </c>
      <c r="AD1471">
        <v>1</v>
      </c>
      <c r="AE1471">
        <v>2</v>
      </c>
      <c r="AF1471">
        <v>0</v>
      </c>
      <c r="AG1471">
        <f>IF(tbl_HR_Data[[#This Row],[Gender]]="Male",1,0)</f>
        <v>1</v>
      </c>
      <c r="AH1471" cm="1">
        <f t="array" ref="AH1471">_xlfn.SWITCH(tbl_HR_Data[[#This Row],[BusinessTravel]], "Non-Travel", 0, "Travel_Rarely", 1, "Travel_Frequently", 2)</f>
        <v>1</v>
      </c>
      <c r="AI1471" cm="1">
        <f t="array" ref="AI1471">_xlfn.SWITCH(tbl_HR_Data[[#This Row],[MaritalStatus]],"Single",0,"Married",1,"Divorced",2)</f>
        <v>1</v>
      </c>
      <c r="AJ1471">
        <f>IF(tbl_HR_Data[[#This Row],[OverTime]]=1,1,0)</f>
        <v>0</v>
      </c>
      <c r="AK1471">
        <f>IF(tbl_HR_Data[[#This Row],[DistanceFromHome]]&gt;15,1,0)</f>
        <v>0</v>
      </c>
      <c r="AL1471">
        <f>IF(tbl_HR_Data[[#This Row],[JobSatisfaction]]&lt;=2,1,0)</f>
        <v>0</v>
      </c>
      <c r="AM1471">
        <f>IF(tbl_HR_Data[[#This Row],[MonthlyIncome]]&lt;$AT$2,1,0)</f>
        <v>1</v>
      </c>
      <c r="AN1471">
        <f>IF(tbl_HR_Data[[#This Row],[Travel_Code]]=2,1,0)</f>
        <v>0</v>
      </c>
      <c r="AO1471">
        <f>(tbl_HR_Data[[#This Row],[Flag_OT]] * Logic_Parameters!$B$2) +
 (tbl_HR_Data[[#This Row],[Flag_Travel]] * Logic_Parameters!$B$3) +
 (tbl_HR_Data[[#This Row],[Flag_Satisfaction]] * Logic_Parameters!$B$4) +
 (tbl_HR_Data[[#This Row],[Flag_Distance]]* Logic_Parameters!$B$5) +
 (tbl_HR_Data[[#This Row],[Flag_Income]] * Logic_Parameters!$B$6)</f>
        <v>6.4944289374208282</v>
      </c>
      <c r="AP1471" s="15">
        <f>tbl_HR_Data[[#This Row],[Risk_Score_Raw]] / SUM(Logic_Parameters!$B$2:$B$6)</f>
        <v>0.22374939857982484</v>
      </c>
      <c r="AQ1471" s="16" t="str" cm="1">
        <f t="array" ref="AQ1471">_xlfn.IFS(tbl_HR_Data[[#This Row],[Attrition_Risk_Percentage]] &gt;= 0.75, "Critical",tbl_HR_Data[ [#This Row],[Attrition_Risk_Percentage] ]&gt;= 0.5, "High",tbl_HR_Data[[#This Row],[Attrition_Risk_Percentage]] &gt;= 0.25, "Medium",TRUE, "Low")</f>
        <v>Low</v>
      </c>
      <c r="AR1471" s="16" cm="1">
        <f t="array" ref="AR1471">IFERROR(_xlfn.IFS(tbl_HR_Data[[#This Row],[Risk_Category]]="Critical",tbl_HR_Data[[#This Row],[MonthlyIncome]]*1.5,tbl_HR_Data[[#This Row],[Risk_Category]]="High",tbl_HR_Data[[#This Row],[MonthlyIncome]]*1.5),0)</f>
        <v>0</v>
      </c>
    </row>
  </sheetData>
  <phoneticPr fontId="5"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82466-9624-4D34-AAB7-4D9A071EEF5D}">
  <dimension ref="A1:H6"/>
  <sheetViews>
    <sheetView zoomScale="130" zoomScaleNormal="130" workbookViewId="0">
      <selection activeCell="E9" sqref="E9"/>
    </sheetView>
  </sheetViews>
  <sheetFormatPr defaultRowHeight="14.5" x14ac:dyDescent="0.35"/>
  <cols>
    <col min="1" max="1" width="18.453125" bestFit="1" customWidth="1"/>
    <col min="2" max="2" width="13.26953125" customWidth="1"/>
    <col min="3" max="3" width="36.6328125" customWidth="1"/>
    <col min="5" max="5" width="17.90625" customWidth="1"/>
    <col min="6" max="6" width="15.54296875" customWidth="1"/>
    <col min="7" max="7" width="19.7265625" customWidth="1"/>
    <col min="8" max="8" width="17.7265625" customWidth="1"/>
  </cols>
  <sheetData>
    <row r="1" spans="1:8" x14ac:dyDescent="0.35">
      <c r="A1" s="5" t="s">
        <v>1529</v>
      </c>
      <c r="B1" s="6" t="s">
        <v>1533</v>
      </c>
      <c r="C1" s="7" t="s">
        <v>1534</v>
      </c>
      <c r="E1" s="5" t="s">
        <v>1529</v>
      </c>
      <c r="F1" s="6" t="s">
        <v>1530</v>
      </c>
      <c r="G1" s="6" t="s">
        <v>1531</v>
      </c>
      <c r="H1" s="7" t="s">
        <v>1532</v>
      </c>
    </row>
    <row r="2" spans="1:8" x14ac:dyDescent="0.35">
      <c r="A2" s="12" t="s">
        <v>1535</v>
      </c>
      <c r="B2" s="13">
        <f>tbl_correl[[#This Row],[Final Weight (1-10)]]</f>
        <v>10</v>
      </c>
      <c r="C2" s="4" t="s">
        <v>1540</v>
      </c>
      <c r="E2" s="3" t="s">
        <v>18</v>
      </c>
      <c r="F2" s="2">
        <f>CORREL(tbl_HR_Data[Attrition],tbl_HR_Data[OverTime])</f>
        <v>0.24611799424579706</v>
      </c>
      <c r="G2" s="2">
        <f>ABS(tbl_correl[[#This Row],[Raw Correlation]])</f>
        <v>0.24611799424579706</v>
      </c>
      <c r="H2" s="4">
        <f>(tbl_correl[[#This Row],[Strength (Absolute)]]/MAX(tbl_correl[Strength (Absolute)]))*10</f>
        <v>10</v>
      </c>
    </row>
    <row r="3" spans="1:8" x14ac:dyDescent="0.35">
      <c r="A3" s="12" t="s">
        <v>1539</v>
      </c>
      <c r="B3" s="13">
        <f>tbl_correl[[#This Row],[Final Weight (1-10)]]</f>
        <v>5.1603899804901765</v>
      </c>
      <c r="C3" t="s">
        <v>1541</v>
      </c>
      <c r="E3" s="3" t="s">
        <v>1527</v>
      </c>
      <c r="F3" s="2">
        <f>CORREL(tbl_HR_Data[Attrition],tbl_HR_Data[Travel_Code])</f>
        <v>0.12700648315243501</v>
      </c>
      <c r="G3" s="2">
        <f>ABS(tbl_correl[[#This Row],[Raw Correlation]])</f>
        <v>0.12700648315243501</v>
      </c>
      <c r="H3" s="4">
        <f>(tbl_correl[[#This Row],[Strength (Absolute)]]/MAX(tbl_correl[Strength (Absolute)]))*10</f>
        <v>5.1603899804901765</v>
      </c>
    </row>
    <row r="4" spans="1:8" x14ac:dyDescent="0.35">
      <c r="A4" s="12" t="s">
        <v>1536</v>
      </c>
      <c r="B4" s="13">
        <f>tbl_correl[[#This Row],[Final Weight (1-10)]]</f>
        <v>4.204533129978131</v>
      </c>
      <c r="C4" s="4" t="s">
        <v>1542</v>
      </c>
      <c r="E4" s="3" t="s">
        <v>13</v>
      </c>
      <c r="F4" s="2">
        <f>CORREL(tbl_HR_Data[Attrition],tbl_HR_Data[JobSatisfaction])</f>
        <v>-0.10348112606902207</v>
      </c>
      <c r="G4" s="2">
        <f>ABS(tbl_correl[[#This Row],[Raw Correlation]])</f>
        <v>0.10348112606902207</v>
      </c>
      <c r="H4" s="4">
        <f>(tbl_correl[[#This Row],[Strength (Absolute)]]/MAX(tbl_correl[Strength (Absolute)]))*10</f>
        <v>4.204533129978131</v>
      </c>
    </row>
    <row r="5" spans="1:8" x14ac:dyDescent="0.35">
      <c r="A5" s="12" t="s">
        <v>1537</v>
      </c>
      <c r="B5" s="13">
        <f>tbl_correl[[#This Row],[Final Weight (1-10)]]</f>
        <v>3.1661066958753779</v>
      </c>
      <c r="C5" s="4" t="s">
        <v>1543</v>
      </c>
      <c r="E5" s="3" t="s">
        <v>4</v>
      </c>
      <c r="F5" s="2">
        <f>CORREL(tbl_HR_Data[Attrition],tbl_HR_Data[DistanceFromHome])</f>
        <v>7.7923582955703577E-2</v>
      </c>
      <c r="G5" s="2">
        <f>ABS(tbl_correl[[#This Row],[Raw Correlation]])</f>
        <v>7.7923582955703577E-2</v>
      </c>
      <c r="H5" s="4">
        <f>(tbl_correl[[#This Row],[Strength (Absolute)]]/MAX(tbl_correl[Strength (Absolute)]))*10</f>
        <v>3.1661066958753779</v>
      </c>
    </row>
    <row r="6" spans="1:8" x14ac:dyDescent="0.35">
      <c r="A6" s="11" t="s">
        <v>1538</v>
      </c>
      <c r="B6" s="14">
        <f>tbl_correl[[#This Row],[Final Weight (1-10)]]</f>
        <v>6.4944289374208282</v>
      </c>
      <c r="C6" s="10" t="s">
        <v>1544</v>
      </c>
      <c r="E6" s="8" t="s">
        <v>15</v>
      </c>
      <c r="F6" s="9">
        <f>CORREL(tbl_HR_Data[Attrition],tbl_HR_Data[MonthlyIncome])</f>
        <v>-0.15983958238498774</v>
      </c>
      <c r="G6" s="9">
        <f>ABS(tbl_correl[[#This Row],[Raw Correlation]])</f>
        <v>0.15983958238498774</v>
      </c>
      <c r="H6" s="10">
        <f>(tbl_correl[[#This Row],[Strength (Absolute)]]/MAX(tbl_correl[Strength (Absolute)]))*10</f>
        <v>6.4944289374208282</v>
      </c>
    </row>
  </sheetData>
  <pageMargins left="0.7" right="0.7" top="0.75" bottom="0.75" header="0.3" footer="0.3"/>
  <pageSetup orientation="portrait"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5AA34-53A0-4EED-B8DA-75BFA87E351B}">
  <dimension ref="A1:U48"/>
  <sheetViews>
    <sheetView topLeftCell="A18" zoomScale="85" zoomScaleNormal="85" workbookViewId="0">
      <selection activeCell="A34" sqref="A34"/>
    </sheetView>
  </sheetViews>
  <sheetFormatPr defaultRowHeight="14.5" x14ac:dyDescent="0.35"/>
  <cols>
    <col min="1" max="1" width="12.6328125" bestFit="1" customWidth="1"/>
    <col min="2" max="3" width="33.6328125" bestFit="1" customWidth="1"/>
    <col min="4" max="4" width="22.26953125" bestFit="1" customWidth="1"/>
    <col min="5" max="5" width="15.453125" bestFit="1" customWidth="1"/>
    <col min="6" max="6" width="33.6328125" bestFit="1" customWidth="1"/>
    <col min="7" max="7" width="4.36328125" customWidth="1"/>
    <col min="8" max="8" width="5.36328125" customWidth="1"/>
    <col min="9" max="9" width="33.6328125" bestFit="1" customWidth="1"/>
    <col min="10" max="10" width="15.81640625" bestFit="1" customWidth="1"/>
    <col min="11" max="11" width="7.90625" bestFit="1" customWidth="1"/>
    <col min="12" max="12" width="6.08984375" bestFit="1" customWidth="1"/>
    <col min="13" max="13" width="33.6328125" bestFit="1" customWidth="1"/>
    <col min="14" max="14" width="10.36328125" bestFit="1" customWidth="1"/>
    <col min="15" max="15" width="10.81640625" bestFit="1" customWidth="1"/>
    <col min="16" max="16" width="12.6328125" bestFit="1" customWidth="1"/>
    <col min="17" max="17" width="10.81640625" bestFit="1" customWidth="1"/>
    <col min="18" max="18" width="22.90625" bestFit="1" customWidth="1"/>
    <col min="19" max="19" width="5.36328125" bestFit="1" customWidth="1"/>
    <col min="20" max="20" width="23.7265625" bestFit="1" customWidth="1"/>
    <col min="21" max="21" width="38.453125" bestFit="1" customWidth="1"/>
    <col min="22" max="22" width="6.7265625" bestFit="1" customWidth="1"/>
    <col min="23" max="24" width="4.54296875" bestFit="1" customWidth="1"/>
    <col min="25" max="25" width="6.7265625" bestFit="1" customWidth="1"/>
    <col min="26" max="26" width="10.81640625" bestFit="1" customWidth="1"/>
  </cols>
  <sheetData>
    <row r="1" spans="1:21" x14ac:dyDescent="0.35">
      <c r="A1" t="s">
        <v>1554</v>
      </c>
      <c r="B1" t="s">
        <v>1592</v>
      </c>
      <c r="C1" t="s">
        <v>1556</v>
      </c>
      <c r="E1" s="18" t="s">
        <v>1566</v>
      </c>
      <c r="F1" t="s">
        <v>1555</v>
      </c>
      <c r="I1" s="18" t="s">
        <v>1567</v>
      </c>
      <c r="J1" t="s">
        <v>1554</v>
      </c>
      <c r="K1" t="s">
        <v>1555</v>
      </c>
      <c r="M1" s="18" t="s">
        <v>1556</v>
      </c>
      <c r="N1" s="18" t="s">
        <v>1605</v>
      </c>
    </row>
    <row r="2" spans="1:21" ht="27.5" customHeight="1" x14ac:dyDescent="0.35">
      <c r="A2">
        <v>1470</v>
      </c>
      <c r="B2" s="21">
        <v>0.16122448979591836</v>
      </c>
      <c r="C2" s="17">
        <v>0.32335820492109479</v>
      </c>
      <c r="E2" s="19" t="s">
        <v>38</v>
      </c>
      <c r="F2">
        <v>133</v>
      </c>
      <c r="I2" s="19" t="s">
        <v>1559</v>
      </c>
      <c r="J2">
        <v>40</v>
      </c>
      <c r="K2">
        <v>26</v>
      </c>
      <c r="M2" s="54" t="s">
        <v>1535</v>
      </c>
      <c r="N2" s="54" t="s">
        <v>1525</v>
      </c>
      <c r="O2" s="55" t="s">
        <v>37</v>
      </c>
      <c r="P2" s="54" t="s">
        <v>31</v>
      </c>
      <c r="Q2" s="54" t="s">
        <v>1558</v>
      </c>
    </row>
    <row r="3" spans="1:21" x14ac:dyDescent="0.35">
      <c r="E3" s="20" t="s">
        <v>43</v>
      </c>
      <c r="F3">
        <v>62</v>
      </c>
      <c r="I3" s="19" t="s">
        <v>1560</v>
      </c>
      <c r="J3">
        <v>276</v>
      </c>
      <c r="K3">
        <v>88</v>
      </c>
      <c r="M3" s="51">
        <v>0</v>
      </c>
      <c r="N3" s="52">
        <v>0.19178540772070382</v>
      </c>
      <c r="O3" s="52">
        <v>0.37387197807245859</v>
      </c>
      <c r="P3" s="52">
        <v>0.19369232846192061</v>
      </c>
      <c r="Q3" s="52">
        <v>0.22613541877536925</v>
      </c>
    </row>
    <row r="4" spans="1:21" x14ac:dyDescent="0.35">
      <c r="E4" s="20" t="s">
        <v>40</v>
      </c>
      <c r="F4">
        <v>47</v>
      </c>
      <c r="I4" s="19" t="s">
        <v>1562</v>
      </c>
      <c r="J4">
        <v>516</v>
      </c>
      <c r="K4">
        <v>79</v>
      </c>
      <c r="M4" s="51">
        <v>1</v>
      </c>
      <c r="N4" s="52">
        <v>0.52420560902483382</v>
      </c>
      <c r="O4" s="52">
        <v>0.71622836564647119</v>
      </c>
      <c r="P4" s="52">
        <v>0.5323626918078207</v>
      </c>
      <c r="Q4" s="52">
        <v>0.56968709097301218</v>
      </c>
    </row>
    <row r="5" spans="1:21" x14ac:dyDescent="0.35">
      <c r="E5" s="20" t="s">
        <v>46</v>
      </c>
      <c r="F5">
        <v>10</v>
      </c>
      <c r="I5" s="19" t="s">
        <v>1561</v>
      </c>
      <c r="J5">
        <v>638</v>
      </c>
      <c r="K5">
        <v>44</v>
      </c>
      <c r="M5" s="50" t="s">
        <v>1558</v>
      </c>
      <c r="N5" s="53">
        <v>0.26935012135833403</v>
      </c>
      <c r="O5" s="53">
        <v>0.48016313089327017</v>
      </c>
      <c r="P5" s="53">
        <v>0.28948116564988002</v>
      </c>
      <c r="Q5" s="53">
        <v>0.32335820492109679</v>
      </c>
    </row>
    <row r="6" spans="1:21" x14ac:dyDescent="0.35">
      <c r="A6" s="18" t="s">
        <v>1565</v>
      </c>
      <c r="B6" t="s">
        <v>1556</v>
      </c>
      <c r="E6" s="20" t="s">
        <v>47</v>
      </c>
      <c r="F6">
        <v>9</v>
      </c>
      <c r="I6" s="19" t="s">
        <v>1558</v>
      </c>
      <c r="J6">
        <v>1470</v>
      </c>
      <c r="K6">
        <v>237</v>
      </c>
    </row>
    <row r="7" spans="1:21" x14ac:dyDescent="0.35">
      <c r="A7" s="19" t="s">
        <v>1575</v>
      </c>
      <c r="B7" s="17">
        <v>0.37625555948226769</v>
      </c>
      <c r="E7" s="20" t="s">
        <v>48</v>
      </c>
      <c r="F7">
        <v>3</v>
      </c>
    </row>
    <row r="8" spans="1:21" x14ac:dyDescent="0.35">
      <c r="A8" s="19" t="s">
        <v>1576</v>
      </c>
      <c r="B8" s="17">
        <v>0.31857096390963552</v>
      </c>
      <c r="E8" s="20" t="s">
        <v>50</v>
      </c>
      <c r="F8">
        <v>2</v>
      </c>
      <c r="I8" s="19" t="s">
        <v>1559</v>
      </c>
      <c r="J8">
        <f>IFERROR(GETPIVOTDATA("Sum of Attrition",$I$1,"Risk_Category","Critical"),0)</f>
        <v>26</v>
      </c>
      <c r="N8" s="18" t="s">
        <v>1563</v>
      </c>
    </row>
    <row r="9" spans="1:21" x14ac:dyDescent="0.35">
      <c r="A9" s="19" t="s">
        <v>1577</v>
      </c>
      <c r="B9" s="17">
        <v>0.30960815945758796</v>
      </c>
      <c r="E9" s="19" t="s">
        <v>32</v>
      </c>
      <c r="F9">
        <v>92</v>
      </c>
      <c r="I9" s="19" t="s">
        <v>1560</v>
      </c>
      <c r="J9">
        <f>IFERROR(GETPIVOTDATA("Sum of Attrition",$I$1,"Risk_Category","High"),0)</f>
        <v>88</v>
      </c>
      <c r="N9" t="s">
        <v>1554</v>
      </c>
      <c r="Q9" t="s">
        <v>1556</v>
      </c>
      <c r="T9" t="s">
        <v>1569</v>
      </c>
      <c r="U9" t="s">
        <v>1568</v>
      </c>
    </row>
    <row r="10" spans="1:21" x14ac:dyDescent="0.35">
      <c r="A10" s="19" t="s">
        <v>1578</v>
      </c>
      <c r="B10" s="17">
        <v>0.27515335351120046</v>
      </c>
      <c r="E10" s="20" t="s">
        <v>35</v>
      </c>
      <c r="F10">
        <v>57</v>
      </c>
      <c r="I10" s="19" t="s">
        <v>1562</v>
      </c>
      <c r="J10">
        <f>IFERROR(GETPIVOTDATA("Sum of Attrition",$I$1,"Risk_Category","Medium"),0)</f>
        <v>79</v>
      </c>
      <c r="M10" s="18" t="s">
        <v>1557</v>
      </c>
      <c r="N10" t="s">
        <v>53</v>
      </c>
      <c r="O10" t="s">
        <v>38</v>
      </c>
      <c r="P10" t="s">
        <v>32</v>
      </c>
      <c r="Q10" t="s">
        <v>53</v>
      </c>
      <c r="R10" t="s">
        <v>38</v>
      </c>
      <c r="S10" t="s">
        <v>32</v>
      </c>
    </row>
    <row r="11" spans="1:21" x14ac:dyDescent="0.35">
      <c r="A11" s="19" t="s">
        <v>1579</v>
      </c>
      <c r="B11" s="17">
        <v>0.26251212116733935</v>
      </c>
      <c r="E11" s="20" t="s">
        <v>49</v>
      </c>
      <c r="F11">
        <v>33</v>
      </c>
      <c r="I11" s="19" t="s">
        <v>1561</v>
      </c>
      <c r="J11">
        <f>IFERROR(GETPIVOTDATA("Sum of Attrition",$I$1,"Risk_Category","Low"),0)</f>
        <v>44</v>
      </c>
      <c r="M11" s="19" t="s">
        <v>1570</v>
      </c>
      <c r="N11" s="21">
        <v>0.12698412698412698</v>
      </c>
      <c r="O11" s="21">
        <v>0.14255983350676379</v>
      </c>
      <c r="P11" s="21">
        <v>0.14573991031390135</v>
      </c>
      <c r="Q11" s="17">
        <v>0.4990478158034406</v>
      </c>
      <c r="R11" s="17">
        <v>0.41235323267159896</v>
      </c>
      <c r="S11" s="17">
        <v>0.40232591285834418</v>
      </c>
      <c r="T11" s="21">
        <v>0.14285714285714285</v>
      </c>
      <c r="U11" s="17">
        <v>0.41255218922966153</v>
      </c>
    </row>
    <row r="12" spans="1:21" x14ac:dyDescent="0.35">
      <c r="A12" s="19" t="s">
        <v>1580</v>
      </c>
      <c r="B12" s="17">
        <v>0.24715292766065086</v>
      </c>
      <c r="E12" s="20" t="s">
        <v>48</v>
      </c>
      <c r="F12">
        <v>2</v>
      </c>
      <c r="M12" s="19" t="s">
        <v>1571</v>
      </c>
      <c r="N12" s="21">
        <v>0.38095238095238093</v>
      </c>
      <c r="O12" s="21">
        <v>0.42663891779396462</v>
      </c>
      <c r="P12" s="21">
        <v>0.45739910313901344</v>
      </c>
      <c r="Q12" s="17">
        <v>0.38021885173140352</v>
      </c>
      <c r="R12" s="17">
        <v>0.35128711675692403</v>
      </c>
      <c r="S12" s="17">
        <v>0.27854440584669932</v>
      </c>
      <c r="T12" s="21">
        <v>0.43401360544217688</v>
      </c>
      <c r="U12" s="17">
        <v>0.32911603307934167</v>
      </c>
    </row>
    <row r="13" spans="1:21" x14ac:dyDescent="0.35">
      <c r="A13" s="19" t="s">
        <v>1581</v>
      </c>
      <c r="B13" s="17">
        <v>0.22767768444475833</v>
      </c>
      <c r="E13" s="19" t="s">
        <v>53</v>
      </c>
      <c r="F13">
        <v>12</v>
      </c>
      <c r="I13" s="19" t="s">
        <v>1601</v>
      </c>
      <c r="J13">
        <f>COUNTIF(J8:J11,"&gt;0")</f>
        <v>4</v>
      </c>
      <c r="M13" s="19" t="s">
        <v>1572</v>
      </c>
      <c r="N13" s="21">
        <v>0.36507936507936506</v>
      </c>
      <c r="O13" s="21">
        <v>0.27471383975026015</v>
      </c>
      <c r="P13" s="21">
        <v>0.26681614349775784</v>
      </c>
      <c r="Q13" s="17">
        <v>0.26335822553520111</v>
      </c>
      <c r="R13" s="17">
        <v>0.31563182932547829</v>
      </c>
      <c r="S13" s="17">
        <v>0.26699444045047088</v>
      </c>
      <c r="T13" s="21">
        <v>0.27619047619047621</v>
      </c>
      <c r="U13" s="17">
        <v>0.29841473040108818</v>
      </c>
    </row>
    <row r="14" spans="1:21" x14ac:dyDescent="0.35">
      <c r="A14" s="19" t="s">
        <v>1582</v>
      </c>
      <c r="B14" s="17">
        <v>0.17688563256679585</v>
      </c>
      <c r="E14" s="20" t="s">
        <v>53</v>
      </c>
      <c r="F14">
        <v>12</v>
      </c>
      <c r="M14" s="19" t="s">
        <v>1573</v>
      </c>
      <c r="N14" s="21">
        <v>9.5238095238095233E-2</v>
      </c>
      <c r="O14" s="21">
        <v>0.13839750260145681</v>
      </c>
      <c r="P14" s="21">
        <v>0.10762331838565023</v>
      </c>
      <c r="Q14" s="17">
        <v>0.37714807712911219</v>
      </c>
      <c r="R14" s="17">
        <v>0.25749993993968257</v>
      </c>
      <c r="S14" s="17">
        <v>0.24884580961987005</v>
      </c>
      <c r="T14" s="21">
        <v>0.1272108843537415</v>
      </c>
      <c r="U14" s="17">
        <v>0.25911753655885666</v>
      </c>
    </row>
    <row r="15" spans="1:21" x14ac:dyDescent="0.35">
      <c r="A15" s="19" t="s">
        <v>1558</v>
      </c>
      <c r="B15" s="17">
        <v>0.32335820492109568</v>
      </c>
      <c r="E15" s="20" t="s">
        <v>48</v>
      </c>
      <c r="F15">
        <v>0</v>
      </c>
      <c r="I15" s="19" t="s">
        <v>1602</v>
      </c>
      <c r="J15" t="str">
        <f>IF(J13=1,
   IF(J8&gt;0,J8&amp;CHAR(10)&amp;"Critical Risk",
   IF(J9&gt;0,J9&amp;CHAR(10)&amp;"High Risk",
   IF(J10&gt;0,J10&amp;CHAR(10)&amp;"Medium Risk",
   IF(J11&gt;0,J11&amp;CHAR(10)&amp;"Low Risk","")))),
   (J8+J9)&amp;CHAR(10)&amp;"Total At-Risk"
)</f>
        <v>114
Total At-Risk</v>
      </c>
      <c r="M15" s="19" t="s">
        <v>1574</v>
      </c>
      <c r="N15" s="21">
        <v>3.1746031746031744E-2</v>
      </c>
      <c r="O15" s="21">
        <v>1.7689906347554629E-2</v>
      </c>
      <c r="P15" s="21">
        <v>2.2421524663677129E-2</v>
      </c>
      <c r="Q15" s="17">
        <v>0.11187469928991242</v>
      </c>
      <c r="R15" s="17">
        <v>0.38144486159051211</v>
      </c>
      <c r="S15" s="17">
        <v>0.24049004661947029</v>
      </c>
      <c r="T15" s="21">
        <v>1.9727891156462583E-2</v>
      </c>
      <c r="U15" s="17">
        <v>0.31424870730390464</v>
      </c>
    </row>
    <row r="16" spans="1:21" x14ac:dyDescent="0.35">
      <c r="E16" s="19" t="s">
        <v>1558</v>
      </c>
      <c r="F16">
        <v>237</v>
      </c>
      <c r="J16" t="str">
        <f>IF(J13=1,
   IF(J8&gt;0,J8&amp;CHAR(10)&amp;"Critical Risk",
   IF(J9&gt;0,J9&amp;CHAR(10)&amp;"High Risk",
   IF(J10&gt;0,J10&amp;CHAR(10)&amp;"Medium Risk",
   IF(J11&gt;0,J11&amp;CHAR(10)&amp;"Low Risk","")))), IF((J8+J9)&gt;0,
      (J8+J9)&amp;CHAR(10)&amp;"Total At-Risk",
      (J10+J11)&amp;CHAR(10)&amp;"Not At-Risk"
   )
)</f>
        <v>114
Total At-Risk</v>
      </c>
      <c r="M16" s="19" t="s">
        <v>1558</v>
      </c>
      <c r="N16" s="21">
        <v>1</v>
      </c>
      <c r="O16" s="21">
        <v>1</v>
      </c>
      <c r="P16" s="21">
        <v>1</v>
      </c>
      <c r="Q16" s="17">
        <v>0.34383352407373535</v>
      </c>
      <c r="R16" s="17">
        <v>0.33775126779114617</v>
      </c>
      <c r="S16" s="17">
        <v>0.2894530961212407</v>
      </c>
      <c r="T16" s="21">
        <v>1</v>
      </c>
      <c r="U16" s="17">
        <v>0.32335820492109535</v>
      </c>
    </row>
    <row r="20" spans="1:13" x14ac:dyDescent="0.35">
      <c r="E20" s="18" t="s">
        <v>1564</v>
      </c>
      <c r="F20" t="s">
        <v>1556</v>
      </c>
      <c r="I20" s="18" t="s">
        <v>1556</v>
      </c>
      <c r="J20" s="18" t="s">
        <v>1563</v>
      </c>
    </row>
    <row r="21" spans="1:13" x14ac:dyDescent="0.35">
      <c r="A21" s="18" t="s">
        <v>1591</v>
      </c>
      <c r="B21" t="s">
        <v>1554</v>
      </c>
      <c r="C21" t="s">
        <v>1556</v>
      </c>
      <c r="E21" s="19" t="s">
        <v>1583</v>
      </c>
      <c r="F21" s="17">
        <v>0.43351002194999977</v>
      </c>
      <c r="I21" s="18" t="s">
        <v>1557</v>
      </c>
      <c r="J21" t="s">
        <v>45</v>
      </c>
      <c r="K21" t="s">
        <v>41</v>
      </c>
      <c r="L21" t="s">
        <v>36</v>
      </c>
      <c r="M21" t="s">
        <v>1558</v>
      </c>
    </row>
    <row r="22" spans="1:13" x14ac:dyDescent="0.35">
      <c r="A22" s="19" t="s">
        <v>53</v>
      </c>
      <c r="B22">
        <v>27</v>
      </c>
      <c r="C22" s="17">
        <v>0.35695923396250229</v>
      </c>
      <c r="E22" s="19" t="s">
        <v>1584</v>
      </c>
      <c r="F22" s="17">
        <v>0.34933705180210212</v>
      </c>
      <c r="I22" s="19" t="s">
        <v>34</v>
      </c>
      <c r="J22" s="17">
        <v>0.35693971611696967</v>
      </c>
      <c r="K22" s="17">
        <v>0.30561020422506868</v>
      </c>
      <c r="L22" s="17">
        <v>0.35222735256729704</v>
      </c>
      <c r="M22" s="17">
        <v>0.33160062159149112</v>
      </c>
    </row>
    <row r="23" spans="1:13" x14ac:dyDescent="0.35">
      <c r="A23" s="19" t="s">
        <v>33</v>
      </c>
      <c r="B23">
        <v>606</v>
      </c>
      <c r="C23" s="17">
        <v>0.31798873737488875</v>
      </c>
      <c r="E23" s="19" t="s">
        <v>1585</v>
      </c>
      <c r="F23" s="17">
        <v>0.19976633923226358</v>
      </c>
      <c r="I23" s="19" t="s">
        <v>39</v>
      </c>
      <c r="J23" s="17">
        <v>0.30452530450933785</v>
      </c>
      <c r="K23" s="17">
        <v>0.32228655560074387</v>
      </c>
      <c r="L23" s="17">
        <v>0.32165377489060498</v>
      </c>
      <c r="M23" s="17">
        <v>0.31786326047416591</v>
      </c>
    </row>
    <row r="24" spans="1:13" x14ac:dyDescent="0.35">
      <c r="A24" s="19" t="s">
        <v>51</v>
      </c>
      <c r="B24">
        <v>159</v>
      </c>
      <c r="C24" s="17">
        <v>0.29500716259530346</v>
      </c>
      <c r="E24" s="19" t="s">
        <v>1586</v>
      </c>
      <c r="F24" s="17">
        <v>0.21801345585910029</v>
      </c>
      <c r="I24" s="19" t="s">
        <v>1558</v>
      </c>
      <c r="J24" s="17">
        <v>0.323279084809316</v>
      </c>
      <c r="K24" s="17">
        <v>0.31554663349943229</v>
      </c>
      <c r="L24" s="17">
        <v>0.3345987577792478</v>
      </c>
      <c r="M24" s="17">
        <v>0.32335820492109602</v>
      </c>
    </row>
    <row r="25" spans="1:13" x14ac:dyDescent="0.35">
      <c r="A25" s="19" t="s">
        <v>44</v>
      </c>
      <c r="B25">
        <v>464</v>
      </c>
      <c r="C25" s="17">
        <v>0.33037500604037828</v>
      </c>
      <c r="E25" s="19" t="s">
        <v>1587</v>
      </c>
      <c r="F25" s="17">
        <v>0.2469756812947369</v>
      </c>
    </row>
    <row r="26" spans="1:13" x14ac:dyDescent="0.35">
      <c r="A26" s="19" t="s">
        <v>42</v>
      </c>
      <c r="B26">
        <v>82</v>
      </c>
      <c r="C26" s="17">
        <v>0.35943970718823354</v>
      </c>
      <c r="E26" s="19" t="s">
        <v>1588</v>
      </c>
      <c r="F26" s="17">
        <v>0.24931849236273415</v>
      </c>
    </row>
    <row r="27" spans="1:13" x14ac:dyDescent="0.35">
      <c r="A27" s="19" t="s">
        <v>52</v>
      </c>
      <c r="B27">
        <v>132</v>
      </c>
      <c r="C27" s="17">
        <v>0.32820673805315548</v>
      </c>
      <c r="E27" s="19" t="s">
        <v>1589</v>
      </c>
      <c r="F27" s="17">
        <v>0.19587375755241943</v>
      </c>
    </row>
    <row r="28" spans="1:13" x14ac:dyDescent="0.35">
      <c r="A28" s="19" t="s">
        <v>1558</v>
      </c>
      <c r="B28">
        <v>1470</v>
      </c>
      <c r="C28" s="17">
        <v>0.32335820492109479</v>
      </c>
      <c r="E28" s="19" t="s">
        <v>1590</v>
      </c>
      <c r="F28" s="17">
        <v>0.17578045204409048</v>
      </c>
    </row>
    <row r="29" spans="1:13" x14ac:dyDescent="0.35">
      <c r="E29" s="19" t="s">
        <v>1558</v>
      </c>
      <c r="F29" s="17">
        <v>0.32335820492109707</v>
      </c>
    </row>
    <row r="30" spans="1:13" x14ac:dyDescent="0.35">
      <c r="I30" s="18" t="s">
        <v>30</v>
      </c>
      <c r="J30" s="19">
        <v>0</v>
      </c>
    </row>
    <row r="31" spans="1:13" x14ac:dyDescent="0.35">
      <c r="I31" s="18" t="s">
        <v>1553</v>
      </c>
      <c r="J31" t="s">
        <v>1597</v>
      </c>
    </row>
    <row r="33" spans="1:12" x14ac:dyDescent="0.35">
      <c r="I33" s="18" t="s">
        <v>1594</v>
      </c>
      <c r="J33" s="18" t="s">
        <v>1598</v>
      </c>
      <c r="K33" t="s">
        <v>1596</v>
      </c>
      <c r="L33" t="s">
        <v>1595</v>
      </c>
    </row>
    <row r="34" spans="1:12" x14ac:dyDescent="0.35">
      <c r="A34" s="18" t="s">
        <v>1557</v>
      </c>
      <c r="B34" t="s">
        <v>1554</v>
      </c>
      <c r="C34" t="s">
        <v>1555</v>
      </c>
      <c r="D34" t="s">
        <v>1592</v>
      </c>
      <c r="E34" t="s">
        <v>1593</v>
      </c>
      <c r="I34" t="s">
        <v>311</v>
      </c>
      <c r="J34" t="s">
        <v>40</v>
      </c>
      <c r="K34" s="17">
        <v>0.85514326691283105</v>
      </c>
      <c r="L34">
        <v>3</v>
      </c>
    </row>
    <row r="35" spans="1:12" x14ac:dyDescent="0.35">
      <c r="A35" s="19" t="s">
        <v>34</v>
      </c>
      <c r="B35">
        <v>588</v>
      </c>
      <c r="C35">
        <v>87</v>
      </c>
      <c r="D35" s="21">
        <v>0.14795918367346939</v>
      </c>
      <c r="E35" s="22">
        <v>6686.5663265306121</v>
      </c>
      <c r="I35" t="s">
        <v>337</v>
      </c>
      <c r="J35" t="s">
        <v>43</v>
      </c>
      <c r="K35" s="17">
        <v>0.82221159616990469</v>
      </c>
      <c r="L35">
        <v>3</v>
      </c>
    </row>
    <row r="36" spans="1:12" x14ac:dyDescent="0.35">
      <c r="A36" s="19" t="s">
        <v>39</v>
      </c>
      <c r="B36">
        <v>882</v>
      </c>
      <c r="C36">
        <v>150</v>
      </c>
      <c r="D36" s="21">
        <v>0.17006802721088435</v>
      </c>
      <c r="E36" s="22">
        <v>6380.5079365079364</v>
      </c>
      <c r="I36" t="s">
        <v>416</v>
      </c>
      <c r="J36" t="s">
        <v>40</v>
      </c>
      <c r="K36" s="17">
        <v>0.82221159616990469</v>
      </c>
      <c r="L36">
        <v>3</v>
      </c>
    </row>
    <row r="37" spans="1:12" x14ac:dyDescent="0.35">
      <c r="A37" s="19" t="s">
        <v>1558</v>
      </c>
      <c r="B37">
        <v>1470</v>
      </c>
      <c r="C37">
        <v>237</v>
      </c>
      <c r="D37" s="21">
        <v>0.16122448979591836</v>
      </c>
      <c r="E37" s="22">
        <v>6502.931292517007</v>
      </c>
      <c r="I37" t="s">
        <v>515</v>
      </c>
      <c r="J37" t="s">
        <v>46</v>
      </c>
      <c r="K37" s="17">
        <v>0.82221159616990469</v>
      </c>
      <c r="L37">
        <v>3</v>
      </c>
    </row>
    <row r="38" spans="1:12" x14ac:dyDescent="0.35">
      <c r="I38" t="s">
        <v>726</v>
      </c>
      <c r="J38" t="s">
        <v>47</v>
      </c>
      <c r="K38" s="17">
        <v>0.8909196673228964</v>
      </c>
      <c r="L38">
        <v>3</v>
      </c>
    </row>
    <row r="39" spans="1:12" x14ac:dyDescent="0.35">
      <c r="I39" t="s">
        <v>766</v>
      </c>
      <c r="J39" t="s">
        <v>40</v>
      </c>
      <c r="K39" s="17">
        <v>0.82221159616990469</v>
      </c>
      <c r="L39">
        <v>3</v>
      </c>
    </row>
    <row r="40" spans="1:12" x14ac:dyDescent="0.35">
      <c r="I40" t="s">
        <v>813</v>
      </c>
      <c r="J40" t="s">
        <v>43</v>
      </c>
      <c r="K40" s="17">
        <v>0.82221159616990469</v>
      </c>
      <c r="L40">
        <v>3</v>
      </c>
    </row>
    <row r="41" spans="1:12" x14ac:dyDescent="0.35">
      <c r="I41" t="s">
        <v>824</v>
      </c>
      <c r="J41" t="s">
        <v>40</v>
      </c>
      <c r="K41" s="17">
        <v>0.8909196673228964</v>
      </c>
      <c r="L41">
        <v>3</v>
      </c>
    </row>
    <row r="42" spans="1:12" x14ac:dyDescent="0.35">
      <c r="I42" t="s">
        <v>899</v>
      </c>
      <c r="J42" t="s">
        <v>53</v>
      </c>
      <c r="K42" s="17">
        <v>0.8909196673228964</v>
      </c>
      <c r="L42">
        <v>3</v>
      </c>
    </row>
    <row r="43" spans="1:12" x14ac:dyDescent="0.35">
      <c r="I43" t="s">
        <v>1110</v>
      </c>
      <c r="J43" t="s">
        <v>40</v>
      </c>
      <c r="K43" s="17">
        <v>0.8909196673228964</v>
      </c>
      <c r="L43">
        <v>3</v>
      </c>
    </row>
    <row r="44" spans="1:12" x14ac:dyDescent="0.35">
      <c r="I44" t="s">
        <v>1256</v>
      </c>
      <c r="J44" t="s">
        <v>43</v>
      </c>
      <c r="K44" s="17">
        <v>0.82221159616990469</v>
      </c>
      <c r="L44">
        <v>3</v>
      </c>
    </row>
    <row r="45" spans="1:12" x14ac:dyDescent="0.35">
      <c r="A45" s="18" t="s">
        <v>30</v>
      </c>
      <c r="B45" s="19">
        <v>0</v>
      </c>
    </row>
    <row r="47" spans="1:12" x14ac:dyDescent="0.35">
      <c r="A47" t="s">
        <v>1609</v>
      </c>
    </row>
    <row r="48" spans="1:12" x14ac:dyDescent="0.35">
      <c r="A48" s="63">
        <v>1497031.5</v>
      </c>
    </row>
  </sheetData>
  <conditionalFormatting pivot="1" sqref="N3:P4">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r:id="rId1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0265B-6C5F-4A6D-BF48-6E3603CB62F0}">
  <dimension ref="A1:A55"/>
  <sheetViews>
    <sheetView showGridLines="0" zoomScale="55" zoomScaleNormal="55" workbookViewId="0">
      <selection activeCell="T17" sqref="T17"/>
    </sheetView>
  </sheetViews>
  <sheetFormatPr defaultRowHeight="14.5" x14ac:dyDescent="0.35"/>
  <sheetData>
    <row r="1" spans="1:1" ht="31" x14ac:dyDescent="0.35">
      <c r="A1" s="69" t="s">
        <v>1611</v>
      </c>
    </row>
    <row r="3" spans="1:1" ht="23.5" x14ac:dyDescent="0.35">
      <c r="A3" s="70" t="s">
        <v>1612</v>
      </c>
    </row>
    <row r="5" spans="1:1" x14ac:dyDescent="0.35">
      <c r="A5" t="s">
        <v>1613</v>
      </c>
    </row>
    <row r="7" spans="1:1" ht="23.5" x14ac:dyDescent="0.35">
      <c r="A7" s="70" t="s">
        <v>1614</v>
      </c>
    </row>
    <row r="9" spans="1:1" x14ac:dyDescent="0.35">
      <c r="A9" t="s">
        <v>1615</v>
      </c>
    </row>
    <row r="10" spans="1:1" x14ac:dyDescent="0.35">
      <c r="A10" s="71"/>
    </row>
    <row r="11" spans="1:1" x14ac:dyDescent="0.35">
      <c r="A11" s="72" t="s">
        <v>1616</v>
      </c>
    </row>
    <row r="12" spans="1:1" x14ac:dyDescent="0.35">
      <c r="A12" s="71"/>
    </row>
    <row r="13" spans="1:1" x14ac:dyDescent="0.35">
      <c r="A13" s="72" t="s">
        <v>1617</v>
      </c>
    </row>
    <row r="14" spans="1:1" x14ac:dyDescent="0.35">
      <c r="A14" s="71"/>
    </row>
    <row r="15" spans="1:1" x14ac:dyDescent="0.35">
      <c r="A15" s="72" t="s">
        <v>1618</v>
      </c>
    </row>
    <row r="17" spans="1:1" ht="24" customHeight="1" x14ac:dyDescent="0.35">
      <c r="A17" s="70" t="s">
        <v>1619</v>
      </c>
    </row>
    <row r="19" spans="1:1" x14ac:dyDescent="0.35">
      <c r="A19" t="s">
        <v>1620</v>
      </c>
    </row>
    <row r="21" spans="1:1" ht="17.5" x14ac:dyDescent="0.35">
      <c r="A21" s="73" t="s">
        <v>1621</v>
      </c>
    </row>
    <row r="22" spans="1:1" x14ac:dyDescent="0.35">
      <c r="A22" s="71"/>
    </row>
    <row r="23" spans="1:1" x14ac:dyDescent="0.35">
      <c r="A23" s="72" t="s">
        <v>1622</v>
      </c>
    </row>
    <row r="24" spans="1:1" x14ac:dyDescent="0.35">
      <c r="A24" s="71"/>
    </row>
    <row r="25" spans="1:1" x14ac:dyDescent="0.35">
      <c r="A25" s="72" t="s">
        <v>1623</v>
      </c>
    </row>
    <row r="26" spans="1:1" x14ac:dyDescent="0.35">
      <c r="A26" s="71"/>
    </row>
    <row r="27" spans="1:1" x14ac:dyDescent="0.35">
      <c r="A27" s="72" t="s">
        <v>1624</v>
      </c>
    </row>
    <row r="28" spans="1:1" x14ac:dyDescent="0.35">
      <c r="A28" s="71"/>
    </row>
    <row r="29" spans="1:1" x14ac:dyDescent="0.35">
      <c r="A29" s="72" t="s">
        <v>1625</v>
      </c>
    </row>
    <row r="30" spans="1:1" x14ac:dyDescent="0.35">
      <c r="A30" s="71"/>
    </row>
    <row r="31" spans="1:1" x14ac:dyDescent="0.35">
      <c r="A31" s="72" t="s">
        <v>1626</v>
      </c>
    </row>
    <row r="33" spans="1:1" ht="17.5" x14ac:dyDescent="0.35">
      <c r="A33" s="73" t="s">
        <v>1627</v>
      </c>
    </row>
    <row r="35" spans="1:1" x14ac:dyDescent="0.35">
      <c r="A35" s="74" t="s">
        <v>1628</v>
      </c>
    </row>
    <row r="36" spans="1:1" x14ac:dyDescent="0.35">
      <c r="A36" s="71"/>
    </row>
    <row r="37" spans="1:1" x14ac:dyDescent="0.35">
      <c r="A37" s="72" t="s">
        <v>1629</v>
      </c>
    </row>
    <row r="39" spans="1:1" ht="23.5" x14ac:dyDescent="0.35">
      <c r="A39" s="70" t="s">
        <v>1630</v>
      </c>
    </row>
    <row r="40" spans="1:1" x14ac:dyDescent="0.35">
      <c r="A40" s="71"/>
    </row>
    <row r="41" spans="1:1" x14ac:dyDescent="0.35">
      <c r="A41" s="72" t="s">
        <v>1631</v>
      </c>
    </row>
    <row r="42" spans="1:1" x14ac:dyDescent="0.35">
      <c r="A42" s="71"/>
    </row>
    <row r="43" spans="1:1" x14ac:dyDescent="0.35">
      <c r="A43" s="72" t="s">
        <v>1632</v>
      </c>
    </row>
    <row r="44" spans="1:1" x14ac:dyDescent="0.35">
      <c r="A44" s="71"/>
    </row>
    <row r="45" spans="1:1" x14ac:dyDescent="0.35">
      <c r="A45" s="72" t="s">
        <v>1633</v>
      </c>
    </row>
    <row r="46" spans="1:1" x14ac:dyDescent="0.35">
      <c r="A46" s="71"/>
    </row>
    <row r="47" spans="1:1" x14ac:dyDescent="0.35">
      <c r="A47" s="72" t="s">
        <v>1634</v>
      </c>
    </row>
    <row r="49" spans="1:1" ht="23.5" x14ac:dyDescent="0.35">
      <c r="A49" s="70" t="s">
        <v>1635</v>
      </c>
    </row>
    <row r="50" spans="1:1" x14ac:dyDescent="0.35">
      <c r="A50" s="71"/>
    </row>
    <row r="51" spans="1:1" x14ac:dyDescent="0.35">
      <c r="A51" s="72" t="s">
        <v>1636</v>
      </c>
    </row>
    <row r="52" spans="1:1" x14ac:dyDescent="0.35">
      <c r="A52" s="71"/>
    </row>
    <row r="53" spans="1:1" x14ac:dyDescent="0.35">
      <c r="A53" s="72" t="s">
        <v>1637</v>
      </c>
    </row>
    <row r="54" spans="1:1" x14ac:dyDescent="0.35">
      <c r="A54" s="71"/>
    </row>
    <row r="55" spans="1:1" x14ac:dyDescent="0.35">
      <c r="A55" s="72" t="s">
        <v>1638</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0EA0ED2-DF66-4901-B6E5-43F1FA03205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Dashboard</vt:lpstr>
      <vt:lpstr>HR</vt:lpstr>
      <vt:lpstr>Logic_Parameters</vt:lpstr>
      <vt:lpstr>Pivot_Engine</vt:lpstr>
      <vt:lpstr>Documentation</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Shimon Hans</cp:lastModifiedBy>
  <cp:lastPrinted>2026-04-09T03:37:31Z</cp:lastPrinted>
  <dcterms:created xsi:type="dcterms:W3CDTF">2015-06-05T18:17:20Z</dcterms:created>
  <dcterms:modified xsi:type="dcterms:W3CDTF">2026-04-09T03:58:00Z</dcterms:modified>
</cp:coreProperties>
</file>